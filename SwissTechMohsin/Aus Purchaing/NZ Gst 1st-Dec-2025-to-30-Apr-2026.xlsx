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wiss\Downloads\"/>
    </mc:Choice>
  </mc:AlternateContent>
  <xr:revisionPtr revIDLastSave="0" documentId="13_ncr:1_{E3595243-CD2E-4FB5-B50F-5A4225693CE5}" xr6:coauthVersionLast="47" xr6:coauthVersionMax="47" xr10:uidLastSave="{00000000-0000-0000-0000-000000000000}"/>
  <bookViews>
    <workbookView xWindow="20370" yWindow="-120" windowWidth="29040" windowHeight="17520" xr2:uid="{5C8DA2B8-5895-4AD2-AC48-41672D3A9BDF}"/>
  </bookViews>
  <sheets>
    <sheet name="Dec To Jan" sheetId="1" r:id="rId1"/>
    <sheet name="Feb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8" i="1" l="1"/>
  <c r="E18" i="1"/>
  <c r="F18" i="1"/>
  <c r="E3" i="2"/>
  <c r="F3" i="2" s="1"/>
  <c r="E17" i="1"/>
  <c r="F17" i="1" s="1"/>
  <c r="E16" i="1"/>
  <c r="F16" i="1" s="1"/>
  <c r="E15" i="1"/>
  <c r="F15" i="1" s="1"/>
  <c r="E14" i="1"/>
  <c r="F14" i="1" s="1"/>
  <c r="E13" i="1"/>
  <c r="F13" i="1" s="1"/>
  <c r="E12" i="1"/>
  <c r="F12" i="1" s="1"/>
  <c r="E11" i="1"/>
  <c r="F11" i="1" s="1"/>
  <c r="E10" i="1"/>
  <c r="F10" i="1" s="1"/>
  <c r="E9" i="1"/>
  <c r="F9" i="1" s="1"/>
  <c r="E8" i="1"/>
  <c r="F8" i="1" s="1"/>
  <c r="E7" i="1"/>
  <c r="F7" i="1" s="1"/>
  <c r="E6" i="1"/>
  <c r="F6" i="1" s="1"/>
  <c r="E5" i="1"/>
  <c r="F5" i="1" s="1"/>
  <c r="E4" i="1"/>
  <c r="F4" i="1" s="1"/>
  <c r="E3" i="1"/>
  <c r="F3" i="1" s="1"/>
</calcChain>
</file>

<file path=xl/sharedStrings.xml><?xml version="1.0" encoding="utf-8"?>
<sst xmlns="http://schemas.openxmlformats.org/spreadsheetml/2006/main" count="30" uniqueCount="20">
  <si>
    <t>G7X Mark III Black Auckland Camera</t>
  </si>
  <si>
    <t>G7X Mark III Black Photogear</t>
  </si>
  <si>
    <t>SX740 Photogear</t>
  </si>
  <si>
    <t>G7X Mark III Silver Photogear</t>
  </si>
  <si>
    <t>Starlink Mini  Abdul Khan</t>
  </si>
  <si>
    <t>Starlink Standard Kit V4 Noel Leeming</t>
  </si>
  <si>
    <t>Newzeland</t>
  </si>
  <si>
    <t>Date</t>
  </si>
  <si>
    <t>Product Name</t>
  </si>
  <si>
    <t>Qty</t>
  </si>
  <si>
    <t xml:space="preserve">Per/Unit  </t>
  </si>
  <si>
    <t xml:space="preserve">Total </t>
  </si>
  <si>
    <t>GST</t>
  </si>
  <si>
    <t>Mini Film 20PK Noel Leeming</t>
  </si>
  <si>
    <t>Mini Evo Noel Leeming</t>
  </si>
  <si>
    <t>SX740 Auckland Camera</t>
  </si>
  <si>
    <t>G7XMark III black Noel Leeming</t>
  </si>
  <si>
    <t>G7X Mark III  Noel Leeming</t>
  </si>
  <si>
    <t>Mini EVO Noel Leeming</t>
  </si>
  <si>
    <t>Canon Mark III Black Noel Leeming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</si>
</sst>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&quot;$&quot;* #,##0.00_);_(&quot;$&quot;* \(#,##0.00\);_(&quot;$&quot;* &quot;-&quot;??_);_(@_)"/>
    <numFmt numFmtId="165" formatCode="_-[$$-409]* #,##0.00_ ;_-[$$-409]* \-#,##0.00\ ;_-[$$-409]* &quot;-&quot;??_ ;_-@_ "/>
  </numFmts>
  <fonts count="4" x14ac:knownFonts="1">
    <font>
      <sz val="11"/>
      <color theme="1"/>
      <name val="Aptos Narrow"/>
      <family val="2"/>
      <scheme val="minor"/>
    </font>
    <font>
      <b/>
      <sz val="16"/>
      <color rgb="FFFFC000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4" borderId="0" xfId="0" applyFont="1" applyFill="1" applyAlignment="1">
      <alignment horizontal="center"/>
    </xf>
    <xf numFmtId="164" fontId="2" fillId="4" borderId="0" xfId="0" applyNumberFormat="1" applyFont="1" applyFill="1" applyAlignment="1">
      <alignment horizontal="center"/>
    </xf>
    <xf numFmtId="16" fontId="0" fillId="2" borderId="1" xfId="0" applyNumberForma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65" fontId="0" fillId="2" borderId="1" xfId="0" applyNumberFormat="1" applyFill="1" applyBorder="1" applyAlignment="1">
      <alignment horizontal="center" vertical="center"/>
    </xf>
    <xf numFmtId="0" fontId="1" fillId="3" borderId="0" xfId="0" applyFont="1" applyFill="1" applyAlignment="1">
      <alignment horizontal="center"/>
    </xf>
    <xf numFmtId="165" fontId="3" fillId="5" borderId="1" xfId="0" applyNumberFormat="1" applyFont="1" applyFill="1" applyBorder="1"/>
    <xf numFmtId="165" fontId="3" fillId="5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AF72D0-2E5E-4D42-88C5-9EBB0F5FE231}">
  <dimension ref="A1:F18"/>
  <sheetViews>
    <sheetView tabSelected="1" workbookViewId="0">
      <selection activeCell="B35" sqref="B35"/>
    </sheetView>
  </sheetViews>
  <sheetFormatPr defaultRowHeight="15" x14ac:dyDescent="0.25"/>
  <cols>
    <col min="1" max="1" width="14" customWidth="1"/>
    <col min="2" max="2" width="65.7109375" customWidth="1"/>
    <col min="3" max="3" width="7.85546875" customWidth="1"/>
    <col min="4" max="4" width="18.42578125" customWidth="1"/>
    <col min="5" max="5" width="14" customWidth="1"/>
    <col min="6" max="6" width="19.140625" customWidth="1"/>
  </cols>
  <sheetData>
    <row r="1" spans="1:6" ht="21" x14ac:dyDescent="0.35">
      <c r="A1" s="6" t="s">
        <v>6</v>
      </c>
      <c r="B1" s="6"/>
      <c r="C1" s="6"/>
      <c r="D1" s="6"/>
      <c r="E1" s="6"/>
      <c r="F1" s="6"/>
    </row>
    <row r="2" spans="1:6" ht="18.75" x14ac:dyDescent="0.3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2" t="s">
        <v>12</v>
      </c>
    </row>
    <row r="3" spans="1:6" x14ac:dyDescent="0.25">
      <c r="A3" s="3">
        <v>45993</v>
      </c>
      <c r="B3" s="4" t="s">
        <v>0</v>
      </c>
      <c r="C3" s="4">
        <v>10</v>
      </c>
      <c r="D3" s="5">
        <v>1260</v>
      </c>
      <c r="E3" s="5">
        <f t="shared" ref="E3:E16" si="0">D3*C3</f>
        <v>12600</v>
      </c>
      <c r="F3" s="5">
        <f t="shared" ref="F3:F16" si="1">E3*13.04/100</f>
        <v>1643.04</v>
      </c>
    </row>
    <row r="4" spans="1:6" x14ac:dyDescent="0.25">
      <c r="A4" s="3">
        <v>45993</v>
      </c>
      <c r="B4" s="4" t="s">
        <v>1</v>
      </c>
      <c r="C4" s="4">
        <v>1</v>
      </c>
      <c r="D4" s="5">
        <v>1348</v>
      </c>
      <c r="E4" s="5">
        <f t="shared" si="0"/>
        <v>1348</v>
      </c>
      <c r="F4" s="5">
        <f t="shared" si="1"/>
        <v>175.77919999999997</v>
      </c>
    </row>
    <row r="5" spans="1:6" x14ac:dyDescent="0.25">
      <c r="A5" s="3">
        <v>45993</v>
      </c>
      <c r="B5" s="4" t="s">
        <v>2</v>
      </c>
      <c r="C5" s="4">
        <v>3</v>
      </c>
      <c r="D5" s="5">
        <v>738</v>
      </c>
      <c r="E5" s="5">
        <f t="shared" si="0"/>
        <v>2214</v>
      </c>
      <c r="F5" s="5">
        <f t="shared" si="1"/>
        <v>288.7056</v>
      </c>
    </row>
    <row r="6" spans="1:6" x14ac:dyDescent="0.25">
      <c r="A6" s="3">
        <v>45993</v>
      </c>
      <c r="B6" s="4" t="s">
        <v>3</v>
      </c>
      <c r="C6" s="4">
        <v>2</v>
      </c>
      <c r="D6" s="5">
        <v>1348</v>
      </c>
      <c r="E6" s="5">
        <f t="shared" si="0"/>
        <v>2696</v>
      </c>
      <c r="F6" s="5">
        <f t="shared" si="1"/>
        <v>351.55839999999995</v>
      </c>
    </row>
    <row r="7" spans="1:6" x14ac:dyDescent="0.25">
      <c r="A7" s="3">
        <v>45993</v>
      </c>
      <c r="B7" s="4" t="s">
        <v>1</v>
      </c>
      <c r="C7" s="4">
        <v>2</v>
      </c>
      <c r="D7" s="5">
        <v>1348</v>
      </c>
      <c r="E7" s="5">
        <f t="shared" si="0"/>
        <v>2696</v>
      </c>
      <c r="F7" s="5">
        <f t="shared" si="1"/>
        <v>351.55839999999995</v>
      </c>
    </row>
    <row r="8" spans="1:6" x14ac:dyDescent="0.25">
      <c r="A8" s="3">
        <v>46000</v>
      </c>
      <c r="B8" s="4" t="s">
        <v>13</v>
      </c>
      <c r="C8" s="4">
        <v>500</v>
      </c>
      <c r="D8" s="5">
        <v>28</v>
      </c>
      <c r="E8" s="5">
        <f t="shared" si="0"/>
        <v>14000</v>
      </c>
      <c r="F8" s="5">
        <f t="shared" si="1"/>
        <v>1825.6</v>
      </c>
    </row>
    <row r="9" spans="1:6" x14ac:dyDescent="0.25">
      <c r="A9" s="3">
        <v>46000</v>
      </c>
      <c r="B9" s="4" t="s">
        <v>14</v>
      </c>
      <c r="C9" s="4">
        <v>100</v>
      </c>
      <c r="D9" s="5">
        <v>299</v>
      </c>
      <c r="E9" s="5">
        <f t="shared" si="0"/>
        <v>29900</v>
      </c>
      <c r="F9" s="5">
        <f t="shared" si="1"/>
        <v>3898.96</v>
      </c>
    </row>
    <row r="10" spans="1:6" x14ac:dyDescent="0.25">
      <c r="A10" s="3">
        <v>46001</v>
      </c>
      <c r="B10" s="4" t="s">
        <v>14</v>
      </c>
      <c r="C10" s="4">
        <v>100</v>
      </c>
      <c r="D10" s="5">
        <v>299</v>
      </c>
      <c r="E10" s="5">
        <f t="shared" si="0"/>
        <v>29900</v>
      </c>
      <c r="F10" s="5">
        <f t="shared" si="1"/>
        <v>3898.96</v>
      </c>
    </row>
    <row r="11" spans="1:6" x14ac:dyDescent="0.25">
      <c r="A11" s="3">
        <v>46002</v>
      </c>
      <c r="B11" s="4" t="s">
        <v>15</v>
      </c>
      <c r="C11" s="4">
        <v>2</v>
      </c>
      <c r="D11" s="5">
        <v>775</v>
      </c>
      <c r="E11" s="5">
        <f t="shared" si="0"/>
        <v>1550</v>
      </c>
      <c r="F11" s="5">
        <f t="shared" si="1"/>
        <v>202.12</v>
      </c>
    </row>
    <row r="12" spans="1:6" x14ac:dyDescent="0.25">
      <c r="A12" s="3">
        <v>46014</v>
      </c>
      <c r="B12" s="4" t="s">
        <v>16</v>
      </c>
      <c r="C12" s="4">
        <v>5</v>
      </c>
      <c r="D12" s="5">
        <v>1449</v>
      </c>
      <c r="E12" s="5">
        <f t="shared" si="0"/>
        <v>7245</v>
      </c>
      <c r="F12" s="5">
        <f t="shared" si="1"/>
        <v>944.74799999999993</v>
      </c>
    </row>
    <row r="13" spans="1:6" x14ac:dyDescent="0.25">
      <c r="A13" s="3">
        <v>46014</v>
      </c>
      <c r="B13" s="4" t="s">
        <v>16</v>
      </c>
      <c r="C13" s="4">
        <v>4</v>
      </c>
      <c r="D13" s="5">
        <v>1449</v>
      </c>
      <c r="E13" s="5">
        <f t="shared" si="0"/>
        <v>5796</v>
      </c>
      <c r="F13" s="5">
        <f t="shared" si="1"/>
        <v>755.79840000000002</v>
      </c>
    </row>
    <row r="14" spans="1:6" x14ac:dyDescent="0.25">
      <c r="A14" s="3">
        <v>46034</v>
      </c>
      <c r="B14" s="4" t="s">
        <v>17</v>
      </c>
      <c r="C14" s="4">
        <v>10</v>
      </c>
      <c r="D14" s="5">
        <v>1449</v>
      </c>
      <c r="E14" s="5">
        <f t="shared" si="0"/>
        <v>14490</v>
      </c>
      <c r="F14" s="5">
        <f t="shared" si="1"/>
        <v>1889.4959999999999</v>
      </c>
    </row>
    <row r="15" spans="1:6" x14ac:dyDescent="0.25">
      <c r="A15" s="3">
        <v>46051</v>
      </c>
      <c r="B15" s="4" t="s">
        <v>18</v>
      </c>
      <c r="C15" s="4">
        <v>100</v>
      </c>
      <c r="D15" s="5">
        <v>299</v>
      </c>
      <c r="E15" s="5">
        <f t="shared" si="0"/>
        <v>29900</v>
      </c>
      <c r="F15" s="5">
        <f t="shared" si="1"/>
        <v>3898.96</v>
      </c>
    </row>
    <row r="16" spans="1:6" x14ac:dyDescent="0.25">
      <c r="A16" s="3">
        <v>46051</v>
      </c>
      <c r="B16" s="4" t="s">
        <v>4</v>
      </c>
      <c r="C16" s="4">
        <v>4</v>
      </c>
      <c r="D16" s="5">
        <v>349</v>
      </c>
      <c r="E16" s="5">
        <f t="shared" si="0"/>
        <v>1396</v>
      </c>
      <c r="F16" s="5">
        <f t="shared" si="1"/>
        <v>182.0384</v>
      </c>
    </row>
    <row r="17" spans="1:6" x14ac:dyDescent="0.25">
      <c r="A17" s="3">
        <v>46034</v>
      </c>
      <c r="B17" s="4" t="s">
        <v>5</v>
      </c>
      <c r="C17" s="4">
        <v>30</v>
      </c>
      <c r="D17" s="5">
        <v>460</v>
      </c>
      <c r="E17" s="5">
        <f>D17*C17</f>
        <v>13800</v>
      </c>
      <c r="F17" s="5">
        <f>E17*13.04/100</f>
        <v>1799.52</v>
      </c>
    </row>
    <row r="18" spans="1:6" ht="15.75" x14ac:dyDescent="0.25">
      <c r="D18" s="7">
        <f>SUM(D3:D17)</f>
        <v>12898</v>
      </c>
      <c r="E18" s="7">
        <f>SUM(E3:E17)</f>
        <v>169531</v>
      </c>
      <c r="F18" s="8">
        <f>SUM(F3:F17)</f>
        <v>22106.842400000001</v>
      </c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FF1053-537A-4E9A-B29D-2A75D49333E8}">
  <dimension ref="A1:F3"/>
  <sheetViews>
    <sheetView workbookViewId="0">
      <selection activeCell="B36" sqref="B36"/>
    </sheetView>
  </sheetViews>
  <sheetFormatPr defaultRowHeight="15" x14ac:dyDescent="0.25"/>
  <cols>
    <col min="1" max="1" width="16.5703125" customWidth="1"/>
    <col min="2" max="2" width="38.5703125" customWidth="1"/>
    <col min="3" max="3" width="8.42578125" customWidth="1"/>
    <col min="4" max="4" width="14" customWidth="1"/>
    <col min="5" max="5" width="16.140625" customWidth="1"/>
    <col min="6" max="6" width="19.5703125" customWidth="1"/>
  </cols>
  <sheetData>
    <row r="1" spans="1:6" ht="21" x14ac:dyDescent="0.35">
      <c r="A1" s="6" t="s">
        <v>6</v>
      </c>
      <c r="B1" s="6"/>
      <c r="C1" s="6"/>
      <c r="D1" s="6"/>
      <c r="E1" s="6"/>
      <c r="F1" s="6"/>
    </row>
    <row r="2" spans="1:6" ht="18.75" x14ac:dyDescent="0.3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2" t="s">
        <v>12</v>
      </c>
    </row>
    <row r="3" spans="1:6" x14ac:dyDescent="0.25">
      <c r="A3" s="3">
        <v>46071</v>
      </c>
      <c r="B3" s="4" t="s">
        <v>19</v>
      </c>
      <c r="C3" s="4">
        <v>3</v>
      </c>
      <c r="D3" s="5">
        <v>1449</v>
      </c>
      <c r="E3" s="5">
        <f>D3*C3</f>
        <v>4347</v>
      </c>
      <c r="F3" s="5">
        <f>E3*13.04/100</f>
        <v>566.84879999999998</v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Dec To Jan</vt:lpstr>
      <vt:lpstr>Feb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Swiss Tech</dc:creator>
  <cp:lastModifiedBy>swiss tech</cp:lastModifiedBy>
  <dcterms:created xsi:type="dcterms:W3CDTF">2026-05-12T13:18:57Z</dcterms:created>
  <dcterms:modified xsi:type="dcterms:W3CDTF">2026-05-12T13:57:00Z</dcterms:modified>
</cp:coreProperties>
</file>