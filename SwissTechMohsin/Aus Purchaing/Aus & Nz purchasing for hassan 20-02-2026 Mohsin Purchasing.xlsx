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Aus Purchaing/"/>
    </mc:Choice>
  </mc:AlternateContent>
  <xr:revisionPtr revIDLastSave="393" documentId="13_ncr:1_{F43B4991-DC9F-47CF-B112-C68B175CC888}" xr6:coauthVersionLast="47" xr6:coauthVersionMax="47" xr10:uidLastSave="{A64F7BF8-BB02-4AF7-8335-109B64B22286}"/>
  <bookViews>
    <workbookView xWindow="20370" yWindow="-120" windowWidth="29040" windowHeight="17520" xr2:uid="{00000000-000D-0000-FFFF-FFFF00000000}"/>
  </bookViews>
  <sheets>
    <sheet name="Mohsin" sheetId="1" r:id="rId1"/>
    <sheet name="Sheet2" sheetId="2" r:id="rId2"/>
  </sheets>
  <definedNames>
    <definedName name="_xlnm._FilterDatabase" localSheetId="1" hidden="1">Sheet2!$B$16:$G$129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7" i="1" l="1"/>
  <c r="I867" i="1" s="1"/>
  <c r="F867" i="1"/>
  <c r="H866" i="1"/>
  <c r="I866" i="1" s="1"/>
  <c r="F866" i="1"/>
  <c r="H865" i="1"/>
  <c r="I865" i="1" s="1"/>
  <c r="F865" i="1"/>
  <c r="H864" i="1"/>
  <c r="I864" i="1" s="1"/>
  <c r="F864" i="1"/>
  <c r="H863" i="1"/>
  <c r="I863" i="1" s="1"/>
  <c r="F863" i="1"/>
  <c r="H862" i="1"/>
  <c r="I862" i="1" s="1"/>
  <c r="F862" i="1"/>
  <c r="H861" i="1"/>
  <c r="I861" i="1" s="1"/>
  <c r="F861" i="1"/>
  <c r="H860" i="1"/>
  <c r="I860" i="1" s="1"/>
  <c r="F860" i="1"/>
  <c r="H859" i="1"/>
  <c r="I859" i="1" s="1"/>
  <c r="F859" i="1"/>
  <c r="H858" i="1"/>
  <c r="I858" i="1" s="1"/>
  <c r="F858" i="1"/>
  <c r="H857" i="1"/>
  <c r="I857" i="1" s="1"/>
  <c r="J857" i="1" s="1"/>
  <c r="J858" i="1" s="1"/>
  <c r="J859" i="1" s="1"/>
  <c r="J860" i="1" s="1"/>
  <c r="J861" i="1" s="1"/>
  <c r="F857" i="1"/>
  <c r="H848" i="1"/>
  <c r="I848" i="1" s="1"/>
  <c r="F848" i="1"/>
  <c r="H847" i="1"/>
  <c r="I847" i="1" s="1"/>
  <c r="F847" i="1"/>
  <c r="H846" i="1"/>
  <c r="I846" i="1" s="1"/>
  <c r="F846" i="1"/>
  <c r="H845" i="1"/>
  <c r="I845" i="1" s="1"/>
  <c r="F845" i="1"/>
  <c r="H844" i="1"/>
  <c r="I844" i="1" s="1"/>
  <c r="F844" i="1"/>
  <c r="H843" i="1"/>
  <c r="I843" i="1" s="1"/>
  <c r="F843" i="1"/>
  <c r="H842" i="1"/>
  <c r="I842" i="1" s="1"/>
  <c r="F842" i="1"/>
  <c r="H841" i="1"/>
  <c r="I841" i="1" s="1"/>
  <c r="F841" i="1"/>
  <c r="H840" i="1"/>
  <c r="I840" i="1" s="1"/>
  <c r="F840" i="1"/>
  <c r="H839" i="1"/>
  <c r="I839" i="1" s="1"/>
  <c r="F839" i="1"/>
  <c r="H838" i="1"/>
  <c r="I838" i="1" s="1"/>
  <c r="F838" i="1"/>
  <c r="H837" i="1"/>
  <c r="I837" i="1" s="1"/>
  <c r="J837" i="1" s="1"/>
  <c r="J838" i="1" s="1"/>
  <c r="J839" i="1" s="1"/>
  <c r="J840" i="1" s="1"/>
  <c r="J841" i="1" s="1"/>
  <c r="F837" i="1"/>
  <c r="H811" i="1"/>
  <c r="I811" i="1" s="1"/>
  <c r="F811" i="1"/>
  <c r="H810" i="1"/>
  <c r="I810" i="1" s="1"/>
  <c r="F810" i="1"/>
  <c r="H809" i="1"/>
  <c r="I809" i="1" s="1"/>
  <c r="F809" i="1"/>
  <c r="H808" i="1"/>
  <c r="I808" i="1" s="1"/>
  <c r="F808" i="1"/>
  <c r="H807" i="1"/>
  <c r="I807" i="1" s="1"/>
  <c r="F807" i="1"/>
  <c r="H806" i="1"/>
  <c r="I806" i="1" s="1"/>
  <c r="F806" i="1"/>
  <c r="H805" i="1"/>
  <c r="I805" i="1" s="1"/>
  <c r="F805" i="1"/>
  <c r="H804" i="1"/>
  <c r="I804" i="1" s="1"/>
  <c r="F804" i="1"/>
  <c r="H803" i="1"/>
  <c r="I803" i="1" s="1"/>
  <c r="F803" i="1"/>
  <c r="H802" i="1"/>
  <c r="I802" i="1" s="1"/>
  <c r="F802" i="1"/>
  <c r="H801" i="1"/>
  <c r="I801" i="1" s="1"/>
  <c r="F801" i="1"/>
  <c r="H800" i="1"/>
  <c r="I800" i="1" s="1"/>
  <c r="F800" i="1"/>
  <c r="H799" i="1"/>
  <c r="I799" i="1" s="1"/>
  <c r="J799" i="1" s="1"/>
  <c r="F799" i="1"/>
  <c r="H791" i="1"/>
  <c r="I791" i="1" s="1"/>
  <c r="F791" i="1"/>
  <c r="H790" i="1"/>
  <c r="I790" i="1" s="1"/>
  <c r="F790" i="1"/>
  <c r="H789" i="1"/>
  <c r="I789" i="1" s="1"/>
  <c r="F789" i="1"/>
  <c r="H788" i="1"/>
  <c r="I788" i="1" s="1"/>
  <c r="F788" i="1"/>
  <c r="H787" i="1"/>
  <c r="I787" i="1" s="1"/>
  <c r="F787" i="1"/>
  <c r="H786" i="1"/>
  <c r="I786" i="1" s="1"/>
  <c r="F786" i="1"/>
  <c r="H785" i="1"/>
  <c r="I785" i="1" s="1"/>
  <c r="F785" i="1"/>
  <c r="H784" i="1"/>
  <c r="I784" i="1" s="1"/>
  <c r="F784" i="1"/>
  <c r="H783" i="1"/>
  <c r="I783" i="1" s="1"/>
  <c r="F783" i="1"/>
  <c r="H782" i="1"/>
  <c r="I782" i="1" s="1"/>
  <c r="F782" i="1"/>
  <c r="H781" i="1"/>
  <c r="I781" i="1" s="1"/>
  <c r="F781" i="1"/>
  <c r="H780" i="1"/>
  <c r="I780" i="1" s="1"/>
  <c r="F780" i="1"/>
  <c r="H779" i="1"/>
  <c r="I779" i="1" s="1"/>
  <c r="F779" i="1"/>
  <c r="H778" i="1"/>
  <c r="I778" i="1" s="1"/>
  <c r="F778" i="1"/>
  <c r="H777" i="1"/>
  <c r="I777" i="1" s="1"/>
  <c r="F777" i="1"/>
  <c r="H776" i="1"/>
  <c r="I776" i="1" s="1"/>
  <c r="F776" i="1"/>
  <c r="H775" i="1"/>
  <c r="I775" i="1" s="1"/>
  <c r="F775" i="1"/>
  <c r="H774" i="1"/>
  <c r="I774" i="1" s="1"/>
  <c r="F774" i="1"/>
  <c r="H773" i="1"/>
  <c r="I773" i="1" s="1"/>
  <c r="F773" i="1"/>
  <c r="H772" i="1"/>
  <c r="I772" i="1" s="1"/>
  <c r="J772" i="1" s="1"/>
  <c r="J773" i="1" s="1"/>
  <c r="J774" i="1" s="1"/>
  <c r="F772" i="1"/>
  <c r="H762" i="1"/>
  <c r="I762" i="1" s="1"/>
  <c r="F762" i="1"/>
  <c r="H761" i="1"/>
  <c r="I761" i="1" s="1"/>
  <c r="F761" i="1"/>
  <c r="H760" i="1"/>
  <c r="I760" i="1" s="1"/>
  <c r="F760" i="1"/>
  <c r="H759" i="1"/>
  <c r="I759" i="1" s="1"/>
  <c r="F759" i="1"/>
  <c r="H758" i="1"/>
  <c r="I758" i="1" s="1"/>
  <c r="F758" i="1"/>
  <c r="H757" i="1"/>
  <c r="I757" i="1" s="1"/>
  <c r="F757" i="1"/>
  <c r="H756" i="1"/>
  <c r="I756" i="1" s="1"/>
  <c r="F756" i="1"/>
  <c r="H755" i="1"/>
  <c r="I755" i="1" s="1"/>
  <c r="F755" i="1"/>
  <c r="H754" i="1"/>
  <c r="I754" i="1" s="1"/>
  <c r="J754" i="1" s="1"/>
  <c r="J755" i="1" s="1"/>
  <c r="J756" i="1" s="1"/>
  <c r="J757" i="1" s="1"/>
  <c r="J758" i="1" s="1"/>
  <c r="J759" i="1" s="1"/>
  <c r="F754" i="1"/>
  <c r="H745" i="1"/>
  <c r="I745" i="1" s="1"/>
  <c r="F745" i="1"/>
  <c r="H744" i="1"/>
  <c r="I744" i="1" s="1"/>
  <c r="F744" i="1"/>
  <c r="H743" i="1"/>
  <c r="I743" i="1" s="1"/>
  <c r="J743" i="1" s="1"/>
  <c r="J744" i="1" s="1"/>
  <c r="J745" i="1" s="1"/>
  <c r="F743" i="1"/>
  <c r="H734" i="1"/>
  <c r="I734" i="1" s="1"/>
  <c r="F734" i="1"/>
  <c r="H733" i="1"/>
  <c r="I733" i="1" s="1"/>
  <c r="J733" i="1" s="1"/>
  <c r="J734" i="1" s="1"/>
  <c r="F733" i="1"/>
  <c r="H724" i="1"/>
  <c r="I724" i="1" s="1"/>
  <c r="F724" i="1"/>
  <c r="H723" i="1"/>
  <c r="I723" i="1" s="1"/>
  <c r="F723" i="1"/>
  <c r="H722" i="1"/>
  <c r="I722" i="1" s="1"/>
  <c r="F722" i="1"/>
  <c r="H721" i="1"/>
  <c r="I721" i="1" s="1"/>
  <c r="F721" i="1"/>
  <c r="H720" i="1"/>
  <c r="I720" i="1" s="1"/>
  <c r="F720" i="1"/>
  <c r="H719" i="1"/>
  <c r="I719" i="1" s="1"/>
  <c r="F719" i="1"/>
  <c r="H718" i="1"/>
  <c r="I718" i="1" s="1"/>
  <c r="F718" i="1"/>
  <c r="H717" i="1"/>
  <c r="I717" i="1" s="1"/>
  <c r="F717" i="1"/>
  <c r="H716" i="1"/>
  <c r="I716" i="1" s="1"/>
  <c r="F716" i="1"/>
  <c r="H715" i="1"/>
  <c r="I715" i="1" s="1"/>
  <c r="F715" i="1"/>
  <c r="H714" i="1"/>
  <c r="I714" i="1" s="1"/>
  <c r="F714" i="1"/>
  <c r="H713" i="1"/>
  <c r="I713" i="1" s="1"/>
  <c r="F713" i="1"/>
  <c r="H712" i="1"/>
  <c r="I712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F712" i="1"/>
  <c r="H703" i="1"/>
  <c r="I703" i="1" s="1"/>
  <c r="F703" i="1"/>
  <c r="H702" i="1"/>
  <c r="I702" i="1" s="1"/>
  <c r="F702" i="1"/>
  <c r="H701" i="1"/>
  <c r="I701" i="1" s="1"/>
  <c r="F701" i="1"/>
  <c r="H700" i="1"/>
  <c r="I700" i="1" s="1"/>
  <c r="F700" i="1"/>
  <c r="H699" i="1"/>
  <c r="I699" i="1" s="1"/>
  <c r="F699" i="1"/>
  <c r="H698" i="1"/>
  <c r="I698" i="1" s="1"/>
  <c r="F698" i="1"/>
  <c r="H697" i="1"/>
  <c r="I697" i="1" s="1"/>
  <c r="F697" i="1"/>
  <c r="H696" i="1"/>
  <c r="I696" i="1" s="1"/>
  <c r="F696" i="1"/>
  <c r="H695" i="1"/>
  <c r="I695" i="1" s="1"/>
  <c r="F695" i="1"/>
  <c r="H694" i="1"/>
  <c r="I694" i="1" s="1"/>
  <c r="F694" i="1"/>
  <c r="H693" i="1"/>
  <c r="I693" i="1" s="1"/>
  <c r="F693" i="1"/>
  <c r="H692" i="1"/>
  <c r="I692" i="1" s="1"/>
  <c r="F692" i="1"/>
  <c r="H691" i="1"/>
  <c r="I691" i="1" s="1"/>
  <c r="F691" i="1"/>
  <c r="H690" i="1"/>
  <c r="I690" i="1" s="1"/>
  <c r="F690" i="1"/>
  <c r="H689" i="1"/>
  <c r="I689" i="1" s="1"/>
  <c r="J689" i="1" s="1"/>
  <c r="J690" i="1" s="1"/>
  <c r="J691" i="1" s="1"/>
  <c r="F689" i="1"/>
  <c r="H681" i="1"/>
  <c r="I681" i="1" s="1"/>
  <c r="F681" i="1"/>
  <c r="H680" i="1"/>
  <c r="I680" i="1" s="1"/>
  <c r="F680" i="1"/>
  <c r="H679" i="1"/>
  <c r="I679" i="1" s="1"/>
  <c r="F679" i="1"/>
  <c r="H678" i="1"/>
  <c r="I678" i="1" s="1"/>
  <c r="F678" i="1"/>
  <c r="H677" i="1"/>
  <c r="I677" i="1" s="1"/>
  <c r="F677" i="1"/>
  <c r="H676" i="1"/>
  <c r="I676" i="1" s="1"/>
  <c r="F676" i="1"/>
  <c r="H675" i="1"/>
  <c r="I675" i="1" s="1"/>
  <c r="F675" i="1"/>
  <c r="H674" i="1"/>
  <c r="I674" i="1" s="1"/>
  <c r="F674" i="1"/>
  <c r="H673" i="1"/>
  <c r="I673" i="1" s="1"/>
  <c r="F673" i="1"/>
  <c r="H672" i="1"/>
  <c r="I672" i="1" s="1"/>
  <c r="F672" i="1"/>
  <c r="H671" i="1"/>
  <c r="I671" i="1" s="1"/>
  <c r="J671" i="1" s="1"/>
  <c r="J672" i="1" s="1"/>
  <c r="F671" i="1"/>
  <c r="H663" i="1"/>
  <c r="I663" i="1" s="1"/>
  <c r="F663" i="1"/>
  <c r="H662" i="1"/>
  <c r="I662" i="1" s="1"/>
  <c r="F662" i="1"/>
  <c r="H661" i="1"/>
  <c r="I661" i="1" s="1"/>
  <c r="F661" i="1"/>
  <c r="H660" i="1"/>
  <c r="I660" i="1" s="1"/>
  <c r="F660" i="1"/>
  <c r="H659" i="1"/>
  <c r="I659" i="1" s="1"/>
  <c r="F659" i="1"/>
  <c r="H658" i="1"/>
  <c r="I658" i="1" s="1"/>
  <c r="F658" i="1"/>
  <c r="H657" i="1"/>
  <c r="I657" i="1" s="1"/>
  <c r="F657" i="1"/>
  <c r="H656" i="1"/>
  <c r="I656" i="1" s="1"/>
  <c r="F656" i="1"/>
  <c r="H655" i="1"/>
  <c r="I655" i="1" s="1"/>
  <c r="F655" i="1"/>
  <c r="H654" i="1"/>
  <c r="I654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F654" i="1"/>
  <c r="H646" i="1"/>
  <c r="I646" i="1" s="1"/>
  <c r="F646" i="1"/>
  <c r="H645" i="1"/>
  <c r="I645" i="1" s="1"/>
  <c r="F645" i="1"/>
  <c r="H644" i="1"/>
  <c r="I644" i="1" s="1"/>
  <c r="F644" i="1"/>
  <c r="H643" i="1"/>
  <c r="I643" i="1" s="1"/>
  <c r="F643" i="1"/>
  <c r="H642" i="1"/>
  <c r="I642" i="1" s="1"/>
  <c r="F642" i="1"/>
  <c r="H641" i="1"/>
  <c r="I641" i="1" s="1"/>
  <c r="F641" i="1"/>
  <c r="H640" i="1"/>
  <c r="I640" i="1" s="1"/>
  <c r="F640" i="1"/>
  <c r="H639" i="1"/>
  <c r="I639" i="1" s="1"/>
  <c r="F639" i="1"/>
  <c r="H638" i="1"/>
  <c r="I638" i="1" s="1"/>
  <c r="J638" i="1" s="1"/>
  <c r="J639" i="1" s="1"/>
  <c r="J640" i="1" s="1"/>
  <c r="F638" i="1"/>
  <c r="H631" i="1"/>
  <c r="I631" i="1" s="1"/>
  <c r="F631" i="1"/>
  <c r="H630" i="1"/>
  <c r="I630" i="1" s="1"/>
  <c r="F630" i="1"/>
  <c r="H629" i="1"/>
  <c r="I629" i="1" s="1"/>
  <c r="F629" i="1"/>
  <c r="H628" i="1"/>
  <c r="I628" i="1" s="1"/>
  <c r="F628" i="1"/>
  <c r="H627" i="1"/>
  <c r="I627" i="1" s="1"/>
  <c r="F627" i="1"/>
  <c r="H626" i="1"/>
  <c r="I626" i="1" s="1"/>
  <c r="J626" i="1" s="1"/>
  <c r="J627" i="1" s="1"/>
  <c r="J628" i="1" s="1"/>
  <c r="F626" i="1"/>
  <c r="H617" i="1"/>
  <c r="I617" i="1" s="1"/>
  <c r="F617" i="1"/>
  <c r="H616" i="1"/>
  <c r="I616" i="1" s="1"/>
  <c r="F616" i="1"/>
  <c r="H615" i="1"/>
  <c r="I615" i="1" s="1"/>
  <c r="F615" i="1"/>
  <c r="H614" i="1"/>
  <c r="I614" i="1" s="1"/>
  <c r="F614" i="1"/>
  <c r="H613" i="1"/>
  <c r="I613" i="1" s="1"/>
  <c r="F613" i="1"/>
  <c r="H612" i="1"/>
  <c r="I612" i="1" s="1"/>
  <c r="F612" i="1"/>
  <c r="H611" i="1"/>
  <c r="I611" i="1" s="1"/>
  <c r="F611" i="1"/>
  <c r="H610" i="1"/>
  <c r="I610" i="1" s="1"/>
  <c r="F610" i="1"/>
  <c r="H609" i="1"/>
  <c r="I609" i="1" s="1"/>
  <c r="F609" i="1"/>
  <c r="H608" i="1"/>
  <c r="I608" i="1" s="1"/>
  <c r="F608" i="1"/>
  <c r="H607" i="1"/>
  <c r="I607" i="1" s="1"/>
  <c r="F607" i="1"/>
  <c r="H606" i="1"/>
  <c r="I606" i="1" s="1"/>
  <c r="F606" i="1"/>
  <c r="H605" i="1"/>
  <c r="I605" i="1" s="1"/>
  <c r="F605" i="1"/>
  <c r="H604" i="1"/>
  <c r="I604" i="1" s="1"/>
  <c r="F604" i="1"/>
  <c r="H603" i="1"/>
  <c r="I603" i="1" s="1"/>
  <c r="F603" i="1"/>
  <c r="H602" i="1"/>
  <c r="I602" i="1" s="1"/>
  <c r="F602" i="1"/>
  <c r="H601" i="1"/>
  <c r="I601" i="1" s="1"/>
  <c r="F601" i="1"/>
  <c r="H600" i="1"/>
  <c r="I600" i="1" s="1"/>
  <c r="F600" i="1"/>
  <c r="H599" i="1"/>
  <c r="I599" i="1" s="1"/>
  <c r="F599" i="1"/>
  <c r="H598" i="1"/>
  <c r="I598" i="1" s="1"/>
  <c r="F598" i="1"/>
  <c r="H597" i="1"/>
  <c r="I597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F597" i="1"/>
  <c r="H588" i="1"/>
  <c r="I588" i="1" s="1"/>
  <c r="F588" i="1"/>
  <c r="H587" i="1"/>
  <c r="I587" i="1" s="1"/>
  <c r="F587" i="1"/>
  <c r="H586" i="1"/>
  <c r="I586" i="1" s="1"/>
  <c r="F586" i="1"/>
  <c r="H585" i="1"/>
  <c r="I585" i="1" s="1"/>
  <c r="F585" i="1"/>
  <c r="H584" i="1"/>
  <c r="I584" i="1" s="1"/>
  <c r="F584" i="1"/>
  <c r="H583" i="1"/>
  <c r="I583" i="1" s="1"/>
  <c r="F583" i="1"/>
  <c r="H582" i="1"/>
  <c r="I582" i="1" s="1"/>
  <c r="F582" i="1"/>
  <c r="H581" i="1"/>
  <c r="I581" i="1" s="1"/>
  <c r="F581" i="1"/>
  <c r="H580" i="1"/>
  <c r="I580" i="1" s="1"/>
  <c r="F580" i="1"/>
  <c r="H579" i="1"/>
  <c r="I579" i="1" s="1"/>
  <c r="F579" i="1"/>
  <c r="H578" i="1"/>
  <c r="I578" i="1" s="1"/>
  <c r="F578" i="1"/>
  <c r="H577" i="1"/>
  <c r="I577" i="1" s="1"/>
  <c r="F577" i="1"/>
  <c r="H576" i="1"/>
  <c r="I576" i="1" s="1"/>
  <c r="F576" i="1"/>
  <c r="H575" i="1"/>
  <c r="I575" i="1" s="1"/>
  <c r="F575" i="1"/>
  <c r="H574" i="1"/>
  <c r="I574" i="1" s="1"/>
  <c r="F574" i="1"/>
  <c r="H573" i="1"/>
  <c r="I573" i="1" s="1"/>
  <c r="F573" i="1"/>
  <c r="H572" i="1"/>
  <c r="I572" i="1" s="1"/>
  <c r="F572" i="1"/>
  <c r="H571" i="1"/>
  <c r="I571" i="1" s="1"/>
  <c r="F571" i="1"/>
  <c r="H570" i="1"/>
  <c r="I570" i="1" s="1"/>
  <c r="J570" i="1" s="1"/>
  <c r="F570" i="1"/>
  <c r="H560" i="1"/>
  <c r="I560" i="1" s="1"/>
  <c r="F560" i="1"/>
  <c r="H559" i="1"/>
  <c r="I559" i="1" s="1"/>
  <c r="F559" i="1"/>
  <c r="H558" i="1"/>
  <c r="I558" i="1" s="1"/>
  <c r="F558" i="1"/>
  <c r="H557" i="1"/>
  <c r="I557" i="1" s="1"/>
  <c r="F557" i="1"/>
  <c r="H556" i="1"/>
  <c r="I556" i="1" s="1"/>
  <c r="F556" i="1"/>
  <c r="H555" i="1"/>
  <c r="I555" i="1" s="1"/>
  <c r="F555" i="1"/>
  <c r="H554" i="1"/>
  <c r="I554" i="1" s="1"/>
  <c r="F554" i="1"/>
  <c r="H553" i="1"/>
  <c r="I553" i="1" s="1"/>
  <c r="F553" i="1"/>
  <c r="H552" i="1"/>
  <c r="I552" i="1" s="1"/>
  <c r="F552" i="1"/>
  <c r="H551" i="1"/>
  <c r="I551" i="1" s="1"/>
  <c r="F551" i="1"/>
  <c r="H550" i="1"/>
  <c r="I550" i="1" s="1"/>
  <c r="F550" i="1"/>
  <c r="H549" i="1"/>
  <c r="I549" i="1" s="1"/>
  <c r="F549" i="1"/>
  <c r="H548" i="1"/>
  <c r="I548" i="1" s="1"/>
  <c r="F548" i="1"/>
  <c r="H547" i="1"/>
  <c r="I547" i="1" s="1"/>
  <c r="F547" i="1"/>
  <c r="H546" i="1"/>
  <c r="I546" i="1" s="1"/>
  <c r="J546" i="1" s="1"/>
  <c r="J547" i="1" s="1"/>
  <c r="J548" i="1" s="1"/>
  <c r="J549" i="1" s="1"/>
  <c r="F546" i="1"/>
  <c r="H536" i="1"/>
  <c r="I536" i="1" s="1"/>
  <c r="F536" i="1"/>
  <c r="H535" i="1"/>
  <c r="I535" i="1" s="1"/>
  <c r="F535" i="1"/>
  <c r="H534" i="1"/>
  <c r="I534" i="1" s="1"/>
  <c r="F534" i="1"/>
  <c r="H533" i="1"/>
  <c r="I533" i="1" s="1"/>
  <c r="F533" i="1"/>
  <c r="H532" i="1"/>
  <c r="I532" i="1" s="1"/>
  <c r="F532" i="1"/>
  <c r="H531" i="1"/>
  <c r="I531" i="1" s="1"/>
  <c r="F531" i="1"/>
  <c r="H530" i="1"/>
  <c r="I530" i="1" s="1"/>
  <c r="F530" i="1"/>
  <c r="H529" i="1"/>
  <c r="I529" i="1" s="1"/>
  <c r="F529" i="1"/>
  <c r="H528" i="1"/>
  <c r="I528" i="1" s="1"/>
  <c r="J528" i="1" s="1"/>
  <c r="F528" i="1"/>
  <c r="H387" i="1"/>
  <c r="I387" i="1" s="1"/>
  <c r="F387" i="1"/>
  <c r="H386" i="1"/>
  <c r="I386" i="1" s="1"/>
  <c r="F386" i="1"/>
  <c r="H385" i="1"/>
  <c r="I385" i="1" s="1"/>
  <c r="F385" i="1"/>
  <c r="H384" i="1"/>
  <c r="I384" i="1" s="1"/>
  <c r="F384" i="1"/>
  <c r="I383" i="1"/>
  <c r="H383" i="1"/>
  <c r="F383" i="1"/>
  <c r="H382" i="1"/>
  <c r="I382" i="1" s="1"/>
  <c r="F382" i="1"/>
  <c r="H381" i="1"/>
  <c r="I381" i="1" s="1"/>
  <c r="F381" i="1"/>
  <c r="H380" i="1"/>
  <c r="I380" i="1" s="1"/>
  <c r="F380" i="1"/>
  <c r="I379" i="1"/>
  <c r="H379" i="1"/>
  <c r="F379" i="1"/>
  <c r="H378" i="1"/>
  <c r="I378" i="1" s="1"/>
  <c r="F378" i="1"/>
  <c r="H377" i="1"/>
  <c r="I377" i="1" s="1"/>
  <c r="F377" i="1"/>
  <c r="H376" i="1"/>
  <c r="I376" i="1" s="1"/>
  <c r="F376" i="1"/>
  <c r="I375" i="1"/>
  <c r="H375" i="1"/>
  <c r="F375" i="1"/>
  <c r="H374" i="1"/>
  <c r="I374" i="1" s="1"/>
  <c r="F374" i="1"/>
  <c r="H373" i="1"/>
  <c r="I373" i="1" s="1"/>
  <c r="F373" i="1"/>
  <c r="H372" i="1"/>
  <c r="I372" i="1" s="1"/>
  <c r="F372" i="1"/>
  <c r="I371" i="1"/>
  <c r="H371" i="1"/>
  <c r="F371" i="1"/>
  <c r="H370" i="1"/>
  <c r="I370" i="1" s="1"/>
  <c r="F370" i="1"/>
  <c r="H369" i="1"/>
  <c r="I369" i="1" s="1"/>
  <c r="F369" i="1"/>
  <c r="H368" i="1"/>
  <c r="I368" i="1" s="1"/>
  <c r="F368" i="1"/>
  <c r="I367" i="1"/>
  <c r="H367" i="1"/>
  <c r="F367" i="1"/>
  <c r="H366" i="1"/>
  <c r="I366" i="1" s="1"/>
  <c r="F366" i="1"/>
  <c r="H365" i="1"/>
  <c r="I365" i="1" s="1"/>
  <c r="F365" i="1"/>
  <c r="H364" i="1"/>
  <c r="I364" i="1" s="1"/>
  <c r="F364" i="1"/>
  <c r="I363" i="1"/>
  <c r="H363" i="1"/>
  <c r="F363" i="1"/>
  <c r="H362" i="1"/>
  <c r="I362" i="1" s="1"/>
  <c r="J362" i="1" s="1"/>
  <c r="F362" i="1"/>
  <c r="I352" i="1"/>
  <c r="J352" i="1" s="1"/>
  <c r="M352" i="1" s="1"/>
  <c r="N352" i="1" s="1"/>
  <c r="I351" i="1"/>
  <c r="J351" i="1" s="1"/>
  <c r="J350" i="1"/>
  <c r="M350" i="1" s="1"/>
  <c r="N350" i="1" s="1"/>
  <c r="I350" i="1"/>
  <c r="I349" i="1"/>
  <c r="J349" i="1" s="1"/>
  <c r="I348" i="1"/>
  <c r="J348" i="1" s="1"/>
  <c r="M348" i="1" s="1"/>
  <c r="N348" i="1" s="1"/>
  <c r="I347" i="1"/>
  <c r="J347" i="1" s="1"/>
  <c r="J346" i="1"/>
  <c r="M346" i="1" s="1"/>
  <c r="N346" i="1" s="1"/>
  <c r="I346" i="1"/>
  <c r="I345" i="1"/>
  <c r="J345" i="1" s="1"/>
  <c r="I344" i="1"/>
  <c r="J344" i="1" s="1"/>
  <c r="M344" i="1" s="1"/>
  <c r="N344" i="1" s="1"/>
  <c r="I343" i="1"/>
  <c r="J343" i="1" s="1"/>
  <c r="J342" i="1"/>
  <c r="M342" i="1" s="1"/>
  <c r="N342" i="1" s="1"/>
  <c r="I342" i="1"/>
  <c r="I341" i="1"/>
  <c r="J341" i="1" s="1"/>
  <c r="I340" i="1"/>
  <c r="J340" i="1" s="1"/>
  <c r="M340" i="1" s="1"/>
  <c r="N340" i="1" s="1"/>
  <c r="I339" i="1"/>
  <c r="J339" i="1" s="1"/>
  <c r="J338" i="1"/>
  <c r="M338" i="1" s="1"/>
  <c r="N338" i="1" s="1"/>
  <c r="I338" i="1"/>
  <c r="I337" i="1"/>
  <c r="J337" i="1" s="1"/>
  <c r="I336" i="1"/>
  <c r="J336" i="1" s="1"/>
  <c r="M336" i="1" s="1"/>
  <c r="N336" i="1" s="1"/>
  <c r="I335" i="1"/>
  <c r="J335" i="1" s="1"/>
  <c r="J334" i="1"/>
  <c r="M334" i="1" s="1"/>
  <c r="N334" i="1" s="1"/>
  <c r="O334" i="1" s="1"/>
  <c r="I334" i="1"/>
  <c r="H325" i="1"/>
  <c r="I325" i="1" s="1"/>
  <c r="F325" i="1"/>
  <c r="H324" i="1"/>
  <c r="I324" i="1" s="1"/>
  <c r="F324" i="1"/>
  <c r="H323" i="1"/>
  <c r="I323" i="1" s="1"/>
  <c r="F323" i="1"/>
  <c r="H322" i="1"/>
  <c r="I322" i="1" s="1"/>
  <c r="F322" i="1"/>
  <c r="H321" i="1"/>
  <c r="I321" i="1" s="1"/>
  <c r="F321" i="1"/>
  <c r="H320" i="1"/>
  <c r="I320" i="1" s="1"/>
  <c r="F320" i="1"/>
  <c r="H319" i="1"/>
  <c r="I319" i="1" s="1"/>
  <c r="F319" i="1"/>
  <c r="H318" i="1"/>
  <c r="I318" i="1" s="1"/>
  <c r="F318" i="1"/>
  <c r="H317" i="1"/>
  <c r="I317" i="1" s="1"/>
  <c r="J317" i="1" s="1"/>
  <c r="J318" i="1" s="1"/>
  <c r="F317" i="1"/>
  <c r="I308" i="1"/>
  <c r="J308" i="1" s="1"/>
  <c r="I307" i="1"/>
  <c r="J307" i="1" s="1"/>
  <c r="M307" i="1" s="1"/>
  <c r="N307" i="1" s="1"/>
  <c r="I306" i="1"/>
  <c r="J306" i="1" s="1"/>
  <c r="I305" i="1"/>
  <c r="J305" i="1" s="1"/>
  <c r="M305" i="1" s="1"/>
  <c r="N305" i="1" s="1"/>
  <c r="I304" i="1"/>
  <c r="J304" i="1" s="1"/>
  <c r="J303" i="1"/>
  <c r="M303" i="1" s="1"/>
  <c r="N303" i="1" s="1"/>
  <c r="I303" i="1"/>
  <c r="N302" i="1"/>
  <c r="O302" i="1" s="1"/>
  <c r="O303" i="1" s="1"/>
  <c r="I302" i="1"/>
  <c r="J302" i="1" s="1"/>
  <c r="K302" i="1" s="1"/>
  <c r="H292" i="1"/>
  <c r="I292" i="1" s="1"/>
  <c r="F292" i="1"/>
  <c r="H291" i="1"/>
  <c r="I291" i="1" s="1"/>
  <c r="F291" i="1"/>
  <c r="H290" i="1"/>
  <c r="I290" i="1" s="1"/>
  <c r="F290" i="1"/>
  <c r="H289" i="1"/>
  <c r="I289" i="1" s="1"/>
  <c r="F289" i="1"/>
  <c r="H288" i="1"/>
  <c r="I288" i="1" s="1"/>
  <c r="F288" i="1"/>
  <c r="H287" i="1"/>
  <c r="I287" i="1" s="1"/>
  <c r="F287" i="1"/>
  <c r="H286" i="1"/>
  <c r="I286" i="1" s="1"/>
  <c r="F286" i="1"/>
  <c r="H285" i="1"/>
  <c r="I285" i="1" s="1"/>
  <c r="F285" i="1"/>
  <c r="H284" i="1"/>
  <c r="I284" i="1" s="1"/>
  <c r="F284" i="1"/>
  <c r="H283" i="1"/>
  <c r="I283" i="1" s="1"/>
  <c r="J283" i="1" s="1"/>
  <c r="F283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I266" i="1"/>
  <c r="H266" i="1"/>
  <c r="F266" i="1"/>
  <c r="H265" i="1"/>
  <c r="I265" i="1" s="1"/>
  <c r="F265" i="1"/>
  <c r="H264" i="1"/>
  <c r="I264" i="1" s="1"/>
  <c r="F264" i="1"/>
  <c r="H263" i="1"/>
  <c r="I263" i="1" s="1"/>
  <c r="J263" i="1" s="1"/>
  <c r="J264" i="1" s="1"/>
  <c r="F263" i="1"/>
  <c r="H248" i="1"/>
  <c r="I248" i="1" s="1"/>
  <c r="F248" i="1"/>
  <c r="H247" i="1"/>
  <c r="I247" i="1" s="1"/>
  <c r="F247" i="1"/>
  <c r="H246" i="1"/>
  <c r="I246" i="1" s="1"/>
  <c r="F246" i="1"/>
  <c r="H245" i="1"/>
  <c r="I245" i="1" s="1"/>
  <c r="F245" i="1"/>
  <c r="H244" i="1"/>
  <c r="I244" i="1" s="1"/>
  <c r="F244" i="1"/>
  <c r="H243" i="1"/>
  <c r="I243" i="1" s="1"/>
  <c r="J243" i="1" s="1"/>
  <c r="J244" i="1" s="1"/>
  <c r="F243" i="1"/>
  <c r="H234" i="1"/>
  <c r="I234" i="1" s="1"/>
  <c r="F234" i="1"/>
  <c r="H233" i="1"/>
  <c r="I233" i="1" s="1"/>
  <c r="J233" i="1" s="1"/>
  <c r="F233" i="1"/>
  <c r="I223" i="1"/>
  <c r="J223" i="1" s="1"/>
  <c r="I222" i="1"/>
  <c r="J222" i="1" s="1"/>
  <c r="H216" i="1"/>
  <c r="I216" i="1" s="1"/>
  <c r="F216" i="1"/>
  <c r="H215" i="1"/>
  <c r="I215" i="1" s="1"/>
  <c r="F215" i="1"/>
  <c r="H214" i="1"/>
  <c r="I214" i="1" s="1"/>
  <c r="J214" i="1" s="1"/>
  <c r="J215" i="1" s="1"/>
  <c r="F214" i="1"/>
  <c r="H206" i="1"/>
  <c r="I206" i="1" s="1"/>
  <c r="F206" i="1"/>
  <c r="H205" i="1"/>
  <c r="I205" i="1" s="1"/>
  <c r="F205" i="1"/>
  <c r="H204" i="1"/>
  <c r="I204" i="1" s="1"/>
  <c r="F204" i="1"/>
  <c r="H203" i="1"/>
  <c r="I203" i="1" s="1"/>
  <c r="F203" i="1"/>
  <c r="H202" i="1"/>
  <c r="I202" i="1" s="1"/>
  <c r="F202" i="1"/>
  <c r="H201" i="1"/>
  <c r="I201" i="1" s="1"/>
  <c r="F201" i="1"/>
  <c r="H200" i="1"/>
  <c r="I200" i="1" s="1"/>
  <c r="F200" i="1"/>
  <c r="H199" i="1"/>
  <c r="I199" i="1" s="1"/>
  <c r="F199" i="1"/>
  <c r="H198" i="1"/>
  <c r="I198" i="1" s="1"/>
  <c r="F198" i="1"/>
  <c r="H197" i="1"/>
  <c r="I197" i="1" s="1"/>
  <c r="F197" i="1"/>
  <c r="H196" i="1"/>
  <c r="I196" i="1" s="1"/>
  <c r="F196" i="1"/>
  <c r="H195" i="1"/>
  <c r="I195" i="1" s="1"/>
  <c r="F195" i="1"/>
  <c r="I194" i="1"/>
  <c r="H194" i="1"/>
  <c r="F194" i="1"/>
  <c r="H193" i="1"/>
  <c r="I193" i="1" s="1"/>
  <c r="F193" i="1"/>
  <c r="H192" i="1"/>
  <c r="I192" i="1" s="1"/>
  <c r="F192" i="1"/>
  <c r="H191" i="1"/>
  <c r="I191" i="1" s="1"/>
  <c r="F191" i="1"/>
  <c r="H190" i="1"/>
  <c r="I190" i="1" s="1"/>
  <c r="F190" i="1"/>
  <c r="H189" i="1"/>
  <c r="I189" i="1" s="1"/>
  <c r="F189" i="1"/>
  <c r="H188" i="1"/>
  <c r="I188" i="1" s="1"/>
  <c r="F188" i="1"/>
  <c r="H187" i="1"/>
  <c r="I187" i="1" s="1"/>
  <c r="F187" i="1"/>
  <c r="H186" i="1"/>
  <c r="I186" i="1" s="1"/>
  <c r="F186" i="1"/>
  <c r="H185" i="1"/>
  <c r="I185" i="1" s="1"/>
  <c r="J185" i="1" s="1"/>
  <c r="J186" i="1" s="1"/>
  <c r="J187" i="1" s="1"/>
  <c r="J188" i="1" s="1"/>
  <c r="J189" i="1" s="1"/>
  <c r="F185" i="1"/>
  <c r="G129" i="2"/>
  <c r="G128" i="2"/>
  <c r="G127" i="2"/>
  <c r="I179" i="1"/>
  <c r="J179" i="1" s="1"/>
  <c r="I178" i="1"/>
  <c r="J178" i="1" s="1"/>
  <c r="M178" i="1" s="1"/>
  <c r="N178" i="1" s="1"/>
  <c r="O178" i="1" s="1"/>
  <c r="H171" i="1"/>
  <c r="I171" i="1" s="1"/>
  <c r="F171" i="1"/>
  <c r="H170" i="1"/>
  <c r="I170" i="1" s="1"/>
  <c r="F170" i="1"/>
  <c r="H169" i="1"/>
  <c r="I169" i="1" s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H129" i="1"/>
  <c r="I129" i="1" s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H121" i="1"/>
  <c r="I121" i="1" s="1"/>
  <c r="F121" i="1"/>
  <c r="H120" i="1"/>
  <c r="I120" i="1" s="1"/>
  <c r="F120" i="1"/>
  <c r="H119" i="1"/>
  <c r="I119" i="1" s="1"/>
  <c r="J119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H85" i="1"/>
  <c r="I85" i="1" s="1"/>
  <c r="F85" i="1"/>
  <c r="H84" i="1"/>
  <c r="I84" i="1" s="1"/>
  <c r="F84" i="1"/>
  <c r="H83" i="1"/>
  <c r="I83" i="1" s="1"/>
  <c r="F83" i="1"/>
  <c r="H82" i="1"/>
  <c r="I82" i="1" s="1"/>
  <c r="J82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J862" i="1" l="1"/>
  <c r="J863" i="1" s="1"/>
  <c r="J864" i="1" s="1"/>
  <c r="J865" i="1" s="1"/>
  <c r="J866" i="1" s="1"/>
  <c r="J867" i="1" s="1"/>
  <c r="J842" i="1"/>
  <c r="J843" i="1" s="1"/>
  <c r="J844" i="1" s="1"/>
  <c r="J845" i="1" s="1"/>
  <c r="J846" i="1" s="1"/>
  <c r="J847" i="1" s="1"/>
  <c r="J848" i="1" s="1"/>
  <c r="J760" i="1"/>
  <c r="J761" i="1" s="1"/>
  <c r="J762" i="1" s="1"/>
  <c r="J550" i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641" i="1"/>
  <c r="J642" i="1" s="1"/>
  <c r="J643" i="1" s="1"/>
  <c r="J644" i="1" s="1"/>
  <c r="J645" i="1" s="1"/>
  <c r="J646" i="1" s="1"/>
  <c r="J775" i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629" i="1"/>
  <c r="J630" i="1" s="1"/>
  <c r="J631" i="1" s="1"/>
  <c r="J692" i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673" i="1"/>
  <c r="J674" i="1" s="1"/>
  <c r="J675" i="1" s="1"/>
  <c r="J676" i="1" s="1"/>
  <c r="J677" i="1" s="1"/>
  <c r="J678" i="1" s="1"/>
  <c r="J679" i="1" s="1"/>
  <c r="J680" i="1" s="1"/>
  <c r="J681" i="1" s="1"/>
  <c r="J529" i="1"/>
  <c r="J530" i="1" s="1"/>
  <c r="J531" i="1" s="1"/>
  <c r="J532" i="1" s="1"/>
  <c r="J533" i="1" s="1"/>
  <c r="J534" i="1" s="1"/>
  <c r="J535" i="1" s="1"/>
  <c r="J536" i="1" s="1"/>
  <c r="J571" i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800" i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K351" i="1"/>
  <c r="M351" i="1"/>
  <c r="N351" i="1" s="1"/>
  <c r="M335" i="1"/>
  <c r="N335" i="1" s="1"/>
  <c r="K335" i="1"/>
  <c r="M341" i="1"/>
  <c r="N341" i="1" s="1"/>
  <c r="K341" i="1"/>
  <c r="M343" i="1"/>
  <c r="N343" i="1" s="1"/>
  <c r="K343" i="1"/>
  <c r="M345" i="1"/>
  <c r="N345" i="1" s="1"/>
  <c r="K345" i="1"/>
  <c r="M337" i="1"/>
  <c r="N337" i="1" s="1"/>
  <c r="K337" i="1"/>
  <c r="K347" i="1"/>
  <c r="M347" i="1"/>
  <c r="N347" i="1" s="1"/>
  <c r="M339" i="1"/>
  <c r="N339" i="1" s="1"/>
  <c r="K339" i="1"/>
  <c r="M349" i="1"/>
  <c r="N349" i="1" s="1"/>
  <c r="K349" i="1"/>
  <c r="O335" i="1"/>
  <c r="O336" i="1" s="1"/>
  <c r="J190" i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161" i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21" i="1"/>
  <c r="J22" i="1" s="1"/>
  <c r="J23" i="1" s="1"/>
  <c r="J24" i="1" s="1"/>
  <c r="J25" i="1" s="1"/>
  <c r="J26" i="1" s="1"/>
  <c r="J27" i="1" s="1"/>
  <c r="J28" i="1" s="1"/>
  <c r="J29" i="1" s="1"/>
  <c r="J319" i="1"/>
  <c r="J320" i="1" s="1"/>
  <c r="J321" i="1" s="1"/>
  <c r="J322" i="1" s="1"/>
  <c r="J323" i="1" s="1"/>
  <c r="J324" i="1" s="1"/>
  <c r="J325" i="1" s="1"/>
  <c r="J216" i="1"/>
  <c r="K179" i="1"/>
  <c r="M179" i="1"/>
  <c r="N179" i="1" s="1"/>
  <c r="O179" i="1"/>
  <c r="J245" i="1"/>
  <c r="J246" i="1" s="1"/>
  <c r="J247" i="1" s="1"/>
  <c r="J248" i="1" s="1"/>
  <c r="J83" i="1"/>
  <c r="J84" i="1" s="1"/>
  <c r="J85" i="1" s="1"/>
  <c r="J86" i="1" s="1"/>
  <c r="J120" i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265" i="1"/>
  <c r="J266" i="1" s="1"/>
  <c r="J267" i="1" s="1"/>
  <c r="J268" i="1" s="1"/>
  <c r="J269" i="1" s="1"/>
  <c r="J270" i="1" s="1"/>
  <c r="J271" i="1" s="1"/>
  <c r="J272" i="1" s="1"/>
  <c r="J273" i="1" s="1"/>
  <c r="J274" i="1" s="1"/>
  <c r="J234" i="1"/>
  <c r="J363" i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M308" i="1"/>
  <c r="N308" i="1" s="1"/>
  <c r="K308" i="1"/>
  <c r="M304" i="1"/>
  <c r="N304" i="1" s="1"/>
  <c r="O304" i="1" s="1"/>
  <c r="O305" i="1" s="1"/>
  <c r="O306" i="1" s="1"/>
  <c r="O307" i="1" s="1"/>
  <c r="K304" i="1"/>
  <c r="M222" i="1"/>
  <c r="N222" i="1" s="1"/>
  <c r="O222" i="1" s="1"/>
  <c r="K222" i="1"/>
  <c r="M223" i="1"/>
  <c r="N223" i="1" s="1"/>
  <c r="K223" i="1"/>
  <c r="J284" i="1"/>
  <c r="J285" i="1" s="1"/>
  <c r="J286" i="1" s="1"/>
  <c r="J287" i="1" s="1"/>
  <c r="J288" i="1" s="1"/>
  <c r="J289" i="1" s="1"/>
  <c r="J290" i="1" s="1"/>
  <c r="J291" i="1" s="1"/>
  <c r="J292" i="1" s="1"/>
  <c r="M306" i="1"/>
  <c r="N306" i="1" s="1"/>
  <c r="K306" i="1"/>
  <c r="K352" i="1"/>
  <c r="K303" i="1"/>
  <c r="K305" i="1"/>
  <c r="K307" i="1"/>
  <c r="K334" i="1"/>
  <c r="K336" i="1"/>
  <c r="K338" i="1"/>
  <c r="K340" i="1"/>
  <c r="K342" i="1"/>
  <c r="K344" i="1"/>
  <c r="K346" i="1"/>
  <c r="K348" i="1"/>
  <c r="K350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37" i="1"/>
  <c r="J38" i="1" s="1"/>
  <c r="J39" i="1" s="1"/>
  <c r="J40" i="1" s="1"/>
  <c r="J41" i="1" s="1"/>
  <c r="J42" i="1" s="1"/>
  <c r="J43" i="1" s="1"/>
  <c r="J44" i="1" s="1"/>
  <c r="O337" i="1" l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08" i="1"/>
  <c r="O223" i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<sst xmlns="http://schemas.openxmlformats.org/spreadsheetml/2006/main" count="1404" uniqueCount="420">
  <si>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</si>
  <si>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</si>
  <si>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</si>
  <si>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</si>
  <si>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</si>
  <si>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</si>
  <si>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</si>
  <si>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</si>
  <si>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</si>
  <si>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</si>
  <si>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</si>
  <si>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</si>
  <si>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</si>
  <si>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</si>
  <si>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</si>
  <si>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</si>
  <si>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</si>
  <si>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</si>
  <si>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</si>
  <si>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</si>
  <si>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</si>
  <si>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</si>
  <si>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</si>
  <si>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</si>
  <si>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</si>
  <si>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</si>
  <si>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</si>
  <si>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</si>
  <si>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</si>
  <si>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</si>
  <si>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</si>
  <si>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</si>
  <si>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</si>
  <si>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</si>
  <si>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</si>
  <si>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</si>
  <si>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</si>
  <si>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</si>
  <si>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</si>
  <si>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</si>
  <si>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</si>
  <si>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</si>
  <si>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</si>
  <si>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</si>
  <si>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</si>
  <si>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</si>
  <si>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</si>
  <si>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</si>
  <si>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</si>
  <si>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</si>
  <si>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</si>
  <si>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</si>
  <si>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</si>
  <si>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</si>
  <si>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</si>
  <si>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</si>
  <si>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</si>
  <si>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</si>
  <si>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</si>
  <si>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</si>
  <si>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</si>
  <si>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</si>
  <si>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</si>
  <si>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</si>
  <si>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</si>
  <si>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</si>
  <si>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</si>
  <si>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</si>
  <si>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</si>
  <si>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</si>
  <si>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</si>
  <si>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</si>
  <si>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</si>
  <si>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</si>
  <si>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</si>
  <si>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</si>
  <si>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</si>
  <si>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</si>
  <si>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</si>
  <si>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</si>
  <si>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</si>
  <si>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</si>
  <si>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</si>
  <si>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</si>
  <si>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</si>
  <si>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</si>
  <si>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</si>
  <si>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</si>
  <si>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</si>
  <si>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</si>
  <si>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</si>
  <si>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</si>
  <si>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</si>
  <si>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</si>
  <si>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</si>
  <si>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</si>
  <si>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</si>
  <si>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</si>
  <si>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</si>
  <si>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</si>
  <si>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</si>
  <si>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</si>
  <si>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</si>
  <si>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</si>
  <si>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</si>
  <si>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</si>
  <si>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</si>
  <si>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</si>
  <si>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</si>
  <si>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</si>
  <si>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</si>
  <si>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</si>
  <si>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</si>
  <si>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</si>
  <si>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</si>
  <si>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</si>
  <si>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</si>
  <si>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</si>
  <si>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</si>
  <si>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</si>
  <si>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</si>
  <si>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</si>
  <si>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</si>
  <si>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</si>
  <si>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</si>
  <si>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</si>
  <si>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</si>
  <si>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</si>
  <si>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</si>
  <si>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</si>
  <si>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</si>
  <si>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</si>
  <si>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</si>
  <si>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</si>
  <si>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</si>
  <si>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</si>
  <si>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</si>
  <si>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</si>
  <si>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</si>
  <si>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</si>
  <si>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</si>
  <si>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</si>
  <si>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</si>
  <si>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</si>
  <si>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</si>
  <si>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</si>
  <si>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</si>
  <si>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</si>
  <si>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</si>
  <si>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</si>
  <si>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</si>
  <si>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</si>
  <si>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</si>
  <si>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</si>
  <si>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</si>
  <si>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</si>
  <si>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</si>
  <si>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</si>
  <si>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</si>
  <si>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</si>
  <si>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</si>
  <si>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</si>
  <si>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</si>
  <si>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</si>
  <si>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</si>
  <si>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</si>
  <si>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</si>
  <si>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</si>
  <si>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</si>
  <si>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</si>
  <si>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</si>
  <si>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</si>
  <si>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</si>
  <si>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</si>
  <si>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</si>
  <si>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</si>
  <si>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</si>
  <si>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</si>
  <si>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</si>
  <si>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</si>
  <si>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</si>
  <si>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</si>
  <si>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</si>
  <si>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</si>
  <si>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</si>
  <si>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</si>
  <si>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PS5 Disc Bundle Adil Bhai      (only 02 Received kiye hen)</t>
  </si>
  <si>
    <t>Starlink Mini  Abdul Khan              (03 Recived kar liye hen)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</si>
  <si>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</si>
  <si>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</si>
  <si>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</si>
  <si>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</si>
  <si>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</si>
  <si>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</si>
  <si>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</si>
  <si>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</si>
  <si>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</si>
  <si>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</si>
  <si>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</si>
  <si>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</si>
  <si>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</si>
  <si>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</si>
  <si>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</si>
  <si>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</si>
  <si>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</si>
  <si>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</si>
  <si>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</si>
  <si>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</si>
  <si>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</si>
  <si>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</si>
  <si>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</si>
  <si>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</si>
  <si>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</si>
  <si>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</si>
  <si>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</si>
  <si>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</si>
  <si>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</si>
  <si>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</si>
  <si>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</si>
  <si>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</si>
  <si>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</si>
  <si>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</si>
  <si>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</si>
  <si>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</si>
  <si>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</si>
  <si>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</si>
  <si>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</si>
  <si>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</si>
  <si>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</si>
  <si>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</si>
  <si>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</si>
  <si>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</si>
  <si>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</si>
  <si>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</si>
  <si>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</si>
  <si>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</si>
  <si>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</si>
  <si>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</si>
  <si>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</si>
  <si>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</si>
  <si>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</si>
  <si>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</si>
  <si>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</si>
  <si>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</si>
  <si>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</si>
  <si>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</si>
  <si>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</si>
  <si>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</si>
  <si>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</si>
  <si>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</si>
  <si>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</si>
  <si>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</si>
  <si>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</si>
  <si>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</si>
  <si>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</si>
  <si>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</si>
  <si>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</si>
  <si>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</si>
  <si>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</si>
  <si>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</si>
  <si>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</si>
  <si>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</si>
  <si>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</si>
  <si>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</si>
  <si>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</si>
  <si>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</si>
  <si>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</si>
  <si>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</si>
  <si>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</si>
  <si>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</si>
  <si>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</si>
  <si>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</si>
  <si>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</si>
  <si>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</si>
  <si>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</si>
  <si>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</si>
  <si>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</si>
  <si>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</si>
  <si>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</si>
  <si>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</si>
  <si>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</si>
  <si>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</si>
  <si>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Goldmonster 2000 Jacobs Digital Pending Delivery</t>
  </si>
  <si>
    <t>G7X Mark III Black Photogear Online</t>
  </si>
  <si>
    <t>G7X Mark III Black Photo Warehouse Pending Delivery</t>
  </si>
  <si>
    <t>Instax Mini 13 Noel Leeming Online Pending Delivery</t>
  </si>
  <si>
    <t>G7X Mark III Black Photogear Online Pending Delivery</t>
  </si>
  <si>
    <t>Instax Mini 13 Abdul Khan</t>
  </si>
  <si>
    <t>Minelab GPZ 8000Jacobs Digital Pending Delivery</t>
  </si>
  <si>
    <t>Minelab 1000  Jacobs Digital Pending Delivery</t>
  </si>
  <si>
    <t>G7X MakIII Silver Photogear Online Pending Delivery</t>
  </si>
  <si>
    <t>Collection Commision Abdul Khan</t>
  </si>
  <si>
    <t>Minelab 1000 Anaconda Chullora</t>
  </si>
  <si>
    <t>Minelab 1000 BCF Online Pending Delivery</t>
  </si>
  <si>
    <t>Macbook Pro M5 16/512 JBHIFI Homebush</t>
  </si>
  <si>
    <t>Starlink Standard Kit JBHIFI Homebush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</si>
  <si>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</si>
  <si>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</si>
  <si>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</si>
  <si>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</si>
  <si>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</si>
  <si>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</si>
  <si>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</si>
  <si>
    <t>Pending 2</t>
  </si>
  <si>
    <t>1 Refund</t>
  </si>
  <si>
    <t>Minelab GPZ 8000 Jacobs Digital Pending Delivery</t>
  </si>
  <si>
    <t>Instax Mini 13 Noel Leeming Pending Delivery</t>
  </si>
  <si>
    <t>G7X MakIII Silver Photo Warehouse Pending Delivery</t>
  </si>
  <si>
    <t>Instax Mini 13 Abdul Khan Pending Delivery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</si>
  <si>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</si>
  <si>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</si>
  <si>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</si>
  <si>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</si>
  <si>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</si>
  <si>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</si>
  <si>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</si>
  <si>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Shipping Charges  CT Freight Sydney Paid</t>
  </si>
  <si>
    <t>Instax mini 13 JBHIFI Roselands</t>
  </si>
  <si>
    <t>Meta Gen 2 Transitions JBHIFI Roselands</t>
  </si>
  <si>
    <t>Instax mini 13 JBHIFI Parramatta</t>
  </si>
  <si>
    <t>G7X Mark III Silver JBHIFI Parramatta</t>
  </si>
  <si>
    <t>Macbook Pro M5 16/512 JBHIFI Castle Hills</t>
  </si>
  <si>
    <t>Storage Charges Storage King Sydney</t>
  </si>
  <si>
    <t>Australia Melbourne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</si>
  <si>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</si>
  <si>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</si>
  <si>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</si>
  <si>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</si>
  <si>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</si>
  <si>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</si>
  <si>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</si>
  <si>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</si>
  <si>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Minelab Gold Monster 1000 Anaconda Springvale</t>
  </si>
  <si>
    <t>Minelab Gold Monster 1000 Anaconda Bayswater</t>
  </si>
  <si>
    <t>Minelab Gold Monster 1000 Anaconda Narre Warren</t>
  </si>
  <si>
    <t>Starlink Standard Kit v4 Bunnings Moorabbin</t>
  </si>
  <si>
    <t>Google TV Streamer 4K JB Hifi Springvale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</si>
  <si>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</si>
  <si>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</si>
  <si>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</si>
  <si>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</si>
  <si>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Starlink Standard Kit v4 Bunnings Bayswater</t>
  </si>
  <si>
    <t>Starlink Standard Kit v4 Bunnings Rosebud</t>
  </si>
  <si>
    <t>Fuel Shell Noble Park Expanse</t>
  </si>
  <si>
    <t>Fuel Shell Elwood Expanse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</si>
  <si>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</si>
  <si>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</si>
  <si>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</si>
  <si>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</si>
  <si>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</si>
  <si>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Minelab Gold Monster 1000 BCF Online</t>
  </si>
  <si>
    <t>Minelab Gold Monster 1000 Anaconda Online</t>
  </si>
  <si>
    <t>Petrol Shell Preston Expanse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</si>
  <si>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</si>
  <si>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</si>
  <si>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</si>
  <si>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</si>
  <si>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</si>
  <si>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</si>
  <si>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Minelab 1000 Multiple Stores Adil Bhai</t>
  </si>
  <si>
    <t>Collection Charges Adil bhai</t>
  </si>
  <si>
    <t>Starlink Standard Kit Bunnings East Packenham Melbourne</t>
  </si>
  <si>
    <t>Minelab Gold Monster 1000</t>
  </si>
  <si>
    <t>Minelab Gold Monster 1000 BCF Altona</t>
  </si>
  <si>
    <t>Minelab Gold Monster 1000 BCF Hoppers Crossing</t>
  </si>
  <si>
    <t>Macbook 14" SB 512 GB m5 JB Hifi Werribee Plaza</t>
  </si>
  <si>
    <t>INSTAX Mini 13 INST Cam Office Works Epping</t>
  </si>
  <si>
    <t>INSTAX Mini 13 INST Cam Office Works Preston</t>
  </si>
  <si>
    <t>INSTAX Mini 13 INST Cam Office Works Bundoora</t>
  </si>
  <si>
    <t>Fuel BP Merrifield Expanse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</si>
  <si>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</si>
  <si>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</si>
  <si>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</si>
  <si>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</si>
  <si>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Minelab Gold Monster 1000 BCF Preston</t>
  </si>
  <si>
    <t>INSTAX Mini 13 INST Cam JB Hifi Preston</t>
  </si>
  <si>
    <t>Macbook 14" S 512 GB m5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</si>
  <si>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</si>
  <si>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</si>
  <si>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</si>
  <si>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</si>
  <si>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</si>
  <si>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</si>
  <si>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</si>
  <si>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</si>
  <si>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INSTAX Mini 13 INST Cam JB Hifi Northlands</t>
  </si>
  <si>
    <t>Australia Perth</t>
  </si>
  <si>
    <t>Minelab 1000</t>
  </si>
  <si>
    <t>Starlink Standard Kit v4</t>
  </si>
  <si>
    <t>19/06/2026 07 Received</t>
  </si>
  <si>
    <t>Pending 01</t>
  </si>
  <si>
    <t>pending 7</t>
  </si>
  <si>
    <t>Goldmonster 2000 Jacobs Digital</t>
  </si>
  <si>
    <t>Collection and delivery Commision Abdul Khan</t>
  </si>
  <si>
    <t>Instax mini 13 Good Guys Commercial</t>
  </si>
  <si>
    <t>Storage Charges Storage King Perth</t>
  </si>
  <si>
    <t>Shipping Charges  CT Freight Melbourne</t>
  </si>
  <si>
    <t>Van Hire and Petrol  Anis Car Rental</t>
  </si>
  <si>
    <t>Pending  01</t>
  </si>
  <si>
    <t>Pending  09</t>
  </si>
  <si>
    <t>Starlink Standard Kit v4 Bunnings Harrisdale</t>
  </si>
  <si>
    <t>Starlink Standard Kit v4 Bunnings Melville</t>
  </si>
  <si>
    <t>Starlink Standard Kit v4 Bunnings Bibra Lake</t>
  </si>
  <si>
    <t>Minelab 1000 Anaconda Cannington</t>
  </si>
  <si>
    <t>Macbook Pro M5 14inch 16GB-512GB JB-HI-FI Belmont</t>
  </si>
  <si>
    <t>Minelab 1000 BCF Joondalup</t>
  </si>
  <si>
    <t>Minelab 1000 BCF Balcatta</t>
  </si>
  <si>
    <t>Minelab 1000 Anaconda Innaldo</t>
  </si>
  <si>
    <t>Minelab 1000 Anaconda</t>
  </si>
  <si>
    <t>INSTAX Mini 13 INST Cam Officeworks Ellenbrook</t>
  </si>
  <si>
    <t>INSTAX Mini 13 INST Cam Officeworks Perth Cbd</t>
  </si>
  <si>
    <t>Macbook Pro M5 14inch 16GB-512GB JB-HI-FI Kaminyup</t>
  </si>
  <si>
    <t>INSTAX Mini 13 INST Cam JB-HI-FI Scarborough</t>
  </si>
  <si>
    <t>INSTAX Mini 13 INST Cam Harvey Norman AV/IT</t>
  </si>
  <si>
    <t>INSTAX Mini 13 INST Cam JB-HI-FI Garden City</t>
  </si>
  <si>
    <t>Minelab 1000 Anaconda Melville</t>
  </si>
  <si>
    <t>INSTAX Mini 13 INST Cam JB-HI-FI Claremont</t>
  </si>
  <si>
    <t>Macbook Pro M5 14inch 16GB-512GB JB-HI-FI Claremont</t>
  </si>
  <si>
    <t>Macbook Pro M5 14inch 16GB-512GB JB-HI-FI Cockburn</t>
  </si>
  <si>
    <t>INSTAX Mini 13 INST Cam Officeworks Victoria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</si>
</sst>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s&quot;* #,##0.00_-;\-&quot;Rs&quot;* #,##0.00_-;_-&quot;Rs&quot;* &quot;-&quot;??_-;_-@_-"/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11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7"/>
      <color rgb="FF4F93D2"/>
      <name val="Arial"/>
      <family val="2"/>
    </font>
    <font>
      <sz val="11"/>
      <color rgb="FF434343"/>
      <name val="Roboto"/>
    </font>
    <font>
      <sz val="11"/>
      <color rgb="FF434343"/>
      <name val="Arial"/>
      <family val="2"/>
    </font>
    <font>
      <sz val="10"/>
      <color rgb="FF434343"/>
      <name val="Roboto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6" fontId="0" fillId="10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0" fontId="4" fillId="0" borderId="5" xfId="0" applyFont="1" applyBorder="1" applyAlignment="1">
      <alignment wrapText="1"/>
    </xf>
    <xf numFmtId="2" fontId="0" fillId="0" borderId="1" xfId="1" applyNumberFormat="1" applyFont="1" applyBorder="1"/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1" fontId="4" fillId="4" borderId="8" xfId="0" applyNumberFormat="1" applyFont="1" applyFill="1" applyBorder="1" applyAlignment="1">
      <alignment horizontal="center" wrapText="1"/>
    </xf>
    <xf numFmtId="2" fontId="0" fillId="4" borderId="1" xfId="1" applyNumberFormat="1" applyFont="1" applyFill="1" applyBorder="1"/>
    <xf numFmtId="0" fontId="4" fillId="4" borderId="4" xfId="0" applyFont="1" applyFill="1" applyBorder="1" applyAlignment="1">
      <alignment wrapText="1"/>
    </xf>
    <xf numFmtId="1" fontId="4" fillId="4" borderId="5" xfId="0" applyNumberFormat="1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2" fontId="0" fillId="0" borderId="0" xfId="0" applyNumberFormat="1"/>
    <xf numFmtId="2" fontId="0" fillId="4" borderId="1" xfId="0" applyNumberFormat="1" applyFill="1" applyBorder="1"/>
    <xf numFmtId="2" fontId="2" fillId="0" borderId="0" xfId="0" applyNumberFormat="1" applyFont="1"/>
    <xf numFmtId="0" fontId="7" fillId="0" borderId="0" xfId="0" applyFont="1"/>
    <xf numFmtId="0" fontId="0" fillId="11" borderId="1" xfId="0" applyFill="1" applyBorder="1"/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16" fontId="0" fillId="0" borderId="0" xfId="0" applyNumberFormat="1"/>
    <xf numFmtId="165" fontId="0" fillId="0" borderId="0" xfId="0" applyNumberFormat="1"/>
    <xf numFmtId="0" fontId="0" fillId="4" borderId="12" xfId="0" applyFill="1" applyBorder="1"/>
    <xf numFmtId="16" fontId="0" fillId="12" borderId="1" xfId="0" applyNumberFormat="1" applyFill="1" applyBorder="1"/>
    <xf numFmtId="0" fontId="0" fillId="12" borderId="1" xfId="0" applyFill="1" applyBorder="1"/>
    <xf numFmtId="168" fontId="0" fillId="12" borderId="1" xfId="0" applyNumberFormat="1" applyFill="1" applyBorder="1"/>
    <xf numFmtId="0" fontId="0" fillId="12" borderId="1" xfId="0" applyFill="1" applyBorder="1" applyAlignment="1">
      <alignment horizontal="center"/>
    </xf>
    <xf numFmtId="15" fontId="0" fillId="4" borderId="1" xfId="0" applyNumberFormat="1" applyFill="1" applyBorder="1" applyAlignment="1">
      <alignment horizontal="right"/>
    </xf>
    <xf numFmtId="16" fontId="0" fillId="4" borderId="13" xfId="0" applyNumberFormat="1" applyFill="1" applyBorder="1"/>
    <xf numFmtId="0" fontId="0" fillId="0" borderId="1" xfId="0" applyBorder="1" applyAlignment="1">
      <alignment horizontal="right"/>
    </xf>
    <xf numFmtId="0" fontId="0" fillId="4" borderId="13" xfId="0" applyFill="1" applyBorder="1"/>
    <xf numFmtId="168" fontId="0" fillId="4" borderId="13" xfId="0" applyNumberFormat="1" applyFill="1" applyBorder="1"/>
    <xf numFmtId="0" fontId="0" fillId="13" borderId="1" xfId="0" applyFill="1" applyBorder="1"/>
    <xf numFmtId="168" fontId="0" fillId="13" borderId="1" xfId="0" applyNumberFormat="1" applyFill="1" applyBorder="1"/>
    <xf numFmtId="0" fontId="0" fillId="13" borderId="1" xfId="0" applyFill="1" applyBorder="1" applyAlignment="1">
      <alignment horizontal="center"/>
    </xf>
    <xf numFmtId="16" fontId="0" fillId="13" borderId="1" xfId="0" applyNumberFormat="1" applyFill="1" applyBorder="1"/>
    <xf numFmtId="2" fontId="0" fillId="0" borderId="1" xfId="0" applyNumberFormat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10" fillId="4" borderId="1" xfId="0" applyNumberFormat="1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4" fontId="9" fillId="6" borderId="1" xfId="0" applyNumberFormat="1" applyFont="1" applyFill="1" applyBorder="1"/>
    <xf numFmtId="0" fontId="9" fillId="6" borderId="14" xfId="0" applyFont="1" applyFill="1" applyBorder="1"/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vertical="center" wrapText="1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10" fillId="6" borderId="1" xfId="0" applyFont="1" applyFill="1" applyBorder="1" applyAlignment="1">
      <alignment horizontal="right" vertical="center" wrapText="1"/>
    </xf>
    <xf numFmtId="14" fontId="10" fillId="6" borderId="1" xfId="0" applyNumberFormat="1" applyFont="1" applyFill="1" applyBorder="1"/>
    <xf numFmtId="0" fontId="10" fillId="6" borderId="1" xfId="0" applyFont="1" applyFill="1" applyBorder="1"/>
    <xf numFmtId="0" fontId="0" fillId="6" borderId="3" xfId="0" applyFill="1" applyBorder="1" applyAlignment="1">
      <alignment horizontal="right"/>
    </xf>
    <xf numFmtId="0" fontId="10" fillId="6" borderId="0" xfId="0" applyFont="1" applyFill="1"/>
    <xf numFmtId="14" fontId="10" fillId="6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0" fillId="4" borderId="1" xfId="0" applyNumberFormat="1" applyFill="1" applyBorder="1" applyAlignment="1">
      <alignment horizontal="center"/>
    </xf>
    <xf numFmtId="14" fontId="8" fillId="4" borderId="1" xfId="0" applyNumberFormat="1" applyFont="1" applyFill="1" applyBorder="1" applyAlignment="1">
      <alignment vertical="center" wrapText="1"/>
    </xf>
    <xf numFmtId="0" fontId="8" fillId="4" borderId="14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right" vertical="center" wrapText="1"/>
    </xf>
    <xf numFmtId="168" fontId="0" fillId="4" borderId="1" xfId="0" applyNumberFormat="1" applyFill="1" applyBorder="1" applyAlignment="1">
      <alignment horizontal="center"/>
    </xf>
    <xf numFmtId="16" fontId="0" fillId="4" borderId="3" xfId="0" applyNumberFormat="1" applyFill="1" applyBorder="1"/>
    <xf numFmtId="0" fontId="0" fillId="4" borderId="3" xfId="0" applyFill="1" applyBorder="1"/>
    <xf numFmtId="168" fontId="0" fillId="4" borderId="3" xfId="0" applyNumberFormat="1" applyFill="1" applyBorder="1"/>
    <xf numFmtId="0" fontId="0" fillId="4" borderId="3" xfId="0" applyFill="1" applyBorder="1" applyAlignment="1">
      <alignment horizontal="center"/>
    </xf>
    <xf numFmtId="168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4" fontId="10" fillId="4" borderId="1" xfId="0" applyNumberFormat="1" applyFont="1" applyFill="1" applyBorder="1" applyAlignment="1">
      <alignment horizontal="center" vertical="center" wrapText="1"/>
    </xf>
    <xf numFmtId="0" fontId="0" fillId="6" borderId="12" xfId="0" applyFill="1" applyBorder="1"/>
    <xf numFmtId="0" fontId="0" fillId="0" borderId="3" xfId="0" applyBorder="1" applyAlignment="1">
      <alignment horizontal="center"/>
    </xf>
    <xf numFmtId="1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right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7"/>
  <sheetViews>
    <sheetView tabSelected="1" topLeftCell="B827" zoomScale="96" zoomScaleNormal="96" workbookViewId="0">
      <selection activeCell="D850" sqref="D850"/>
    </sheetView>
  </sheetViews>
  <sheetFormatPr defaultRowHeight="15" x14ac:dyDescent="0.25"/>
  <cols>
    <col min="1" max="1" width="11.85546875" customWidth="1"/>
    <col min="2" max="2" width="15.42578125" customWidth="1"/>
    <col min="3" max="3" width="92" bestFit="1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5703125" customWidth="1"/>
    <col min="12" max="12" width="21.85546875" bestFit="1" customWidth="1"/>
    <col min="13" max="13" width="14.140625" customWidth="1"/>
    <col min="14" max="14" width="20.42578125" customWidth="1"/>
    <col min="15" max="15" width="16.42578125" customWidth="1"/>
  </cols>
  <sheetData>
    <row r="1" spans="1:11" x14ac:dyDescent="0.25">
      <c r="B1" s="1"/>
      <c r="C1" s="1"/>
      <c r="D1" s="1"/>
      <c r="E1" s="1"/>
      <c r="F1" s="1"/>
      <c r="G1" s="1"/>
      <c r="H1" s="1"/>
      <c r="I1" s="1"/>
      <c r="J1" s="2"/>
    </row>
    <row r="2" spans="1:11" ht="21" x14ac:dyDescent="0.35">
      <c r="A2" t="s">
        <v>0</v>
      </c>
      <c r="B2" s="125" t="s">
        <v>1</v>
      </c>
      <c r="C2" s="125"/>
      <c r="D2" s="125"/>
      <c r="E2" s="125"/>
      <c r="F2" s="125"/>
      <c r="G2" s="125"/>
      <c r="H2" s="125"/>
      <c r="I2" s="125"/>
      <c r="J2" s="125"/>
    </row>
    <row r="3" spans="1:11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1" x14ac:dyDescent="0.25">
      <c r="B4" s="8">
        <v>46026</v>
      </c>
      <c r="C4" s="9" t="s">
        <v>11</v>
      </c>
      <c r="D4" s="9">
        <v>2</v>
      </c>
      <c r="E4" s="10">
        <v>2010</v>
      </c>
      <c r="F4" s="11">
        <f>E4*D4</f>
        <v>4020</v>
      </c>
      <c r="G4" s="11">
        <v>2.4285000000000001</v>
      </c>
      <c r="H4" s="11">
        <f>E4*G4</f>
        <v>4881.2849999999999</v>
      </c>
      <c r="I4" s="11">
        <f>H4*D4</f>
        <v>9762.57</v>
      </c>
      <c r="J4" s="9">
        <f>J3+I4</f>
        <v>9762.57</v>
      </c>
    </row>
    <row r="5" spans="1:11" x14ac:dyDescent="0.25">
      <c r="B5" s="8">
        <v>46026</v>
      </c>
      <c r="C5" s="9" t="s">
        <v>12</v>
      </c>
      <c r="D5" s="9">
        <v>2</v>
      </c>
      <c r="E5" s="10">
        <v>2010</v>
      </c>
      <c r="F5" s="11">
        <f t="shared" ref="F5:F13" si="0">E5*D5</f>
        <v>4020</v>
      </c>
      <c r="G5" s="11">
        <v>2.4285000000000001</v>
      </c>
      <c r="H5" s="11">
        <f t="shared" ref="H5:H13" si="1">E5*G5</f>
        <v>4881.2849999999999</v>
      </c>
      <c r="I5" s="11">
        <f t="shared" ref="I5:I13" si="2">H5*D5</f>
        <v>9762.57</v>
      </c>
      <c r="J5" s="9">
        <f t="shared" ref="J5:J13" si="3">J4+I5</f>
        <v>19525.14</v>
      </c>
    </row>
    <row r="6" spans="1:11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1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1" x14ac:dyDescent="0.25">
      <c r="B8" s="8">
        <v>46025</v>
      </c>
      <c r="C8" s="9" t="s">
        <v>186</v>
      </c>
      <c r="D8" s="9">
        <v>8</v>
      </c>
      <c r="E8" s="10">
        <v>629</v>
      </c>
      <c r="F8" s="11">
        <f t="shared" si="0"/>
        <v>5032</v>
      </c>
      <c r="G8" s="11">
        <v>2.4285000000000001</v>
      </c>
      <c r="H8" s="11">
        <f t="shared" si="1"/>
        <v>1527.5265000000002</v>
      </c>
      <c r="I8" s="11">
        <f t="shared" si="2"/>
        <v>12220.212000000001</v>
      </c>
      <c r="J8" s="9">
        <f t="shared" si="3"/>
        <v>33931.002</v>
      </c>
    </row>
    <row r="9" spans="1:11" x14ac:dyDescent="0.25">
      <c r="B9" s="8">
        <v>46025</v>
      </c>
      <c r="C9" s="9" t="s">
        <v>15</v>
      </c>
      <c r="D9" s="9">
        <v>2</v>
      </c>
      <c r="E9" s="10">
        <v>629</v>
      </c>
      <c r="F9" s="11">
        <f t="shared" si="0"/>
        <v>1258</v>
      </c>
      <c r="G9" s="11">
        <v>2.4285000000000001</v>
      </c>
      <c r="H9" s="11">
        <f t="shared" si="1"/>
        <v>1527.5265000000002</v>
      </c>
      <c r="I9" s="11">
        <f t="shared" si="2"/>
        <v>3055.0530000000003</v>
      </c>
      <c r="J9" s="9">
        <f t="shared" si="3"/>
        <v>36986.055</v>
      </c>
    </row>
    <row r="10" spans="1:11" x14ac:dyDescent="0.25">
      <c r="B10" s="8">
        <v>46025</v>
      </c>
      <c r="C10" s="9" t="s">
        <v>16</v>
      </c>
      <c r="D10" s="9">
        <v>4</v>
      </c>
      <c r="E10" s="10">
        <v>477</v>
      </c>
      <c r="F10" s="11">
        <f t="shared" si="0"/>
        <v>1908</v>
      </c>
      <c r="G10" s="11">
        <v>2.4285000000000001</v>
      </c>
      <c r="H10" s="11">
        <f t="shared" si="1"/>
        <v>1158.3945000000001</v>
      </c>
      <c r="I10" s="11">
        <f t="shared" si="2"/>
        <v>4633.5780000000004</v>
      </c>
      <c r="J10" s="9">
        <f t="shared" si="3"/>
        <v>41619.633000000002</v>
      </c>
    </row>
    <row r="11" spans="1:11" x14ac:dyDescent="0.25">
      <c r="B11" s="8">
        <v>46025</v>
      </c>
      <c r="C11" s="9" t="s">
        <v>17</v>
      </c>
      <c r="D11" s="9">
        <v>2</v>
      </c>
      <c r="E11" s="10">
        <v>629</v>
      </c>
      <c r="F11" s="11">
        <f t="shared" si="0"/>
        <v>1258</v>
      </c>
      <c r="G11" s="11">
        <v>2.4285000000000001</v>
      </c>
      <c r="H11" s="11">
        <f t="shared" si="1"/>
        <v>1527.5265000000002</v>
      </c>
      <c r="I11" s="11">
        <f t="shared" si="2"/>
        <v>3055.0530000000003</v>
      </c>
      <c r="J11" s="9">
        <f t="shared" si="3"/>
        <v>44674.686000000002</v>
      </c>
      <c r="K11" s="102">
        <v>46196</v>
      </c>
    </row>
    <row r="12" spans="1:11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1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1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1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1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125" t="s">
        <v>1</v>
      </c>
      <c r="C17" s="125"/>
      <c r="D17" s="125"/>
      <c r="E17" s="125"/>
      <c r="F17" s="125"/>
      <c r="G17" s="125"/>
      <c r="H17" s="125"/>
      <c r="I17" s="125"/>
      <c r="J17" s="125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8">
        <v>46028</v>
      </c>
      <c r="C19" s="9" t="s">
        <v>12</v>
      </c>
      <c r="D19" s="11">
        <v>2</v>
      </c>
      <c r="E19" s="10">
        <v>2010</v>
      </c>
      <c r="F19" s="11">
        <f>E19*D19</f>
        <v>4020</v>
      </c>
      <c r="G19" s="11">
        <v>2.4285000000000001</v>
      </c>
      <c r="H19" s="11">
        <f>E19*G19</f>
        <v>4881.2849999999999</v>
      </c>
      <c r="I19" s="11">
        <f>H19*D19</f>
        <v>9762.57</v>
      </c>
      <c r="J19" s="9">
        <f>J18+I19</f>
        <v>9762.57</v>
      </c>
    </row>
    <row r="20" spans="1:10" x14ac:dyDescent="0.25">
      <c r="B20" s="8">
        <v>46028</v>
      </c>
      <c r="C20" s="9" t="s">
        <v>19</v>
      </c>
      <c r="D20" s="11">
        <v>2</v>
      </c>
      <c r="E20" s="10">
        <v>2010</v>
      </c>
      <c r="F20" s="11">
        <f t="shared" ref="F20:F29" si="4">E20*D20</f>
        <v>4020</v>
      </c>
      <c r="G20" s="11">
        <v>2.4285000000000001</v>
      </c>
      <c r="H20" s="11">
        <f t="shared" ref="H20:H29" si="5">E20*G20</f>
        <v>4881.2849999999999</v>
      </c>
      <c r="I20" s="11">
        <f t="shared" ref="I20:I29" si="6">H20*D20</f>
        <v>9762.57</v>
      </c>
      <c r="J20" s="9">
        <f t="shared" ref="J20:J29" si="7">J19+I20</f>
        <v>19525.14</v>
      </c>
    </row>
    <row r="21" spans="1:10" x14ac:dyDescent="0.25">
      <c r="B21" s="8">
        <v>46028</v>
      </c>
      <c r="C21" s="9" t="s">
        <v>19</v>
      </c>
      <c r="D21" s="11">
        <v>2</v>
      </c>
      <c r="E21" s="10">
        <v>2010</v>
      </c>
      <c r="F21" s="11">
        <f t="shared" si="4"/>
        <v>4020</v>
      </c>
      <c r="G21" s="11">
        <v>2.4285000000000001</v>
      </c>
      <c r="H21" s="11">
        <f t="shared" si="5"/>
        <v>4881.2849999999999</v>
      </c>
      <c r="I21" s="11">
        <f t="shared" si="6"/>
        <v>9762.57</v>
      </c>
      <c r="J21" s="9">
        <f t="shared" si="7"/>
        <v>29287.71</v>
      </c>
    </row>
    <row r="22" spans="1:10" x14ac:dyDescent="0.25">
      <c r="B22" s="8">
        <v>46028</v>
      </c>
      <c r="C22" s="9" t="s">
        <v>20</v>
      </c>
      <c r="D22" s="11">
        <v>2</v>
      </c>
      <c r="E22" s="10">
        <v>2010</v>
      </c>
      <c r="F22" s="11">
        <f t="shared" si="4"/>
        <v>4020</v>
      </c>
      <c r="G22" s="11">
        <v>2.4285000000000001</v>
      </c>
      <c r="H22" s="11">
        <f t="shared" si="5"/>
        <v>4881.2849999999999</v>
      </c>
      <c r="I22" s="11">
        <f t="shared" si="6"/>
        <v>9762.57</v>
      </c>
      <c r="J22" s="9">
        <f t="shared" si="7"/>
        <v>39050.28</v>
      </c>
    </row>
    <row r="23" spans="1:10" x14ac:dyDescent="0.25">
      <c r="B23" s="8">
        <v>46028</v>
      </c>
      <c r="C23" s="9" t="s">
        <v>21</v>
      </c>
      <c r="D23" s="11">
        <v>1</v>
      </c>
      <c r="E23" s="10">
        <v>2010</v>
      </c>
      <c r="F23" s="11">
        <f t="shared" si="4"/>
        <v>2010</v>
      </c>
      <c r="G23" s="11">
        <v>2.4285000000000001</v>
      </c>
      <c r="H23" s="11">
        <f t="shared" si="5"/>
        <v>4881.2849999999999</v>
      </c>
      <c r="I23" s="11">
        <f t="shared" si="6"/>
        <v>4881.2849999999999</v>
      </c>
      <c r="J23" s="9">
        <f t="shared" si="7"/>
        <v>43931.565000000002</v>
      </c>
    </row>
    <row r="24" spans="1:10" x14ac:dyDescent="0.25">
      <c r="B24" s="8">
        <v>46031</v>
      </c>
      <c r="C24" s="9" t="s">
        <v>11</v>
      </c>
      <c r="D24" s="11">
        <v>2</v>
      </c>
      <c r="E24" s="10">
        <v>2010</v>
      </c>
      <c r="F24" s="11">
        <f t="shared" si="4"/>
        <v>4020</v>
      </c>
      <c r="G24" s="11">
        <v>2.4285000000000001</v>
      </c>
      <c r="H24" s="11">
        <f t="shared" si="5"/>
        <v>4881.2849999999999</v>
      </c>
      <c r="I24" s="11">
        <f t="shared" si="6"/>
        <v>9762.57</v>
      </c>
      <c r="J24" s="9">
        <f t="shared" si="7"/>
        <v>53694.135000000002</v>
      </c>
    </row>
    <row r="25" spans="1:10" x14ac:dyDescent="0.25">
      <c r="B25" s="8">
        <v>46031</v>
      </c>
      <c r="C25" s="9" t="s">
        <v>20</v>
      </c>
      <c r="D25" s="11">
        <v>2</v>
      </c>
      <c r="E25" s="10">
        <v>2010</v>
      </c>
      <c r="F25" s="11">
        <f t="shared" si="4"/>
        <v>4020</v>
      </c>
      <c r="G25" s="11">
        <v>2.4285000000000001</v>
      </c>
      <c r="H25" s="11">
        <f t="shared" si="5"/>
        <v>4881.2849999999999</v>
      </c>
      <c r="I25" s="11">
        <f t="shared" si="6"/>
        <v>9762.57</v>
      </c>
      <c r="J25" s="9">
        <f t="shared" si="7"/>
        <v>63456.705000000002</v>
      </c>
    </row>
    <row r="26" spans="1:10" x14ac:dyDescent="0.25">
      <c r="B26" s="8">
        <v>46031</v>
      </c>
      <c r="C26" s="9" t="s">
        <v>22</v>
      </c>
      <c r="D26" s="11">
        <v>2</v>
      </c>
      <c r="E26" s="10">
        <v>2010</v>
      </c>
      <c r="F26" s="11">
        <f t="shared" si="4"/>
        <v>4020</v>
      </c>
      <c r="G26" s="11">
        <v>2.4285000000000001</v>
      </c>
      <c r="H26" s="11">
        <f t="shared" si="5"/>
        <v>4881.2849999999999</v>
      </c>
      <c r="I26" s="11">
        <f t="shared" si="6"/>
        <v>9762.57</v>
      </c>
      <c r="J26" s="9">
        <f t="shared" si="7"/>
        <v>73219.274999999994</v>
      </c>
    </row>
    <row r="27" spans="1:10" x14ac:dyDescent="0.25">
      <c r="B27" s="12">
        <v>46031</v>
      </c>
      <c r="C27" s="64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8">
        <v>46031</v>
      </c>
      <c r="C28" s="9" t="s">
        <v>24</v>
      </c>
      <c r="D28" s="11">
        <v>2</v>
      </c>
      <c r="E28" s="10">
        <v>2010</v>
      </c>
      <c r="F28" s="11">
        <f t="shared" si="4"/>
        <v>4020</v>
      </c>
      <c r="G28" s="11">
        <v>2.4285000000000001</v>
      </c>
      <c r="H28" s="11">
        <f t="shared" si="5"/>
        <v>4881.2849999999999</v>
      </c>
      <c r="I28" s="11">
        <f t="shared" si="6"/>
        <v>9762.57</v>
      </c>
      <c r="J28" s="9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125" t="s">
        <v>1</v>
      </c>
      <c r="C34" s="125"/>
      <c r="D34" s="125"/>
      <c r="E34" s="125"/>
      <c r="F34" s="125"/>
      <c r="G34" s="125"/>
      <c r="H34" s="125"/>
      <c r="I34" s="125"/>
      <c r="J34" s="125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2" ht="21" x14ac:dyDescent="0.35">
      <c r="A49" t="s">
        <v>0</v>
      </c>
      <c r="B49" s="125" t="s">
        <v>34</v>
      </c>
      <c r="C49" s="125"/>
      <c r="D49" s="125"/>
      <c r="E49" s="125"/>
      <c r="F49" s="125"/>
      <c r="G49" s="125"/>
      <c r="H49" s="125"/>
      <c r="I49" s="125"/>
      <c r="J49" s="125"/>
    </row>
    <row r="50" spans="1:12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2" x14ac:dyDescent="0.25">
      <c r="B51" s="8">
        <v>46034</v>
      </c>
      <c r="C51" s="9" t="s">
        <v>35</v>
      </c>
      <c r="D51" s="9">
        <v>10</v>
      </c>
      <c r="E51" s="9">
        <v>1449</v>
      </c>
      <c r="F51" s="11">
        <f>E51*D51</f>
        <v>14490</v>
      </c>
      <c r="G51" s="11">
        <v>2.12</v>
      </c>
      <c r="H51" s="11">
        <f>E51*G51</f>
        <v>3071.88</v>
      </c>
      <c r="I51" s="11">
        <f>H51*D51</f>
        <v>30718.800000000003</v>
      </c>
      <c r="J51" s="9">
        <f>J50+I51</f>
        <v>30718.800000000003</v>
      </c>
      <c r="K51" s="102">
        <v>46192</v>
      </c>
      <c r="L51" t="s">
        <v>391</v>
      </c>
    </row>
    <row r="52" spans="1:12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2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2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2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2" ht="21" x14ac:dyDescent="0.35">
      <c r="A58" t="s">
        <v>0</v>
      </c>
      <c r="B58" s="125" t="s">
        <v>1</v>
      </c>
      <c r="C58" s="125"/>
      <c r="D58" s="125"/>
      <c r="E58" s="125"/>
      <c r="F58" s="125"/>
      <c r="G58" s="125"/>
      <c r="H58" s="125"/>
      <c r="I58" s="125"/>
      <c r="J58" s="125"/>
    </row>
    <row r="59" spans="1:12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2" x14ac:dyDescent="0.25">
      <c r="B60" s="8">
        <v>46038</v>
      </c>
      <c r="C60" s="9" t="s">
        <v>37</v>
      </c>
      <c r="D60" s="9">
        <v>2</v>
      </c>
      <c r="E60" s="9">
        <v>1397</v>
      </c>
      <c r="F60" s="11">
        <f>E60*D60</f>
        <v>2794</v>
      </c>
      <c r="G60" s="11">
        <v>2.4218000000000002</v>
      </c>
      <c r="H60" s="11">
        <f>E60*G60</f>
        <v>3383.2546000000002</v>
      </c>
      <c r="I60" s="11">
        <f>H60*D60</f>
        <v>6766.5092000000004</v>
      </c>
      <c r="J60" s="9">
        <f>J59+I60</f>
        <v>6766.5092000000004</v>
      </c>
    </row>
    <row r="61" spans="1:12" x14ac:dyDescent="0.25">
      <c r="B61" s="8">
        <v>46038</v>
      </c>
      <c r="C61" s="9" t="s">
        <v>38</v>
      </c>
      <c r="D61" s="9">
        <v>2</v>
      </c>
      <c r="E61" s="9">
        <v>1397</v>
      </c>
      <c r="F61" s="11">
        <f t="shared" ref="F61:F75" si="16">E61*D61</f>
        <v>2794</v>
      </c>
      <c r="G61" s="11">
        <v>2.4218000000000002</v>
      </c>
      <c r="H61" s="11">
        <f t="shared" ref="H61:H75" si="17">E61*G61</f>
        <v>3383.2546000000002</v>
      </c>
      <c r="I61" s="11">
        <f t="shared" ref="I61:I75" si="18">H61*D61</f>
        <v>6766.5092000000004</v>
      </c>
      <c r="J61" s="9">
        <f t="shared" ref="J61:J75" si="19">J60+I61</f>
        <v>13533.018400000001</v>
      </c>
    </row>
    <row r="62" spans="1:12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2" x14ac:dyDescent="0.25">
      <c r="B63" s="8">
        <v>46039</v>
      </c>
      <c r="C63" s="9" t="s">
        <v>40</v>
      </c>
      <c r="D63" s="9">
        <v>2</v>
      </c>
      <c r="E63" s="9">
        <v>1398</v>
      </c>
      <c r="F63" s="11">
        <f t="shared" si="16"/>
        <v>2796</v>
      </c>
      <c r="G63" s="11">
        <v>2.4218000000000002</v>
      </c>
      <c r="H63" s="11">
        <f t="shared" si="17"/>
        <v>3385.6764000000003</v>
      </c>
      <c r="I63" s="11">
        <f t="shared" si="18"/>
        <v>6771.3528000000006</v>
      </c>
      <c r="J63" s="9">
        <f t="shared" si="19"/>
        <v>26581.676800000001</v>
      </c>
    </row>
    <row r="64" spans="1:12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8">
        <v>46039</v>
      </c>
      <c r="C65" s="9" t="s">
        <v>41</v>
      </c>
      <c r="D65" s="9">
        <v>2</v>
      </c>
      <c r="E65" s="9">
        <v>1397</v>
      </c>
      <c r="F65" s="11">
        <f t="shared" si="16"/>
        <v>2794</v>
      </c>
      <c r="G65" s="11">
        <v>2.4218000000000002</v>
      </c>
      <c r="H65" s="11">
        <f t="shared" si="17"/>
        <v>3383.2546000000002</v>
      </c>
      <c r="I65" s="11">
        <f t="shared" si="18"/>
        <v>6766.5092000000004</v>
      </c>
      <c r="J65" s="9">
        <f t="shared" si="19"/>
        <v>36486.838799999998</v>
      </c>
    </row>
    <row r="66" spans="1:10" x14ac:dyDescent="0.25">
      <c r="B66" s="8">
        <v>46039</v>
      </c>
      <c r="C66" s="9" t="s">
        <v>42</v>
      </c>
      <c r="D66" s="9">
        <v>2</v>
      </c>
      <c r="E66" s="9">
        <v>1397</v>
      </c>
      <c r="F66" s="11">
        <f t="shared" si="16"/>
        <v>2794</v>
      </c>
      <c r="G66" s="11">
        <v>2.4218000000000002</v>
      </c>
      <c r="H66" s="11">
        <f t="shared" si="17"/>
        <v>3383.2546000000002</v>
      </c>
      <c r="I66" s="11">
        <f t="shared" si="18"/>
        <v>6766.5092000000004</v>
      </c>
      <c r="J66" s="9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8">
        <v>46044</v>
      </c>
      <c r="C71" s="9" t="s">
        <v>47</v>
      </c>
      <c r="D71" s="9">
        <v>2</v>
      </c>
      <c r="E71" s="9">
        <v>1397</v>
      </c>
      <c r="F71" s="11">
        <f t="shared" si="16"/>
        <v>2794</v>
      </c>
      <c r="G71" s="11">
        <v>2.4218000000000002</v>
      </c>
      <c r="H71" s="11">
        <f t="shared" si="17"/>
        <v>3383.2546000000002</v>
      </c>
      <c r="I71" s="11">
        <f t="shared" si="18"/>
        <v>6766.5092000000004</v>
      </c>
      <c r="J71" s="9">
        <f t="shared" si="19"/>
        <v>255640.36439999999</v>
      </c>
    </row>
    <row r="72" spans="1:10" x14ac:dyDescent="0.25">
      <c r="B72" s="8">
        <v>46044</v>
      </c>
      <c r="C72" s="9" t="s">
        <v>48</v>
      </c>
      <c r="D72" s="9">
        <v>1</v>
      </c>
      <c r="E72" s="9">
        <v>1397</v>
      </c>
      <c r="F72" s="11">
        <f t="shared" si="16"/>
        <v>1397</v>
      </c>
      <c r="G72" s="11">
        <v>2.4218000000000002</v>
      </c>
      <c r="H72" s="11">
        <f t="shared" si="17"/>
        <v>3383.2546000000002</v>
      </c>
      <c r="I72" s="11">
        <f t="shared" si="18"/>
        <v>3383.2546000000002</v>
      </c>
      <c r="J72" s="9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125" t="s">
        <v>1</v>
      </c>
      <c r="C80" s="125"/>
      <c r="D80" s="125"/>
      <c r="E80" s="125"/>
      <c r="F80" s="125"/>
      <c r="G80" s="125"/>
      <c r="H80" s="125"/>
      <c r="I80" s="125"/>
      <c r="J80" s="125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46">
        <v>46045</v>
      </c>
      <c r="C82" s="47" t="s">
        <v>56</v>
      </c>
      <c r="D82" s="47">
        <v>40</v>
      </c>
      <c r="E82" s="48">
        <v>398</v>
      </c>
      <c r="F82" s="49">
        <f>E82*D82</f>
        <v>15920</v>
      </c>
      <c r="G82" s="49">
        <v>2.4272999999999998</v>
      </c>
      <c r="H82" s="49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46">
        <v>46049</v>
      </c>
      <c r="C86" s="47" t="s">
        <v>59</v>
      </c>
      <c r="D86" s="47">
        <v>24</v>
      </c>
      <c r="E86" s="47">
        <v>403</v>
      </c>
      <c r="F86" s="49">
        <f t="shared" si="20"/>
        <v>9672</v>
      </c>
      <c r="G86" s="49">
        <v>2.4272999999999998</v>
      </c>
      <c r="H86" s="49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126" t="s">
        <v>1</v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8">
        <v>46046</v>
      </c>
      <c r="C93" s="9" t="s">
        <v>69</v>
      </c>
      <c r="D93" s="11"/>
      <c r="E93" s="11"/>
      <c r="F93" s="11">
        <v>4</v>
      </c>
      <c r="G93" s="10">
        <v>2199</v>
      </c>
      <c r="H93" s="11">
        <v>10</v>
      </c>
      <c r="I93" s="11">
        <f>G93*H93%</f>
        <v>219.9</v>
      </c>
      <c r="J93" s="9">
        <f>G93-I93</f>
        <v>1979.1</v>
      </c>
      <c r="K93" s="9">
        <f>F93*J93</f>
        <v>7916.4</v>
      </c>
      <c r="L93" s="11">
        <v>2.4272999999999998</v>
      </c>
      <c r="M93" s="9">
        <f>J93*L93</f>
        <v>4803.8694299999997</v>
      </c>
      <c r="N93" s="9">
        <f>F93*M93</f>
        <v>19215.477719999999</v>
      </c>
      <c r="O93" s="9">
        <f>O92+N93</f>
        <v>19215.477719999999</v>
      </c>
    </row>
    <row r="94" spans="1:15" x14ac:dyDescent="0.25">
      <c r="B94" s="8">
        <v>46046</v>
      </c>
      <c r="C94" s="9" t="s">
        <v>70</v>
      </c>
      <c r="D94" s="11"/>
      <c r="E94" s="11"/>
      <c r="F94" s="11">
        <v>4</v>
      </c>
      <c r="G94" s="10">
        <v>2199</v>
      </c>
      <c r="H94" s="11">
        <v>10</v>
      </c>
      <c r="I94" s="11">
        <f t="shared" ref="I94:I110" si="24">G94*H94%</f>
        <v>219.9</v>
      </c>
      <c r="J94" s="9">
        <f t="shared" ref="J94:J110" si="25">G94-I94</f>
        <v>1979.1</v>
      </c>
      <c r="K94" s="9">
        <f t="shared" ref="K94:K110" si="26">F94*J94</f>
        <v>7916.4</v>
      </c>
      <c r="L94" s="11">
        <v>2.4272999999999998</v>
      </c>
      <c r="M94" s="9">
        <f t="shared" ref="M94:M110" si="27">J94*L94</f>
        <v>4803.8694299999997</v>
      </c>
      <c r="N94" s="9">
        <f t="shared" ref="N94:N110" si="28">F94*M94</f>
        <v>19215.477719999999</v>
      </c>
      <c r="O94" s="9">
        <f t="shared" ref="O94:O110" si="29">O93+N94</f>
        <v>38430.955439999998</v>
      </c>
    </row>
    <row r="95" spans="1:15" x14ac:dyDescent="0.25">
      <c r="B95" s="8">
        <v>46046</v>
      </c>
      <c r="C95" s="9" t="s">
        <v>71</v>
      </c>
      <c r="D95" s="11"/>
      <c r="E95" s="11"/>
      <c r="F95" s="11">
        <v>2</v>
      </c>
      <c r="G95" s="10">
        <v>2199</v>
      </c>
      <c r="H95" s="11">
        <v>10</v>
      </c>
      <c r="I95" s="11">
        <f t="shared" si="24"/>
        <v>219.9</v>
      </c>
      <c r="J95" s="9">
        <f t="shared" si="25"/>
        <v>1979.1</v>
      </c>
      <c r="K95" s="9">
        <f t="shared" si="26"/>
        <v>3958.2</v>
      </c>
      <c r="L95" s="11">
        <v>2.4272999999999998</v>
      </c>
      <c r="M95" s="9">
        <f t="shared" si="27"/>
        <v>4803.8694299999997</v>
      </c>
      <c r="N95" s="9">
        <f t="shared" si="28"/>
        <v>9607.7388599999995</v>
      </c>
      <c r="O95" s="9">
        <f t="shared" si="29"/>
        <v>48038.694299999996</v>
      </c>
    </row>
    <row r="96" spans="1:15" x14ac:dyDescent="0.25">
      <c r="B96" s="8">
        <v>46046</v>
      </c>
      <c r="C96" s="9" t="s">
        <v>72</v>
      </c>
      <c r="D96" s="11"/>
      <c r="E96" s="11"/>
      <c r="F96" s="11">
        <v>4</v>
      </c>
      <c r="G96" s="10">
        <v>2199</v>
      </c>
      <c r="H96" s="11">
        <v>10</v>
      </c>
      <c r="I96" s="11">
        <f t="shared" si="24"/>
        <v>219.9</v>
      </c>
      <c r="J96" s="9">
        <f t="shared" si="25"/>
        <v>1979.1</v>
      </c>
      <c r="K96" s="9">
        <f t="shared" si="26"/>
        <v>7916.4</v>
      </c>
      <c r="L96" s="11">
        <v>2.4272999999999998</v>
      </c>
      <c r="M96" s="9">
        <f t="shared" si="27"/>
        <v>4803.8694299999997</v>
      </c>
      <c r="N96" s="9">
        <f t="shared" si="28"/>
        <v>19215.477719999999</v>
      </c>
      <c r="O96" s="9">
        <f t="shared" si="29"/>
        <v>67254.172019999998</v>
      </c>
    </row>
    <row r="97" spans="2:15" x14ac:dyDescent="0.25">
      <c r="B97" s="8">
        <v>46046</v>
      </c>
      <c r="C97" s="9" t="s">
        <v>73</v>
      </c>
      <c r="D97" s="11"/>
      <c r="E97" s="11"/>
      <c r="F97" s="11">
        <v>2</v>
      </c>
      <c r="G97" s="10">
        <v>2199</v>
      </c>
      <c r="H97" s="11">
        <v>10</v>
      </c>
      <c r="I97" s="11">
        <f t="shared" si="24"/>
        <v>219.9</v>
      </c>
      <c r="J97" s="9">
        <f t="shared" si="25"/>
        <v>1979.1</v>
      </c>
      <c r="K97" s="9">
        <f t="shared" si="26"/>
        <v>3958.2</v>
      </c>
      <c r="L97" s="11">
        <v>2.4272999999999998</v>
      </c>
      <c r="M97" s="9">
        <f t="shared" si="27"/>
        <v>4803.8694299999997</v>
      </c>
      <c r="N97" s="9">
        <f t="shared" si="28"/>
        <v>9607.7388599999995</v>
      </c>
      <c r="O97" s="9">
        <f t="shared" si="29"/>
        <v>76861.910879999996</v>
      </c>
    </row>
    <row r="98" spans="2:15" x14ac:dyDescent="0.25">
      <c r="B98" s="8">
        <v>46046</v>
      </c>
      <c r="C98" s="9" t="s">
        <v>74</v>
      </c>
      <c r="D98" s="11"/>
      <c r="E98" s="11"/>
      <c r="F98" s="11">
        <v>2</v>
      </c>
      <c r="G98" s="10">
        <v>1497</v>
      </c>
      <c r="H98" s="11">
        <v>10</v>
      </c>
      <c r="I98" s="11">
        <f t="shared" si="24"/>
        <v>149.70000000000002</v>
      </c>
      <c r="J98" s="9">
        <f t="shared" si="25"/>
        <v>1347.3</v>
      </c>
      <c r="K98" s="9">
        <f t="shared" si="26"/>
        <v>2694.6</v>
      </c>
      <c r="L98" s="11">
        <v>2.4272999999999998</v>
      </c>
      <c r="M98" s="9">
        <f t="shared" si="27"/>
        <v>3270.3012899999994</v>
      </c>
      <c r="N98" s="9">
        <f t="shared" si="28"/>
        <v>6540.6025799999989</v>
      </c>
      <c r="O98" s="9">
        <f t="shared" si="29"/>
        <v>83402.513459999987</v>
      </c>
    </row>
    <row r="99" spans="2:15" x14ac:dyDescent="0.25">
      <c r="B99" s="8">
        <v>46046</v>
      </c>
      <c r="C99" s="9" t="s">
        <v>75</v>
      </c>
      <c r="D99" s="11"/>
      <c r="E99" s="11"/>
      <c r="F99" s="11">
        <v>3</v>
      </c>
      <c r="G99" s="10">
        <v>1497</v>
      </c>
      <c r="H99" s="11">
        <v>10</v>
      </c>
      <c r="I99" s="11">
        <f t="shared" si="24"/>
        <v>149.70000000000002</v>
      </c>
      <c r="J99" s="9">
        <f t="shared" si="25"/>
        <v>1347.3</v>
      </c>
      <c r="K99" s="9">
        <f t="shared" si="26"/>
        <v>4041.8999999999996</v>
      </c>
      <c r="L99" s="11">
        <v>2.4272999999999998</v>
      </c>
      <c r="M99" s="9">
        <f t="shared" si="27"/>
        <v>3270.3012899999994</v>
      </c>
      <c r="N99" s="9">
        <f t="shared" si="28"/>
        <v>9810.9038699999983</v>
      </c>
      <c r="O99" s="9">
        <f t="shared" si="29"/>
        <v>93213.417329999982</v>
      </c>
    </row>
    <row r="100" spans="2:15" x14ac:dyDescent="0.25">
      <c r="B100" s="4">
        <v>46047</v>
      </c>
      <c r="C100" s="64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64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64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8">
        <v>46047</v>
      </c>
      <c r="C108" s="9" t="s">
        <v>84</v>
      </c>
      <c r="D108" s="11"/>
      <c r="E108" s="11"/>
      <c r="F108" s="11">
        <v>4</v>
      </c>
      <c r="G108" s="10">
        <v>1499</v>
      </c>
      <c r="H108" s="11">
        <v>10</v>
      </c>
      <c r="I108" s="11">
        <f t="shared" si="24"/>
        <v>149.9</v>
      </c>
      <c r="J108" s="9">
        <f t="shared" si="25"/>
        <v>1349.1</v>
      </c>
      <c r="K108" s="9">
        <f t="shared" si="26"/>
        <v>5396.4</v>
      </c>
      <c r="L108" s="11">
        <v>2.4272999999999998</v>
      </c>
      <c r="M108" s="9">
        <f t="shared" si="27"/>
        <v>3274.6704299999997</v>
      </c>
      <c r="N108" s="9">
        <f t="shared" si="28"/>
        <v>13098.681719999999</v>
      </c>
      <c r="O108" s="9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125" t="s">
        <v>1</v>
      </c>
      <c r="C117" s="125"/>
      <c r="D117" s="125"/>
      <c r="E117" s="125"/>
      <c r="F117" s="125"/>
      <c r="G117" s="125"/>
      <c r="H117" s="125"/>
      <c r="I117" s="125"/>
      <c r="J117" s="125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125" t="s">
        <v>34</v>
      </c>
      <c r="C144" s="125"/>
      <c r="D144" s="125"/>
      <c r="E144" s="125"/>
      <c r="F144" s="125"/>
      <c r="G144" s="125"/>
      <c r="H144" s="125"/>
      <c r="I144" s="125"/>
      <c r="J144" s="125"/>
    </row>
    <row r="145" spans="1:10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</row>
    <row r="146" spans="1:10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0" x14ac:dyDescent="0.25">
      <c r="B147" s="8">
        <v>46051</v>
      </c>
      <c r="C147" s="9" t="s">
        <v>187</v>
      </c>
      <c r="D147" s="9">
        <v>4</v>
      </c>
      <c r="E147" s="9">
        <v>349</v>
      </c>
      <c r="F147" s="11">
        <f t="shared" ref="F147:F148" si="34">E147*D147</f>
        <v>1396</v>
      </c>
      <c r="G147" s="11">
        <v>2.13</v>
      </c>
      <c r="H147" s="11">
        <f t="shared" ref="H147:H148" si="35">E147*G147</f>
        <v>743.37</v>
      </c>
      <c r="I147" s="11">
        <f t="shared" ref="I147:I148" si="36">H147*D147</f>
        <v>2973.48</v>
      </c>
      <c r="J147" s="9">
        <f t="shared" ref="J147:J148" si="37">J146+I147</f>
        <v>66660.479999999996</v>
      </c>
    </row>
    <row r="148" spans="1:10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0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0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0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0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0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0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0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0" ht="21" x14ac:dyDescent="0.35">
      <c r="A156" t="s">
        <v>0</v>
      </c>
      <c r="B156" s="125" t="s">
        <v>1</v>
      </c>
      <c r="C156" s="125"/>
      <c r="D156" s="125"/>
      <c r="E156" s="125"/>
      <c r="F156" s="125"/>
      <c r="G156" s="125"/>
      <c r="H156" s="125"/>
      <c r="I156" s="125"/>
      <c r="J156" s="125"/>
    </row>
    <row r="157" spans="1:10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</row>
    <row r="158" spans="1:10" x14ac:dyDescent="0.25">
      <c r="B158" s="17">
        <v>46055</v>
      </c>
      <c r="C158" s="18" t="s">
        <v>109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0" x14ac:dyDescent="0.25">
      <c r="B159" s="17">
        <v>46055</v>
      </c>
      <c r="C159" s="18" t="s">
        <v>110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0" x14ac:dyDescent="0.25">
      <c r="B160" s="17">
        <v>46056</v>
      </c>
      <c r="C160" s="18" t="s">
        <v>111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112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110">
        <v>46056</v>
      </c>
      <c r="C162" s="111" t="s">
        <v>113</v>
      </c>
      <c r="D162" s="111">
        <v>5</v>
      </c>
      <c r="E162" s="112">
        <v>440</v>
      </c>
      <c r="F162" s="113">
        <f t="shared" si="38"/>
        <v>2200</v>
      </c>
      <c r="G162" s="113">
        <v>2.5188000000000001</v>
      </c>
      <c r="H162" s="113">
        <f t="shared" si="39"/>
        <v>1108.2720000000002</v>
      </c>
      <c r="I162" s="113">
        <f t="shared" si="40"/>
        <v>5541.3600000000006</v>
      </c>
      <c r="J162" s="111">
        <f t="shared" si="41"/>
        <v>33034.062000000005</v>
      </c>
      <c r="K162" s="68">
        <v>46192</v>
      </c>
    </row>
    <row r="163" spans="1:15" x14ac:dyDescent="0.25">
      <c r="B163" s="8">
        <v>46056</v>
      </c>
      <c r="C163" s="9" t="s">
        <v>114</v>
      </c>
      <c r="D163" s="9">
        <v>6</v>
      </c>
      <c r="E163" s="32">
        <v>440</v>
      </c>
      <c r="F163" s="11">
        <f t="shared" si="38"/>
        <v>2640</v>
      </c>
      <c r="G163" s="11">
        <v>2.5188000000000001</v>
      </c>
      <c r="H163" s="11">
        <f t="shared" si="39"/>
        <v>1108.2720000000002</v>
      </c>
      <c r="I163" s="11">
        <f t="shared" si="40"/>
        <v>6649.6320000000014</v>
      </c>
      <c r="J163" s="9">
        <f t="shared" si="41"/>
        <v>39683.694000000003</v>
      </c>
      <c r="K163" s="68">
        <v>46192</v>
      </c>
      <c r="L163" s="68">
        <v>46196</v>
      </c>
    </row>
    <row r="164" spans="1:15" x14ac:dyDescent="0.25">
      <c r="B164" s="8">
        <v>46056</v>
      </c>
      <c r="C164" s="9" t="s">
        <v>115</v>
      </c>
      <c r="D164" s="9">
        <v>3</v>
      </c>
      <c r="E164" s="32">
        <v>398</v>
      </c>
      <c r="F164" s="11">
        <f t="shared" si="38"/>
        <v>1194</v>
      </c>
      <c r="G164" s="11">
        <v>2.5188000000000001</v>
      </c>
      <c r="H164" s="11">
        <f t="shared" si="39"/>
        <v>1002.4824000000001</v>
      </c>
      <c r="I164" s="11">
        <f t="shared" si="40"/>
        <v>3007.4472000000005</v>
      </c>
      <c r="J164" s="9">
        <f t="shared" si="41"/>
        <v>42691.141200000005</v>
      </c>
    </row>
    <row r="165" spans="1:15" x14ac:dyDescent="0.25">
      <c r="B165" s="8">
        <v>46056</v>
      </c>
      <c r="C165" s="9" t="s">
        <v>116</v>
      </c>
      <c r="D165" s="9">
        <v>3</v>
      </c>
      <c r="E165" s="32">
        <v>398</v>
      </c>
      <c r="F165" s="11">
        <f t="shared" si="38"/>
        <v>1194</v>
      </c>
      <c r="G165" s="11">
        <v>2.5188000000000001</v>
      </c>
      <c r="H165" s="11">
        <f t="shared" si="39"/>
        <v>1002.4824000000001</v>
      </c>
      <c r="I165" s="11">
        <f t="shared" si="40"/>
        <v>3007.4472000000005</v>
      </c>
      <c r="J165" s="9">
        <f t="shared" si="41"/>
        <v>45698.588400000008</v>
      </c>
    </row>
    <row r="166" spans="1:15" x14ac:dyDescent="0.25">
      <c r="B166" s="8">
        <v>46056</v>
      </c>
      <c r="C166" s="9" t="s">
        <v>117</v>
      </c>
      <c r="D166" s="9">
        <v>2</v>
      </c>
      <c r="E166" s="32">
        <v>398</v>
      </c>
      <c r="F166" s="11">
        <f t="shared" si="38"/>
        <v>796</v>
      </c>
      <c r="G166" s="11">
        <v>2.5188000000000001</v>
      </c>
      <c r="H166" s="11">
        <f t="shared" si="39"/>
        <v>1002.4824000000001</v>
      </c>
      <c r="I166" s="11">
        <f t="shared" si="40"/>
        <v>2004.9648000000002</v>
      </c>
      <c r="J166" s="9">
        <f t="shared" si="41"/>
        <v>47703.553200000009</v>
      </c>
    </row>
    <row r="167" spans="1:15" x14ac:dyDescent="0.25">
      <c r="B167" s="8">
        <v>46056</v>
      </c>
      <c r="C167" s="9" t="s">
        <v>118</v>
      </c>
      <c r="D167" s="9">
        <v>1</v>
      </c>
      <c r="E167" s="32">
        <v>7</v>
      </c>
      <c r="F167" s="11">
        <f t="shared" si="38"/>
        <v>7</v>
      </c>
      <c r="G167" s="11">
        <v>2.5188000000000001</v>
      </c>
      <c r="H167" s="11">
        <f t="shared" si="39"/>
        <v>17.631600000000002</v>
      </c>
      <c r="I167" s="11">
        <f t="shared" si="40"/>
        <v>17.631600000000002</v>
      </c>
      <c r="J167" s="9">
        <f t="shared" si="41"/>
        <v>47721.18480000001</v>
      </c>
    </row>
    <row r="168" spans="1:15" x14ac:dyDescent="0.25">
      <c r="B168" s="8">
        <v>46056</v>
      </c>
      <c r="C168" s="9" t="s">
        <v>119</v>
      </c>
      <c r="D168" s="9">
        <v>5</v>
      </c>
      <c r="E168" s="32">
        <v>2490</v>
      </c>
      <c r="F168" s="11">
        <f>E168*D168</f>
        <v>12450</v>
      </c>
      <c r="G168" s="11">
        <v>2.5188000000000001</v>
      </c>
      <c r="H168" s="11">
        <f t="shared" si="39"/>
        <v>6271.8120000000008</v>
      </c>
      <c r="I168" s="11">
        <f t="shared" si="40"/>
        <v>31359.060000000005</v>
      </c>
      <c r="J168" s="9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126" t="s">
        <v>1</v>
      </c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</row>
    <row r="177" spans="1:15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</row>
    <row r="178" spans="1:15" x14ac:dyDescent="0.25">
      <c r="B178" s="8">
        <v>46056</v>
      </c>
      <c r="C178" s="9" t="s">
        <v>120</v>
      </c>
      <c r="D178" s="11"/>
      <c r="E178" s="11"/>
      <c r="F178" s="9">
        <v>2</v>
      </c>
      <c r="G178" s="11">
        <v>2197</v>
      </c>
      <c r="H178" s="11">
        <v>10</v>
      </c>
      <c r="I178" s="11">
        <f>G178*H178%</f>
        <v>219.70000000000002</v>
      </c>
      <c r="J178" s="9">
        <f>G178-I178</f>
        <v>1977.3</v>
      </c>
      <c r="K178" s="9">
        <f>F178*J178</f>
        <v>3954.6</v>
      </c>
      <c r="L178" s="11">
        <v>2.5188000000000001</v>
      </c>
      <c r="M178" s="9">
        <f>J178*L178</f>
        <v>4980.4232400000001</v>
      </c>
      <c r="N178" s="9">
        <f>F178*M178</f>
        <v>9960.8464800000002</v>
      </c>
      <c r="O178" s="9">
        <f>O177+N178</f>
        <v>9960.8464800000002</v>
      </c>
    </row>
    <row r="179" spans="1:15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5" x14ac:dyDescent="0.25">
      <c r="B180" s="1"/>
      <c r="C180" s="1"/>
      <c r="D180" s="1"/>
      <c r="E180" s="1"/>
      <c r="F180" s="1"/>
      <c r="G180" s="1"/>
      <c r="H180" s="1"/>
      <c r="I180" s="1"/>
    </row>
    <row r="183" spans="1:15" ht="21" x14ac:dyDescent="0.35">
      <c r="A183" t="s">
        <v>0</v>
      </c>
      <c r="B183" s="125" t="s">
        <v>1</v>
      </c>
      <c r="C183" s="125"/>
      <c r="D183" s="125"/>
      <c r="E183" s="125"/>
      <c r="F183" s="125"/>
      <c r="G183" s="125"/>
      <c r="H183" s="125"/>
      <c r="I183" s="125"/>
      <c r="J183" s="125"/>
    </row>
    <row r="184" spans="1:15" ht="18.75" x14ac:dyDescent="0.3">
      <c r="A184" t="s">
        <v>2</v>
      </c>
      <c r="B184" s="3" t="s">
        <v>3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  <c r="H184" s="3" t="s">
        <v>9</v>
      </c>
      <c r="I184" s="3" t="s">
        <v>10</v>
      </c>
      <c r="J184" s="3"/>
    </row>
    <row r="185" spans="1:15" x14ac:dyDescent="0.25">
      <c r="B185" s="17">
        <v>46057</v>
      </c>
      <c r="C185" s="18" t="s">
        <v>188</v>
      </c>
      <c r="D185" s="18">
        <v>3</v>
      </c>
      <c r="E185" s="18">
        <v>397</v>
      </c>
      <c r="F185" s="7">
        <f>E185*D185</f>
        <v>1191</v>
      </c>
      <c r="G185" s="7">
        <v>2.5461</v>
      </c>
      <c r="H185" s="7">
        <f>E185*G185</f>
        <v>1010.8017</v>
      </c>
      <c r="I185" s="7">
        <f>H185*D185</f>
        <v>3032.4050999999999</v>
      </c>
      <c r="J185" s="5">
        <f>J184+I185</f>
        <v>3032.4050999999999</v>
      </c>
    </row>
    <row r="186" spans="1:15" x14ac:dyDescent="0.25">
      <c r="B186" s="8">
        <v>46057</v>
      </c>
      <c r="C186" s="9" t="s">
        <v>189</v>
      </c>
      <c r="D186" s="9">
        <v>4</v>
      </c>
      <c r="E186" s="9">
        <v>454</v>
      </c>
      <c r="F186" s="11">
        <f t="shared" ref="F186:F206" si="49">E186*D186</f>
        <v>1816</v>
      </c>
      <c r="G186" s="11">
        <v>2.5461</v>
      </c>
      <c r="H186" s="11">
        <f t="shared" ref="H186:H206" si="50">E186*G186</f>
        <v>1155.9294</v>
      </c>
      <c r="I186" s="11">
        <f t="shared" ref="I186:I206" si="51">H186*D186</f>
        <v>4623.7175999999999</v>
      </c>
      <c r="J186" s="9">
        <f t="shared" ref="J186:J206" si="52">J185+I186</f>
        <v>7656.1226999999999</v>
      </c>
    </row>
    <row r="187" spans="1:15" x14ac:dyDescent="0.25">
      <c r="B187" s="8">
        <v>46057</v>
      </c>
      <c r="C187" s="9" t="s">
        <v>190</v>
      </c>
      <c r="D187" s="9">
        <v>4</v>
      </c>
      <c r="E187" s="9">
        <v>450</v>
      </c>
      <c r="F187" s="11">
        <f t="shared" si="49"/>
        <v>1800</v>
      </c>
      <c r="G187" s="11">
        <v>2.5461</v>
      </c>
      <c r="H187" s="11">
        <f t="shared" si="50"/>
        <v>1145.7450000000001</v>
      </c>
      <c r="I187" s="11">
        <f t="shared" si="51"/>
        <v>4582.9800000000005</v>
      </c>
      <c r="J187" s="9">
        <f t="shared" si="52"/>
        <v>12239.102699999999</v>
      </c>
    </row>
    <row r="188" spans="1:15" x14ac:dyDescent="0.25">
      <c r="B188" s="8">
        <v>46058</v>
      </c>
      <c r="C188" s="9" t="s">
        <v>191</v>
      </c>
      <c r="D188" s="9">
        <v>50</v>
      </c>
      <c r="E188" s="9">
        <v>397</v>
      </c>
      <c r="F188" s="11">
        <f t="shared" si="49"/>
        <v>19850</v>
      </c>
      <c r="G188" s="11">
        <v>2.5461</v>
      </c>
      <c r="H188" s="11">
        <f t="shared" si="50"/>
        <v>1010.8017</v>
      </c>
      <c r="I188" s="11">
        <f t="shared" si="51"/>
        <v>50540.084999999999</v>
      </c>
      <c r="J188" s="9">
        <f t="shared" si="52"/>
        <v>62779.187699999995</v>
      </c>
    </row>
    <row r="189" spans="1:15" x14ac:dyDescent="0.25">
      <c r="B189" s="8">
        <v>46059</v>
      </c>
      <c r="C189" s="9" t="s">
        <v>189</v>
      </c>
      <c r="D189" s="9">
        <v>2</v>
      </c>
      <c r="E189" s="9">
        <v>450</v>
      </c>
      <c r="F189" s="11">
        <f t="shared" si="49"/>
        <v>900</v>
      </c>
      <c r="G189" s="11">
        <v>2.5461</v>
      </c>
      <c r="H189" s="11">
        <f t="shared" si="50"/>
        <v>1145.7450000000001</v>
      </c>
      <c r="I189" s="11">
        <f t="shared" si="51"/>
        <v>2291.4900000000002</v>
      </c>
      <c r="J189" s="9">
        <f t="shared" si="52"/>
        <v>65070.677699999993</v>
      </c>
    </row>
    <row r="190" spans="1:15" x14ac:dyDescent="0.25">
      <c r="B190" s="17">
        <v>46066</v>
      </c>
      <c r="C190" s="18" t="s">
        <v>192</v>
      </c>
      <c r="D190" s="18">
        <v>1</v>
      </c>
      <c r="E190" s="18">
        <v>2949</v>
      </c>
      <c r="F190" s="7">
        <f t="shared" si="49"/>
        <v>2949</v>
      </c>
      <c r="G190" s="7">
        <v>2.5461</v>
      </c>
      <c r="H190" s="7">
        <f t="shared" si="50"/>
        <v>7508.4489000000003</v>
      </c>
      <c r="I190" s="7">
        <f t="shared" si="51"/>
        <v>7508.4489000000003</v>
      </c>
      <c r="J190" s="5">
        <f t="shared" si="52"/>
        <v>72579.126599999989</v>
      </c>
    </row>
    <row r="191" spans="1:15" x14ac:dyDescent="0.25">
      <c r="B191" s="17">
        <v>46066</v>
      </c>
      <c r="C191" s="18" t="s">
        <v>193</v>
      </c>
      <c r="D191" s="18">
        <v>1</v>
      </c>
      <c r="E191" s="18">
        <v>0</v>
      </c>
      <c r="F191" s="7">
        <f t="shared" si="49"/>
        <v>0</v>
      </c>
      <c r="G191" s="7">
        <v>2.5461</v>
      </c>
      <c r="H191" s="7">
        <f t="shared" si="50"/>
        <v>0</v>
      </c>
      <c r="I191" s="7">
        <f t="shared" si="51"/>
        <v>0</v>
      </c>
      <c r="J191" s="5">
        <f t="shared" si="52"/>
        <v>72579.126599999989</v>
      </c>
    </row>
    <row r="192" spans="1:15" x14ac:dyDescent="0.25">
      <c r="B192" s="17">
        <v>46066</v>
      </c>
      <c r="C192" s="18" t="s">
        <v>194</v>
      </c>
      <c r="D192" s="18">
        <v>1</v>
      </c>
      <c r="E192" s="18">
        <v>4400</v>
      </c>
      <c r="F192" s="7">
        <f t="shared" si="49"/>
        <v>4400</v>
      </c>
      <c r="G192" s="7">
        <v>2.5461</v>
      </c>
      <c r="H192" s="7">
        <f t="shared" si="50"/>
        <v>11202.84</v>
      </c>
      <c r="I192" s="7">
        <f t="shared" si="51"/>
        <v>11202.84</v>
      </c>
      <c r="J192" s="5">
        <f t="shared" si="52"/>
        <v>83781.966599999985</v>
      </c>
    </row>
    <row r="193" spans="2:12" x14ac:dyDescent="0.25">
      <c r="B193" s="17">
        <v>46066</v>
      </c>
      <c r="C193" s="18" t="s">
        <v>195</v>
      </c>
      <c r="D193" s="18">
        <v>1</v>
      </c>
      <c r="E193" s="18">
        <v>3300</v>
      </c>
      <c r="F193" s="7">
        <f t="shared" si="49"/>
        <v>3300</v>
      </c>
      <c r="G193" s="7">
        <v>2.5461</v>
      </c>
      <c r="H193" s="7">
        <f t="shared" si="50"/>
        <v>8402.1299999999992</v>
      </c>
      <c r="I193" s="7">
        <f t="shared" si="51"/>
        <v>8402.1299999999992</v>
      </c>
      <c r="J193" s="5">
        <f t="shared" si="52"/>
        <v>92184.09659999999</v>
      </c>
    </row>
    <row r="194" spans="2:12" x14ac:dyDescent="0.25">
      <c r="B194" s="17">
        <v>46066</v>
      </c>
      <c r="C194" s="18" t="s">
        <v>196</v>
      </c>
      <c r="D194" s="18">
        <v>2</v>
      </c>
      <c r="E194" s="18">
        <v>1400</v>
      </c>
      <c r="F194" s="7">
        <f t="shared" si="49"/>
        <v>2800</v>
      </c>
      <c r="G194" s="7">
        <v>2.5461</v>
      </c>
      <c r="H194" s="7">
        <f t="shared" si="50"/>
        <v>3564.54</v>
      </c>
      <c r="I194" s="7">
        <f t="shared" si="51"/>
        <v>7129.08</v>
      </c>
      <c r="J194" s="5">
        <f t="shared" si="52"/>
        <v>99313.176599999992</v>
      </c>
    </row>
    <row r="195" spans="2:12" x14ac:dyDescent="0.25">
      <c r="B195" s="17">
        <v>46066</v>
      </c>
      <c r="C195" s="18" t="s">
        <v>197</v>
      </c>
      <c r="D195" s="18">
        <v>3</v>
      </c>
      <c r="E195" s="18">
        <v>520</v>
      </c>
      <c r="F195" s="7">
        <f t="shared" si="49"/>
        <v>1560</v>
      </c>
      <c r="G195" s="7">
        <v>2.5461</v>
      </c>
      <c r="H195" s="7">
        <f t="shared" si="50"/>
        <v>1323.972</v>
      </c>
      <c r="I195" s="7">
        <f t="shared" si="51"/>
        <v>3971.9160000000002</v>
      </c>
      <c r="J195" s="5">
        <f t="shared" si="52"/>
        <v>103285.09259999999</v>
      </c>
    </row>
    <row r="196" spans="2:12" x14ac:dyDescent="0.25">
      <c r="B196" s="17">
        <v>46066</v>
      </c>
      <c r="C196" s="18" t="s">
        <v>198</v>
      </c>
      <c r="D196" s="18">
        <v>1</v>
      </c>
      <c r="E196" s="18">
        <v>1299</v>
      </c>
      <c r="F196" s="7">
        <f t="shared" si="49"/>
        <v>1299</v>
      </c>
      <c r="G196" s="7">
        <v>2.5461</v>
      </c>
      <c r="H196" s="7">
        <f t="shared" si="50"/>
        <v>3307.3838999999998</v>
      </c>
      <c r="I196" s="7">
        <f t="shared" si="51"/>
        <v>3307.3838999999998</v>
      </c>
      <c r="J196" s="5">
        <f t="shared" si="52"/>
        <v>106592.47649999999</v>
      </c>
    </row>
    <row r="197" spans="2:12" x14ac:dyDescent="0.25">
      <c r="B197" s="8">
        <v>46066</v>
      </c>
      <c r="C197" s="9" t="s">
        <v>199</v>
      </c>
      <c r="D197" s="9">
        <v>5</v>
      </c>
      <c r="E197" s="9">
        <v>30</v>
      </c>
      <c r="F197" s="11">
        <f t="shared" si="49"/>
        <v>150</v>
      </c>
      <c r="G197" s="11">
        <v>2.5461</v>
      </c>
      <c r="H197" s="11">
        <f t="shared" si="50"/>
        <v>76.382999999999996</v>
      </c>
      <c r="I197" s="11">
        <f t="shared" si="51"/>
        <v>381.91499999999996</v>
      </c>
      <c r="J197" s="9">
        <f t="shared" si="52"/>
        <v>106974.39149999998</v>
      </c>
      <c r="K197" s="68">
        <v>46160</v>
      </c>
    </row>
    <row r="198" spans="2:12" x14ac:dyDescent="0.25">
      <c r="B198" s="8">
        <v>46073</v>
      </c>
      <c r="C198" s="9" t="s">
        <v>200</v>
      </c>
      <c r="D198" s="9">
        <v>80</v>
      </c>
      <c r="E198" s="9">
        <v>400</v>
      </c>
      <c r="F198" s="11">
        <f t="shared" si="49"/>
        <v>32000</v>
      </c>
      <c r="G198" s="11">
        <v>2.5461</v>
      </c>
      <c r="H198" s="11">
        <f t="shared" si="50"/>
        <v>1018.44</v>
      </c>
      <c r="I198" s="11">
        <f t="shared" si="51"/>
        <v>81475.200000000012</v>
      </c>
      <c r="J198" s="9">
        <f t="shared" si="52"/>
        <v>188449.59149999998</v>
      </c>
    </row>
    <row r="199" spans="2:12" x14ac:dyDescent="0.25">
      <c r="B199" s="8">
        <v>46072</v>
      </c>
      <c r="C199" s="9" t="s">
        <v>201</v>
      </c>
      <c r="D199" s="9">
        <v>60</v>
      </c>
      <c r="E199" s="9">
        <v>400</v>
      </c>
      <c r="F199" s="11">
        <f t="shared" si="49"/>
        <v>24000</v>
      </c>
      <c r="G199" s="11">
        <v>2.5461</v>
      </c>
      <c r="H199" s="11">
        <f t="shared" si="50"/>
        <v>1018.44</v>
      </c>
      <c r="I199" s="11">
        <f t="shared" si="51"/>
        <v>61106.400000000001</v>
      </c>
      <c r="J199" s="9">
        <f t="shared" si="52"/>
        <v>249555.99149999997</v>
      </c>
    </row>
    <row r="200" spans="2:12" x14ac:dyDescent="0.25">
      <c r="B200" s="17">
        <v>46074</v>
      </c>
      <c r="C200" s="18" t="s">
        <v>81</v>
      </c>
      <c r="D200" s="18">
        <v>10</v>
      </c>
      <c r="E200" s="18">
        <v>2100</v>
      </c>
      <c r="F200" s="7">
        <f t="shared" si="49"/>
        <v>21000</v>
      </c>
      <c r="G200" s="7">
        <v>2.5461</v>
      </c>
      <c r="H200" s="7">
        <f t="shared" si="50"/>
        <v>5346.81</v>
      </c>
      <c r="I200" s="7">
        <f t="shared" si="51"/>
        <v>53468.100000000006</v>
      </c>
      <c r="J200" s="5">
        <f t="shared" si="52"/>
        <v>303024.09149999998</v>
      </c>
    </row>
    <row r="201" spans="2:12" x14ac:dyDescent="0.25">
      <c r="B201" s="8">
        <v>46074</v>
      </c>
      <c r="C201" s="9" t="s">
        <v>202</v>
      </c>
      <c r="D201" s="9">
        <v>4</v>
      </c>
      <c r="E201" s="9">
        <v>450</v>
      </c>
      <c r="F201" s="11">
        <f t="shared" si="49"/>
        <v>1800</v>
      </c>
      <c r="G201" s="11">
        <v>2.5461</v>
      </c>
      <c r="H201" s="11">
        <f t="shared" si="50"/>
        <v>1145.7450000000001</v>
      </c>
      <c r="I201" s="11">
        <f t="shared" si="51"/>
        <v>4582.9800000000005</v>
      </c>
      <c r="J201" s="9">
        <f t="shared" si="52"/>
        <v>307607.07149999996</v>
      </c>
    </row>
    <row r="202" spans="2:12" x14ac:dyDescent="0.25">
      <c r="B202" s="17">
        <v>46074</v>
      </c>
      <c r="C202" s="18" t="s">
        <v>203</v>
      </c>
      <c r="D202" s="18">
        <v>4</v>
      </c>
      <c r="E202" s="18">
        <v>2099</v>
      </c>
      <c r="F202" s="7">
        <f t="shared" si="49"/>
        <v>8396</v>
      </c>
      <c r="G202" s="7">
        <v>2.5461</v>
      </c>
      <c r="H202" s="7">
        <f t="shared" si="50"/>
        <v>5344.2638999999999</v>
      </c>
      <c r="I202" s="7">
        <f t="shared" si="51"/>
        <v>21377.0556</v>
      </c>
      <c r="J202" s="5">
        <f t="shared" si="52"/>
        <v>328984.12709999998</v>
      </c>
    </row>
    <row r="203" spans="2:12" x14ac:dyDescent="0.25">
      <c r="B203" s="8">
        <v>46074</v>
      </c>
      <c r="C203" s="9" t="s">
        <v>204</v>
      </c>
      <c r="D203" s="9">
        <v>5</v>
      </c>
      <c r="E203" s="9">
        <v>450</v>
      </c>
      <c r="F203" s="11">
        <f t="shared" si="49"/>
        <v>2250</v>
      </c>
      <c r="G203" s="11">
        <v>2.5461</v>
      </c>
      <c r="H203" s="11">
        <f t="shared" si="50"/>
        <v>1145.7450000000001</v>
      </c>
      <c r="I203" s="11">
        <f t="shared" si="51"/>
        <v>5728.7250000000004</v>
      </c>
      <c r="J203" s="9">
        <f t="shared" si="52"/>
        <v>334712.85209999996</v>
      </c>
    </row>
    <row r="204" spans="2:12" x14ac:dyDescent="0.25">
      <c r="B204" s="8">
        <v>46078</v>
      </c>
      <c r="C204" s="9" t="s">
        <v>205</v>
      </c>
      <c r="D204" s="9">
        <v>40</v>
      </c>
      <c r="E204" s="9">
        <v>398</v>
      </c>
      <c r="F204" s="11">
        <f t="shared" si="49"/>
        <v>15920</v>
      </c>
      <c r="G204" s="11">
        <v>2.5461</v>
      </c>
      <c r="H204" s="11">
        <f t="shared" si="50"/>
        <v>1013.3478</v>
      </c>
      <c r="I204" s="11">
        <f t="shared" si="51"/>
        <v>40533.911999999997</v>
      </c>
      <c r="J204" s="9">
        <f t="shared" si="52"/>
        <v>375246.76409999997</v>
      </c>
      <c r="K204" s="68">
        <v>46160</v>
      </c>
      <c r="L204" s="102">
        <v>46192</v>
      </c>
    </row>
    <row r="205" spans="2:12" x14ac:dyDescent="0.25">
      <c r="B205" s="8">
        <v>46069</v>
      </c>
      <c r="C205" s="9" t="s">
        <v>206</v>
      </c>
      <c r="D205" s="65">
        <v>1</v>
      </c>
      <c r="E205" s="9">
        <v>21250.35</v>
      </c>
      <c r="F205" s="11">
        <f t="shared" si="49"/>
        <v>21250.35</v>
      </c>
      <c r="G205" s="11">
        <v>2.5461</v>
      </c>
      <c r="H205" s="11">
        <f t="shared" si="50"/>
        <v>54105.516134999998</v>
      </c>
      <c r="I205" s="11">
        <f t="shared" si="51"/>
        <v>54105.516134999998</v>
      </c>
      <c r="J205" s="9">
        <f t="shared" si="52"/>
        <v>429352.28023499995</v>
      </c>
    </row>
    <row r="206" spans="2:12" x14ac:dyDescent="0.25">
      <c r="B206" s="66">
        <v>46058</v>
      </c>
      <c r="C206" s="47" t="s">
        <v>207</v>
      </c>
      <c r="D206" s="67">
        <v>1</v>
      </c>
      <c r="E206" s="67">
        <v>20000</v>
      </c>
      <c r="F206" s="7">
        <f t="shared" si="49"/>
        <v>20000</v>
      </c>
      <c r="G206" s="7">
        <v>2.5461</v>
      </c>
      <c r="H206" s="7">
        <f t="shared" si="50"/>
        <v>50922</v>
      </c>
      <c r="I206" s="7">
        <f t="shared" si="51"/>
        <v>50922</v>
      </c>
      <c r="J206" s="5">
        <f t="shared" si="52"/>
        <v>480274.28023499995</v>
      </c>
    </row>
    <row r="207" spans="2:12" x14ac:dyDescent="0.25">
      <c r="B207" s="1"/>
      <c r="C207" s="1"/>
      <c r="D207" s="1"/>
      <c r="E207" s="1"/>
      <c r="F207" s="1"/>
      <c r="G207" s="1"/>
      <c r="H207" s="1"/>
      <c r="I207" s="1"/>
      <c r="J207" s="2"/>
    </row>
    <row r="208" spans="2:12" x14ac:dyDescent="0.25">
      <c r="B208" s="1"/>
      <c r="C208" s="1"/>
      <c r="D208" s="1"/>
      <c r="E208" s="1"/>
      <c r="F208" s="1"/>
      <c r="G208" s="1"/>
      <c r="H208" s="1"/>
      <c r="I208" s="1"/>
      <c r="J208" s="2"/>
    </row>
    <row r="209" spans="1:15" x14ac:dyDescent="0.25">
      <c r="B209" s="1"/>
      <c r="C209" s="1"/>
      <c r="D209" s="1"/>
      <c r="E209" s="1"/>
      <c r="F209" s="1"/>
      <c r="G209" s="1"/>
      <c r="H209" s="1"/>
      <c r="I209" s="1"/>
      <c r="J209" s="2"/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ht="21" x14ac:dyDescent="0.35">
      <c r="A212" t="s">
        <v>0</v>
      </c>
      <c r="B212" s="125" t="s">
        <v>34</v>
      </c>
      <c r="C212" s="125"/>
      <c r="D212" s="125"/>
      <c r="E212" s="125"/>
      <c r="F212" s="125"/>
      <c r="G212" s="125"/>
      <c r="H212" s="125"/>
      <c r="I212" s="125"/>
      <c r="J212" s="125"/>
    </row>
    <row r="213" spans="1:15" ht="18.75" x14ac:dyDescent="0.3">
      <c r="A213" t="s">
        <v>2</v>
      </c>
      <c r="B213" s="3" t="s">
        <v>3</v>
      </c>
      <c r="C213" s="3" t="s">
        <v>4</v>
      </c>
      <c r="D213" s="3" t="s">
        <v>5</v>
      </c>
      <c r="E213" s="3" t="s">
        <v>6</v>
      </c>
      <c r="F213" s="3" t="s">
        <v>7</v>
      </c>
      <c r="G213" s="3" t="s">
        <v>8</v>
      </c>
      <c r="H213" s="3" t="s">
        <v>9</v>
      </c>
      <c r="I213" s="3" t="s">
        <v>10</v>
      </c>
      <c r="J213" s="3"/>
    </row>
    <row r="214" spans="1:15" x14ac:dyDescent="0.25">
      <c r="B214" s="8">
        <v>46071</v>
      </c>
      <c r="C214" s="9" t="s">
        <v>208</v>
      </c>
      <c r="D214" s="9">
        <v>3</v>
      </c>
      <c r="E214" s="9">
        <v>1449</v>
      </c>
      <c r="F214" s="11">
        <f>E214*D214</f>
        <v>4347</v>
      </c>
      <c r="G214" s="11">
        <v>2.13</v>
      </c>
      <c r="H214" s="11">
        <f>E214*G214</f>
        <v>3086.37</v>
      </c>
      <c r="I214" s="11">
        <f>H214*D214</f>
        <v>9259.11</v>
      </c>
      <c r="J214" s="9">
        <f>J213+I214</f>
        <v>9259.11</v>
      </c>
    </row>
    <row r="215" spans="1:15" x14ac:dyDescent="0.25">
      <c r="B215" s="7"/>
      <c r="C215" s="7"/>
      <c r="D215" s="7"/>
      <c r="E215" s="7"/>
      <c r="F215" s="7">
        <f t="shared" ref="F215:F216" si="53">E215*D215</f>
        <v>0</v>
      </c>
      <c r="G215" s="7"/>
      <c r="H215" s="7">
        <f t="shared" ref="H215:H216" si="54">E215*G215</f>
        <v>0</v>
      </c>
      <c r="I215" s="7">
        <f t="shared" ref="I215:I216" si="55">H215*D215</f>
        <v>0</v>
      </c>
      <c r="J215" s="5">
        <f t="shared" ref="J215:J216" si="56">J214+I215</f>
        <v>9259.11</v>
      </c>
    </row>
    <row r="216" spans="1:15" x14ac:dyDescent="0.25">
      <c r="B216" s="7"/>
      <c r="C216" s="7"/>
      <c r="D216" s="7"/>
      <c r="E216" s="7"/>
      <c r="F216" s="7">
        <f t="shared" si="53"/>
        <v>0</v>
      </c>
      <c r="G216" s="7"/>
      <c r="H216" s="7">
        <f t="shared" si="54"/>
        <v>0</v>
      </c>
      <c r="I216" s="7">
        <f t="shared" si="55"/>
        <v>0</v>
      </c>
      <c r="J216" s="5">
        <f t="shared" si="56"/>
        <v>9259.11</v>
      </c>
    </row>
    <row r="217" spans="1:15" x14ac:dyDescent="0.25">
      <c r="B217" s="1"/>
      <c r="C217" s="1"/>
      <c r="D217" s="1"/>
      <c r="E217" s="1"/>
      <c r="F217" s="1"/>
      <c r="G217" s="1"/>
      <c r="H217" s="1"/>
      <c r="I217" s="1"/>
      <c r="J217" s="2"/>
    </row>
    <row r="218" spans="1:15" x14ac:dyDescent="0.25">
      <c r="B218" s="1"/>
      <c r="C218" s="1"/>
      <c r="D218" s="1"/>
      <c r="E218" s="1"/>
      <c r="F218" s="1"/>
      <c r="G218" s="1"/>
      <c r="H218" s="1"/>
      <c r="I218" s="1"/>
      <c r="J218" s="2"/>
    </row>
    <row r="219" spans="1:15" x14ac:dyDescent="0.25">
      <c r="B219" s="1"/>
      <c r="C219" s="1"/>
      <c r="D219" s="1"/>
      <c r="E219" s="1"/>
      <c r="F219" s="1"/>
      <c r="G219" s="1"/>
      <c r="H219" s="1"/>
      <c r="I219" s="1"/>
      <c r="J219" s="2"/>
    </row>
    <row r="220" spans="1:15" ht="21" x14ac:dyDescent="0.35">
      <c r="A220" t="s">
        <v>0</v>
      </c>
      <c r="B220" s="126" t="s">
        <v>1</v>
      </c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</row>
    <row r="221" spans="1:15" ht="18.75" x14ac:dyDescent="0.3">
      <c r="A221" t="s">
        <v>2</v>
      </c>
      <c r="B221" s="22" t="s">
        <v>3</v>
      </c>
      <c r="C221" s="22" t="s">
        <v>4</v>
      </c>
      <c r="D221" s="22" t="s">
        <v>60</v>
      </c>
      <c r="E221" s="22" t="s">
        <v>61</v>
      </c>
      <c r="F221" s="22" t="s">
        <v>5</v>
      </c>
      <c r="G221" s="22" t="s">
        <v>62</v>
      </c>
      <c r="H221" s="22" t="s">
        <v>63</v>
      </c>
      <c r="I221" s="22" t="s">
        <v>64</v>
      </c>
      <c r="J221" s="22" t="s">
        <v>65</v>
      </c>
      <c r="K221" s="22" t="s">
        <v>66</v>
      </c>
      <c r="L221" s="22" t="s">
        <v>67</v>
      </c>
      <c r="M221" s="22" t="s">
        <v>68</v>
      </c>
      <c r="N221" s="22" t="s">
        <v>10</v>
      </c>
      <c r="O221" s="23"/>
    </row>
    <row r="222" spans="1:15" x14ac:dyDescent="0.25">
      <c r="B222" s="17">
        <v>46047</v>
      </c>
      <c r="C222" s="18" t="s">
        <v>209</v>
      </c>
      <c r="D222" s="20"/>
      <c r="E222" s="20"/>
      <c r="F222" s="20">
        <v>2</v>
      </c>
      <c r="G222" s="18">
        <v>1497</v>
      </c>
      <c r="H222" s="20">
        <v>10</v>
      </c>
      <c r="I222" s="7">
        <f>G222*H222%</f>
        <v>149.70000000000002</v>
      </c>
      <c r="J222" s="5">
        <f>G222-I222</f>
        <v>1347.3</v>
      </c>
      <c r="K222" s="5">
        <f>F222*J222</f>
        <v>2694.6</v>
      </c>
      <c r="L222" s="5">
        <v>2.33</v>
      </c>
      <c r="M222" s="5">
        <f>J222*L222</f>
        <v>3139.2089999999998</v>
      </c>
      <c r="N222" s="5">
        <f>F222*M222</f>
        <v>6278.4179999999997</v>
      </c>
      <c r="O222" s="5">
        <f>O221+N222</f>
        <v>6278.4179999999997</v>
      </c>
    </row>
    <row r="223" spans="1:15" x14ac:dyDescent="0.25">
      <c r="B223" s="7"/>
      <c r="C223" s="7"/>
      <c r="D223" s="7"/>
      <c r="E223" s="7"/>
      <c r="F223" s="7"/>
      <c r="G223" s="7"/>
      <c r="H223" s="7"/>
      <c r="I223" s="7">
        <f t="shared" ref="I223" si="57">G223*H223%</f>
        <v>0</v>
      </c>
      <c r="J223" s="5">
        <f t="shared" ref="J223" si="58">G223-I223</f>
        <v>0</v>
      </c>
      <c r="K223" s="5">
        <f t="shared" ref="K223" si="59">F223*J223</f>
        <v>0</v>
      </c>
      <c r="L223" s="5"/>
      <c r="M223" s="5">
        <f t="shared" ref="M223" si="60">J223*L223</f>
        <v>0</v>
      </c>
      <c r="N223" s="5">
        <f t="shared" ref="N223" si="61">F223*M223</f>
        <v>0</v>
      </c>
      <c r="O223" s="5">
        <f t="shared" ref="O223" si="62">O222+N223</f>
        <v>6278.4179999999997</v>
      </c>
    </row>
    <row r="230" spans="1:10" x14ac:dyDescent="0.25">
      <c r="B230" s="1"/>
      <c r="C230" s="1"/>
      <c r="D230" s="1"/>
      <c r="E230" s="1"/>
      <c r="F230" s="1"/>
      <c r="G230" s="1"/>
      <c r="H230" s="1"/>
      <c r="I230" s="1"/>
      <c r="J230" s="2"/>
    </row>
    <row r="231" spans="1:10" ht="21" x14ac:dyDescent="0.35">
      <c r="A231" t="s">
        <v>0</v>
      </c>
      <c r="B231" s="125" t="s">
        <v>34</v>
      </c>
      <c r="C231" s="125"/>
      <c r="D231" s="125"/>
      <c r="E231" s="125"/>
      <c r="F231" s="125"/>
      <c r="G231" s="125"/>
      <c r="H231" s="125"/>
      <c r="I231" s="125"/>
      <c r="J231" s="125"/>
    </row>
    <row r="232" spans="1:10" ht="18.75" x14ac:dyDescent="0.3">
      <c r="A232" t="s">
        <v>2</v>
      </c>
      <c r="B232" s="3" t="s">
        <v>3</v>
      </c>
      <c r="C232" s="3" t="s">
        <v>4</v>
      </c>
      <c r="D232" s="3" t="s">
        <v>5</v>
      </c>
      <c r="E232" s="3" t="s">
        <v>6</v>
      </c>
      <c r="F232" s="3" t="s">
        <v>7</v>
      </c>
      <c r="G232" s="3" t="s">
        <v>8</v>
      </c>
      <c r="H232" s="3" t="s">
        <v>9</v>
      </c>
      <c r="I232" s="3" t="s">
        <v>10</v>
      </c>
      <c r="J232" s="3"/>
    </row>
    <row r="233" spans="1:10" x14ac:dyDescent="0.25">
      <c r="B233" s="17">
        <v>46034</v>
      </c>
      <c r="C233" s="18" t="s">
        <v>210</v>
      </c>
      <c r="D233" s="18">
        <v>30</v>
      </c>
      <c r="E233" s="18">
        <v>460</v>
      </c>
      <c r="F233" s="20">
        <f>E233*D233</f>
        <v>13800</v>
      </c>
      <c r="G233" s="7">
        <v>2.13</v>
      </c>
      <c r="H233" s="7">
        <f>E233*G233</f>
        <v>979.8</v>
      </c>
      <c r="I233" s="7">
        <f>H233*D233</f>
        <v>29394</v>
      </c>
      <c r="J233" s="5">
        <f>J232+I233</f>
        <v>29394</v>
      </c>
    </row>
    <row r="234" spans="1:10" x14ac:dyDescent="0.25">
      <c r="B234" s="7"/>
      <c r="C234" s="7"/>
      <c r="D234" s="7"/>
      <c r="E234" s="7"/>
      <c r="F234" s="7">
        <f t="shared" ref="F234" si="63">E234*D234</f>
        <v>0</v>
      </c>
      <c r="G234" s="7"/>
      <c r="H234" s="7">
        <f t="shared" ref="H234" si="64">E234*G234</f>
        <v>0</v>
      </c>
      <c r="I234" s="7">
        <f t="shared" ref="I234" si="65">H234*D234</f>
        <v>0</v>
      </c>
      <c r="J234" s="5">
        <f t="shared" ref="J234" si="66">J233+I234</f>
        <v>29394</v>
      </c>
    </row>
    <row r="235" spans="1:10" x14ac:dyDescent="0.25">
      <c r="B235" s="1"/>
      <c r="C235" s="1"/>
      <c r="D235" s="1"/>
      <c r="E235" s="1"/>
      <c r="F235" s="1"/>
      <c r="G235" s="1"/>
      <c r="H235" s="1"/>
      <c r="I235" s="1"/>
      <c r="J235" s="2"/>
    </row>
    <row r="236" spans="1:10" x14ac:dyDescent="0.25">
      <c r="B236" s="1"/>
      <c r="C236" s="1"/>
      <c r="D236" s="1"/>
      <c r="E236" s="1"/>
      <c r="F236" s="1"/>
      <c r="G236" s="1"/>
      <c r="H236" s="1"/>
      <c r="I236" s="1"/>
      <c r="J236" s="2"/>
    </row>
    <row r="237" spans="1:10" x14ac:dyDescent="0.25">
      <c r="B237" s="1"/>
      <c r="C237" s="1"/>
      <c r="D237" s="1"/>
      <c r="E237" s="1"/>
      <c r="F237" s="1"/>
      <c r="G237" s="1"/>
      <c r="H237" s="1"/>
      <c r="I237" s="1"/>
      <c r="J237" s="2"/>
    </row>
    <row r="238" spans="1:10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0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0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0" ht="21" x14ac:dyDescent="0.35">
      <c r="A241" t="s">
        <v>0</v>
      </c>
      <c r="B241" s="125" t="s">
        <v>1</v>
      </c>
      <c r="C241" s="125"/>
      <c r="D241" s="125"/>
      <c r="E241" s="125"/>
      <c r="F241" s="125"/>
      <c r="G241" s="125"/>
      <c r="H241" s="125"/>
      <c r="I241" s="125"/>
      <c r="J241" s="125"/>
    </row>
    <row r="242" spans="1:10" ht="18.75" x14ac:dyDescent="0.3">
      <c r="A242" t="s">
        <v>2</v>
      </c>
      <c r="B242" s="3" t="s">
        <v>3</v>
      </c>
      <c r="C242" s="3" t="s">
        <v>4</v>
      </c>
      <c r="D242" s="3" t="s">
        <v>5</v>
      </c>
      <c r="E242" s="3" t="s">
        <v>6</v>
      </c>
      <c r="F242" s="3" t="s">
        <v>7</v>
      </c>
      <c r="G242" s="3" t="s">
        <v>8</v>
      </c>
      <c r="H242" s="3" t="s">
        <v>9</v>
      </c>
      <c r="I242" s="3" t="s">
        <v>10</v>
      </c>
      <c r="J242" s="3"/>
    </row>
    <row r="243" spans="1:10" x14ac:dyDescent="0.25">
      <c r="B243" s="8">
        <v>46080</v>
      </c>
      <c r="C243" s="9" t="s">
        <v>211</v>
      </c>
      <c r="D243" s="9">
        <v>60</v>
      </c>
      <c r="E243" s="9">
        <v>400</v>
      </c>
      <c r="F243" s="11">
        <f>E243*D243</f>
        <v>24000</v>
      </c>
      <c r="G243" s="11">
        <v>2.5466000000000002</v>
      </c>
      <c r="H243" s="11">
        <f>E243*G243</f>
        <v>1018.6400000000001</v>
      </c>
      <c r="I243" s="11">
        <f>H243*D243</f>
        <v>61118.400000000009</v>
      </c>
      <c r="J243" s="9">
        <f>J242+I243</f>
        <v>61118.400000000009</v>
      </c>
    </row>
    <row r="244" spans="1:10" x14ac:dyDescent="0.25">
      <c r="B244" s="17">
        <v>46081</v>
      </c>
      <c r="C244" s="18" t="s">
        <v>212</v>
      </c>
      <c r="D244" s="18">
        <v>4</v>
      </c>
      <c r="E244" s="18">
        <v>590</v>
      </c>
      <c r="F244" s="20">
        <f t="shared" ref="F244:F248" si="67">E244*D244</f>
        <v>2360</v>
      </c>
      <c r="G244" s="20">
        <v>2.5466000000000002</v>
      </c>
      <c r="H244" s="7">
        <f t="shared" ref="H244:H248" si="68">E244*G244</f>
        <v>1502.4940000000001</v>
      </c>
      <c r="I244" s="7">
        <f t="shared" ref="I244:I248" si="69">H244*D244</f>
        <v>6009.9760000000006</v>
      </c>
      <c r="J244" s="5">
        <f t="shared" ref="J244:J248" si="70">J243+I244</f>
        <v>67128.376000000004</v>
      </c>
    </row>
    <row r="245" spans="1:10" x14ac:dyDescent="0.25">
      <c r="B245" s="17">
        <v>46081</v>
      </c>
      <c r="C245" s="18" t="s">
        <v>69</v>
      </c>
      <c r="D245" s="18">
        <v>1</v>
      </c>
      <c r="E245" s="18">
        <v>2099</v>
      </c>
      <c r="F245" s="20">
        <f t="shared" si="67"/>
        <v>2099</v>
      </c>
      <c r="G245" s="20">
        <v>2.5466000000000002</v>
      </c>
      <c r="H245" s="7">
        <f t="shared" si="68"/>
        <v>5345.3134</v>
      </c>
      <c r="I245" s="7">
        <f t="shared" si="69"/>
        <v>5345.3134</v>
      </c>
      <c r="J245" s="5">
        <f t="shared" si="70"/>
        <v>72473.689400000003</v>
      </c>
    </row>
    <row r="246" spans="1:10" x14ac:dyDescent="0.25">
      <c r="B246" s="8">
        <v>46083</v>
      </c>
      <c r="C246" s="9" t="s">
        <v>213</v>
      </c>
      <c r="D246" s="9">
        <v>80</v>
      </c>
      <c r="E246" s="10">
        <v>400</v>
      </c>
      <c r="F246" s="11">
        <f t="shared" si="67"/>
        <v>32000</v>
      </c>
      <c r="G246" s="11">
        <v>2.5466000000000002</v>
      </c>
      <c r="H246" s="11">
        <f t="shared" si="68"/>
        <v>1018.6400000000001</v>
      </c>
      <c r="I246" s="11">
        <f t="shared" si="69"/>
        <v>81491.200000000012</v>
      </c>
      <c r="J246" s="9">
        <f t="shared" si="70"/>
        <v>153964.88940000001</v>
      </c>
    </row>
    <row r="247" spans="1:10" x14ac:dyDescent="0.25">
      <c r="B247" s="75">
        <v>45982</v>
      </c>
      <c r="C247" s="25" t="s">
        <v>214</v>
      </c>
      <c r="D247" s="65">
        <v>16</v>
      </c>
      <c r="E247" s="65">
        <v>391</v>
      </c>
      <c r="F247" s="11">
        <f t="shared" si="67"/>
        <v>6256</v>
      </c>
      <c r="G247" s="11">
        <v>2.5466000000000002</v>
      </c>
      <c r="H247" s="11">
        <f t="shared" si="68"/>
        <v>995.7206000000001</v>
      </c>
      <c r="I247" s="11">
        <f t="shared" si="69"/>
        <v>15931.529600000002</v>
      </c>
      <c r="J247" s="9">
        <f t="shared" si="70"/>
        <v>169896.41900000002</v>
      </c>
    </row>
    <row r="248" spans="1:10" x14ac:dyDescent="0.25">
      <c r="B248" s="75">
        <v>45982</v>
      </c>
      <c r="C248" s="25" t="s">
        <v>215</v>
      </c>
      <c r="D248" s="65">
        <v>5</v>
      </c>
      <c r="E248" s="65">
        <v>1</v>
      </c>
      <c r="F248" s="11">
        <f t="shared" si="67"/>
        <v>5</v>
      </c>
      <c r="G248" s="11">
        <v>2.5466000000000002</v>
      </c>
      <c r="H248" s="11">
        <f t="shared" si="68"/>
        <v>2.5466000000000002</v>
      </c>
      <c r="I248" s="11">
        <f t="shared" si="69"/>
        <v>12.733000000000001</v>
      </c>
      <c r="J248" s="9">
        <f t="shared" si="70"/>
        <v>169909.15200000003</v>
      </c>
    </row>
    <row r="260" spans="1:10" x14ac:dyDescent="0.25">
      <c r="B260" s="1"/>
      <c r="C260" s="1"/>
      <c r="D260" s="1"/>
      <c r="E260" s="1"/>
      <c r="F260" s="1"/>
      <c r="G260" s="1"/>
      <c r="H260" s="1"/>
      <c r="I260" s="1"/>
      <c r="J260" s="2"/>
    </row>
    <row r="261" spans="1:10" ht="21" x14ac:dyDescent="0.35">
      <c r="A261" t="s">
        <v>0</v>
      </c>
      <c r="B261" s="125" t="s">
        <v>34</v>
      </c>
      <c r="C261" s="125"/>
      <c r="D261" s="125"/>
      <c r="E261" s="125"/>
      <c r="F261" s="125"/>
      <c r="G261" s="125"/>
      <c r="H261" s="125"/>
      <c r="I261" s="125"/>
      <c r="J261" s="125"/>
    </row>
    <row r="262" spans="1:10" ht="18.75" x14ac:dyDescent="0.3">
      <c r="A262" t="s">
        <v>2</v>
      </c>
      <c r="B262" s="3" t="s">
        <v>3</v>
      </c>
      <c r="C262" s="3" t="s">
        <v>4</v>
      </c>
      <c r="D262" s="3" t="s">
        <v>5</v>
      </c>
      <c r="E262" s="3" t="s">
        <v>6</v>
      </c>
      <c r="F262" s="3" t="s">
        <v>7</v>
      </c>
      <c r="G262" s="3" t="s">
        <v>8</v>
      </c>
      <c r="H262" s="3" t="s">
        <v>9</v>
      </c>
      <c r="I262" s="3" t="s">
        <v>10</v>
      </c>
      <c r="J262" s="3"/>
    </row>
    <row r="263" spans="1:10" x14ac:dyDescent="0.25">
      <c r="B263" s="8">
        <v>46113</v>
      </c>
      <c r="C263" s="9" t="s">
        <v>216</v>
      </c>
      <c r="D263" s="9">
        <v>10</v>
      </c>
      <c r="E263" s="10">
        <v>469</v>
      </c>
      <c r="F263" s="11">
        <f>E263*D263</f>
        <v>4690</v>
      </c>
      <c r="G263" s="11">
        <v>2.15</v>
      </c>
      <c r="H263" s="11">
        <f>E263*G263</f>
        <v>1008.3499999999999</v>
      </c>
      <c r="I263" s="11">
        <f>H263*D263</f>
        <v>10083.5</v>
      </c>
      <c r="J263" s="9">
        <f>J262+I263</f>
        <v>10083.5</v>
      </c>
    </row>
    <row r="264" spans="1:10" x14ac:dyDescent="0.25">
      <c r="B264" s="8">
        <v>46113</v>
      </c>
      <c r="C264" s="9" t="s">
        <v>217</v>
      </c>
      <c r="D264" s="9">
        <v>8</v>
      </c>
      <c r="E264" s="10">
        <v>1579</v>
      </c>
      <c r="F264" s="11">
        <f t="shared" ref="F264:F271" si="71">E264*D264</f>
        <v>12632</v>
      </c>
      <c r="G264" s="11">
        <v>2.15</v>
      </c>
      <c r="H264" s="11">
        <f t="shared" ref="H264:H271" si="72">E264*G264</f>
        <v>3394.85</v>
      </c>
      <c r="I264" s="11">
        <f t="shared" ref="I264:I271" si="73">H264*D264</f>
        <v>27158.799999999999</v>
      </c>
      <c r="J264" s="9">
        <f t="shared" ref="J264:J271" si="74">J263+I264</f>
        <v>37242.300000000003</v>
      </c>
    </row>
    <row r="265" spans="1:10" x14ac:dyDescent="0.25">
      <c r="B265" s="8">
        <v>46113</v>
      </c>
      <c r="C265" s="9" t="s">
        <v>218</v>
      </c>
      <c r="D265" s="9">
        <v>5</v>
      </c>
      <c r="E265" s="10">
        <v>1579</v>
      </c>
      <c r="F265" s="11">
        <f t="shared" si="71"/>
        <v>7895</v>
      </c>
      <c r="G265" s="11">
        <v>2.15</v>
      </c>
      <c r="H265" s="11">
        <f t="shared" si="72"/>
        <v>3394.85</v>
      </c>
      <c r="I265" s="11">
        <f t="shared" si="73"/>
        <v>16974.25</v>
      </c>
      <c r="J265" s="9">
        <f t="shared" si="74"/>
        <v>54216.55</v>
      </c>
    </row>
    <row r="266" spans="1:10" x14ac:dyDescent="0.25">
      <c r="B266" s="8">
        <v>46113</v>
      </c>
      <c r="C266" s="9" t="s">
        <v>219</v>
      </c>
      <c r="D266" s="9">
        <v>4</v>
      </c>
      <c r="E266" s="10">
        <v>779</v>
      </c>
      <c r="F266" s="11">
        <f t="shared" si="71"/>
        <v>3116</v>
      </c>
      <c r="G266" s="11">
        <v>2.15</v>
      </c>
      <c r="H266" s="11">
        <f t="shared" si="72"/>
        <v>1674.85</v>
      </c>
      <c r="I266" s="11">
        <f t="shared" si="73"/>
        <v>6699.4</v>
      </c>
      <c r="J266" s="9">
        <f t="shared" si="74"/>
        <v>60915.950000000004</v>
      </c>
    </row>
    <row r="267" spans="1:10" x14ac:dyDescent="0.25">
      <c r="B267" s="8">
        <v>46114</v>
      </c>
      <c r="C267" s="9" t="s">
        <v>220</v>
      </c>
      <c r="D267" s="9">
        <v>2</v>
      </c>
      <c r="E267" s="10">
        <v>1579</v>
      </c>
      <c r="F267" s="11">
        <f t="shared" si="71"/>
        <v>3158</v>
      </c>
      <c r="G267" s="11">
        <v>2.15</v>
      </c>
      <c r="H267" s="11">
        <f t="shared" si="72"/>
        <v>3394.85</v>
      </c>
      <c r="I267" s="11">
        <f t="shared" si="73"/>
        <v>6789.7</v>
      </c>
      <c r="J267" s="9">
        <f t="shared" si="74"/>
        <v>67705.650000000009</v>
      </c>
    </row>
    <row r="268" spans="1:10" x14ac:dyDescent="0.25">
      <c r="B268" s="8">
        <v>46113</v>
      </c>
      <c r="C268" s="9" t="s">
        <v>221</v>
      </c>
      <c r="D268" s="9">
        <v>4</v>
      </c>
      <c r="E268" s="10">
        <v>1579</v>
      </c>
      <c r="F268" s="11">
        <f t="shared" si="71"/>
        <v>6316</v>
      </c>
      <c r="G268" s="11">
        <v>2.15</v>
      </c>
      <c r="H268" s="11">
        <f t="shared" si="72"/>
        <v>3394.85</v>
      </c>
      <c r="I268" s="11">
        <f t="shared" si="73"/>
        <v>13579.4</v>
      </c>
      <c r="J268" s="9">
        <f t="shared" si="74"/>
        <v>81285.05</v>
      </c>
    </row>
    <row r="269" spans="1:10" x14ac:dyDescent="0.25">
      <c r="B269" s="8">
        <v>46113</v>
      </c>
      <c r="C269" s="9" t="s">
        <v>217</v>
      </c>
      <c r="D269" s="9">
        <v>3</v>
      </c>
      <c r="E269" s="10">
        <v>1579</v>
      </c>
      <c r="F269" s="11">
        <f t="shared" si="71"/>
        <v>4737</v>
      </c>
      <c r="G269" s="11">
        <v>2.15</v>
      </c>
      <c r="H269" s="11">
        <f t="shared" si="72"/>
        <v>3394.85</v>
      </c>
      <c r="I269" s="11">
        <f t="shared" si="73"/>
        <v>10184.549999999999</v>
      </c>
      <c r="J269" s="9">
        <f t="shared" si="74"/>
        <v>91469.6</v>
      </c>
    </row>
    <row r="270" spans="1:10" x14ac:dyDescent="0.25">
      <c r="B270" s="8">
        <v>46113</v>
      </c>
      <c r="C270" s="9" t="s">
        <v>220</v>
      </c>
      <c r="D270" s="9">
        <v>1</v>
      </c>
      <c r="E270" s="10">
        <v>1579</v>
      </c>
      <c r="F270" s="11">
        <f t="shared" si="71"/>
        <v>1579</v>
      </c>
      <c r="G270" s="11">
        <v>2.15</v>
      </c>
      <c r="H270" s="11">
        <f t="shared" si="72"/>
        <v>3394.85</v>
      </c>
      <c r="I270" s="11">
        <f t="shared" si="73"/>
        <v>3394.85</v>
      </c>
      <c r="J270" s="9">
        <f t="shared" si="74"/>
        <v>94864.450000000012</v>
      </c>
    </row>
    <row r="271" spans="1:10" x14ac:dyDescent="0.25">
      <c r="B271" s="8">
        <v>46114</v>
      </c>
      <c r="C271" s="9" t="s">
        <v>218</v>
      </c>
      <c r="D271" s="9">
        <v>3</v>
      </c>
      <c r="E271" s="10">
        <v>1579</v>
      </c>
      <c r="F271" s="11">
        <f t="shared" si="71"/>
        <v>4737</v>
      </c>
      <c r="G271" s="11">
        <v>2.15</v>
      </c>
      <c r="H271" s="11">
        <f t="shared" si="72"/>
        <v>3394.85</v>
      </c>
      <c r="I271" s="11">
        <f t="shared" si="73"/>
        <v>10184.549999999999</v>
      </c>
      <c r="J271" s="9">
        <f t="shared" si="74"/>
        <v>105049.00000000001</v>
      </c>
    </row>
    <row r="272" spans="1:10" x14ac:dyDescent="0.25">
      <c r="B272" s="8">
        <v>46114</v>
      </c>
      <c r="C272" s="9" t="s">
        <v>217</v>
      </c>
      <c r="D272" s="9">
        <v>3</v>
      </c>
      <c r="E272" s="10">
        <v>1579</v>
      </c>
      <c r="F272" s="11">
        <f>E272*D272</f>
        <v>4737</v>
      </c>
      <c r="G272" s="11">
        <v>2.15</v>
      </c>
      <c r="H272" s="11">
        <f>E272*G272</f>
        <v>3394.85</v>
      </c>
      <c r="I272" s="11">
        <f>H272*D272</f>
        <v>10184.549999999999</v>
      </c>
      <c r="J272" s="9">
        <f>J271+I272</f>
        <v>115233.55000000002</v>
      </c>
    </row>
    <row r="273" spans="1:11" x14ac:dyDescent="0.25">
      <c r="B273" s="8">
        <v>46118</v>
      </c>
      <c r="C273" s="9" t="s">
        <v>222</v>
      </c>
      <c r="D273" s="65">
        <v>10</v>
      </c>
      <c r="E273" s="65">
        <v>470</v>
      </c>
      <c r="F273" s="65">
        <f>E273*D273</f>
        <v>4700</v>
      </c>
      <c r="G273" s="65">
        <v>2.15</v>
      </c>
      <c r="H273" s="65">
        <f>E273*G273</f>
        <v>1010.5</v>
      </c>
      <c r="I273" s="65">
        <f>H273*D273</f>
        <v>10105</v>
      </c>
      <c r="J273" s="9">
        <f>J272+I273</f>
        <v>125338.55000000002</v>
      </c>
    </row>
    <row r="274" spans="1:11" x14ac:dyDescent="0.25">
      <c r="B274" s="4">
        <v>46114</v>
      </c>
      <c r="C274" s="5" t="s">
        <v>223</v>
      </c>
      <c r="D274" s="5">
        <v>1</v>
      </c>
      <c r="E274" s="6">
        <v>2748.46</v>
      </c>
      <c r="F274" s="7">
        <f>E274*D274</f>
        <v>2748.46</v>
      </c>
      <c r="G274" s="7">
        <v>2.15</v>
      </c>
      <c r="H274" s="7">
        <f>E274*G274</f>
        <v>5909.1889999999994</v>
      </c>
      <c r="I274" s="7">
        <f>H274*D274</f>
        <v>5909.1889999999994</v>
      </c>
      <c r="J274" s="18">
        <f>J273+I274</f>
        <v>131247.73900000003</v>
      </c>
    </row>
    <row r="275" spans="1:11" x14ac:dyDescent="0.25">
      <c r="B275" s="1"/>
      <c r="C275" s="1"/>
      <c r="D275" s="1"/>
      <c r="E275" s="1"/>
      <c r="F275" s="1"/>
      <c r="G275" s="1"/>
      <c r="H275" s="1"/>
      <c r="I275" s="1"/>
      <c r="J275" s="2"/>
    </row>
    <row r="276" spans="1:11" x14ac:dyDescent="0.25">
      <c r="B276" s="1"/>
      <c r="C276" s="1"/>
      <c r="D276" s="1"/>
      <c r="E276" s="1"/>
      <c r="F276" s="1"/>
      <c r="G276" s="1"/>
      <c r="H276" s="1"/>
      <c r="I276" s="1"/>
      <c r="J276" s="2"/>
    </row>
    <row r="277" spans="1:11" x14ac:dyDescent="0.25">
      <c r="B277" s="1"/>
      <c r="C277" s="1"/>
      <c r="D277" s="1"/>
      <c r="E277" s="1"/>
      <c r="F277" s="1"/>
      <c r="G277" s="1"/>
      <c r="H277" s="1"/>
      <c r="I277" s="1"/>
      <c r="J277" s="2"/>
    </row>
    <row r="278" spans="1:11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1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1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1" ht="21" x14ac:dyDescent="0.35">
      <c r="A281" t="s">
        <v>0</v>
      </c>
      <c r="B281" s="125" t="s">
        <v>1</v>
      </c>
      <c r="C281" s="125"/>
      <c r="D281" s="125"/>
      <c r="E281" s="125"/>
      <c r="F281" s="125"/>
      <c r="G281" s="125"/>
      <c r="H281" s="125"/>
      <c r="I281" s="125"/>
      <c r="J281" s="125"/>
    </row>
    <row r="282" spans="1:11" ht="18.75" x14ac:dyDescent="0.3">
      <c r="A282" t="s">
        <v>2</v>
      </c>
      <c r="B282" s="3" t="s">
        <v>3</v>
      </c>
      <c r="C282" s="3" t="s">
        <v>4</v>
      </c>
      <c r="D282" s="3" t="s">
        <v>5</v>
      </c>
      <c r="E282" s="3" t="s">
        <v>6</v>
      </c>
      <c r="F282" s="3" t="s">
        <v>7</v>
      </c>
      <c r="G282" s="3" t="s">
        <v>8</v>
      </c>
      <c r="H282" s="3" t="s">
        <v>9</v>
      </c>
      <c r="I282" s="3" t="s">
        <v>10</v>
      </c>
      <c r="J282" s="3"/>
    </row>
    <row r="283" spans="1:11" x14ac:dyDescent="0.25">
      <c r="B283" s="8">
        <v>46127</v>
      </c>
      <c r="C283" s="9" t="s">
        <v>224</v>
      </c>
      <c r="D283" s="9">
        <v>500</v>
      </c>
      <c r="E283" s="10">
        <v>398</v>
      </c>
      <c r="F283" s="11">
        <f t="shared" ref="F283:F292" si="75">E283*D283</f>
        <v>199000</v>
      </c>
      <c r="G283" s="11">
        <v>2.5585</v>
      </c>
      <c r="H283" s="11">
        <f t="shared" ref="H283:H292" si="76">E283*G283</f>
        <v>1018.283</v>
      </c>
      <c r="I283" s="11">
        <f t="shared" ref="I283:I292" si="77">H283*D283</f>
        <v>509141.5</v>
      </c>
      <c r="J283" s="9">
        <f>J282+I283</f>
        <v>509141.5</v>
      </c>
    </row>
    <row r="284" spans="1:11" x14ac:dyDescent="0.25">
      <c r="B284" s="8">
        <v>46129</v>
      </c>
      <c r="C284" s="9" t="s">
        <v>225</v>
      </c>
      <c r="D284" s="9">
        <v>2</v>
      </c>
      <c r="E284" s="10">
        <v>1199</v>
      </c>
      <c r="F284" s="11">
        <f t="shared" si="75"/>
        <v>2398</v>
      </c>
      <c r="G284" s="11">
        <v>2.5585</v>
      </c>
      <c r="H284" s="11">
        <f t="shared" si="76"/>
        <v>3067.6415000000002</v>
      </c>
      <c r="I284" s="11">
        <f t="shared" si="77"/>
        <v>6135.2830000000004</v>
      </c>
      <c r="J284" s="9">
        <f t="shared" ref="J284:J292" si="78">J283+I284</f>
        <v>515276.783</v>
      </c>
    </row>
    <row r="285" spans="1:11" x14ac:dyDescent="0.25">
      <c r="B285" s="8">
        <v>46129</v>
      </c>
      <c r="C285" s="9" t="s">
        <v>226</v>
      </c>
      <c r="D285" s="9">
        <v>2</v>
      </c>
      <c r="E285" s="10">
        <v>1199</v>
      </c>
      <c r="F285" s="11">
        <f t="shared" si="75"/>
        <v>2398</v>
      </c>
      <c r="G285" s="11">
        <v>2.5585</v>
      </c>
      <c r="H285" s="11">
        <f t="shared" si="76"/>
        <v>3067.6415000000002</v>
      </c>
      <c r="I285" s="11">
        <f t="shared" si="77"/>
        <v>6135.2830000000004</v>
      </c>
      <c r="J285" s="9">
        <f t="shared" si="78"/>
        <v>521412.06599999999</v>
      </c>
    </row>
    <row r="286" spans="1:11" x14ac:dyDescent="0.25">
      <c r="B286" s="8">
        <v>46129</v>
      </c>
      <c r="C286" s="9" t="s">
        <v>226</v>
      </c>
      <c r="D286" s="9">
        <v>3</v>
      </c>
      <c r="E286" s="10">
        <v>1199</v>
      </c>
      <c r="F286" s="11">
        <f t="shared" si="75"/>
        <v>3597</v>
      </c>
      <c r="G286" s="11">
        <v>2.5585</v>
      </c>
      <c r="H286" s="11">
        <f t="shared" si="76"/>
        <v>3067.6415000000002</v>
      </c>
      <c r="I286" s="11">
        <f t="shared" si="77"/>
        <v>9202.924500000001</v>
      </c>
      <c r="J286" s="9">
        <f t="shared" si="78"/>
        <v>530614.99049999996</v>
      </c>
    </row>
    <row r="287" spans="1:11" x14ac:dyDescent="0.25">
      <c r="B287" s="8">
        <v>46129</v>
      </c>
      <c r="C287" s="9" t="s">
        <v>226</v>
      </c>
      <c r="D287" s="9">
        <v>1</v>
      </c>
      <c r="E287" s="10">
        <v>750</v>
      </c>
      <c r="F287" s="11">
        <f t="shared" si="75"/>
        <v>750</v>
      </c>
      <c r="G287" s="11">
        <v>2.5585</v>
      </c>
      <c r="H287" s="11">
        <f t="shared" si="76"/>
        <v>1918.875</v>
      </c>
      <c r="I287" s="11">
        <f t="shared" si="77"/>
        <v>1918.875</v>
      </c>
      <c r="J287" s="9">
        <f t="shared" si="78"/>
        <v>532533.86549999996</v>
      </c>
    </row>
    <row r="288" spans="1:11" x14ac:dyDescent="0.25">
      <c r="B288" s="8">
        <v>46130</v>
      </c>
      <c r="C288" s="9" t="s">
        <v>227</v>
      </c>
      <c r="D288" s="9">
        <v>4</v>
      </c>
      <c r="E288" s="10">
        <v>1199</v>
      </c>
      <c r="F288" s="11">
        <f t="shared" si="75"/>
        <v>4796</v>
      </c>
      <c r="G288" s="11">
        <v>2.5585</v>
      </c>
      <c r="H288" s="11">
        <f t="shared" si="76"/>
        <v>3067.6415000000002</v>
      </c>
      <c r="I288" s="11">
        <f t="shared" si="77"/>
        <v>12270.566000000001</v>
      </c>
      <c r="J288" s="9">
        <f t="shared" si="78"/>
        <v>544804.43149999995</v>
      </c>
      <c r="K288" s="68">
        <v>46160</v>
      </c>
    </row>
    <row r="289" spans="1:16" x14ac:dyDescent="0.25">
      <c r="B289" s="8">
        <v>46130</v>
      </c>
      <c r="C289" s="9" t="s">
        <v>228</v>
      </c>
      <c r="D289" s="9">
        <v>4</v>
      </c>
      <c r="E289" s="9">
        <v>1199</v>
      </c>
      <c r="F289" s="11">
        <f t="shared" si="75"/>
        <v>4796</v>
      </c>
      <c r="G289" s="11">
        <v>2.5585</v>
      </c>
      <c r="H289" s="11">
        <f t="shared" si="76"/>
        <v>3067.6415000000002</v>
      </c>
      <c r="I289" s="11">
        <f t="shared" si="77"/>
        <v>12270.566000000001</v>
      </c>
      <c r="J289" s="9">
        <f t="shared" si="78"/>
        <v>557074.99749999994</v>
      </c>
      <c r="K289" s="68">
        <v>46160</v>
      </c>
    </row>
    <row r="290" spans="1:16" x14ac:dyDescent="0.25">
      <c r="B290" s="8">
        <v>46127</v>
      </c>
      <c r="C290" s="9" t="s">
        <v>229</v>
      </c>
      <c r="D290" s="9">
        <v>1</v>
      </c>
      <c r="E290" s="10">
        <v>200</v>
      </c>
      <c r="F290" s="11">
        <f t="shared" si="75"/>
        <v>200</v>
      </c>
      <c r="G290" s="11">
        <v>2.5585</v>
      </c>
      <c r="H290" s="11">
        <f t="shared" si="76"/>
        <v>511.7</v>
      </c>
      <c r="I290" s="11">
        <f t="shared" si="77"/>
        <v>511.7</v>
      </c>
      <c r="J290" s="9">
        <f t="shared" si="78"/>
        <v>557586.69749999989</v>
      </c>
    </row>
    <row r="291" spans="1:16" x14ac:dyDescent="0.25">
      <c r="B291" s="8">
        <v>46129</v>
      </c>
      <c r="C291" s="9" t="s">
        <v>230</v>
      </c>
      <c r="D291" s="9">
        <v>1</v>
      </c>
      <c r="E291" s="10">
        <v>2350</v>
      </c>
      <c r="F291" s="11">
        <f t="shared" si="75"/>
        <v>2350</v>
      </c>
      <c r="G291" s="11">
        <v>2.5585</v>
      </c>
      <c r="H291" s="11">
        <f t="shared" si="76"/>
        <v>6012.4750000000004</v>
      </c>
      <c r="I291" s="11">
        <f t="shared" si="77"/>
        <v>6012.4750000000004</v>
      </c>
      <c r="J291" s="9">
        <f t="shared" si="78"/>
        <v>563599.17249999987</v>
      </c>
    </row>
    <row r="292" spans="1:16" x14ac:dyDescent="0.25">
      <c r="B292" s="8">
        <v>46120</v>
      </c>
      <c r="C292" s="9" t="s">
        <v>231</v>
      </c>
      <c r="D292" s="9">
        <v>4</v>
      </c>
      <c r="E292" s="10">
        <v>25</v>
      </c>
      <c r="F292" s="11">
        <f t="shared" si="75"/>
        <v>100</v>
      </c>
      <c r="G292" s="11">
        <v>2.5585</v>
      </c>
      <c r="H292" s="11">
        <f t="shared" si="76"/>
        <v>63.962499999999999</v>
      </c>
      <c r="I292" s="11">
        <f t="shared" si="77"/>
        <v>255.85</v>
      </c>
      <c r="J292" s="9">
        <f t="shared" si="78"/>
        <v>563855.02249999985</v>
      </c>
    </row>
    <row r="293" spans="1:16" x14ac:dyDescent="0.25">
      <c r="B293" s="68"/>
      <c r="E293" s="69"/>
      <c r="F293" s="1"/>
      <c r="G293" s="1"/>
      <c r="H293" s="1"/>
      <c r="I293" s="1"/>
    </row>
    <row r="294" spans="1:16" x14ac:dyDescent="0.25">
      <c r="B294" s="68"/>
      <c r="E294" s="69"/>
      <c r="F294" s="1"/>
      <c r="G294" s="1"/>
      <c r="H294" s="1"/>
      <c r="I294" s="1"/>
    </row>
    <row r="295" spans="1:16" x14ac:dyDescent="0.25">
      <c r="B295" s="68"/>
      <c r="E295" s="69"/>
      <c r="F295" s="1"/>
      <c r="G295" s="1"/>
      <c r="H295" s="1"/>
      <c r="I295" s="1"/>
    </row>
    <row r="296" spans="1:16" x14ac:dyDescent="0.25">
      <c r="B296" s="1"/>
      <c r="C296" s="1"/>
      <c r="D296" s="1"/>
      <c r="E296" s="1"/>
      <c r="F296" s="1"/>
      <c r="G296" s="1"/>
      <c r="H296" s="1"/>
      <c r="I296" s="1"/>
      <c r="J296" s="2"/>
    </row>
    <row r="297" spans="1:16" x14ac:dyDescent="0.25">
      <c r="B297" s="1"/>
      <c r="C297" s="1"/>
      <c r="D297" s="1"/>
      <c r="E297" s="1"/>
      <c r="F297" s="1"/>
      <c r="G297" s="1"/>
      <c r="H297" s="1"/>
      <c r="I297" s="1"/>
      <c r="J297" s="2"/>
    </row>
    <row r="298" spans="1:16" x14ac:dyDescent="0.25">
      <c r="B298" s="1"/>
      <c r="C298" s="1"/>
      <c r="D298" s="1"/>
      <c r="E298" s="1"/>
      <c r="F298" s="1"/>
      <c r="G298" s="1"/>
      <c r="H298" s="1"/>
      <c r="I298" s="1"/>
      <c r="J298" s="2"/>
    </row>
    <row r="299" spans="1:16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6" ht="21" x14ac:dyDescent="0.35">
      <c r="A300" t="s">
        <v>0</v>
      </c>
      <c r="B300" s="126" t="s">
        <v>1</v>
      </c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</row>
    <row r="301" spans="1:16" ht="18.75" x14ac:dyDescent="0.3">
      <c r="A301" t="s">
        <v>2</v>
      </c>
      <c r="B301" s="22" t="s">
        <v>3</v>
      </c>
      <c r="C301" s="22" t="s">
        <v>4</v>
      </c>
      <c r="D301" s="22" t="s">
        <v>60</v>
      </c>
      <c r="E301" s="22" t="s">
        <v>61</v>
      </c>
      <c r="F301" s="22" t="s">
        <v>5</v>
      </c>
      <c r="G301" s="22" t="s">
        <v>62</v>
      </c>
      <c r="H301" s="22" t="s">
        <v>63</v>
      </c>
      <c r="I301" s="22" t="s">
        <v>64</v>
      </c>
      <c r="J301" s="22" t="s">
        <v>65</v>
      </c>
      <c r="K301" s="22" t="s">
        <v>66</v>
      </c>
      <c r="L301" s="22" t="s">
        <v>67</v>
      </c>
      <c r="M301" s="22" t="s">
        <v>68</v>
      </c>
      <c r="N301" s="22" t="s">
        <v>10</v>
      </c>
      <c r="O301" s="23"/>
    </row>
    <row r="302" spans="1:16" x14ac:dyDescent="0.25">
      <c r="B302" s="8">
        <v>46120</v>
      </c>
      <c r="C302" s="9" t="s">
        <v>232</v>
      </c>
      <c r="D302" s="9"/>
      <c r="E302" s="11"/>
      <c r="F302" s="9">
        <v>2</v>
      </c>
      <c r="G302" s="10">
        <v>2199</v>
      </c>
      <c r="H302" s="11">
        <v>10</v>
      </c>
      <c r="I302" s="11">
        <f t="shared" ref="I302:I308" si="79">G302*H302%</f>
        <v>219.9</v>
      </c>
      <c r="J302" s="9">
        <f t="shared" ref="J302:J308" si="80">G302-I302</f>
        <v>1979.1</v>
      </c>
      <c r="K302" s="9">
        <f>F302*J302</f>
        <v>3958.2</v>
      </c>
      <c r="L302" s="11">
        <v>2.5585</v>
      </c>
      <c r="M302" s="9">
        <v>5063.5200000000004</v>
      </c>
      <c r="N302" s="9">
        <f>F302*M302</f>
        <v>10127.040000000001</v>
      </c>
      <c r="O302" s="9">
        <f>O301+N302</f>
        <v>10127.040000000001</v>
      </c>
      <c r="P302" s="68">
        <v>46160</v>
      </c>
    </row>
    <row r="303" spans="1:16" x14ac:dyDescent="0.25">
      <c r="B303" s="8">
        <v>46120</v>
      </c>
      <c r="C303" s="9" t="s">
        <v>233</v>
      </c>
      <c r="D303" s="9"/>
      <c r="E303" s="11"/>
      <c r="F303" s="9">
        <v>2</v>
      </c>
      <c r="G303" s="10">
        <v>2199</v>
      </c>
      <c r="H303" s="11">
        <v>10</v>
      </c>
      <c r="I303" s="11">
        <f t="shared" si="79"/>
        <v>219.9</v>
      </c>
      <c r="J303" s="9">
        <f t="shared" si="80"/>
        <v>1979.1</v>
      </c>
      <c r="K303" s="9">
        <f t="shared" ref="K303:K308" si="81">F303*J303</f>
        <v>3958.2</v>
      </c>
      <c r="L303" s="11">
        <v>2.5585</v>
      </c>
      <c r="M303" s="9">
        <f t="shared" ref="M303:M308" si="82">J303*L303</f>
        <v>5063.5273499999994</v>
      </c>
      <c r="N303" s="9">
        <f t="shared" ref="N303:N308" si="83">F303*M303</f>
        <v>10127.054699999999</v>
      </c>
      <c r="O303" s="9">
        <f t="shared" ref="O303:O308" si="84">O302+N303</f>
        <v>20254.094700000001</v>
      </c>
    </row>
    <row r="304" spans="1:16" x14ac:dyDescent="0.25">
      <c r="B304" s="8">
        <v>46119</v>
      </c>
      <c r="C304" s="9" t="s">
        <v>234</v>
      </c>
      <c r="D304" s="11"/>
      <c r="E304" s="11"/>
      <c r="F304" s="9">
        <v>40</v>
      </c>
      <c r="G304" s="10">
        <v>2199</v>
      </c>
      <c r="H304" s="11">
        <v>10</v>
      </c>
      <c r="I304" s="11">
        <f t="shared" si="79"/>
        <v>219.9</v>
      </c>
      <c r="J304" s="9">
        <f t="shared" si="80"/>
        <v>1979.1</v>
      </c>
      <c r="K304" s="9">
        <f t="shared" si="81"/>
        <v>79164</v>
      </c>
      <c r="L304" s="11">
        <v>2.5585</v>
      </c>
      <c r="M304" s="9">
        <f t="shared" si="82"/>
        <v>5063.5273499999994</v>
      </c>
      <c r="N304" s="9">
        <f t="shared" si="83"/>
        <v>202541.09399999998</v>
      </c>
      <c r="O304" s="9">
        <f t="shared" si="84"/>
        <v>222795.1887</v>
      </c>
    </row>
    <row r="305" spans="1:15" x14ac:dyDescent="0.25">
      <c r="B305" s="8">
        <v>46119</v>
      </c>
      <c r="C305" s="9" t="s">
        <v>235</v>
      </c>
      <c r="D305" s="11"/>
      <c r="E305" s="11"/>
      <c r="F305" s="9">
        <v>6</v>
      </c>
      <c r="G305" s="10">
        <v>689</v>
      </c>
      <c r="H305" s="11">
        <v>10</v>
      </c>
      <c r="I305" s="11">
        <f t="shared" si="79"/>
        <v>68.900000000000006</v>
      </c>
      <c r="J305" s="9">
        <f t="shared" si="80"/>
        <v>620.1</v>
      </c>
      <c r="K305" s="9">
        <f t="shared" si="81"/>
        <v>3720.6000000000004</v>
      </c>
      <c r="L305" s="11">
        <v>2.5585</v>
      </c>
      <c r="M305" s="9">
        <f t="shared" si="82"/>
        <v>1586.52585</v>
      </c>
      <c r="N305" s="9">
        <f t="shared" si="83"/>
        <v>9519.1550999999999</v>
      </c>
      <c r="O305" s="9">
        <f t="shared" si="84"/>
        <v>232314.3438</v>
      </c>
    </row>
    <row r="306" spans="1:15" x14ac:dyDescent="0.25">
      <c r="B306" s="8">
        <v>46119</v>
      </c>
      <c r="C306" s="9" t="s">
        <v>236</v>
      </c>
      <c r="D306" s="11"/>
      <c r="E306" s="11"/>
      <c r="F306" s="9">
        <v>7</v>
      </c>
      <c r="G306" s="10">
        <v>398</v>
      </c>
      <c r="H306" s="11">
        <v>10</v>
      </c>
      <c r="I306" s="11">
        <f t="shared" si="79"/>
        <v>39.800000000000004</v>
      </c>
      <c r="J306" s="9">
        <f t="shared" si="80"/>
        <v>358.2</v>
      </c>
      <c r="K306" s="9">
        <f t="shared" si="81"/>
        <v>2507.4</v>
      </c>
      <c r="L306" s="11">
        <v>2.5585</v>
      </c>
      <c r="M306" s="9">
        <f t="shared" si="82"/>
        <v>916.4547</v>
      </c>
      <c r="N306" s="9">
        <f t="shared" si="83"/>
        <v>6415.1828999999998</v>
      </c>
      <c r="O306" s="9">
        <f t="shared" si="84"/>
        <v>238729.52669999999</v>
      </c>
    </row>
    <row r="307" spans="1:15" x14ac:dyDescent="0.25">
      <c r="B307" s="8">
        <v>46119</v>
      </c>
      <c r="C307" s="9" t="s">
        <v>237</v>
      </c>
      <c r="D307" s="11"/>
      <c r="E307" s="11"/>
      <c r="F307" s="9">
        <v>60</v>
      </c>
      <c r="G307" s="10">
        <v>398</v>
      </c>
      <c r="H307" s="11">
        <v>10</v>
      </c>
      <c r="I307" s="11">
        <f t="shared" si="79"/>
        <v>39.800000000000004</v>
      </c>
      <c r="J307" s="9">
        <f t="shared" si="80"/>
        <v>358.2</v>
      </c>
      <c r="K307" s="9">
        <f t="shared" si="81"/>
        <v>21492</v>
      </c>
      <c r="L307" s="11">
        <v>2.5585</v>
      </c>
      <c r="M307" s="9">
        <f t="shared" si="82"/>
        <v>916.4547</v>
      </c>
      <c r="N307" s="9">
        <f t="shared" si="83"/>
        <v>54987.281999999999</v>
      </c>
      <c r="O307" s="9">
        <f t="shared" si="84"/>
        <v>293716.80869999999</v>
      </c>
    </row>
    <row r="308" spans="1:15" x14ac:dyDescent="0.25">
      <c r="B308" s="7"/>
      <c r="C308" s="7"/>
      <c r="D308" s="7"/>
      <c r="E308" s="7"/>
      <c r="F308" s="7"/>
      <c r="G308" s="7"/>
      <c r="H308" s="7"/>
      <c r="I308" s="7">
        <f t="shared" si="79"/>
        <v>0</v>
      </c>
      <c r="J308" s="5">
        <f t="shared" si="80"/>
        <v>0</v>
      </c>
      <c r="K308" s="5">
        <f t="shared" si="81"/>
        <v>0</v>
      </c>
      <c r="L308" s="5"/>
      <c r="M308" s="5">
        <f t="shared" si="82"/>
        <v>0</v>
      </c>
      <c r="N308" s="5">
        <f t="shared" si="83"/>
        <v>0</v>
      </c>
      <c r="O308" s="5">
        <f t="shared" si="84"/>
        <v>293716.80869999999</v>
      </c>
    </row>
    <row r="309" spans="1:15" x14ac:dyDescent="0.25">
      <c r="B309" s="1"/>
      <c r="C309" s="1"/>
      <c r="D309" s="1"/>
      <c r="E309" s="1"/>
      <c r="F309" s="1"/>
      <c r="G309" s="1"/>
      <c r="H309" s="1"/>
      <c r="I309" s="1"/>
      <c r="J309" s="2"/>
    </row>
    <row r="310" spans="1:15" x14ac:dyDescent="0.25">
      <c r="B310" s="1"/>
      <c r="C310" s="1"/>
      <c r="D310" s="1"/>
      <c r="E310" s="1"/>
      <c r="F310" s="1"/>
      <c r="G310" s="1"/>
      <c r="H310" s="1"/>
      <c r="I310" s="1"/>
      <c r="J310" s="2"/>
    </row>
    <row r="311" spans="1:15" x14ac:dyDescent="0.25">
      <c r="B311" s="1"/>
      <c r="C311" s="1"/>
      <c r="D311" s="1"/>
      <c r="E311" s="1"/>
      <c r="F311" s="1"/>
      <c r="G311" s="1"/>
      <c r="H311" s="1"/>
      <c r="I311" s="1"/>
      <c r="J311" s="2"/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ht="21" x14ac:dyDescent="0.35">
      <c r="A315" t="s">
        <v>0</v>
      </c>
      <c r="B315" s="125" t="s">
        <v>34</v>
      </c>
      <c r="C315" s="125"/>
      <c r="D315" s="125"/>
      <c r="E315" s="125"/>
      <c r="F315" s="125"/>
      <c r="G315" s="125"/>
      <c r="H315" s="125"/>
      <c r="I315" s="125"/>
      <c r="J315" s="125"/>
    </row>
    <row r="316" spans="1:15" ht="18.75" x14ac:dyDescent="0.3">
      <c r="A316" t="s">
        <v>2</v>
      </c>
      <c r="B316" s="3" t="s">
        <v>3</v>
      </c>
      <c r="C316" s="3" t="s">
        <v>4</v>
      </c>
      <c r="D316" s="3" t="s">
        <v>5</v>
      </c>
      <c r="E316" s="3" t="s">
        <v>6</v>
      </c>
      <c r="F316" s="3" t="s">
        <v>7</v>
      </c>
      <c r="G316" s="3" t="s">
        <v>8</v>
      </c>
      <c r="H316" s="3" t="s">
        <v>9</v>
      </c>
      <c r="I316" s="3" t="s">
        <v>10</v>
      </c>
      <c r="J316" s="3"/>
    </row>
    <row r="317" spans="1:15" x14ac:dyDescent="0.25">
      <c r="B317" s="8">
        <v>46132</v>
      </c>
      <c r="C317" s="9" t="s">
        <v>238</v>
      </c>
      <c r="D317" s="9">
        <v>1</v>
      </c>
      <c r="E317" s="9">
        <v>1649</v>
      </c>
      <c r="F317" s="11">
        <f>E317*D317</f>
        <v>1649</v>
      </c>
      <c r="G317" s="11">
        <v>2.15</v>
      </c>
      <c r="H317" s="11">
        <f>E317*G317</f>
        <v>3545.35</v>
      </c>
      <c r="I317" s="11">
        <f>H317*D317</f>
        <v>3545.35</v>
      </c>
      <c r="J317" s="9">
        <f>J316+I317</f>
        <v>3545.35</v>
      </c>
    </row>
    <row r="318" spans="1:15" x14ac:dyDescent="0.25">
      <c r="B318" s="8">
        <v>46132</v>
      </c>
      <c r="C318" s="9" t="s">
        <v>239</v>
      </c>
      <c r="D318" s="9">
        <v>1</v>
      </c>
      <c r="E318" s="9">
        <v>17999</v>
      </c>
      <c r="F318" s="11">
        <f t="shared" ref="F318:F325" si="85">E318*D318</f>
        <v>17999</v>
      </c>
      <c r="G318" s="11">
        <v>2.15</v>
      </c>
      <c r="H318" s="11">
        <f t="shared" ref="H318:H325" si="86">E318*G318</f>
        <v>38697.85</v>
      </c>
      <c r="I318" s="11">
        <f t="shared" ref="I318:I325" si="87">H318*D318</f>
        <v>38697.85</v>
      </c>
      <c r="J318" s="9">
        <f t="shared" ref="J318:J325" si="88">J317+I318</f>
        <v>42243.199999999997</v>
      </c>
    </row>
    <row r="319" spans="1:15" x14ac:dyDescent="0.25">
      <c r="B319" s="8">
        <v>46132</v>
      </c>
      <c r="C319" s="9" t="s">
        <v>240</v>
      </c>
      <c r="D319" s="9">
        <v>5</v>
      </c>
      <c r="E319" s="9">
        <v>786</v>
      </c>
      <c r="F319" s="11">
        <f t="shared" si="85"/>
        <v>3930</v>
      </c>
      <c r="G319" s="11">
        <v>2.15</v>
      </c>
      <c r="H319" s="11">
        <f t="shared" si="86"/>
        <v>1689.8999999999999</v>
      </c>
      <c r="I319" s="11">
        <f t="shared" si="87"/>
        <v>8449.5</v>
      </c>
      <c r="J319" s="9">
        <f t="shared" si="88"/>
        <v>50692.7</v>
      </c>
    </row>
    <row r="320" spans="1:15" x14ac:dyDescent="0.25">
      <c r="B320" s="8">
        <v>46134</v>
      </c>
      <c r="C320" s="9" t="s">
        <v>241</v>
      </c>
      <c r="D320" s="9">
        <v>10</v>
      </c>
      <c r="E320" s="9">
        <v>1579</v>
      </c>
      <c r="F320" s="11">
        <f t="shared" si="85"/>
        <v>15790</v>
      </c>
      <c r="G320" s="11">
        <v>2.15</v>
      </c>
      <c r="H320" s="11">
        <f t="shared" si="86"/>
        <v>3394.85</v>
      </c>
      <c r="I320" s="11">
        <f t="shared" si="87"/>
        <v>33948.5</v>
      </c>
      <c r="J320" s="9">
        <f t="shared" si="88"/>
        <v>84641.2</v>
      </c>
    </row>
    <row r="321" spans="1:16" x14ac:dyDescent="0.25">
      <c r="B321" s="8">
        <v>46136</v>
      </c>
      <c r="C321" s="9" t="s">
        <v>242</v>
      </c>
      <c r="D321" s="9">
        <v>10</v>
      </c>
      <c r="E321" s="9">
        <v>1489</v>
      </c>
      <c r="F321" s="11">
        <f t="shared" si="85"/>
        <v>14890</v>
      </c>
      <c r="G321" s="11">
        <v>2.15</v>
      </c>
      <c r="H321" s="11">
        <f t="shared" si="86"/>
        <v>3201.35</v>
      </c>
      <c r="I321" s="11">
        <f t="shared" si="87"/>
        <v>32013.5</v>
      </c>
      <c r="J321" s="9">
        <f t="shared" si="88"/>
        <v>116654.7</v>
      </c>
    </row>
    <row r="322" spans="1:16" x14ac:dyDescent="0.25">
      <c r="B322" s="8">
        <v>46136</v>
      </c>
      <c r="C322" s="9" t="s">
        <v>242</v>
      </c>
      <c r="D322" s="70">
        <v>10</v>
      </c>
      <c r="E322" s="70">
        <v>1489</v>
      </c>
      <c r="F322" s="11">
        <f t="shared" si="85"/>
        <v>14890</v>
      </c>
      <c r="G322" s="11">
        <v>2.15</v>
      </c>
      <c r="H322" s="11">
        <f t="shared" si="86"/>
        <v>3201.35</v>
      </c>
      <c r="I322" s="11">
        <f t="shared" si="87"/>
        <v>32013.5</v>
      </c>
      <c r="J322" s="9">
        <f t="shared" si="88"/>
        <v>148668.20000000001</v>
      </c>
    </row>
    <row r="323" spans="1:16" x14ac:dyDescent="0.25">
      <c r="B323" s="20"/>
      <c r="C323" s="20"/>
      <c r="D323" s="20"/>
      <c r="E323" s="20"/>
      <c r="F323" s="20">
        <f t="shared" si="85"/>
        <v>0</v>
      </c>
      <c r="G323" s="20"/>
      <c r="H323" s="20">
        <f t="shared" si="86"/>
        <v>0</v>
      </c>
      <c r="I323" s="20">
        <f t="shared" si="87"/>
        <v>0</v>
      </c>
      <c r="J323" s="18">
        <f t="shared" si="88"/>
        <v>148668.20000000001</v>
      </c>
    </row>
    <row r="324" spans="1:16" x14ac:dyDescent="0.25">
      <c r="B324" s="7"/>
      <c r="C324" s="7"/>
      <c r="D324" s="7"/>
      <c r="E324" s="7"/>
      <c r="F324" s="7">
        <f t="shared" si="85"/>
        <v>0</v>
      </c>
      <c r="G324" s="7"/>
      <c r="H324" s="7">
        <f t="shared" si="86"/>
        <v>0</v>
      </c>
      <c r="I324" s="7">
        <f t="shared" si="87"/>
        <v>0</v>
      </c>
      <c r="J324" s="5">
        <f t="shared" si="88"/>
        <v>148668.20000000001</v>
      </c>
    </row>
    <row r="325" spans="1:16" x14ac:dyDescent="0.25">
      <c r="B325" s="7"/>
      <c r="C325" s="7"/>
      <c r="D325" s="7"/>
      <c r="E325" s="7"/>
      <c r="F325" s="7">
        <f t="shared" si="85"/>
        <v>0</v>
      </c>
      <c r="G325" s="7"/>
      <c r="H325" s="7">
        <f t="shared" si="86"/>
        <v>0</v>
      </c>
      <c r="I325" s="7">
        <f t="shared" si="87"/>
        <v>0</v>
      </c>
      <c r="J325" s="5">
        <f t="shared" si="88"/>
        <v>148668.20000000001</v>
      </c>
    </row>
    <row r="326" spans="1:16" x14ac:dyDescent="0.25">
      <c r="B326" s="1"/>
      <c r="C326" s="1"/>
      <c r="D326" s="1"/>
      <c r="E326" s="1"/>
      <c r="F326" s="1"/>
      <c r="G326" s="1"/>
      <c r="H326" s="1"/>
      <c r="I326" s="1"/>
      <c r="J326" s="2"/>
    </row>
    <row r="327" spans="1:16" x14ac:dyDescent="0.25">
      <c r="B327" s="1"/>
      <c r="C327" s="1"/>
      <c r="D327" s="1"/>
      <c r="E327" s="1"/>
      <c r="F327" s="1"/>
      <c r="G327" s="1"/>
      <c r="H327" s="1"/>
      <c r="I327" s="1"/>
      <c r="J327" s="2"/>
    </row>
    <row r="328" spans="1:16" x14ac:dyDescent="0.25">
      <c r="B328" s="1"/>
      <c r="C328" s="1"/>
      <c r="D328" s="1"/>
      <c r="E328" s="1"/>
      <c r="F328" s="1"/>
      <c r="G328" s="1"/>
      <c r="H328" s="1"/>
      <c r="I328" s="1"/>
      <c r="J328" s="2"/>
    </row>
    <row r="329" spans="1:16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6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6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6" ht="21" x14ac:dyDescent="0.35">
      <c r="A332" t="s">
        <v>0</v>
      </c>
      <c r="B332" s="126" t="s">
        <v>1</v>
      </c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</row>
    <row r="333" spans="1:16" ht="18.75" x14ac:dyDescent="0.3">
      <c r="A333" t="s">
        <v>2</v>
      </c>
      <c r="B333" s="22" t="s">
        <v>3</v>
      </c>
      <c r="C333" s="22" t="s">
        <v>4</v>
      </c>
      <c r="D333" s="22" t="s">
        <v>60</v>
      </c>
      <c r="E333" s="22" t="s">
        <v>61</v>
      </c>
      <c r="F333" s="22" t="s">
        <v>5</v>
      </c>
      <c r="G333" s="22" t="s">
        <v>62</v>
      </c>
      <c r="H333" s="22" t="s">
        <v>63</v>
      </c>
      <c r="I333" s="22" t="s">
        <v>64</v>
      </c>
      <c r="J333" s="22" t="s">
        <v>65</v>
      </c>
      <c r="K333" s="22" t="s">
        <v>66</v>
      </c>
      <c r="L333" s="22" t="s">
        <v>67</v>
      </c>
      <c r="M333" s="22" t="s">
        <v>68</v>
      </c>
      <c r="N333" s="22" t="s">
        <v>10</v>
      </c>
      <c r="O333" s="23"/>
    </row>
    <row r="334" spans="1:16" x14ac:dyDescent="0.25">
      <c r="B334" s="8">
        <v>46138</v>
      </c>
      <c r="C334" s="9" t="s">
        <v>243</v>
      </c>
      <c r="D334" s="9" t="s">
        <v>244</v>
      </c>
      <c r="E334" s="9" t="s">
        <v>245</v>
      </c>
      <c r="F334" s="9">
        <v>2</v>
      </c>
      <c r="G334" s="32">
        <v>2199</v>
      </c>
      <c r="H334" s="11">
        <v>10</v>
      </c>
      <c r="I334" s="11">
        <f>G334*H334%</f>
        <v>219.9</v>
      </c>
      <c r="J334" s="9">
        <f>G334-I334</f>
        <v>1979.1</v>
      </c>
      <c r="K334" s="9">
        <f>F334*J334</f>
        <v>3958.2</v>
      </c>
      <c r="L334" s="9">
        <v>2.5994000000000002</v>
      </c>
      <c r="M334" s="9">
        <f>J334*L334</f>
        <v>5144.4725399999998</v>
      </c>
      <c r="N334" s="9">
        <f>F334*M334</f>
        <v>10288.94508</v>
      </c>
      <c r="O334" s="9">
        <f>O333+N334</f>
        <v>10288.94508</v>
      </c>
      <c r="P334" s="68">
        <v>46160</v>
      </c>
    </row>
    <row r="335" spans="1:16" x14ac:dyDescent="0.25">
      <c r="B335" s="8">
        <v>46138</v>
      </c>
      <c r="C335" s="9" t="s">
        <v>246</v>
      </c>
      <c r="D335" s="9" t="s">
        <v>244</v>
      </c>
      <c r="E335" s="9" t="s">
        <v>245</v>
      </c>
      <c r="F335" s="9">
        <v>2</v>
      </c>
      <c r="G335" s="32">
        <v>2199</v>
      </c>
      <c r="H335" s="11">
        <v>10</v>
      </c>
      <c r="I335" s="11">
        <f t="shared" ref="I335:I352" si="89">G335*H335%</f>
        <v>219.9</v>
      </c>
      <c r="J335" s="9">
        <f t="shared" ref="J335:J352" si="90">G335-I335</f>
        <v>1979.1</v>
      </c>
      <c r="K335" s="9">
        <f t="shared" ref="K335:K352" si="91">F335*J335</f>
        <v>3958.2</v>
      </c>
      <c r="L335" s="9">
        <v>2.5994000000000002</v>
      </c>
      <c r="M335" s="9">
        <f t="shared" ref="M335:M352" si="92">J335*L335</f>
        <v>5144.4725399999998</v>
      </c>
      <c r="N335" s="9">
        <f t="shared" ref="N335:N352" si="93">F335*M335</f>
        <v>10288.94508</v>
      </c>
      <c r="O335" s="9">
        <f t="shared" ref="O335:O352" si="94">O334+N335</f>
        <v>20577.890159999999</v>
      </c>
      <c r="P335" s="68">
        <v>46160</v>
      </c>
    </row>
    <row r="336" spans="1:16" x14ac:dyDescent="0.25">
      <c r="B336" s="8">
        <v>46138</v>
      </c>
      <c r="C336" s="9" t="s">
        <v>214</v>
      </c>
      <c r="D336" s="9" t="s">
        <v>244</v>
      </c>
      <c r="E336" s="9" t="s">
        <v>245</v>
      </c>
      <c r="F336" s="9">
        <v>1</v>
      </c>
      <c r="G336" s="32">
        <v>399</v>
      </c>
      <c r="H336" s="11">
        <v>10</v>
      </c>
      <c r="I336" s="11">
        <f t="shared" si="89"/>
        <v>39.900000000000006</v>
      </c>
      <c r="J336" s="9">
        <f t="shared" si="90"/>
        <v>359.1</v>
      </c>
      <c r="K336" s="9">
        <f t="shared" si="91"/>
        <v>359.1</v>
      </c>
      <c r="L336" s="9">
        <v>2.5994000000000002</v>
      </c>
      <c r="M336" s="9">
        <f t="shared" si="92"/>
        <v>933.44454000000007</v>
      </c>
      <c r="N336" s="9">
        <f t="shared" si="93"/>
        <v>933.44454000000007</v>
      </c>
      <c r="O336" s="9">
        <f t="shared" si="94"/>
        <v>21511.334699999999</v>
      </c>
      <c r="P336" s="68">
        <v>46160</v>
      </c>
    </row>
    <row r="337" spans="2:17" x14ac:dyDescent="0.25">
      <c r="B337" s="8">
        <v>46138</v>
      </c>
      <c r="C337" s="9" t="s">
        <v>247</v>
      </c>
      <c r="D337" s="9" t="s">
        <v>244</v>
      </c>
      <c r="E337" s="9" t="s">
        <v>245</v>
      </c>
      <c r="F337" s="9">
        <v>1</v>
      </c>
      <c r="G337" s="32">
        <v>1400</v>
      </c>
      <c r="H337" s="11">
        <v>10</v>
      </c>
      <c r="I337" s="11">
        <f t="shared" si="89"/>
        <v>140</v>
      </c>
      <c r="J337" s="9">
        <f t="shared" si="90"/>
        <v>1260</v>
      </c>
      <c r="K337" s="9">
        <f t="shared" si="91"/>
        <v>1260</v>
      </c>
      <c r="L337" s="9">
        <v>2.5994000000000002</v>
      </c>
      <c r="M337" s="9">
        <f t="shared" si="92"/>
        <v>3275.2440000000001</v>
      </c>
      <c r="N337" s="9">
        <f t="shared" si="93"/>
        <v>3275.2440000000001</v>
      </c>
      <c r="O337" s="9">
        <f t="shared" si="94"/>
        <v>24786.578699999998</v>
      </c>
      <c r="P337" s="68">
        <v>46160</v>
      </c>
    </row>
    <row r="338" spans="2:17" x14ac:dyDescent="0.25">
      <c r="B338" s="8">
        <v>46138</v>
      </c>
      <c r="C338" s="9" t="s">
        <v>248</v>
      </c>
      <c r="D338" s="9" t="s">
        <v>244</v>
      </c>
      <c r="E338" s="9" t="s">
        <v>245</v>
      </c>
      <c r="F338" s="9">
        <v>1</v>
      </c>
      <c r="G338" s="32">
        <v>675.79</v>
      </c>
      <c r="H338" s="11">
        <v>10</v>
      </c>
      <c r="I338" s="11">
        <f t="shared" si="89"/>
        <v>67.578999999999994</v>
      </c>
      <c r="J338" s="9">
        <f t="shared" si="90"/>
        <v>608.21100000000001</v>
      </c>
      <c r="K338" s="9">
        <f t="shared" si="91"/>
        <v>608.21100000000001</v>
      </c>
      <c r="L338" s="9">
        <v>2.5994000000000002</v>
      </c>
      <c r="M338" s="9">
        <f t="shared" si="92"/>
        <v>1580.9836734</v>
      </c>
      <c r="N338" s="9">
        <f t="shared" si="93"/>
        <v>1580.9836734</v>
      </c>
      <c r="O338" s="9">
        <f t="shared" si="94"/>
        <v>26367.562373399996</v>
      </c>
      <c r="P338" s="68">
        <v>46160</v>
      </c>
    </row>
    <row r="339" spans="2:17" x14ac:dyDescent="0.25">
      <c r="B339" s="8">
        <v>46139</v>
      </c>
      <c r="C339" s="9" t="s">
        <v>246</v>
      </c>
      <c r="D339" s="9" t="s">
        <v>244</v>
      </c>
      <c r="E339" s="9" t="s">
        <v>245</v>
      </c>
      <c r="F339" s="9">
        <v>2</v>
      </c>
      <c r="G339" s="32">
        <v>2199</v>
      </c>
      <c r="H339" s="11">
        <v>10</v>
      </c>
      <c r="I339" s="11">
        <f t="shared" si="89"/>
        <v>219.9</v>
      </c>
      <c r="J339" s="9">
        <f t="shared" si="90"/>
        <v>1979.1</v>
      </c>
      <c r="K339" s="9">
        <f t="shared" si="91"/>
        <v>3958.2</v>
      </c>
      <c r="L339" s="9">
        <v>2.5994000000000002</v>
      </c>
      <c r="M339" s="9">
        <f t="shared" si="92"/>
        <v>5144.4725399999998</v>
      </c>
      <c r="N339" s="9">
        <f t="shared" si="93"/>
        <v>10288.94508</v>
      </c>
      <c r="O339" s="9">
        <f t="shared" si="94"/>
        <v>36656.507453399994</v>
      </c>
      <c r="P339" s="68">
        <v>46160</v>
      </c>
    </row>
    <row r="340" spans="2:17" x14ac:dyDescent="0.25">
      <c r="B340" s="8">
        <v>46139</v>
      </c>
      <c r="C340" s="9" t="s">
        <v>248</v>
      </c>
      <c r="D340" s="9" t="s">
        <v>244</v>
      </c>
      <c r="E340" s="9" t="s">
        <v>245</v>
      </c>
      <c r="F340" s="9">
        <v>1</v>
      </c>
      <c r="G340" s="32">
        <v>689</v>
      </c>
      <c r="H340" s="11">
        <v>10</v>
      </c>
      <c r="I340" s="11">
        <f t="shared" si="89"/>
        <v>68.900000000000006</v>
      </c>
      <c r="J340" s="9">
        <f t="shared" si="90"/>
        <v>620.1</v>
      </c>
      <c r="K340" s="9">
        <f t="shared" si="91"/>
        <v>620.1</v>
      </c>
      <c r="L340" s="9">
        <v>2.5994000000000002</v>
      </c>
      <c r="M340" s="9">
        <f t="shared" si="92"/>
        <v>1611.8879400000001</v>
      </c>
      <c r="N340" s="9">
        <f t="shared" si="93"/>
        <v>1611.8879400000001</v>
      </c>
      <c r="O340" s="9">
        <f t="shared" si="94"/>
        <v>38268.395393399995</v>
      </c>
      <c r="P340" s="68">
        <v>46160</v>
      </c>
    </row>
    <row r="341" spans="2:17" x14ac:dyDescent="0.25">
      <c r="B341" s="8">
        <v>46139</v>
      </c>
      <c r="C341" s="9" t="s">
        <v>249</v>
      </c>
      <c r="D341" s="9" t="s">
        <v>244</v>
      </c>
      <c r="E341" s="9" t="s">
        <v>245</v>
      </c>
      <c r="F341" s="9">
        <v>1</v>
      </c>
      <c r="G341" s="32">
        <v>4500</v>
      </c>
      <c r="H341" s="11">
        <v>10</v>
      </c>
      <c r="I341" s="11">
        <f t="shared" si="89"/>
        <v>450</v>
      </c>
      <c r="J341" s="9">
        <f t="shared" si="90"/>
        <v>4050</v>
      </c>
      <c r="K341" s="9">
        <f t="shared" si="91"/>
        <v>4050</v>
      </c>
      <c r="L341" s="9">
        <v>2.5994000000000002</v>
      </c>
      <c r="M341" s="9">
        <f t="shared" si="92"/>
        <v>10527.570000000002</v>
      </c>
      <c r="N341" s="9">
        <f t="shared" si="93"/>
        <v>10527.570000000002</v>
      </c>
      <c r="O341" s="9">
        <f t="shared" si="94"/>
        <v>48795.965393399994</v>
      </c>
      <c r="P341" s="68">
        <v>46160</v>
      </c>
    </row>
    <row r="342" spans="2:17" x14ac:dyDescent="0.25">
      <c r="B342" s="8">
        <v>46139</v>
      </c>
      <c r="C342" s="9" t="s">
        <v>214</v>
      </c>
      <c r="D342" s="9" t="s">
        <v>244</v>
      </c>
      <c r="E342" s="9" t="s">
        <v>245</v>
      </c>
      <c r="F342" s="9">
        <v>1</v>
      </c>
      <c r="G342" s="32">
        <v>299</v>
      </c>
      <c r="H342" s="11">
        <v>10</v>
      </c>
      <c r="I342" s="11">
        <f t="shared" si="89"/>
        <v>29.900000000000002</v>
      </c>
      <c r="J342" s="9">
        <f t="shared" si="90"/>
        <v>269.10000000000002</v>
      </c>
      <c r="K342" s="9">
        <f t="shared" si="91"/>
        <v>269.10000000000002</v>
      </c>
      <c r="L342" s="9">
        <v>2.5994000000000002</v>
      </c>
      <c r="M342" s="9">
        <f t="shared" si="92"/>
        <v>699.49854000000005</v>
      </c>
      <c r="N342" s="9">
        <f t="shared" si="93"/>
        <v>699.49854000000005</v>
      </c>
      <c r="O342" s="9">
        <f t="shared" si="94"/>
        <v>49495.463933399995</v>
      </c>
      <c r="P342" s="68">
        <v>46160</v>
      </c>
    </row>
    <row r="343" spans="2:17" x14ac:dyDescent="0.25">
      <c r="B343" s="8">
        <v>46139</v>
      </c>
      <c r="C343" s="9" t="s">
        <v>150</v>
      </c>
      <c r="D343" s="9" t="s">
        <v>244</v>
      </c>
      <c r="E343" s="9" t="s">
        <v>245</v>
      </c>
      <c r="F343" s="9">
        <v>11</v>
      </c>
      <c r="G343" s="32">
        <v>125</v>
      </c>
      <c r="H343" s="11">
        <v>10</v>
      </c>
      <c r="I343" s="11">
        <f t="shared" si="89"/>
        <v>12.5</v>
      </c>
      <c r="J343" s="9">
        <f t="shared" si="90"/>
        <v>112.5</v>
      </c>
      <c r="K343" s="9">
        <f t="shared" si="91"/>
        <v>1237.5</v>
      </c>
      <c r="L343" s="9">
        <v>2.5994000000000002</v>
      </c>
      <c r="M343" s="9">
        <f t="shared" si="92"/>
        <v>292.4325</v>
      </c>
      <c r="N343" s="9">
        <f t="shared" si="93"/>
        <v>3216.7575000000002</v>
      </c>
      <c r="O343" s="9">
        <f t="shared" si="94"/>
        <v>52712.221433399995</v>
      </c>
      <c r="P343" s="68">
        <v>46160</v>
      </c>
      <c r="Q343" s="68">
        <v>46196</v>
      </c>
    </row>
    <row r="344" spans="2:17" x14ac:dyDescent="0.25">
      <c r="B344" s="8">
        <v>46139</v>
      </c>
      <c r="C344" s="9" t="s">
        <v>250</v>
      </c>
      <c r="D344" s="9" t="s">
        <v>244</v>
      </c>
      <c r="E344" s="9" t="s">
        <v>251</v>
      </c>
      <c r="F344" s="9">
        <v>2</v>
      </c>
      <c r="G344" s="32">
        <v>2199</v>
      </c>
      <c r="H344" s="11">
        <v>10</v>
      </c>
      <c r="I344" s="11">
        <f t="shared" si="89"/>
        <v>219.9</v>
      </c>
      <c r="J344" s="9">
        <f t="shared" si="90"/>
        <v>1979.1</v>
      </c>
      <c r="K344" s="9">
        <f t="shared" si="91"/>
        <v>3958.2</v>
      </c>
      <c r="L344" s="9">
        <v>2.5994000000000002</v>
      </c>
      <c r="M344" s="9">
        <f t="shared" si="92"/>
        <v>5144.4725399999998</v>
      </c>
      <c r="N344" s="9">
        <f t="shared" si="93"/>
        <v>10288.94508</v>
      </c>
      <c r="O344" s="9">
        <f t="shared" si="94"/>
        <v>63001.166513399992</v>
      </c>
      <c r="P344" s="68">
        <v>46160</v>
      </c>
    </row>
    <row r="345" spans="2:17" x14ac:dyDescent="0.25">
      <c r="B345" s="8">
        <v>46139</v>
      </c>
      <c r="C345" s="9" t="s">
        <v>252</v>
      </c>
      <c r="D345" s="9" t="s">
        <v>244</v>
      </c>
      <c r="E345" s="9" t="s">
        <v>245</v>
      </c>
      <c r="F345" s="9">
        <v>1</v>
      </c>
      <c r="G345" s="32">
        <v>3440</v>
      </c>
      <c r="H345" s="11">
        <v>10</v>
      </c>
      <c r="I345" s="11">
        <f t="shared" si="89"/>
        <v>344</v>
      </c>
      <c r="J345" s="9">
        <f t="shared" si="90"/>
        <v>3096</v>
      </c>
      <c r="K345" s="9">
        <f t="shared" si="91"/>
        <v>3096</v>
      </c>
      <c r="L345" s="9">
        <v>2.5994000000000002</v>
      </c>
      <c r="M345" s="9">
        <f t="shared" si="92"/>
        <v>8047.7424000000001</v>
      </c>
      <c r="N345" s="9">
        <f t="shared" si="93"/>
        <v>8047.7424000000001</v>
      </c>
      <c r="O345" s="9">
        <f t="shared" si="94"/>
        <v>71048.908913399995</v>
      </c>
      <c r="P345" s="68">
        <v>46160</v>
      </c>
    </row>
    <row r="346" spans="2:17" x14ac:dyDescent="0.25">
      <c r="B346" s="8">
        <v>46139</v>
      </c>
      <c r="C346" s="9" t="s">
        <v>248</v>
      </c>
      <c r="D346" s="9" t="s">
        <v>244</v>
      </c>
      <c r="E346" s="9" t="s">
        <v>245</v>
      </c>
      <c r="F346" s="9">
        <v>1</v>
      </c>
      <c r="G346" s="32">
        <v>689</v>
      </c>
      <c r="H346" s="11">
        <v>10</v>
      </c>
      <c r="I346" s="11">
        <f t="shared" si="89"/>
        <v>68.900000000000006</v>
      </c>
      <c r="J346" s="9">
        <f t="shared" si="90"/>
        <v>620.1</v>
      </c>
      <c r="K346" s="9">
        <f t="shared" si="91"/>
        <v>620.1</v>
      </c>
      <c r="L346" s="9">
        <v>2.5994000000000002</v>
      </c>
      <c r="M346" s="9">
        <f t="shared" si="92"/>
        <v>1611.8879400000001</v>
      </c>
      <c r="N346" s="9">
        <f t="shared" si="93"/>
        <v>1611.8879400000001</v>
      </c>
      <c r="O346" s="9">
        <f t="shared" si="94"/>
        <v>72660.796853399996</v>
      </c>
      <c r="P346" s="68">
        <v>46160</v>
      </c>
    </row>
    <row r="347" spans="2:17" x14ac:dyDescent="0.25">
      <c r="B347" s="8">
        <v>46139</v>
      </c>
      <c r="C347" s="9" t="s">
        <v>250</v>
      </c>
      <c r="D347" s="9" t="s">
        <v>244</v>
      </c>
      <c r="E347" s="9" t="s">
        <v>253</v>
      </c>
      <c r="F347" s="9">
        <v>2</v>
      </c>
      <c r="G347" s="32">
        <v>2199</v>
      </c>
      <c r="H347" s="11">
        <v>10</v>
      </c>
      <c r="I347" s="11">
        <f t="shared" si="89"/>
        <v>219.9</v>
      </c>
      <c r="J347" s="9">
        <f t="shared" si="90"/>
        <v>1979.1</v>
      </c>
      <c r="K347" s="9">
        <f t="shared" si="91"/>
        <v>3958.2</v>
      </c>
      <c r="L347" s="9">
        <v>2.5994000000000002</v>
      </c>
      <c r="M347" s="9">
        <f t="shared" si="92"/>
        <v>5144.4725399999998</v>
      </c>
      <c r="N347" s="9">
        <f t="shared" si="93"/>
        <v>10288.94508</v>
      </c>
      <c r="O347" s="9">
        <f t="shared" si="94"/>
        <v>82949.741933400001</v>
      </c>
      <c r="P347" s="68">
        <v>46160</v>
      </c>
    </row>
    <row r="348" spans="2:17" x14ac:dyDescent="0.25">
      <c r="B348" s="8">
        <v>46139</v>
      </c>
      <c r="C348" s="9" t="s">
        <v>214</v>
      </c>
      <c r="D348" s="9" t="s">
        <v>244</v>
      </c>
      <c r="E348" s="9" t="s">
        <v>253</v>
      </c>
      <c r="F348" s="9">
        <v>1</v>
      </c>
      <c r="G348" s="32">
        <v>299</v>
      </c>
      <c r="H348" s="11">
        <v>10</v>
      </c>
      <c r="I348" s="11">
        <f t="shared" si="89"/>
        <v>29.900000000000002</v>
      </c>
      <c r="J348" s="9">
        <f t="shared" si="90"/>
        <v>269.10000000000002</v>
      </c>
      <c r="K348" s="9">
        <f t="shared" si="91"/>
        <v>269.10000000000002</v>
      </c>
      <c r="L348" s="9">
        <v>2.5994000000000002</v>
      </c>
      <c r="M348" s="9">
        <f t="shared" si="92"/>
        <v>699.49854000000005</v>
      </c>
      <c r="N348" s="9">
        <f t="shared" si="93"/>
        <v>699.49854000000005</v>
      </c>
      <c r="O348" s="9">
        <f t="shared" si="94"/>
        <v>83649.240473400001</v>
      </c>
      <c r="P348" s="68">
        <v>46160</v>
      </c>
    </row>
    <row r="349" spans="2:17" x14ac:dyDescent="0.25">
      <c r="B349" s="8">
        <v>46139</v>
      </c>
      <c r="C349" s="9" t="s">
        <v>249</v>
      </c>
      <c r="D349" s="9" t="s">
        <v>244</v>
      </c>
      <c r="E349" s="9" t="s">
        <v>253</v>
      </c>
      <c r="F349" s="9">
        <v>1</v>
      </c>
      <c r="G349" s="32">
        <v>4500</v>
      </c>
      <c r="H349" s="11">
        <v>10</v>
      </c>
      <c r="I349" s="11">
        <f t="shared" si="89"/>
        <v>450</v>
      </c>
      <c r="J349" s="9">
        <f t="shared" si="90"/>
        <v>4050</v>
      </c>
      <c r="K349" s="9">
        <f t="shared" si="91"/>
        <v>4050</v>
      </c>
      <c r="L349" s="9">
        <v>2.5994000000000002</v>
      </c>
      <c r="M349" s="9">
        <f t="shared" si="92"/>
        <v>10527.570000000002</v>
      </c>
      <c r="N349" s="9">
        <f t="shared" si="93"/>
        <v>10527.570000000002</v>
      </c>
      <c r="O349" s="9">
        <f t="shared" si="94"/>
        <v>94176.810473400008</v>
      </c>
      <c r="P349" s="68">
        <v>46160</v>
      </c>
    </row>
    <row r="350" spans="2:17" x14ac:dyDescent="0.25">
      <c r="B350" s="8">
        <v>46139</v>
      </c>
      <c r="C350" s="9" t="s">
        <v>250</v>
      </c>
      <c r="D350" s="9" t="s">
        <v>254</v>
      </c>
      <c r="E350" s="9" t="s">
        <v>245</v>
      </c>
      <c r="F350" s="9">
        <v>3</v>
      </c>
      <c r="G350" s="32">
        <v>2199</v>
      </c>
      <c r="H350" s="11">
        <v>10</v>
      </c>
      <c r="I350" s="11">
        <f t="shared" si="89"/>
        <v>219.9</v>
      </c>
      <c r="J350" s="9">
        <f t="shared" si="90"/>
        <v>1979.1</v>
      </c>
      <c r="K350" s="9">
        <f t="shared" si="91"/>
        <v>5937.2999999999993</v>
      </c>
      <c r="L350" s="9">
        <v>2.5994000000000002</v>
      </c>
      <c r="M350" s="9">
        <f t="shared" si="92"/>
        <v>5144.4725399999998</v>
      </c>
      <c r="N350" s="9">
        <f t="shared" si="93"/>
        <v>15433.41762</v>
      </c>
      <c r="O350" s="9">
        <f t="shared" si="94"/>
        <v>109610.22809340002</v>
      </c>
      <c r="P350" s="68">
        <v>46160</v>
      </c>
    </row>
    <row r="351" spans="2:17" x14ac:dyDescent="0.25">
      <c r="B351" s="8">
        <v>46139</v>
      </c>
      <c r="C351" s="9" t="s">
        <v>250</v>
      </c>
      <c r="D351" s="9" t="s">
        <v>254</v>
      </c>
      <c r="E351" s="9" t="s">
        <v>245</v>
      </c>
      <c r="F351" s="9">
        <v>3</v>
      </c>
      <c r="G351" s="32">
        <v>2199</v>
      </c>
      <c r="H351" s="11">
        <v>10</v>
      </c>
      <c r="I351" s="11">
        <f t="shared" si="89"/>
        <v>219.9</v>
      </c>
      <c r="J351" s="9">
        <f t="shared" si="90"/>
        <v>1979.1</v>
      </c>
      <c r="K351" s="9">
        <f t="shared" si="91"/>
        <v>5937.2999999999993</v>
      </c>
      <c r="L351" s="9">
        <v>2.5994000000000002</v>
      </c>
      <c r="M351" s="9">
        <f t="shared" si="92"/>
        <v>5144.4725399999998</v>
      </c>
      <c r="N351" s="9">
        <f t="shared" si="93"/>
        <v>15433.41762</v>
      </c>
      <c r="O351" s="9">
        <f t="shared" si="94"/>
        <v>125043.64571340001</v>
      </c>
      <c r="P351" s="68">
        <v>46160</v>
      </c>
    </row>
    <row r="352" spans="2:17" x14ac:dyDescent="0.25">
      <c r="B352" s="7"/>
      <c r="C352" s="7"/>
      <c r="D352" s="7"/>
      <c r="E352" s="7"/>
      <c r="F352" s="7"/>
      <c r="G352" s="7"/>
      <c r="H352" s="7"/>
      <c r="I352" s="7">
        <f t="shared" si="89"/>
        <v>0</v>
      </c>
      <c r="J352" s="5">
        <f t="shared" si="90"/>
        <v>0</v>
      </c>
      <c r="K352" s="5">
        <f t="shared" si="91"/>
        <v>0</v>
      </c>
      <c r="L352" s="5"/>
      <c r="M352" s="5">
        <f t="shared" si="92"/>
        <v>0</v>
      </c>
      <c r="N352" s="5">
        <f t="shared" si="93"/>
        <v>0</v>
      </c>
      <c r="O352" s="5">
        <f t="shared" si="94"/>
        <v>125043.64571340001</v>
      </c>
    </row>
    <row r="353" spans="1:11" x14ac:dyDescent="0.25">
      <c r="B353" s="1"/>
      <c r="C353" s="1"/>
      <c r="D353" s="1"/>
      <c r="E353" s="1"/>
      <c r="F353" s="1"/>
      <c r="G353" s="1"/>
      <c r="H353" s="1"/>
      <c r="I353" s="1"/>
      <c r="J353" s="2"/>
    </row>
    <row r="354" spans="1:11" x14ac:dyDescent="0.25">
      <c r="B354" s="1"/>
      <c r="C354" s="1"/>
      <c r="D354" s="1"/>
      <c r="E354" s="1"/>
      <c r="F354" s="1"/>
      <c r="G354" s="1"/>
      <c r="H354" s="1"/>
      <c r="I354" s="1"/>
      <c r="J354" s="2"/>
    </row>
    <row r="355" spans="1:11" x14ac:dyDescent="0.25">
      <c r="B355" s="1"/>
      <c r="C355" s="1"/>
      <c r="D355" s="1"/>
      <c r="E355" s="1"/>
      <c r="F355" s="1"/>
      <c r="G355" s="1"/>
      <c r="H355" s="1"/>
      <c r="I355" s="1"/>
      <c r="J355" s="2"/>
    </row>
    <row r="356" spans="1:11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1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1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1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1" ht="21" x14ac:dyDescent="0.35">
      <c r="A360" t="s">
        <v>0</v>
      </c>
      <c r="B360" s="125" t="s">
        <v>1</v>
      </c>
      <c r="C360" s="125"/>
      <c r="D360" s="125"/>
      <c r="E360" s="125"/>
      <c r="F360" s="125"/>
      <c r="G360" s="125"/>
      <c r="H360" s="125"/>
      <c r="I360" s="125"/>
      <c r="J360" s="125"/>
    </row>
    <row r="361" spans="1:11" ht="18.75" x14ac:dyDescent="0.3">
      <c r="A361" t="s">
        <v>2</v>
      </c>
      <c r="B361" s="3" t="s">
        <v>3</v>
      </c>
      <c r="C361" s="3" t="s">
        <v>4</v>
      </c>
      <c r="D361" s="3" t="s">
        <v>5</v>
      </c>
      <c r="E361" s="3" t="s">
        <v>6</v>
      </c>
      <c r="F361" s="3" t="s">
        <v>7</v>
      </c>
      <c r="G361" s="3" t="s">
        <v>8</v>
      </c>
      <c r="H361" s="3" t="s">
        <v>9</v>
      </c>
      <c r="I361" s="3" t="s">
        <v>10</v>
      </c>
      <c r="J361" s="3"/>
    </row>
    <row r="362" spans="1:11" x14ac:dyDescent="0.25">
      <c r="B362" s="8">
        <v>46132</v>
      </c>
      <c r="C362" s="9" t="s">
        <v>255</v>
      </c>
      <c r="D362" s="9">
        <v>4</v>
      </c>
      <c r="E362" s="32">
        <v>1199</v>
      </c>
      <c r="F362" s="11">
        <f>E362*D362</f>
        <v>4796</v>
      </c>
      <c r="G362" s="11">
        <v>2.5994000000000002</v>
      </c>
      <c r="H362" s="11">
        <f>E362*G362</f>
        <v>3116.6806000000001</v>
      </c>
      <c r="I362" s="11">
        <f>H362*D362</f>
        <v>12466.722400000001</v>
      </c>
      <c r="J362" s="9">
        <f>J361+I362</f>
        <v>12466.722400000001</v>
      </c>
      <c r="K362" s="68">
        <v>46160</v>
      </c>
    </row>
    <row r="363" spans="1:11" x14ac:dyDescent="0.25">
      <c r="B363" s="8">
        <v>46132</v>
      </c>
      <c r="C363" s="9" t="s">
        <v>256</v>
      </c>
      <c r="D363" s="9">
        <v>2</v>
      </c>
      <c r="E363" s="32">
        <v>1199</v>
      </c>
      <c r="F363" s="11">
        <f t="shared" ref="F363:F383" si="95">E363*D363</f>
        <v>2398</v>
      </c>
      <c r="G363" s="11">
        <v>2.5994000000000002</v>
      </c>
      <c r="H363" s="11">
        <f t="shared" ref="H363:H383" si="96">E363*G363</f>
        <v>3116.6806000000001</v>
      </c>
      <c r="I363" s="11">
        <f t="shared" ref="I363:I383" si="97">H363*D363</f>
        <v>6233.3612000000003</v>
      </c>
      <c r="J363" s="9">
        <f t="shared" ref="J363:J387" si="98">J362+I363</f>
        <v>18700.083600000002</v>
      </c>
      <c r="K363" s="68">
        <v>46160</v>
      </c>
    </row>
    <row r="364" spans="1:11" x14ac:dyDescent="0.25">
      <c r="B364" s="8">
        <v>46132</v>
      </c>
      <c r="C364" s="9" t="s">
        <v>256</v>
      </c>
      <c r="D364" s="9">
        <v>4</v>
      </c>
      <c r="E364" s="32">
        <v>1199</v>
      </c>
      <c r="F364" s="11">
        <f t="shared" si="95"/>
        <v>4796</v>
      </c>
      <c r="G364" s="11">
        <v>2.5994000000000002</v>
      </c>
      <c r="H364" s="11">
        <f t="shared" si="96"/>
        <v>3116.6806000000001</v>
      </c>
      <c r="I364" s="11">
        <f t="shared" si="97"/>
        <v>12466.722400000001</v>
      </c>
      <c r="J364" s="9">
        <f t="shared" si="98"/>
        <v>31166.806000000004</v>
      </c>
      <c r="K364" s="68">
        <v>46160</v>
      </c>
    </row>
    <row r="365" spans="1:11" x14ac:dyDescent="0.25">
      <c r="B365" s="71">
        <v>46133</v>
      </c>
      <c r="C365" s="72" t="s">
        <v>257</v>
      </c>
      <c r="D365" s="72">
        <v>1</v>
      </c>
      <c r="E365" s="73">
        <v>0</v>
      </c>
      <c r="F365" s="74">
        <f t="shared" si="95"/>
        <v>0</v>
      </c>
      <c r="G365" s="7">
        <v>2.5994000000000002</v>
      </c>
      <c r="H365" s="74">
        <f t="shared" si="96"/>
        <v>0</v>
      </c>
      <c r="I365" s="74">
        <f t="shared" si="97"/>
        <v>0</v>
      </c>
      <c r="J365" s="5">
        <f t="shared" si="98"/>
        <v>31166.806000000004</v>
      </c>
    </row>
    <row r="366" spans="1:11" x14ac:dyDescent="0.25">
      <c r="B366" s="8">
        <v>46133</v>
      </c>
      <c r="C366" s="9" t="s">
        <v>258</v>
      </c>
      <c r="D366" s="9">
        <v>2</v>
      </c>
      <c r="E366" s="32">
        <v>1249</v>
      </c>
      <c r="F366" s="11">
        <f t="shared" si="95"/>
        <v>2498</v>
      </c>
      <c r="G366" s="11">
        <v>2.5994000000000002</v>
      </c>
      <c r="H366" s="11">
        <f t="shared" si="96"/>
        <v>3246.6506000000004</v>
      </c>
      <c r="I366" s="11">
        <f t="shared" si="97"/>
        <v>6493.3012000000008</v>
      </c>
      <c r="J366" s="9">
        <f t="shared" si="98"/>
        <v>37660.107200000006</v>
      </c>
      <c r="K366" s="68">
        <v>46160</v>
      </c>
    </row>
    <row r="367" spans="1:11" x14ac:dyDescent="0.25">
      <c r="B367" s="8">
        <v>46134</v>
      </c>
      <c r="C367" s="9" t="s">
        <v>256</v>
      </c>
      <c r="D367" s="9">
        <v>2</v>
      </c>
      <c r="E367" s="32">
        <v>1199</v>
      </c>
      <c r="F367" s="11">
        <f t="shared" si="95"/>
        <v>2398</v>
      </c>
      <c r="G367" s="11">
        <v>2.5994000000000002</v>
      </c>
      <c r="H367" s="11">
        <f t="shared" si="96"/>
        <v>3116.6806000000001</v>
      </c>
      <c r="I367" s="11">
        <f t="shared" si="97"/>
        <v>6233.3612000000003</v>
      </c>
      <c r="J367" s="9">
        <f t="shared" si="98"/>
        <v>43893.468400000005</v>
      </c>
      <c r="K367" s="68">
        <v>46160</v>
      </c>
    </row>
    <row r="368" spans="1:11" x14ac:dyDescent="0.25">
      <c r="B368" s="8">
        <v>46133</v>
      </c>
      <c r="C368" s="9" t="s">
        <v>259</v>
      </c>
      <c r="D368" s="9">
        <v>10</v>
      </c>
      <c r="E368" s="32">
        <v>999</v>
      </c>
      <c r="F368" s="11">
        <f t="shared" si="95"/>
        <v>9990</v>
      </c>
      <c r="G368" s="11">
        <v>2.5994000000000002</v>
      </c>
      <c r="H368" s="11">
        <f t="shared" si="96"/>
        <v>2596.8006</v>
      </c>
      <c r="I368" s="11">
        <f t="shared" si="97"/>
        <v>25968.006000000001</v>
      </c>
      <c r="J368" s="9">
        <f t="shared" si="98"/>
        <v>69861.474400000006</v>
      </c>
      <c r="K368" s="68">
        <v>46160</v>
      </c>
    </row>
    <row r="369" spans="2:11" x14ac:dyDescent="0.25">
      <c r="B369" s="8">
        <v>46136</v>
      </c>
      <c r="C369" s="9" t="s">
        <v>260</v>
      </c>
      <c r="D369" s="9">
        <v>32</v>
      </c>
      <c r="E369" s="32">
        <v>398</v>
      </c>
      <c r="F369" s="11">
        <f t="shared" si="95"/>
        <v>12736</v>
      </c>
      <c r="G369" s="11">
        <v>2.5994000000000002</v>
      </c>
      <c r="H369" s="11">
        <f t="shared" si="96"/>
        <v>1034.5612000000001</v>
      </c>
      <c r="I369" s="11">
        <f t="shared" si="97"/>
        <v>33105.958400000003</v>
      </c>
      <c r="J369" s="9">
        <f t="shared" si="98"/>
        <v>102967.43280000001</v>
      </c>
      <c r="K369" s="68">
        <v>46160</v>
      </c>
    </row>
    <row r="370" spans="2:11" x14ac:dyDescent="0.25">
      <c r="B370" s="71">
        <v>46136</v>
      </c>
      <c r="C370" s="72" t="s">
        <v>261</v>
      </c>
      <c r="D370" s="72"/>
      <c r="E370" s="73">
        <v>0</v>
      </c>
      <c r="F370" s="74">
        <f t="shared" si="95"/>
        <v>0</v>
      </c>
      <c r="G370" s="7">
        <v>2.5994000000000002</v>
      </c>
      <c r="H370" s="74">
        <f t="shared" si="96"/>
        <v>0</v>
      </c>
      <c r="I370" s="74">
        <f t="shared" si="97"/>
        <v>0</v>
      </c>
      <c r="J370" s="5">
        <f t="shared" si="98"/>
        <v>102967.43280000001</v>
      </c>
    </row>
    <row r="371" spans="2:11" x14ac:dyDescent="0.25">
      <c r="B371" s="8">
        <v>46137</v>
      </c>
      <c r="C371" s="9" t="s">
        <v>262</v>
      </c>
      <c r="D371" s="9">
        <v>4</v>
      </c>
      <c r="E371" s="32">
        <v>398</v>
      </c>
      <c r="F371" s="11">
        <f t="shared" si="95"/>
        <v>1592</v>
      </c>
      <c r="G371" s="11">
        <v>2.5994000000000002</v>
      </c>
      <c r="H371" s="11">
        <f t="shared" si="96"/>
        <v>1034.5612000000001</v>
      </c>
      <c r="I371" s="11">
        <f t="shared" si="97"/>
        <v>4138.2448000000004</v>
      </c>
      <c r="J371" s="9">
        <f t="shared" si="98"/>
        <v>107105.67760000001</v>
      </c>
      <c r="K371" s="68">
        <v>46160</v>
      </c>
    </row>
    <row r="372" spans="2:11" x14ac:dyDescent="0.25">
      <c r="B372" s="8">
        <v>46138</v>
      </c>
      <c r="C372" s="9" t="s">
        <v>256</v>
      </c>
      <c r="D372" s="9">
        <v>2</v>
      </c>
      <c r="E372" s="32">
        <v>1199</v>
      </c>
      <c r="F372" s="11">
        <f t="shared" si="95"/>
        <v>2398</v>
      </c>
      <c r="G372" s="11">
        <v>2.5994000000000002</v>
      </c>
      <c r="H372" s="11">
        <f t="shared" si="96"/>
        <v>3116.6806000000001</v>
      </c>
      <c r="I372" s="11">
        <f t="shared" si="97"/>
        <v>6233.3612000000003</v>
      </c>
      <c r="J372" s="9">
        <f t="shared" si="98"/>
        <v>113339.03880000001</v>
      </c>
      <c r="K372" s="68">
        <v>46160</v>
      </c>
    </row>
    <row r="373" spans="2:11" x14ac:dyDescent="0.25">
      <c r="B373" s="8">
        <v>46138</v>
      </c>
      <c r="C373" s="9" t="s">
        <v>256</v>
      </c>
      <c r="D373" s="9">
        <v>2</v>
      </c>
      <c r="E373" s="32">
        <v>1199</v>
      </c>
      <c r="F373" s="11">
        <f t="shared" si="95"/>
        <v>2398</v>
      </c>
      <c r="G373" s="11">
        <v>2.5994000000000002</v>
      </c>
      <c r="H373" s="11">
        <f t="shared" si="96"/>
        <v>3116.6806000000001</v>
      </c>
      <c r="I373" s="11">
        <f t="shared" si="97"/>
        <v>6233.3612000000003</v>
      </c>
      <c r="J373" s="9">
        <f t="shared" si="98"/>
        <v>119572.40000000001</v>
      </c>
      <c r="K373" s="68">
        <v>46160</v>
      </c>
    </row>
    <row r="374" spans="2:11" x14ac:dyDescent="0.25">
      <c r="B374" s="8">
        <v>46138</v>
      </c>
      <c r="C374" s="9" t="s">
        <v>256</v>
      </c>
      <c r="D374" s="9">
        <v>2</v>
      </c>
      <c r="E374" s="32">
        <v>1199</v>
      </c>
      <c r="F374" s="11">
        <f t="shared" si="95"/>
        <v>2398</v>
      </c>
      <c r="G374" s="11">
        <v>2.5994000000000002</v>
      </c>
      <c r="H374" s="11">
        <f t="shared" si="96"/>
        <v>3116.6806000000001</v>
      </c>
      <c r="I374" s="11">
        <f t="shared" si="97"/>
        <v>6233.3612000000003</v>
      </c>
      <c r="J374" s="9">
        <f t="shared" si="98"/>
        <v>125805.76120000001</v>
      </c>
      <c r="K374" s="68">
        <v>46160</v>
      </c>
    </row>
    <row r="375" spans="2:11" x14ac:dyDescent="0.25">
      <c r="B375" s="8">
        <v>46138</v>
      </c>
      <c r="C375" s="9" t="s">
        <v>263</v>
      </c>
      <c r="D375" s="9">
        <v>2</v>
      </c>
      <c r="E375" s="32">
        <v>1199</v>
      </c>
      <c r="F375" s="11">
        <f t="shared" si="95"/>
        <v>2398</v>
      </c>
      <c r="G375" s="11">
        <v>2.5994000000000002</v>
      </c>
      <c r="H375" s="11">
        <f t="shared" si="96"/>
        <v>3116.6806000000001</v>
      </c>
      <c r="I375" s="11">
        <f t="shared" si="97"/>
        <v>6233.3612000000003</v>
      </c>
      <c r="J375" s="9">
        <f t="shared" si="98"/>
        <v>132039.12240000002</v>
      </c>
      <c r="K375" s="68">
        <v>46160</v>
      </c>
    </row>
    <row r="376" spans="2:11" x14ac:dyDescent="0.25">
      <c r="B376" s="8">
        <v>46138</v>
      </c>
      <c r="C376" s="9" t="s">
        <v>263</v>
      </c>
      <c r="D376" s="9">
        <v>2</v>
      </c>
      <c r="E376" s="32">
        <v>1199</v>
      </c>
      <c r="F376" s="11">
        <f t="shared" si="95"/>
        <v>2398</v>
      </c>
      <c r="G376" s="11">
        <v>2.5994000000000002</v>
      </c>
      <c r="H376" s="11">
        <f t="shared" si="96"/>
        <v>3116.6806000000001</v>
      </c>
      <c r="I376" s="11">
        <f t="shared" si="97"/>
        <v>6233.3612000000003</v>
      </c>
      <c r="J376" s="9">
        <f t="shared" si="98"/>
        <v>138272.48360000004</v>
      </c>
      <c r="K376" s="68">
        <v>46160</v>
      </c>
    </row>
    <row r="377" spans="2:11" x14ac:dyDescent="0.25">
      <c r="B377" s="76">
        <v>46138</v>
      </c>
      <c r="C377" s="78" t="s">
        <v>263</v>
      </c>
      <c r="D377" s="78">
        <v>2</v>
      </c>
      <c r="E377" s="79">
        <v>1199</v>
      </c>
      <c r="F377" s="11">
        <f t="shared" si="95"/>
        <v>2398</v>
      </c>
      <c r="G377" s="11">
        <v>2.5994000000000002</v>
      </c>
      <c r="H377" s="11">
        <f t="shared" si="96"/>
        <v>3116.6806000000001</v>
      </c>
      <c r="I377" s="11">
        <f t="shared" si="97"/>
        <v>6233.3612000000003</v>
      </c>
      <c r="J377" s="9">
        <f t="shared" si="98"/>
        <v>144505.84480000005</v>
      </c>
      <c r="K377" s="68">
        <v>46160</v>
      </c>
    </row>
    <row r="378" spans="2:11" x14ac:dyDescent="0.25">
      <c r="B378" s="8">
        <v>46138</v>
      </c>
      <c r="C378" s="9" t="s">
        <v>263</v>
      </c>
      <c r="D378" s="9">
        <v>2</v>
      </c>
      <c r="E378" s="32">
        <v>1199</v>
      </c>
      <c r="F378" s="11">
        <f t="shared" si="95"/>
        <v>2398</v>
      </c>
      <c r="G378" s="11">
        <v>2.5994000000000002</v>
      </c>
      <c r="H378" s="11">
        <f t="shared" si="96"/>
        <v>3116.6806000000001</v>
      </c>
      <c r="I378" s="11">
        <f t="shared" si="97"/>
        <v>6233.3612000000003</v>
      </c>
      <c r="J378" s="9">
        <f t="shared" si="98"/>
        <v>150739.20600000006</v>
      </c>
      <c r="K378" s="68">
        <v>46160</v>
      </c>
    </row>
    <row r="379" spans="2:11" x14ac:dyDescent="0.25">
      <c r="B379" s="8">
        <v>46138</v>
      </c>
      <c r="C379" s="9" t="s">
        <v>256</v>
      </c>
      <c r="D379" s="9">
        <v>2</v>
      </c>
      <c r="E379" s="32">
        <v>1199</v>
      </c>
      <c r="F379" s="11">
        <f t="shared" si="95"/>
        <v>2398</v>
      </c>
      <c r="G379" s="11">
        <v>2.5994000000000002</v>
      </c>
      <c r="H379" s="11">
        <f t="shared" si="96"/>
        <v>3116.6806000000001</v>
      </c>
      <c r="I379" s="11">
        <f t="shared" si="97"/>
        <v>6233.3612000000003</v>
      </c>
      <c r="J379" s="9">
        <f t="shared" si="98"/>
        <v>156972.56720000008</v>
      </c>
      <c r="K379" s="68">
        <v>46160</v>
      </c>
    </row>
    <row r="380" spans="2:11" x14ac:dyDescent="0.25">
      <c r="B380" s="8">
        <v>46138</v>
      </c>
      <c r="C380" s="9" t="s">
        <v>264</v>
      </c>
      <c r="D380" s="9">
        <v>5</v>
      </c>
      <c r="E380" s="32">
        <v>398</v>
      </c>
      <c r="F380" s="11">
        <f t="shared" si="95"/>
        <v>1990</v>
      </c>
      <c r="G380" s="11">
        <v>2.5994000000000002</v>
      </c>
      <c r="H380" s="11">
        <f t="shared" si="96"/>
        <v>1034.5612000000001</v>
      </c>
      <c r="I380" s="11">
        <f t="shared" si="97"/>
        <v>5172.8060000000005</v>
      </c>
      <c r="J380" s="9">
        <f t="shared" si="98"/>
        <v>162145.37320000009</v>
      </c>
      <c r="K380" s="68">
        <v>46160</v>
      </c>
    </row>
    <row r="381" spans="2:11" x14ac:dyDescent="0.25">
      <c r="B381" s="8">
        <v>46139</v>
      </c>
      <c r="C381" s="9" t="s">
        <v>265</v>
      </c>
      <c r="D381" s="9">
        <v>3</v>
      </c>
      <c r="E381" s="32">
        <v>399</v>
      </c>
      <c r="F381" s="11">
        <f t="shared" si="95"/>
        <v>1197</v>
      </c>
      <c r="G381" s="11">
        <v>2.5994000000000002</v>
      </c>
      <c r="H381" s="11">
        <f t="shared" si="96"/>
        <v>1037.1606000000002</v>
      </c>
      <c r="I381" s="11">
        <f t="shared" si="97"/>
        <v>3111.4818000000005</v>
      </c>
      <c r="J381" s="9">
        <f t="shared" si="98"/>
        <v>165256.8550000001</v>
      </c>
      <c r="K381" s="68">
        <v>46160</v>
      </c>
    </row>
    <row r="382" spans="2:11" x14ac:dyDescent="0.25">
      <c r="B382" s="8">
        <v>46139</v>
      </c>
      <c r="C382" s="9" t="s">
        <v>266</v>
      </c>
      <c r="D382" s="9">
        <v>1</v>
      </c>
      <c r="E382" s="32">
        <v>695</v>
      </c>
      <c r="F382" s="11">
        <f t="shared" si="95"/>
        <v>695</v>
      </c>
      <c r="G382" s="11">
        <v>2.5994000000000002</v>
      </c>
      <c r="H382" s="11">
        <f t="shared" si="96"/>
        <v>1806.5830000000001</v>
      </c>
      <c r="I382" s="11">
        <f t="shared" si="97"/>
        <v>1806.5830000000001</v>
      </c>
      <c r="J382" s="9">
        <f t="shared" si="98"/>
        <v>167063.43800000011</v>
      </c>
      <c r="K382" s="68">
        <v>46196</v>
      </c>
    </row>
    <row r="383" spans="2:11" x14ac:dyDescent="0.25">
      <c r="B383" s="8">
        <v>46139</v>
      </c>
      <c r="C383" s="9" t="s">
        <v>267</v>
      </c>
      <c r="D383" s="9">
        <v>1</v>
      </c>
      <c r="E383" s="32">
        <v>1298</v>
      </c>
      <c r="F383" s="11">
        <f t="shared" si="95"/>
        <v>1298</v>
      </c>
      <c r="G383" s="11">
        <v>2.5994000000000002</v>
      </c>
      <c r="H383" s="11">
        <f t="shared" si="96"/>
        <v>3374.0212000000001</v>
      </c>
      <c r="I383" s="11">
        <f t="shared" si="97"/>
        <v>3374.0212000000001</v>
      </c>
      <c r="J383" s="9">
        <f t="shared" si="98"/>
        <v>170437.4592000001</v>
      </c>
      <c r="K383" s="68">
        <v>46196</v>
      </c>
    </row>
    <row r="384" spans="2:11" x14ac:dyDescent="0.25">
      <c r="B384" s="8">
        <v>46139</v>
      </c>
      <c r="C384" s="9" t="s">
        <v>268</v>
      </c>
      <c r="D384" s="9">
        <v>1</v>
      </c>
      <c r="E384" s="32">
        <v>399</v>
      </c>
      <c r="F384" s="11">
        <f>E384*D384</f>
        <v>399</v>
      </c>
      <c r="G384" s="11">
        <v>2.5994000000000002</v>
      </c>
      <c r="H384" s="11">
        <f>E384*G384</f>
        <v>1037.1606000000002</v>
      </c>
      <c r="I384" s="11">
        <f>H384*D384</f>
        <v>1037.1606000000002</v>
      </c>
      <c r="J384" s="9">
        <f t="shared" si="98"/>
        <v>171474.6198000001</v>
      </c>
      <c r="K384" s="68">
        <v>46160</v>
      </c>
    </row>
    <row r="385" spans="1:11" x14ac:dyDescent="0.25">
      <c r="B385" s="8">
        <v>46132</v>
      </c>
      <c r="C385" s="9" t="s">
        <v>269</v>
      </c>
      <c r="D385" s="9">
        <v>1</v>
      </c>
      <c r="E385" s="32">
        <v>3561.82</v>
      </c>
      <c r="F385" s="11">
        <f t="shared" ref="F385:F387" si="99">E385*D385</f>
        <v>3561.82</v>
      </c>
      <c r="G385" s="11">
        <v>2.5994000000000002</v>
      </c>
      <c r="H385" s="11">
        <f t="shared" ref="H385:H387" si="100">E385*G385</f>
        <v>9258.5949080000009</v>
      </c>
      <c r="I385" s="11">
        <f t="shared" ref="I385:I387" si="101">H385*D385</f>
        <v>9258.5949080000009</v>
      </c>
      <c r="J385" s="9">
        <f t="shared" si="98"/>
        <v>180733.2147080001</v>
      </c>
    </row>
    <row r="386" spans="1:11" x14ac:dyDescent="0.25">
      <c r="B386" s="8">
        <v>46132</v>
      </c>
      <c r="C386" s="9" t="s">
        <v>269</v>
      </c>
      <c r="D386" s="9">
        <v>1</v>
      </c>
      <c r="E386" s="32">
        <v>6194.93</v>
      </c>
      <c r="F386" s="11">
        <f t="shared" si="99"/>
        <v>6194.93</v>
      </c>
      <c r="G386" s="11">
        <v>2.5994000000000002</v>
      </c>
      <c r="H386" s="11">
        <f t="shared" si="100"/>
        <v>16103.101042000002</v>
      </c>
      <c r="I386" s="11">
        <f t="shared" si="101"/>
        <v>16103.101042000002</v>
      </c>
      <c r="J386" s="9">
        <f t="shared" si="98"/>
        <v>196836.3157500001</v>
      </c>
    </row>
    <row r="387" spans="1:11" x14ac:dyDescent="0.25">
      <c r="B387" s="8">
        <v>46136</v>
      </c>
      <c r="C387" s="9" t="s">
        <v>270</v>
      </c>
      <c r="D387" s="9">
        <v>1</v>
      </c>
      <c r="E387" s="32">
        <v>405</v>
      </c>
      <c r="F387" s="11">
        <f t="shared" si="99"/>
        <v>405</v>
      </c>
      <c r="G387" s="11">
        <v>2.5994000000000002</v>
      </c>
      <c r="H387" s="11">
        <f t="shared" si="100"/>
        <v>1052.7570000000001</v>
      </c>
      <c r="I387" s="11">
        <f t="shared" si="101"/>
        <v>1052.7570000000001</v>
      </c>
      <c r="J387" s="9">
        <f t="shared" si="98"/>
        <v>197889.07275000011</v>
      </c>
    </row>
    <row r="388" spans="1:11" x14ac:dyDescent="0.25">
      <c r="B388" s="1"/>
      <c r="C388" s="1"/>
      <c r="D388" s="1"/>
      <c r="E388" s="1"/>
      <c r="F388" s="1"/>
      <c r="G388" s="1"/>
      <c r="H388" s="1"/>
      <c r="I388" s="1"/>
      <c r="J388" s="2"/>
    </row>
    <row r="389" spans="1:11" x14ac:dyDescent="0.25">
      <c r="B389" s="1"/>
      <c r="C389" s="1"/>
      <c r="D389" s="1"/>
      <c r="E389" s="1"/>
      <c r="F389" s="1"/>
      <c r="G389" s="1"/>
      <c r="H389" s="1"/>
      <c r="I389" s="1"/>
      <c r="J389" s="2"/>
    </row>
    <row r="390" spans="1:11" x14ac:dyDescent="0.25">
      <c r="B390" s="1"/>
      <c r="C390" s="1"/>
      <c r="D390" s="1"/>
      <c r="E390" s="1"/>
      <c r="F390" s="1"/>
      <c r="G390" s="1"/>
      <c r="H390" s="1"/>
      <c r="I390" s="1"/>
      <c r="J390" s="2"/>
    </row>
    <row r="391" spans="1:11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1:11" ht="21" x14ac:dyDescent="0.35">
      <c r="B392" s="125" t="s">
        <v>34</v>
      </c>
      <c r="C392" s="125"/>
      <c r="D392" s="125"/>
      <c r="E392" s="125"/>
      <c r="F392" s="125"/>
      <c r="G392" s="125"/>
      <c r="H392" s="125"/>
      <c r="I392" s="125"/>
      <c r="J392" s="125"/>
    </row>
    <row r="393" spans="1:11" ht="18.75" x14ac:dyDescent="0.3">
      <c r="A393" t="s">
        <v>2</v>
      </c>
      <c r="B393" s="3" t="s">
        <v>3</v>
      </c>
      <c r="C393" s="3" t="s">
        <v>4</v>
      </c>
      <c r="D393" s="3" t="s">
        <v>5</v>
      </c>
      <c r="E393" s="3" t="s">
        <v>6</v>
      </c>
      <c r="F393" s="3" t="s">
        <v>7</v>
      </c>
      <c r="G393" s="3" t="s">
        <v>8</v>
      </c>
      <c r="H393" s="3" t="s">
        <v>9</v>
      </c>
      <c r="I393" s="3" t="s">
        <v>10</v>
      </c>
      <c r="J393" s="3"/>
    </row>
    <row r="394" spans="1:11" x14ac:dyDescent="0.25">
      <c r="B394" s="8">
        <v>46142</v>
      </c>
      <c r="C394" s="9" t="s">
        <v>271</v>
      </c>
      <c r="D394" s="9">
        <v>4</v>
      </c>
      <c r="E394" s="9">
        <v>1579</v>
      </c>
      <c r="F394" s="11">
        <v>6316</v>
      </c>
      <c r="G394" s="11">
        <v>2.15</v>
      </c>
      <c r="H394" s="11">
        <v>3394.85</v>
      </c>
      <c r="I394" s="11">
        <v>13579.4</v>
      </c>
      <c r="J394" s="9">
        <v>13579.4</v>
      </c>
      <c r="K394" s="68">
        <v>46192</v>
      </c>
    </row>
    <row r="395" spans="1:11" x14ac:dyDescent="0.25">
      <c r="B395" s="8">
        <v>46142</v>
      </c>
      <c r="C395" s="9" t="s">
        <v>272</v>
      </c>
      <c r="D395" s="9">
        <v>4</v>
      </c>
      <c r="E395" s="9">
        <v>1579</v>
      </c>
      <c r="F395" s="11">
        <v>6316</v>
      </c>
      <c r="G395" s="11">
        <v>2.15</v>
      </c>
      <c r="H395" s="11">
        <v>3394.85</v>
      </c>
      <c r="I395" s="11">
        <v>13579.4</v>
      </c>
      <c r="J395" s="9">
        <v>27158.799999999999</v>
      </c>
      <c r="K395" s="68">
        <v>46192</v>
      </c>
    </row>
    <row r="396" spans="1:11" x14ac:dyDescent="0.25">
      <c r="B396" s="17">
        <v>46143</v>
      </c>
      <c r="C396" s="18" t="s">
        <v>273</v>
      </c>
      <c r="D396" s="18">
        <v>3</v>
      </c>
      <c r="E396" s="18">
        <v>849</v>
      </c>
      <c r="F396" s="7">
        <v>2547</v>
      </c>
      <c r="G396" s="7">
        <v>2.15</v>
      </c>
      <c r="H396" s="7">
        <v>1825.35</v>
      </c>
      <c r="I396" s="7">
        <v>5476.0499999999993</v>
      </c>
      <c r="J396" s="5">
        <v>32634.85</v>
      </c>
    </row>
    <row r="397" spans="1:11" x14ac:dyDescent="0.25">
      <c r="B397" s="8">
        <v>46143</v>
      </c>
      <c r="C397" s="9" t="s">
        <v>274</v>
      </c>
      <c r="D397" s="9">
        <v>1</v>
      </c>
      <c r="E397" s="9">
        <v>1579</v>
      </c>
      <c r="F397" s="11">
        <v>1579</v>
      </c>
      <c r="G397" s="11">
        <v>2.15</v>
      </c>
      <c r="H397" s="11">
        <v>3394.85</v>
      </c>
      <c r="I397" s="11">
        <v>3394.85</v>
      </c>
      <c r="J397" s="9">
        <v>36029.699999999997</v>
      </c>
      <c r="K397" s="68">
        <v>46192</v>
      </c>
    </row>
    <row r="398" spans="1:11" x14ac:dyDescent="0.25">
      <c r="B398" s="7"/>
      <c r="C398" s="7"/>
      <c r="D398" s="7"/>
      <c r="E398" s="7"/>
      <c r="F398" s="7">
        <v>0</v>
      </c>
      <c r="G398" s="7"/>
      <c r="H398" s="7">
        <v>0</v>
      </c>
      <c r="I398" s="7">
        <v>0</v>
      </c>
      <c r="J398" s="5">
        <v>36029.699999999997</v>
      </c>
    </row>
    <row r="399" spans="1:11" x14ac:dyDescent="0.25">
      <c r="B399" s="1"/>
      <c r="C399" s="1"/>
      <c r="D399" s="1"/>
      <c r="E399" s="1"/>
      <c r="F399" s="1"/>
      <c r="G399" s="1"/>
      <c r="H399" s="1"/>
      <c r="I399" s="1"/>
      <c r="J399" s="2"/>
    </row>
    <row r="400" spans="1:11" x14ac:dyDescent="0.25">
      <c r="B400" s="1"/>
      <c r="C400" s="1"/>
      <c r="D400" s="1"/>
      <c r="E400" s="1"/>
      <c r="F400" s="1"/>
      <c r="G400" s="1"/>
      <c r="H400" s="1"/>
      <c r="I400" s="1"/>
      <c r="J400" s="2"/>
    </row>
    <row r="401" spans="1:12" x14ac:dyDescent="0.25">
      <c r="B401" s="1"/>
      <c r="C401" s="1"/>
      <c r="D401" s="1"/>
      <c r="E401" s="1"/>
      <c r="F401" s="1"/>
      <c r="G401" s="1"/>
      <c r="H401" s="1"/>
      <c r="I401" s="1"/>
      <c r="J401" s="2"/>
    </row>
    <row r="402" spans="1:12" x14ac:dyDescent="0.25">
      <c r="B402" s="1"/>
      <c r="C402" s="1"/>
      <c r="D402" s="1"/>
      <c r="E402" s="1"/>
      <c r="F402" s="1"/>
      <c r="G402" s="1"/>
      <c r="H402" s="1"/>
      <c r="I402" s="1"/>
      <c r="J402" s="2"/>
    </row>
    <row r="403" spans="1:12" x14ac:dyDescent="0.25">
      <c r="B403" s="1"/>
      <c r="C403" s="1"/>
      <c r="D403" s="1"/>
      <c r="E403" s="1"/>
      <c r="F403" s="1"/>
      <c r="G403" s="1"/>
      <c r="H403" s="1"/>
      <c r="I403" s="1"/>
      <c r="J403" s="2"/>
    </row>
    <row r="404" spans="1:12" x14ac:dyDescent="0.25">
      <c r="B404" s="1"/>
      <c r="C404" s="1"/>
      <c r="D404" s="1"/>
      <c r="E404" s="1"/>
      <c r="F404" s="1"/>
      <c r="G404" s="1"/>
      <c r="H404" s="1"/>
      <c r="I404" s="1"/>
      <c r="J404" s="2"/>
    </row>
    <row r="405" spans="1:12" ht="21" x14ac:dyDescent="0.35">
      <c r="A405" t="s">
        <v>0</v>
      </c>
      <c r="B405" s="125" t="s">
        <v>1</v>
      </c>
      <c r="C405" s="125"/>
      <c r="D405" s="125"/>
      <c r="E405" s="125"/>
      <c r="F405" s="125"/>
      <c r="G405" s="125"/>
      <c r="H405" s="125"/>
      <c r="I405" s="125"/>
      <c r="J405" s="125"/>
    </row>
    <row r="406" spans="1:12" ht="18.75" x14ac:dyDescent="0.3">
      <c r="A406" t="s">
        <v>2</v>
      </c>
      <c r="B406" s="3" t="s">
        <v>3</v>
      </c>
      <c r="C406" s="3" t="s">
        <v>4</v>
      </c>
      <c r="D406" s="3" t="s">
        <v>5</v>
      </c>
      <c r="E406" s="3" t="s">
        <v>6</v>
      </c>
      <c r="F406" s="3" t="s">
        <v>7</v>
      </c>
      <c r="G406" s="3" t="s">
        <v>8</v>
      </c>
      <c r="H406" s="3" t="s">
        <v>9</v>
      </c>
      <c r="I406" s="3" t="s">
        <v>10</v>
      </c>
      <c r="J406" s="3"/>
    </row>
    <row r="407" spans="1:12" x14ac:dyDescent="0.25">
      <c r="B407" s="8">
        <v>46142</v>
      </c>
      <c r="C407" s="9" t="s">
        <v>275</v>
      </c>
      <c r="D407" s="9">
        <v>2</v>
      </c>
      <c r="E407" s="32">
        <v>1199</v>
      </c>
      <c r="F407" s="11">
        <v>2398</v>
      </c>
      <c r="G407" s="11">
        <v>2.6082999999999998</v>
      </c>
      <c r="H407" s="11">
        <v>3127.3516999999997</v>
      </c>
      <c r="I407" s="11">
        <v>6254.7033999999994</v>
      </c>
      <c r="J407" s="9">
        <v>6254.7033999999994</v>
      </c>
      <c r="K407" s="68">
        <v>46160</v>
      </c>
    </row>
    <row r="408" spans="1:12" x14ac:dyDescent="0.25">
      <c r="B408" s="8">
        <v>46142</v>
      </c>
      <c r="C408" s="9" t="s">
        <v>275</v>
      </c>
      <c r="D408" s="9">
        <v>2</v>
      </c>
      <c r="E408" s="32">
        <v>1199</v>
      </c>
      <c r="F408" s="11">
        <v>2398</v>
      </c>
      <c r="G408" s="11">
        <v>2.6082999999999998</v>
      </c>
      <c r="H408" s="11">
        <v>3127.3516999999997</v>
      </c>
      <c r="I408" s="11">
        <v>6254.7033999999994</v>
      </c>
      <c r="J408" s="9">
        <v>12509.406799999999</v>
      </c>
      <c r="K408" s="68">
        <v>46160</v>
      </c>
    </row>
    <row r="409" spans="1:12" x14ac:dyDescent="0.25">
      <c r="B409" s="8">
        <v>46142</v>
      </c>
      <c r="C409" s="9" t="s">
        <v>275</v>
      </c>
      <c r="D409" s="9">
        <v>2</v>
      </c>
      <c r="E409" s="32">
        <v>1199</v>
      </c>
      <c r="F409" s="11">
        <v>2398</v>
      </c>
      <c r="G409" s="11">
        <v>2.6082999999999998</v>
      </c>
      <c r="H409" s="11">
        <v>3127.3516999999997</v>
      </c>
      <c r="I409" s="11">
        <v>6254.7033999999994</v>
      </c>
      <c r="J409" s="9">
        <v>18764.110199999999</v>
      </c>
      <c r="K409" s="68">
        <v>46160</v>
      </c>
    </row>
    <row r="410" spans="1:12" x14ac:dyDescent="0.25">
      <c r="B410" s="8">
        <v>46142</v>
      </c>
      <c r="C410" s="9" t="s">
        <v>276</v>
      </c>
      <c r="D410" s="9">
        <v>2</v>
      </c>
      <c r="E410" s="32">
        <v>999</v>
      </c>
      <c r="F410" s="11">
        <v>1998</v>
      </c>
      <c r="G410" s="11">
        <v>2.6082999999999998</v>
      </c>
      <c r="H410" s="11">
        <v>2605.6916999999999</v>
      </c>
      <c r="I410" s="11">
        <v>5211.3833999999997</v>
      </c>
      <c r="J410" s="9">
        <v>23975.493599999998</v>
      </c>
      <c r="K410" s="68">
        <v>46160</v>
      </c>
      <c r="L410" t="s">
        <v>304</v>
      </c>
    </row>
    <row r="411" spans="1:12" x14ac:dyDescent="0.25">
      <c r="B411" s="7"/>
      <c r="C411" s="7"/>
      <c r="D411" s="7"/>
      <c r="E411" s="7"/>
      <c r="F411" s="7">
        <v>0</v>
      </c>
      <c r="G411" s="7"/>
      <c r="H411" s="7">
        <v>0</v>
      </c>
      <c r="I411" s="7">
        <v>0</v>
      </c>
      <c r="J411" s="5">
        <v>23975.493599999998</v>
      </c>
    </row>
    <row r="412" spans="1:12" x14ac:dyDescent="0.25">
      <c r="B412" s="1"/>
      <c r="C412" s="1"/>
      <c r="D412" s="1"/>
      <c r="E412" s="1"/>
      <c r="F412" s="1"/>
      <c r="G412" s="1"/>
      <c r="H412" s="1"/>
      <c r="I412" s="1"/>
      <c r="J412" s="2"/>
    </row>
    <row r="413" spans="1:12" x14ac:dyDescent="0.25">
      <c r="B413" s="1"/>
      <c r="C413" s="1"/>
      <c r="D413" s="1"/>
      <c r="E413" s="1"/>
      <c r="F413" s="1"/>
      <c r="G413" s="1"/>
      <c r="H413" s="1"/>
      <c r="I413" s="1"/>
      <c r="J413" s="2"/>
    </row>
    <row r="414" spans="1:12" x14ac:dyDescent="0.25">
      <c r="B414" s="1"/>
      <c r="C414" s="1"/>
      <c r="D414" s="1"/>
      <c r="E414" s="1"/>
      <c r="F414" s="1"/>
      <c r="G414" s="1"/>
      <c r="H414" s="1"/>
      <c r="I414" s="1"/>
      <c r="J414" s="2"/>
    </row>
    <row r="415" spans="1:12" x14ac:dyDescent="0.25">
      <c r="B415" s="1"/>
      <c r="C415" s="1"/>
      <c r="D415" s="1"/>
      <c r="E415" s="1"/>
      <c r="F415" s="1"/>
      <c r="G415" s="1"/>
      <c r="H415" s="1"/>
      <c r="I415" s="1"/>
      <c r="J415" s="2"/>
    </row>
    <row r="416" spans="1:12" x14ac:dyDescent="0.25">
      <c r="B416" s="1"/>
      <c r="C416" s="1"/>
      <c r="D416" s="1"/>
      <c r="E416" s="1"/>
      <c r="F416" s="1"/>
      <c r="G416" s="1"/>
      <c r="H416" s="1"/>
      <c r="I416" s="1"/>
      <c r="J416" s="2"/>
    </row>
    <row r="417" spans="1:11" x14ac:dyDescent="0.25">
      <c r="B417" s="1"/>
      <c r="C417" s="1"/>
      <c r="D417" s="1"/>
      <c r="E417" s="1"/>
      <c r="F417" s="1"/>
      <c r="G417" s="1"/>
      <c r="H417" s="1"/>
      <c r="I417" s="1"/>
      <c r="J417" s="2"/>
    </row>
    <row r="418" spans="1:11" ht="21" x14ac:dyDescent="0.35">
      <c r="A418" t="s">
        <v>0</v>
      </c>
      <c r="B418" s="125" t="s">
        <v>1</v>
      </c>
      <c r="C418" s="125"/>
      <c r="D418" s="125"/>
      <c r="E418" s="125"/>
      <c r="F418" s="125"/>
      <c r="G418" s="125"/>
      <c r="H418" s="125"/>
      <c r="I418" s="125"/>
      <c r="J418" s="125"/>
    </row>
    <row r="419" spans="1:11" ht="18.75" x14ac:dyDescent="0.3">
      <c r="A419" t="s">
        <v>2</v>
      </c>
      <c r="B419" s="3" t="s">
        <v>3</v>
      </c>
      <c r="C419" s="3" t="s">
        <v>4</v>
      </c>
      <c r="D419" s="3" t="s">
        <v>5</v>
      </c>
      <c r="E419" s="3" t="s">
        <v>6</v>
      </c>
      <c r="F419" s="3" t="s">
        <v>7</v>
      </c>
      <c r="G419" s="3" t="s">
        <v>8</v>
      </c>
      <c r="H419" s="3" t="s">
        <v>9</v>
      </c>
      <c r="I419" s="3" t="s">
        <v>10</v>
      </c>
      <c r="J419" s="3"/>
    </row>
    <row r="420" spans="1:11" x14ac:dyDescent="0.25">
      <c r="B420" s="8">
        <v>46143</v>
      </c>
      <c r="C420" s="9" t="s">
        <v>275</v>
      </c>
      <c r="D420" s="9">
        <v>2</v>
      </c>
      <c r="E420" s="32">
        <v>1199</v>
      </c>
      <c r="F420" s="11">
        <v>2398</v>
      </c>
      <c r="G420" s="11">
        <v>2.6082999999999998</v>
      </c>
      <c r="H420" s="11">
        <v>3127.3516999999997</v>
      </c>
      <c r="I420" s="11">
        <v>6254.7033999999994</v>
      </c>
      <c r="J420" s="9">
        <v>6254.7033999999994</v>
      </c>
      <c r="K420" s="68">
        <v>46160</v>
      </c>
    </row>
    <row r="421" spans="1:11" x14ac:dyDescent="0.25">
      <c r="B421" s="8">
        <v>46143</v>
      </c>
      <c r="C421" s="9" t="s">
        <v>275</v>
      </c>
      <c r="D421" s="9">
        <v>2</v>
      </c>
      <c r="E421" s="32">
        <v>1199</v>
      </c>
      <c r="F421" s="11">
        <v>2398</v>
      </c>
      <c r="G421" s="11">
        <v>2.6082999999999998</v>
      </c>
      <c r="H421" s="11">
        <v>3127.3516999999997</v>
      </c>
      <c r="I421" s="11">
        <v>6254.7033999999994</v>
      </c>
      <c r="J421" s="9">
        <v>12509.406799999999</v>
      </c>
      <c r="K421" s="68">
        <v>46160</v>
      </c>
    </row>
    <row r="422" spans="1:11" x14ac:dyDescent="0.25">
      <c r="B422" s="8">
        <v>46143</v>
      </c>
      <c r="C422" s="9" t="s">
        <v>275</v>
      </c>
      <c r="D422" s="9">
        <v>2</v>
      </c>
      <c r="E422" s="32">
        <v>1199</v>
      </c>
      <c r="F422" s="11">
        <v>2398</v>
      </c>
      <c r="G422" s="11">
        <v>2.6082999999999998</v>
      </c>
      <c r="H422" s="11">
        <v>3127.3516999999997</v>
      </c>
      <c r="I422" s="11">
        <v>6254.7033999999994</v>
      </c>
      <c r="J422" s="9">
        <v>18764.110199999999</v>
      </c>
      <c r="K422" s="68">
        <v>46160</v>
      </c>
    </row>
    <row r="423" spans="1:11" x14ac:dyDescent="0.25">
      <c r="B423" s="8">
        <v>46143</v>
      </c>
      <c r="C423" s="9" t="s">
        <v>275</v>
      </c>
      <c r="D423" s="9">
        <v>2</v>
      </c>
      <c r="E423" s="32">
        <v>1199</v>
      </c>
      <c r="F423" s="11">
        <v>2398</v>
      </c>
      <c r="G423" s="11">
        <v>2.6082999999999998</v>
      </c>
      <c r="H423" s="11">
        <v>3127.3516999999997</v>
      </c>
      <c r="I423" s="11">
        <v>6254.7033999999994</v>
      </c>
      <c r="J423" s="9">
        <v>25018.813599999998</v>
      </c>
      <c r="K423" s="68">
        <v>46160</v>
      </c>
    </row>
    <row r="424" spans="1:11" x14ac:dyDescent="0.25">
      <c r="B424" s="8">
        <v>46144</v>
      </c>
      <c r="C424" s="9" t="s">
        <v>277</v>
      </c>
      <c r="D424" s="9">
        <v>5</v>
      </c>
      <c r="E424" s="32">
        <v>1999</v>
      </c>
      <c r="F424" s="11">
        <v>9995</v>
      </c>
      <c r="G424" s="11">
        <v>2.6082999999999998</v>
      </c>
      <c r="H424" s="11">
        <v>5213.9916999999996</v>
      </c>
      <c r="I424" s="11">
        <v>26069.958499999997</v>
      </c>
      <c r="J424" s="9">
        <v>51088.772099999995</v>
      </c>
      <c r="K424" s="68">
        <v>46160</v>
      </c>
    </row>
    <row r="425" spans="1:11" x14ac:dyDescent="0.25">
      <c r="B425" s="8">
        <v>46144</v>
      </c>
      <c r="C425" s="9" t="s">
        <v>278</v>
      </c>
      <c r="D425" s="9">
        <v>7</v>
      </c>
      <c r="E425" s="32">
        <v>1982</v>
      </c>
      <c r="F425" s="11">
        <v>13874</v>
      </c>
      <c r="G425" s="11">
        <v>2.6082999999999998</v>
      </c>
      <c r="H425" s="11">
        <v>5169.6505999999999</v>
      </c>
      <c r="I425" s="11">
        <v>36187.554199999999</v>
      </c>
      <c r="J425" s="9">
        <v>87276.326299999986</v>
      </c>
      <c r="K425" s="68">
        <v>46160</v>
      </c>
    </row>
    <row r="426" spans="1:11" x14ac:dyDescent="0.25">
      <c r="B426" s="8">
        <v>46145</v>
      </c>
      <c r="C426" s="9" t="s">
        <v>279</v>
      </c>
      <c r="D426" s="9">
        <v>4</v>
      </c>
      <c r="E426" s="32">
        <v>1999</v>
      </c>
      <c r="F426" s="11">
        <v>7996</v>
      </c>
      <c r="G426" s="11">
        <v>2.6082999999999998</v>
      </c>
      <c r="H426" s="11">
        <v>5213.9916999999996</v>
      </c>
      <c r="I426" s="11">
        <v>20855.966799999998</v>
      </c>
      <c r="J426" s="9">
        <v>108132.29309999998</v>
      </c>
      <c r="K426" s="68">
        <v>46160</v>
      </c>
    </row>
    <row r="427" spans="1:11" x14ac:dyDescent="0.25">
      <c r="B427" s="8">
        <v>46145</v>
      </c>
      <c r="C427" s="9" t="s">
        <v>280</v>
      </c>
      <c r="D427" s="9">
        <v>10</v>
      </c>
      <c r="E427" s="32">
        <v>1999</v>
      </c>
      <c r="F427" s="11">
        <v>19990</v>
      </c>
      <c r="G427" s="11">
        <v>2.6082999999999998</v>
      </c>
      <c r="H427" s="11">
        <v>5213.9916999999996</v>
      </c>
      <c r="I427" s="11">
        <v>52139.916999999994</v>
      </c>
      <c r="J427" s="9">
        <v>160272.21009999997</v>
      </c>
      <c r="K427" s="68">
        <v>46160</v>
      </c>
    </row>
    <row r="428" spans="1:11" x14ac:dyDescent="0.25">
      <c r="B428" s="8">
        <v>46145</v>
      </c>
      <c r="C428" s="9" t="s">
        <v>281</v>
      </c>
      <c r="D428" s="9">
        <v>8</v>
      </c>
      <c r="E428" s="32">
        <v>1950</v>
      </c>
      <c r="F428" s="11">
        <v>15600</v>
      </c>
      <c r="G428" s="11">
        <v>2.6082999999999998</v>
      </c>
      <c r="H428" s="11">
        <v>5086.1849999999995</v>
      </c>
      <c r="I428" s="11">
        <v>40689.479999999996</v>
      </c>
      <c r="J428" s="9">
        <v>200961.69009999995</v>
      </c>
      <c r="K428" s="68">
        <v>46160</v>
      </c>
    </row>
    <row r="429" spans="1:11" x14ac:dyDescent="0.25">
      <c r="B429" s="8">
        <v>46146</v>
      </c>
      <c r="C429" s="9" t="s">
        <v>275</v>
      </c>
      <c r="D429" s="9">
        <v>2</v>
      </c>
      <c r="E429" s="32">
        <v>1199</v>
      </c>
      <c r="F429" s="11">
        <v>2398</v>
      </c>
      <c r="G429" s="11">
        <v>2.6082999999999998</v>
      </c>
      <c r="H429" s="11">
        <v>3127.3516999999997</v>
      </c>
      <c r="I429" s="11">
        <v>6254.7033999999994</v>
      </c>
      <c r="J429" s="9">
        <v>207216.39349999995</v>
      </c>
      <c r="K429" s="68">
        <v>46160</v>
      </c>
    </row>
    <row r="430" spans="1:11" x14ac:dyDescent="0.25">
      <c r="B430" s="8">
        <v>46146</v>
      </c>
      <c r="C430" s="9" t="s">
        <v>275</v>
      </c>
      <c r="D430" s="9">
        <v>2</v>
      </c>
      <c r="E430" s="32">
        <v>1199</v>
      </c>
      <c r="F430" s="11">
        <v>2398</v>
      </c>
      <c r="G430" s="11">
        <v>2.6082999999999998</v>
      </c>
      <c r="H430" s="11">
        <v>3127.3516999999997</v>
      </c>
      <c r="I430" s="11">
        <v>6254.7033999999994</v>
      </c>
      <c r="J430" s="9">
        <v>213471.09689999995</v>
      </c>
      <c r="K430" s="68">
        <v>46160</v>
      </c>
    </row>
    <row r="431" spans="1:11" x14ac:dyDescent="0.25">
      <c r="B431" s="8">
        <v>46146</v>
      </c>
      <c r="C431" s="9" t="s">
        <v>275</v>
      </c>
      <c r="D431" s="9">
        <v>2</v>
      </c>
      <c r="E431" s="32">
        <v>1199</v>
      </c>
      <c r="F431" s="11">
        <v>2398</v>
      </c>
      <c r="G431" s="11">
        <v>2.6082999999999998</v>
      </c>
      <c r="H431" s="11">
        <v>3127.3516999999997</v>
      </c>
      <c r="I431" s="11">
        <v>6254.7033999999994</v>
      </c>
      <c r="J431" s="9">
        <v>219725.80029999994</v>
      </c>
      <c r="K431" s="68">
        <v>46160</v>
      </c>
    </row>
    <row r="432" spans="1:11" x14ac:dyDescent="0.25">
      <c r="B432" s="8">
        <v>46146</v>
      </c>
      <c r="C432" s="9" t="s">
        <v>275</v>
      </c>
      <c r="D432" s="9">
        <v>2</v>
      </c>
      <c r="E432" s="32">
        <v>1199</v>
      </c>
      <c r="F432" s="11">
        <v>2398</v>
      </c>
      <c r="G432" s="11">
        <v>2.6082999999999998</v>
      </c>
      <c r="H432" s="11">
        <v>3127.3516999999997</v>
      </c>
      <c r="I432" s="11">
        <v>6254.7033999999994</v>
      </c>
      <c r="J432" s="9">
        <v>225980.50369999994</v>
      </c>
      <c r="K432" s="68">
        <v>46160</v>
      </c>
    </row>
    <row r="433" spans="1:12" x14ac:dyDescent="0.25">
      <c r="B433" s="8">
        <v>46146</v>
      </c>
      <c r="C433" s="9" t="s">
        <v>275</v>
      </c>
      <c r="D433" s="9">
        <v>2</v>
      </c>
      <c r="E433" s="32">
        <v>1199</v>
      </c>
      <c r="F433" s="11">
        <v>2398</v>
      </c>
      <c r="G433" s="11">
        <v>2.6082999999999998</v>
      </c>
      <c r="H433" s="11">
        <v>3127.3516999999997</v>
      </c>
      <c r="I433" s="11">
        <v>6254.7033999999994</v>
      </c>
      <c r="J433" s="9">
        <v>232235.20709999994</v>
      </c>
      <c r="K433" s="68">
        <v>46160</v>
      </c>
    </row>
    <row r="434" spans="1:12" x14ac:dyDescent="0.25">
      <c r="B434" s="7"/>
      <c r="C434" s="7"/>
      <c r="D434" s="7"/>
      <c r="E434" s="7"/>
      <c r="F434" s="7">
        <v>0</v>
      </c>
      <c r="G434" s="7"/>
      <c r="H434" s="7">
        <v>0</v>
      </c>
      <c r="I434" s="7">
        <v>0</v>
      </c>
      <c r="J434" s="5">
        <v>232235.20709999994</v>
      </c>
    </row>
    <row r="435" spans="1:12" x14ac:dyDescent="0.25">
      <c r="B435" s="1"/>
      <c r="C435" s="1"/>
      <c r="D435" s="1"/>
      <c r="E435" s="1"/>
      <c r="F435" s="1"/>
      <c r="G435" s="1"/>
      <c r="H435" s="1"/>
      <c r="I435" s="1"/>
      <c r="J435" s="2"/>
    </row>
    <row r="436" spans="1:12" x14ac:dyDescent="0.25">
      <c r="B436" s="1"/>
      <c r="C436" s="1"/>
      <c r="D436" s="1"/>
      <c r="E436" s="1"/>
      <c r="F436" s="1"/>
      <c r="G436" s="1"/>
      <c r="H436" s="1"/>
      <c r="I436" s="1"/>
      <c r="J436" s="2"/>
    </row>
    <row r="437" spans="1:12" x14ac:dyDescent="0.25">
      <c r="B437" s="1"/>
      <c r="C437" s="1"/>
      <c r="D437" s="1"/>
      <c r="E437" s="1"/>
      <c r="F437" s="1"/>
      <c r="G437" s="1"/>
      <c r="H437" s="1"/>
      <c r="I437" s="1"/>
      <c r="J437" s="2"/>
    </row>
    <row r="438" spans="1:12" x14ac:dyDescent="0.25">
      <c r="B438" s="1"/>
      <c r="C438" s="1"/>
      <c r="D438" s="1"/>
      <c r="E438" s="1"/>
      <c r="F438" s="1"/>
      <c r="G438" s="1"/>
      <c r="H438" s="1"/>
      <c r="I438" s="1"/>
      <c r="J438" s="2"/>
    </row>
    <row r="439" spans="1:12" x14ac:dyDescent="0.25">
      <c r="B439" s="1"/>
      <c r="C439" s="1"/>
      <c r="D439" s="1"/>
      <c r="E439" s="1"/>
      <c r="F439" s="1"/>
      <c r="G439" s="1"/>
      <c r="H439" s="1"/>
      <c r="I439" s="1"/>
      <c r="J439" s="2"/>
    </row>
    <row r="440" spans="1:12" x14ac:dyDescent="0.25">
      <c r="B440" s="1"/>
      <c r="C440" s="1"/>
      <c r="D440" s="1"/>
      <c r="E440" s="1"/>
      <c r="F440" s="1"/>
      <c r="G440" s="1"/>
      <c r="H440" s="1"/>
      <c r="I440" s="1"/>
      <c r="J440" s="2"/>
    </row>
    <row r="441" spans="1:12" ht="21" x14ac:dyDescent="0.35">
      <c r="A441" t="s">
        <v>0</v>
      </c>
      <c r="B441" s="125" t="s">
        <v>34</v>
      </c>
      <c r="C441" s="125"/>
      <c r="D441" s="125"/>
      <c r="E441" s="125"/>
      <c r="F441" s="125"/>
      <c r="G441" s="125"/>
      <c r="H441" s="125"/>
      <c r="I441" s="125"/>
      <c r="J441" s="125"/>
    </row>
    <row r="442" spans="1:12" ht="18.75" x14ac:dyDescent="0.3">
      <c r="A442" t="s">
        <v>2</v>
      </c>
      <c r="B442" s="3" t="s">
        <v>3</v>
      </c>
      <c r="C442" s="3" t="s">
        <v>4</v>
      </c>
      <c r="D442" s="3" t="s">
        <v>5</v>
      </c>
      <c r="E442" s="3" t="s">
        <v>6</v>
      </c>
      <c r="F442" s="3" t="s">
        <v>7</v>
      </c>
      <c r="G442" s="3" t="s">
        <v>8</v>
      </c>
      <c r="H442" s="3" t="s">
        <v>9</v>
      </c>
      <c r="I442" s="3" t="s">
        <v>10</v>
      </c>
      <c r="J442" s="3"/>
    </row>
    <row r="443" spans="1:12" x14ac:dyDescent="0.25">
      <c r="B443" s="8">
        <v>46149</v>
      </c>
      <c r="C443" s="9" t="s">
        <v>282</v>
      </c>
      <c r="D443" s="9">
        <v>2</v>
      </c>
      <c r="E443" s="9">
        <v>3299</v>
      </c>
      <c r="F443" s="11">
        <v>6598</v>
      </c>
      <c r="G443" s="11">
        <v>2.15</v>
      </c>
      <c r="H443" s="11">
        <v>7092.8499999999995</v>
      </c>
      <c r="I443" s="11">
        <v>14185.699999999999</v>
      </c>
      <c r="J443" s="9">
        <v>14185.699999999999</v>
      </c>
      <c r="K443" s="68">
        <v>46192</v>
      </c>
    </row>
    <row r="444" spans="1:12" x14ac:dyDescent="0.25">
      <c r="B444" s="8">
        <v>46152</v>
      </c>
      <c r="C444" s="9" t="s">
        <v>283</v>
      </c>
      <c r="D444" s="9">
        <v>4</v>
      </c>
      <c r="E444" s="9">
        <v>1579</v>
      </c>
      <c r="F444" s="11">
        <v>6316</v>
      </c>
      <c r="G444" s="11">
        <v>2.15</v>
      </c>
      <c r="H444" s="11">
        <v>3394.85</v>
      </c>
      <c r="I444" s="11">
        <v>13579.4</v>
      </c>
      <c r="J444" s="9">
        <v>27765.1</v>
      </c>
      <c r="K444" s="68">
        <v>46192</v>
      </c>
    </row>
    <row r="445" spans="1:12" x14ac:dyDescent="0.25">
      <c r="B445" s="8">
        <v>46152</v>
      </c>
      <c r="C445" s="9" t="s">
        <v>284</v>
      </c>
      <c r="D445" s="9">
        <v>4</v>
      </c>
      <c r="E445" s="9">
        <v>1579</v>
      </c>
      <c r="F445" s="11">
        <v>6316</v>
      </c>
      <c r="G445" s="11">
        <v>2.15</v>
      </c>
      <c r="H445" s="11">
        <v>3394.85</v>
      </c>
      <c r="I445" s="11">
        <v>13579.4</v>
      </c>
      <c r="J445" s="9">
        <v>41344.5</v>
      </c>
      <c r="K445" s="68">
        <v>46192</v>
      </c>
    </row>
    <row r="446" spans="1:12" x14ac:dyDescent="0.25">
      <c r="B446" s="8">
        <v>46153</v>
      </c>
      <c r="C446" s="9" t="s">
        <v>285</v>
      </c>
      <c r="D446" s="9">
        <v>8</v>
      </c>
      <c r="E446" s="9">
        <v>143</v>
      </c>
      <c r="F446" s="11">
        <v>1144</v>
      </c>
      <c r="G446" s="11">
        <v>2.15</v>
      </c>
      <c r="H446" s="11">
        <v>307.45</v>
      </c>
      <c r="I446" s="11">
        <v>2459.6</v>
      </c>
      <c r="J446" s="9">
        <v>43804.1</v>
      </c>
      <c r="K446" s="68">
        <v>46160</v>
      </c>
      <c r="L446" s="68" t="s">
        <v>389</v>
      </c>
    </row>
    <row r="447" spans="1:12" x14ac:dyDescent="0.25">
      <c r="B447" s="8">
        <v>46154</v>
      </c>
      <c r="C447" s="9" t="s">
        <v>286</v>
      </c>
      <c r="D447" s="9">
        <v>4</v>
      </c>
      <c r="E447" s="9">
        <v>1579</v>
      </c>
      <c r="F447" s="11">
        <v>6316</v>
      </c>
      <c r="G447" s="11">
        <v>2.15</v>
      </c>
      <c r="H447" s="11">
        <v>3394.85</v>
      </c>
      <c r="I447" s="11">
        <v>13579.4</v>
      </c>
      <c r="J447" s="9">
        <v>57383.5</v>
      </c>
      <c r="K447" s="68">
        <v>46192</v>
      </c>
    </row>
    <row r="448" spans="1:12" x14ac:dyDescent="0.25">
      <c r="B448" s="8">
        <v>46154</v>
      </c>
      <c r="C448" s="9" t="s">
        <v>287</v>
      </c>
      <c r="D448" s="9">
        <v>20</v>
      </c>
      <c r="E448" s="9">
        <v>143</v>
      </c>
      <c r="F448" s="11">
        <v>2860</v>
      </c>
      <c r="G448" s="11">
        <v>2.15</v>
      </c>
      <c r="H448" s="11">
        <v>307.45</v>
      </c>
      <c r="I448" s="11">
        <v>6149</v>
      </c>
      <c r="J448" s="9">
        <v>63532.5</v>
      </c>
      <c r="K448" s="68">
        <v>46160</v>
      </c>
    </row>
    <row r="449" spans="1:11" x14ac:dyDescent="0.25">
      <c r="B449" s="8">
        <v>46154</v>
      </c>
      <c r="C449" s="9" t="s">
        <v>288</v>
      </c>
      <c r="D449" s="9">
        <v>1</v>
      </c>
      <c r="E449" s="9">
        <v>17999</v>
      </c>
      <c r="F449" s="11">
        <v>17999</v>
      </c>
      <c r="G449" s="11">
        <v>2.15</v>
      </c>
      <c r="H449" s="11">
        <v>38697.85</v>
      </c>
      <c r="I449" s="11">
        <v>38697.85</v>
      </c>
      <c r="J449" s="9">
        <v>102230.35</v>
      </c>
      <c r="K449" s="68">
        <v>46192</v>
      </c>
    </row>
    <row r="450" spans="1:11" x14ac:dyDescent="0.25">
      <c r="B450" s="8">
        <v>46156</v>
      </c>
      <c r="C450" s="9" t="s">
        <v>289</v>
      </c>
      <c r="D450" s="9">
        <v>12</v>
      </c>
      <c r="E450" s="9">
        <v>1600</v>
      </c>
      <c r="F450" s="11">
        <v>19200</v>
      </c>
      <c r="G450" s="11">
        <v>2.15</v>
      </c>
      <c r="H450" s="11">
        <v>3440</v>
      </c>
      <c r="I450" s="11">
        <v>41280</v>
      </c>
      <c r="J450" s="9">
        <v>143510.35</v>
      </c>
      <c r="K450" s="68">
        <v>46192</v>
      </c>
    </row>
    <row r="451" spans="1:11" x14ac:dyDescent="0.25">
      <c r="B451" s="8">
        <v>46156</v>
      </c>
      <c r="C451" s="9" t="s">
        <v>290</v>
      </c>
      <c r="D451" s="9">
        <v>4</v>
      </c>
      <c r="E451" s="9">
        <v>1579</v>
      </c>
      <c r="F451" s="11">
        <v>6316</v>
      </c>
      <c r="G451" s="11">
        <v>2.15</v>
      </c>
      <c r="H451" s="11">
        <v>3394.85</v>
      </c>
      <c r="I451" s="11">
        <v>13579.4</v>
      </c>
      <c r="J451" s="9">
        <v>157089.75</v>
      </c>
      <c r="K451" s="68">
        <v>46192</v>
      </c>
    </row>
    <row r="452" spans="1:11" x14ac:dyDescent="0.25">
      <c r="B452" s="8">
        <v>46156</v>
      </c>
      <c r="C452" s="9" t="s">
        <v>284</v>
      </c>
      <c r="D452" s="9">
        <v>4</v>
      </c>
      <c r="E452" s="9">
        <v>1579</v>
      </c>
      <c r="F452" s="11">
        <v>6316</v>
      </c>
      <c r="G452" s="11">
        <v>2.15</v>
      </c>
      <c r="H452" s="11">
        <v>3394.85</v>
      </c>
      <c r="I452" s="11">
        <v>13579.4</v>
      </c>
      <c r="J452" s="9">
        <v>170669.15</v>
      </c>
      <c r="K452" s="68">
        <v>46192</v>
      </c>
    </row>
    <row r="453" spans="1:11" x14ac:dyDescent="0.25">
      <c r="B453" s="4">
        <v>46154</v>
      </c>
      <c r="C453" s="5" t="s">
        <v>291</v>
      </c>
      <c r="D453" s="77">
        <v>1</v>
      </c>
      <c r="E453" s="77">
        <v>1370</v>
      </c>
      <c r="F453" s="7">
        <v>1370</v>
      </c>
      <c r="G453" s="7">
        <v>2.15</v>
      </c>
      <c r="H453" s="7">
        <v>2945.5</v>
      </c>
      <c r="I453" s="7">
        <v>2945.5</v>
      </c>
      <c r="J453" s="5">
        <v>173614.65</v>
      </c>
    </row>
    <row r="454" spans="1:11" x14ac:dyDescent="0.25">
      <c r="B454" s="7"/>
      <c r="C454" s="7"/>
      <c r="D454" s="7"/>
      <c r="E454" s="7"/>
      <c r="F454" s="7">
        <v>0</v>
      </c>
      <c r="G454" s="7"/>
      <c r="H454" s="7">
        <v>0</v>
      </c>
      <c r="I454" s="7">
        <v>0</v>
      </c>
      <c r="J454" s="5">
        <v>173614.65</v>
      </c>
    </row>
    <row r="455" spans="1:11" x14ac:dyDescent="0.25">
      <c r="B455" s="1"/>
      <c r="C455" s="1"/>
      <c r="D455" s="1"/>
      <c r="E455" s="1"/>
      <c r="F455" s="1"/>
      <c r="G455" s="1"/>
      <c r="H455" s="1"/>
      <c r="I455" s="1"/>
      <c r="J455" s="2"/>
    </row>
    <row r="456" spans="1:11" x14ac:dyDescent="0.25">
      <c r="B456" s="1"/>
      <c r="C456" s="1"/>
      <c r="D456" s="1"/>
      <c r="E456" s="1"/>
      <c r="F456" s="1"/>
      <c r="G456" s="1"/>
      <c r="H456" s="1"/>
      <c r="I456" s="1"/>
      <c r="J456" s="2"/>
    </row>
    <row r="457" spans="1:11" x14ac:dyDescent="0.25">
      <c r="B457" s="1"/>
      <c r="C457" s="1"/>
      <c r="D457" s="1"/>
      <c r="E457" s="1"/>
      <c r="F457" s="1"/>
      <c r="G457" s="1"/>
      <c r="H457" s="1"/>
      <c r="I457" s="1"/>
      <c r="J457" s="2"/>
    </row>
    <row r="458" spans="1:11" x14ac:dyDescent="0.25">
      <c r="B458" s="1"/>
      <c r="C458" s="1"/>
      <c r="D458" s="1"/>
      <c r="E458" s="1"/>
      <c r="F458" s="1"/>
      <c r="G458" s="1"/>
      <c r="H458" s="1"/>
      <c r="I458" s="1"/>
      <c r="J458" s="2"/>
    </row>
    <row r="459" spans="1:11" x14ac:dyDescent="0.25">
      <c r="B459" s="1"/>
      <c r="C459" s="1"/>
      <c r="D459" s="1"/>
      <c r="E459" s="1"/>
      <c r="F459" s="1"/>
      <c r="G459" s="1"/>
      <c r="H459" s="1"/>
      <c r="I459" s="1"/>
      <c r="J459" s="2"/>
    </row>
    <row r="460" spans="1:11" x14ac:dyDescent="0.25">
      <c r="B460" s="1"/>
      <c r="C460" s="1"/>
      <c r="D460" s="1"/>
      <c r="E460" s="1"/>
      <c r="F460" s="1"/>
      <c r="G460" s="1"/>
      <c r="H460" s="1"/>
      <c r="I460" s="1"/>
      <c r="J460" s="2"/>
    </row>
    <row r="461" spans="1:11" ht="21" x14ac:dyDescent="0.35">
      <c r="A461" t="s">
        <v>0</v>
      </c>
      <c r="B461" s="125" t="s">
        <v>1</v>
      </c>
      <c r="C461" s="125"/>
      <c r="D461" s="125"/>
      <c r="E461" s="125"/>
      <c r="F461" s="125"/>
      <c r="G461" s="125"/>
      <c r="H461" s="125"/>
      <c r="I461" s="125"/>
      <c r="J461" s="125"/>
    </row>
    <row r="462" spans="1:11" ht="18.75" x14ac:dyDescent="0.3">
      <c r="A462" t="s">
        <v>2</v>
      </c>
      <c r="B462" s="3" t="s">
        <v>3</v>
      </c>
      <c r="C462" s="3" t="s">
        <v>4</v>
      </c>
      <c r="D462" s="3" t="s">
        <v>5</v>
      </c>
      <c r="E462" s="3" t="s">
        <v>6</v>
      </c>
      <c r="F462" s="3" t="s">
        <v>7</v>
      </c>
      <c r="G462" s="3" t="s">
        <v>8</v>
      </c>
      <c r="H462" s="3" t="s">
        <v>9</v>
      </c>
      <c r="I462" s="3" t="s">
        <v>10</v>
      </c>
      <c r="J462" s="3"/>
    </row>
    <row r="463" spans="1:11" x14ac:dyDescent="0.25">
      <c r="B463" s="8">
        <v>46147</v>
      </c>
      <c r="C463" s="9" t="s">
        <v>275</v>
      </c>
      <c r="D463" s="9">
        <v>2</v>
      </c>
      <c r="E463" s="32">
        <v>1199</v>
      </c>
      <c r="F463" s="11">
        <v>2398</v>
      </c>
      <c r="G463" s="11">
        <v>2.6267</v>
      </c>
      <c r="H463" s="11">
        <v>3149.4133000000002</v>
      </c>
      <c r="I463" s="11">
        <v>6298.8266000000003</v>
      </c>
      <c r="J463" s="9">
        <v>6298.8266000000003</v>
      </c>
      <c r="K463" s="68">
        <v>46160</v>
      </c>
    </row>
    <row r="464" spans="1:11" x14ac:dyDescent="0.25">
      <c r="B464" s="8">
        <v>46147</v>
      </c>
      <c r="C464" s="9" t="s">
        <v>275</v>
      </c>
      <c r="D464" s="9">
        <v>2</v>
      </c>
      <c r="E464" s="32">
        <v>1199</v>
      </c>
      <c r="F464" s="11">
        <v>2398</v>
      </c>
      <c r="G464" s="11">
        <v>2.6267</v>
      </c>
      <c r="H464" s="11">
        <v>3149.4133000000002</v>
      </c>
      <c r="I464" s="11">
        <v>6298.8266000000003</v>
      </c>
      <c r="J464" s="9">
        <v>12597.653200000001</v>
      </c>
      <c r="K464" s="68">
        <v>46160</v>
      </c>
    </row>
    <row r="465" spans="2:11" x14ac:dyDescent="0.25">
      <c r="B465" s="8">
        <v>46147</v>
      </c>
      <c r="C465" s="9" t="s">
        <v>275</v>
      </c>
      <c r="D465" s="9">
        <v>2</v>
      </c>
      <c r="E465" s="32">
        <v>1199</v>
      </c>
      <c r="F465" s="11">
        <v>2398</v>
      </c>
      <c r="G465" s="11">
        <v>2.6267</v>
      </c>
      <c r="H465" s="11">
        <v>3149.4133000000002</v>
      </c>
      <c r="I465" s="11">
        <v>6298.8266000000003</v>
      </c>
      <c r="J465" s="9">
        <v>18896.479800000001</v>
      </c>
      <c r="K465" s="68">
        <v>46160</v>
      </c>
    </row>
    <row r="466" spans="2:11" x14ac:dyDescent="0.25">
      <c r="B466" s="8">
        <v>46147</v>
      </c>
      <c r="C466" s="9" t="s">
        <v>275</v>
      </c>
      <c r="D466" s="9">
        <v>2</v>
      </c>
      <c r="E466" s="32">
        <v>1199</v>
      </c>
      <c r="F466" s="11">
        <v>2398</v>
      </c>
      <c r="G466" s="11">
        <v>2.6267</v>
      </c>
      <c r="H466" s="11">
        <v>3149.4133000000002</v>
      </c>
      <c r="I466" s="11">
        <v>6298.8266000000003</v>
      </c>
      <c r="J466" s="9">
        <v>25195.306400000001</v>
      </c>
      <c r="K466" s="68">
        <v>46160</v>
      </c>
    </row>
    <row r="467" spans="2:11" x14ac:dyDescent="0.25">
      <c r="B467" s="8">
        <v>46147</v>
      </c>
      <c r="C467" s="9" t="s">
        <v>275</v>
      </c>
      <c r="D467" s="9">
        <v>2</v>
      </c>
      <c r="E467" s="32">
        <v>1199</v>
      </c>
      <c r="F467" s="11">
        <v>2398</v>
      </c>
      <c r="G467" s="11">
        <v>2.6267</v>
      </c>
      <c r="H467" s="11">
        <v>3149.4133000000002</v>
      </c>
      <c r="I467" s="11">
        <v>6298.8266000000003</v>
      </c>
      <c r="J467" s="9">
        <v>31494.133000000002</v>
      </c>
      <c r="K467" s="68">
        <v>46160</v>
      </c>
    </row>
    <row r="468" spans="2:11" x14ac:dyDescent="0.25">
      <c r="B468" s="8">
        <v>46148</v>
      </c>
      <c r="C468" s="9" t="s">
        <v>292</v>
      </c>
      <c r="D468" s="9">
        <v>10</v>
      </c>
      <c r="E468" s="9">
        <v>1205</v>
      </c>
      <c r="F468" s="11">
        <v>12050</v>
      </c>
      <c r="G468" s="11">
        <v>2.6267</v>
      </c>
      <c r="H468" s="11">
        <v>3165.1734999999999</v>
      </c>
      <c r="I468" s="11">
        <v>31651.735000000001</v>
      </c>
      <c r="J468" s="9">
        <v>63145.868000000002</v>
      </c>
      <c r="K468" s="68">
        <v>46160</v>
      </c>
    </row>
    <row r="469" spans="2:11" x14ac:dyDescent="0.25">
      <c r="B469" s="8">
        <v>46150</v>
      </c>
      <c r="C469" s="9" t="s">
        <v>293</v>
      </c>
      <c r="D469" s="9">
        <v>2</v>
      </c>
      <c r="E469" s="9">
        <v>1199</v>
      </c>
      <c r="F469" s="11">
        <v>2398</v>
      </c>
      <c r="G469" s="11">
        <v>2.6267</v>
      </c>
      <c r="H469" s="11">
        <v>3149.4133000000002</v>
      </c>
      <c r="I469" s="11">
        <v>6298.8266000000003</v>
      </c>
      <c r="J469" s="9">
        <v>69444.694600000003</v>
      </c>
      <c r="K469" s="68">
        <v>46160</v>
      </c>
    </row>
    <row r="470" spans="2:11" x14ac:dyDescent="0.25">
      <c r="B470" s="8">
        <v>46150</v>
      </c>
      <c r="C470" s="9" t="s">
        <v>293</v>
      </c>
      <c r="D470" s="9">
        <v>2</v>
      </c>
      <c r="E470" s="9">
        <v>1199</v>
      </c>
      <c r="F470" s="11">
        <v>2398</v>
      </c>
      <c r="G470" s="11">
        <v>2.6267</v>
      </c>
      <c r="H470" s="11">
        <v>3149.4133000000002</v>
      </c>
      <c r="I470" s="11">
        <v>6298.8266000000003</v>
      </c>
      <c r="J470" s="9">
        <v>75743.521200000003</v>
      </c>
      <c r="K470" s="68">
        <v>46160</v>
      </c>
    </row>
    <row r="471" spans="2:11" x14ac:dyDescent="0.25">
      <c r="B471" s="8">
        <v>46150</v>
      </c>
      <c r="C471" s="9" t="s">
        <v>293</v>
      </c>
      <c r="D471" s="9">
        <v>2</v>
      </c>
      <c r="E471" s="9">
        <v>1199</v>
      </c>
      <c r="F471" s="11">
        <v>2398</v>
      </c>
      <c r="G471" s="11">
        <v>2.6267</v>
      </c>
      <c r="H471" s="11">
        <v>3149.4133000000002</v>
      </c>
      <c r="I471" s="11">
        <v>6298.8266000000003</v>
      </c>
      <c r="J471" s="9">
        <v>82042.347800000003</v>
      </c>
      <c r="K471" s="68">
        <v>46160</v>
      </c>
    </row>
    <row r="472" spans="2:11" x14ac:dyDescent="0.25">
      <c r="B472" s="8">
        <v>46150</v>
      </c>
      <c r="C472" s="9" t="s">
        <v>293</v>
      </c>
      <c r="D472" s="9">
        <v>2</v>
      </c>
      <c r="E472" s="9">
        <v>1199</v>
      </c>
      <c r="F472" s="11">
        <v>2398</v>
      </c>
      <c r="G472" s="11">
        <v>2.6267</v>
      </c>
      <c r="H472" s="11">
        <v>3149.4133000000002</v>
      </c>
      <c r="I472" s="11">
        <v>6298.8266000000003</v>
      </c>
      <c r="J472" s="9">
        <v>88341.174400000004</v>
      </c>
      <c r="K472" s="68">
        <v>46160</v>
      </c>
    </row>
    <row r="473" spans="2:11" x14ac:dyDescent="0.25">
      <c r="B473" s="8">
        <v>46150</v>
      </c>
      <c r="C473" s="9" t="s">
        <v>277</v>
      </c>
      <c r="D473" s="9">
        <v>10</v>
      </c>
      <c r="E473" s="9">
        <v>1897</v>
      </c>
      <c r="F473" s="11">
        <v>18970</v>
      </c>
      <c r="G473" s="11">
        <v>2.6267</v>
      </c>
      <c r="H473" s="11">
        <v>4982.8499000000002</v>
      </c>
      <c r="I473" s="11">
        <v>49828.499000000003</v>
      </c>
      <c r="J473" s="9">
        <v>138169.6734</v>
      </c>
      <c r="K473" s="68">
        <v>46160</v>
      </c>
    </row>
    <row r="474" spans="2:11" x14ac:dyDescent="0.25">
      <c r="B474" s="8">
        <v>46150</v>
      </c>
      <c r="C474" s="9" t="s">
        <v>294</v>
      </c>
      <c r="D474" s="9">
        <v>7</v>
      </c>
      <c r="E474" s="9">
        <v>1897</v>
      </c>
      <c r="F474" s="11">
        <v>13279</v>
      </c>
      <c r="G474" s="11">
        <v>2.6267</v>
      </c>
      <c r="H474" s="11">
        <v>4982.8499000000002</v>
      </c>
      <c r="I474" s="11">
        <v>34879.9493</v>
      </c>
      <c r="J474" s="9">
        <v>173049.62270000001</v>
      </c>
      <c r="K474" s="68">
        <v>46160</v>
      </c>
    </row>
    <row r="475" spans="2:11" x14ac:dyDescent="0.25">
      <c r="B475" s="8">
        <v>46150</v>
      </c>
      <c r="C475" s="9" t="s">
        <v>295</v>
      </c>
      <c r="D475" s="9">
        <v>2</v>
      </c>
      <c r="E475" s="9">
        <v>394</v>
      </c>
      <c r="F475" s="11">
        <v>788</v>
      </c>
      <c r="G475" s="11">
        <v>2.6267</v>
      </c>
      <c r="H475" s="11">
        <v>1034.9198000000001</v>
      </c>
      <c r="I475" s="11">
        <v>2069.8396000000002</v>
      </c>
      <c r="J475" s="9">
        <v>175119.46230000001</v>
      </c>
      <c r="K475" s="68">
        <v>46160</v>
      </c>
    </row>
    <row r="476" spans="2:11" x14ac:dyDescent="0.25">
      <c r="B476" s="7"/>
      <c r="C476" s="7"/>
      <c r="D476" s="7"/>
      <c r="E476" s="7"/>
      <c r="F476" s="7">
        <v>0</v>
      </c>
      <c r="G476" s="7"/>
      <c r="H476" s="7">
        <v>0</v>
      </c>
      <c r="I476" s="7">
        <v>0</v>
      </c>
      <c r="J476" s="5">
        <v>175119.46230000001</v>
      </c>
    </row>
    <row r="477" spans="2:11" x14ac:dyDescent="0.25">
      <c r="B477" s="1"/>
      <c r="C477" s="1"/>
      <c r="D477" s="1"/>
      <c r="E477" s="1"/>
      <c r="F477" s="1"/>
      <c r="G477" s="1"/>
      <c r="H477" s="1"/>
      <c r="I477" s="1"/>
      <c r="J477" s="2"/>
    </row>
    <row r="478" spans="2:11" x14ac:dyDescent="0.25">
      <c r="B478" s="1"/>
      <c r="C478" s="1"/>
      <c r="D478" s="1"/>
      <c r="E478" s="1"/>
      <c r="F478" s="1"/>
      <c r="G478" s="1"/>
      <c r="H478" s="1"/>
      <c r="I478" s="1"/>
      <c r="J478" s="2"/>
    </row>
    <row r="479" spans="2:11" x14ac:dyDescent="0.25">
      <c r="B479" s="1"/>
      <c r="C479" s="1"/>
      <c r="D479" s="1"/>
      <c r="E479" s="1"/>
      <c r="F479" s="1"/>
      <c r="G479" s="1"/>
      <c r="H479" s="1"/>
      <c r="I479" s="1"/>
      <c r="J479" s="2"/>
    </row>
    <row r="480" spans="2:11" x14ac:dyDescent="0.25">
      <c r="B480" s="1"/>
      <c r="C480" s="1"/>
      <c r="D480" s="1"/>
      <c r="E480" s="1"/>
      <c r="F480" s="1"/>
      <c r="G480" s="1"/>
      <c r="H480" s="1"/>
      <c r="I480" s="1"/>
      <c r="J480" s="2"/>
    </row>
    <row r="481" spans="1:11" x14ac:dyDescent="0.25">
      <c r="B481" s="1"/>
      <c r="C481" s="1"/>
      <c r="D481" s="1"/>
      <c r="E481" s="1"/>
      <c r="F481" s="1"/>
      <c r="G481" s="1"/>
      <c r="H481" s="1"/>
      <c r="I481" s="1"/>
      <c r="J481" s="2"/>
    </row>
    <row r="482" spans="1:11" ht="21" x14ac:dyDescent="0.35">
      <c r="A482" t="s">
        <v>0</v>
      </c>
      <c r="B482" s="125" t="s">
        <v>1</v>
      </c>
      <c r="C482" s="125"/>
      <c r="D482" s="125"/>
      <c r="E482" s="125"/>
      <c r="F482" s="125"/>
      <c r="G482" s="125"/>
      <c r="H482" s="125"/>
      <c r="I482" s="125"/>
      <c r="J482" s="125"/>
    </row>
    <row r="483" spans="1:11" ht="18.75" x14ac:dyDescent="0.3">
      <c r="A483" t="s">
        <v>2</v>
      </c>
      <c r="B483" s="3" t="s">
        <v>3</v>
      </c>
      <c r="C483" s="3" t="s">
        <v>4</v>
      </c>
      <c r="D483" s="3" t="s">
        <v>5</v>
      </c>
      <c r="E483" s="3" t="s">
        <v>6</v>
      </c>
      <c r="F483" s="3" t="s">
        <v>7</v>
      </c>
      <c r="G483" s="3" t="s">
        <v>8</v>
      </c>
      <c r="H483" s="3" t="s">
        <v>9</v>
      </c>
      <c r="I483" s="3" t="s">
        <v>10</v>
      </c>
      <c r="J483" s="3"/>
    </row>
    <row r="484" spans="1:11" x14ac:dyDescent="0.25">
      <c r="B484" s="8">
        <v>46153</v>
      </c>
      <c r="C484" s="9" t="s">
        <v>293</v>
      </c>
      <c r="D484" s="9">
        <v>2</v>
      </c>
      <c r="E484" s="9">
        <v>1199</v>
      </c>
      <c r="F484" s="11">
        <v>2398</v>
      </c>
      <c r="G484" s="11">
        <v>2.6215000000000002</v>
      </c>
      <c r="H484" s="11">
        <v>3143.1785</v>
      </c>
      <c r="I484" s="11">
        <v>6286.357</v>
      </c>
      <c r="J484" s="9">
        <v>6286.357</v>
      </c>
      <c r="K484" s="68">
        <v>46160</v>
      </c>
    </row>
    <row r="485" spans="1:11" x14ac:dyDescent="0.25">
      <c r="B485" s="8">
        <v>46153</v>
      </c>
      <c r="C485" s="9" t="s">
        <v>293</v>
      </c>
      <c r="D485" s="9">
        <v>2</v>
      </c>
      <c r="E485" s="9">
        <v>1199</v>
      </c>
      <c r="F485" s="11">
        <v>2398</v>
      </c>
      <c r="G485" s="11">
        <v>2.6215000000000002</v>
      </c>
      <c r="H485" s="11">
        <v>3143.1785</v>
      </c>
      <c r="I485" s="11">
        <v>6286.357</v>
      </c>
      <c r="J485" s="9">
        <v>12572.714</v>
      </c>
      <c r="K485" s="68">
        <v>46160</v>
      </c>
    </row>
    <row r="486" spans="1:11" x14ac:dyDescent="0.25">
      <c r="B486" s="8">
        <v>46153</v>
      </c>
      <c r="C486" s="9" t="s">
        <v>293</v>
      </c>
      <c r="D486" s="9">
        <v>2</v>
      </c>
      <c r="E486" s="9">
        <v>1199</v>
      </c>
      <c r="F486" s="11">
        <v>2398</v>
      </c>
      <c r="G486" s="11">
        <v>2.6215000000000002</v>
      </c>
      <c r="H486" s="11">
        <v>3143.1785</v>
      </c>
      <c r="I486" s="11">
        <v>6286.357</v>
      </c>
      <c r="J486" s="9">
        <v>18859.071</v>
      </c>
      <c r="K486" s="68">
        <v>46160</v>
      </c>
    </row>
    <row r="487" spans="1:11" x14ac:dyDescent="0.25">
      <c r="B487" s="8">
        <v>46153</v>
      </c>
      <c r="C487" s="9" t="s">
        <v>293</v>
      </c>
      <c r="D487" s="9">
        <v>2</v>
      </c>
      <c r="E487" s="9">
        <v>1199</v>
      </c>
      <c r="F487" s="11">
        <v>2398</v>
      </c>
      <c r="G487" s="11">
        <v>2.6215000000000002</v>
      </c>
      <c r="H487" s="11">
        <v>3143.1785</v>
      </c>
      <c r="I487" s="11">
        <v>6286.357</v>
      </c>
      <c r="J487" s="9">
        <v>25145.428</v>
      </c>
      <c r="K487" s="68">
        <v>46160</v>
      </c>
    </row>
    <row r="488" spans="1:11" x14ac:dyDescent="0.25">
      <c r="B488" s="8">
        <v>46153</v>
      </c>
      <c r="C488" s="9" t="s">
        <v>293</v>
      </c>
      <c r="D488" s="9">
        <v>2</v>
      </c>
      <c r="E488" s="9">
        <v>1199</v>
      </c>
      <c r="F488" s="11">
        <v>2398</v>
      </c>
      <c r="G488" s="11">
        <v>2.6215000000000002</v>
      </c>
      <c r="H488" s="11">
        <v>3143.1785</v>
      </c>
      <c r="I488" s="11">
        <v>6286.357</v>
      </c>
      <c r="J488" s="9">
        <v>31431.785</v>
      </c>
      <c r="K488" s="68">
        <v>46160</v>
      </c>
    </row>
    <row r="489" spans="1:11" x14ac:dyDescent="0.25">
      <c r="B489" s="8">
        <v>46154</v>
      </c>
      <c r="C489" s="9" t="s">
        <v>293</v>
      </c>
      <c r="D489" s="9">
        <v>2</v>
      </c>
      <c r="E489" s="9">
        <v>1199</v>
      </c>
      <c r="F489" s="11">
        <v>2398</v>
      </c>
      <c r="G489" s="11">
        <v>2.6215000000000002</v>
      </c>
      <c r="H489" s="11">
        <v>3143.1785</v>
      </c>
      <c r="I489" s="11">
        <v>6286.357</v>
      </c>
      <c r="J489" s="9">
        <v>37718.142</v>
      </c>
      <c r="K489" s="68">
        <v>46160</v>
      </c>
    </row>
    <row r="490" spans="1:11" x14ac:dyDescent="0.25">
      <c r="B490" s="8">
        <v>46154</v>
      </c>
      <c r="C490" s="9" t="s">
        <v>293</v>
      </c>
      <c r="D490" s="9">
        <v>2</v>
      </c>
      <c r="E490" s="9">
        <v>1199</v>
      </c>
      <c r="F490" s="11">
        <v>2398</v>
      </c>
      <c r="G490" s="11">
        <v>2.6215000000000002</v>
      </c>
      <c r="H490" s="11">
        <v>3143.1785</v>
      </c>
      <c r="I490" s="11">
        <v>6286.357</v>
      </c>
      <c r="J490" s="9">
        <v>44004.498999999996</v>
      </c>
      <c r="K490" s="68">
        <v>46160</v>
      </c>
    </row>
    <row r="491" spans="1:11" x14ac:dyDescent="0.25">
      <c r="B491" s="8">
        <v>46154</v>
      </c>
      <c r="C491" s="9" t="s">
        <v>293</v>
      </c>
      <c r="D491" s="9">
        <v>2</v>
      </c>
      <c r="E491" s="9">
        <v>1199</v>
      </c>
      <c r="F491" s="11">
        <v>2398</v>
      </c>
      <c r="G491" s="11">
        <v>2.6215000000000002</v>
      </c>
      <c r="H491" s="11">
        <v>3143.1785</v>
      </c>
      <c r="I491" s="11">
        <v>6286.357</v>
      </c>
      <c r="J491" s="9">
        <v>50290.856</v>
      </c>
      <c r="K491" s="68">
        <v>46160</v>
      </c>
    </row>
    <row r="492" spans="1:11" x14ac:dyDescent="0.25">
      <c r="B492" s="8">
        <v>46154</v>
      </c>
      <c r="C492" s="9" t="s">
        <v>293</v>
      </c>
      <c r="D492" s="9">
        <v>2</v>
      </c>
      <c r="E492" s="9">
        <v>1199</v>
      </c>
      <c r="F492" s="11">
        <v>2398</v>
      </c>
      <c r="G492" s="11">
        <v>2.6215000000000002</v>
      </c>
      <c r="H492" s="11">
        <v>3143.1785</v>
      </c>
      <c r="I492" s="11">
        <v>6286.357</v>
      </c>
      <c r="J492" s="9">
        <v>56577.213000000003</v>
      </c>
      <c r="K492" s="68">
        <v>46160</v>
      </c>
    </row>
    <row r="493" spans="1:11" x14ac:dyDescent="0.25">
      <c r="B493" s="76">
        <v>46154</v>
      </c>
      <c r="C493" s="78" t="s">
        <v>293</v>
      </c>
      <c r="D493" s="78">
        <v>2</v>
      </c>
      <c r="E493" s="78">
        <v>1199</v>
      </c>
      <c r="F493" s="11">
        <v>2398</v>
      </c>
      <c r="G493" s="11">
        <v>2.6215000000000002</v>
      </c>
      <c r="H493" s="11">
        <v>3143.1785</v>
      </c>
      <c r="I493" s="11">
        <v>6286.357</v>
      </c>
      <c r="J493" s="9">
        <v>62863.570000000007</v>
      </c>
      <c r="K493" s="68">
        <v>46160</v>
      </c>
    </row>
    <row r="494" spans="1:11" x14ac:dyDescent="0.25">
      <c r="B494" s="8">
        <v>46155</v>
      </c>
      <c r="C494" s="9" t="s">
        <v>296</v>
      </c>
      <c r="D494" s="9">
        <v>4</v>
      </c>
      <c r="E494" s="9">
        <v>1199</v>
      </c>
      <c r="F494" s="11">
        <v>4796</v>
      </c>
      <c r="G494" s="11">
        <v>2.6215000000000002</v>
      </c>
      <c r="H494" s="11">
        <v>3143.1785</v>
      </c>
      <c r="I494" s="11">
        <v>12572.714</v>
      </c>
      <c r="J494" s="9">
        <v>75436.284000000014</v>
      </c>
      <c r="K494" s="68">
        <v>46192</v>
      </c>
    </row>
    <row r="495" spans="1:11" x14ac:dyDescent="0.25">
      <c r="B495" s="8">
        <v>46155</v>
      </c>
      <c r="C495" s="9" t="s">
        <v>297</v>
      </c>
      <c r="D495" s="9">
        <v>1</v>
      </c>
      <c r="E495" s="9">
        <v>1199</v>
      </c>
      <c r="F495" s="11">
        <v>1199</v>
      </c>
      <c r="G495" s="11">
        <v>2.6215000000000002</v>
      </c>
      <c r="H495" s="11">
        <v>3143.1785</v>
      </c>
      <c r="I495" s="11">
        <v>3143.1785</v>
      </c>
      <c r="J495" s="9">
        <v>78579.462500000009</v>
      </c>
      <c r="K495" s="68">
        <v>46196</v>
      </c>
    </row>
    <row r="496" spans="1:11" x14ac:dyDescent="0.25">
      <c r="B496" s="8">
        <v>46155</v>
      </c>
      <c r="C496" s="9" t="s">
        <v>298</v>
      </c>
      <c r="D496" s="9">
        <v>2</v>
      </c>
      <c r="E496" s="9">
        <v>1199</v>
      </c>
      <c r="F496" s="11">
        <v>2398</v>
      </c>
      <c r="G496" s="11">
        <v>2.6215000000000002</v>
      </c>
      <c r="H496" s="11">
        <v>3143.1785</v>
      </c>
      <c r="I496" s="11">
        <v>6286.357</v>
      </c>
      <c r="J496" s="9">
        <v>84865.819500000012</v>
      </c>
      <c r="K496" s="68">
        <v>46160</v>
      </c>
    </row>
    <row r="497" spans="2:11" x14ac:dyDescent="0.25">
      <c r="B497" s="8">
        <v>46156</v>
      </c>
      <c r="C497" s="9" t="s">
        <v>293</v>
      </c>
      <c r="D497" s="9">
        <v>2</v>
      </c>
      <c r="E497" s="9">
        <v>1199</v>
      </c>
      <c r="F497" s="11">
        <v>2398</v>
      </c>
      <c r="G497" s="11">
        <v>2.6215000000000002</v>
      </c>
      <c r="H497" s="11">
        <v>3143.1785</v>
      </c>
      <c r="I497" s="11">
        <v>6286.357</v>
      </c>
      <c r="J497" s="9">
        <v>91152.176500000016</v>
      </c>
      <c r="K497" s="68">
        <v>46160</v>
      </c>
    </row>
    <row r="498" spans="2:11" x14ac:dyDescent="0.25">
      <c r="B498" s="8">
        <v>46156</v>
      </c>
      <c r="C498" s="9" t="s">
        <v>293</v>
      </c>
      <c r="D498" s="9">
        <v>2</v>
      </c>
      <c r="E498" s="9">
        <v>1199</v>
      </c>
      <c r="F498" s="11">
        <v>2398</v>
      </c>
      <c r="G498" s="11">
        <v>2.6215000000000002</v>
      </c>
      <c r="H498" s="11">
        <v>3143.1785</v>
      </c>
      <c r="I498" s="11">
        <v>6286.357</v>
      </c>
      <c r="J498" s="9">
        <v>97438.53350000002</v>
      </c>
      <c r="K498" s="68">
        <v>46160</v>
      </c>
    </row>
    <row r="499" spans="2:11" x14ac:dyDescent="0.25">
      <c r="B499" s="8">
        <v>46156</v>
      </c>
      <c r="C499" s="9" t="s">
        <v>293</v>
      </c>
      <c r="D499" s="9">
        <v>2</v>
      </c>
      <c r="E499" s="9">
        <v>1199</v>
      </c>
      <c r="F499" s="11">
        <v>2398</v>
      </c>
      <c r="G499" s="11">
        <v>2.6215000000000002</v>
      </c>
      <c r="H499" s="11">
        <v>3143.1785</v>
      </c>
      <c r="I499" s="11">
        <v>6286.357</v>
      </c>
      <c r="J499" s="9">
        <v>103724.89050000002</v>
      </c>
      <c r="K499" s="68">
        <v>46160</v>
      </c>
    </row>
    <row r="500" spans="2:11" x14ac:dyDescent="0.25">
      <c r="B500" s="8">
        <v>46156</v>
      </c>
      <c r="C500" s="9" t="s">
        <v>293</v>
      </c>
      <c r="D500" s="9">
        <v>2</v>
      </c>
      <c r="E500" s="9">
        <v>1199</v>
      </c>
      <c r="F500" s="11">
        <v>2398</v>
      </c>
      <c r="G500" s="11">
        <v>2.6215000000000002</v>
      </c>
      <c r="H500" s="11">
        <v>3143.1785</v>
      </c>
      <c r="I500" s="11">
        <v>6286.357</v>
      </c>
      <c r="J500" s="9">
        <v>110011.24750000003</v>
      </c>
      <c r="K500" s="68">
        <v>46192</v>
      </c>
    </row>
    <row r="501" spans="2:11" x14ac:dyDescent="0.25">
      <c r="B501" s="8">
        <v>46156</v>
      </c>
      <c r="C501" s="9" t="s">
        <v>293</v>
      </c>
      <c r="D501" s="9">
        <v>2</v>
      </c>
      <c r="E501" s="9">
        <v>1199</v>
      </c>
      <c r="F501" s="11">
        <v>2398</v>
      </c>
      <c r="G501" s="11">
        <v>2.6215000000000002</v>
      </c>
      <c r="H501" s="11">
        <v>3143.1785</v>
      </c>
      <c r="I501" s="11">
        <v>6286.357</v>
      </c>
      <c r="J501" s="9">
        <v>116297.60450000003</v>
      </c>
      <c r="K501" s="68">
        <v>46192</v>
      </c>
    </row>
    <row r="502" spans="2:11" x14ac:dyDescent="0.25">
      <c r="B502" s="8">
        <v>46156</v>
      </c>
      <c r="C502" s="9" t="s">
        <v>299</v>
      </c>
      <c r="D502" s="9">
        <v>4</v>
      </c>
      <c r="E502" s="9">
        <v>1199</v>
      </c>
      <c r="F502" s="11">
        <v>4796</v>
      </c>
      <c r="G502" s="11">
        <v>2.6215000000000002</v>
      </c>
      <c r="H502" s="11">
        <v>3143.1785</v>
      </c>
      <c r="I502" s="11">
        <v>12572.714</v>
      </c>
      <c r="J502" s="9">
        <v>128870.31850000002</v>
      </c>
      <c r="K502" s="68">
        <v>46196</v>
      </c>
    </row>
    <row r="503" spans="2:11" x14ac:dyDescent="0.25">
      <c r="B503" s="8">
        <v>46156</v>
      </c>
      <c r="C503" s="9" t="s">
        <v>300</v>
      </c>
      <c r="D503" s="9">
        <v>2</v>
      </c>
      <c r="E503" s="9">
        <v>1200</v>
      </c>
      <c r="F503" s="11">
        <v>2400</v>
      </c>
      <c r="G503" s="11">
        <v>2.6215000000000002</v>
      </c>
      <c r="H503" s="11">
        <v>3145.8</v>
      </c>
      <c r="I503" s="11">
        <v>6291.6</v>
      </c>
      <c r="J503" s="9">
        <v>135161.91850000003</v>
      </c>
      <c r="K503" s="68">
        <v>46196</v>
      </c>
    </row>
    <row r="504" spans="2:11" x14ac:dyDescent="0.25">
      <c r="B504" s="4">
        <v>46152</v>
      </c>
      <c r="C504" s="5" t="s">
        <v>301</v>
      </c>
      <c r="D504" s="77">
        <v>1</v>
      </c>
      <c r="E504" s="77">
        <v>400</v>
      </c>
      <c r="F504" s="7">
        <v>400</v>
      </c>
      <c r="G504" s="14">
        <v>2.6215000000000002</v>
      </c>
      <c r="H504" s="7">
        <v>1048.6000000000001</v>
      </c>
      <c r="I504" s="7">
        <v>1048.6000000000001</v>
      </c>
      <c r="J504" s="5">
        <v>136210.51850000003</v>
      </c>
    </row>
    <row r="505" spans="2:11" x14ac:dyDescent="0.25">
      <c r="B505" s="7"/>
      <c r="C505" s="7"/>
      <c r="D505" s="7"/>
      <c r="E505" s="7"/>
      <c r="F505" s="7">
        <v>0</v>
      </c>
      <c r="G505" s="7"/>
      <c r="H505" s="7">
        <v>0</v>
      </c>
      <c r="I505" s="7">
        <v>0</v>
      </c>
      <c r="J505" s="5">
        <v>136210.51850000003</v>
      </c>
    </row>
    <row r="506" spans="2:11" x14ac:dyDescent="0.25">
      <c r="B506" s="7"/>
      <c r="C506" s="7"/>
      <c r="D506" s="7"/>
      <c r="E506" s="7"/>
      <c r="F506" s="7">
        <v>0</v>
      </c>
      <c r="G506" s="7"/>
      <c r="H506" s="7">
        <v>0</v>
      </c>
      <c r="I506" s="7">
        <v>0</v>
      </c>
      <c r="J506" s="5">
        <v>136210.51850000003</v>
      </c>
    </row>
    <row r="507" spans="2:11" x14ac:dyDescent="0.25">
      <c r="B507" s="7"/>
      <c r="C507" s="7"/>
      <c r="D507" s="7"/>
      <c r="E507" s="7"/>
      <c r="F507" s="7">
        <v>0</v>
      </c>
      <c r="G507" s="7"/>
      <c r="H507" s="7">
        <v>0</v>
      </c>
      <c r="I507" s="7">
        <v>0</v>
      </c>
      <c r="J507" s="5">
        <v>136210.51850000003</v>
      </c>
    </row>
    <row r="508" spans="2:11" x14ac:dyDescent="0.25">
      <c r="B508" s="7"/>
      <c r="C508" s="7"/>
      <c r="D508" s="7"/>
      <c r="E508" s="7"/>
      <c r="F508" s="7">
        <v>0</v>
      </c>
      <c r="G508" s="7"/>
      <c r="H508" s="7">
        <v>0</v>
      </c>
      <c r="I508" s="7">
        <v>0</v>
      </c>
      <c r="J508" s="5">
        <v>136210.51850000003</v>
      </c>
    </row>
    <row r="509" spans="2:11" x14ac:dyDescent="0.25">
      <c r="B509" s="1"/>
      <c r="C509" s="1"/>
      <c r="D509" s="1"/>
      <c r="E509" s="1"/>
      <c r="F509" s="1"/>
      <c r="G509" s="1"/>
      <c r="H509" s="1"/>
      <c r="I509" s="1"/>
      <c r="J509" s="2"/>
    </row>
    <row r="510" spans="2:11" x14ac:dyDescent="0.25">
      <c r="B510" s="1"/>
      <c r="C510" s="1"/>
      <c r="D510" s="1"/>
      <c r="E510" s="1"/>
      <c r="F510" s="1"/>
      <c r="G510" s="1"/>
      <c r="H510" s="1"/>
      <c r="I510" s="1"/>
      <c r="J510" s="2"/>
    </row>
    <row r="511" spans="2:11" x14ac:dyDescent="0.25">
      <c r="B511" s="1"/>
      <c r="C511" s="1"/>
      <c r="D511" s="1"/>
      <c r="E511" s="1"/>
      <c r="F511" s="1"/>
      <c r="G511" s="1"/>
      <c r="H511" s="1"/>
      <c r="I511" s="1"/>
      <c r="J511" s="2"/>
    </row>
    <row r="512" spans="2:11" x14ac:dyDescent="0.25">
      <c r="B512" s="1"/>
      <c r="C512" s="1"/>
      <c r="D512" s="1"/>
      <c r="E512" s="1"/>
      <c r="F512" s="1"/>
      <c r="G512" s="1"/>
      <c r="H512" s="1"/>
      <c r="I512" s="1"/>
      <c r="J512" s="2"/>
    </row>
    <row r="513" spans="1:17" x14ac:dyDescent="0.25">
      <c r="B513" s="1"/>
      <c r="C513" s="1"/>
      <c r="D513" s="1"/>
      <c r="E513" s="1"/>
      <c r="F513" s="1"/>
      <c r="G513" s="1"/>
      <c r="H513" s="1"/>
      <c r="I513" s="1"/>
      <c r="J513" s="2"/>
    </row>
    <row r="514" spans="1:17" x14ac:dyDescent="0.25">
      <c r="B514" s="1"/>
      <c r="C514" s="1"/>
      <c r="D514" s="1"/>
      <c r="E514" s="1"/>
      <c r="F514" s="1"/>
      <c r="G514" s="1"/>
      <c r="H514" s="1"/>
      <c r="I514" s="1"/>
      <c r="J514" s="2"/>
    </row>
    <row r="515" spans="1:17" ht="21" x14ac:dyDescent="0.35">
      <c r="A515" t="s">
        <v>0</v>
      </c>
      <c r="B515" s="126" t="s">
        <v>1</v>
      </c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</row>
    <row r="516" spans="1:17" ht="18.75" x14ac:dyDescent="0.3">
      <c r="A516" t="s">
        <v>2</v>
      </c>
      <c r="B516" s="22" t="s">
        <v>3</v>
      </c>
      <c r="C516" s="22" t="s">
        <v>4</v>
      </c>
      <c r="D516" s="22" t="s">
        <v>60</v>
      </c>
      <c r="E516" s="22" t="s">
        <v>61</v>
      </c>
      <c r="F516" s="22" t="s">
        <v>5</v>
      </c>
      <c r="G516" s="22" t="s">
        <v>62</v>
      </c>
      <c r="H516" s="22" t="s">
        <v>63</v>
      </c>
      <c r="I516" s="22" t="s">
        <v>64</v>
      </c>
      <c r="J516" s="22" t="s">
        <v>65</v>
      </c>
      <c r="K516" s="22" t="s">
        <v>66</v>
      </c>
      <c r="L516" s="22" t="s">
        <v>67</v>
      </c>
      <c r="M516" s="22" t="s">
        <v>68</v>
      </c>
      <c r="N516" s="22" t="s">
        <v>10</v>
      </c>
      <c r="O516" s="23"/>
    </row>
    <row r="517" spans="1:17" x14ac:dyDescent="0.25">
      <c r="B517" s="8">
        <v>46156</v>
      </c>
      <c r="C517" s="9" t="s">
        <v>302</v>
      </c>
      <c r="D517" s="11"/>
      <c r="E517" s="11"/>
      <c r="F517" s="9">
        <v>4</v>
      </c>
      <c r="G517" s="9">
        <v>2199</v>
      </c>
      <c r="H517" s="11">
        <v>10</v>
      </c>
      <c r="I517" s="11">
        <v>219.9</v>
      </c>
      <c r="J517" s="9">
        <v>1979.1</v>
      </c>
      <c r="K517" s="9">
        <v>7916.4</v>
      </c>
      <c r="L517" s="9">
        <v>2.6215000000000002</v>
      </c>
      <c r="M517" s="9">
        <v>5188.21065</v>
      </c>
      <c r="N517" s="9">
        <v>20752.8426</v>
      </c>
      <c r="O517" s="9">
        <v>20752.8426</v>
      </c>
      <c r="P517" s="68">
        <v>46160</v>
      </c>
      <c r="Q517" t="s">
        <v>303</v>
      </c>
    </row>
    <row r="518" spans="1:17" x14ac:dyDescent="0.25">
      <c r="B518" s="7"/>
      <c r="C518" s="7"/>
      <c r="D518" s="7"/>
      <c r="E518" s="7"/>
      <c r="F518" s="7"/>
      <c r="G518" s="7"/>
      <c r="H518" s="7"/>
      <c r="I518" s="7">
        <v>0</v>
      </c>
      <c r="J518" s="5">
        <v>0</v>
      </c>
      <c r="K518" s="5">
        <v>0</v>
      </c>
      <c r="L518" s="5"/>
      <c r="M518" s="5">
        <v>0</v>
      </c>
      <c r="N518" s="5">
        <v>0</v>
      </c>
      <c r="O518" s="5">
        <v>20752.8426</v>
      </c>
    </row>
    <row r="519" spans="1:17" x14ac:dyDescent="0.25">
      <c r="B519" s="1"/>
      <c r="C519" s="1"/>
      <c r="D519" s="1"/>
      <c r="E519" s="1"/>
      <c r="F519" s="1"/>
      <c r="G519" s="1"/>
      <c r="H519" s="1"/>
      <c r="I519" s="1"/>
      <c r="J519" s="2"/>
    </row>
    <row r="520" spans="1:17" x14ac:dyDescent="0.25">
      <c r="B520" s="1"/>
      <c r="C520" s="1"/>
      <c r="D520" s="1"/>
      <c r="E520" s="1"/>
      <c r="F520" s="1"/>
      <c r="G520" s="1"/>
      <c r="H520" s="1"/>
      <c r="I520" s="1"/>
      <c r="J520" s="2"/>
    </row>
    <row r="521" spans="1:17" x14ac:dyDescent="0.25">
      <c r="B521" s="1"/>
      <c r="C521" s="1"/>
      <c r="D521" s="1"/>
      <c r="E521" s="1"/>
      <c r="F521" s="1"/>
      <c r="G521" s="1"/>
      <c r="H521" s="1"/>
      <c r="I521" s="1"/>
      <c r="J521" s="2"/>
    </row>
    <row r="522" spans="1:17" x14ac:dyDescent="0.25">
      <c r="B522" s="1"/>
      <c r="C522" s="1"/>
      <c r="D522" s="1"/>
      <c r="E522" s="1"/>
      <c r="F522" s="1"/>
      <c r="G522" s="1"/>
      <c r="H522" s="1"/>
      <c r="I522" s="1"/>
      <c r="J522" s="2"/>
    </row>
    <row r="523" spans="1:17" x14ac:dyDescent="0.25">
      <c r="B523" s="1"/>
      <c r="C523" s="1"/>
      <c r="D523" s="1"/>
      <c r="E523" s="1"/>
      <c r="F523" s="1"/>
      <c r="G523" s="1"/>
      <c r="H523" s="1"/>
      <c r="I523" s="1"/>
      <c r="J523" s="2"/>
    </row>
    <row r="524" spans="1:17" x14ac:dyDescent="0.25">
      <c r="B524" s="1"/>
      <c r="C524" s="1"/>
      <c r="D524" s="1"/>
      <c r="E524" s="1"/>
      <c r="F524" s="1"/>
      <c r="G524" s="1"/>
      <c r="H524" s="1"/>
      <c r="I524" s="1"/>
      <c r="J524" s="2"/>
    </row>
    <row r="526" spans="1:17" ht="21" x14ac:dyDescent="0.35">
      <c r="A526" t="s">
        <v>0</v>
      </c>
      <c r="B526" s="125" t="s">
        <v>34</v>
      </c>
      <c r="C526" s="125"/>
      <c r="D526" s="125"/>
      <c r="E526" s="125"/>
      <c r="F526" s="125"/>
      <c r="G526" s="125"/>
      <c r="H526" s="125"/>
      <c r="I526" s="125"/>
      <c r="J526" s="125"/>
    </row>
    <row r="527" spans="1:17" ht="18.75" x14ac:dyDescent="0.3">
      <c r="A527" t="s">
        <v>2</v>
      </c>
      <c r="B527" s="3" t="s">
        <v>3</v>
      </c>
      <c r="C527" s="3" t="s">
        <v>4</v>
      </c>
      <c r="D527" s="3" t="s">
        <v>5</v>
      </c>
      <c r="E527" s="3" t="s">
        <v>6</v>
      </c>
      <c r="F527" s="3" t="s">
        <v>7</v>
      </c>
      <c r="G527" s="3" t="s">
        <v>8</v>
      </c>
      <c r="H527" s="3" t="s">
        <v>9</v>
      </c>
      <c r="I527" s="3" t="s">
        <v>10</v>
      </c>
      <c r="J527" s="3"/>
    </row>
    <row r="528" spans="1:17" x14ac:dyDescent="0.25">
      <c r="B528" s="4">
        <v>46158</v>
      </c>
      <c r="C528" s="5" t="s">
        <v>305</v>
      </c>
      <c r="D528" s="5">
        <v>1</v>
      </c>
      <c r="E528" s="5">
        <v>17999</v>
      </c>
      <c r="F528" s="7">
        <f>E528*D528</f>
        <v>17999</v>
      </c>
      <c r="G528" s="84">
        <v>2.2000000000000002</v>
      </c>
      <c r="H528" s="7">
        <f>E528*G528</f>
        <v>39597.800000000003</v>
      </c>
      <c r="I528" s="7">
        <f>H528*D528</f>
        <v>39597.800000000003</v>
      </c>
      <c r="J528" s="5">
        <f>J527+I528</f>
        <v>39597.800000000003</v>
      </c>
    </row>
    <row r="529" spans="1:11" x14ac:dyDescent="0.25">
      <c r="B529" s="8">
        <v>46158</v>
      </c>
      <c r="C529" s="9" t="s">
        <v>306</v>
      </c>
      <c r="D529" s="9">
        <v>40</v>
      </c>
      <c r="E529" s="9">
        <v>143</v>
      </c>
      <c r="F529" s="11">
        <f t="shared" ref="F529:F536" si="102">E529*D529</f>
        <v>5720</v>
      </c>
      <c r="G529" s="103">
        <v>2.2000000000000002</v>
      </c>
      <c r="H529" s="11">
        <f t="shared" ref="H529:H536" si="103">E529*G529</f>
        <v>314.60000000000002</v>
      </c>
      <c r="I529" s="11">
        <f t="shared" ref="I529:I536" si="104">H529*D529</f>
        <v>12584</v>
      </c>
      <c r="J529" s="9">
        <f t="shared" ref="J529:J536" si="105">J528+I529</f>
        <v>52181.8</v>
      </c>
      <c r="K529" s="68">
        <v>46192</v>
      </c>
    </row>
    <row r="530" spans="1:11" x14ac:dyDescent="0.25">
      <c r="B530" s="8">
        <v>46158</v>
      </c>
      <c r="C530" s="9" t="s">
        <v>306</v>
      </c>
      <c r="D530" s="9">
        <v>40</v>
      </c>
      <c r="E530" s="9">
        <v>143</v>
      </c>
      <c r="F530" s="11">
        <f t="shared" si="102"/>
        <v>5720</v>
      </c>
      <c r="G530" s="103">
        <v>2.2000000000000002</v>
      </c>
      <c r="H530" s="11">
        <f t="shared" si="103"/>
        <v>314.60000000000002</v>
      </c>
      <c r="I530" s="11">
        <f t="shared" si="104"/>
        <v>12584</v>
      </c>
      <c r="J530" s="9">
        <f t="shared" si="105"/>
        <v>64765.8</v>
      </c>
      <c r="K530" s="68">
        <v>46192</v>
      </c>
    </row>
    <row r="531" spans="1:11" x14ac:dyDescent="0.25">
      <c r="B531" s="8">
        <v>46160</v>
      </c>
      <c r="C531" s="9" t="s">
        <v>307</v>
      </c>
      <c r="D531" s="9">
        <v>4</v>
      </c>
      <c r="E531" s="9">
        <v>1579</v>
      </c>
      <c r="F531" s="11">
        <f t="shared" si="102"/>
        <v>6316</v>
      </c>
      <c r="G531" s="103">
        <v>2.2000000000000002</v>
      </c>
      <c r="H531" s="11">
        <f t="shared" si="103"/>
        <v>3473.8</v>
      </c>
      <c r="I531" s="11">
        <f t="shared" si="104"/>
        <v>13895.2</v>
      </c>
      <c r="J531" s="9">
        <f t="shared" si="105"/>
        <v>78661</v>
      </c>
      <c r="K531" s="68">
        <v>46192</v>
      </c>
    </row>
    <row r="532" spans="1:11" x14ac:dyDescent="0.25">
      <c r="B532" s="8">
        <v>46162</v>
      </c>
      <c r="C532" s="9" t="s">
        <v>308</v>
      </c>
      <c r="D532" s="9">
        <v>8</v>
      </c>
      <c r="E532" s="9">
        <v>143</v>
      </c>
      <c r="F532" s="11">
        <f t="shared" si="102"/>
        <v>1144</v>
      </c>
      <c r="G532" s="103">
        <v>2.2000000000000002</v>
      </c>
      <c r="H532" s="11">
        <f t="shared" si="103"/>
        <v>314.60000000000002</v>
      </c>
      <c r="I532" s="11">
        <f t="shared" si="104"/>
        <v>2516.8000000000002</v>
      </c>
      <c r="J532" s="9">
        <f t="shared" si="105"/>
        <v>81177.8</v>
      </c>
      <c r="K532" s="68">
        <v>46192</v>
      </c>
    </row>
    <row r="533" spans="1:11" x14ac:dyDescent="0.25">
      <c r="B533" s="7"/>
      <c r="C533" s="7"/>
      <c r="D533" s="7"/>
      <c r="E533" s="7"/>
      <c r="F533" s="7">
        <f t="shared" si="102"/>
        <v>0</v>
      </c>
      <c r="G533" s="7"/>
      <c r="H533" s="7">
        <f t="shared" si="103"/>
        <v>0</v>
      </c>
      <c r="I533" s="7">
        <f t="shared" si="104"/>
        <v>0</v>
      </c>
      <c r="J533" s="5">
        <f t="shared" si="105"/>
        <v>81177.8</v>
      </c>
    </row>
    <row r="534" spans="1:11" x14ac:dyDescent="0.25">
      <c r="B534" s="7"/>
      <c r="C534" s="7"/>
      <c r="D534" s="7"/>
      <c r="E534" s="7"/>
      <c r="F534" s="7">
        <f t="shared" si="102"/>
        <v>0</v>
      </c>
      <c r="G534" s="7"/>
      <c r="H534" s="7">
        <f t="shared" si="103"/>
        <v>0</v>
      </c>
      <c r="I534" s="7">
        <f t="shared" si="104"/>
        <v>0</v>
      </c>
      <c r="J534" s="5">
        <f t="shared" si="105"/>
        <v>81177.8</v>
      </c>
    </row>
    <row r="535" spans="1:11" x14ac:dyDescent="0.25">
      <c r="B535" s="7"/>
      <c r="C535" s="7"/>
      <c r="D535" s="7"/>
      <c r="E535" s="7"/>
      <c r="F535" s="7">
        <f t="shared" si="102"/>
        <v>0</v>
      </c>
      <c r="G535" s="7"/>
      <c r="H535" s="7">
        <f t="shared" si="103"/>
        <v>0</v>
      </c>
      <c r="I535" s="7">
        <f t="shared" si="104"/>
        <v>0</v>
      </c>
      <c r="J535" s="5">
        <f t="shared" si="105"/>
        <v>81177.8</v>
      </c>
    </row>
    <row r="536" spans="1:11" x14ac:dyDescent="0.25">
      <c r="B536" s="7"/>
      <c r="C536" s="7"/>
      <c r="D536" s="7"/>
      <c r="E536" s="7"/>
      <c r="F536" s="7">
        <f t="shared" si="102"/>
        <v>0</v>
      </c>
      <c r="G536" s="7"/>
      <c r="H536" s="7">
        <f t="shared" si="103"/>
        <v>0</v>
      </c>
      <c r="I536" s="7">
        <f t="shared" si="104"/>
        <v>0</v>
      </c>
      <c r="J536" s="5">
        <f t="shared" si="105"/>
        <v>81177.8</v>
      </c>
    </row>
    <row r="537" spans="1:11" x14ac:dyDescent="0.25">
      <c r="B537" s="1"/>
      <c r="C537" s="1"/>
      <c r="D537" s="1"/>
      <c r="E537" s="1"/>
      <c r="F537" s="1"/>
      <c r="G537" s="1"/>
      <c r="H537" s="1"/>
      <c r="I537" s="1"/>
      <c r="J537" s="2"/>
    </row>
    <row r="538" spans="1:11" x14ac:dyDescent="0.25">
      <c r="B538" s="1"/>
      <c r="C538" s="1"/>
      <c r="D538" s="1"/>
      <c r="E538" s="1"/>
      <c r="F538" s="1"/>
      <c r="G538" s="1"/>
      <c r="H538" s="1"/>
      <c r="I538" s="1"/>
      <c r="J538" s="2"/>
    </row>
    <row r="539" spans="1:11" x14ac:dyDescent="0.25">
      <c r="B539" s="1"/>
      <c r="C539" s="1"/>
      <c r="D539" s="1"/>
      <c r="E539" s="1"/>
      <c r="F539" s="1"/>
      <c r="G539" s="1"/>
      <c r="H539" s="1"/>
      <c r="I539" s="1"/>
      <c r="J539" s="2"/>
    </row>
    <row r="540" spans="1:11" x14ac:dyDescent="0.25">
      <c r="B540" s="1"/>
      <c r="C540" s="1"/>
      <c r="D540" s="1"/>
      <c r="E540" s="1"/>
      <c r="F540" s="1"/>
      <c r="G540" s="1"/>
      <c r="H540" s="1"/>
      <c r="I540" s="1"/>
      <c r="J540" s="2"/>
    </row>
    <row r="541" spans="1:11" x14ac:dyDescent="0.25">
      <c r="B541" s="1"/>
      <c r="C541" s="1"/>
      <c r="D541" s="1"/>
      <c r="E541" s="1"/>
      <c r="F541" s="1"/>
      <c r="G541" s="1"/>
      <c r="H541" s="1"/>
      <c r="I541" s="1"/>
      <c r="J541" s="2"/>
    </row>
    <row r="542" spans="1:11" x14ac:dyDescent="0.25">
      <c r="B542" s="1"/>
      <c r="C542" s="1"/>
      <c r="D542" s="1"/>
      <c r="E542" s="1"/>
      <c r="F542" s="1"/>
      <c r="G542" s="1"/>
      <c r="H542" s="1"/>
      <c r="I542" s="1"/>
      <c r="J542" s="2"/>
    </row>
    <row r="543" spans="1:11" x14ac:dyDescent="0.25">
      <c r="B543" s="1"/>
      <c r="C543" s="1"/>
      <c r="D543" s="1"/>
      <c r="E543" s="1"/>
      <c r="F543" s="1"/>
      <c r="G543" s="1"/>
      <c r="H543" s="1"/>
      <c r="I543" s="1"/>
      <c r="J543" s="2"/>
    </row>
    <row r="544" spans="1:11" ht="21" x14ac:dyDescent="0.35">
      <c r="A544" t="s">
        <v>0</v>
      </c>
      <c r="B544" s="125" t="s">
        <v>1</v>
      </c>
      <c r="C544" s="125"/>
      <c r="D544" s="125"/>
      <c r="E544" s="125"/>
      <c r="F544" s="125"/>
      <c r="G544" s="125"/>
      <c r="H544" s="125"/>
      <c r="I544" s="125"/>
      <c r="J544" s="125"/>
    </row>
    <row r="545" spans="1:11" ht="18.75" x14ac:dyDescent="0.3">
      <c r="A545" t="s">
        <v>2</v>
      </c>
      <c r="B545" s="3" t="s">
        <v>3</v>
      </c>
      <c r="C545" s="3" t="s">
        <v>4</v>
      </c>
      <c r="D545" s="3" t="s">
        <v>5</v>
      </c>
      <c r="E545" s="3" t="s">
        <v>6</v>
      </c>
      <c r="F545" s="3" t="s">
        <v>7</v>
      </c>
      <c r="G545" s="3" t="s">
        <v>8</v>
      </c>
      <c r="H545" s="3" t="s">
        <v>9</v>
      </c>
      <c r="I545" s="3" t="s">
        <v>10</v>
      </c>
      <c r="J545" s="3"/>
    </row>
    <row r="546" spans="1:11" x14ac:dyDescent="0.25">
      <c r="B546" s="8">
        <v>46157</v>
      </c>
      <c r="C546" s="9" t="s">
        <v>309</v>
      </c>
      <c r="D546" s="9">
        <v>2</v>
      </c>
      <c r="E546" s="32">
        <v>1199</v>
      </c>
      <c r="F546" s="11">
        <f>E546*D546</f>
        <v>2398</v>
      </c>
      <c r="G546" s="11">
        <v>2.5863</v>
      </c>
      <c r="H546" s="11">
        <f>E546*G546</f>
        <v>3100.9737</v>
      </c>
      <c r="I546" s="11">
        <f>H546*D546</f>
        <v>6201.9474</v>
      </c>
      <c r="J546" s="9">
        <f>J545+I546</f>
        <v>6201.9474</v>
      </c>
      <c r="K546" s="68">
        <v>46196</v>
      </c>
    </row>
    <row r="547" spans="1:11" x14ac:dyDescent="0.25">
      <c r="B547" s="8">
        <v>46159</v>
      </c>
      <c r="C547" s="9" t="s">
        <v>310</v>
      </c>
      <c r="D547" s="9">
        <v>1</v>
      </c>
      <c r="E547" s="32">
        <v>1199</v>
      </c>
      <c r="F547" s="11">
        <f t="shared" ref="F547:F560" si="106">E547*D547</f>
        <v>1199</v>
      </c>
      <c r="G547" s="11">
        <v>2.5863</v>
      </c>
      <c r="H547" s="11">
        <f t="shared" ref="H547:H560" si="107">E547*G547</f>
        <v>3100.9737</v>
      </c>
      <c r="I547" s="11">
        <f t="shared" ref="I547:I560" si="108">H547*D547</f>
        <v>3100.9737</v>
      </c>
      <c r="J547" s="9">
        <f t="shared" ref="J547:J560" si="109">J546+I547</f>
        <v>9302.9210999999996</v>
      </c>
      <c r="K547" s="68">
        <v>46196</v>
      </c>
    </row>
    <row r="548" spans="1:11" x14ac:dyDescent="0.25">
      <c r="B548" s="8">
        <v>46159</v>
      </c>
      <c r="C548" s="9" t="s">
        <v>311</v>
      </c>
      <c r="D548" s="9">
        <v>2</v>
      </c>
      <c r="E548" s="32">
        <v>1199</v>
      </c>
      <c r="F548" s="11">
        <f t="shared" si="106"/>
        <v>2398</v>
      </c>
      <c r="G548" s="11">
        <v>2.5863</v>
      </c>
      <c r="H548" s="11">
        <f t="shared" si="107"/>
        <v>3100.9737</v>
      </c>
      <c r="I548" s="11">
        <f t="shared" si="108"/>
        <v>6201.9474</v>
      </c>
      <c r="J548" s="9">
        <f t="shared" si="109"/>
        <v>15504.8685</v>
      </c>
      <c r="K548" s="68">
        <v>46196</v>
      </c>
    </row>
    <row r="549" spans="1:11" x14ac:dyDescent="0.25">
      <c r="B549" s="8">
        <v>46159</v>
      </c>
      <c r="C549" s="9" t="s">
        <v>312</v>
      </c>
      <c r="D549" s="9">
        <v>1</v>
      </c>
      <c r="E549" s="32">
        <v>1199</v>
      </c>
      <c r="F549" s="11">
        <f t="shared" si="106"/>
        <v>1199</v>
      </c>
      <c r="G549" s="11">
        <v>2.5863</v>
      </c>
      <c r="H549" s="11">
        <f t="shared" si="107"/>
        <v>3100.9737</v>
      </c>
      <c r="I549" s="11">
        <f t="shared" si="108"/>
        <v>3100.9737</v>
      </c>
      <c r="J549" s="9">
        <f t="shared" si="109"/>
        <v>18605.842199999999</v>
      </c>
      <c r="K549" s="68">
        <v>46196</v>
      </c>
    </row>
    <row r="550" spans="1:11" x14ac:dyDescent="0.25">
      <c r="B550" s="8">
        <v>46160</v>
      </c>
      <c r="C550" s="9" t="s">
        <v>309</v>
      </c>
      <c r="D550" s="9">
        <v>7</v>
      </c>
      <c r="E550" s="32">
        <v>1200</v>
      </c>
      <c r="F550" s="11">
        <f t="shared" si="106"/>
        <v>8400</v>
      </c>
      <c r="G550" s="11">
        <v>2.5863</v>
      </c>
      <c r="H550" s="11">
        <f t="shared" si="107"/>
        <v>3103.56</v>
      </c>
      <c r="I550" s="11">
        <f t="shared" si="108"/>
        <v>21724.92</v>
      </c>
      <c r="J550" s="9">
        <f t="shared" si="109"/>
        <v>40330.762199999997</v>
      </c>
      <c r="K550" s="68">
        <v>46196</v>
      </c>
    </row>
    <row r="551" spans="1:11" x14ac:dyDescent="0.25">
      <c r="B551" s="8">
        <v>46160</v>
      </c>
      <c r="C551" s="9" t="s">
        <v>313</v>
      </c>
      <c r="D551" s="9">
        <v>4</v>
      </c>
      <c r="E551" s="32">
        <v>1199</v>
      </c>
      <c r="F551" s="11">
        <f t="shared" si="106"/>
        <v>4796</v>
      </c>
      <c r="G551" s="11">
        <v>2.5863</v>
      </c>
      <c r="H551" s="11">
        <f t="shared" si="107"/>
        <v>3100.9737</v>
      </c>
      <c r="I551" s="11">
        <f t="shared" si="108"/>
        <v>12403.8948</v>
      </c>
      <c r="J551" s="9">
        <f t="shared" si="109"/>
        <v>52734.656999999999</v>
      </c>
      <c r="K551" s="68">
        <v>46196</v>
      </c>
    </row>
    <row r="552" spans="1:11" x14ac:dyDescent="0.25">
      <c r="B552" s="8">
        <v>46160</v>
      </c>
      <c r="C552" s="9" t="s">
        <v>314</v>
      </c>
      <c r="D552" s="9">
        <v>2</v>
      </c>
      <c r="E552" s="32">
        <v>1199</v>
      </c>
      <c r="F552" s="11">
        <f t="shared" si="106"/>
        <v>2398</v>
      </c>
      <c r="G552" s="11">
        <v>2.5863</v>
      </c>
      <c r="H552" s="11">
        <f t="shared" si="107"/>
        <v>3100.9737</v>
      </c>
      <c r="I552" s="11">
        <f t="shared" si="108"/>
        <v>6201.9474</v>
      </c>
      <c r="J552" s="9">
        <f t="shared" si="109"/>
        <v>58936.604399999997</v>
      </c>
      <c r="K552" s="68">
        <v>46196</v>
      </c>
    </row>
    <row r="553" spans="1:11" x14ac:dyDescent="0.25">
      <c r="B553" s="76">
        <v>46161</v>
      </c>
      <c r="C553" s="78" t="s">
        <v>315</v>
      </c>
      <c r="D553" s="78">
        <v>2</v>
      </c>
      <c r="E553" s="79">
        <v>1199</v>
      </c>
      <c r="F553" s="11">
        <f t="shared" si="106"/>
        <v>2398</v>
      </c>
      <c r="G553" s="11">
        <v>2.5863</v>
      </c>
      <c r="H553" s="11">
        <f t="shared" si="107"/>
        <v>3100.9737</v>
      </c>
      <c r="I553" s="11">
        <f t="shared" si="108"/>
        <v>6201.9474</v>
      </c>
      <c r="J553" s="9">
        <f t="shared" si="109"/>
        <v>65138.551799999994</v>
      </c>
      <c r="K553" s="68">
        <v>46196</v>
      </c>
    </row>
    <row r="554" spans="1:11" x14ac:dyDescent="0.25">
      <c r="B554" s="8">
        <v>46161</v>
      </c>
      <c r="C554" s="9" t="s">
        <v>315</v>
      </c>
      <c r="D554" s="9">
        <v>2</v>
      </c>
      <c r="E554" s="32">
        <v>1199</v>
      </c>
      <c r="F554" s="11">
        <f t="shared" si="106"/>
        <v>2398</v>
      </c>
      <c r="G554" s="11">
        <v>2.5863</v>
      </c>
      <c r="H554" s="11">
        <f t="shared" si="107"/>
        <v>3100.9737</v>
      </c>
      <c r="I554" s="11">
        <f t="shared" si="108"/>
        <v>6201.9474</v>
      </c>
      <c r="J554" s="9">
        <f t="shared" si="109"/>
        <v>71340.499199999991</v>
      </c>
      <c r="K554" s="68">
        <v>46196</v>
      </c>
    </row>
    <row r="555" spans="1:11" x14ac:dyDescent="0.25">
      <c r="B555" s="8">
        <v>46161</v>
      </c>
      <c r="C555" s="9" t="s">
        <v>315</v>
      </c>
      <c r="D555" s="9">
        <v>2</v>
      </c>
      <c r="E555" s="32">
        <v>1199</v>
      </c>
      <c r="F555" s="11">
        <f t="shared" si="106"/>
        <v>2398</v>
      </c>
      <c r="G555" s="11">
        <v>2.5863</v>
      </c>
      <c r="H555" s="11">
        <f t="shared" si="107"/>
        <v>3100.9737</v>
      </c>
      <c r="I555" s="11">
        <f t="shared" si="108"/>
        <v>6201.9474</v>
      </c>
      <c r="J555" s="9">
        <f t="shared" si="109"/>
        <v>77542.446599999996</v>
      </c>
      <c r="K555" s="68">
        <v>46196</v>
      </c>
    </row>
    <row r="556" spans="1:11" x14ac:dyDescent="0.25">
      <c r="B556" s="8">
        <v>46161</v>
      </c>
      <c r="C556" s="9" t="s">
        <v>314</v>
      </c>
      <c r="D556" s="9">
        <v>2</v>
      </c>
      <c r="E556" s="32">
        <v>1199</v>
      </c>
      <c r="F556" s="11">
        <f t="shared" si="106"/>
        <v>2398</v>
      </c>
      <c r="G556" s="11">
        <v>2.5863</v>
      </c>
      <c r="H556" s="11">
        <f t="shared" si="107"/>
        <v>3100.9737</v>
      </c>
      <c r="I556" s="11">
        <f t="shared" si="108"/>
        <v>6201.9474</v>
      </c>
      <c r="J556" s="9">
        <f t="shared" si="109"/>
        <v>83744.394</v>
      </c>
      <c r="K556" s="68">
        <v>46196</v>
      </c>
    </row>
    <row r="557" spans="1:11" x14ac:dyDescent="0.25">
      <c r="B557" s="8">
        <v>46161</v>
      </c>
      <c r="C557" s="9" t="s">
        <v>314</v>
      </c>
      <c r="D557" s="9">
        <v>2</v>
      </c>
      <c r="E557" s="32">
        <v>1199</v>
      </c>
      <c r="F557" s="11">
        <f t="shared" si="106"/>
        <v>2398</v>
      </c>
      <c r="G557" s="11">
        <v>2.5863</v>
      </c>
      <c r="H557" s="11">
        <f t="shared" si="107"/>
        <v>3100.9737</v>
      </c>
      <c r="I557" s="11">
        <f t="shared" si="108"/>
        <v>6201.9474</v>
      </c>
      <c r="J557" s="9">
        <f t="shared" si="109"/>
        <v>89946.341400000005</v>
      </c>
      <c r="K557" s="68">
        <v>46196</v>
      </c>
    </row>
    <row r="558" spans="1:11" x14ac:dyDescent="0.25">
      <c r="B558" s="8">
        <v>46161</v>
      </c>
      <c r="C558" s="9" t="s">
        <v>314</v>
      </c>
      <c r="D558" s="9">
        <v>2</v>
      </c>
      <c r="E558" s="32">
        <v>1199</v>
      </c>
      <c r="F558" s="11">
        <f t="shared" si="106"/>
        <v>2398</v>
      </c>
      <c r="G558" s="11">
        <v>2.5863</v>
      </c>
      <c r="H558" s="11">
        <f t="shared" si="107"/>
        <v>3100.9737</v>
      </c>
      <c r="I558" s="11">
        <f t="shared" si="108"/>
        <v>6201.9474</v>
      </c>
      <c r="J558" s="9">
        <f t="shared" si="109"/>
        <v>96148.288800000009</v>
      </c>
      <c r="K558" s="68">
        <v>46196</v>
      </c>
    </row>
    <row r="559" spans="1:11" x14ac:dyDescent="0.25">
      <c r="B559" s="17">
        <v>46157</v>
      </c>
      <c r="C559" s="18" t="s">
        <v>316</v>
      </c>
      <c r="D559" s="18">
        <v>1</v>
      </c>
      <c r="E559" s="33">
        <v>8926.7000000000007</v>
      </c>
      <c r="F559" s="20">
        <f t="shared" si="106"/>
        <v>8926.7000000000007</v>
      </c>
      <c r="G559" s="20"/>
      <c r="H559" s="20">
        <f t="shared" si="107"/>
        <v>0</v>
      </c>
      <c r="I559" s="20">
        <f t="shared" si="108"/>
        <v>0</v>
      </c>
      <c r="J559" s="18">
        <f t="shared" si="109"/>
        <v>96148.288800000009</v>
      </c>
    </row>
    <row r="560" spans="1:11" x14ac:dyDescent="0.25">
      <c r="B560" s="7"/>
      <c r="C560" s="7"/>
      <c r="D560" s="7"/>
      <c r="E560" s="7"/>
      <c r="F560" s="7">
        <f t="shared" si="106"/>
        <v>0</v>
      </c>
      <c r="G560" s="7"/>
      <c r="H560" s="7">
        <f t="shared" si="107"/>
        <v>0</v>
      </c>
      <c r="I560" s="7">
        <f t="shared" si="108"/>
        <v>0</v>
      </c>
      <c r="J560" s="5">
        <f t="shared" si="109"/>
        <v>96148.288800000009</v>
      </c>
    </row>
    <row r="561" spans="1:12" x14ac:dyDescent="0.25">
      <c r="B561" s="1"/>
      <c r="C561" s="1"/>
      <c r="D561" s="1"/>
      <c r="E561" s="1"/>
      <c r="F561" s="1"/>
      <c r="G561" s="1"/>
      <c r="H561" s="1"/>
      <c r="I561" s="1"/>
      <c r="J561" s="2"/>
    </row>
    <row r="562" spans="1:12" x14ac:dyDescent="0.25">
      <c r="B562" s="1"/>
      <c r="C562" s="1"/>
      <c r="D562" s="1"/>
      <c r="E562" s="1"/>
      <c r="F562" s="1"/>
      <c r="G562" s="1"/>
      <c r="H562" s="1"/>
      <c r="I562" s="1"/>
      <c r="J562" s="2"/>
    </row>
    <row r="563" spans="1:12" x14ac:dyDescent="0.25">
      <c r="B563" s="1"/>
      <c r="C563" s="1"/>
      <c r="D563" s="1"/>
      <c r="E563" s="1"/>
      <c r="F563" s="1"/>
      <c r="G563" s="1"/>
      <c r="H563" s="1"/>
      <c r="I563" s="1"/>
      <c r="J563" s="2"/>
    </row>
    <row r="564" spans="1:12" x14ac:dyDescent="0.25">
      <c r="B564" s="1"/>
      <c r="C564" s="1"/>
      <c r="D564" s="1"/>
      <c r="E564" s="1"/>
      <c r="F564" s="1"/>
      <c r="G564" s="1"/>
      <c r="H564" s="1"/>
      <c r="I564" s="1"/>
      <c r="J564" s="2"/>
    </row>
    <row r="565" spans="1:12" x14ac:dyDescent="0.25">
      <c r="B565" s="1"/>
      <c r="C565" s="1"/>
      <c r="D565" s="1"/>
      <c r="E565" s="1"/>
      <c r="F565" s="1"/>
      <c r="G565" s="1"/>
      <c r="H565" s="1"/>
      <c r="I565" s="1"/>
      <c r="J565" s="2"/>
    </row>
    <row r="566" spans="1:12" x14ac:dyDescent="0.25">
      <c r="B566" s="1"/>
      <c r="C566" s="1"/>
      <c r="D566" s="1"/>
      <c r="E566" s="1"/>
      <c r="F566" s="1"/>
      <c r="G566" s="1"/>
      <c r="H566" s="1"/>
      <c r="I566" s="1"/>
      <c r="J566" s="2"/>
    </row>
    <row r="567" spans="1:12" x14ac:dyDescent="0.25">
      <c r="B567" s="1"/>
      <c r="C567" s="1"/>
      <c r="D567" s="1"/>
      <c r="E567" s="1"/>
      <c r="F567" s="1"/>
      <c r="G567" s="1"/>
      <c r="H567" s="1"/>
      <c r="I567" s="1"/>
      <c r="J567" s="2"/>
    </row>
    <row r="568" spans="1:12" ht="21" x14ac:dyDescent="0.35">
      <c r="A568" t="s">
        <v>0</v>
      </c>
      <c r="B568" s="125" t="s">
        <v>1</v>
      </c>
      <c r="C568" s="125"/>
      <c r="D568" s="125"/>
      <c r="E568" s="125"/>
      <c r="F568" s="125"/>
      <c r="G568" s="125"/>
      <c r="H568" s="125"/>
      <c r="I568" s="125"/>
      <c r="J568" s="125"/>
    </row>
    <row r="569" spans="1:12" ht="18.75" x14ac:dyDescent="0.3">
      <c r="A569" t="s">
        <v>2</v>
      </c>
      <c r="B569" s="3" t="s">
        <v>3</v>
      </c>
      <c r="C569" s="3" t="s">
        <v>4</v>
      </c>
      <c r="D569" s="3" t="s">
        <v>5</v>
      </c>
      <c r="E569" s="3" t="s">
        <v>6</v>
      </c>
      <c r="F569" s="3" t="s">
        <v>7</v>
      </c>
      <c r="G569" s="3" t="s">
        <v>8</v>
      </c>
      <c r="H569" s="3" t="s">
        <v>9</v>
      </c>
      <c r="I569" s="3" t="s">
        <v>10</v>
      </c>
      <c r="J569" s="3"/>
    </row>
    <row r="570" spans="1:12" x14ac:dyDescent="0.25">
      <c r="B570" s="8">
        <v>46162</v>
      </c>
      <c r="C570" s="9" t="s">
        <v>292</v>
      </c>
      <c r="D570" s="9">
        <v>5</v>
      </c>
      <c r="E570" s="32">
        <v>1199</v>
      </c>
      <c r="F570" s="11">
        <f>E570*D570</f>
        <v>5995</v>
      </c>
      <c r="G570" s="11">
        <v>2.5971000000000002</v>
      </c>
      <c r="H570" s="11">
        <f>E570*G570</f>
        <v>3113.9229</v>
      </c>
      <c r="I570" s="11">
        <f>H570*D570</f>
        <v>15569.6145</v>
      </c>
      <c r="J570" s="9">
        <f>J569+I570</f>
        <v>15569.6145</v>
      </c>
      <c r="K570" s="68">
        <v>46196</v>
      </c>
    </row>
    <row r="571" spans="1:12" x14ac:dyDescent="0.25">
      <c r="B571" s="8">
        <v>46162</v>
      </c>
      <c r="C571" s="9" t="s">
        <v>278</v>
      </c>
      <c r="D571" s="9">
        <v>3</v>
      </c>
      <c r="E571" s="32">
        <v>1897</v>
      </c>
      <c r="F571" s="11">
        <f t="shared" ref="F571:F587" si="110">E571*D571</f>
        <v>5691</v>
      </c>
      <c r="G571" s="11">
        <v>2.5971000000000002</v>
      </c>
      <c r="H571" s="11">
        <f t="shared" ref="H571:H587" si="111">E571*G571</f>
        <v>4926.6986999999999</v>
      </c>
      <c r="I571" s="11">
        <f t="shared" ref="I571:I588" si="112">H571*D571</f>
        <v>14780.096099999999</v>
      </c>
      <c r="J571" s="9">
        <f t="shared" ref="J571:J588" si="113">J570+I571</f>
        <v>30349.710599999999</v>
      </c>
      <c r="K571" s="68">
        <v>46196</v>
      </c>
    </row>
    <row r="572" spans="1:12" x14ac:dyDescent="0.25">
      <c r="B572" s="8">
        <v>46162</v>
      </c>
      <c r="C572" s="9" t="s">
        <v>317</v>
      </c>
      <c r="D572" s="9">
        <v>3</v>
      </c>
      <c r="E572" s="32">
        <v>105</v>
      </c>
      <c r="F572" s="11">
        <f t="shared" si="110"/>
        <v>315</v>
      </c>
      <c r="G572" s="11">
        <v>2.5971000000000002</v>
      </c>
      <c r="H572" s="11">
        <f t="shared" si="111"/>
        <v>272.69550000000004</v>
      </c>
      <c r="I572" s="11">
        <f t="shared" si="112"/>
        <v>818.08650000000011</v>
      </c>
      <c r="J572" s="9">
        <f t="shared" si="113"/>
        <v>31167.7971</v>
      </c>
      <c r="K572" s="68">
        <v>46192</v>
      </c>
      <c r="L572" t="s">
        <v>390</v>
      </c>
    </row>
    <row r="573" spans="1:12" x14ac:dyDescent="0.25">
      <c r="B573" s="8">
        <v>46162</v>
      </c>
      <c r="C573" s="9" t="s">
        <v>278</v>
      </c>
      <c r="D573" s="9">
        <v>3</v>
      </c>
      <c r="E573" s="32">
        <v>1897</v>
      </c>
      <c r="F573" s="11">
        <f t="shared" si="110"/>
        <v>5691</v>
      </c>
      <c r="G573" s="11">
        <v>2.5971000000000002</v>
      </c>
      <c r="H573" s="11">
        <f t="shared" si="111"/>
        <v>4926.6986999999999</v>
      </c>
      <c r="I573" s="11">
        <f t="shared" si="112"/>
        <v>14780.096099999999</v>
      </c>
      <c r="J573" s="9">
        <f t="shared" si="113"/>
        <v>45947.893199999999</v>
      </c>
      <c r="K573" s="68">
        <v>46196</v>
      </c>
    </row>
    <row r="574" spans="1:12" x14ac:dyDescent="0.25">
      <c r="B574" s="8">
        <v>46162</v>
      </c>
      <c r="C574" s="9" t="s">
        <v>278</v>
      </c>
      <c r="D574" s="9">
        <v>2</v>
      </c>
      <c r="E574" s="32">
        <v>1897</v>
      </c>
      <c r="F574" s="11">
        <f t="shared" si="110"/>
        <v>3794</v>
      </c>
      <c r="G574" s="11">
        <v>2.5971000000000002</v>
      </c>
      <c r="H574" s="11">
        <f t="shared" si="111"/>
        <v>4926.6986999999999</v>
      </c>
      <c r="I574" s="11">
        <f t="shared" si="112"/>
        <v>9853.3973999999998</v>
      </c>
      <c r="J574" s="9">
        <f t="shared" si="113"/>
        <v>55801.2906</v>
      </c>
      <c r="K574" s="68">
        <v>46196</v>
      </c>
    </row>
    <row r="575" spans="1:12" x14ac:dyDescent="0.25">
      <c r="B575" s="17">
        <v>46162</v>
      </c>
      <c r="C575" s="18" t="s">
        <v>318</v>
      </c>
      <c r="D575" s="18">
        <v>3</v>
      </c>
      <c r="E575" s="33">
        <v>549</v>
      </c>
      <c r="F575" s="20">
        <f t="shared" si="110"/>
        <v>1647</v>
      </c>
      <c r="G575" s="20">
        <v>2.5971000000000002</v>
      </c>
      <c r="H575" s="20">
        <f t="shared" si="111"/>
        <v>1425.8079</v>
      </c>
      <c r="I575" s="20">
        <f t="shared" si="112"/>
        <v>4277.4237000000003</v>
      </c>
      <c r="J575" s="18">
        <f t="shared" si="113"/>
        <v>60078.7143</v>
      </c>
    </row>
    <row r="576" spans="1:12" x14ac:dyDescent="0.25">
      <c r="B576" s="17">
        <v>46162</v>
      </c>
      <c r="C576" s="18" t="s">
        <v>318</v>
      </c>
      <c r="D576" s="18">
        <v>1</v>
      </c>
      <c r="E576" s="33">
        <v>549</v>
      </c>
      <c r="F576" s="20">
        <f t="shared" si="110"/>
        <v>549</v>
      </c>
      <c r="G576" s="20">
        <v>2.5971000000000002</v>
      </c>
      <c r="H576" s="20">
        <f t="shared" si="111"/>
        <v>1425.8079</v>
      </c>
      <c r="I576" s="20">
        <f t="shared" si="112"/>
        <v>1425.8079</v>
      </c>
      <c r="J576" s="18">
        <f t="shared" si="113"/>
        <v>61504.522199999999</v>
      </c>
    </row>
    <row r="577" spans="2:11" x14ac:dyDescent="0.25">
      <c r="B577" s="8">
        <v>46162</v>
      </c>
      <c r="C577" s="9" t="s">
        <v>280</v>
      </c>
      <c r="D577" s="9">
        <v>2</v>
      </c>
      <c r="E577" s="32">
        <v>1897</v>
      </c>
      <c r="F577" s="11">
        <f t="shared" si="110"/>
        <v>3794</v>
      </c>
      <c r="G577" s="11">
        <v>2.5971000000000002</v>
      </c>
      <c r="H577" s="11">
        <f t="shared" si="111"/>
        <v>4926.6986999999999</v>
      </c>
      <c r="I577" s="11">
        <f t="shared" si="112"/>
        <v>9853.3973999999998</v>
      </c>
      <c r="J577" s="9">
        <f t="shared" si="113"/>
        <v>71357.919599999994</v>
      </c>
      <c r="K577" s="68">
        <v>46196</v>
      </c>
    </row>
    <row r="578" spans="2:11" x14ac:dyDescent="0.25">
      <c r="B578" s="8">
        <v>46162</v>
      </c>
      <c r="C578" s="9" t="s">
        <v>319</v>
      </c>
      <c r="D578" s="9">
        <v>19</v>
      </c>
      <c r="E578" s="32">
        <v>105</v>
      </c>
      <c r="F578" s="11">
        <f t="shared" si="110"/>
        <v>1995</v>
      </c>
      <c r="G578" s="11">
        <v>2.5971000000000002</v>
      </c>
      <c r="H578" s="11">
        <f t="shared" si="111"/>
        <v>272.69550000000004</v>
      </c>
      <c r="I578" s="11">
        <f t="shared" si="112"/>
        <v>5181.214500000001</v>
      </c>
      <c r="J578" s="9">
        <f t="shared" si="113"/>
        <v>76539.134099999996</v>
      </c>
      <c r="K578" s="68">
        <v>46192</v>
      </c>
    </row>
    <row r="579" spans="2:11" x14ac:dyDescent="0.25">
      <c r="B579" s="8">
        <v>46162</v>
      </c>
      <c r="C579" s="9" t="s">
        <v>320</v>
      </c>
      <c r="D579" s="9">
        <v>2</v>
      </c>
      <c r="E579" s="32">
        <v>1298</v>
      </c>
      <c r="F579" s="11">
        <f t="shared" si="110"/>
        <v>2596</v>
      </c>
      <c r="G579" s="11">
        <v>2.5971000000000002</v>
      </c>
      <c r="H579" s="11">
        <f t="shared" si="111"/>
        <v>3371.0358000000001</v>
      </c>
      <c r="I579" s="11">
        <f t="shared" si="112"/>
        <v>6742.0716000000002</v>
      </c>
      <c r="J579" s="9">
        <f t="shared" si="113"/>
        <v>83281.205699999991</v>
      </c>
      <c r="K579" s="68">
        <v>46196</v>
      </c>
    </row>
    <row r="580" spans="2:11" x14ac:dyDescent="0.25">
      <c r="B580" s="8">
        <v>46163</v>
      </c>
      <c r="C580" s="9" t="s">
        <v>314</v>
      </c>
      <c r="D580" s="9">
        <v>2</v>
      </c>
      <c r="E580" s="32">
        <v>1199</v>
      </c>
      <c r="F580" s="11">
        <f t="shared" si="110"/>
        <v>2398</v>
      </c>
      <c r="G580" s="11">
        <v>2.5971000000000002</v>
      </c>
      <c r="H580" s="11">
        <f t="shared" si="111"/>
        <v>3113.9229</v>
      </c>
      <c r="I580" s="11">
        <f t="shared" si="112"/>
        <v>6227.8458000000001</v>
      </c>
      <c r="J580" s="9">
        <f t="shared" si="113"/>
        <v>89509.051499999987</v>
      </c>
      <c r="K580" s="68">
        <v>46196</v>
      </c>
    </row>
    <row r="581" spans="2:11" x14ac:dyDescent="0.25">
      <c r="B581" s="8">
        <v>46163</v>
      </c>
      <c r="C581" s="9" t="s">
        <v>314</v>
      </c>
      <c r="D581" s="9">
        <v>2</v>
      </c>
      <c r="E581" s="32">
        <v>1199</v>
      </c>
      <c r="F581" s="11">
        <f t="shared" si="110"/>
        <v>2398</v>
      </c>
      <c r="G581" s="11">
        <v>2.5971000000000002</v>
      </c>
      <c r="H581" s="11">
        <f t="shared" si="111"/>
        <v>3113.9229</v>
      </c>
      <c r="I581" s="11">
        <f t="shared" si="112"/>
        <v>6227.8458000000001</v>
      </c>
      <c r="J581" s="9">
        <f t="shared" si="113"/>
        <v>95736.897299999982</v>
      </c>
      <c r="K581" s="68">
        <v>46196</v>
      </c>
    </row>
    <row r="582" spans="2:11" x14ac:dyDescent="0.25">
      <c r="B582" s="8">
        <v>46163</v>
      </c>
      <c r="C582" s="9" t="s">
        <v>314</v>
      </c>
      <c r="D582" s="9">
        <v>2</v>
      </c>
      <c r="E582" s="32">
        <v>1199</v>
      </c>
      <c r="F582" s="11">
        <f t="shared" si="110"/>
        <v>2398</v>
      </c>
      <c r="G582" s="11">
        <v>2.5971000000000002</v>
      </c>
      <c r="H582" s="11">
        <f t="shared" si="111"/>
        <v>3113.9229</v>
      </c>
      <c r="I582" s="11">
        <f t="shared" si="112"/>
        <v>6227.8458000000001</v>
      </c>
      <c r="J582" s="9">
        <f t="shared" si="113"/>
        <v>101964.74309999998</v>
      </c>
      <c r="K582" s="68">
        <v>46196</v>
      </c>
    </row>
    <row r="583" spans="2:11" x14ac:dyDescent="0.25">
      <c r="B583" s="8">
        <v>46163</v>
      </c>
      <c r="C583" s="78" t="s">
        <v>315</v>
      </c>
      <c r="D583" s="78">
        <v>2</v>
      </c>
      <c r="E583" s="79">
        <v>1199</v>
      </c>
      <c r="F583" s="11">
        <f t="shared" si="110"/>
        <v>2398</v>
      </c>
      <c r="G583" s="11">
        <v>2.5971000000000002</v>
      </c>
      <c r="H583" s="11">
        <f t="shared" si="111"/>
        <v>3113.9229</v>
      </c>
      <c r="I583" s="11">
        <f t="shared" si="112"/>
        <v>6227.8458000000001</v>
      </c>
      <c r="J583" s="9">
        <f t="shared" si="113"/>
        <v>108192.58889999997</v>
      </c>
      <c r="K583" s="68">
        <v>46196</v>
      </c>
    </row>
    <row r="584" spans="2:11" x14ac:dyDescent="0.25">
      <c r="B584" s="8">
        <v>46163</v>
      </c>
      <c r="C584" s="9" t="s">
        <v>315</v>
      </c>
      <c r="D584" s="9">
        <v>2</v>
      </c>
      <c r="E584" s="32">
        <v>1199</v>
      </c>
      <c r="F584" s="11">
        <f t="shared" si="110"/>
        <v>2398</v>
      </c>
      <c r="G584" s="11">
        <v>2.5971000000000002</v>
      </c>
      <c r="H584" s="11">
        <f t="shared" si="111"/>
        <v>3113.9229</v>
      </c>
      <c r="I584" s="11">
        <f t="shared" si="112"/>
        <v>6227.8458000000001</v>
      </c>
      <c r="J584" s="9">
        <f t="shared" si="113"/>
        <v>114420.43469999997</v>
      </c>
      <c r="K584" s="68">
        <v>46196</v>
      </c>
    </row>
    <row r="585" spans="2:11" x14ac:dyDescent="0.25">
      <c r="B585" s="8">
        <v>46163</v>
      </c>
      <c r="C585" s="9" t="s">
        <v>315</v>
      </c>
      <c r="D585" s="9">
        <v>2</v>
      </c>
      <c r="E585" s="32">
        <v>1199</v>
      </c>
      <c r="F585" s="11">
        <f t="shared" si="110"/>
        <v>2398</v>
      </c>
      <c r="G585" s="11">
        <v>2.5971000000000002</v>
      </c>
      <c r="H585" s="11">
        <f t="shared" si="111"/>
        <v>3113.9229</v>
      </c>
      <c r="I585" s="11">
        <f t="shared" si="112"/>
        <v>6227.8458000000001</v>
      </c>
      <c r="J585" s="9">
        <f t="shared" si="113"/>
        <v>120648.28049999996</v>
      </c>
      <c r="K585" s="68">
        <v>46196</v>
      </c>
    </row>
    <row r="586" spans="2:11" x14ac:dyDescent="0.25">
      <c r="B586" s="8">
        <v>46165</v>
      </c>
      <c r="C586" s="9" t="s">
        <v>309</v>
      </c>
      <c r="D586" s="9">
        <v>4</v>
      </c>
      <c r="E586" s="32">
        <v>1199</v>
      </c>
      <c r="F586" s="11">
        <f t="shared" si="110"/>
        <v>4796</v>
      </c>
      <c r="G586" s="11">
        <v>2.5971000000000002</v>
      </c>
      <c r="H586" s="11">
        <f t="shared" si="111"/>
        <v>3113.9229</v>
      </c>
      <c r="I586" s="11">
        <f t="shared" si="112"/>
        <v>12455.6916</v>
      </c>
      <c r="J586" s="9">
        <f t="shared" si="113"/>
        <v>133103.97209999996</v>
      </c>
      <c r="K586" s="68">
        <v>46196</v>
      </c>
    </row>
    <row r="587" spans="2:11" x14ac:dyDescent="0.25">
      <c r="B587" s="8">
        <v>46165</v>
      </c>
      <c r="C587" s="9" t="s">
        <v>321</v>
      </c>
      <c r="D587" s="9">
        <v>4</v>
      </c>
      <c r="E587" s="32">
        <v>1897</v>
      </c>
      <c r="F587" s="11">
        <f t="shared" si="110"/>
        <v>7588</v>
      </c>
      <c r="G587" s="11">
        <v>2.5971000000000002</v>
      </c>
      <c r="H587" s="11">
        <f t="shared" si="111"/>
        <v>4926.6986999999999</v>
      </c>
      <c r="I587" s="11">
        <f t="shared" si="112"/>
        <v>19706.7948</v>
      </c>
      <c r="J587" s="9">
        <f t="shared" si="113"/>
        <v>152810.76689999996</v>
      </c>
      <c r="K587" s="68">
        <v>46196</v>
      </c>
    </row>
    <row r="588" spans="2:11" x14ac:dyDescent="0.25">
      <c r="B588" s="17">
        <v>46163</v>
      </c>
      <c r="C588" s="18" t="s">
        <v>322</v>
      </c>
      <c r="D588" s="18">
        <v>1</v>
      </c>
      <c r="E588" s="33">
        <v>457</v>
      </c>
      <c r="F588" s="20">
        <f>E588*D588</f>
        <v>457</v>
      </c>
      <c r="G588" s="20">
        <v>2.5971000000000002</v>
      </c>
      <c r="H588" s="20">
        <f>E588*G588</f>
        <v>1186.8747000000001</v>
      </c>
      <c r="I588" s="20">
        <f t="shared" si="112"/>
        <v>1186.8747000000001</v>
      </c>
      <c r="J588" s="18">
        <f t="shared" si="113"/>
        <v>153997.64159999994</v>
      </c>
    </row>
    <row r="589" spans="2:11" x14ac:dyDescent="0.25">
      <c r="B589" s="1"/>
      <c r="C589" s="1"/>
      <c r="D589" s="1"/>
      <c r="E589" s="1"/>
      <c r="F589" s="1"/>
      <c r="G589" s="1"/>
      <c r="H589" s="1"/>
      <c r="I589" s="1"/>
      <c r="J589" s="2"/>
    </row>
    <row r="590" spans="2:11" x14ac:dyDescent="0.25">
      <c r="B590" s="1"/>
      <c r="C590" s="1"/>
      <c r="D590" s="1"/>
      <c r="E590" s="1"/>
      <c r="F590" s="1"/>
      <c r="G590" s="1"/>
      <c r="H590" s="1"/>
      <c r="I590" s="1"/>
      <c r="J590" s="2"/>
    </row>
    <row r="591" spans="2:11" x14ac:dyDescent="0.25">
      <c r="B591" s="1"/>
      <c r="C591" s="1"/>
      <c r="D591" s="1"/>
      <c r="E591" s="1"/>
      <c r="F591" s="1"/>
      <c r="G591" s="1"/>
      <c r="H591" s="1"/>
      <c r="I591" s="1"/>
      <c r="J591" s="2"/>
    </row>
    <row r="592" spans="2:11" x14ac:dyDescent="0.25">
      <c r="B592" s="1"/>
      <c r="C592" s="1"/>
      <c r="D592" s="1"/>
      <c r="E592" s="1"/>
      <c r="F592" s="1"/>
      <c r="G592" s="1"/>
      <c r="H592" s="1"/>
      <c r="I592" s="1"/>
      <c r="J592" s="2"/>
    </row>
    <row r="593" spans="1:11" x14ac:dyDescent="0.25">
      <c r="B593" s="1"/>
      <c r="C593" s="1"/>
      <c r="D593" s="1"/>
      <c r="E593" s="1"/>
      <c r="F593" s="1"/>
      <c r="G593" s="1"/>
      <c r="H593" s="1"/>
      <c r="I593" s="1"/>
      <c r="J593" s="2"/>
    </row>
    <row r="594" spans="1:11" x14ac:dyDescent="0.25">
      <c r="B594" s="1"/>
      <c r="C594" s="1"/>
      <c r="D594" s="1"/>
      <c r="E594" s="1"/>
      <c r="F594" s="1"/>
      <c r="G594" s="1"/>
      <c r="H594" s="1"/>
      <c r="I594" s="1"/>
      <c r="J594" s="2"/>
    </row>
    <row r="595" spans="1:11" ht="21" x14ac:dyDescent="0.35">
      <c r="A595" t="s">
        <v>0</v>
      </c>
      <c r="B595" s="125" t="s">
        <v>323</v>
      </c>
      <c r="C595" s="125"/>
      <c r="D595" s="125"/>
      <c r="E595" s="125"/>
      <c r="F595" s="125"/>
      <c r="G595" s="125"/>
      <c r="H595" s="125"/>
      <c r="I595" s="125"/>
      <c r="J595" s="125"/>
    </row>
    <row r="596" spans="1:11" ht="18.75" x14ac:dyDescent="0.3">
      <c r="A596" t="s">
        <v>2</v>
      </c>
      <c r="B596" s="3" t="s">
        <v>3</v>
      </c>
      <c r="C596" s="3" t="s">
        <v>4</v>
      </c>
      <c r="D596" s="3" t="s">
        <v>5</v>
      </c>
      <c r="E596" s="3" t="s">
        <v>6</v>
      </c>
      <c r="F596" s="3" t="s">
        <v>7</v>
      </c>
      <c r="G596" s="3" t="s">
        <v>8</v>
      </c>
      <c r="H596" s="3" t="s">
        <v>9</v>
      </c>
      <c r="I596" s="3" t="s">
        <v>10</v>
      </c>
      <c r="J596" s="3"/>
    </row>
    <row r="597" spans="1:11" x14ac:dyDescent="0.25">
      <c r="B597" s="104">
        <v>46167</v>
      </c>
      <c r="C597" s="105" t="s">
        <v>324</v>
      </c>
      <c r="D597" s="106">
        <v>1</v>
      </c>
      <c r="E597" s="106">
        <v>1249</v>
      </c>
      <c r="F597" s="85">
        <f>E597*D597</f>
        <v>1249</v>
      </c>
      <c r="G597" s="11">
        <v>2.5859000000000001</v>
      </c>
      <c r="H597" s="11">
        <f>E597*G597</f>
        <v>3229.7891</v>
      </c>
      <c r="I597" s="11">
        <f>H597*D597</f>
        <v>3229.7891</v>
      </c>
      <c r="J597" s="9">
        <f>J596+I597</f>
        <v>3229.7891</v>
      </c>
      <c r="K597" s="68">
        <v>46192</v>
      </c>
    </row>
    <row r="598" spans="1:11" x14ac:dyDescent="0.25">
      <c r="B598" s="104">
        <v>46167</v>
      </c>
      <c r="C598" s="105" t="s">
        <v>325</v>
      </c>
      <c r="D598" s="106">
        <v>3</v>
      </c>
      <c r="E598" s="106">
        <v>1199</v>
      </c>
      <c r="F598" s="85">
        <f t="shared" ref="F598:F617" si="114">E598*D598</f>
        <v>3597</v>
      </c>
      <c r="G598" s="11">
        <v>2.5859000000000001</v>
      </c>
      <c r="H598" s="11">
        <f t="shared" ref="H598:H617" si="115">E598*G598</f>
        <v>3100.4940999999999</v>
      </c>
      <c r="I598" s="11">
        <f t="shared" ref="I598:I617" si="116">H598*D598</f>
        <v>9301.4822999999997</v>
      </c>
      <c r="J598" s="9">
        <f t="shared" ref="J598:J617" si="117">J597+I598</f>
        <v>12531.2714</v>
      </c>
      <c r="K598" s="68">
        <v>46192</v>
      </c>
    </row>
    <row r="599" spans="1:11" x14ac:dyDescent="0.25">
      <c r="B599" s="104">
        <v>46167</v>
      </c>
      <c r="C599" s="105" t="s">
        <v>326</v>
      </c>
      <c r="D599" s="106">
        <v>4</v>
      </c>
      <c r="E599" s="106">
        <v>1199</v>
      </c>
      <c r="F599" s="85">
        <f t="shared" si="114"/>
        <v>4796</v>
      </c>
      <c r="G599" s="11">
        <v>2.5859000000000001</v>
      </c>
      <c r="H599" s="11">
        <f t="shared" si="115"/>
        <v>3100.4940999999999</v>
      </c>
      <c r="I599" s="11">
        <f t="shared" si="116"/>
        <v>12401.9764</v>
      </c>
      <c r="J599" s="9">
        <f t="shared" si="117"/>
        <v>24933.247799999997</v>
      </c>
      <c r="K599" s="68">
        <v>46192</v>
      </c>
    </row>
    <row r="600" spans="1:11" x14ac:dyDescent="0.25">
      <c r="B600" s="104">
        <v>46167</v>
      </c>
      <c r="C600" s="105" t="s">
        <v>327</v>
      </c>
      <c r="D600" s="106">
        <v>2</v>
      </c>
      <c r="E600" s="106">
        <v>1199</v>
      </c>
      <c r="F600" s="85">
        <f t="shared" si="114"/>
        <v>2398</v>
      </c>
      <c r="G600" s="11">
        <v>2.5859000000000001</v>
      </c>
      <c r="H600" s="11">
        <f t="shared" si="115"/>
        <v>3100.4940999999999</v>
      </c>
      <c r="I600" s="11">
        <f t="shared" si="116"/>
        <v>6200.9881999999998</v>
      </c>
      <c r="J600" s="9">
        <f t="shared" si="117"/>
        <v>31134.235999999997</v>
      </c>
      <c r="K600" s="68">
        <v>46192</v>
      </c>
    </row>
    <row r="601" spans="1:11" x14ac:dyDescent="0.25">
      <c r="B601" s="104">
        <v>46167</v>
      </c>
      <c r="C601" s="105" t="s">
        <v>328</v>
      </c>
      <c r="D601" s="106">
        <v>5</v>
      </c>
      <c r="E601" s="106">
        <v>1199</v>
      </c>
      <c r="F601" s="85">
        <f t="shared" si="114"/>
        <v>5995</v>
      </c>
      <c r="G601" s="11">
        <v>2.5859000000000001</v>
      </c>
      <c r="H601" s="11">
        <f t="shared" si="115"/>
        <v>3100.4940999999999</v>
      </c>
      <c r="I601" s="11">
        <f t="shared" si="116"/>
        <v>15502.470499999999</v>
      </c>
      <c r="J601" s="9">
        <f t="shared" si="117"/>
        <v>46636.7065</v>
      </c>
      <c r="K601" s="68">
        <v>46192</v>
      </c>
    </row>
    <row r="602" spans="1:11" x14ac:dyDescent="0.25">
      <c r="B602" s="104">
        <v>46167</v>
      </c>
      <c r="C602" s="105" t="s">
        <v>329</v>
      </c>
      <c r="D602" s="106">
        <v>3</v>
      </c>
      <c r="E602" s="106">
        <v>1199</v>
      </c>
      <c r="F602" s="85">
        <f t="shared" si="114"/>
        <v>3597</v>
      </c>
      <c r="G602" s="11">
        <v>2.5859000000000001</v>
      </c>
      <c r="H602" s="11">
        <f t="shared" si="115"/>
        <v>3100.4940999999999</v>
      </c>
      <c r="I602" s="11">
        <f t="shared" si="116"/>
        <v>9301.4822999999997</v>
      </c>
      <c r="J602" s="9">
        <f t="shared" si="117"/>
        <v>55938.188800000004</v>
      </c>
      <c r="K602" s="68">
        <v>46192</v>
      </c>
    </row>
    <row r="603" spans="1:11" x14ac:dyDescent="0.25">
      <c r="B603" s="104">
        <v>46167</v>
      </c>
      <c r="C603" s="105" t="s">
        <v>330</v>
      </c>
      <c r="D603" s="106">
        <v>2</v>
      </c>
      <c r="E603" s="106">
        <v>394</v>
      </c>
      <c r="F603" s="85">
        <f t="shared" si="114"/>
        <v>788</v>
      </c>
      <c r="G603" s="11">
        <v>2.5859000000000001</v>
      </c>
      <c r="H603" s="11">
        <f t="shared" si="115"/>
        <v>1018.8446</v>
      </c>
      <c r="I603" s="11">
        <f t="shared" si="116"/>
        <v>2037.6892</v>
      </c>
      <c r="J603" s="9">
        <f t="shared" si="117"/>
        <v>57975.878000000004</v>
      </c>
      <c r="K603" s="68">
        <v>46192</v>
      </c>
    </row>
    <row r="604" spans="1:11" x14ac:dyDescent="0.25">
      <c r="B604" s="104">
        <v>46167</v>
      </c>
      <c r="C604" s="105" t="s">
        <v>331</v>
      </c>
      <c r="D604" s="106">
        <v>1</v>
      </c>
      <c r="E604" s="106">
        <v>394</v>
      </c>
      <c r="F604" s="85">
        <f t="shared" si="114"/>
        <v>394</v>
      </c>
      <c r="G604" s="11">
        <v>2.5859000000000001</v>
      </c>
      <c r="H604" s="11">
        <f t="shared" si="115"/>
        <v>1018.8446</v>
      </c>
      <c r="I604" s="11">
        <f t="shared" si="116"/>
        <v>1018.8446</v>
      </c>
      <c r="J604" s="9">
        <f t="shared" si="117"/>
        <v>58994.722600000001</v>
      </c>
      <c r="K604" s="68">
        <v>46192</v>
      </c>
    </row>
    <row r="605" spans="1:11" x14ac:dyDescent="0.25">
      <c r="B605" s="104">
        <v>46168</v>
      </c>
      <c r="C605" s="105" t="s">
        <v>332</v>
      </c>
      <c r="D605" s="106">
        <v>4</v>
      </c>
      <c r="E605" s="106">
        <v>1199</v>
      </c>
      <c r="F605" s="85">
        <f t="shared" si="114"/>
        <v>4796</v>
      </c>
      <c r="G605" s="11">
        <v>2.5859000000000001</v>
      </c>
      <c r="H605" s="11">
        <f t="shared" si="115"/>
        <v>3100.4940999999999</v>
      </c>
      <c r="I605" s="11">
        <f t="shared" si="116"/>
        <v>12401.9764</v>
      </c>
      <c r="J605" s="9">
        <f t="shared" si="117"/>
        <v>71396.698999999993</v>
      </c>
      <c r="K605" s="68">
        <v>46192</v>
      </c>
    </row>
    <row r="606" spans="1:11" x14ac:dyDescent="0.25">
      <c r="B606" s="104">
        <v>46168</v>
      </c>
      <c r="C606" s="105" t="s">
        <v>333</v>
      </c>
      <c r="D606" s="106">
        <v>6</v>
      </c>
      <c r="E606" s="106">
        <v>1199</v>
      </c>
      <c r="F606" s="85">
        <f t="shared" si="114"/>
        <v>7194</v>
      </c>
      <c r="G606" s="11">
        <v>2.5859000000000001</v>
      </c>
      <c r="H606" s="11">
        <f t="shared" si="115"/>
        <v>3100.4940999999999</v>
      </c>
      <c r="I606" s="11">
        <f t="shared" si="116"/>
        <v>18602.964599999999</v>
      </c>
      <c r="J606" s="9">
        <f t="shared" si="117"/>
        <v>89999.6636</v>
      </c>
      <c r="K606" s="68">
        <v>46192</v>
      </c>
    </row>
    <row r="607" spans="1:11" x14ac:dyDescent="0.25">
      <c r="B607" s="104">
        <v>46168</v>
      </c>
      <c r="C607" s="105" t="s">
        <v>334</v>
      </c>
      <c r="D607" s="106">
        <v>5</v>
      </c>
      <c r="E607" s="106">
        <v>1199</v>
      </c>
      <c r="F607" s="85">
        <f t="shared" si="114"/>
        <v>5995</v>
      </c>
      <c r="G607" s="11">
        <v>2.5859000000000001</v>
      </c>
      <c r="H607" s="11">
        <f t="shared" si="115"/>
        <v>3100.4940999999999</v>
      </c>
      <c r="I607" s="11">
        <f t="shared" si="116"/>
        <v>15502.470499999999</v>
      </c>
      <c r="J607" s="9">
        <f t="shared" si="117"/>
        <v>105502.1341</v>
      </c>
      <c r="K607" s="68">
        <v>46192</v>
      </c>
    </row>
    <row r="608" spans="1:11" x14ac:dyDescent="0.25">
      <c r="B608" s="104">
        <v>46168</v>
      </c>
      <c r="C608" s="105" t="s">
        <v>335</v>
      </c>
      <c r="D608" s="106">
        <v>7</v>
      </c>
      <c r="E608" s="106">
        <v>359</v>
      </c>
      <c r="F608" s="85">
        <f t="shared" si="114"/>
        <v>2513</v>
      </c>
      <c r="G608" s="11">
        <v>2.5859000000000001</v>
      </c>
      <c r="H608" s="11">
        <f t="shared" si="115"/>
        <v>928.33810000000005</v>
      </c>
      <c r="I608" s="11">
        <f t="shared" si="116"/>
        <v>6498.3667000000005</v>
      </c>
      <c r="J608" s="9">
        <f t="shared" si="117"/>
        <v>112000.50079999999</v>
      </c>
      <c r="K608" s="68">
        <v>46192</v>
      </c>
    </row>
    <row r="609" spans="1:11" x14ac:dyDescent="0.25">
      <c r="B609" s="104">
        <v>46168</v>
      </c>
      <c r="C609" s="105" t="s">
        <v>336</v>
      </c>
      <c r="D609" s="106">
        <v>1</v>
      </c>
      <c r="E609" s="106">
        <v>95</v>
      </c>
      <c r="F609" s="85">
        <f t="shared" si="114"/>
        <v>95</v>
      </c>
      <c r="G609" s="11">
        <v>2.5859000000000001</v>
      </c>
      <c r="H609" s="11">
        <f t="shared" si="115"/>
        <v>245.66050000000001</v>
      </c>
      <c r="I609" s="11">
        <f t="shared" si="116"/>
        <v>245.66050000000001</v>
      </c>
      <c r="J609" s="9">
        <f t="shared" si="117"/>
        <v>112246.16129999999</v>
      </c>
      <c r="K609" s="68">
        <v>46192</v>
      </c>
    </row>
    <row r="610" spans="1:11" x14ac:dyDescent="0.25">
      <c r="B610" s="104">
        <v>46171</v>
      </c>
      <c r="C610" s="105" t="s">
        <v>337</v>
      </c>
      <c r="D610" s="106">
        <v>4</v>
      </c>
      <c r="E610" s="106">
        <v>1199</v>
      </c>
      <c r="F610" s="85">
        <f t="shared" si="114"/>
        <v>4796</v>
      </c>
      <c r="G610" s="11">
        <v>2.5859000000000001</v>
      </c>
      <c r="H610" s="11">
        <f t="shared" si="115"/>
        <v>3100.4940999999999</v>
      </c>
      <c r="I610" s="11">
        <f t="shared" si="116"/>
        <v>12401.9764</v>
      </c>
      <c r="J610" s="9">
        <f t="shared" si="117"/>
        <v>124648.13769999999</v>
      </c>
      <c r="K610" s="68">
        <v>46192</v>
      </c>
    </row>
    <row r="611" spans="1:11" x14ac:dyDescent="0.25">
      <c r="B611" s="104">
        <v>46171</v>
      </c>
      <c r="C611" s="105" t="s">
        <v>338</v>
      </c>
      <c r="D611" s="106">
        <v>2</v>
      </c>
      <c r="E611" s="106">
        <v>1199</v>
      </c>
      <c r="F611" s="85">
        <f t="shared" si="114"/>
        <v>2398</v>
      </c>
      <c r="G611" s="11">
        <v>2.5859000000000001</v>
      </c>
      <c r="H611" s="11">
        <f t="shared" si="115"/>
        <v>3100.4940999999999</v>
      </c>
      <c r="I611" s="11">
        <f t="shared" si="116"/>
        <v>6200.9881999999998</v>
      </c>
      <c r="J611" s="9">
        <f t="shared" si="117"/>
        <v>130849.12589999998</v>
      </c>
      <c r="K611" s="68">
        <v>46192</v>
      </c>
    </row>
    <row r="612" spans="1:11" x14ac:dyDescent="0.25">
      <c r="B612" s="104">
        <v>46171</v>
      </c>
      <c r="C612" s="105" t="s">
        <v>339</v>
      </c>
      <c r="D612" s="106">
        <v>4</v>
      </c>
      <c r="E612" s="106">
        <v>1199</v>
      </c>
      <c r="F612" s="85">
        <f t="shared" si="114"/>
        <v>4796</v>
      </c>
      <c r="G612" s="11">
        <v>2.5859000000000001</v>
      </c>
      <c r="H612" s="11">
        <f t="shared" si="115"/>
        <v>3100.4940999999999</v>
      </c>
      <c r="I612" s="11">
        <f t="shared" si="116"/>
        <v>12401.9764</v>
      </c>
      <c r="J612" s="9">
        <f t="shared" si="117"/>
        <v>143251.10229999997</v>
      </c>
      <c r="K612" s="68">
        <v>46192</v>
      </c>
    </row>
    <row r="613" spans="1:11" x14ac:dyDescent="0.25">
      <c r="B613" s="104">
        <v>46171</v>
      </c>
      <c r="C613" s="105" t="s">
        <v>340</v>
      </c>
      <c r="D613" s="106">
        <v>5</v>
      </c>
      <c r="E613" s="106">
        <v>1199</v>
      </c>
      <c r="F613" s="85">
        <f t="shared" si="114"/>
        <v>5995</v>
      </c>
      <c r="G613" s="11">
        <v>2.5859000000000001</v>
      </c>
      <c r="H613" s="11">
        <f t="shared" si="115"/>
        <v>3100.4940999999999</v>
      </c>
      <c r="I613" s="11">
        <f t="shared" si="116"/>
        <v>15502.470499999999</v>
      </c>
      <c r="J613" s="9">
        <f t="shared" si="117"/>
        <v>158753.57279999997</v>
      </c>
      <c r="K613" s="68">
        <v>46192</v>
      </c>
    </row>
    <row r="614" spans="1:11" x14ac:dyDescent="0.25">
      <c r="B614" s="104">
        <v>46171</v>
      </c>
      <c r="C614" s="105" t="s">
        <v>341</v>
      </c>
      <c r="D614" s="106">
        <v>2</v>
      </c>
      <c r="E614" s="106">
        <v>399</v>
      </c>
      <c r="F614" s="85">
        <f t="shared" si="114"/>
        <v>798</v>
      </c>
      <c r="G614" s="11">
        <v>2.5859000000000001</v>
      </c>
      <c r="H614" s="11">
        <f t="shared" si="115"/>
        <v>1031.7741000000001</v>
      </c>
      <c r="I614" s="11">
        <f t="shared" si="116"/>
        <v>2063.5482000000002</v>
      </c>
      <c r="J614" s="9">
        <f t="shared" si="117"/>
        <v>160817.12099999996</v>
      </c>
      <c r="K614" s="68">
        <v>46192</v>
      </c>
    </row>
    <row r="615" spans="1:11" x14ac:dyDescent="0.25">
      <c r="B615" s="104">
        <v>46171</v>
      </c>
      <c r="C615" s="105" t="s">
        <v>342</v>
      </c>
      <c r="D615" s="106">
        <v>3</v>
      </c>
      <c r="E615" s="106">
        <v>357</v>
      </c>
      <c r="F615" s="85">
        <f t="shared" si="114"/>
        <v>1071</v>
      </c>
      <c r="G615" s="11">
        <v>2.5859000000000001</v>
      </c>
      <c r="H615" s="11">
        <f t="shared" si="115"/>
        <v>923.16629999999998</v>
      </c>
      <c r="I615" s="11">
        <f t="shared" si="116"/>
        <v>2769.4989</v>
      </c>
      <c r="J615" s="9">
        <f t="shared" si="117"/>
        <v>163586.61989999996</v>
      </c>
      <c r="K615" s="68">
        <v>46192</v>
      </c>
    </row>
    <row r="616" spans="1:11" x14ac:dyDescent="0.25">
      <c r="B616" s="90">
        <v>46168</v>
      </c>
      <c r="C616" s="91" t="s">
        <v>343</v>
      </c>
      <c r="D616" s="20">
        <v>1</v>
      </c>
      <c r="E616" s="92">
        <v>86.5</v>
      </c>
      <c r="F616" s="89">
        <f t="shared" si="114"/>
        <v>86.5</v>
      </c>
      <c r="G616" s="20">
        <v>2.5859000000000001</v>
      </c>
      <c r="H616" s="20">
        <f t="shared" si="115"/>
        <v>223.68035</v>
      </c>
      <c r="I616" s="20">
        <f t="shared" si="116"/>
        <v>223.68035</v>
      </c>
      <c r="J616" s="18">
        <f t="shared" si="117"/>
        <v>163810.30024999997</v>
      </c>
    </row>
    <row r="617" spans="1:11" x14ac:dyDescent="0.25">
      <c r="B617" s="90">
        <v>46171</v>
      </c>
      <c r="C617" s="91" t="s">
        <v>344</v>
      </c>
      <c r="D617" s="20">
        <v>1</v>
      </c>
      <c r="E617" s="92">
        <v>80.91</v>
      </c>
      <c r="F617" s="89">
        <f t="shared" si="114"/>
        <v>80.91</v>
      </c>
      <c r="G617" s="20">
        <v>2.5859000000000001</v>
      </c>
      <c r="H617" s="20">
        <f t="shared" si="115"/>
        <v>209.22516899999999</v>
      </c>
      <c r="I617" s="20">
        <f t="shared" si="116"/>
        <v>209.22516899999999</v>
      </c>
      <c r="J617" s="18">
        <f t="shared" si="117"/>
        <v>164019.52541899998</v>
      </c>
    </row>
    <row r="618" spans="1:11" x14ac:dyDescent="0.25">
      <c r="B618" s="1"/>
      <c r="C618" s="1"/>
      <c r="D618" s="1"/>
      <c r="E618" s="1"/>
      <c r="F618" s="1"/>
      <c r="G618" s="1"/>
      <c r="H618" s="1"/>
      <c r="I618" s="1"/>
      <c r="J618" s="2"/>
    </row>
    <row r="619" spans="1:11" x14ac:dyDescent="0.25">
      <c r="B619" s="1"/>
      <c r="C619" s="1"/>
      <c r="D619" s="1"/>
      <c r="E619" s="1"/>
      <c r="F619" s="1"/>
      <c r="G619" s="1"/>
      <c r="H619" s="1"/>
      <c r="I619" s="1"/>
      <c r="J619" s="2"/>
    </row>
    <row r="620" spans="1:11" x14ac:dyDescent="0.25">
      <c r="B620" s="1"/>
      <c r="C620" s="1"/>
      <c r="D620" s="1"/>
      <c r="E620" s="1"/>
      <c r="F620" s="1"/>
      <c r="G620" s="1"/>
      <c r="H620" s="1"/>
      <c r="I620" s="1"/>
      <c r="J620" s="2"/>
    </row>
    <row r="621" spans="1:11" x14ac:dyDescent="0.25">
      <c r="B621" s="1"/>
      <c r="C621" s="1"/>
      <c r="D621" s="1"/>
      <c r="E621" s="1"/>
      <c r="F621" s="1"/>
      <c r="G621" s="1"/>
      <c r="H621" s="1"/>
      <c r="I621" s="1"/>
      <c r="J621" s="2"/>
    </row>
    <row r="622" spans="1:11" x14ac:dyDescent="0.25">
      <c r="B622" s="1"/>
      <c r="C622" s="1"/>
      <c r="D622" s="1"/>
      <c r="E622" s="1"/>
      <c r="F622" s="1"/>
      <c r="G622" s="1"/>
      <c r="H622" s="1"/>
      <c r="I622" s="1"/>
      <c r="J622" s="2"/>
    </row>
    <row r="623" spans="1:11" x14ac:dyDescent="0.25">
      <c r="B623" s="1"/>
      <c r="C623" s="1"/>
      <c r="D623" s="1"/>
      <c r="E623" s="1"/>
      <c r="F623" s="1"/>
      <c r="G623" s="1"/>
      <c r="H623" s="1"/>
      <c r="I623" s="1"/>
      <c r="J623" s="2"/>
    </row>
    <row r="624" spans="1:11" ht="21" x14ac:dyDescent="0.35">
      <c r="A624" t="s">
        <v>0</v>
      </c>
      <c r="B624" s="125" t="s">
        <v>323</v>
      </c>
      <c r="C624" s="125"/>
      <c r="D624" s="125"/>
      <c r="E624" s="125"/>
      <c r="F624" s="125"/>
      <c r="G624" s="125"/>
      <c r="H624" s="125"/>
      <c r="I624" s="125"/>
      <c r="J624" s="125"/>
    </row>
    <row r="625" spans="1:11" ht="18.75" x14ac:dyDescent="0.3">
      <c r="A625" t="s">
        <v>2</v>
      </c>
      <c r="B625" s="3" t="s">
        <v>3</v>
      </c>
      <c r="C625" s="3" t="s">
        <v>4</v>
      </c>
      <c r="D625" s="3" t="s">
        <v>5</v>
      </c>
      <c r="E625" s="3" t="s">
        <v>6</v>
      </c>
      <c r="F625" s="3" t="s">
        <v>7</v>
      </c>
      <c r="G625" s="3" t="s">
        <v>8</v>
      </c>
      <c r="H625" s="3" t="s">
        <v>9</v>
      </c>
      <c r="I625" s="3" t="s">
        <v>10</v>
      </c>
      <c r="J625" s="3"/>
    </row>
    <row r="626" spans="1:11" x14ac:dyDescent="0.25">
      <c r="B626" s="86">
        <v>46174</v>
      </c>
      <c r="C626" s="87" t="s">
        <v>345</v>
      </c>
      <c r="D626" s="107">
        <v>2</v>
      </c>
      <c r="E626" s="107">
        <v>1199</v>
      </c>
      <c r="F626" s="11">
        <f>E626*D626</f>
        <v>2398</v>
      </c>
      <c r="G626" s="11">
        <v>2.5979999999999999</v>
      </c>
      <c r="H626" s="11">
        <f>E626*G626</f>
        <v>3115.002</v>
      </c>
      <c r="I626" s="11">
        <f>H626*D626</f>
        <v>6230.0039999999999</v>
      </c>
      <c r="J626" s="9">
        <f>J625+I626</f>
        <v>6230.0039999999999</v>
      </c>
      <c r="K626" s="68">
        <v>46192</v>
      </c>
    </row>
    <row r="627" spans="1:11" x14ac:dyDescent="0.25">
      <c r="B627" s="86">
        <v>46174</v>
      </c>
      <c r="C627" s="87" t="s">
        <v>346</v>
      </c>
      <c r="D627" s="107">
        <v>4</v>
      </c>
      <c r="E627" s="107">
        <v>1199</v>
      </c>
      <c r="F627" s="11">
        <f t="shared" ref="F627:F631" si="118">E627*D627</f>
        <v>4796</v>
      </c>
      <c r="G627" s="11">
        <v>2.5979999999999999</v>
      </c>
      <c r="H627" s="11">
        <f t="shared" ref="H627:H631" si="119">E627*G627</f>
        <v>3115.002</v>
      </c>
      <c r="I627" s="11">
        <f t="shared" ref="I627:I631" si="120">H627*D627</f>
        <v>12460.008</v>
      </c>
      <c r="J627" s="9">
        <f t="shared" ref="J627:J631" si="121">J626+I627</f>
        <v>18690.011999999999</v>
      </c>
      <c r="K627" s="68">
        <v>46192</v>
      </c>
    </row>
    <row r="628" spans="1:11" x14ac:dyDescent="0.25">
      <c r="B628" s="86">
        <v>46174</v>
      </c>
      <c r="C628" s="87" t="s">
        <v>347</v>
      </c>
      <c r="D628" s="107">
        <v>1</v>
      </c>
      <c r="E628" s="107">
        <v>1199</v>
      </c>
      <c r="F628" s="11">
        <f t="shared" si="118"/>
        <v>1199</v>
      </c>
      <c r="G628" s="11">
        <v>2.5979999999999999</v>
      </c>
      <c r="H628" s="11">
        <f t="shared" si="119"/>
        <v>3115.002</v>
      </c>
      <c r="I628" s="11">
        <f t="shared" si="120"/>
        <v>3115.002</v>
      </c>
      <c r="J628" s="9">
        <f t="shared" si="121"/>
        <v>21805.013999999999</v>
      </c>
      <c r="K628" s="68">
        <v>46192</v>
      </c>
    </row>
    <row r="629" spans="1:11" x14ac:dyDescent="0.25">
      <c r="B629" s="86">
        <v>46175</v>
      </c>
      <c r="C629" s="87" t="s">
        <v>348</v>
      </c>
      <c r="D629" s="107">
        <v>3</v>
      </c>
      <c r="E629" s="107">
        <v>1199</v>
      </c>
      <c r="F629" s="11">
        <f t="shared" si="118"/>
        <v>3597</v>
      </c>
      <c r="G629" s="11">
        <v>2.5979999999999999</v>
      </c>
      <c r="H629" s="11">
        <f>E629*G629</f>
        <v>3115.002</v>
      </c>
      <c r="I629" s="11">
        <f t="shared" si="120"/>
        <v>9345.0059999999994</v>
      </c>
      <c r="J629" s="9">
        <f t="shared" si="121"/>
        <v>31150.019999999997</v>
      </c>
      <c r="K629" s="68">
        <v>46192</v>
      </c>
    </row>
    <row r="630" spans="1:11" x14ac:dyDescent="0.25">
      <c r="B630" s="86">
        <v>46175</v>
      </c>
      <c r="C630" s="87" t="s">
        <v>349</v>
      </c>
      <c r="D630" s="107">
        <v>2</v>
      </c>
      <c r="E630" s="107">
        <v>1199</v>
      </c>
      <c r="F630" s="11">
        <f t="shared" si="118"/>
        <v>2398</v>
      </c>
      <c r="G630" s="11">
        <v>2.5979999999999999</v>
      </c>
      <c r="H630" s="11">
        <f>E630*G630</f>
        <v>3115.002</v>
      </c>
      <c r="I630" s="11">
        <f t="shared" si="120"/>
        <v>6230.0039999999999</v>
      </c>
      <c r="J630" s="9">
        <f t="shared" si="121"/>
        <v>37380.023999999998</v>
      </c>
      <c r="K630" s="68">
        <v>46192</v>
      </c>
    </row>
    <row r="631" spans="1:11" x14ac:dyDescent="0.25">
      <c r="B631" s="94"/>
      <c r="C631" s="94"/>
      <c r="D631" s="94"/>
      <c r="E631" s="94"/>
      <c r="F631" s="94">
        <f t="shared" si="118"/>
        <v>0</v>
      </c>
      <c r="G631" s="94"/>
      <c r="H631" s="94">
        <f t="shared" si="119"/>
        <v>0</v>
      </c>
      <c r="I631" s="94">
        <f t="shared" si="120"/>
        <v>0</v>
      </c>
      <c r="J631" s="95">
        <f t="shared" si="121"/>
        <v>37380.023999999998</v>
      </c>
    </row>
    <row r="632" spans="1:11" x14ac:dyDescent="0.25">
      <c r="B632" s="1"/>
      <c r="C632" s="1"/>
      <c r="D632" s="1"/>
      <c r="E632" s="1"/>
      <c r="F632" s="1"/>
      <c r="G632" s="1"/>
      <c r="H632" s="1"/>
      <c r="I632" s="1"/>
      <c r="J632" s="2"/>
    </row>
    <row r="633" spans="1:11" x14ac:dyDescent="0.25">
      <c r="B633" s="1"/>
      <c r="C633" s="1"/>
      <c r="D633" s="1"/>
      <c r="E633" s="1"/>
      <c r="F633" s="1"/>
      <c r="G633" s="1"/>
      <c r="H633" s="1"/>
      <c r="I633" s="1"/>
      <c r="J633" s="2"/>
    </row>
    <row r="634" spans="1:11" x14ac:dyDescent="0.25">
      <c r="B634" s="1"/>
      <c r="C634" s="1"/>
      <c r="D634" s="1"/>
      <c r="E634" s="1"/>
      <c r="F634" s="1"/>
      <c r="G634" s="1"/>
      <c r="H634" s="1"/>
      <c r="I634" s="1"/>
      <c r="J634" s="2"/>
    </row>
    <row r="635" spans="1:11" x14ac:dyDescent="0.25">
      <c r="B635" s="1"/>
      <c r="C635" s="1"/>
      <c r="D635" s="1"/>
      <c r="E635" s="1"/>
      <c r="F635" s="1"/>
      <c r="G635" s="1"/>
      <c r="H635" s="1"/>
      <c r="I635" s="1"/>
      <c r="J635" s="2"/>
    </row>
    <row r="636" spans="1:11" ht="21" x14ac:dyDescent="0.35">
      <c r="A636" t="s">
        <v>0</v>
      </c>
      <c r="B636" s="125" t="s">
        <v>323</v>
      </c>
      <c r="C636" s="125"/>
      <c r="D636" s="125"/>
      <c r="E636" s="125"/>
      <c r="F636" s="125"/>
      <c r="G636" s="125"/>
      <c r="H636" s="125"/>
      <c r="I636" s="125"/>
      <c r="J636" s="125"/>
    </row>
    <row r="637" spans="1:11" ht="18.75" x14ac:dyDescent="0.3">
      <c r="A637" t="s">
        <v>2</v>
      </c>
      <c r="B637" s="3" t="s">
        <v>3</v>
      </c>
      <c r="C637" s="3" t="s">
        <v>4</v>
      </c>
      <c r="D637" s="3" t="s">
        <v>5</v>
      </c>
      <c r="E637" s="3" t="s">
        <v>6</v>
      </c>
      <c r="F637" s="3" t="s">
        <v>7</v>
      </c>
      <c r="G637" s="3" t="s">
        <v>8</v>
      </c>
      <c r="H637" s="3" t="s">
        <v>9</v>
      </c>
      <c r="I637" s="3" t="s">
        <v>10</v>
      </c>
      <c r="J637" s="3"/>
    </row>
    <row r="638" spans="1:11" x14ac:dyDescent="0.25">
      <c r="B638" s="86">
        <v>46176</v>
      </c>
      <c r="C638" s="87" t="s">
        <v>350</v>
      </c>
      <c r="D638" s="107">
        <v>2</v>
      </c>
      <c r="E638" s="107">
        <v>1199</v>
      </c>
      <c r="F638" s="85">
        <f>E638*D638</f>
        <v>2398</v>
      </c>
      <c r="G638" s="11">
        <v>2.5979999999999999</v>
      </c>
      <c r="H638" s="11">
        <f>E638*G638</f>
        <v>3115.002</v>
      </c>
      <c r="I638" s="11">
        <f>H638*D638</f>
        <v>6230.0039999999999</v>
      </c>
      <c r="J638" s="9">
        <f>J637+I638</f>
        <v>6230.0039999999999</v>
      </c>
      <c r="K638" s="68">
        <v>46192</v>
      </c>
    </row>
    <row r="639" spans="1:11" x14ac:dyDescent="0.25">
      <c r="B639" s="86">
        <v>46176</v>
      </c>
      <c r="C639" s="87" t="s">
        <v>351</v>
      </c>
      <c r="D639" s="107">
        <v>4</v>
      </c>
      <c r="E639" s="107">
        <v>1199</v>
      </c>
      <c r="F639" s="85">
        <f t="shared" ref="F639:F646" si="122">E639*D639</f>
        <v>4796</v>
      </c>
      <c r="G639" s="11">
        <v>2.5979999999999999</v>
      </c>
      <c r="H639" s="11">
        <f t="shared" ref="H639:H646" si="123">E639*G639</f>
        <v>3115.002</v>
      </c>
      <c r="I639" s="11">
        <f t="shared" ref="I639:I646" si="124">H639*D639</f>
        <v>12460.008</v>
      </c>
      <c r="J639" s="9">
        <f t="shared" ref="J639:J646" si="125">J638+I639</f>
        <v>18690.011999999999</v>
      </c>
      <c r="K639" s="68">
        <v>46192</v>
      </c>
    </row>
    <row r="640" spans="1:11" x14ac:dyDescent="0.25">
      <c r="B640" s="86">
        <v>46177</v>
      </c>
      <c r="C640" s="87" t="s">
        <v>326</v>
      </c>
      <c r="D640" s="107">
        <v>6</v>
      </c>
      <c r="E640" s="107">
        <v>1199</v>
      </c>
      <c r="F640" s="85">
        <f t="shared" si="122"/>
        <v>7194</v>
      </c>
      <c r="G640" s="11">
        <v>2.5979999999999999</v>
      </c>
      <c r="H640" s="11">
        <f t="shared" si="123"/>
        <v>3115.002</v>
      </c>
      <c r="I640" s="11">
        <f t="shared" si="124"/>
        <v>18690.011999999999</v>
      </c>
      <c r="J640" s="9">
        <f t="shared" si="125"/>
        <v>37380.023999999998</v>
      </c>
      <c r="K640" s="68">
        <v>46192</v>
      </c>
    </row>
    <row r="641" spans="1:11" x14ac:dyDescent="0.25">
      <c r="B641" s="86">
        <v>46177</v>
      </c>
      <c r="C641" s="87" t="s">
        <v>329</v>
      </c>
      <c r="D641" s="107">
        <v>5</v>
      </c>
      <c r="E641" s="107">
        <v>1199</v>
      </c>
      <c r="F641" s="85">
        <f t="shared" si="122"/>
        <v>5995</v>
      </c>
      <c r="G641" s="11">
        <v>2.5979999999999999</v>
      </c>
      <c r="H641" s="11">
        <f t="shared" si="123"/>
        <v>3115.002</v>
      </c>
      <c r="I641" s="11">
        <f t="shared" si="124"/>
        <v>15575.01</v>
      </c>
      <c r="J641" s="9">
        <f t="shared" si="125"/>
        <v>52955.034</v>
      </c>
      <c r="K641" s="68">
        <v>46192</v>
      </c>
    </row>
    <row r="642" spans="1:11" x14ac:dyDescent="0.25">
      <c r="B642" s="86">
        <v>46177</v>
      </c>
      <c r="C642" s="87" t="s">
        <v>328</v>
      </c>
      <c r="D642" s="107">
        <v>4</v>
      </c>
      <c r="E642" s="107">
        <v>1199</v>
      </c>
      <c r="F642" s="85">
        <f t="shared" si="122"/>
        <v>4796</v>
      </c>
      <c r="G642" s="11">
        <v>2.5979999999999999</v>
      </c>
      <c r="H642" s="11">
        <f t="shared" si="123"/>
        <v>3115.002</v>
      </c>
      <c r="I642" s="11">
        <f t="shared" si="124"/>
        <v>12460.008</v>
      </c>
      <c r="J642" s="9">
        <f t="shared" si="125"/>
        <v>65415.042000000001</v>
      </c>
      <c r="K642" s="68">
        <v>46192</v>
      </c>
    </row>
    <row r="643" spans="1:11" x14ac:dyDescent="0.25">
      <c r="B643" s="86">
        <v>46177</v>
      </c>
      <c r="C643" s="87" t="s">
        <v>350</v>
      </c>
      <c r="D643" s="107">
        <v>1</v>
      </c>
      <c r="E643" s="107">
        <v>1199</v>
      </c>
      <c r="F643" s="85">
        <f t="shared" si="122"/>
        <v>1199</v>
      </c>
      <c r="G643" s="11">
        <v>2.5979999999999999</v>
      </c>
      <c r="H643" s="11">
        <f t="shared" si="123"/>
        <v>3115.002</v>
      </c>
      <c r="I643" s="11">
        <f t="shared" si="124"/>
        <v>3115.002</v>
      </c>
      <c r="J643" s="9">
        <f t="shared" si="125"/>
        <v>68530.043999999994</v>
      </c>
      <c r="K643" s="68">
        <v>46192</v>
      </c>
    </row>
    <row r="644" spans="1:11" x14ac:dyDescent="0.25">
      <c r="B644" s="86">
        <v>46177</v>
      </c>
      <c r="C644" s="87" t="s">
        <v>352</v>
      </c>
      <c r="D644" s="11">
        <v>1</v>
      </c>
      <c r="E644" s="88">
        <v>86.14</v>
      </c>
      <c r="F644" s="85">
        <f t="shared" si="122"/>
        <v>86.14</v>
      </c>
      <c r="G644" s="11">
        <v>2.5979999999999999</v>
      </c>
      <c r="H644" s="11">
        <f t="shared" si="123"/>
        <v>223.79172</v>
      </c>
      <c r="I644" s="11">
        <f t="shared" si="124"/>
        <v>223.79172</v>
      </c>
      <c r="J644" s="9">
        <f t="shared" si="125"/>
        <v>68753.835719999988</v>
      </c>
    </row>
    <row r="645" spans="1:11" x14ac:dyDescent="0.25">
      <c r="B645" s="20"/>
      <c r="C645" s="20"/>
      <c r="D645" s="20"/>
      <c r="E645" s="20"/>
      <c r="F645" s="89">
        <f t="shared" si="122"/>
        <v>0</v>
      </c>
      <c r="G645" s="20"/>
      <c r="H645" s="20">
        <f t="shared" si="123"/>
        <v>0</v>
      </c>
      <c r="I645" s="20">
        <f t="shared" si="124"/>
        <v>0</v>
      </c>
      <c r="J645" s="18">
        <f t="shared" si="125"/>
        <v>68753.835719999988</v>
      </c>
    </row>
    <row r="646" spans="1:11" x14ac:dyDescent="0.25">
      <c r="B646" s="20"/>
      <c r="C646" s="20"/>
      <c r="D646" s="20"/>
      <c r="E646" s="20"/>
      <c r="F646" s="89">
        <f t="shared" si="122"/>
        <v>0</v>
      </c>
      <c r="G646" s="20"/>
      <c r="H646" s="20">
        <f t="shared" si="123"/>
        <v>0</v>
      </c>
      <c r="I646" s="20">
        <f t="shared" si="124"/>
        <v>0</v>
      </c>
      <c r="J646" s="18">
        <f t="shared" si="125"/>
        <v>68753.835719999988</v>
      </c>
    </row>
    <row r="647" spans="1:11" x14ac:dyDescent="0.25">
      <c r="B647" s="1"/>
      <c r="C647" s="1"/>
      <c r="D647" s="1"/>
      <c r="E647" s="1"/>
      <c r="F647" s="1"/>
      <c r="G647" s="1"/>
      <c r="H647" s="1"/>
      <c r="I647" s="1"/>
      <c r="J647" s="2"/>
    </row>
    <row r="648" spans="1:11" x14ac:dyDescent="0.25">
      <c r="B648" s="1"/>
      <c r="C648" s="1"/>
      <c r="D648" s="1"/>
      <c r="E648" s="1"/>
      <c r="F648" s="1"/>
      <c r="G648" s="1"/>
      <c r="H648" s="1"/>
      <c r="I648" s="1"/>
      <c r="J648" s="2"/>
    </row>
    <row r="649" spans="1:11" x14ac:dyDescent="0.25">
      <c r="B649" s="1"/>
      <c r="C649" s="1"/>
      <c r="D649" s="1"/>
      <c r="E649" s="1"/>
      <c r="F649" s="1"/>
      <c r="G649" s="1"/>
      <c r="H649" s="1"/>
      <c r="I649" s="1"/>
      <c r="J649" s="2"/>
    </row>
    <row r="650" spans="1:11" x14ac:dyDescent="0.25">
      <c r="B650" s="1"/>
      <c r="C650" s="1"/>
      <c r="D650" s="1"/>
      <c r="E650" s="1"/>
      <c r="F650" s="1"/>
      <c r="G650" s="1"/>
      <c r="H650" s="1"/>
      <c r="I650" s="1"/>
      <c r="J650" s="2"/>
    </row>
    <row r="651" spans="1:11" x14ac:dyDescent="0.25">
      <c r="B651" s="1"/>
      <c r="C651" s="1"/>
      <c r="D651" s="1"/>
      <c r="E651" s="1"/>
      <c r="F651" s="1"/>
      <c r="G651" s="1"/>
      <c r="H651" s="1"/>
      <c r="I651" s="1"/>
      <c r="J651" s="2"/>
    </row>
    <row r="652" spans="1:11" ht="21" x14ac:dyDescent="0.35">
      <c r="A652" t="s">
        <v>0</v>
      </c>
      <c r="B652" s="125" t="s">
        <v>34</v>
      </c>
      <c r="C652" s="125"/>
      <c r="D652" s="125"/>
      <c r="E652" s="125"/>
      <c r="F652" s="125"/>
      <c r="G652" s="125"/>
      <c r="H652" s="125"/>
      <c r="I652" s="125"/>
      <c r="J652" s="125"/>
    </row>
    <row r="653" spans="1:11" ht="18.75" x14ac:dyDescent="0.3">
      <c r="A653" t="s">
        <v>2</v>
      </c>
      <c r="B653" s="3" t="s">
        <v>3</v>
      </c>
      <c r="C653" s="3" t="s">
        <v>4</v>
      </c>
      <c r="D653" s="3" t="s">
        <v>5</v>
      </c>
      <c r="E653" s="3" t="s">
        <v>6</v>
      </c>
      <c r="F653" s="3" t="s">
        <v>7</v>
      </c>
      <c r="G653" s="3" t="s">
        <v>8</v>
      </c>
      <c r="H653" s="3" t="s">
        <v>9</v>
      </c>
      <c r="I653" s="3" t="s">
        <v>10</v>
      </c>
      <c r="J653" s="3"/>
    </row>
    <row r="654" spans="1:11" x14ac:dyDescent="0.25">
      <c r="B654" s="8">
        <v>46171</v>
      </c>
      <c r="C654" s="9" t="s">
        <v>353</v>
      </c>
      <c r="D654" s="9">
        <v>2</v>
      </c>
      <c r="E654" s="32">
        <v>1579</v>
      </c>
      <c r="F654" s="11">
        <f>E654*D654</f>
        <v>3158</v>
      </c>
      <c r="G654" s="11">
        <v>2.13</v>
      </c>
      <c r="H654" s="11">
        <f>E654*G654</f>
        <v>3363.27</v>
      </c>
      <c r="I654" s="11">
        <f>H654*D654</f>
        <v>6726.54</v>
      </c>
      <c r="J654" s="9">
        <f>J653+I654</f>
        <v>6726.54</v>
      </c>
      <c r="K654" s="68">
        <v>46192</v>
      </c>
    </row>
    <row r="655" spans="1:11" x14ac:dyDescent="0.25">
      <c r="B655" s="8">
        <v>46171</v>
      </c>
      <c r="C655" s="9" t="s">
        <v>283</v>
      </c>
      <c r="D655" s="9">
        <v>1</v>
      </c>
      <c r="E655" s="32">
        <v>1579</v>
      </c>
      <c r="F655" s="11">
        <f t="shared" ref="F655:F663" si="126">E655*D655</f>
        <v>1579</v>
      </c>
      <c r="G655" s="11">
        <v>2.13</v>
      </c>
      <c r="H655" s="11">
        <f t="shared" ref="H655:H663" si="127">E655*G655</f>
        <v>3363.27</v>
      </c>
      <c r="I655" s="11">
        <f t="shared" ref="I655:I663" si="128">H655*D655</f>
        <v>3363.27</v>
      </c>
      <c r="J655" s="9">
        <f t="shared" ref="J655:J663" si="129">J654+I655</f>
        <v>10089.81</v>
      </c>
      <c r="K655" s="68">
        <v>46192</v>
      </c>
    </row>
    <row r="656" spans="1:11" x14ac:dyDescent="0.25">
      <c r="B656" s="8">
        <v>46171</v>
      </c>
      <c r="C656" s="9" t="s">
        <v>354</v>
      </c>
      <c r="D656" s="9">
        <v>9</v>
      </c>
      <c r="E656" s="32">
        <v>1540</v>
      </c>
      <c r="F656" s="11">
        <f t="shared" si="126"/>
        <v>13860</v>
      </c>
      <c r="G656" s="11">
        <v>2.13</v>
      </c>
      <c r="H656" s="11">
        <f t="shared" si="127"/>
        <v>3280.2</v>
      </c>
      <c r="I656" s="11">
        <f t="shared" si="128"/>
        <v>29521.8</v>
      </c>
      <c r="J656" s="9">
        <f t="shared" si="129"/>
        <v>39611.61</v>
      </c>
      <c r="K656" s="68">
        <v>46192</v>
      </c>
    </row>
    <row r="657" spans="1:11" x14ac:dyDescent="0.25">
      <c r="B657" s="8">
        <v>46174</v>
      </c>
      <c r="C657" s="9" t="s">
        <v>355</v>
      </c>
      <c r="D657" s="9">
        <v>8</v>
      </c>
      <c r="E657" s="32">
        <v>1449</v>
      </c>
      <c r="F657" s="11">
        <f t="shared" si="126"/>
        <v>11592</v>
      </c>
      <c r="G657" s="11">
        <v>2.13</v>
      </c>
      <c r="H657" s="11">
        <f t="shared" si="127"/>
        <v>3086.37</v>
      </c>
      <c r="I657" s="11">
        <f t="shared" si="128"/>
        <v>24690.959999999999</v>
      </c>
      <c r="J657" s="9">
        <f t="shared" si="129"/>
        <v>64302.57</v>
      </c>
      <c r="K657" s="68">
        <v>46192</v>
      </c>
    </row>
    <row r="658" spans="1:11" x14ac:dyDescent="0.25">
      <c r="B658" s="8">
        <v>46175</v>
      </c>
      <c r="C658" s="9" t="s">
        <v>356</v>
      </c>
      <c r="D658" s="9">
        <v>2</v>
      </c>
      <c r="E658" s="32">
        <v>1579</v>
      </c>
      <c r="F658" s="11">
        <f t="shared" si="126"/>
        <v>3158</v>
      </c>
      <c r="G658" s="11">
        <v>2.13</v>
      </c>
      <c r="H658" s="11">
        <f t="shared" si="127"/>
        <v>3363.27</v>
      </c>
      <c r="I658" s="11">
        <f t="shared" si="128"/>
        <v>6726.54</v>
      </c>
      <c r="J658" s="9">
        <f t="shared" si="129"/>
        <v>71029.11</v>
      </c>
      <c r="K658" s="68">
        <v>46192</v>
      </c>
    </row>
    <row r="659" spans="1:11" x14ac:dyDescent="0.25">
      <c r="B659" s="8">
        <v>46175</v>
      </c>
      <c r="C659" s="9" t="s">
        <v>287</v>
      </c>
      <c r="D659" s="9">
        <v>18</v>
      </c>
      <c r="E659" s="32">
        <v>143</v>
      </c>
      <c r="F659" s="11">
        <f t="shared" si="126"/>
        <v>2574</v>
      </c>
      <c r="G659" s="11">
        <v>2.13</v>
      </c>
      <c r="H659" s="11">
        <f t="shared" si="127"/>
        <v>304.58999999999997</v>
      </c>
      <c r="I659" s="11">
        <f t="shared" si="128"/>
        <v>5482.62</v>
      </c>
      <c r="J659" s="9">
        <f t="shared" si="129"/>
        <v>76511.73</v>
      </c>
      <c r="K659" s="68">
        <v>46192</v>
      </c>
    </row>
    <row r="660" spans="1:11" x14ac:dyDescent="0.25">
      <c r="B660" s="8">
        <v>46178</v>
      </c>
      <c r="C660" s="9" t="s">
        <v>283</v>
      </c>
      <c r="D660" s="9">
        <v>4</v>
      </c>
      <c r="E660" s="32">
        <v>1579</v>
      </c>
      <c r="F660" s="11">
        <f t="shared" si="126"/>
        <v>6316</v>
      </c>
      <c r="G660" s="11">
        <v>2.13</v>
      </c>
      <c r="H660" s="11">
        <f t="shared" si="127"/>
        <v>3363.27</v>
      </c>
      <c r="I660" s="11">
        <f t="shared" si="128"/>
        <v>13453.08</v>
      </c>
      <c r="J660" s="9">
        <f t="shared" si="129"/>
        <v>89964.81</v>
      </c>
      <c r="K660" s="68">
        <v>46192</v>
      </c>
    </row>
    <row r="661" spans="1:11" x14ac:dyDescent="0.25">
      <c r="B661" s="8">
        <v>46178</v>
      </c>
      <c r="C661" s="9" t="s">
        <v>357</v>
      </c>
      <c r="D661" s="9">
        <v>4</v>
      </c>
      <c r="E661" s="32">
        <v>1579</v>
      </c>
      <c r="F661" s="11">
        <f t="shared" si="126"/>
        <v>6316</v>
      </c>
      <c r="G661" s="11">
        <v>2.13</v>
      </c>
      <c r="H661" s="11">
        <f t="shared" si="127"/>
        <v>3363.27</v>
      </c>
      <c r="I661" s="11">
        <f t="shared" si="128"/>
        <v>13453.08</v>
      </c>
      <c r="J661" s="9">
        <f t="shared" si="129"/>
        <v>103417.89</v>
      </c>
      <c r="K661" s="68">
        <v>46192</v>
      </c>
    </row>
    <row r="662" spans="1:11" x14ac:dyDescent="0.25">
      <c r="B662" s="8">
        <v>46178</v>
      </c>
      <c r="C662" s="9" t="s">
        <v>358</v>
      </c>
      <c r="D662" s="9">
        <v>32</v>
      </c>
      <c r="E662" s="32">
        <v>143</v>
      </c>
      <c r="F662" s="11">
        <f t="shared" si="126"/>
        <v>4576</v>
      </c>
      <c r="G662" s="11">
        <v>2.13</v>
      </c>
      <c r="H662" s="11">
        <f t="shared" si="127"/>
        <v>304.58999999999997</v>
      </c>
      <c r="I662" s="11">
        <f t="shared" si="128"/>
        <v>9746.8799999999992</v>
      </c>
      <c r="J662" s="9">
        <f t="shared" si="129"/>
        <v>113164.77</v>
      </c>
      <c r="K662" s="68">
        <v>46192</v>
      </c>
    </row>
    <row r="663" spans="1:11" x14ac:dyDescent="0.25">
      <c r="B663" s="20"/>
      <c r="C663" s="20"/>
      <c r="D663" s="20"/>
      <c r="E663" s="20"/>
      <c r="F663" s="20">
        <f t="shared" si="126"/>
        <v>0</v>
      </c>
      <c r="G663" s="20"/>
      <c r="H663" s="20">
        <f t="shared" si="127"/>
        <v>0</v>
      </c>
      <c r="I663" s="20">
        <f t="shared" si="128"/>
        <v>0</v>
      </c>
      <c r="J663" s="18">
        <f t="shared" si="129"/>
        <v>113164.77</v>
      </c>
    </row>
    <row r="664" spans="1:11" x14ac:dyDescent="0.25">
      <c r="B664" s="1"/>
      <c r="C664" s="1"/>
      <c r="D664" s="1"/>
      <c r="E664" s="1"/>
      <c r="F664" s="1"/>
      <c r="G664" s="1"/>
      <c r="H664" s="1"/>
      <c r="I664" s="1"/>
      <c r="J664" s="2"/>
    </row>
    <row r="665" spans="1:11" x14ac:dyDescent="0.25">
      <c r="B665" s="1"/>
      <c r="C665" s="1"/>
      <c r="D665" s="1"/>
      <c r="E665" s="1"/>
      <c r="F665" s="1"/>
      <c r="G665" s="1"/>
      <c r="H665" s="1"/>
      <c r="I665" s="1"/>
      <c r="J665" s="2"/>
    </row>
    <row r="666" spans="1:11" x14ac:dyDescent="0.25">
      <c r="B666" s="1"/>
      <c r="C666" s="1"/>
      <c r="D666" s="1"/>
      <c r="E666" s="1"/>
      <c r="F666" s="1"/>
      <c r="G666" s="1"/>
      <c r="H666" s="1"/>
      <c r="I666" s="1"/>
      <c r="J666" s="2"/>
    </row>
    <row r="667" spans="1:11" x14ac:dyDescent="0.25">
      <c r="B667" s="1"/>
      <c r="C667" s="1"/>
      <c r="D667" s="1"/>
      <c r="E667" s="1"/>
      <c r="F667" s="1"/>
      <c r="G667" s="1"/>
      <c r="H667" s="1"/>
      <c r="I667" s="1"/>
      <c r="J667" s="2"/>
    </row>
    <row r="668" spans="1:11" x14ac:dyDescent="0.25">
      <c r="B668" s="1"/>
      <c r="C668" s="1"/>
      <c r="D668" s="1"/>
      <c r="E668" s="1"/>
      <c r="F668" s="1"/>
      <c r="G668" s="1"/>
      <c r="H668" s="1"/>
      <c r="I668" s="1"/>
      <c r="J668" s="2"/>
    </row>
    <row r="669" spans="1:11" ht="21" x14ac:dyDescent="0.35">
      <c r="A669" t="s">
        <v>0</v>
      </c>
      <c r="B669" s="125" t="s">
        <v>1</v>
      </c>
      <c r="C669" s="125"/>
      <c r="D669" s="125"/>
      <c r="E669" s="125"/>
      <c r="F669" s="125"/>
      <c r="G669" s="125"/>
      <c r="H669" s="125"/>
      <c r="I669" s="125"/>
      <c r="J669" s="125"/>
    </row>
    <row r="670" spans="1:11" ht="18.75" x14ac:dyDescent="0.3">
      <c r="A670" t="s">
        <v>2</v>
      </c>
      <c r="B670" s="3" t="s">
        <v>3</v>
      </c>
      <c r="C670" s="3" t="s">
        <v>4</v>
      </c>
      <c r="D670" s="3" t="s">
        <v>5</v>
      </c>
      <c r="E670" s="3" t="s">
        <v>6</v>
      </c>
      <c r="F670" s="3" t="s">
        <v>7</v>
      </c>
      <c r="G670" s="3" t="s">
        <v>8</v>
      </c>
      <c r="H670" s="3" t="s">
        <v>9</v>
      </c>
      <c r="I670" s="3" t="s">
        <v>10</v>
      </c>
      <c r="J670" s="3"/>
    </row>
    <row r="671" spans="1:11" x14ac:dyDescent="0.25">
      <c r="B671" s="8">
        <v>46166</v>
      </c>
      <c r="C671" s="9" t="s">
        <v>281</v>
      </c>
      <c r="D671" s="11">
        <v>6</v>
      </c>
      <c r="E671" s="109">
        <v>1897</v>
      </c>
      <c r="F671" s="11">
        <f>E671*D671</f>
        <v>11382</v>
      </c>
      <c r="G671" s="11">
        <v>2.5979999999999999</v>
      </c>
      <c r="H671" s="11">
        <f>E671*G671</f>
        <v>4928.4059999999999</v>
      </c>
      <c r="I671" s="11">
        <f>H671*D671</f>
        <v>29570.436000000002</v>
      </c>
      <c r="J671" s="9">
        <f>J670+I671</f>
        <v>29570.436000000002</v>
      </c>
      <c r="K671" s="68">
        <v>46196</v>
      </c>
    </row>
    <row r="672" spans="1:11" x14ac:dyDescent="0.25">
      <c r="B672" s="8">
        <v>46166</v>
      </c>
      <c r="C672" s="9" t="s">
        <v>281</v>
      </c>
      <c r="D672" s="11">
        <v>4</v>
      </c>
      <c r="E672" s="109">
        <v>1897</v>
      </c>
      <c r="F672" s="11">
        <f t="shared" ref="F672:F681" si="130">E672*D672</f>
        <v>7588</v>
      </c>
      <c r="G672" s="11">
        <v>2.5979999999999999</v>
      </c>
      <c r="H672" s="11">
        <f t="shared" ref="H672:H681" si="131">E672*G672</f>
        <v>4928.4059999999999</v>
      </c>
      <c r="I672" s="11">
        <f t="shared" ref="I672:I681" si="132">H672*D672</f>
        <v>19713.624</v>
      </c>
      <c r="J672" s="9">
        <f t="shared" ref="J672:J681" si="133">J671+I672</f>
        <v>49284.06</v>
      </c>
      <c r="K672" s="68">
        <v>46192</v>
      </c>
    </row>
    <row r="673" spans="1:11" x14ac:dyDescent="0.25">
      <c r="B673" s="8">
        <v>46166</v>
      </c>
      <c r="C673" s="9" t="s">
        <v>281</v>
      </c>
      <c r="D673" s="11">
        <v>4</v>
      </c>
      <c r="E673" s="109">
        <v>1897</v>
      </c>
      <c r="F673" s="11">
        <f t="shared" si="130"/>
        <v>7588</v>
      </c>
      <c r="G673" s="11">
        <v>2.5979999999999999</v>
      </c>
      <c r="H673" s="11">
        <f t="shared" si="131"/>
        <v>4928.4059999999999</v>
      </c>
      <c r="I673" s="11">
        <f t="shared" si="132"/>
        <v>19713.624</v>
      </c>
      <c r="J673" s="9">
        <f t="shared" si="133"/>
        <v>68997.683999999994</v>
      </c>
      <c r="K673" s="68">
        <v>46196</v>
      </c>
    </row>
    <row r="674" spans="1:11" x14ac:dyDescent="0.25">
      <c r="B674" s="8">
        <v>46167</v>
      </c>
      <c r="C674" s="9" t="s">
        <v>314</v>
      </c>
      <c r="D674" s="11">
        <v>2</v>
      </c>
      <c r="E674" s="109">
        <v>1199</v>
      </c>
      <c r="F674" s="11">
        <f t="shared" si="130"/>
        <v>2398</v>
      </c>
      <c r="G674" s="11">
        <v>2.5979999999999999</v>
      </c>
      <c r="H674" s="11">
        <f t="shared" si="131"/>
        <v>3115.002</v>
      </c>
      <c r="I674" s="11">
        <f t="shared" si="132"/>
        <v>6230.0039999999999</v>
      </c>
      <c r="J674" s="9">
        <f t="shared" si="133"/>
        <v>75227.687999999995</v>
      </c>
      <c r="K674" s="68">
        <v>46196</v>
      </c>
    </row>
    <row r="675" spans="1:11" x14ac:dyDescent="0.25">
      <c r="B675" s="8">
        <v>46167</v>
      </c>
      <c r="C675" s="9" t="s">
        <v>314</v>
      </c>
      <c r="D675" s="11">
        <v>2</v>
      </c>
      <c r="E675" s="109">
        <v>1199</v>
      </c>
      <c r="F675" s="11">
        <f t="shared" si="130"/>
        <v>2398</v>
      </c>
      <c r="G675" s="11">
        <v>2.5979999999999999</v>
      </c>
      <c r="H675" s="11">
        <f t="shared" si="131"/>
        <v>3115.002</v>
      </c>
      <c r="I675" s="11">
        <f t="shared" si="132"/>
        <v>6230.0039999999999</v>
      </c>
      <c r="J675" s="9">
        <f t="shared" si="133"/>
        <v>81457.691999999995</v>
      </c>
      <c r="K675" s="68">
        <v>46196</v>
      </c>
    </row>
    <row r="676" spans="1:11" x14ac:dyDescent="0.25">
      <c r="B676" s="8">
        <v>46167</v>
      </c>
      <c r="C676" s="9" t="s">
        <v>314</v>
      </c>
      <c r="D676" s="11">
        <v>2</v>
      </c>
      <c r="E676" s="109">
        <v>1199</v>
      </c>
      <c r="F676" s="11">
        <f t="shared" si="130"/>
        <v>2398</v>
      </c>
      <c r="G676" s="11">
        <v>2.5979999999999999</v>
      </c>
      <c r="H676" s="11">
        <f t="shared" si="131"/>
        <v>3115.002</v>
      </c>
      <c r="I676" s="11">
        <f t="shared" si="132"/>
        <v>6230.0039999999999</v>
      </c>
      <c r="J676" s="9">
        <f t="shared" si="133"/>
        <v>87687.695999999996</v>
      </c>
      <c r="K676" s="68">
        <v>46196</v>
      </c>
    </row>
    <row r="677" spans="1:11" x14ac:dyDescent="0.25">
      <c r="B677" s="8">
        <v>46167</v>
      </c>
      <c r="C677" s="9" t="s">
        <v>315</v>
      </c>
      <c r="D677" s="11">
        <v>2</v>
      </c>
      <c r="E677" s="114">
        <v>1199</v>
      </c>
      <c r="F677" s="11">
        <f t="shared" si="130"/>
        <v>2398</v>
      </c>
      <c r="G677" s="11">
        <v>2.5979999999999999</v>
      </c>
      <c r="H677" s="11">
        <f t="shared" si="131"/>
        <v>3115.002</v>
      </c>
      <c r="I677" s="11">
        <f t="shared" si="132"/>
        <v>6230.0039999999999</v>
      </c>
      <c r="J677" s="9">
        <f t="shared" si="133"/>
        <v>93917.7</v>
      </c>
      <c r="K677" s="68">
        <v>46196</v>
      </c>
    </row>
    <row r="678" spans="1:11" x14ac:dyDescent="0.25">
      <c r="B678" s="8">
        <v>46167</v>
      </c>
      <c r="C678" s="9" t="s">
        <v>315</v>
      </c>
      <c r="D678" s="11">
        <v>2</v>
      </c>
      <c r="E678" s="109">
        <v>1199</v>
      </c>
      <c r="F678" s="11">
        <f t="shared" si="130"/>
        <v>2398</v>
      </c>
      <c r="G678" s="11">
        <v>2.5979999999999999</v>
      </c>
      <c r="H678" s="11">
        <f t="shared" si="131"/>
        <v>3115.002</v>
      </c>
      <c r="I678" s="11">
        <f t="shared" si="132"/>
        <v>6230.0039999999999</v>
      </c>
      <c r="J678" s="9">
        <f t="shared" si="133"/>
        <v>100147.704</v>
      </c>
      <c r="K678" s="68">
        <v>46196</v>
      </c>
    </row>
    <row r="679" spans="1:11" x14ac:dyDescent="0.25">
      <c r="B679" s="8">
        <v>46167</v>
      </c>
      <c r="C679" s="9" t="s">
        <v>315</v>
      </c>
      <c r="D679" s="11">
        <v>1</v>
      </c>
      <c r="E679" s="109">
        <v>1199</v>
      </c>
      <c r="F679" s="11">
        <f t="shared" si="130"/>
        <v>1199</v>
      </c>
      <c r="G679" s="11">
        <v>2.5979999999999999</v>
      </c>
      <c r="H679" s="11">
        <f t="shared" si="131"/>
        <v>3115.002</v>
      </c>
      <c r="I679" s="11">
        <f t="shared" si="132"/>
        <v>3115.002</v>
      </c>
      <c r="J679" s="9">
        <f t="shared" si="133"/>
        <v>103262.70599999999</v>
      </c>
      <c r="K679" s="68">
        <v>46196</v>
      </c>
    </row>
    <row r="680" spans="1:11" x14ac:dyDescent="0.25">
      <c r="B680" s="8">
        <v>46167</v>
      </c>
      <c r="C680" s="9" t="s">
        <v>315</v>
      </c>
      <c r="D680" s="11">
        <v>2</v>
      </c>
      <c r="E680" s="109">
        <v>1199</v>
      </c>
      <c r="F680" s="11">
        <f t="shared" si="130"/>
        <v>2398</v>
      </c>
      <c r="G680" s="11">
        <v>2.5979999999999999</v>
      </c>
      <c r="H680" s="11">
        <f t="shared" si="131"/>
        <v>3115.002</v>
      </c>
      <c r="I680" s="11">
        <f t="shared" si="132"/>
        <v>6230.0039999999999</v>
      </c>
      <c r="J680" s="9">
        <f t="shared" si="133"/>
        <v>109492.70999999999</v>
      </c>
      <c r="K680" s="68">
        <v>46196</v>
      </c>
    </row>
    <row r="681" spans="1:11" x14ac:dyDescent="0.25">
      <c r="B681" s="20"/>
      <c r="C681" s="20"/>
      <c r="D681" s="20"/>
      <c r="E681" s="20"/>
      <c r="F681" s="20">
        <f t="shared" si="130"/>
        <v>0</v>
      </c>
      <c r="G681" s="20"/>
      <c r="H681" s="20">
        <f t="shared" si="131"/>
        <v>0</v>
      </c>
      <c r="I681" s="20">
        <f t="shared" si="132"/>
        <v>0</v>
      </c>
      <c r="J681" s="18">
        <f t="shared" si="133"/>
        <v>109492.70999999999</v>
      </c>
    </row>
    <row r="682" spans="1:11" x14ac:dyDescent="0.25">
      <c r="B682" s="1"/>
      <c r="C682" s="1"/>
      <c r="D682" s="1"/>
      <c r="E682" s="1"/>
      <c r="F682" s="1"/>
      <c r="G682" s="1"/>
      <c r="H682" s="1"/>
      <c r="I682" s="1"/>
      <c r="J682" s="2"/>
    </row>
    <row r="683" spans="1:11" x14ac:dyDescent="0.25">
      <c r="B683" s="1"/>
      <c r="C683" s="1"/>
      <c r="D683" s="1"/>
      <c r="E683" s="1"/>
      <c r="F683" s="1"/>
      <c r="G683" s="1"/>
      <c r="H683" s="1"/>
      <c r="I683" s="1"/>
      <c r="J683" s="2"/>
    </row>
    <row r="684" spans="1:11" x14ac:dyDescent="0.25">
      <c r="B684" s="1"/>
      <c r="C684" s="1"/>
      <c r="D684" s="1"/>
      <c r="E684" s="1"/>
      <c r="F684" s="1"/>
      <c r="G684" s="1"/>
      <c r="H684" s="1"/>
      <c r="I684" s="1"/>
      <c r="J684" s="2"/>
    </row>
    <row r="685" spans="1:11" x14ac:dyDescent="0.25">
      <c r="B685" s="1"/>
      <c r="C685" s="1"/>
      <c r="D685" s="1"/>
      <c r="E685" s="1"/>
      <c r="F685" s="1"/>
      <c r="G685" s="1"/>
      <c r="H685" s="1"/>
      <c r="I685" s="1"/>
      <c r="J685" s="2"/>
    </row>
    <row r="686" spans="1:11" x14ac:dyDescent="0.25">
      <c r="B686" s="1"/>
      <c r="C686" s="1"/>
      <c r="D686" s="1"/>
      <c r="E686" s="1"/>
      <c r="F686" s="1"/>
      <c r="G686" s="1"/>
      <c r="H686" s="1"/>
      <c r="I686" s="1"/>
      <c r="J686" s="2"/>
    </row>
    <row r="687" spans="1:11" ht="21" x14ac:dyDescent="0.35">
      <c r="A687" t="s">
        <v>0</v>
      </c>
      <c r="B687" s="125" t="s">
        <v>1</v>
      </c>
      <c r="C687" s="125"/>
      <c r="D687" s="125"/>
      <c r="E687" s="125"/>
      <c r="F687" s="125"/>
      <c r="G687" s="125"/>
      <c r="H687" s="125"/>
      <c r="I687" s="125"/>
      <c r="J687" s="125"/>
    </row>
    <row r="688" spans="1:11" ht="18.75" x14ac:dyDescent="0.3">
      <c r="A688" t="s">
        <v>2</v>
      </c>
      <c r="B688" s="3" t="s">
        <v>3</v>
      </c>
      <c r="C688" s="3" t="s">
        <v>4</v>
      </c>
      <c r="D688" s="3" t="s">
        <v>5</v>
      </c>
      <c r="E688" s="3" t="s">
        <v>6</v>
      </c>
      <c r="F688" s="3" t="s">
        <v>7</v>
      </c>
      <c r="G688" s="3" t="s">
        <v>8</v>
      </c>
      <c r="H688" s="3" t="s">
        <v>9</v>
      </c>
      <c r="I688" s="3" t="s">
        <v>10</v>
      </c>
      <c r="J688" s="3"/>
    </row>
    <row r="689" spans="2:11" x14ac:dyDescent="0.25">
      <c r="B689" s="8">
        <v>46170</v>
      </c>
      <c r="C689" s="9" t="s">
        <v>359</v>
      </c>
      <c r="D689" s="11">
        <v>15</v>
      </c>
      <c r="E689" s="109">
        <v>1199</v>
      </c>
      <c r="F689" s="11">
        <f>E689*D689</f>
        <v>17985</v>
      </c>
      <c r="G689" s="11">
        <v>2.5979999999999999</v>
      </c>
      <c r="H689" s="11">
        <f>E689*G689</f>
        <v>3115.002</v>
      </c>
      <c r="I689" s="11">
        <f>H689*D689</f>
        <v>46725.03</v>
      </c>
      <c r="J689" s="9">
        <f>J688+I689</f>
        <v>46725.03</v>
      </c>
      <c r="K689" s="68">
        <v>46196</v>
      </c>
    </row>
    <row r="690" spans="2:11" x14ac:dyDescent="0.25">
      <c r="B690" s="8">
        <v>46170</v>
      </c>
      <c r="C690" s="9" t="s">
        <v>280</v>
      </c>
      <c r="D690" s="11">
        <v>2</v>
      </c>
      <c r="E690" s="109">
        <v>1897</v>
      </c>
      <c r="F690" s="11">
        <f t="shared" ref="F690:F703" si="134">E690*D690</f>
        <v>3794</v>
      </c>
      <c r="G690" s="11">
        <v>2.5979999999999999</v>
      </c>
      <c r="H690" s="11">
        <f t="shared" ref="H690:H703" si="135">E690*G690</f>
        <v>4928.4059999999999</v>
      </c>
      <c r="I690" s="11">
        <f t="shared" ref="I690:I703" si="136">H690*D690</f>
        <v>9856.8119999999999</v>
      </c>
      <c r="J690" s="9">
        <f t="shared" ref="J690:J703" si="137">J689+I690</f>
        <v>56581.841999999997</v>
      </c>
      <c r="K690" s="68">
        <v>46196</v>
      </c>
    </row>
    <row r="691" spans="2:11" x14ac:dyDescent="0.25">
      <c r="B691" s="8">
        <v>46170</v>
      </c>
      <c r="C691" s="9" t="s">
        <v>314</v>
      </c>
      <c r="D691" s="11">
        <v>2</v>
      </c>
      <c r="E691" s="109">
        <v>1199</v>
      </c>
      <c r="F691" s="11">
        <f t="shared" si="134"/>
        <v>2398</v>
      </c>
      <c r="G691" s="11">
        <v>2.5979999999999999</v>
      </c>
      <c r="H691" s="11">
        <f t="shared" si="135"/>
        <v>3115.002</v>
      </c>
      <c r="I691" s="11">
        <f t="shared" si="136"/>
        <v>6230.0039999999999</v>
      </c>
      <c r="J691" s="9">
        <f t="shared" si="137"/>
        <v>62811.845999999998</v>
      </c>
      <c r="K691" s="68">
        <v>46196</v>
      </c>
    </row>
    <row r="692" spans="2:11" x14ac:dyDescent="0.25">
      <c r="B692" s="8">
        <v>46170</v>
      </c>
      <c r="C692" s="9" t="s">
        <v>314</v>
      </c>
      <c r="D692" s="11">
        <v>2</v>
      </c>
      <c r="E692" s="109">
        <v>1199</v>
      </c>
      <c r="F692" s="11">
        <f t="shared" si="134"/>
        <v>2398</v>
      </c>
      <c r="G692" s="11">
        <v>2.5979999999999999</v>
      </c>
      <c r="H692" s="11">
        <f t="shared" si="135"/>
        <v>3115.002</v>
      </c>
      <c r="I692" s="11">
        <f t="shared" si="136"/>
        <v>6230.0039999999999</v>
      </c>
      <c r="J692" s="9">
        <f t="shared" si="137"/>
        <v>69041.849999999991</v>
      </c>
      <c r="K692" s="68">
        <v>46196</v>
      </c>
    </row>
    <row r="693" spans="2:11" x14ac:dyDescent="0.25">
      <c r="B693" s="8">
        <v>46170</v>
      </c>
      <c r="C693" s="9" t="s">
        <v>314</v>
      </c>
      <c r="D693" s="11">
        <v>2</v>
      </c>
      <c r="E693" s="109">
        <v>1199</v>
      </c>
      <c r="F693" s="11">
        <f t="shared" si="134"/>
        <v>2398</v>
      </c>
      <c r="G693" s="11">
        <v>2.5979999999999999</v>
      </c>
      <c r="H693" s="11">
        <f t="shared" si="135"/>
        <v>3115.002</v>
      </c>
      <c r="I693" s="11">
        <f t="shared" si="136"/>
        <v>6230.0039999999999</v>
      </c>
      <c r="J693" s="9">
        <f t="shared" si="137"/>
        <v>75271.853999999992</v>
      </c>
      <c r="K693" s="68">
        <v>46196</v>
      </c>
    </row>
    <row r="694" spans="2:11" x14ac:dyDescent="0.25">
      <c r="B694" s="8">
        <v>46170</v>
      </c>
      <c r="C694" s="9" t="s">
        <v>315</v>
      </c>
      <c r="D694" s="11">
        <v>2</v>
      </c>
      <c r="E694" s="109">
        <v>1199</v>
      </c>
      <c r="F694" s="11">
        <f t="shared" si="134"/>
        <v>2398</v>
      </c>
      <c r="G694" s="11">
        <v>2.5979999999999999</v>
      </c>
      <c r="H694" s="11">
        <f t="shared" si="135"/>
        <v>3115.002</v>
      </c>
      <c r="I694" s="11">
        <f t="shared" si="136"/>
        <v>6230.0039999999999</v>
      </c>
      <c r="J694" s="9">
        <f t="shared" si="137"/>
        <v>81501.857999999993</v>
      </c>
      <c r="K694" s="68">
        <v>46196</v>
      </c>
    </row>
    <row r="695" spans="2:11" x14ac:dyDescent="0.25">
      <c r="B695" s="8">
        <v>46170</v>
      </c>
      <c r="C695" s="9" t="s">
        <v>315</v>
      </c>
      <c r="D695" s="11">
        <v>2</v>
      </c>
      <c r="E695" s="109">
        <v>1199</v>
      </c>
      <c r="F695" s="11">
        <f t="shared" si="134"/>
        <v>2398</v>
      </c>
      <c r="G695" s="11">
        <v>2.5979999999999999</v>
      </c>
      <c r="H695" s="11">
        <f t="shared" si="135"/>
        <v>3115.002</v>
      </c>
      <c r="I695" s="11">
        <f t="shared" si="136"/>
        <v>6230.0039999999999</v>
      </c>
      <c r="J695" s="9">
        <f t="shared" si="137"/>
        <v>87731.861999999994</v>
      </c>
      <c r="K695" s="68">
        <v>46196</v>
      </c>
    </row>
    <row r="696" spans="2:11" x14ac:dyDescent="0.25">
      <c r="B696" s="8">
        <v>46170</v>
      </c>
      <c r="C696" s="9" t="s">
        <v>315</v>
      </c>
      <c r="D696" s="11">
        <v>2</v>
      </c>
      <c r="E696" s="109">
        <v>1199</v>
      </c>
      <c r="F696" s="11">
        <f t="shared" si="134"/>
        <v>2398</v>
      </c>
      <c r="G696" s="11">
        <v>2.5979999999999999</v>
      </c>
      <c r="H696" s="11">
        <f t="shared" si="135"/>
        <v>3115.002</v>
      </c>
      <c r="I696" s="11">
        <f t="shared" si="136"/>
        <v>6230.0039999999999</v>
      </c>
      <c r="J696" s="9">
        <f t="shared" si="137"/>
        <v>93961.865999999995</v>
      </c>
      <c r="K696" s="68">
        <v>46196</v>
      </c>
    </row>
    <row r="697" spans="2:11" x14ac:dyDescent="0.25">
      <c r="B697" s="76">
        <v>46170</v>
      </c>
      <c r="C697" s="78" t="s">
        <v>315</v>
      </c>
      <c r="D697" s="115">
        <v>2</v>
      </c>
      <c r="E697" s="114">
        <v>1199</v>
      </c>
      <c r="F697" s="11">
        <f t="shared" si="134"/>
        <v>2398</v>
      </c>
      <c r="G697" s="11">
        <v>2.5979999999999999</v>
      </c>
      <c r="H697" s="11">
        <f t="shared" si="135"/>
        <v>3115.002</v>
      </c>
      <c r="I697" s="11">
        <f t="shared" si="136"/>
        <v>6230.0039999999999</v>
      </c>
      <c r="J697" s="9">
        <f t="shared" si="137"/>
        <v>100191.87</v>
      </c>
      <c r="K697" s="68">
        <v>46196</v>
      </c>
    </row>
    <row r="698" spans="2:11" x14ac:dyDescent="0.25">
      <c r="B698" s="8">
        <v>46170</v>
      </c>
      <c r="C698" s="9" t="s">
        <v>315</v>
      </c>
      <c r="D698" s="11">
        <v>2</v>
      </c>
      <c r="E698" s="109">
        <v>1199</v>
      </c>
      <c r="F698" s="11">
        <f t="shared" si="134"/>
        <v>2398</v>
      </c>
      <c r="G698" s="11">
        <v>2.5979999999999999</v>
      </c>
      <c r="H698" s="11">
        <f t="shared" si="135"/>
        <v>3115.002</v>
      </c>
      <c r="I698" s="11">
        <f t="shared" si="136"/>
        <v>6230.0039999999999</v>
      </c>
      <c r="J698" s="9">
        <f t="shared" si="137"/>
        <v>106421.874</v>
      </c>
      <c r="K698" s="68">
        <v>46196</v>
      </c>
    </row>
    <row r="699" spans="2:11" x14ac:dyDescent="0.25">
      <c r="B699" s="8">
        <v>46170</v>
      </c>
      <c r="C699" s="9" t="s">
        <v>280</v>
      </c>
      <c r="D699" s="11">
        <v>5</v>
      </c>
      <c r="E699" s="109">
        <v>1930</v>
      </c>
      <c r="F699" s="11">
        <f t="shared" si="134"/>
        <v>9650</v>
      </c>
      <c r="G699" s="11">
        <v>2.5979999999999999</v>
      </c>
      <c r="H699" s="11">
        <f t="shared" si="135"/>
        <v>5014.1399999999994</v>
      </c>
      <c r="I699" s="11">
        <f t="shared" si="136"/>
        <v>25070.699999999997</v>
      </c>
      <c r="J699" s="9">
        <f t="shared" si="137"/>
        <v>131492.57399999999</v>
      </c>
      <c r="K699" s="68">
        <v>46196</v>
      </c>
    </row>
    <row r="700" spans="2:11" x14ac:dyDescent="0.25">
      <c r="B700" s="8">
        <v>46170</v>
      </c>
      <c r="C700" s="9" t="s">
        <v>319</v>
      </c>
      <c r="D700" s="11">
        <v>8</v>
      </c>
      <c r="E700" s="109">
        <v>105</v>
      </c>
      <c r="F700" s="11">
        <f t="shared" si="134"/>
        <v>840</v>
      </c>
      <c r="G700" s="11">
        <v>2.5979999999999999</v>
      </c>
      <c r="H700" s="11">
        <f t="shared" si="135"/>
        <v>272.78999999999996</v>
      </c>
      <c r="I700" s="11">
        <f t="shared" si="136"/>
        <v>2182.3199999999997</v>
      </c>
      <c r="J700" s="9">
        <f t="shared" si="137"/>
        <v>133674.894</v>
      </c>
      <c r="K700" s="68">
        <v>46196</v>
      </c>
    </row>
    <row r="701" spans="2:11" x14ac:dyDescent="0.25">
      <c r="B701" s="8">
        <v>46171</v>
      </c>
      <c r="C701" s="9" t="s">
        <v>292</v>
      </c>
      <c r="D701" s="11">
        <v>4</v>
      </c>
      <c r="E701" s="109">
        <v>1210</v>
      </c>
      <c r="F701" s="11">
        <f t="shared" si="134"/>
        <v>4840</v>
      </c>
      <c r="G701" s="11">
        <v>2.5979999999999999</v>
      </c>
      <c r="H701" s="11">
        <f t="shared" si="135"/>
        <v>3143.58</v>
      </c>
      <c r="I701" s="11">
        <f t="shared" si="136"/>
        <v>12574.32</v>
      </c>
      <c r="J701" s="9">
        <f t="shared" si="137"/>
        <v>146249.21400000001</v>
      </c>
      <c r="K701" s="68">
        <v>46196</v>
      </c>
    </row>
    <row r="702" spans="2:11" x14ac:dyDescent="0.25">
      <c r="B702" s="17">
        <v>46170</v>
      </c>
      <c r="C702" s="18" t="s">
        <v>360</v>
      </c>
      <c r="D702" s="20">
        <v>15</v>
      </c>
      <c r="E702" s="20">
        <v>20</v>
      </c>
      <c r="F702" s="20">
        <f t="shared" si="134"/>
        <v>300</v>
      </c>
      <c r="G702" s="20">
        <v>2.5979999999999999</v>
      </c>
      <c r="H702" s="20">
        <f t="shared" si="135"/>
        <v>51.959999999999994</v>
      </c>
      <c r="I702" s="20">
        <f t="shared" si="136"/>
        <v>779.39999999999986</v>
      </c>
      <c r="J702" s="18">
        <f t="shared" si="137"/>
        <v>147028.614</v>
      </c>
    </row>
    <row r="703" spans="2:11" x14ac:dyDescent="0.25">
      <c r="B703" s="20"/>
      <c r="C703" s="20"/>
      <c r="D703" s="20"/>
      <c r="E703" s="20"/>
      <c r="F703" s="20">
        <f t="shared" si="134"/>
        <v>0</v>
      </c>
      <c r="G703" s="20"/>
      <c r="H703" s="20">
        <f t="shared" si="135"/>
        <v>0</v>
      </c>
      <c r="I703" s="20">
        <f t="shared" si="136"/>
        <v>0</v>
      </c>
      <c r="J703" s="18">
        <f t="shared" si="137"/>
        <v>147028.614</v>
      </c>
    </row>
    <row r="704" spans="2:11" x14ac:dyDescent="0.25">
      <c r="B704" s="1"/>
      <c r="C704" s="1"/>
      <c r="D704" s="1"/>
      <c r="E704" s="1"/>
      <c r="F704" s="1"/>
      <c r="G704" s="1"/>
      <c r="H704" s="1"/>
      <c r="I704" s="1"/>
      <c r="J704" s="2"/>
    </row>
    <row r="705" spans="1:11" x14ac:dyDescent="0.25">
      <c r="B705" s="1"/>
      <c r="C705" s="1"/>
      <c r="D705" s="1"/>
      <c r="E705" s="1"/>
      <c r="F705" s="1"/>
      <c r="G705" s="1"/>
      <c r="H705" s="1"/>
      <c r="I705" s="1"/>
      <c r="J705" s="2"/>
    </row>
    <row r="706" spans="1:11" x14ac:dyDescent="0.25">
      <c r="B706" s="1"/>
      <c r="C706" s="1"/>
      <c r="D706" s="1"/>
      <c r="E706" s="1"/>
      <c r="F706" s="1"/>
      <c r="G706" s="1"/>
      <c r="H706" s="1"/>
      <c r="I706" s="1"/>
      <c r="J706" s="2"/>
    </row>
    <row r="707" spans="1:11" x14ac:dyDescent="0.25">
      <c r="B707" s="1"/>
      <c r="C707" s="1"/>
      <c r="D707" s="1"/>
      <c r="E707" s="1"/>
      <c r="F707" s="1"/>
      <c r="G707" s="1"/>
      <c r="H707" s="1"/>
      <c r="I707" s="1"/>
      <c r="J707" s="2"/>
    </row>
    <row r="708" spans="1:11" x14ac:dyDescent="0.25">
      <c r="B708" s="1"/>
      <c r="C708" s="1"/>
      <c r="D708" s="1"/>
      <c r="E708" s="1"/>
      <c r="F708" s="1"/>
      <c r="G708" s="1"/>
      <c r="H708" s="1"/>
      <c r="I708" s="1"/>
      <c r="J708" s="2"/>
    </row>
    <row r="709" spans="1:11" x14ac:dyDescent="0.25">
      <c r="B709" s="1"/>
      <c r="C709" s="1"/>
      <c r="D709" s="1"/>
      <c r="E709" s="1"/>
      <c r="F709" s="1"/>
      <c r="G709" s="1"/>
      <c r="H709" s="1"/>
      <c r="I709" s="1"/>
      <c r="J709" s="2"/>
    </row>
    <row r="710" spans="1:11" ht="21" x14ac:dyDescent="0.35">
      <c r="A710" t="s">
        <v>0</v>
      </c>
      <c r="B710" s="125" t="s">
        <v>1</v>
      </c>
      <c r="C710" s="125"/>
      <c r="D710" s="125"/>
      <c r="E710" s="125"/>
      <c r="F710" s="125"/>
      <c r="G710" s="125"/>
      <c r="H710" s="125"/>
      <c r="I710" s="125"/>
      <c r="J710" s="125"/>
    </row>
    <row r="711" spans="1:11" ht="18.75" x14ac:dyDescent="0.3">
      <c r="A711" t="s">
        <v>2</v>
      </c>
      <c r="B711" s="3" t="s">
        <v>3</v>
      </c>
      <c r="C711" s="3" t="s">
        <v>4</v>
      </c>
      <c r="D711" s="3" t="s">
        <v>5</v>
      </c>
      <c r="E711" s="3" t="s">
        <v>6</v>
      </c>
      <c r="F711" s="3" t="s">
        <v>7</v>
      </c>
      <c r="G711" s="3" t="s">
        <v>8</v>
      </c>
      <c r="H711" s="3" t="s">
        <v>9</v>
      </c>
      <c r="I711" s="3" t="s">
        <v>10</v>
      </c>
      <c r="J711" s="3"/>
    </row>
    <row r="712" spans="1:11" x14ac:dyDescent="0.25">
      <c r="B712" s="8">
        <v>46174</v>
      </c>
      <c r="C712" s="9" t="s">
        <v>315</v>
      </c>
      <c r="D712" s="9">
        <v>2</v>
      </c>
      <c r="E712" s="32">
        <v>1199</v>
      </c>
      <c r="F712" s="11">
        <f>E712*D712</f>
        <v>2398</v>
      </c>
      <c r="G712" s="11">
        <v>2.5979999999999999</v>
      </c>
      <c r="H712" s="11">
        <f>E712*G712</f>
        <v>3115.002</v>
      </c>
      <c r="I712" s="11">
        <f>H712*D712</f>
        <v>6230.0039999999999</v>
      </c>
      <c r="J712" s="9">
        <f>J711+I712</f>
        <v>6230.0039999999999</v>
      </c>
      <c r="K712" s="68">
        <v>46196</v>
      </c>
    </row>
    <row r="713" spans="1:11" x14ac:dyDescent="0.25">
      <c r="B713" s="8">
        <v>46174</v>
      </c>
      <c r="C713" s="9" t="s">
        <v>315</v>
      </c>
      <c r="D713" s="9">
        <v>2</v>
      </c>
      <c r="E713" s="32">
        <v>1199</v>
      </c>
      <c r="F713" s="11">
        <f t="shared" ref="F713:F724" si="138">E713*D713</f>
        <v>2398</v>
      </c>
      <c r="G713" s="11">
        <v>2.5979999999999999</v>
      </c>
      <c r="H713" s="11">
        <f t="shared" ref="H713:H724" si="139">E713*G713</f>
        <v>3115.002</v>
      </c>
      <c r="I713" s="11">
        <f t="shared" ref="I713:I724" si="140">H713*D713</f>
        <v>6230.0039999999999</v>
      </c>
      <c r="J713" s="9">
        <f t="shared" ref="J713:J724" si="141">J712+I713</f>
        <v>12460.008</v>
      </c>
      <c r="K713" s="68">
        <v>46196</v>
      </c>
    </row>
    <row r="714" spans="1:11" x14ac:dyDescent="0.25">
      <c r="B714" s="8">
        <v>46174</v>
      </c>
      <c r="C714" s="9" t="s">
        <v>315</v>
      </c>
      <c r="D714" s="9">
        <v>2</v>
      </c>
      <c r="E714" s="32">
        <v>1199</v>
      </c>
      <c r="F714" s="11">
        <f t="shared" si="138"/>
        <v>2398</v>
      </c>
      <c r="G714" s="11">
        <v>2.5979999999999999</v>
      </c>
      <c r="H714" s="11">
        <f t="shared" si="139"/>
        <v>3115.002</v>
      </c>
      <c r="I714" s="11">
        <f t="shared" si="140"/>
        <v>6230.0039999999999</v>
      </c>
      <c r="J714" s="9">
        <f t="shared" si="141"/>
        <v>18690.011999999999</v>
      </c>
      <c r="K714" s="68">
        <v>46196</v>
      </c>
    </row>
    <row r="715" spans="1:11" x14ac:dyDescent="0.25">
      <c r="B715" s="8">
        <v>46174</v>
      </c>
      <c r="C715" s="9" t="s">
        <v>314</v>
      </c>
      <c r="D715" s="9">
        <v>2</v>
      </c>
      <c r="E715" s="32">
        <v>1199</v>
      </c>
      <c r="F715" s="11">
        <f t="shared" si="138"/>
        <v>2398</v>
      </c>
      <c r="G715" s="11">
        <v>2.5979999999999999</v>
      </c>
      <c r="H715" s="11">
        <f t="shared" si="139"/>
        <v>3115.002</v>
      </c>
      <c r="I715" s="11">
        <f t="shared" si="140"/>
        <v>6230.0039999999999</v>
      </c>
      <c r="J715" s="9">
        <f t="shared" si="141"/>
        <v>24920.016</v>
      </c>
      <c r="K715" s="68">
        <v>46196</v>
      </c>
    </row>
    <row r="716" spans="1:11" x14ac:dyDescent="0.25">
      <c r="B716" s="8">
        <v>46174</v>
      </c>
      <c r="C716" s="78" t="s">
        <v>314</v>
      </c>
      <c r="D716" s="9">
        <v>2</v>
      </c>
      <c r="E716" s="32">
        <v>1199</v>
      </c>
      <c r="F716" s="11">
        <f t="shared" si="138"/>
        <v>2398</v>
      </c>
      <c r="G716" s="11">
        <v>2.5979999999999999</v>
      </c>
      <c r="H716" s="11">
        <f t="shared" si="139"/>
        <v>3115.002</v>
      </c>
      <c r="I716" s="11">
        <f t="shared" si="140"/>
        <v>6230.0039999999999</v>
      </c>
      <c r="J716" s="9">
        <f t="shared" si="141"/>
        <v>31150.02</v>
      </c>
      <c r="K716" s="68">
        <v>46196</v>
      </c>
    </row>
    <row r="717" spans="1:11" x14ac:dyDescent="0.25">
      <c r="B717" s="8">
        <v>46174</v>
      </c>
      <c r="C717" s="9" t="s">
        <v>314</v>
      </c>
      <c r="D717" s="9">
        <v>2</v>
      </c>
      <c r="E717" s="32">
        <v>1199</v>
      </c>
      <c r="F717" s="11">
        <f t="shared" si="138"/>
        <v>2398</v>
      </c>
      <c r="G717" s="11">
        <v>2.5979999999999999</v>
      </c>
      <c r="H717" s="11">
        <f t="shared" si="139"/>
        <v>3115.002</v>
      </c>
      <c r="I717" s="11">
        <f t="shared" si="140"/>
        <v>6230.0039999999999</v>
      </c>
      <c r="J717" s="9">
        <f t="shared" si="141"/>
        <v>37380.023999999998</v>
      </c>
      <c r="K717" s="68">
        <v>46196</v>
      </c>
    </row>
    <row r="718" spans="1:11" x14ac:dyDescent="0.25">
      <c r="B718" s="8">
        <v>46174</v>
      </c>
      <c r="C718" s="9" t="s">
        <v>278</v>
      </c>
      <c r="D718" s="9">
        <v>3</v>
      </c>
      <c r="E718" s="32">
        <v>1897</v>
      </c>
      <c r="F718" s="11">
        <f t="shared" si="138"/>
        <v>5691</v>
      </c>
      <c r="G718" s="11">
        <v>2.5979999999999999</v>
      </c>
      <c r="H718" s="11">
        <f t="shared" si="139"/>
        <v>4928.4059999999999</v>
      </c>
      <c r="I718" s="11">
        <f t="shared" si="140"/>
        <v>14785.218000000001</v>
      </c>
      <c r="J718" s="9">
        <f t="shared" si="141"/>
        <v>52165.241999999998</v>
      </c>
      <c r="K718" s="68">
        <v>46196</v>
      </c>
    </row>
    <row r="719" spans="1:11" x14ac:dyDescent="0.25">
      <c r="B719" s="8">
        <v>46174</v>
      </c>
      <c r="C719" s="9" t="s">
        <v>278</v>
      </c>
      <c r="D719" s="9">
        <v>2</v>
      </c>
      <c r="E719" s="32">
        <v>1897</v>
      </c>
      <c r="F719" s="11">
        <f t="shared" si="138"/>
        <v>3794</v>
      </c>
      <c r="G719" s="11">
        <v>2.5979999999999999</v>
      </c>
      <c r="H719" s="11">
        <f t="shared" si="139"/>
        <v>4928.4059999999999</v>
      </c>
      <c r="I719" s="11">
        <f t="shared" si="140"/>
        <v>9856.8119999999999</v>
      </c>
      <c r="J719" s="9">
        <f t="shared" si="141"/>
        <v>62022.053999999996</v>
      </c>
      <c r="K719" s="68">
        <v>46196</v>
      </c>
    </row>
    <row r="720" spans="1:11" x14ac:dyDescent="0.25">
      <c r="B720" s="8">
        <v>46176</v>
      </c>
      <c r="C720" s="9" t="s">
        <v>292</v>
      </c>
      <c r="D720" s="9">
        <v>18</v>
      </c>
      <c r="E720" s="32">
        <v>1199</v>
      </c>
      <c r="F720" s="11">
        <f t="shared" si="138"/>
        <v>21582</v>
      </c>
      <c r="G720" s="11">
        <v>2.5979999999999999</v>
      </c>
      <c r="H720" s="11">
        <f t="shared" si="139"/>
        <v>3115.002</v>
      </c>
      <c r="I720" s="11">
        <f t="shared" si="140"/>
        <v>56070.036</v>
      </c>
      <c r="J720" s="9">
        <f t="shared" si="141"/>
        <v>118092.09</v>
      </c>
      <c r="K720" s="68">
        <v>46196</v>
      </c>
    </row>
    <row r="721" spans="1:11" x14ac:dyDescent="0.25">
      <c r="B721" s="8">
        <v>46176</v>
      </c>
      <c r="C721" s="9" t="s">
        <v>278</v>
      </c>
      <c r="D721" s="9">
        <v>4</v>
      </c>
      <c r="E721" s="32">
        <v>1897</v>
      </c>
      <c r="F721" s="11">
        <f t="shared" si="138"/>
        <v>7588</v>
      </c>
      <c r="G721" s="11">
        <v>2.5979999999999999</v>
      </c>
      <c r="H721" s="11">
        <f t="shared" si="139"/>
        <v>4928.4059999999999</v>
      </c>
      <c r="I721" s="11">
        <f t="shared" si="140"/>
        <v>19713.624</v>
      </c>
      <c r="J721" s="9">
        <f t="shared" si="141"/>
        <v>137805.71400000001</v>
      </c>
      <c r="K721" s="68">
        <v>46196</v>
      </c>
    </row>
    <row r="722" spans="1:11" x14ac:dyDescent="0.25">
      <c r="B722" s="8">
        <v>46176</v>
      </c>
      <c r="C722" s="9" t="s">
        <v>278</v>
      </c>
      <c r="D722" s="9">
        <v>4</v>
      </c>
      <c r="E722" s="32">
        <v>1897</v>
      </c>
      <c r="F722" s="11">
        <f t="shared" si="138"/>
        <v>7588</v>
      </c>
      <c r="G722" s="11">
        <v>2.5979999999999999</v>
      </c>
      <c r="H722" s="11">
        <f t="shared" si="139"/>
        <v>4928.4059999999999</v>
      </c>
      <c r="I722" s="11">
        <f t="shared" si="140"/>
        <v>19713.624</v>
      </c>
      <c r="J722" s="9">
        <f t="shared" si="141"/>
        <v>157519.33800000002</v>
      </c>
      <c r="K722" s="68">
        <v>46196</v>
      </c>
    </row>
    <row r="723" spans="1:11" x14ac:dyDescent="0.25">
      <c r="B723" s="8">
        <v>46176</v>
      </c>
      <c r="C723" s="9" t="s">
        <v>278</v>
      </c>
      <c r="D723" s="9">
        <v>2</v>
      </c>
      <c r="E723" s="32">
        <v>1897</v>
      </c>
      <c r="F723" s="11">
        <f t="shared" si="138"/>
        <v>3794</v>
      </c>
      <c r="G723" s="11">
        <v>2.5979999999999999</v>
      </c>
      <c r="H723" s="11">
        <f t="shared" si="139"/>
        <v>4928.4059999999999</v>
      </c>
      <c r="I723" s="11">
        <f t="shared" si="140"/>
        <v>9856.8119999999999</v>
      </c>
      <c r="J723" s="9">
        <f t="shared" si="141"/>
        <v>167376.15000000002</v>
      </c>
      <c r="K723" s="68">
        <v>46196</v>
      </c>
    </row>
    <row r="724" spans="1:11" x14ac:dyDescent="0.25">
      <c r="B724" s="8">
        <v>46176</v>
      </c>
      <c r="C724" s="9" t="s">
        <v>278</v>
      </c>
      <c r="D724" s="9">
        <v>1</v>
      </c>
      <c r="E724" s="32">
        <v>1987</v>
      </c>
      <c r="F724" s="11">
        <f t="shared" si="138"/>
        <v>1987</v>
      </c>
      <c r="G724" s="11">
        <v>2.5979999999999999</v>
      </c>
      <c r="H724" s="11">
        <f t="shared" si="139"/>
        <v>5162.2259999999997</v>
      </c>
      <c r="I724" s="11">
        <f t="shared" si="140"/>
        <v>5162.2259999999997</v>
      </c>
      <c r="J724" s="9">
        <f t="shared" si="141"/>
        <v>172538.37600000002</v>
      </c>
      <c r="K724" s="68">
        <v>46196</v>
      </c>
    </row>
    <row r="725" spans="1:11" x14ac:dyDescent="0.25">
      <c r="B725" s="1"/>
      <c r="C725" s="1"/>
      <c r="D725" s="1"/>
      <c r="E725" s="1"/>
      <c r="F725" s="1"/>
      <c r="G725" s="1"/>
      <c r="H725" s="1"/>
      <c r="I725" s="1"/>
      <c r="J725" s="2"/>
    </row>
    <row r="726" spans="1:11" x14ac:dyDescent="0.25">
      <c r="B726" s="1"/>
      <c r="C726" s="1"/>
      <c r="D726" s="1"/>
      <c r="E726" s="1"/>
      <c r="F726" s="1"/>
      <c r="G726" s="1"/>
      <c r="H726" s="1"/>
      <c r="I726" s="1"/>
      <c r="J726" s="2"/>
    </row>
    <row r="727" spans="1:11" x14ac:dyDescent="0.25">
      <c r="B727" s="1"/>
      <c r="C727" s="1"/>
      <c r="D727" s="1"/>
      <c r="E727" s="1"/>
      <c r="F727" s="1"/>
      <c r="G727" s="1"/>
      <c r="H727" s="1"/>
      <c r="I727" s="1"/>
      <c r="J727" s="2"/>
    </row>
    <row r="728" spans="1:11" x14ac:dyDescent="0.25">
      <c r="B728" s="1"/>
      <c r="C728" s="1"/>
      <c r="D728" s="1"/>
      <c r="E728" s="1"/>
      <c r="F728" s="1"/>
      <c r="G728" s="1"/>
      <c r="H728" s="1"/>
      <c r="I728" s="1"/>
      <c r="J728" s="2"/>
    </row>
    <row r="729" spans="1:11" x14ac:dyDescent="0.25">
      <c r="B729" s="1"/>
      <c r="C729" s="1"/>
      <c r="D729" s="1"/>
      <c r="E729" s="1"/>
      <c r="F729" s="1"/>
      <c r="G729" s="1"/>
      <c r="H729" s="1"/>
      <c r="I729" s="1"/>
      <c r="J729" s="2"/>
    </row>
    <row r="730" spans="1:11" x14ac:dyDescent="0.25">
      <c r="B730" s="1"/>
      <c r="C730" s="1"/>
      <c r="D730" s="1"/>
      <c r="E730" s="1"/>
      <c r="F730" s="1"/>
      <c r="G730" s="1"/>
      <c r="H730" s="1"/>
      <c r="I730" s="1"/>
      <c r="J730" s="2"/>
    </row>
    <row r="731" spans="1:11" ht="21" x14ac:dyDescent="0.35">
      <c r="A731" t="s">
        <v>0</v>
      </c>
      <c r="B731" s="125" t="s">
        <v>34</v>
      </c>
      <c r="C731" s="125"/>
      <c r="D731" s="125"/>
      <c r="E731" s="125"/>
      <c r="F731" s="125"/>
      <c r="G731" s="125"/>
      <c r="H731" s="125"/>
      <c r="I731" s="125"/>
      <c r="J731" s="125"/>
    </row>
    <row r="732" spans="1:11" ht="18.75" x14ac:dyDescent="0.3">
      <c r="A732" t="s">
        <v>2</v>
      </c>
      <c r="B732" s="3" t="s">
        <v>3</v>
      </c>
      <c r="C732" s="3" t="s">
        <v>4</v>
      </c>
      <c r="D732" s="3" t="s">
        <v>5</v>
      </c>
      <c r="E732" s="3" t="s">
        <v>6</v>
      </c>
      <c r="F732" s="3" t="s">
        <v>7</v>
      </c>
      <c r="G732" s="3" t="s">
        <v>8</v>
      </c>
      <c r="H732" s="3" t="s">
        <v>9</v>
      </c>
      <c r="I732" s="3" t="s">
        <v>10</v>
      </c>
      <c r="J732" s="3"/>
    </row>
    <row r="733" spans="1:11" x14ac:dyDescent="0.25">
      <c r="B733" s="8">
        <v>46181</v>
      </c>
      <c r="C733" s="9" t="s">
        <v>282</v>
      </c>
      <c r="D733" s="9">
        <v>2</v>
      </c>
      <c r="E733" s="32">
        <v>3299</v>
      </c>
      <c r="F733" s="11">
        <f>E733*D733</f>
        <v>6598</v>
      </c>
      <c r="G733" s="11">
        <v>2.14</v>
      </c>
      <c r="H733" s="11">
        <f>E733*G733</f>
        <v>7059.8600000000006</v>
      </c>
      <c r="I733" s="11">
        <f>H733*D733</f>
        <v>14119.720000000001</v>
      </c>
      <c r="J733" s="9">
        <f>J732+I733</f>
        <v>14119.720000000001</v>
      </c>
      <c r="K733" s="68">
        <v>46192</v>
      </c>
    </row>
    <row r="734" spans="1:11" x14ac:dyDescent="0.25">
      <c r="B734" s="7"/>
      <c r="C734" s="7"/>
      <c r="D734" s="7"/>
      <c r="E734" s="7"/>
      <c r="F734" s="7">
        <f t="shared" ref="F734" si="142">E734*D734</f>
        <v>0</v>
      </c>
      <c r="G734" s="7"/>
      <c r="H734" s="7">
        <f t="shared" ref="H734" si="143">E734*G734</f>
        <v>0</v>
      </c>
      <c r="I734" s="7">
        <f t="shared" ref="I734" si="144">H734*D734</f>
        <v>0</v>
      </c>
      <c r="J734" s="5">
        <f t="shared" ref="J734" si="145">J733+I734</f>
        <v>14119.720000000001</v>
      </c>
    </row>
    <row r="735" spans="1:11" x14ac:dyDescent="0.25">
      <c r="B735" s="1"/>
      <c r="C735" s="1"/>
      <c r="D735" s="1"/>
      <c r="E735" s="1"/>
      <c r="F735" s="1"/>
      <c r="G735" s="1"/>
      <c r="H735" s="1"/>
      <c r="I735" s="1"/>
      <c r="J735" s="2"/>
    </row>
    <row r="736" spans="1:11" x14ac:dyDescent="0.25">
      <c r="B736" s="1"/>
      <c r="C736" s="1"/>
      <c r="D736" s="1"/>
      <c r="E736" s="1"/>
      <c r="F736" s="1"/>
      <c r="G736" s="1"/>
      <c r="H736" s="1"/>
      <c r="I736" s="1"/>
      <c r="J736" s="2"/>
    </row>
    <row r="737" spans="1:11" x14ac:dyDescent="0.25">
      <c r="B737" s="1"/>
      <c r="C737" s="1"/>
      <c r="D737" s="1"/>
      <c r="E737" s="1"/>
      <c r="F737" s="1"/>
      <c r="G737" s="1"/>
      <c r="H737" s="1"/>
      <c r="I737" s="1"/>
      <c r="J737" s="2"/>
    </row>
    <row r="738" spans="1:11" x14ac:dyDescent="0.25">
      <c r="B738" s="1"/>
      <c r="C738" s="1"/>
      <c r="D738" s="1"/>
      <c r="E738" s="1"/>
      <c r="F738" s="1"/>
      <c r="G738" s="1"/>
      <c r="H738" s="1"/>
      <c r="I738" s="1"/>
      <c r="J738" s="2"/>
    </row>
    <row r="739" spans="1:11" x14ac:dyDescent="0.25">
      <c r="B739" s="1"/>
      <c r="C739" s="1"/>
      <c r="D739" s="1"/>
      <c r="E739" s="1"/>
      <c r="F739" s="1"/>
      <c r="G739" s="1"/>
      <c r="H739" s="1"/>
      <c r="I739" s="1"/>
      <c r="J739" s="2"/>
    </row>
    <row r="740" spans="1:11" x14ac:dyDescent="0.25">
      <c r="B740" s="1"/>
      <c r="C740" s="1"/>
      <c r="D740" s="1"/>
      <c r="E740" s="1"/>
      <c r="F740" s="1"/>
      <c r="G740" s="1"/>
      <c r="H740" s="1"/>
      <c r="I740" s="1"/>
      <c r="J740" s="2"/>
    </row>
    <row r="741" spans="1:11" ht="21" x14ac:dyDescent="0.35">
      <c r="A741" t="s">
        <v>0</v>
      </c>
      <c r="B741" s="125" t="s">
        <v>323</v>
      </c>
      <c r="C741" s="125"/>
      <c r="D741" s="125"/>
      <c r="E741" s="125"/>
      <c r="F741" s="125"/>
      <c r="G741" s="125"/>
      <c r="H741" s="125"/>
      <c r="I741" s="125"/>
      <c r="J741" s="125"/>
    </row>
    <row r="742" spans="1:11" ht="18.75" x14ac:dyDescent="0.3">
      <c r="A742" t="s">
        <v>2</v>
      </c>
      <c r="B742" s="3" t="s">
        <v>3</v>
      </c>
      <c r="C742" s="3" t="s">
        <v>4</v>
      </c>
      <c r="D742" s="3" t="s">
        <v>5</v>
      </c>
      <c r="E742" s="3" t="s">
        <v>6</v>
      </c>
      <c r="F742" s="3" t="s">
        <v>7</v>
      </c>
      <c r="G742" s="3" t="s">
        <v>8</v>
      </c>
      <c r="H742" s="3" t="s">
        <v>9</v>
      </c>
      <c r="I742" s="3" t="s">
        <v>10</v>
      </c>
      <c r="J742" s="3"/>
    </row>
    <row r="743" spans="1:11" x14ac:dyDescent="0.25">
      <c r="B743" s="8">
        <v>46178</v>
      </c>
      <c r="C743" s="9" t="s">
        <v>361</v>
      </c>
      <c r="D743" s="9">
        <v>20</v>
      </c>
      <c r="E743" s="32">
        <v>398</v>
      </c>
      <c r="F743" s="11">
        <f>E743*D743</f>
        <v>7960</v>
      </c>
      <c r="G743" s="11">
        <v>2.5979999999999999</v>
      </c>
      <c r="H743" s="11">
        <f>E743*G743</f>
        <v>1034.0039999999999</v>
      </c>
      <c r="I743" s="11">
        <f>H743*D743</f>
        <v>20680.079999999998</v>
      </c>
      <c r="J743" s="9">
        <f>J742+I743</f>
        <v>20680.079999999998</v>
      </c>
      <c r="K743" s="68">
        <v>46192</v>
      </c>
    </row>
    <row r="744" spans="1:11" x14ac:dyDescent="0.25">
      <c r="B744" s="8">
        <v>46178</v>
      </c>
      <c r="C744" s="9" t="s">
        <v>362</v>
      </c>
      <c r="D744" s="9">
        <v>6</v>
      </c>
      <c r="E744" s="32">
        <v>1199</v>
      </c>
      <c r="F744" s="11">
        <f t="shared" ref="F744:F745" si="146">E744*D744</f>
        <v>7194</v>
      </c>
      <c r="G744" s="11">
        <v>2.5979999999999999</v>
      </c>
      <c r="H744" s="11">
        <f t="shared" ref="H744:H745" si="147">E744*G744</f>
        <v>3115.002</v>
      </c>
      <c r="I744" s="11">
        <f t="shared" ref="I744:I745" si="148">H744*D744</f>
        <v>18690.011999999999</v>
      </c>
      <c r="J744" s="9">
        <f t="shared" ref="J744:J745" si="149">J743+I744</f>
        <v>39370.091999999997</v>
      </c>
      <c r="K744" s="68">
        <v>46192</v>
      </c>
    </row>
    <row r="745" spans="1:11" x14ac:dyDescent="0.25">
      <c r="B745" s="7"/>
      <c r="C745" s="7"/>
      <c r="D745" s="7"/>
      <c r="E745" s="7"/>
      <c r="F745" s="7">
        <f t="shared" si="146"/>
        <v>0</v>
      </c>
      <c r="G745" s="7"/>
      <c r="H745" s="7">
        <f t="shared" si="147"/>
        <v>0</v>
      </c>
      <c r="I745" s="7">
        <f t="shared" si="148"/>
        <v>0</v>
      </c>
      <c r="J745" s="5">
        <f t="shared" si="149"/>
        <v>39370.091999999997</v>
      </c>
    </row>
    <row r="746" spans="1:11" x14ac:dyDescent="0.25">
      <c r="B746" s="1"/>
      <c r="C746" s="1"/>
      <c r="D746" s="1"/>
      <c r="E746" s="1"/>
      <c r="F746" s="1"/>
      <c r="G746" s="1"/>
      <c r="H746" s="1"/>
      <c r="I746" s="1"/>
      <c r="J746" s="2"/>
    </row>
    <row r="747" spans="1:11" x14ac:dyDescent="0.25">
      <c r="B747" s="1"/>
      <c r="C747" s="1"/>
      <c r="D747" s="1"/>
      <c r="E747" s="1"/>
      <c r="F747" s="1"/>
      <c r="G747" s="1"/>
      <c r="H747" s="1"/>
      <c r="I747" s="1"/>
      <c r="J747" s="2"/>
    </row>
    <row r="748" spans="1:11" x14ac:dyDescent="0.25">
      <c r="B748" s="1"/>
      <c r="C748" s="1"/>
      <c r="D748" s="1"/>
      <c r="E748" s="1"/>
      <c r="F748" s="1"/>
      <c r="G748" s="1"/>
      <c r="H748" s="1"/>
      <c r="I748" s="1"/>
      <c r="J748" s="2"/>
    </row>
    <row r="749" spans="1:11" x14ac:dyDescent="0.25">
      <c r="B749" s="1"/>
      <c r="C749" s="1"/>
      <c r="D749" s="1"/>
      <c r="E749" s="1"/>
      <c r="F749" s="1"/>
      <c r="G749" s="1"/>
      <c r="H749" s="1"/>
      <c r="I749" s="1"/>
      <c r="J749" s="2"/>
    </row>
    <row r="750" spans="1:11" x14ac:dyDescent="0.25">
      <c r="B750" s="1"/>
      <c r="C750" s="1"/>
      <c r="D750" s="1"/>
      <c r="E750" s="1"/>
      <c r="F750" s="1"/>
      <c r="G750" s="1"/>
      <c r="H750" s="1"/>
      <c r="I750" s="1"/>
      <c r="J750" s="2"/>
    </row>
    <row r="751" spans="1:11" x14ac:dyDescent="0.25">
      <c r="B751" s="1"/>
      <c r="C751" s="1"/>
      <c r="D751" s="1"/>
      <c r="E751" s="1"/>
      <c r="F751" s="1"/>
      <c r="G751" s="1"/>
      <c r="H751" s="1"/>
      <c r="I751" s="1"/>
      <c r="J751" s="2"/>
    </row>
    <row r="752" spans="1:11" ht="21" x14ac:dyDescent="0.35">
      <c r="A752" t="s">
        <v>0</v>
      </c>
      <c r="B752" s="125" t="s">
        <v>323</v>
      </c>
      <c r="C752" s="125"/>
      <c r="D752" s="125"/>
      <c r="E752" s="125"/>
      <c r="F752" s="125"/>
      <c r="G752" s="125"/>
      <c r="H752" s="125"/>
      <c r="I752" s="125"/>
      <c r="J752" s="125"/>
    </row>
    <row r="753" spans="1:11" ht="18.75" x14ac:dyDescent="0.3">
      <c r="A753" t="s">
        <v>2</v>
      </c>
      <c r="B753" s="3" t="s">
        <v>3</v>
      </c>
      <c r="C753" s="3" t="s">
        <v>4</v>
      </c>
      <c r="D753" s="3" t="s">
        <v>5</v>
      </c>
      <c r="E753" s="3" t="s">
        <v>6</v>
      </c>
      <c r="F753" s="3" t="s">
        <v>7</v>
      </c>
      <c r="G753" s="3" t="s">
        <v>8</v>
      </c>
      <c r="H753" s="3" t="s">
        <v>9</v>
      </c>
      <c r="I753" s="3" t="s">
        <v>10</v>
      </c>
      <c r="J753" s="3"/>
    </row>
    <row r="754" spans="1:11" x14ac:dyDescent="0.25">
      <c r="B754" s="86">
        <v>46182</v>
      </c>
      <c r="C754" s="87" t="s">
        <v>363</v>
      </c>
      <c r="D754" s="108">
        <v>2</v>
      </c>
      <c r="E754" s="108">
        <v>1199</v>
      </c>
      <c r="F754" s="85">
        <f>E754*D754</f>
        <v>2398</v>
      </c>
      <c r="G754" s="11">
        <v>2.56</v>
      </c>
      <c r="H754" s="11">
        <f>E754*G754</f>
        <v>3069.44</v>
      </c>
      <c r="I754" s="11">
        <f>H754*D754</f>
        <v>6138.88</v>
      </c>
      <c r="J754" s="9">
        <f>J753+I754</f>
        <v>6138.88</v>
      </c>
      <c r="K754" s="68">
        <v>46192</v>
      </c>
    </row>
    <row r="755" spans="1:11" x14ac:dyDescent="0.25">
      <c r="B755" s="86">
        <v>46182</v>
      </c>
      <c r="C755" s="87" t="s">
        <v>364</v>
      </c>
      <c r="D755" s="108">
        <v>5</v>
      </c>
      <c r="E755" s="108">
        <v>1199</v>
      </c>
      <c r="F755" s="85">
        <f t="shared" ref="F755:F762" si="150">E755*D755</f>
        <v>5995</v>
      </c>
      <c r="G755" s="11">
        <v>2.56</v>
      </c>
      <c r="H755" s="11">
        <f t="shared" ref="H755:H762" si="151">E755*G755</f>
        <v>3069.44</v>
      </c>
      <c r="I755" s="11">
        <f t="shared" ref="I755:I762" si="152">H755*D755</f>
        <v>15347.2</v>
      </c>
      <c r="J755" s="9">
        <f t="shared" ref="J755:J762" si="153">J754+I755</f>
        <v>21486.080000000002</v>
      </c>
      <c r="K755" s="68">
        <v>46192</v>
      </c>
    </row>
    <row r="756" spans="1:11" x14ac:dyDescent="0.25">
      <c r="B756" s="86">
        <v>46182</v>
      </c>
      <c r="C756" s="87" t="s">
        <v>365</v>
      </c>
      <c r="D756" s="108">
        <v>2</v>
      </c>
      <c r="E756" s="108">
        <v>1897</v>
      </c>
      <c r="F756" s="85">
        <f t="shared" si="150"/>
        <v>3794</v>
      </c>
      <c r="G756" s="11">
        <v>2.56</v>
      </c>
      <c r="H756" s="11">
        <f t="shared" si="151"/>
        <v>4856.32</v>
      </c>
      <c r="I756" s="11">
        <f t="shared" si="152"/>
        <v>9712.64</v>
      </c>
      <c r="J756" s="9">
        <f t="shared" si="153"/>
        <v>31198.720000000001</v>
      </c>
      <c r="K756" s="68">
        <v>46192</v>
      </c>
    </row>
    <row r="757" spans="1:11" x14ac:dyDescent="0.25">
      <c r="B757" s="86">
        <v>46182</v>
      </c>
      <c r="C757" s="87" t="s">
        <v>366</v>
      </c>
      <c r="D757" s="108">
        <v>8</v>
      </c>
      <c r="E757" s="108">
        <v>119</v>
      </c>
      <c r="F757" s="85">
        <f t="shared" si="150"/>
        <v>952</v>
      </c>
      <c r="G757" s="11">
        <v>2.56</v>
      </c>
      <c r="H757" s="11">
        <f t="shared" si="151"/>
        <v>304.64</v>
      </c>
      <c r="I757" s="11">
        <f t="shared" si="152"/>
        <v>2437.12</v>
      </c>
      <c r="J757" s="9">
        <f t="shared" si="153"/>
        <v>33635.840000000004</v>
      </c>
      <c r="K757" s="68">
        <v>46192</v>
      </c>
    </row>
    <row r="758" spans="1:11" x14ac:dyDescent="0.25">
      <c r="B758" s="86">
        <v>46182</v>
      </c>
      <c r="C758" s="87" t="s">
        <v>367</v>
      </c>
      <c r="D758" s="108">
        <v>19</v>
      </c>
      <c r="E758" s="108">
        <v>119</v>
      </c>
      <c r="F758" s="85">
        <f t="shared" si="150"/>
        <v>2261</v>
      </c>
      <c r="G758" s="11">
        <v>2.56</v>
      </c>
      <c r="H758" s="11">
        <f t="shared" si="151"/>
        <v>304.64</v>
      </c>
      <c r="I758" s="11">
        <f t="shared" si="152"/>
        <v>5788.16</v>
      </c>
      <c r="J758" s="9">
        <f t="shared" si="153"/>
        <v>39424</v>
      </c>
      <c r="K758" s="68">
        <v>46192</v>
      </c>
    </row>
    <row r="759" spans="1:11" x14ac:dyDescent="0.25">
      <c r="B759" s="86">
        <v>46182</v>
      </c>
      <c r="C759" s="87" t="s">
        <v>368</v>
      </c>
      <c r="D759" s="108">
        <v>3</v>
      </c>
      <c r="E759" s="108">
        <v>112</v>
      </c>
      <c r="F759" s="85">
        <f t="shared" si="150"/>
        <v>336</v>
      </c>
      <c r="G759" s="11">
        <v>2.56</v>
      </c>
      <c r="H759" s="11">
        <f t="shared" si="151"/>
        <v>286.72000000000003</v>
      </c>
      <c r="I759" s="11">
        <f t="shared" si="152"/>
        <v>860.16000000000008</v>
      </c>
      <c r="J759" s="9">
        <f t="shared" si="153"/>
        <v>40284.160000000003</v>
      </c>
      <c r="K759" s="68">
        <v>46192</v>
      </c>
    </row>
    <row r="760" spans="1:11" x14ac:dyDescent="0.25">
      <c r="B760" s="86">
        <v>46182</v>
      </c>
      <c r="C760" s="87" t="s">
        <v>368</v>
      </c>
      <c r="D760" s="108">
        <v>6</v>
      </c>
      <c r="E760" s="108">
        <v>119</v>
      </c>
      <c r="F760" s="85">
        <f t="shared" si="150"/>
        <v>714</v>
      </c>
      <c r="G760" s="11">
        <v>2.56</v>
      </c>
      <c r="H760" s="11">
        <f t="shared" si="151"/>
        <v>304.64</v>
      </c>
      <c r="I760" s="11">
        <f t="shared" si="152"/>
        <v>1827.84</v>
      </c>
      <c r="J760" s="9">
        <f t="shared" si="153"/>
        <v>42112</v>
      </c>
      <c r="K760" s="68">
        <v>46192</v>
      </c>
    </row>
    <row r="761" spans="1:11" x14ac:dyDescent="0.25">
      <c r="B761" s="97">
        <v>46183</v>
      </c>
      <c r="C761" s="98" t="s">
        <v>369</v>
      </c>
      <c r="D761" s="99">
        <v>1</v>
      </c>
      <c r="E761" s="100">
        <v>64.569999999999993</v>
      </c>
      <c r="F761" s="20">
        <f t="shared" si="150"/>
        <v>64.569999999999993</v>
      </c>
      <c r="G761" s="20">
        <v>2.56</v>
      </c>
      <c r="H761" s="20">
        <f t="shared" si="151"/>
        <v>165.29919999999998</v>
      </c>
      <c r="I761" s="20">
        <f t="shared" si="152"/>
        <v>165.29919999999998</v>
      </c>
      <c r="J761" s="18">
        <f t="shared" si="153"/>
        <v>42277.299200000001</v>
      </c>
    </row>
    <row r="762" spans="1:11" x14ac:dyDescent="0.25">
      <c r="B762" s="20"/>
      <c r="C762" s="20"/>
      <c r="D762" s="20"/>
      <c r="E762" s="20"/>
      <c r="F762" s="20">
        <f t="shared" si="150"/>
        <v>0</v>
      </c>
      <c r="G762" s="20"/>
      <c r="H762" s="20">
        <f t="shared" si="151"/>
        <v>0</v>
      </c>
      <c r="I762" s="20">
        <f t="shared" si="152"/>
        <v>0</v>
      </c>
      <c r="J762" s="18">
        <f t="shared" si="153"/>
        <v>42277.299200000001</v>
      </c>
    </row>
    <row r="763" spans="1:11" x14ac:dyDescent="0.25">
      <c r="B763" s="1"/>
      <c r="C763" s="1"/>
      <c r="D763" s="1"/>
      <c r="E763" s="1"/>
      <c r="F763" s="1"/>
      <c r="G763" s="1"/>
      <c r="H763" s="1"/>
      <c r="I763" s="1"/>
      <c r="J763" s="2"/>
    </row>
    <row r="764" spans="1:11" x14ac:dyDescent="0.25">
      <c r="B764" s="1"/>
      <c r="C764" s="1"/>
      <c r="D764" s="1"/>
      <c r="E764" s="1"/>
      <c r="F764" s="1"/>
      <c r="G764" s="1"/>
      <c r="H764" s="1"/>
      <c r="I764" s="1"/>
      <c r="J764" s="2"/>
    </row>
    <row r="765" spans="1:11" x14ac:dyDescent="0.25">
      <c r="B765" s="1"/>
      <c r="C765" s="1"/>
      <c r="D765" s="1"/>
      <c r="E765" s="1"/>
      <c r="F765" s="1"/>
      <c r="G765" s="1"/>
      <c r="H765" s="1"/>
      <c r="I765" s="1"/>
      <c r="J765" s="2"/>
    </row>
    <row r="766" spans="1:11" x14ac:dyDescent="0.25">
      <c r="B766" s="1"/>
      <c r="C766" s="1"/>
      <c r="D766" s="1"/>
      <c r="E766" s="1"/>
      <c r="F766" s="1"/>
      <c r="G766" s="1"/>
      <c r="H766" s="1"/>
      <c r="I766" s="1"/>
      <c r="J766" s="2"/>
    </row>
    <row r="767" spans="1:11" x14ac:dyDescent="0.25">
      <c r="B767" s="1"/>
      <c r="C767" s="1"/>
      <c r="D767" s="1"/>
      <c r="E767" s="1"/>
      <c r="F767" s="1"/>
      <c r="G767" s="1"/>
      <c r="H767" s="1"/>
      <c r="I767" s="1"/>
      <c r="J767" s="2"/>
    </row>
    <row r="768" spans="1:11" x14ac:dyDescent="0.25">
      <c r="B768" s="1"/>
      <c r="C768" s="1"/>
      <c r="D768" s="1"/>
      <c r="E768" s="1"/>
      <c r="F768" s="1"/>
      <c r="G768" s="1"/>
      <c r="H768" s="1"/>
      <c r="I768" s="1"/>
      <c r="J768" s="2"/>
    </row>
    <row r="769" spans="1:11" x14ac:dyDescent="0.25">
      <c r="B769" s="1"/>
      <c r="C769" s="1"/>
      <c r="D769" s="1"/>
      <c r="E769" s="1"/>
      <c r="F769" s="1"/>
      <c r="G769" s="1"/>
      <c r="H769" s="1"/>
      <c r="I769" s="1"/>
      <c r="J769" s="2"/>
    </row>
    <row r="770" spans="1:11" ht="21" x14ac:dyDescent="0.35">
      <c r="A770" t="s">
        <v>0</v>
      </c>
      <c r="B770" s="125" t="s">
        <v>323</v>
      </c>
      <c r="C770" s="125"/>
      <c r="D770" s="125"/>
      <c r="E770" s="125"/>
      <c r="F770" s="125"/>
      <c r="G770" s="125"/>
      <c r="H770" s="125"/>
      <c r="I770" s="125"/>
      <c r="J770" s="125"/>
    </row>
    <row r="771" spans="1:11" ht="18.75" x14ac:dyDescent="0.3">
      <c r="A771" t="s">
        <v>2</v>
      </c>
      <c r="B771" s="3" t="s">
        <v>3</v>
      </c>
      <c r="C771" s="3" t="s">
        <v>4</v>
      </c>
      <c r="D771" s="3" t="s">
        <v>5</v>
      </c>
      <c r="E771" s="3" t="s">
        <v>6</v>
      </c>
      <c r="F771" s="3" t="s">
        <v>7</v>
      </c>
      <c r="G771" s="3" t="s">
        <v>8</v>
      </c>
      <c r="H771" s="3" t="s">
        <v>9</v>
      </c>
      <c r="I771" s="3" t="s">
        <v>10</v>
      </c>
      <c r="J771" s="3"/>
    </row>
    <row r="772" spans="1:11" x14ac:dyDescent="0.25">
      <c r="B772" s="86">
        <v>46183</v>
      </c>
      <c r="C772" s="87" t="s">
        <v>370</v>
      </c>
      <c r="D772" s="108">
        <v>5</v>
      </c>
      <c r="E772" s="108">
        <v>113.05</v>
      </c>
      <c r="F772" s="85">
        <f>E772*D772</f>
        <v>565.25</v>
      </c>
      <c r="G772" s="11">
        <v>2.56</v>
      </c>
      <c r="H772" s="11">
        <f>E772*G772</f>
        <v>289.40800000000002</v>
      </c>
      <c r="I772" s="11">
        <f>H772*D772</f>
        <v>1447.04</v>
      </c>
      <c r="J772" s="9">
        <f>J771+I772</f>
        <v>1447.04</v>
      </c>
      <c r="K772" s="68">
        <v>46192</v>
      </c>
    </row>
    <row r="773" spans="1:11" x14ac:dyDescent="0.25">
      <c r="B773" s="86">
        <v>46183</v>
      </c>
      <c r="C773" s="87" t="s">
        <v>370</v>
      </c>
      <c r="D773" s="108">
        <v>1</v>
      </c>
      <c r="E773" s="108">
        <v>115.05</v>
      </c>
      <c r="F773" s="85">
        <f t="shared" ref="F773:F791" si="154">E773*D773</f>
        <v>115.05</v>
      </c>
      <c r="G773" s="11">
        <v>2.56</v>
      </c>
      <c r="H773" s="11">
        <f t="shared" ref="H773:H791" si="155">E773*G773</f>
        <v>294.52800000000002</v>
      </c>
      <c r="I773" s="11">
        <f t="shared" ref="I773:I791" si="156">H773*D773</f>
        <v>294.52800000000002</v>
      </c>
      <c r="J773" s="9">
        <f t="shared" ref="J773:J791" si="157">J772+I773</f>
        <v>1741.568</v>
      </c>
      <c r="K773" s="68">
        <v>46192</v>
      </c>
    </row>
    <row r="774" spans="1:11" x14ac:dyDescent="0.25">
      <c r="B774" s="86">
        <v>46183</v>
      </c>
      <c r="C774" s="87" t="s">
        <v>371</v>
      </c>
      <c r="D774" s="108">
        <v>8</v>
      </c>
      <c r="E774" s="108">
        <v>119</v>
      </c>
      <c r="F774" s="85">
        <f t="shared" si="154"/>
        <v>952</v>
      </c>
      <c r="G774" s="11">
        <v>2.56</v>
      </c>
      <c r="H774" s="11">
        <f t="shared" si="155"/>
        <v>304.64</v>
      </c>
      <c r="I774" s="11">
        <f t="shared" si="156"/>
        <v>2437.12</v>
      </c>
      <c r="J774" s="9">
        <f t="shared" si="157"/>
        <v>4178.6880000000001</v>
      </c>
      <c r="K774" s="68">
        <v>46192</v>
      </c>
    </row>
    <row r="775" spans="1:11" x14ac:dyDescent="0.25">
      <c r="B775" s="86">
        <v>46183</v>
      </c>
      <c r="C775" s="87" t="s">
        <v>372</v>
      </c>
      <c r="D775" s="108">
        <v>4</v>
      </c>
      <c r="E775" s="108">
        <v>119</v>
      </c>
      <c r="F775" s="85">
        <f t="shared" si="154"/>
        <v>476</v>
      </c>
      <c r="G775" s="11">
        <v>2.56</v>
      </c>
      <c r="H775" s="11">
        <f t="shared" si="155"/>
        <v>304.64</v>
      </c>
      <c r="I775" s="11">
        <f t="shared" si="156"/>
        <v>1218.56</v>
      </c>
      <c r="J775" s="9">
        <f t="shared" si="157"/>
        <v>5397.2479999999996</v>
      </c>
      <c r="K775" s="68">
        <v>46192</v>
      </c>
    </row>
    <row r="776" spans="1:11" x14ac:dyDescent="0.25">
      <c r="B776" s="86">
        <v>46183</v>
      </c>
      <c r="C776" s="87" t="s">
        <v>373</v>
      </c>
      <c r="D776" s="108">
        <v>4</v>
      </c>
      <c r="E776" s="108">
        <v>119</v>
      </c>
      <c r="F776" s="85">
        <f t="shared" si="154"/>
        <v>476</v>
      </c>
      <c r="G776" s="11">
        <v>2.56</v>
      </c>
      <c r="H776" s="11">
        <f t="shared" si="155"/>
        <v>304.64</v>
      </c>
      <c r="I776" s="11">
        <f t="shared" si="156"/>
        <v>1218.56</v>
      </c>
      <c r="J776" s="9">
        <f t="shared" si="157"/>
        <v>6615.8079999999991</v>
      </c>
      <c r="K776" s="68">
        <v>46192</v>
      </c>
    </row>
    <row r="777" spans="1:11" x14ac:dyDescent="0.25">
      <c r="B777" s="86">
        <v>46183</v>
      </c>
      <c r="C777" s="87" t="s">
        <v>374</v>
      </c>
      <c r="D777" s="108">
        <v>2</v>
      </c>
      <c r="E777" s="108">
        <v>1199</v>
      </c>
      <c r="F777" s="85">
        <f t="shared" si="154"/>
        <v>2398</v>
      </c>
      <c r="G777" s="11">
        <v>2.56</v>
      </c>
      <c r="H777" s="11">
        <f t="shared" si="155"/>
        <v>3069.44</v>
      </c>
      <c r="I777" s="11">
        <f t="shared" si="156"/>
        <v>6138.88</v>
      </c>
      <c r="J777" s="9">
        <f t="shared" si="157"/>
        <v>12754.687999999998</v>
      </c>
      <c r="K777" s="68">
        <v>46192</v>
      </c>
    </row>
    <row r="778" spans="1:11" x14ac:dyDescent="0.25">
      <c r="B778" s="86">
        <v>46183</v>
      </c>
      <c r="C778" s="87" t="s">
        <v>375</v>
      </c>
      <c r="D778" s="108">
        <v>4</v>
      </c>
      <c r="E778" s="108">
        <v>119</v>
      </c>
      <c r="F778" s="85">
        <f t="shared" si="154"/>
        <v>476</v>
      </c>
      <c r="G778" s="11">
        <v>2.56</v>
      </c>
      <c r="H778" s="11">
        <f t="shared" si="155"/>
        <v>304.64</v>
      </c>
      <c r="I778" s="11">
        <f t="shared" si="156"/>
        <v>1218.56</v>
      </c>
      <c r="J778" s="9">
        <f t="shared" si="157"/>
        <v>13973.247999999998</v>
      </c>
      <c r="K778" s="68">
        <v>46192</v>
      </c>
    </row>
    <row r="779" spans="1:11" x14ac:dyDescent="0.25">
      <c r="B779" s="86">
        <v>46183</v>
      </c>
      <c r="C779" s="87" t="s">
        <v>376</v>
      </c>
      <c r="D779" s="108">
        <v>1</v>
      </c>
      <c r="E779" s="108">
        <v>1897</v>
      </c>
      <c r="F779" s="85">
        <f t="shared" si="154"/>
        <v>1897</v>
      </c>
      <c r="G779" s="11">
        <v>2.56</v>
      </c>
      <c r="H779" s="11">
        <f t="shared" si="155"/>
        <v>4856.32</v>
      </c>
      <c r="I779" s="11">
        <f t="shared" si="156"/>
        <v>4856.32</v>
      </c>
      <c r="J779" s="9">
        <f t="shared" si="157"/>
        <v>18829.567999999999</v>
      </c>
      <c r="K779" s="68">
        <v>46192</v>
      </c>
    </row>
    <row r="780" spans="1:11" x14ac:dyDescent="0.25">
      <c r="B780" s="86">
        <v>46183</v>
      </c>
      <c r="C780" s="87" t="s">
        <v>377</v>
      </c>
      <c r="D780" s="108">
        <v>7</v>
      </c>
      <c r="E780" s="108">
        <v>112.1</v>
      </c>
      <c r="F780" s="85">
        <f t="shared" si="154"/>
        <v>784.69999999999993</v>
      </c>
      <c r="G780" s="11">
        <v>2.56</v>
      </c>
      <c r="H780" s="11">
        <f t="shared" si="155"/>
        <v>286.976</v>
      </c>
      <c r="I780" s="11">
        <f t="shared" si="156"/>
        <v>2008.8319999999999</v>
      </c>
      <c r="J780" s="9">
        <f t="shared" si="157"/>
        <v>20838.399999999998</v>
      </c>
      <c r="K780" s="68">
        <v>46192</v>
      </c>
    </row>
    <row r="781" spans="1:11" x14ac:dyDescent="0.25">
      <c r="B781" s="86">
        <v>46183</v>
      </c>
      <c r="C781" s="87" t="s">
        <v>378</v>
      </c>
      <c r="D781" s="108">
        <v>2</v>
      </c>
      <c r="E781" s="108">
        <v>119</v>
      </c>
      <c r="F781" s="85">
        <f t="shared" si="154"/>
        <v>238</v>
      </c>
      <c r="G781" s="11">
        <v>2.56</v>
      </c>
      <c r="H781" s="11">
        <f t="shared" si="155"/>
        <v>304.64</v>
      </c>
      <c r="I781" s="11">
        <f t="shared" si="156"/>
        <v>609.28</v>
      </c>
      <c r="J781" s="9">
        <f t="shared" si="157"/>
        <v>21447.679999999997</v>
      </c>
      <c r="K781" s="68">
        <v>46192</v>
      </c>
    </row>
    <row r="782" spans="1:11" x14ac:dyDescent="0.25">
      <c r="B782" s="86">
        <v>46183</v>
      </c>
      <c r="C782" s="87" t="s">
        <v>379</v>
      </c>
      <c r="D782" s="108">
        <v>4</v>
      </c>
      <c r="E782" s="108">
        <v>119</v>
      </c>
      <c r="F782" s="85">
        <f t="shared" si="154"/>
        <v>476</v>
      </c>
      <c r="G782" s="11">
        <v>2.56</v>
      </c>
      <c r="H782" s="11">
        <f t="shared" si="155"/>
        <v>304.64</v>
      </c>
      <c r="I782" s="11">
        <f t="shared" si="156"/>
        <v>1218.56</v>
      </c>
      <c r="J782" s="9">
        <f t="shared" si="157"/>
        <v>22666.239999999998</v>
      </c>
      <c r="K782" s="68">
        <v>46192</v>
      </c>
    </row>
    <row r="783" spans="1:11" x14ac:dyDescent="0.25">
      <c r="B783" s="86">
        <v>46183</v>
      </c>
      <c r="C783" s="87" t="s">
        <v>337</v>
      </c>
      <c r="D783" s="108">
        <v>4</v>
      </c>
      <c r="E783" s="108">
        <v>1199</v>
      </c>
      <c r="F783" s="85">
        <f t="shared" si="154"/>
        <v>4796</v>
      </c>
      <c r="G783" s="11">
        <v>2.56</v>
      </c>
      <c r="H783" s="11">
        <f t="shared" si="155"/>
        <v>3069.44</v>
      </c>
      <c r="I783" s="11">
        <f t="shared" si="156"/>
        <v>12277.76</v>
      </c>
      <c r="J783" s="9">
        <f t="shared" si="157"/>
        <v>34944</v>
      </c>
      <c r="K783" s="68">
        <v>46192</v>
      </c>
    </row>
    <row r="784" spans="1:11" x14ac:dyDescent="0.25">
      <c r="B784" s="86">
        <v>46183</v>
      </c>
      <c r="C784" s="87" t="s">
        <v>380</v>
      </c>
      <c r="D784" s="108">
        <v>6</v>
      </c>
      <c r="E784" s="108">
        <v>112.1</v>
      </c>
      <c r="F784" s="85">
        <f t="shared" si="154"/>
        <v>672.59999999999991</v>
      </c>
      <c r="G784" s="11">
        <v>2.56</v>
      </c>
      <c r="H784" s="11">
        <f t="shared" si="155"/>
        <v>286.976</v>
      </c>
      <c r="I784" s="11">
        <f t="shared" si="156"/>
        <v>1721.856</v>
      </c>
      <c r="J784" s="9">
        <f t="shared" si="157"/>
        <v>36665.856</v>
      </c>
      <c r="K784" s="68">
        <v>46192</v>
      </c>
    </row>
    <row r="785" spans="1:11" x14ac:dyDescent="0.25">
      <c r="B785" s="86">
        <v>46183</v>
      </c>
      <c r="C785" s="87" t="s">
        <v>380</v>
      </c>
      <c r="D785" s="108">
        <v>7</v>
      </c>
      <c r="E785" s="108">
        <v>119</v>
      </c>
      <c r="F785" s="85">
        <f t="shared" si="154"/>
        <v>833</v>
      </c>
      <c r="G785" s="11">
        <v>2.56</v>
      </c>
      <c r="H785" s="11">
        <f t="shared" si="155"/>
        <v>304.64</v>
      </c>
      <c r="I785" s="11">
        <f t="shared" si="156"/>
        <v>2132.48</v>
      </c>
      <c r="J785" s="9">
        <f t="shared" si="157"/>
        <v>38798.336000000003</v>
      </c>
      <c r="K785" s="68">
        <v>46192</v>
      </c>
    </row>
    <row r="786" spans="1:11" x14ac:dyDescent="0.25">
      <c r="B786" s="86">
        <v>46183</v>
      </c>
      <c r="C786" s="87" t="s">
        <v>381</v>
      </c>
      <c r="D786" s="108">
        <v>1</v>
      </c>
      <c r="E786" s="108">
        <v>1897</v>
      </c>
      <c r="F786" s="85">
        <f t="shared" si="154"/>
        <v>1897</v>
      </c>
      <c r="G786" s="11">
        <v>2.56</v>
      </c>
      <c r="H786" s="11">
        <f t="shared" si="155"/>
        <v>4856.32</v>
      </c>
      <c r="I786" s="11">
        <f t="shared" si="156"/>
        <v>4856.32</v>
      </c>
      <c r="J786" s="9">
        <f t="shared" si="157"/>
        <v>43654.656000000003</v>
      </c>
      <c r="K786" s="68">
        <v>46192</v>
      </c>
    </row>
    <row r="787" spans="1:11" x14ac:dyDescent="0.25">
      <c r="B787" s="86">
        <v>46183</v>
      </c>
      <c r="C787" s="87" t="s">
        <v>382</v>
      </c>
      <c r="D787" s="108">
        <v>1</v>
      </c>
      <c r="E787" s="108">
        <v>1897</v>
      </c>
      <c r="F787" s="85">
        <f t="shared" si="154"/>
        <v>1897</v>
      </c>
      <c r="G787" s="11">
        <v>2.56</v>
      </c>
      <c r="H787" s="11">
        <f t="shared" si="155"/>
        <v>4856.32</v>
      </c>
      <c r="I787" s="11">
        <f t="shared" si="156"/>
        <v>4856.32</v>
      </c>
      <c r="J787" s="9">
        <f t="shared" si="157"/>
        <v>48510.976000000002</v>
      </c>
      <c r="K787" s="68">
        <v>46192</v>
      </c>
    </row>
    <row r="788" spans="1:11" x14ac:dyDescent="0.25">
      <c r="B788" s="86">
        <v>46183</v>
      </c>
      <c r="C788" s="87" t="s">
        <v>383</v>
      </c>
      <c r="D788" s="108">
        <v>3</v>
      </c>
      <c r="E788" s="108">
        <v>1897</v>
      </c>
      <c r="F788" s="85">
        <f t="shared" si="154"/>
        <v>5691</v>
      </c>
      <c r="G788" s="11">
        <v>2.56</v>
      </c>
      <c r="H788" s="11">
        <f t="shared" si="155"/>
        <v>4856.32</v>
      </c>
      <c r="I788" s="11">
        <f t="shared" si="156"/>
        <v>14568.96</v>
      </c>
      <c r="J788" s="9">
        <f t="shared" si="157"/>
        <v>63079.936000000002</v>
      </c>
      <c r="K788" s="68">
        <v>46192</v>
      </c>
    </row>
    <row r="789" spans="1:11" x14ac:dyDescent="0.25">
      <c r="B789" s="86">
        <v>46183</v>
      </c>
      <c r="C789" s="87" t="s">
        <v>384</v>
      </c>
      <c r="D789" s="108">
        <v>2</v>
      </c>
      <c r="E789" s="108">
        <v>1897</v>
      </c>
      <c r="F789" s="85">
        <f t="shared" si="154"/>
        <v>3794</v>
      </c>
      <c r="G789" s="11">
        <v>2.56</v>
      </c>
      <c r="H789" s="11">
        <f t="shared" si="155"/>
        <v>4856.32</v>
      </c>
      <c r="I789" s="11">
        <f t="shared" si="156"/>
        <v>9712.64</v>
      </c>
      <c r="J789" s="9">
        <f t="shared" si="157"/>
        <v>72792.576000000001</v>
      </c>
      <c r="K789" s="68">
        <v>46192</v>
      </c>
    </row>
    <row r="790" spans="1:11" x14ac:dyDescent="0.25">
      <c r="B790" s="86">
        <v>46183</v>
      </c>
      <c r="C790" s="87" t="s">
        <v>385</v>
      </c>
      <c r="D790" s="108">
        <v>4</v>
      </c>
      <c r="E790" s="108">
        <v>119</v>
      </c>
      <c r="F790" s="85">
        <f t="shared" si="154"/>
        <v>476</v>
      </c>
      <c r="G790" s="11">
        <v>2.56</v>
      </c>
      <c r="H790" s="11">
        <f t="shared" si="155"/>
        <v>304.64</v>
      </c>
      <c r="I790" s="11">
        <f t="shared" si="156"/>
        <v>1218.56</v>
      </c>
      <c r="J790" s="9">
        <f t="shared" si="157"/>
        <v>74011.135999999999</v>
      </c>
      <c r="K790" s="68">
        <v>46192</v>
      </c>
    </row>
    <row r="791" spans="1:11" x14ac:dyDescent="0.25">
      <c r="B791" s="94"/>
      <c r="C791" s="94"/>
      <c r="D791" s="94"/>
      <c r="E791" s="94"/>
      <c r="F791" s="20">
        <f t="shared" si="154"/>
        <v>0</v>
      </c>
      <c r="G791" s="20"/>
      <c r="H791" s="20">
        <f t="shared" si="155"/>
        <v>0</v>
      </c>
      <c r="I791" s="20">
        <f t="shared" si="156"/>
        <v>0</v>
      </c>
      <c r="J791" s="18">
        <f t="shared" si="157"/>
        <v>74011.135999999999</v>
      </c>
    </row>
    <row r="792" spans="1:11" x14ac:dyDescent="0.25">
      <c r="B792" s="1"/>
      <c r="C792" s="1"/>
      <c r="D792" s="1"/>
      <c r="E792" s="1"/>
      <c r="F792" s="1"/>
      <c r="G792" s="1"/>
      <c r="H792" s="1"/>
      <c r="I792" s="1"/>
      <c r="J792" s="2"/>
    </row>
    <row r="793" spans="1:11" x14ac:dyDescent="0.25">
      <c r="B793" s="1"/>
      <c r="C793" s="1"/>
      <c r="D793" s="1"/>
      <c r="E793" s="1"/>
      <c r="F793" s="1"/>
      <c r="G793" s="1"/>
      <c r="H793" s="1"/>
      <c r="I793" s="1"/>
      <c r="J793" s="2"/>
    </row>
    <row r="794" spans="1:11" x14ac:dyDescent="0.25">
      <c r="B794" s="1"/>
      <c r="C794" s="1"/>
      <c r="D794" s="1"/>
      <c r="E794" s="1"/>
      <c r="F794" s="1"/>
      <c r="G794" s="1"/>
      <c r="H794" s="1"/>
      <c r="I794" s="1"/>
      <c r="J794" s="2"/>
    </row>
    <row r="795" spans="1:11" x14ac:dyDescent="0.25">
      <c r="B795" s="1"/>
      <c r="C795" s="1"/>
      <c r="D795" s="1"/>
      <c r="E795" s="1"/>
      <c r="F795" s="1"/>
      <c r="G795" s="1"/>
      <c r="H795" s="1"/>
      <c r="I795" s="1"/>
      <c r="J795" s="2"/>
    </row>
    <row r="796" spans="1:11" x14ac:dyDescent="0.25">
      <c r="B796" s="1"/>
      <c r="C796" s="1"/>
      <c r="D796" s="1"/>
      <c r="E796" s="1"/>
      <c r="F796" s="1"/>
      <c r="G796" s="1"/>
      <c r="H796" s="1"/>
      <c r="I796" s="1"/>
      <c r="J796" s="2"/>
    </row>
    <row r="797" spans="1:11" ht="21" x14ac:dyDescent="0.35">
      <c r="A797" t="s">
        <v>0</v>
      </c>
      <c r="B797" s="125" t="s">
        <v>386</v>
      </c>
      <c r="C797" s="125"/>
      <c r="D797" s="125"/>
      <c r="E797" s="125"/>
      <c r="F797" s="125"/>
      <c r="G797" s="125"/>
      <c r="H797" s="125"/>
      <c r="I797" s="125"/>
      <c r="J797" s="125"/>
    </row>
    <row r="798" spans="1:11" ht="18.75" x14ac:dyDescent="0.3">
      <c r="A798" t="s">
        <v>2</v>
      </c>
      <c r="B798" s="3" t="s">
        <v>3</v>
      </c>
      <c r="C798" s="3" t="s">
        <v>4</v>
      </c>
      <c r="D798" s="3" t="s">
        <v>5</v>
      </c>
      <c r="E798" s="3" t="s">
        <v>6</v>
      </c>
      <c r="F798" s="3" t="s">
        <v>7</v>
      </c>
      <c r="G798" s="3" t="s">
        <v>8</v>
      </c>
      <c r="H798" s="3" t="s">
        <v>9</v>
      </c>
      <c r="I798" s="3" t="s">
        <v>10</v>
      </c>
      <c r="J798" s="3"/>
    </row>
    <row r="799" spans="1:11" x14ac:dyDescent="0.25">
      <c r="B799" s="101">
        <v>46157</v>
      </c>
      <c r="C799" s="93" t="s">
        <v>387</v>
      </c>
      <c r="D799" s="96">
        <v>2</v>
      </c>
      <c r="E799" s="96">
        <v>1199</v>
      </c>
      <c r="F799" s="20">
        <f t="shared" ref="F799:F811" si="158">E799*D799</f>
        <v>2398</v>
      </c>
      <c r="G799" s="20">
        <v>2.5979999999999999</v>
      </c>
      <c r="H799" s="20">
        <f t="shared" ref="H799:H811" si="159">E799*G799</f>
        <v>3115.002</v>
      </c>
      <c r="I799" s="20">
        <f t="shared" ref="I799:I811" si="160">H799*D799</f>
        <v>6230.0039999999999</v>
      </c>
      <c r="J799" s="18">
        <f>J798+I799</f>
        <v>6230.0039999999999</v>
      </c>
    </row>
    <row r="800" spans="1:11" x14ac:dyDescent="0.25">
      <c r="B800" s="101">
        <v>46159</v>
      </c>
      <c r="C800" s="93" t="s">
        <v>387</v>
      </c>
      <c r="D800" s="96">
        <v>2</v>
      </c>
      <c r="E800" s="96">
        <v>1199</v>
      </c>
      <c r="F800" s="20">
        <f t="shared" si="158"/>
        <v>2398</v>
      </c>
      <c r="G800" s="20">
        <v>2.5979999999999999</v>
      </c>
      <c r="H800" s="20">
        <f t="shared" si="159"/>
        <v>3115.002</v>
      </c>
      <c r="I800" s="20">
        <f t="shared" si="160"/>
        <v>6230.0039999999999</v>
      </c>
      <c r="J800" s="18">
        <f t="shared" ref="J800:J811" si="161">J799+I800</f>
        <v>12460.008</v>
      </c>
    </row>
    <row r="801" spans="1:11" x14ac:dyDescent="0.25">
      <c r="B801" s="101">
        <v>46159</v>
      </c>
      <c r="C801" s="93" t="s">
        <v>387</v>
      </c>
      <c r="D801" s="96">
        <v>2</v>
      </c>
      <c r="E801" s="96">
        <v>1199</v>
      </c>
      <c r="F801" s="20">
        <f t="shared" si="158"/>
        <v>2398</v>
      </c>
      <c r="G801" s="20">
        <v>2.5979999999999999</v>
      </c>
      <c r="H801" s="20">
        <f t="shared" si="159"/>
        <v>3115.002</v>
      </c>
      <c r="I801" s="20">
        <f t="shared" si="160"/>
        <v>6230.0039999999999</v>
      </c>
      <c r="J801" s="18">
        <f t="shared" si="161"/>
        <v>18690.011999999999</v>
      </c>
    </row>
    <row r="802" spans="1:11" x14ac:dyDescent="0.25">
      <c r="B802" s="101">
        <v>46159</v>
      </c>
      <c r="C802" s="93" t="s">
        <v>387</v>
      </c>
      <c r="D802" s="96">
        <v>2</v>
      </c>
      <c r="E802" s="96">
        <v>1194</v>
      </c>
      <c r="F802" s="20">
        <f t="shared" si="158"/>
        <v>2388</v>
      </c>
      <c r="G802" s="20">
        <v>2.5979999999999999</v>
      </c>
      <c r="H802" s="20">
        <f t="shared" si="159"/>
        <v>3102.0119999999997</v>
      </c>
      <c r="I802" s="20">
        <f t="shared" si="160"/>
        <v>6204.0239999999994</v>
      </c>
      <c r="J802" s="18">
        <f t="shared" si="161"/>
        <v>24894.036</v>
      </c>
    </row>
    <row r="803" spans="1:11" x14ac:dyDescent="0.25">
      <c r="B803" s="101">
        <v>46162</v>
      </c>
      <c r="C803" s="93" t="s">
        <v>387</v>
      </c>
      <c r="D803" s="96">
        <v>4</v>
      </c>
      <c r="E803" s="96">
        <v>1199</v>
      </c>
      <c r="F803" s="20">
        <f t="shared" si="158"/>
        <v>4796</v>
      </c>
      <c r="G803" s="20">
        <v>2.5979999999999999</v>
      </c>
      <c r="H803" s="20">
        <f t="shared" si="159"/>
        <v>3115.002</v>
      </c>
      <c r="I803" s="20">
        <f t="shared" si="160"/>
        <v>12460.008</v>
      </c>
      <c r="J803" s="18">
        <f t="shared" si="161"/>
        <v>37354.044000000002</v>
      </c>
    </row>
    <row r="804" spans="1:11" x14ac:dyDescent="0.25">
      <c r="B804" s="101">
        <v>46162</v>
      </c>
      <c r="C804" s="93" t="s">
        <v>387</v>
      </c>
      <c r="D804" s="96">
        <v>4</v>
      </c>
      <c r="E804" s="96">
        <v>1199</v>
      </c>
      <c r="F804" s="20">
        <f t="shared" si="158"/>
        <v>4796</v>
      </c>
      <c r="G804" s="20">
        <v>2.5979999999999999</v>
      </c>
      <c r="H804" s="20">
        <f t="shared" si="159"/>
        <v>3115.002</v>
      </c>
      <c r="I804" s="20">
        <f t="shared" si="160"/>
        <v>12460.008</v>
      </c>
      <c r="J804" s="18">
        <f t="shared" si="161"/>
        <v>49814.052000000003</v>
      </c>
    </row>
    <row r="805" spans="1:11" x14ac:dyDescent="0.25">
      <c r="B805" s="101">
        <v>46163</v>
      </c>
      <c r="C805" s="93" t="s">
        <v>387</v>
      </c>
      <c r="D805" s="96">
        <v>1</v>
      </c>
      <c r="E805" s="96">
        <v>1199</v>
      </c>
      <c r="F805" s="20">
        <f t="shared" si="158"/>
        <v>1199</v>
      </c>
      <c r="G805" s="20">
        <v>2.5979999999999999</v>
      </c>
      <c r="H805" s="20">
        <f t="shared" si="159"/>
        <v>3115.002</v>
      </c>
      <c r="I805" s="20">
        <f t="shared" si="160"/>
        <v>3115.002</v>
      </c>
      <c r="J805" s="18">
        <f t="shared" si="161"/>
        <v>52929.054000000004</v>
      </c>
    </row>
    <row r="806" spans="1:11" x14ac:dyDescent="0.25">
      <c r="B806" s="101">
        <v>46164</v>
      </c>
      <c r="C806" s="93" t="s">
        <v>387</v>
      </c>
      <c r="D806" s="96">
        <v>3</v>
      </c>
      <c r="E806" s="96">
        <v>1199</v>
      </c>
      <c r="F806" s="20">
        <f t="shared" si="158"/>
        <v>3597</v>
      </c>
      <c r="G806" s="20">
        <v>2.5979999999999999</v>
      </c>
      <c r="H806" s="20">
        <f t="shared" si="159"/>
        <v>3115.002</v>
      </c>
      <c r="I806" s="20">
        <f t="shared" si="160"/>
        <v>9345.0059999999994</v>
      </c>
      <c r="J806" s="18">
        <f t="shared" si="161"/>
        <v>62274.060000000005</v>
      </c>
    </row>
    <row r="807" spans="1:11" x14ac:dyDescent="0.25">
      <c r="B807" s="116">
        <v>46171</v>
      </c>
      <c r="C807" s="87" t="s">
        <v>388</v>
      </c>
      <c r="D807" s="108">
        <v>3</v>
      </c>
      <c r="E807" s="108">
        <v>357.3</v>
      </c>
      <c r="F807" s="11">
        <f t="shared" si="158"/>
        <v>1071.9000000000001</v>
      </c>
      <c r="G807" s="11">
        <v>2.5979999999999999</v>
      </c>
      <c r="H807" s="11">
        <f t="shared" si="159"/>
        <v>928.2654</v>
      </c>
      <c r="I807" s="11">
        <f t="shared" si="160"/>
        <v>2784.7961999999998</v>
      </c>
      <c r="J807" s="9">
        <f t="shared" si="161"/>
        <v>65058.856200000002</v>
      </c>
      <c r="K807" s="68">
        <v>46196</v>
      </c>
    </row>
    <row r="808" spans="1:11" x14ac:dyDescent="0.25">
      <c r="B808" s="116">
        <v>46173</v>
      </c>
      <c r="C808" s="87" t="s">
        <v>388</v>
      </c>
      <c r="D808" s="108">
        <v>1</v>
      </c>
      <c r="E808" s="108">
        <v>357.3</v>
      </c>
      <c r="F808" s="11">
        <f t="shared" si="158"/>
        <v>357.3</v>
      </c>
      <c r="G808" s="11">
        <v>2.5979999999999999</v>
      </c>
      <c r="H808" s="11">
        <f t="shared" si="159"/>
        <v>928.2654</v>
      </c>
      <c r="I808" s="11">
        <f t="shared" si="160"/>
        <v>928.2654</v>
      </c>
      <c r="J808" s="9">
        <f t="shared" si="161"/>
        <v>65987.121599999999</v>
      </c>
      <c r="K808" s="68">
        <v>46196</v>
      </c>
    </row>
    <row r="809" spans="1:11" x14ac:dyDescent="0.25">
      <c r="B809" s="116">
        <v>46173</v>
      </c>
      <c r="C809" s="87" t="s">
        <v>388</v>
      </c>
      <c r="D809" s="108">
        <v>3</v>
      </c>
      <c r="E809" s="108">
        <v>359.1</v>
      </c>
      <c r="F809" s="11">
        <f t="shared" si="158"/>
        <v>1077.3000000000002</v>
      </c>
      <c r="G809" s="11">
        <v>2.5979999999999999</v>
      </c>
      <c r="H809" s="11">
        <f t="shared" si="159"/>
        <v>932.94180000000006</v>
      </c>
      <c r="I809" s="11">
        <f t="shared" si="160"/>
        <v>2798.8254000000002</v>
      </c>
      <c r="J809" s="9">
        <f t="shared" si="161"/>
        <v>68785.947</v>
      </c>
      <c r="K809" s="68">
        <v>46196</v>
      </c>
    </row>
    <row r="810" spans="1:11" x14ac:dyDescent="0.25">
      <c r="B810" s="94"/>
      <c r="C810" s="94"/>
      <c r="D810" s="94"/>
      <c r="E810" s="94"/>
      <c r="F810" s="94">
        <f t="shared" si="158"/>
        <v>0</v>
      </c>
      <c r="G810" s="94"/>
      <c r="H810" s="20">
        <f t="shared" si="159"/>
        <v>0</v>
      </c>
      <c r="I810" s="20">
        <f t="shared" si="160"/>
        <v>0</v>
      </c>
      <c r="J810" s="18">
        <f t="shared" si="161"/>
        <v>68785.947</v>
      </c>
    </row>
    <row r="811" spans="1:11" x14ac:dyDescent="0.25">
      <c r="B811" s="20"/>
      <c r="C811" s="20"/>
      <c r="D811" s="20"/>
      <c r="E811" s="20"/>
      <c r="F811" s="20">
        <f t="shared" si="158"/>
        <v>0</v>
      </c>
      <c r="G811" s="20"/>
      <c r="H811" s="20">
        <f t="shared" si="159"/>
        <v>0</v>
      </c>
      <c r="I811" s="20">
        <f t="shared" si="160"/>
        <v>0</v>
      </c>
      <c r="J811" s="18">
        <f t="shared" si="161"/>
        <v>68785.947</v>
      </c>
    </row>
    <row r="812" spans="1:11" x14ac:dyDescent="0.25">
      <c r="B812" s="1"/>
      <c r="C812" s="1"/>
      <c r="D812" s="1"/>
      <c r="E812" s="1"/>
      <c r="F812" s="1"/>
      <c r="G812" s="1"/>
      <c r="H812" s="1"/>
      <c r="I812" s="1"/>
      <c r="J812" s="2"/>
    </row>
    <row r="813" spans="1:11" x14ac:dyDescent="0.25">
      <c r="B813" s="1"/>
      <c r="C813" s="1"/>
      <c r="D813" s="1"/>
      <c r="E813" s="1"/>
      <c r="F813" s="1"/>
      <c r="G813" s="1"/>
      <c r="H813" s="1"/>
      <c r="I813" s="1"/>
      <c r="J813" s="2"/>
    </row>
    <row r="814" spans="1:11" x14ac:dyDescent="0.25">
      <c r="B814" s="1"/>
      <c r="C814" s="1"/>
      <c r="D814" s="1"/>
      <c r="E814" s="1"/>
      <c r="F814" s="1"/>
      <c r="G814" s="1"/>
      <c r="H814" s="1"/>
      <c r="I814" s="1"/>
      <c r="J814" s="2"/>
    </row>
    <row r="815" spans="1:11" ht="21" x14ac:dyDescent="0.35">
      <c r="A815" t="s">
        <v>0</v>
      </c>
      <c r="B815" s="125" t="s">
        <v>34</v>
      </c>
      <c r="C815" s="125"/>
      <c r="D815" s="125"/>
      <c r="E815" s="125"/>
      <c r="F815" s="125"/>
      <c r="G815" s="125"/>
      <c r="H815" s="125"/>
      <c r="I815" s="125"/>
      <c r="J815" s="125"/>
    </row>
    <row r="816" spans="1:11" ht="18.75" x14ac:dyDescent="0.3">
      <c r="A816" t="s">
        <v>2</v>
      </c>
      <c r="B816" s="3" t="s">
        <v>3</v>
      </c>
      <c r="C816" s="3" t="s">
        <v>4</v>
      </c>
      <c r="D816" s="3" t="s">
        <v>5</v>
      </c>
      <c r="E816" s="3" t="s">
        <v>6</v>
      </c>
      <c r="F816" s="3" t="s">
        <v>7</v>
      </c>
      <c r="G816" s="3" t="s">
        <v>8</v>
      </c>
      <c r="H816" s="3" t="s">
        <v>9</v>
      </c>
      <c r="I816" s="3" t="s">
        <v>10</v>
      </c>
      <c r="J816" s="3"/>
    </row>
    <row r="817" spans="1:12" x14ac:dyDescent="0.25">
      <c r="B817" s="17">
        <v>46187</v>
      </c>
      <c r="C817" s="18" t="s">
        <v>392</v>
      </c>
      <c r="D817" s="20">
        <v>2</v>
      </c>
      <c r="E817" s="20">
        <v>3310</v>
      </c>
      <c r="F817" s="20">
        <v>6620</v>
      </c>
      <c r="G817" s="20">
        <v>2.1800000000000002</v>
      </c>
      <c r="H817" s="20">
        <v>7215.8</v>
      </c>
      <c r="I817" s="20">
        <v>14431.6</v>
      </c>
      <c r="J817" s="18">
        <v>14431.6</v>
      </c>
    </row>
    <row r="818" spans="1:12" x14ac:dyDescent="0.25">
      <c r="B818" s="17">
        <v>46190</v>
      </c>
      <c r="C818" s="117" t="s">
        <v>393</v>
      </c>
      <c r="D818" s="20">
        <v>1</v>
      </c>
      <c r="E818" s="20">
        <v>2575</v>
      </c>
      <c r="F818" s="20">
        <v>2575</v>
      </c>
      <c r="G818" s="20">
        <v>2.1800000000000002</v>
      </c>
      <c r="H818" s="20">
        <v>5613.5</v>
      </c>
      <c r="I818" s="20">
        <v>5613.5</v>
      </c>
      <c r="J818" s="18">
        <v>20045.099999999999</v>
      </c>
    </row>
    <row r="819" spans="1:12" x14ac:dyDescent="0.25">
      <c r="B819" s="7"/>
      <c r="C819" s="7"/>
      <c r="D819" s="7"/>
      <c r="E819" s="7"/>
      <c r="F819" s="7">
        <v>0</v>
      </c>
      <c r="G819" s="7"/>
      <c r="H819" s="7">
        <v>0</v>
      </c>
      <c r="I819" s="7">
        <v>0</v>
      </c>
      <c r="J819" s="5">
        <v>20045.099999999999</v>
      </c>
    </row>
    <row r="820" spans="1:12" x14ac:dyDescent="0.25">
      <c r="B820" s="1"/>
      <c r="C820" s="1"/>
      <c r="D820" s="1"/>
      <c r="E820" s="1"/>
      <c r="F820" s="1"/>
      <c r="G820" s="1"/>
      <c r="H820" s="1"/>
      <c r="I820" s="1"/>
      <c r="J820" s="2"/>
    </row>
    <row r="821" spans="1:12" x14ac:dyDescent="0.25">
      <c r="B821" s="1"/>
      <c r="C821" s="1"/>
      <c r="D821" s="1"/>
      <c r="E821" s="1"/>
      <c r="F821" s="1"/>
      <c r="G821" s="1"/>
      <c r="H821" s="1"/>
      <c r="I821" s="1"/>
      <c r="J821" s="2"/>
    </row>
    <row r="822" spans="1:12" x14ac:dyDescent="0.25">
      <c r="B822" s="1"/>
      <c r="C822" s="1"/>
      <c r="D822" s="1"/>
      <c r="E822" s="1"/>
      <c r="F822" s="1"/>
      <c r="G822" s="1"/>
      <c r="H822" s="1"/>
      <c r="I822" s="1"/>
      <c r="J822" s="2"/>
    </row>
    <row r="823" spans="1:12" x14ac:dyDescent="0.25">
      <c r="B823" s="1"/>
      <c r="C823" s="1"/>
      <c r="D823" s="1"/>
      <c r="E823" s="1"/>
      <c r="F823" s="1"/>
      <c r="G823" s="1"/>
      <c r="H823" s="1"/>
      <c r="I823" s="1"/>
      <c r="J823" s="2"/>
    </row>
    <row r="824" spans="1:12" x14ac:dyDescent="0.25">
      <c r="B824" s="1"/>
      <c r="C824" s="1"/>
      <c r="D824" s="1"/>
      <c r="E824" s="1"/>
      <c r="F824" s="1"/>
      <c r="G824" s="1"/>
      <c r="H824" s="1"/>
      <c r="I824" s="1"/>
      <c r="J824" s="2"/>
    </row>
    <row r="825" spans="1:12" ht="21" x14ac:dyDescent="0.35">
      <c r="A825" t="s">
        <v>0</v>
      </c>
      <c r="B825" s="125" t="s">
        <v>1</v>
      </c>
      <c r="C825" s="125"/>
      <c r="D825" s="125"/>
      <c r="E825" s="125"/>
      <c r="F825" s="125"/>
      <c r="G825" s="125"/>
      <c r="H825" s="125"/>
      <c r="I825" s="125"/>
      <c r="J825" s="125"/>
    </row>
    <row r="826" spans="1:12" ht="18.75" x14ac:dyDescent="0.3">
      <c r="A826" t="s">
        <v>2</v>
      </c>
      <c r="B826" s="3" t="s">
        <v>3</v>
      </c>
      <c r="C826" s="3" t="s">
        <v>4</v>
      </c>
      <c r="D826" s="3" t="s">
        <v>5</v>
      </c>
      <c r="E826" s="3" t="s">
        <v>6</v>
      </c>
      <c r="F826" s="3" t="s">
        <v>7</v>
      </c>
      <c r="G826" s="3" t="s">
        <v>8</v>
      </c>
      <c r="H826" s="3" t="s">
        <v>9</v>
      </c>
      <c r="I826" s="3" t="s">
        <v>10</v>
      </c>
      <c r="J826" s="3"/>
    </row>
    <row r="827" spans="1:12" x14ac:dyDescent="0.25">
      <c r="B827" s="83">
        <v>46184</v>
      </c>
      <c r="C827" s="80" t="s">
        <v>292</v>
      </c>
      <c r="D827" s="80">
        <v>15</v>
      </c>
      <c r="E827" s="81">
        <v>1205</v>
      </c>
      <c r="F827" s="82">
        <v>18075</v>
      </c>
      <c r="G827" s="82">
        <v>2.56</v>
      </c>
      <c r="H827" s="82">
        <v>3084.8</v>
      </c>
      <c r="I827" s="82">
        <v>46272</v>
      </c>
      <c r="J827" s="80">
        <v>46272</v>
      </c>
      <c r="K827" s="68">
        <v>46196</v>
      </c>
      <c r="L827" t="s">
        <v>399</v>
      </c>
    </row>
    <row r="828" spans="1:12" x14ac:dyDescent="0.25">
      <c r="B828" s="83">
        <v>46185</v>
      </c>
      <c r="C828" s="80" t="s">
        <v>394</v>
      </c>
      <c r="D828" s="80">
        <v>50</v>
      </c>
      <c r="E828" s="81">
        <v>94</v>
      </c>
      <c r="F828" s="82">
        <v>4700</v>
      </c>
      <c r="G828" s="82">
        <v>2.56</v>
      </c>
      <c r="H828" s="82">
        <v>240.64000000000001</v>
      </c>
      <c r="I828" s="82">
        <v>12032</v>
      </c>
      <c r="J828" s="80">
        <v>58304</v>
      </c>
      <c r="K828" s="68">
        <v>46196</v>
      </c>
      <c r="L828" t="s">
        <v>398</v>
      </c>
    </row>
    <row r="829" spans="1:12" x14ac:dyDescent="0.25">
      <c r="B829" s="17">
        <v>46185</v>
      </c>
      <c r="C829" s="18" t="s">
        <v>395</v>
      </c>
      <c r="D829" s="18">
        <v>1</v>
      </c>
      <c r="E829" s="33">
        <v>125</v>
      </c>
      <c r="F829" s="20">
        <v>125</v>
      </c>
      <c r="G829" s="20">
        <v>2.56</v>
      </c>
      <c r="H829" s="20">
        <v>320</v>
      </c>
      <c r="I829" s="20">
        <v>320</v>
      </c>
      <c r="J829" s="18">
        <v>58624</v>
      </c>
    </row>
    <row r="830" spans="1:12" x14ac:dyDescent="0.25">
      <c r="B830" s="17">
        <v>46188</v>
      </c>
      <c r="C830" s="18" t="s">
        <v>396</v>
      </c>
      <c r="D830" s="18">
        <v>1</v>
      </c>
      <c r="E830" s="33">
        <v>4176</v>
      </c>
      <c r="F830" s="20">
        <v>4176</v>
      </c>
      <c r="G830" s="20">
        <v>2.56</v>
      </c>
      <c r="H830" s="20">
        <v>10690.56</v>
      </c>
      <c r="I830" s="20">
        <v>10690.56</v>
      </c>
      <c r="J830" s="18">
        <v>69314.559999999998</v>
      </c>
    </row>
    <row r="831" spans="1:12" x14ac:dyDescent="0.25">
      <c r="B831" s="17">
        <v>46188</v>
      </c>
      <c r="C831" s="18" t="s">
        <v>397</v>
      </c>
      <c r="D831" s="18">
        <v>1</v>
      </c>
      <c r="E831" s="33">
        <v>100</v>
      </c>
      <c r="F831" s="20">
        <v>100</v>
      </c>
      <c r="G831" s="20">
        <v>2.56</v>
      </c>
      <c r="H831" s="20">
        <v>256</v>
      </c>
      <c r="I831" s="20">
        <v>256</v>
      </c>
      <c r="J831" s="18">
        <v>69570.559999999998</v>
      </c>
    </row>
    <row r="832" spans="1:12" x14ac:dyDescent="0.25">
      <c r="B832" s="7"/>
      <c r="C832" s="7"/>
      <c r="D832" s="7"/>
      <c r="E832" s="7"/>
      <c r="F832" s="7">
        <v>0</v>
      </c>
      <c r="G832" s="7"/>
      <c r="H832" s="7">
        <v>0</v>
      </c>
      <c r="I832" s="7">
        <v>0</v>
      </c>
      <c r="J832" s="5">
        <v>69570.559999999998</v>
      </c>
    </row>
    <row r="835" spans="1:11" ht="21" x14ac:dyDescent="0.35">
      <c r="A835" t="s">
        <v>0</v>
      </c>
      <c r="B835" s="125" t="s">
        <v>386</v>
      </c>
      <c r="C835" s="125"/>
      <c r="D835" s="125"/>
      <c r="E835" s="125"/>
      <c r="F835" s="125"/>
      <c r="G835" s="125"/>
      <c r="H835" s="125"/>
      <c r="I835" s="125"/>
      <c r="J835" s="125"/>
    </row>
    <row r="836" spans="1:11" ht="18.75" x14ac:dyDescent="0.3">
      <c r="A836" t="s">
        <v>2</v>
      </c>
      <c r="B836" s="3" t="s">
        <v>3</v>
      </c>
      <c r="C836" s="3" t="s">
        <v>4</v>
      </c>
      <c r="D836" s="3" t="s">
        <v>5</v>
      </c>
      <c r="E836" s="3" t="s">
        <v>6</v>
      </c>
      <c r="F836" s="3" t="s">
        <v>7</v>
      </c>
      <c r="G836" s="3" t="s">
        <v>8</v>
      </c>
      <c r="H836" s="3" t="s">
        <v>9</v>
      </c>
      <c r="I836" s="3" t="s">
        <v>10</v>
      </c>
      <c r="J836" s="3"/>
    </row>
    <row r="837" spans="1:11" x14ac:dyDescent="0.25">
      <c r="B837" s="119">
        <v>46174</v>
      </c>
      <c r="C837" s="120" t="s">
        <v>400</v>
      </c>
      <c r="D837" s="121">
        <v>1</v>
      </c>
      <c r="E837" s="121">
        <v>357.3</v>
      </c>
      <c r="F837" s="89">
        <f>E837*D837</f>
        <v>357.3</v>
      </c>
      <c r="G837" s="20">
        <v>2.56</v>
      </c>
      <c r="H837" s="20">
        <f>E837*G837</f>
        <v>914.6880000000001</v>
      </c>
      <c r="I837" s="20">
        <f>H837*D837</f>
        <v>914.6880000000001</v>
      </c>
      <c r="J837" s="18">
        <f>J836+I837</f>
        <v>914.6880000000001</v>
      </c>
    </row>
    <row r="838" spans="1:11" x14ac:dyDescent="0.25">
      <c r="B838" s="119">
        <v>46174</v>
      </c>
      <c r="C838" s="120" t="s">
        <v>401</v>
      </c>
      <c r="D838" s="121">
        <v>1</v>
      </c>
      <c r="E838" s="121">
        <v>357.3</v>
      </c>
      <c r="F838" s="89">
        <f t="shared" ref="F838:F848" si="162">E838*D838</f>
        <v>357.3</v>
      </c>
      <c r="G838" s="20">
        <v>2.56</v>
      </c>
      <c r="H838" s="20">
        <f t="shared" ref="H838:H848" si="163">E838*G838</f>
        <v>914.6880000000001</v>
      </c>
      <c r="I838" s="20">
        <f t="shared" ref="I838:I848" si="164">H838*D838</f>
        <v>914.6880000000001</v>
      </c>
      <c r="J838" s="18">
        <f t="shared" ref="J838:J848" si="165">J837+I838</f>
        <v>1829.3760000000002</v>
      </c>
    </row>
    <row r="839" spans="1:11" x14ac:dyDescent="0.25">
      <c r="B839" s="119">
        <v>46174</v>
      </c>
      <c r="C839" s="120" t="s">
        <v>402</v>
      </c>
      <c r="D839" s="121">
        <v>1</v>
      </c>
      <c r="E839" s="121">
        <v>397</v>
      </c>
      <c r="F839" s="89">
        <f t="shared" si="162"/>
        <v>397</v>
      </c>
      <c r="G839" s="20">
        <v>2.56</v>
      </c>
      <c r="H839" s="20">
        <f t="shared" si="163"/>
        <v>1016.32</v>
      </c>
      <c r="I839" s="20">
        <f t="shared" si="164"/>
        <v>1016.32</v>
      </c>
      <c r="J839" s="18">
        <f t="shared" si="165"/>
        <v>2845.6960000000004</v>
      </c>
    </row>
    <row r="840" spans="1:11" x14ac:dyDescent="0.25">
      <c r="B840" s="119">
        <v>46175</v>
      </c>
      <c r="C840" s="120" t="s">
        <v>403</v>
      </c>
      <c r="D840" s="121">
        <v>4</v>
      </c>
      <c r="E840" s="121">
        <v>1199</v>
      </c>
      <c r="F840" s="89">
        <f t="shared" si="162"/>
        <v>4796</v>
      </c>
      <c r="G840" s="20">
        <v>2.56</v>
      </c>
      <c r="H840" s="20">
        <f t="shared" si="163"/>
        <v>3069.44</v>
      </c>
      <c r="I840" s="20">
        <f t="shared" si="164"/>
        <v>12277.76</v>
      </c>
      <c r="J840" s="18">
        <f t="shared" si="165"/>
        <v>15123.456</v>
      </c>
    </row>
    <row r="841" spans="1:11" x14ac:dyDescent="0.25">
      <c r="B841" s="122">
        <v>46175</v>
      </c>
      <c r="C841" s="123" t="s">
        <v>404</v>
      </c>
      <c r="D841" s="124">
        <v>2</v>
      </c>
      <c r="E841" s="124">
        <v>1897</v>
      </c>
      <c r="F841" s="85">
        <f t="shared" si="162"/>
        <v>3794</v>
      </c>
      <c r="G841" s="11">
        <v>2.56</v>
      </c>
      <c r="H841" s="11">
        <f t="shared" si="163"/>
        <v>4856.32</v>
      </c>
      <c r="I841" s="11">
        <f t="shared" si="164"/>
        <v>9712.64</v>
      </c>
      <c r="J841" s="9">
        <f t="shared" si="165"/>
        <v>24836.095999999998</v>
      </c>
      <c r="K841" s="68">
        <v>46197</v>
      </c>
    </row>
    <row r="842" spans="1:11" x14ac:dyDescent="0.25">
      <c r="B842" s="119">
        <v>46176</v>
      </c>
      <c r="C842" s="120" t="s">
        <v>405</v>
      </c>
      <c r="D842" s="121">
        <v>4</v>
      </c>
      <c r="E842" s="121">
        <v>1199</v>
      </c>
      <c r="F842" s="89">
        <f t="shared" si="162"/>
        <v>4796</v>
      </c>
      <c r="G842" s="20">
        <v>2.56</v>
      </c>
      <c r="H842" s="20">
        <f t="shared" si="163"/>
        <v>3069.44</v>
      </c>
      <c r="I842" s="20">
        <f t="shared" si="164"/>
        <v>12277.76</v>
      </c>
      <c r="J842" s="18">
        <f t="shared" si="165"/>
        <v>37113.856</v>
      </c>
    </row>
    <row r="843" spans="1:11" x14ac:dyDescent="0.25">
      <c r="B843" s="119">
        <v>46176</v>
      </c>
      <c r="C843" s="120" t="s">
        <v>406</v>
      </c>
      <c r="D843" s="121">
        <v>4</v>
      </c>
      <c r="E843" s="121">
        <v>1199</v>
      </c>
      <c r="F843" s="89">
        <f t="shared" si="162"/>
        <v>4796</v>
      </c>
      <c r="G843" s="20">
        <v>2.56</v>
      </c>
      <c r="H843" s="20">
        <f t="shared" si="163"/>
        <v>3069.44</v>
      </c>
      <c r="I843" s="20">
        <f t="shared" si="164"/>
        <v>12277.76</v>
      </c>
      <c r="J843" s="18">
        <f t="shared" si="165"/>
        <v>49391.616000000002</v>
      </c>
    </row>
    <row r="844" spans="1:11" x14ac:dyDescent="0.25">
      <c r="B844" s="119">
        <v>46180</v>
      </c>
      <c r="C844" s="120" t="s">
        <v>407</v>
      </c>
      <c r="D844" s="121">
        <v>2</v>
      </c>
      <c r="E844" s="121">
        <v>1199</v>
      </c>
      <c r="F844" s="89">
        <f t="shared" si="162"/>
        <v>2398</v>
      </c>
      <c r="G844" s="20">
        <v>2.56</v>
      </c>
      <c r="H844" s="20">
        <f t="shared" si="163"/>
        <v>3069.44</v>
      </c>
      <c r="I844" s="20">
        <f t="shared" si="164"/>
        <v>6138.88</v>
      </c>
      <c r="J844" s="18">
        <f t="shared" si="165"/>
        <v>55530.495999999999</v>
      </c>
    </row>
    <row r="845" spans="1:11" x14ac:dyDescent="0.25">
      <c r="B845" s="119">
        <v>46180</v>
      </c>
      <c r="C845" s="120" t="s">
        <v>408</v>
      </c>
      <c r="D845" s="121">
        <v>4</v>
      </c>
      <c r="E845" s="121">
        <v>1199</v>
      </c>
      <c r="F845" s="89">
        <f t="shared" si="162"/>
        <v>4796</v>
      </c>
      <c r="G845" s="20">
        <v>2.56</v>
      </c>
      <c r="H845" s="20">
        <f t="shared" si="163"/>
        <v>3069.44</v>
      </c>
      <c r="I845" s="20">
        <f t="shared" si="164"/>
        <v>12277.76</v>
      </c>
      <c r="J845" s="18">
        <f t="shared" si="165"/>
        <v>67808.255999999994</v>
      </c>
    </row>
    <row r="846" spans="1:11" x14ac:dyDescent="0.25">
      <c r="B846" s="119">
        <v>46184</v>
      </c>
      <c r="C846" s="120" t="s">
        <v>409</v>
      </c>
      <c r="D846" s="121">
        <v>10</v>
      </c>
      <c r="E846" s="121">
        <v>112.1</v>
      </c>
      <c r="F846" s="89">
        <f t="shared" si="162"/>
        <v>1121</v>
      </c>
      <c r="G846" s="20">
        <v>2.56</v>
      </c>
      <c r="H846" s="20">
        <f t="shared" si="163"/>
        <v>286.976</v>
      </c>
      <c r="I846" s="20">
        <f t="shared" si="164"/>
        <v>2869.76</v>
      </c>
      <c r="J846" s="18">
        <f t="shared" si="165"/>
        <v>70678.015999999989</v>
      </c>
    </row>
    <row r="847" spans="1:11" x14ac:dyDescent="0.25">
      <c r="B847" s="119">
        <v>46184</v>
      </c>
      <c r="C847" s="120" t="s">
        <v>410</v>
      </c>
      <c r="D847" s="121">
        <v>10</v>
      </c>
      <c r="E847" s="121">
        <v>113.04</v>
      </c>
      <c r="F847" s="89">
        <f t="shared" si="162"/>
        <v>1130.4000000000001</v>
      </c>
      <c r="G847" s="20">
        <v>2.56</v>
      </c>
      <c r="H847" s="20">
        <f t="shared" si="163"/>
        <v>289.38240000000002</v>
      </c>
      <c r="I847" s="20">
        <f t="shared" si="164"/>
        <v>2893.8240000000001</v>
      </c>
      <c r="J847" s="18">
        <f t="shared" si="165"/>
        <v>73571.839999999982</v>
      </c>
    </row>
    <row r="848" spans="1:11" x14ac:dyDescent="0.25">
      <c r="B848" s="118"/>
      <c r="C848" s="118"/>
      <c r="D848" s="118"/>
      <c r="E848" s="118"/>
      <c r="F848" s="7">
        <f t="shared" si="162"/>
        <v>0</v>
      </c>
      <c r="G848" s="7"/>
      <c r="H848" s="7">
        <f t="shared" si="163"/>
        <v>0</v>
      </c>
      <c r="I848" s="7">
        <f t="shared" si="164"/>
        <v>0</v>
      </c>
      <c r="J848" s="5">
        <f t="shared" si="165"/>
        <v>73571.839999999982</v>
      </c>
    </row>
    <row r="849" spans="1:11" x14ac:dyDescent="0.25">
      <c r="B849" s="1"/>
      <c r="C849" s="1"/>
      <c r="D849" s="1"/>
      <c r="E849" s="1"/>
      <c r="F849" s="1"/>
      <c r="G849" s="1"/>
      <c r="H849" s="1"/>
      <c r="I849" s="1"/>
      <c r="J849" s="2"/>
    </row>
    <row r="850" spans="1:11" x14ac:dyDescent="0.25">
      <c r="B850" s="1"/>
      <c r="C850" s="1"/>
      <c r="D850" s="1"/>
      <c r="E850" s="1"/>
      <c r="F850" s="1"/>
      <c r="G850" s="1"/>
      <c r="H850" s="1"/>
      <c r="I850" s="1"/>
      <c r="J850" s="2"/>
    </row>
    <row r="851" spans="1:11" x14ac:dyDescent="0.25">
      <c r="B851" s="1"/>
      <c r="C851" s="1"/>
      <c r="D851" s="1"/>
      <c r="E851" s="1"/>
      <c r="F851" s="1"/>
      <c r="G851" s="1"/>
      <c r="H851" s="1"/>
      <c r="I851" s="1"/>
      <c r="J851" s="2"/>
    </row>
    <row r="852" spans="1:11" x14ac:dyDescent="0.25">
      <c r="B852" s="1"/>
      <c r="C852" s="1"/>
      <c r="D852" s="1"/>
      <c r="E852" s="1"/>
      <c r="F852" s="1"/>
      <c r="G852" s="1"/>
      <c r="H852" s="1"/>
      <c r="I852" s="1"/>
      <c r="J852" s="2"/>
    </row>
    <row r="853" spans="1:11" x14ac:dyDescent="0.25">
      <c r="B853" s="1"/>
      <c r="C853" s="1"/>
      <c r="D853" s="1"/>
      <c r="E853" s="1"/>
      <c r="F853" s="1"/>
      <c r="G853" s="1"/>
      <c r="H853" s="1"/>
      <c r="I853" s="1"/>
      <c r="J853" s="2"/>
    </row>
    <row r="854" spans="1:11" x14ac:dyDescent="0.25">
      <c r="B854" s="1"/>
      <c r="C854" s="1"/>
      <c r="D854" s="1"/>
      <c r="E854" s="1"/>
      <c r="F854" s="1"/>
      <c r="G854" s="1"/>
      <c r="H854" s="1"/>
      <c r="I854" s="1"/>
      <c r="J854" s="2"/>
    </row>
    <row r="855" spans="1:11" ht="21" x14ac:dyDescent="0.35">
      <c r="A855" t="s">
        <v>0</v>
      </c>
      <c r="B855" s="125" t="s">
        <v>386</v>
      </c>
      <c r="C855" s="125"/>
      <c r="D855" s="125"/>
      <c r="E855" s="125"/>
      <c r="F855" s="125"/>
      <c r="G855" s="125"/>
      <c r="H855" s="125"/>
      <c r="I855" s="125"/>
      <c r="J855" s="125"/>
    </row>
    <row r="856" spans="1:11" ht="18.75" x14ac:dyDescent="0.3">
      <c r="A856" t="s">
        <v>2</v>
      </c>
      <c r="B856" s="3" t="s">
        <v>3</v>
      </c>
      <c r="C856" s="3" t="s">
        <v>4</v>
      </c>
      <c r="D856" s="3" t="s">
        <v>5</v>
      </c>
      <c r="E856" s="3" t="s">
        <v>6</v>
      </c>
      <c r="F856" s="3" t="s">
        <v>7</v>
      </c>
      <c r="G856" s="3" t="s">
        <v>8</v>
      </c>
      <c r="H856" s="3" t="s">
        <v>9</v>
      </c>
      <c r="I856" s="3" t="s">
        <v>10</v>
      </c>
      <c r="J856" s="3"/>
    </row>
    <row r="857" spans="1:11" x14ac:dyDescent="0.25">
      <c r="B857" s="122">
        <v>46194</v>
      </c>
      <c r="C857" s="123" t="s">
        <v>411</v>
      </c>
      <c r="D857" s="124">
        <v>2</v>
      </c>
      <c r="E857" s="124">
        <v>1897</v>
      </c>
      <c r="F857" s="85">
        <f>E857*D857</f>
        <v>3794</v>
      </c>
      <c r="G857" s="11">
        <v>2.56</v>
      </c>
      <c r="H857" s="11">
        <f>E857*G857</f>
        <v>4856.32</v>
      </c>
      <c r="I857" s="11">
        <f>H857*D857</f>
        <v>9712.64</v>
      </c>
      <c r="J857" s="9">
        <f>J856+I857</f>
        <v>9712.64</v>
      </c>
      <c r="K857" s="68">
        <v>46197</v>
      </c>
    </row>
    <row r="858" spans="1:11" x14ac:dyDescent="0.25">
      <c r="B858" s="119">
        <v>46194</v>
      </c>
      <c r="C858" s="120" t="s">
        <v>412</v>
      </c>
      <c r="D858" s="121">
        <v>4</v>
      </c>
      <c r="E858" s="121">
        <v>118</v>
      </c>
      <c r="F858" s="89">
        <f t="shared" ref="F858:F867" si="166">E858*D858</f>
        <v>472</v>
      </c>
      <c r="G858" s="20">
        <v>2.56</v>
      </c>
      <c r="H858" s="20">
        <f t="shared" ref="H858:H867" si="167">E858*G858</f>
        <v>302.08</v>
      </c>
      <c r="I858" s="20">
        <f t="shared" ref="I858:I867" si="168">H858*D858</f>
        <v>1208.32</v>
      </c>
      <c r="J858" s="18">
        <f t="shared" ref="J858:J867" si="169">J857+I858</f>
        <v>10920.96</v>
      </c>
    </row>
    <row r="859" spans="1:11" x14ac:dyDescent="0.25">
      <c r="B859" s="119">
        <v>46195</v>
      </c>
      <c r="C859" s="120" t="s">
        <v>413</v>
      </c>
      <c r="D859" s="121">
        <v>5</v>
      </c>
      <c r="E859" s="121">
        <v>114</v>
      </c>
      <c r="F859" s="89">
        <f t="shared" si="166"/>
        <v>570</v>
      </c>
      <c r="G859" s="20">
        <v>2.56</v>
      </c>
      <c r="H859" s="20">
        <f t="shared" si="167"/>
        <v>291.84000000000003</v>
      </c>
      <c r="I859" s="20">
        <f t="shared" si="168"/>
        <v>1459.2000000000003</v>
      </c>
      <c r="J859" s="18">
        <f t="shared" si="169"/>
        <v>12380.16</v>
      </c>
    </row>
    <row r="860" spans="1:11" x14ac:dyDescent="0.25">
      <c r="B860" s="119">
        <v>46195</v>
      </c>
      <c r="C860" s="120" t="s">
        <v>414</v>
      </c>
      <c r="D860" s="121">
        <v>5</v>
      </c>
      <c r="E860" s="121">
        <v>118</v>
      </c>
      <c r="F860" s="89">
        <f t="shared" si="166"/>
        <v>590</v>
      </c>
      <c r="G860" s="20">
        <v>2.56</v>
      </c>
      <c r="H860" s="20">
        <f t="shared" si="167"/>
        <v>302.08</v>
      </c>
      <c r="I860" s="20">
        <f t="shared" si="168"/>
        <v>1510.3999999999999</v>
      </c>
      <c r="J860" s="18">
        <f t="shared" si="169"/>
        <v>13890.56</v>
      </c>
    </row>
    <row r="861" spans="1:11" x14ac:dyDescent="0.25">
      <c r="B861" s="119">
        <v>46195</v>
      </c>
      <c r="C861" s="120" t="s">
        <v>415</v>
      </c>
      <c r="D861" s="121">
        <v>2</v>
      </c>
      <c r="E861" s="121">
        <v>1199</v>
      </c>
      <c r="F861" s="89">
        <f t="shared" si="166"/>
        <v>2398</v>
      </c>
      <c r="G861" s="20">
        <v>2.56</v>
      </c>
      <c r="H861" s="20">
        <f t="shared" si="167"/>
        <v>3069.44</v>
      </c>
      <c r="I861" s="20">
        <f t="shared" si="168"/>
        <v>6138.88</v>
      </c>
      <c r="J861" s="18">
        <f t="shared" si="169"/>
        <v>20029.439999999999</v>
      </c>
    </row>
    <row r="862" spans="1:11" x14ac:dyDescent="0.25">
      <c r="B862" s="122">
        <v>46196</v>
      </c>
      <c r="C862" s="123" t="s">
        <v>404</v>
      </c>
      <c r="D862" s="124">
        <v>2</v>
      </c>
      <c r="E862" s="124">
        <v>2099</v>
      </c>
      <c r="F862" s="85">
        <f t="shared" si="166"/>
        <v>4198</v>
      </c>
      <c r="G862" s="11">
        <v>2.56</v>
      </c>
      <c r="H862" s="11">
        <f t="shared" si="167"/>
        <v>5373.4400000000005</v>
      </c>
      <c r="I862" s="11">
        <f t="shared" si="168"/>
        <v>10746.880000000001</v>
      </c>
      <c r="J862" s="9">
        <f t="shared" si="169"/>
        <v>30776.32</v>
      </c>
      <c r="K862" s="68">
        <v>46197</v>
      </c>
    </row>
    <row r="863" spans="1:11" x14ac:dyDescent="0.25">
      <c r="B863" s="119">
        <v>46196</v>
      </c>
      <c r="C863" s="120" t="s">
        <v>416</v>
      </c>
      <c r="D863" s="121">
        <v>2</v>
      </c>
      <c r="E863" s="121">
        <v>118</v>
      </c>
      <c r="F863" s="89">
        <f t="shared" si="166"/>
        <v>236</v>
      </c>
      <c r="G863" s="20">
        <v>2.56</v>
      </c>
      <c r="H863" s="20">
        <f t="shared" si="167"/>
        <v>302.08</v>
      </c>
      <c r="I863" s="20">
        <f t="shared" si="168"/>
        <v>604.16</v>
      </c>
      <c r="J863" s="18">
        <f t="shared" si="169"/>
        <v>31380.48</v>
      </c>
    </row>
    <row r="864" spans="1:11" x14ac:dyDescent="0.25">
      <c r="B864" s="119">
        <v>46196</v>
      </c>
      <c r="C864" s="120" t="s">
        <v>417</v>
      </c>
      <c r="D864" s="121">
        <v>2</v>
      </c>
      <c r="E864" s="121">
        <v>2150</v>
      </c>
      <c r="F864" s="89">
        <f t="shared" si="166"/>
        <v>4300</v>
      </c>
      <c r="G864" s="20">
        <v>2.56</v>
      </c>
      <c r="H864" s="20">
        <f t="shared" si="167"/>
        <v>5504</v>
      </c>
      <c r="I864" s="20">
        <f t="shared" si="168"/>
        <v>11008</v>
      </c>
      <c r="J864" s="18">
        <f t="shared" si="169"/>
        <v>42388.479999999996</v>
      </c>
    </row>
    <row r="865" spans="2:11" x14ac:dyDescent="0.25">
      <c r="B865" s="122">
        <v>46196</v>
      </c>
      <c r="C865" s="123" t="s">
        <v>418</v>
      </c>
      <c r="D865" s="124">
        <v>3</v>
      </c>
      <c r="E865" s="124">
        <v>1897</v>
      </c>
      <c r="F865" s="85">
        <f t="shared" si="166"/>
        <v>5691</v>
      </c>
      <c r="G865" s="11">
        <v>2.56</v>
      </c>
      <c r="H865" s="11">
        <f t="shared" si="167"/>
        <v>4856.32</v>
      </c>
      <c r="I865" s="11">
        <f t="shared" si="168"/>
        <v>14568.96</v>
      </c>
      <c r="J865" s="9">
        <f t="shared" si="169"/>
        <v>56957.439999999995</v>
      </c>
      <c r="K865" s="68">
        <v>46197</v>
      </c>
    </row>
    <row r="866" spans="2:11" x14ac:dyDescent="0.25">
      <c r="B866" s="119">
        <v>46196</v>
      </c>
      <c r="C866" s="120" t="s">
        <v>419</v>
      </c>
      <c r="D866" s="121">
        <v>2</v>
      </c>
      <c r="E866" s="121">
        <v>112.1</v>
      </c>
      <c r="F866" s="89">
        <f t="shared" si="166"/>
        <v>224.2</v>
      </c>
      <c r="G866" s="20">
        <v>2.56</v>
      </c>
      <c r="H866" s="20">
        <f t="shared" si="167"/>
        <v>286.976</v>
      </c>
      <c r="I866" s="20">
        <f t="shared" si="168"/>
        <v>573.952</v>
      </c>
      <c r="J866" s="18">
        <f t="shared" si="169"/>
        <v>57531.391999999993</v>
      </c>
    </row>
    <row r="867" spans="2:11" x14ac:dyDescent="0.25">
      <c r="B867" s="118"/>
      <c r="C867" s="118"/>
      <c r="D867" s="118"/>
      <c r="E867" s="118"/>
      <c r="F867" s="7">
        <f t="shared" si="166"/>
        <v>0</v>
      </c>
      <c r="G867" s="7"/>
      <c r="H867" s="7">
        <f t="shared" si="167"/>
        <v>0</v>
      </c>
      <c r="I867" s="7">
        <f t="shared" si="168"/>
        <v>0</v>
      </c>
      <c r="J867" s="5">
        <f t="shared" si="169"/>
        <v>57531.391999999993</v>
      </c>
    </row>
  </sheetData>
  <mergeCells count="48">
    <mergeCell ref="B636:J636"/>
    <mergeCell ref="B652:J652"/>
    <mergeCell ref="B526:J526"/>
    <mergeCell ref="B544:J544"/>
    <mergeCell ref="B568:J568"/>
    <mergeCell ref="B595:J595"/>
    <mergeCell ref="B624:J624"/>
    <mergeCell ref="B392:J392"/>
    <mergeCell ref="B482:J482"/>
    <mergeCell ref="B515:O515"/>
    <mergeCell ref="B405:J405"/>
    <mergeCell ref="B418:J418"/>
    <mergeCell ref="B441:J441"/>
    <mergeCell ref="B461:J461"/>
    <mergeCell ref="B360:J360"/>
    <mergeCell ref="B261:J261"/>
    <mergeCell ref="B281:J281"/>
    <mergeCell ref="B300:O300"/>
    <mergeCell ref="B315:J315"/>
    <mergeCell ref="B332:O332"/>
    <mergeCell ref="B183:J183"/>
    <mergeCell ref="B212:J212"/>
    <mergeCell ref="B220:O220"/>
    <mergeCell ref="B231:J231"/>
    <mergeCell ref="B241:J241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669:J669"/>
    <mergeCell ref="B687:J687"/>
    <mergeCell ref="B710:J710"/>
    <mergeCell ref="B731:J731"/>
    <mergeCell ref="B741:J741"/>
    <mergeCell ref="B752:J752"/>
    <mergeCell ref="B770:J770"/>
    <mergeCell ref="B797:J797"/>
    <mergeCell ref="B835:J835"/>
    <mergeCell ref="B855:J855"/>
    <mergeCell ref="B815:J815"/>
    <mergeCell ref="B825:J8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31"/>
  <sheetViews>
    <sheetView topLeftCell="A56" workbookViewId="0">
      <selection activeCell="F66" sqref="F66"/>
    </sheetView>
  </sheetViews>
  <sheetFormatPr defaultRowHeight="15" x14ac:dyDescent="0.25"/>
  <cols>
    <col min="2" max="2" width="12.425781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21.5703125" customWidth="1"/>
    <col min="8" max="8" width="14.425781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127" t="s">
        <v>3</v>
      </c>
      <c r="C16" s="128"/>
      <c r="D16" s="40" t="s">
        <v>121</v>
      </c>
      <c r="E16" s="41"/>
      <c r="F16" s="41"/>
    </row>
    <row r="17" spans="2:7" ht="15.75" thickBot="1" x14ac:dyDescent="0.3">
      <c r="B17" s="129" t="s">
        <v>104</v>
      </c>
      <c r="C17" s="130"/>
      <c r="D17" s="42" t="s">
        <v>122</v>
      </c>
      <c r="E17" s="43"/>
      <c r="F17" s="43"/>
    </row>
    <row r="18" spans="2:7" ht="15.75" thickBot="1" x14ac:dyDescent="0.3">
      <c r="B18" s="52">
        <v>1</v>
      </c>
      <c r="C18" s="53" t="s">
        <v>123</v>
      </c>
      <c r="D18" s="53" t="s">
        <v>124</v>
      </c>
      <c r="E18" s="53" t="s">
        <v>125</v>
      </c>
      <c r="F18" s="54">
        <v>357311288544547</v>
      </c>
      <c r="G18" s="55">
        <v>4980.4232400000001</v>
      </c>
    </row>
    <row r="19" spans="2:7" ht="15.75" thickBot="1" x14ac:dyDescent="0.3">
      <c r="B19" s="52">
        <v>2</v>
      </c>
      <c r="C19" s="53" t="s">
        <v>123</v>
      </c>
      <c r="D19" s="53" t="s">
        <v>124</v>
      </c>
      <c r="E19" s="53" t="s">
        <v>125</v>
      </c>
      <c r="F19" s="54">
        <v>356722731048954</v>
      </c>
      <c r="G19" s="55">
        <v>4980.4232400000001</v>
      </c>
    </row>
    <row r="20" spans="2:7" ht="15.75" thickBot="1" x14ac:dyDescent="0.3">
      <c r="B20" s="52">
        <v>3</v>
      </c>
      <c r="C20" s="53" t="s">
        <v>123</v>
      </c>
      <c r="D20" s="53" t="s">
        <v>124</v>
      </c>
      <c r="E20" s="53" t="s">
        <v>125</v>
      </c>
      <c r="F20" s="54">
        <v>356722732436992</v>
      </c>
      <c r="G20" s="55">
        <v>4803.8694299999997</v>
      </c>
    </row>
    <row r="21" spans="2:7" ht="15.75" thickBot="1" x14ac:dyDescent="0.3">
      <c r="B21" s="52">
        <v>4</v>
      </c>
      <c r="C21" s="53" t="s">
        <v>123</v>
      </c>
      <c r="D21" s="53" t="s">
        <v>124</v>
      </c>
      <c r="E21" s="53" t="s">
        <v>125</v>
      </c>
      <c r="F21" s="54">
        <v>356722731228671</v>
      </c>
      <c r="G21" s="55">
        <v>4803.8694299999997</v>
      </c>
    </row>
    <row r="22" spans="2:7" ht="15.75" thickBot="1" x14ac:dyDescent="0.3">
      <c r="B22" s="52">
        <v>5</v>
      </c>
      <c r="C22" s="53" t="s">
        <v>123</v>
      </c>
      <c r="D22" s="53" t="s">
        <v>124</v>
      </c>
      <c r="E22" s="53" t="s">
        <v>125</v>
      </c>
      <c r="F22" s="54">
        <v>352758408372867</v>
      </c>
      <c r="G22" s="55">
        <v>4881.2849999999999</v>
      </c>
    </row>
    <row r="23" spans="2:7" ht="15.75" thickBot="1" x14ac:dyDescent="0.3">
      <c r="B23" s="52">
        <v>6</v>
      </c>
      <c r="C23" s="53" t="s">
        <v>123</v>
      </c>
      <c r="D23" s="53" t="s">
        <v>124</v>
      </c>
      <c r="E23" s="53" t="s">
        <v>125</v>
      </c>
      <c r="F23" s="54">
        <v>356722732318984</v>
      </c>
      <c r="G23" s="55">
        <v>4881.2849999999999</v>
      </c>
    </row>
    <row r="24" spans="2:7" ht="15.75" thickBot="1" x14ac:dyDescent="0.3">
      <c r="B24" s="52">
        <v>7</v>
      </c>
      <c r="C24" s="53" t="s">
        <v>123</v>
      </c>
      <c r="D24" s="53" t="s">
        <v>124</v>
      </c>
      <c r="E24" s="53" t="s">
        <v>125</v>
      </c>
      <c r="F24" s="54">
        <v>356722732122964</v>
      </c>
      <c r="G24" s="55">
        <v>4881.2849999999999</v>
      </c>
    </row>
    <row r="25" spans="2:7" ht="15.75" thickBot="1" x14ac:dyDescent="0.3">
      <c r="B25" s="52">
        <v>8</v>
      </c>
      <c r="C25" s="53" t="s">
        <v>123</v>
      </c>
      <c r="D25" s="53" t="s">
        <v>124</v>
      </c>
      <c r="E25" s="53" t="s">
        <v>125</v>
      </c>
      <c r="F25" s="54">
        <v>356722732492409</v>
      </c>
      <c r="G25" s="55">
        <v>4881.2849999999999</v>
      </c>
    </row>
    <row r="26" spans="2:7" ht="15.75" thickBot="1" x14ac:dyDescent="0.3">
      <c r="B26" s="52">
        <v>9</v>
      </c>
      <c r="C26" s="53" t="s">
        <v>123</v>
      </c>
      <c r="D26" s="53" t="s">
        <v>126</v>
      </c>
      <c r="E26" s="53" t="s">
        <v>125</v>
      </c>
      <c r="F26" s="54">
        <v>357903256189915</v>
      </c>
      <c r="G26" s="55">
        <v>4881.2849999999999</v>
      </c>
    </row>
    <row r="27" spans="2:7" ht="15.75" thickBot="1" x14ac:dyDescent="0.3">
      <c r="B27" s="52">
        <v>10</v>
      </c>
      <c r="C27" s="53" t="s">
        <v>123</v>
      </c>
      <c r="D27" s="53" t="s">
        <v>126</v>
      </c>
      <c r="E27" s="53" t="s">
        <v>125</v>
      </c>
      <c r="F27" s="54">
        <v>351784399117633</v>
      </c>
      <c r="G27" s="55">
        <v>4881.2849999999999</v>
      </c>
    </row>
    <row r="28" spans="2:7" ht="15.75" thickBot="1" x14ac:dyDescent="0.3">
      <c r="B28" s="52">
        <v>11</v>
      </c>
      <c r="C28" s="53" t="s">
        <v>123</v>
      </c>
      <c r="D28" s="53" t="s">
        <v>126</v>
      </c>
      <c r="E28" s="53" t="s">
        <v>125</v>
      </c>
      <c r="F28" s="54">
        <v>356722738091312</v>
      </c>
      <c r="G28" s="55">
        <v>4881.2849999999999</v>
      </c>
    </row>
    <row r="29" spans="2:7" ht="15.75" thickBot="1" x14ac:dyDescent="0.3">
      <c r="B29" s="52">
        <v>12</v>
      </c>
      <c r="C29" s="53" t="s">
        <v>123</v>
      </c>
      <c r="D29" s="53" t="s">
        <v>126</v>
      </c>
      <c r="E29" s="53" t="s">
        <v>125</v>
      </c>
      <c r="F29" s="54">
        <v>356722737664176</v>
      </c>
      <c r="G29" s="55">
        <v>4881.2849999999999</v>
      </c>
    </row>
    <row r="30" spans="2:7" ht="15.75" thickBot="1" x14ac:dyDescent="0.3">
      <c r="B30" s="52">
        <v>13</v>
      </c>
      <c r="C30" s="53" t="s">
        <v>123</v>
      </c>
      <c r="D30" s="53" t="s">
        <v>126</v>
      </c>
      <c r="E30" s="53" t="s">
        <v>125</v>
      </c>
      <c r="F30" s="54">
        <v>351784398989180</v>
      </c>
      <c r="G30" s="55">
        <v>4881.2849999999999</v>
      </c>
    </row>
    <row r="31" spans="2:7" ht="15.75" thickBot="1" x14ac:dyDescent="0.3">
      <c r="B31" s="52">
        <v>14</v>
      </c>
      <c r="C31" s="53" t="s">
        <v>123</v>
      </c>
      <c r="D31" s="53" t="s">
        <v>126</v>
      </c>
      <c r="E31" s="53" t="s">
        <v>125</v>
      </c>
      <c r="F31" s="54">
        <v>351784398960173</v>
      </c>
      <c r="G31" s="55">
        <v>4881.2849999999999</v>
      </c>
    </row>
    <row r="32" spans="2:7" ht="15.75" thickBot="1" x14ac:dyDescent="0.3">
      <c r="B32" s="52">
        <v>15</v>
      </c>
      <c r="C32" s="53" t="s">
        <v>123</v>
      </c>
      <c r="D32" s="53" t="s">
        <v>126</v>
      </c>
      <c r="E32" s="53" t="s">
        <v>125</v>
      </c>
      <c r="F32" s="54">
        <v>356722738052967</v>
      </c>
      <c r="G32" s="55">
        <v>4881.2849999999999</v>
      </c>
    </row>
    <row r="33" spans="2:7" ht="15.75" thickBot="1" x14ac:dyDescent="0.3">
      <c r="B33" s="52">
        <v>16</v>
      </c>
      <c r="C33" s="53" t="s">
        <v>123</v>
      </c>
      <c r="D33" s="53" t="s">
        <v>126</v>
      </c>
      <c r="E33" s="53" t="s">
        <v>125</v>
      </c>
      <c r="F33" s="54">
        <v>351784398944524</v>
      </c>
      <c r="G33" s="55">
        <v>4881.2849999999999</v>
      </c>
    </row>
    <row r="34" spans="2:7" ht="15.75" thickBot="1" x14ac:dyDescent="0.3">
      <c r="B34" s="52">
        <v>17</v>
      </c>
      <c r="C34" s="53" t="s">
        <v>123</v>
      </c>
      <c r="D34" s="53" t="s">
        <v>126</v>
      </c>
      <c r="E34" s="53" t="s">
        <v>125</v>
      </c>
      <c r="F34" s="54">
        <v>351784399158041</v>
      </c>
      <c r="G34" s="55">
        <v>4881.2849999999999</v>
      </c>
    </row>
    <row r="35" spans="2:7" ht="15.75" thickBot="1" x14ac:dyDescent="0.3">
      <c r="B35" s="52">
        <v>18</v>
      </c>
      <c r="C35" s="53" t="s">
        <v>123</v>
      </c>
      <c r="D35" s="53" t="s">
        <v>126</v>
      </c>
      <c r="E35" s="53" t="s">
        <v>125</v>
      </c>
      <c r="F35" s="54">
        <v>351784398758668</v>
      </c>
      <c r="G35" s="55">
        <v>4881.2849999999999</v>
      </c>
    </row>
    <row r="36" spans="2:7" ht="15.75" thickBot="1" x14ac:dyDescent="0.3">
      <c r="B36" s="52">
        <v>19</v>
      </c>
      <c r="C36" s="53" t="s">
        <v>123</v>
      </c>
      <c r="D36" s="53" t="s">
        <v>126</v>
      </c>
      <c r="E36" s="53" t="s">
        <v>125</v>
      </c>
      <c r="F36" s="54">
        <v>351784398760383</v>
      </c>
      <c r="G36" s="55">
        <v>4881.2849999999999</v>
      </c>
    </row>
    <row r="37" spans="2:7" ht="15.75" thickBot="1" x14ac:dyDescent="0.3">
      <c r="B37" s="52">
        <v>20</v>
      </c>
      <c r="C37" s="53" t="s">
        <v>123</v>
      </c>
      <c r="D37" s="53" t="s">
        <v>126</v>
      </c>
      <c r="E37" s="53" t="s">
        <v>125</v>
      </c>
      <c r="F37" s="54">
        <v>351784399238439</v>
      </c>
      <c r="G37" s="55">
        <v>4881.2849999999999</v>
      </c>
    </row>
    <row r="38" spans="2:7" ht="15.75" thickBot="1" x14ac:dyDescent="0.3">
      <c r="B38" s="52">
        <v>21</v>
      </c>
      <c r="C38" s="53" t="s">
        <v>123</v>
      </c>
      <c r="D38" s="53" t="s">
        <v>126</v>
      </c>
      <c r="E38" s="53" t="s">
        <v>125</v>
      </c>
      <c r="F38" s="54">
        <v>351784399025976</v>
      </c>
      <c r="G38" s="55">
        <v>4803.8694299999997</v>
      </c>
    </row>
    <row r="39" spans="2:7" ht="15.75" thickBot="1" x14ac:dyDescent="0.3">
      <c r="B39" s="52">
        <v>22</v>
      </c>
      <c r="C39" s="53" t="s">
        <v>123</v>
      </c>
      <c r="D39" s="53" t="s">
        <v>126</v>
      </c>
      <c r="E39" s="53" t="s">
        <v>125</v>
      </c>
      <c r="F39" s="54">
        <v>357903256164868</v>
      </c>
      <c r="G39" s="55">
        <v>4803.8694299999997</v>
      </c>
    </row>
    <row r="40" spans="2:7" ht="15.75" thickBot="1" x14ac:dyDescent="0.3">
      <c r="B40" s="52">
        <v>23</v>
      </c>
      <c r="C40" s="53" t="s">
        <v>123</v>
      </c>
      <c r="D40" s="53" t="s">
        <v>126</v>
      </c>
      <c r="E40" s="53" t="s">
        <v>125</v>
      </c>
      <c r="F40" s="54">
        <v>357903255981775</v>
      </c>
      <c r="G40" s="55">
        <v>4803.8694299999997</v>
      </c>
    </row>
    <row r="41" spans="2:7" ht="15.75" thickBot="1" x14ac:dyDescent="0.3">
      <c r="B41" s="52">
        <v>24</v>
      </c>
      <c r="C41" s="53" t="s">
        <v>123</v>
      </c>
      <c r="D41" s="53" t="s">
        <v>126</v>
      </c>
      <c r="E41" s="53" t="s">
        <v>125</v>
      </c>
      <c r="F41" s="54">
        <v>356722737327212</v>
      </c>
      <c r="G41" s="55">
        <v>4803.8694299999997</v>
      </c>
    </row>
    <row r="42" spans="2:7" ht="15.75" thickBot="1" x14ac:dyDescent="0.3">
      <c r="B42" s="52">
        <v>25</v>
      </c>
      <c r="C42" s="53" t="s">
        <v>123</v>
      </c>
      <c r="D42" s="53" t="s">
        <v>126</v>
      </c>
      <c r="E42" s="53" t="s">
        <v>125</v>
      </c>
      <c r="F42" s="54">
        <v>351784398774574</v>
      </c>
      <c r="G42" s="55">
        <v>4803.8694299999997</v>
      </c>
    </row>
    <row r="43" spans="2:7" ht="15.75" thickBot="1" x14ac:dyDescent="0.3">
      <c r="B43" s="52">
        <v>26</v>
      </c>
      <c r="C43" s="53" t="s">
        <v>123</v>
      </c>
      <c r="D43" s="53" t="s">
        <v>126</v>
      </c>
      <c r="E43" s="53" t="s">
        <v>125</v>
      </c>
      <c r="F43" s="54">
        <v>356722737436211</v>
      </c>
      <c r="G43" s="55">
        <v>4803.8694299999997</v>
      </c>
    </row>
    <row r="44" spans="2:7" ht="15.75" thickBot="1" x14ac:dyDescent="0.3">
      <c r="B44" s="52">
        <v>27</v>
      </c>
      <c r="C44" s="53" t="s">
        <v>123</v>
      </c>
      <c r="D44" s="53" t="s">
        <v>126</v>
      </c>
      <c r="E44" s="53" t="s">
        <v>125</v>
      </c>
      <c r="F44" s="54">
        <v>356722738049112</v>
      </c>
      <c r="G44" s="55">
        <v>4803.8694299999997</v>
      </c>
    </row>
    <row r="45" spans="2:7" ht="15.75" thickBot="1" x14ac:dyDescent="0.3">
      <c r="B45" s="52">
        <v>28</v>
      </c>
      <c r="C45" s="53" t="s">
        <v>123</v>
      </c>
      <c r="D45" s="53" t="s">
        <v>126</v>
      </c>
      <c r="E45" s="53" t="s">
        <v>125</v>
      </c>
      <c r="F45" s="54">
        <v>356908918928668</v>
      </c>
      <c r="G45" s="55">
        <v>4803.8694299999997</v>
      </c>
    </row>
    <row r="46" spans="2:7" ht="15.75" thickBot="1" x14ac:dyDescent="0.3">
      <c r="B46" s="52">
        <v>29</v>
      </c>
      <c r="C46" s="53" t="s">
        <v>123</v>
      </c>
      <c r="D46" s="53" t="s">
        <v>126</v>
      </c>
      <c r="E46" s="53" t="s">
        <v>125</v>
      </c>
      <c r="F46" s="54">
        <v>356722738173250</v>
      </c>
      <c r="G46" s="55">
        <v>4803.8694299999997</v>
      </c>
    </row>
    <row r="47" spans="2:7" ht="15.75" thickBot="1" x14ac:dyDescent="0.3">
      <c r="B47" s="52">
        <v>30</v>
      </c>
      <c r="C47" s="53" t="s">
        <v>123</v>
      </c>
      <c r="D47" s="53" t="s">
        <v>126</v>
      </c>
      <c r="E47" s="53" t="s">
        <v>125</v>
      </c>
      <c r="F47" s="54">
        <v>356722738462760</v>
      </c>
      <c r="G47" s="55">
        <v>4803.8694299999997</v>
      </c>
    </row>
    <row r="48" spans="2:7" ht="15.75" thickBot="1" x14ac:dyDescent="0.3">
      <c r="B48" s="52">
        <v>31</v>
      </c>
      <c r="C48" s="53" t="s">
        <v>123</v>
      </c>
      <c r="D48" s="53" t="s">
        <v>126</v>
      </c>
      <c r="E48" s="53" t="s">
        <v>125</v>
      </c>
      <c r="F48" s="54">
        <v>356722738455111</v>
      </c>
      <c r="G48" s="55">
        <v>4803.8694299999997</v>
      </c>
    </row>
    <row r="49" spans="2:7" ht="15.75" thickBot="1" x14ac:dyDescent="0.3">
      <c r="B49" s="52">
        <v>32</v>
      </c>
      <c r="C49" s="53" t="s">
        <v>123</v>
      </c>
      <c r="D49" s="53" t="s">
        <v>126</v>
      </c>
      <c r="E49" s="53" t="s">
        <v>125</v>
      </c>
      <c r="F49" s="54">
        <v>356722737557578</v>
      </c>
      <c r="G49" s="55">
        <v>4803.8694299999997</v>
      </c>
    </row>
    <row r="50" spans="2:7" ht="15.75" thickBot="1" x14ac:dyDescent="0.3">
      <c r="B50" s="52">
        <v>33</v>
      </c>
      <c r="C50" s="53" t="s">
        <v>123</v>
      </c>
      <c r="D50" s="53" t="s">
        <v>126</v>
      </c>
      <c r="E50" s="53" t="s">
        <v>125</v>
      </c>
      <c r="F50" s="54">
        <v>356722737348721</v>
      </c>
      <c r="G50" s="55">
        <v>4803.8694299999997</v>
      </c>
    </row>
    <row r="51" spans="2:7" ht="15.75" thickBot="1" x14ac:dyDescent="0.3">
      <c r="B51" s="52">
        <v>34</v>
      </c>
      <c r="C51" s="53" t="s">
        <v>123</v>
      </c>
      <c r="D51" s="53" t="s">
        <v>126</v>
      </c>
      <c r="E51" s="53" t="s">
        <v>125</v>
      </c>
      <c r="F51" s="54">
        <v>356908918984257</v>
      </c>
      <c r="G51" s="55">
        <v>4803.8694299999997</v>
      </c>
    </row>
    <row r="52" spans="2:7" ht="15.75" thickBot="1" x14ac:dyDescent="0.3">
      <c r="B52" s="52">
        <v>35</v>
      </c>
      <c r="C52" s="53" t="s">
        <v>123</v>
      </c>
      <c r="D52" s="53" t="s">
        <v>126</v>
      </c>
      <c r="E52" s="53" t="s">
        <v>125</v>
      </c>
      <c r="F52" s="54">
        <v>351784398999825</v>
      </c>
      <c r="G52" s="55">
        <v>4881.2849999999999</v>
      </c>
    </row>
    <row r="53" spans="2:7" ht="15.75" thickBot="1" x14ac:dyDescent="0.3">
      <c r="B53" s="52">
        <v>36</v>
      </c>
      <c r="C53" s="53" t="s">
        <v>123</v>
      </c>
      <c r="D53" s="53" t="s">
        <v>126</v>
      </c>
      <c r="E53" s="53" t="s">
        <v>125</v>
      </c>
      <c r="F53" s="54">
        <v>357739168928176</v>
      </c>
      <c r="G53" s="55">
        <v>4881.2849999999999</v>
      </c>
    </row>
    <row r="54" spans="2:7" ht="15.75" thickBot="1" x14ac:dyDescent="0.3">
      <c r="B54" s="52">
        <v>37</v>
      </c>
      <c r="C54" s="53" t="s">
        <v>123</v>
      </c>
      <c r="D54" s="53" t="s">
        <v>126</v>
      </c>
      <c r="E54" s="53" t="s">
        <v>125</v>
      </c>
      <c r="F54" s="54">
        <v>356722738283067</v>
      </c>
      <c r="G54" s="55">
        <v>4881.2849999999999</v>
      </c>
    </row>
    <row r="55" spans="2:7" ht="15.75" thickBot="1" x14ac:dyDescent="0.3">
      <c r="B55" s="52">
        <v>38</v>
      </c>
      <c r="C55" s="53" t="s">
        <v>123</v>
      </c>
      <c r="D55" s="53" t="s">
        <v>126</v>
      </c>
      <c r="E55" s="53" t="s">
        <v>125</v>
      </c>
      <c r="F55" s="54">
        <v>357739168891804</v>
      </c>
      <c r="G55" s="55">
        <v>4881.2849999999999</v>
      </c>
    </row>
    <row r="56" spans="2:7" ht="15.75" thickBot="1" x14ac:dyDescent="0.3">
      <c r="B56" s="52">
        <v>39</v>
      </c>
      <c r="C56" s="53" t="s">
        <v>123</v>
      </c>
      <c r="D56" s="53" t="s">
        <v>126</v>
      </c>
      <c r="E56" s="53" t="s">
        <v>125</v>
      </c>
      <c r="F56" s="54">
        <v>356722737714245</v>
      </c>
      <c r="G56" s="55">
        <v>4881.2849999999999</v>
      </c>
    </row>
    <row r="57" spans="2:7" ht="15.75" thickBot="1" x14ac:dyDescent="0.3">
      <c r="B57" s="52">
        <v>40</v>
      </c>
      <c r="C57" s="53" t="s">
        <v>127</v>
      </c>
      <c r="D57" s="53" t="s">
        <v>128</v>
      </c>
      <c r="E57" s="53" t="s">
        <v>125</v>
      </c>
      <c r="F57" s="54">
        <v>356523761791970</v>
      </c>
      <c r="G57" s="55">
        <v>3383.2546000000002</v>
      </c>
    </row>
    <row r="58" spans="2:7" ht="15.75" thickBot="1" x14ac:dyDescent="0.3">
      <c r="B58" s="52">
        <v>41</v>
      </c>
      <c r="C58" s="53" t="s">
        <v>127</v>
      </c>
      <c r="D58" s="53" t="s">
        <v>128</v>
      </c>
      <c r="E58" s="53" t="s">
        <v>125</v>
      </c>
      <c r="F58" s="54">
        <v>358258282013129</v>
      </c>
      <c r="G58" s="55">
        <v>3383.2546000000002</v>
      </c>
    </row>
    <row r="59" spans="2:7" ht="15.75" thickBot="1" x14ac:dyDescent="0.3">
      <c r="B59" s="52">
        <v>42</v>
      </c>
      <c r="C59" s="53" t="s">
        <v>127</v>
      </c>
      <c r="D59" s="53" t="s">
        <v>128</v>
      </c>
      <c r="E59" s="53" t="s">
        <v>125</v>
      </c>
      <c r="F59" s="54">
        <v>356523761667352</v>
      </c>
      <c r="G59" s="55">
        <v>3383.2546000000002</v>
      </c>
    </row>
    <row r="60" spans="2:7" ht="15.75" thickBot="1" x14ac:dyDescent="0.3">
      <c r="B60" s="52">
        <v>43</v>
      </c>
      <c r="C60" s="53" t="s">
        <v>127</v>
      </c>
      <c r="D60" s="53" t="s">
        <v>128</v>
      </c>
      <c r="E60" s="53" t="s">
        <v>125</v>
      </c>
      <c r="F60" s="54">
        <v>356523761963934</v>
      </c>
      <c r="G60" s="55">
        <v>3383.2546000000002</v>
      </c>
    </row>
    <row r="61" spans="2:7" ht="15.75" thickBot="1" x14ac:dyDescent="0.3">
      <c r="B61" s="52">
        <v>44</v>
      </c>
      <c r="C61" s="53" t="s">
        <v>127</v>
      </c>
      <c r="D61" s="53" t="s">
        <v>129</v>
      </c>
      <c r="E61" s="53" t="s">
        <v>125</v>
      </c>
      <c r="F61" s="54">
        <v>358918502652432</v>
      </c>
      <c r="G61" s="55">
        <v>3383.2546000000002</v>
      </c>
    </row>
    <row r="62" spans="2:7" ht="15.75" thickBot="1" x14ac:dyDescent="0.3">
      <c r="B62" s="52">
        <v>45</v>
      </c>
      <c r="C62" s="53" t="s">
        <v>127</v>
      </c>
      <c r="D62" s="53" t="s">
        <v>129</v>
      </c>
      <c r="E62" s="53" t="s">
        <v>125</v>
      </c>
      <c r="F62" s="54">
        <v>353065383441389</v>
      </c>
      <c r="G62" s="55">
        <v>3383.2546000000002</v>
      </c>
    </row>
    <row r="63" spans="2:7" ht="15.75" thickBot="1" x14ac:dyDescent="0.3">
      <c r="B63" s="52">
        <v>46</v>
      </c>
      <c r="C63" s="53" t="s">
        <v>127</v>
      </c>
      <c r="D63" s="53" t="s">
        <v>129</v>
      </c>
      <c r="E63" s="53" t="s">
        <v>125</v>
      </c>
      <c r="F63" s="54">
        <v>356523762750090</v>
      </c>
      <c r="G63" s="55">
        <v>3383.2546000000002</v>
      </c>
    </row>
    <row r="64" spans="2:7" ht="15.75" thickBot="1" x14ac:dyDescent="0.3">
      <c r="B64" s="52">
        <v>47</v>
      </c>
      <c r="C64" s="53" t="s">
        <v>127</v>
      </c>
      <c r="D64" s="53" t="s">
        <v>129</v>
      </c>
      <c r="E64" s="53" t="s">
        <v>125</v>
      </c>
      <c r="F64" s="54">
        <v>358918503424849</v>
      </c>
      <c r="G64" s="55">
        <v>3383.2546000000002</v>
      </c>
    </row>
    <row r="65" spans="2:7" ht="15.75" thickBot="1" x14ac:dyDescent="0.3">
      <c r="B65" s="52">
        <v>48</v>
      </c>
      <c r="C65" s="53" t="s">
        <v>127</v>
      </c>
      <c r="D65" s="53" t="s">
        <v>129</v>
      </c>
      <c r="E65" s="53" t="s">
        <v>125</v>
      </c>
      <c r="F65" s="54">
        <v>353065383522717</v>
      </c>
      <c r="G65" s="55">
        <v>3383.2546000000002</v>
      </c>
    </row>
    <row r="66" spans="2:7" ht="15.75" thickBot="1" x14ac:dyDescent="0.3">
      <c r="B66" s="52">
        <v>49</v>
      </c>
      <c r="C66" s="53" t="s">
        <v>127</v>
      </c>
      <c r="D66" s="53" t="s">
        <v>130</v>
      </c>
      <c r="E66" s="53" t="s">
        <v>125</v>
      </c>
      <c r="F66" s="54">
        <v>358378923991010</v>
      </c>
      <c r="G66" s="55">
        <v>3385.6763999999998</v>
      </c>
    </row>
    <row r="67" spans="2:7" ht="15.75" thickBot="1" x14ac:dyDescent="0.3">
      <c r="B67" s="52">
        <v>50</v>
      </c>
      <c r="C67" s="53" t="s">
        <v>127</v>
      </c>
      <c r="D67" s="53" t="s">
        <v>130</v>
      </c>
      <c r="E67" s="53" t="s">
        <v>125</v>
      </c>
      <c r="F67" s="54">
        <v>358378921566780</v>
      </c>
      <c r="G67" s="55">
        <v>3385.6763999999998</v>
      </c>
    </row>
    <row r="68" spans="2:7" ht="15.75" thickBot="1" x14ac:dyDescent="0.3">
      <c r="B68" s="52">
        <v>51</v>
      </c>
      <c r="C68" s="53" t="s">
        <v>127</v>
      </c>
      <c r="D68" s="53" t="s">
        <v>130</v>
      </c>
      <c r="E68" s="53" t="s">
        <v>125</v>
      </c>
      <c r="F68" s="54">
        <v>356182201321532</v>
      </c>
      <c r="G68" s="55">
        <v>3383.2546000000002</v>
      </c>
    </row>
    <row r="69" spans="2:7" ht="15.75" thickBot="1" x14ac:dyDescent="0.3">
      <c r="B69" s="52">
        <v>52</v>
      </c>
      <c r="C69" s="53" t="s">
        <v>127</v>
      </c>
      <c r="D69" s="53" t="s">
        <v>130</v>
      </c>
      <c r="E69" s="53" t="s">
        <v>125</v>
      </c>
      <c r="F69" s="54">
        <v>356182200979447</v>
      </c>
      <c r="G69" s="55">
        <v>3383.2546000000002</v>
      </c>
    </row>
    <row r="70" spans="2:7" ht="15.75" thickBot="1" x14ac:dyDescent="0.3">
      <c r="B70" s="52">
        <v>53</v>
      </c>
      <c r="C70" s="53" t="s">
        <v>127</v>
      </c>
      <c r="D70" s="53" t="s">
        <v>130</v>
      </c>
      <c r="E70" s="53" t="s">
        <v>125</v>
      </c>
      <c r="F70" s="54">
        <v>356182203812850</v>
      </c>
      <c r="G70" s="55">
        <v>3270.3012899999999</v>
      </c>
    </row>
    <row r="71" spans="2:7" ht="15.75" thickBot="1" x14ac:dyDescent="0.3">
      <c r="B71" s="52">
        <v>54</v>
      </c>
      <c r="C71" s="53" t="s">
        <v>127</v>
      </c>
      <c r="D71" s="53" t="s">
        <v>130</v>
      </c>
      <c r="E71" s="53" t="s">
        <v>125</v>
      </c>
      <c r="F71" s="54">
        <v>358918501178686</v>
      </c>
      <c r="G71" s="55">
        <v>3270.3012899999999</v>
      </c>
    </row>
    <row r="72" spans="2:7" ht="15.75" thickBot="1" x14ac:dyDescent="0.3">
      <c r="B72" s="52">
        <v>55</v>
      </c>
      <c r="C72" s="53" t="s">
        <v>127</v>
      </c>
      <c r="D72" s="53" t="s">
        <v>130</v>
      </c>
      <c r="E72" s="53" t="s">
        <v>125</v>
      </c>
      <c r="F72" s="54">
        <v>353065382846091</v>
      </c>
      <c r="G72" s="55">
        <v>3270.3012899999999</v>
      </c>
    </row>
    <row r="73" spans="2:7" ht="15.75" thickBot="1" x14ac:dyDescent="0.3">
      <c r="B73" s="52">
        <v>56</v>
      </c>
      <c r="C73" s="53" t="s">
        <v>127</v>
      </c>
      <c r="D73" s="53" t="s">
        <v>130</v>
      </c>
      <c r="E73" s="53" t="s">
        <v>125</v>
      </c>
      <c r="F73" s="54">
        <v>353065382766703</v>
      </c>
      <c r="G73" s="55">
        <v>3270.3012899999999</v>
      </c>
    </row>
    <row r="74" spans="2:7" ht="15.75" thickBot="1" x14ac:dyDescent="0.3">
      <c r="B74" s="52">
        <v>57</v>
      </c>
      <c r="C74" s="53" t="s">
        <v>127</v>
      </c>
      <c r="D74" s="53" t="s">
        <v>130</v>
      </c>
      <c r="E74" s="53" t="s">
        <v>125</v>
      </c>
      <c r="F74" s="54">
        <v>351737652283591</v>
      </c>
      <c r="G74" s="55">
        <v>3270.3012899999999</v>
      </c>
    </row>
    <row r="75" spans="2:7" ht="15.75" thickBot="1" x14ac:dyDescent="0.3">
      <c r="B75" s="52">
        <v>58</v>
      </c>
      <c r="C75" s="53" t="s">
        <v>127</v>
      </c>
      <c r="D75" s="53" t="s">
        <v>130</v>
      </c>
      <c r="E75" s="53" t="s">
        <v>125</v>
      </c>
      <c r="F75" s="54">
        <v>353065380365300</v>
      </c>
      <c r="G75" s="55">
        <v>3274.6704300000001</v>
      </c>
    </row>
    <row r="76" spans="2:7" ht="15.75" thickBot="1" x14ac:dyDescent="0.3">
      <c r="B76" s="52">
        <v>59</v>
      </c>
      <c r="C76" s="53" t="s">
        <v>127</v>
      </c>
      <c r="D76" s="53" t="s">
        <v>130</v>
      </c>
      <c r="E76" s="53" t="s">
        <v>125</v>
      </c>
      <c r="F76" s="54">
        <v>353065383930746</v>
      </c>
      <c r="G76" s="55">
        <v>3274.6704300000001</v>
      </c>
    </row>
    <row r="77" spans="2:7" ht="15.75" thickBot="1" x14ac:dyDescent="0.3">
      <c r="B77" s="52">
        <v>60</v>
      </c>
      <c r="C77" s="53" t="s">
        <v>127</v>
      </c>
      <c r="D77" s="53" t="s">
        <v>130</v>
      </c>
      <c r="E77" s="53" t="s">
        <v>125</v>
      </c>
      <c r="F77" s="54">
        <v>356182204104018</v>
      </c>
      <c r="G77" s="55">
        <v>3274.6704300000001</v>
      </c>
    </row>
    <row r="78" spans="2:7" ht="15.75" thickBot="1" x14ac:dyDescent="0.3">
      <c r="B78" s="52">
        <v>61</v>
      </c>
      <c r="C78" s="53" t="s">
        <v>127</v>
      </c>
      <c r="D78" s="53" t="s">
        <v>130</v>
      </c>
      <c r="E78" s="53" t="s">
        <v>125</v>
      </c>
      <c r="F78" s="54">
        <v>356182202549131</v>
      </c>
      <c r="G78" s="55">
        <v>3274.6704300000001</v>
      </c>
    </row>
    <row r="79" spans="2:7" ht="15.75" thickBot="1" x14ac:dyDescent="0.3">
      <c r="B79" s="52">
        <v>62</v>
      </c>
      <c r="C79" s="53" t="s">
        <v>131</v>
      </c>
      <c r="D79" s="53" t="s">
        <v>105</v>
      </c>
      <c r="E79" s="53" t="s">
        <v>132</v>
      </c>
      <c r="F79" s="54" t="s">
        <v>133</v>
      </c>
      <c r="G79" s="55">
        <v>1158.3945000000001</v>
      </c>
    </row>
    <row r="80" spans="2:7" ht="15.75" thickBot="1" x14ac:dyDescent="0.3">
      <c r="B80" s="52">
        <v>63</v>
      </c>
      <c r="C80" s="53" t="s">
        <v>131</v>
      </c>
      <c r="D80" s="53" t="s">
        <v>105</v>
      </c>
      <c r="E80" s="53" t="s">
        <v>132</v>
      </c>
      <c r="F80" s="54" t="s">
        <v>134</v>
      </c>
      <c r="G80" s="55">
        <v>1158.3945000000001</v>
      </c>
    </row>
    <row r="81" spans="2:7" ht="15.75" thickBot="1" x14ac:dyDescent="0.3">
      <c r="B81" s="52">
        <v>64</v>
      </c>
      <c r="C81" s="53" t="s">
        <v>131</v>
      </c>
      <c r="D81" s="53" t="s">
        <v>105</v>
      </c>
      <c r="E81" s="53" t="s">
        <v>132</v>
      </c>
      <c r="F81" s="54" t="s">
        <v>135</v>
      </c>
      <c r="G81" s="55">
        <v>1158.3945000000001</v>
      </c>
    </row>
    <row r="82" spans="2:7" ht="15.75" thickBot="1" x14ac:dyDescent="0.3">
      <c r="B82" s="52">
        <v>65</v>
      </c>
      <c r="C82" s="53" t="s">
        <v>131</v>
      </c>
      <c r="D82" s="53" t="s">
        <v>105</v>
      </c>
      <c r="E82" s="53" t="s">
        <v>132</v>
      </c>
      <c r="F82" s="54" t="s">
        <v>136</v>
      </c>
      <c r="G82" s="55">
        <v>1158.3945000000001</v>
      </c>
    </row>
    <row r="83" spans="2:7" ht="15.75" thickBot="1" x14ac:dyDescent="0.3">
      <c r="B83" s="52">
        <v>66</v>
      </c>
      <c r="C83" s="53" t="s">
        <v>131</v>
      </c>
      <c r="D83" s="53" t="s">
        <v>105</v>
      </c>
      <c r="E83" s="53" t="s">
        <v>132</v>
      </c>
      <c r="F83" s="54" t="s">
        <v>137</v>
      </c>
      <c r="G83" s="55">
        <v>1158.3945000000001</v>
      </c>
    </row>
    <row r="84" spans="2:7" ht="15.75" thickBot="1" x14ac:dyDescent="0.3">
      <c r="B84" s="52">
        <v>67</v>
      </c>
      <c r="C84" s="53" t="s">
        <v>131</v>
      </c>
      <c r="D84" s="53" t="s">
        <v>105</v>
      </c>
      <c r="E84" s="53" t="s">
        <v>132</v>
      </c>
      <c r="F84" s="54" t="s">
        <v>138</v>
      </c>
      <c r="G84" s="55">
        <v>1158.3945000000001</v>
      </c>
    </row>
    <row r="85" spans="2:7" ht="15.75" thickBot="1" x14ac:dyDescent="0.3">
      <c r="B85" s="52">
        <v>68</v>
      </c>
      <c r="C85" s="53" t="s">
        <v>139</v>
      </c>
      <c r="D85" s="53" t="s">
        <v>105</v>
      </c>
      <c r="E85" s="53" t="s">
        <v>107</v>
      </c>
      <c r="F85" s="54" t="s">
        <v>140</v>
      </c>
      <c r="G85" s="55">
        <v>1527.5264999999999</v>
      </c>
    </row>
    <row r="86" spans="2:7" ht="15.75" thickBot="1" x14ac:dyDescent="0.3">
      <c r="B86" s="52">
        <v>69</v>
      </c>
      <c r="C86" s="53" t="s">
        <v>139</v>
      </c>
      <c r="D86" s="53" t="s">
        <v>105</v>
      </c>
      <c r="E86" s="53" t="s">
        <v>107</v>
      </c>
      <c r="F86" s="54" t="s">
        <v>141</v>
      </c>
      <c r="G86" s="55">
        <v>1527.5264999999999</v>
      </c>
    </row>
    <row r="87" spans="2:7" ht="15.75" thickBot="1" x14ac:dyDescent="0.3">
      <c r="B87" s="52">
        <v>70</v>
      </c>
      <c r="C87" s="53" t="s">
        <v>139</v>
      </c>
      <c r="D87" s="53" t="s">
        <v>105</v>
      </c>
      <c r="E87" s="53" t="s">
        <v>107</v>
      </c>
      <c r="F87" s="54" t="s">
        <v>142</v>
      </c>
      <c r="G87" s="55">
        <v>1527.5264999999999</v>
      </c>
    </row>
    <row r="88" spans="2:7" ht="15.75" thickBot="1" x14ac:dyDescent="0.3">
      <c r="B88" s="52">
        <v>71</v>
      </c>
      <c r="C88" s="53" t="s">
        <v>139</v>
      </c>
      <c r="D88" s="53" t="s">
        <v>105</v>
      </c>
      <c r="E88" s="53" t="s">
        <v>107</v>
      </c>
      <c r="F88" s="54" t="s">
        <v>143</v>
      </c>
      <c r="G88" s="55">
        <v>1527.5264999999999</v>
      </c>
    </row>
    <row r="89" spans="2:7" ht="27" thickBot="1" x14ac:dyDescent="0.3">
      <c r="B89" s="52">
        <v>72</v>
      </c>
      <c r="C89" s="53" t="s">
        <v>144</v>
      </c>
      <c r="D89" s="53" t="s">
        <v>145</v>
      </c>
      <c r="E89" s="56"/>
      <c r="F89" s="57"/>
      <c r="G89" s="55">
        <v>6271.8119999999999</v>
      </c>
    </row>
    <row r="90" spans="2:7" ht="27" thickBot="1" x14ac:dyDescent="0.3">
      <c r="B90" s="52">
        <v>73</v>
      </c>
      <c r="C90" s="53" t="s">
        <v>144</v>
      </c>
      <c r="D90" s="53" t="s">
        <v>146</v>
      </c>
      <c r="E90" s="56"/>
      <c r="F90" s="57"/>
      <c r="G90" s="55">
        <v>6271.8119999999999</v>
      </c>
    </row>
    <row r="91" spans="2:7" ht="27" thickBot="1" x14ac:dyDescent="0.3">
      <c r="B91" s="52">
        <v>74</v>
      </c>
      <c r="C91" s="53" t="s">
        <v>144</v>
      </c>
      <c r="D91" s="53" t="s">
        <v>147</v>
      </c>
      <c r="E91" s="56"/>
      <c r="F91" s="57"/>
      <c r="G91" s="55">
        <v>6271.8119999999999</v>
      </c>
    </row>
    <row r="92" spans="2:7" ht="27" thickBot="1" x14ac:dyDescent="0.3">
      <c r="B92" s="52">
        <v>75</v>
      </c>
      <c r="C92" s="53" t="s">
        <v>144</v>
      </c>
      <c r="D92" s="53" t="s">
        <v>148</v>
      </c>
      <c r="E92" s="56"/>
      <c r="F92" s="57"/>
      <c r="G92" s="55">
        <v>6271.8119999999999</v>
      </c>
    </row>
    <row r="93" spans="2:7" ht="27" thickBot="1" x14ac:dyDescent="0.3">
      <c r="B93" s="52">
        <v>76</v>
      </c>
      <c r="C93" s="53" t="s">
        <v>144</v>
      </c>
      <c r="D93" s="53" t="s">
        <v>149</v>
      </c>
      <c r="E93" s="58"/>
      <c r="F93" s="57"/>
      <c r="G93" s="55">
        <v>6271.8119999999999</v>
      </c>
    </row>
    <row r="94" spans="2:7" ht="15.75" thickBot="1" x14ac:dyDescent="0.3">
      <c r="B94" s="52">
        <v>77</v>
      </c>
      <c r="C94" s="53" t="s">
        <v>150</v>
      </c>
      <c r="D94" s="53" t="s">
        <v>106</v>
      </c>
      <c r="E94" s="53" t="s">
        <v>151</v>
      </c>
      <c r="F94" s="57"/>
      <c r="G94" s="55">
        <v>313.98</v>
      </c>
    </row>
    <row r="95" spans="2:7" ht="15.75" thickBot="1" x14ac:dyDescent="0.3">
      <c r="B95" s="52">
        <v>78</v>
      </c>
      <c r="C95" s="53" t="s">
        <v>150</v>
      </c>
      <c r="D95" s="53" t="s">
        <v>106</v>
      </c>
      <c r="E95" s="53" t="s">
        <v>152</v>
      </c>
      <c r="F95" s="57"/>
      <c r="G95" s="55">
        <v>313.98</v>
      </c>
    </row>
    <row r="96" spans="2:7" ht="15.75" thickBot="1" x14ac:dyDescent="0.3">
      <c r="B96" s="52">
        <v>79</v>
      </c>
      <c r="C96" s="53" t="s">
        <v>150</v>
      </c>
      <c r="D96" s="53" t="s">
        <v>106</v>
      </c>
      <c r="E96" s="53" t="s">
        <v>153</v>
      </c>
      <c r="F96" s="57"/>
      <c r="G96" s="55">
        <v>313.98</v>
      </c>
    </row>
    <row r="97" spans="2:7" ht="15.75" thickBot="1" x14ac:dyDescent="0.3">
      <c r="B97" s="52">
        <v>80</v>
      </c>
      <c r="C97" s="53" t="s">
        <v>150</v>
      </c>
      <c r="D97" s="53" t="s">
        <v>106</v>
      </c>
      <c r="E97" s="53" t="s">
        <v>154</v>
      </c>
      <c r="F97" s="57"/>
      <c r="G97" s="55">
        <v>313.98</v>
      </c>
    </row>
    <row r="98" spans="2:7" ht="15.75" thickBot="1" x14ac:dyDescent="0.3">
      <c r="B98" s="52">
        <v>81</v>
      </c>
      <c r="C98" s="53" t="s">
        <v>150</v>
      </c>
      <c r="D98" s="53" t="s">
        <v>106</v>
      </c>
      <c r="E98" s="53" t="s">
        <v>155</v>
      </c>
      <c r="F98" s="57"/>
      <c r="G98" s="55">
        <v>313.98</v>
      </c>
    </row>
    <row r="99" spans="2:7" ht="15.75" thickBot="1" x14ac:dyDescent="0.3">
      <c r="B99" s="52">
        <v>82</v>
      </c>
      <c r="C99" s="53" t="s">
        <v>150</v>
      </c>
      <c r="D99" s="53" t="s">
        <v>106</v>
      </c>
      <c r="E99" s="53" t="s">
        <v>156</v>
      </c>
      <c r="F99" s="57"/>
      <c r="G99" s="55">
        <v>313.98</v>
      </c>
    </row>
    <row r="100" spans="2:7" ht="15.75" thickBot="1" x14ac:dyDescent="0.3">
      <c r="B100" s="52">
        <v>83</v>
      </c>
      <c r="C100" s="53" t="s">
        <v>150</v>
      </c>
      <c r="D100" s="53" t="s">
        <v>106</v>
      </c>
      <c r="E100" s="53" t="s">
        <v>157</v>
      </c>
      <c r="F100" s="57"/>
      <c r="G100" s="55">
        <v>313.98</v>
      </c>
    </row>
    <row r="101" spans="2:7" ht="15.75" thickBot="1" x14ac:dyDescent="0.3">
      <c r="B101" s="52">
        <v>84</v>
      </c>
      <c r="C101" s="53" t="s">
        <v>150</v>
      </c>
      <c r="D101" s="53" t="s">
        <v>106</v>
      </c>
      <c r="E101" s="53" t="s">
        <v>158</v>
      </c>
      <c r="F101" s="57"/>
      <c r="G101" s="55">
        <v>313.98</v>
      </c>
    </row>
    <row r="102" spans="2:7" ht="15.75" thickBot="1" x14ac:dyDescent="0.3">
      <c r="B102" s="52">
        <v>85</v>
      </c>
      <c r="C102" s="53" t="s">
        <v>150</v>
      </c>
      <c r="D102" s="53" t="s">
        <v>106</v>
      </c>
      <c r="E102" s="53" t="s">
        <v>159</v>
      </c>
      <c r="F102" s="57"/>
      <c r="G102" s="55">
        <v>313.98</v>
      </c>
    </row>
    <row r="103" spans="2:7" ht="15.75" thickBot="1" x14ac:dyDescent="0.3">
      <c r="B103" s="52">
        <v>86</v>
      </c>
      <c r="C103" s="53" t="s">
        <v>150</v>
      </c>
      <c r="D103" s="53" t="s">
        <v>106</v>
      </c>
      <c r="E103" s="53" t="s">
        <v>160</v>
      </c>
      <c r="F103" s="57"/>
      <c r="G103" s="55">
        <v>313.98</v>
      </c>
    </row>
    <row r="104" spans="2:7" ht="15.75" thickBot="1" x14ac:dyDescent="0.3">
      <c r="B104" s="52">
        <v>87</v>
      </c>
      <c r="C104" s="53" t="s">
        <v>150</v>
      </c>
      <c r="D104" s="53" t="s">
        <v>106</v>
      </c>
      <c r="E104" s="53" t="s">
        <v>161</v>
      </c>
      <c r="F104" s="57"/>
      <c r="G104" s="55">
        <v>313.98</v>
      </c>
    </row>
    <row r="105" spans="2:7" ht="15.75" thickBot="1" x14ac:dyDescent="0.3">
      <c r="B105" s="52">
        <v>88</v>
      </c>
      <c r="C105" s="53" t="s">
        <v>150</v>
      </c>
      <c r="D105" s="53" t="s">
        <v>106</v>
      </c>
      <c r="E105" s="53" t="s">
        <v>162</v>
      </c>
      <c r="F105" s="57"/>
      <c r="G105" s="55">
        <v>313.98</v>
      </c>
    </row>
    <row r="106" spans="2:7" ht="15.75" thickBot="1" x14ac:dyDescent="0.3">
      <c r="B106" s="52">
        <v>89</v>
      </c>
      <c r="C106" s="53" t="s">
        <v>150</v>
      </c>
      <c r="D106" s="53" t="s">
        <v>106</v>
      </c>
      <c r="E106" s="53" t="s">
        <v>163</v>
      </c>
      <c r="F106" s="57"/>
      <c r="G106" s="55">
        <v>313.98</v>
      </c>
    </row>
    <row r="107" spans="2:7" ht="15.75" thickBot="1" x14ac:dyDescent="0.3">
      <c r="B107" s="52">
        <v>90</v>
      </c>
      <c r="C107" s="53" t="s">
        <v>150</v>
      </c>
      <c r="D107" s="53" t="s">
        <v>106</v>
      </c>
      <c r="E107" s="53" t="s">
        <v>164</v>
      </c>
      <c r="F107" s="57"/>
      <c r="G107" s="55">
        <v>313.98</v>
      </c>
    </row>
    <row r="108" spans="2:7" ht="15.75" thickBot="1" x14ac:dyDescent="0.3">
      <c r="B108" s="52">
        <v>91</v>
      </c>
      <c r="C108" s="53" t="s">
        <v>150</v>
      </c>
      <c r="D108" s="53" t="s">
        <v>106</v>
      </c>
      <c r="E108" s="53" t="s">
        <v>165</v>
      </c>
      <c r="F108" s="57"/>
      <c r="G108" s="55">
        <v>313.98</v>
      </c>
    </row>
    <row r="109" spans="2:7" ht="15.75" thickBot="1" x14ac:dyDescent="0.3">
      <c r="B109" s="52">
        <v>92</v>
      </c>
      <c r="C109" s="53" t="s">
        <v>150</v>
      </c>
      <c r="D109" s="53" t="s">
        <v>106</v>
      </c>
      <c r="E109" s="53" t="s">
        <v>166</v>
      </c>
      <c r="F109" s="57"/>
      <c r="G109" s="55">
        <v>313.98</v>
      </c>
    </row>
    <row r="110" spans="2:7" ht="15.75" thickBot="1" x14ac:dyDescent="0.3">
      <c r="B110" s="52">
        <v>93</v>
      </c>
      <c r="C110" s="53" t="s">
        <v>150</v>
      </c>
      <c r="D110" s="53" t="s">
        <v>106</v>
      </c>
      <c r="E110" s="53" t="s">
        <v>167</v>
      </c>
      <c r="F110" s="57"/>
      <c r="G110" s="55">
        <v>313.98</v>
      </c>
    </row>
    <row r="111" spans="2:7" ht="15.75" thickBot="1" x14ac:dyDescent="0.3">
      <c r="B111" s="52">
        <v>94</v>
      </c>
      <c r="C111" s="53" t="s">
        <v>150</v>
      </c>
      <c r="D111" s="53" t="s">
        <v>106</v>
      </c>
      <c r="E111" s="53" t="s">
        <v>168</v>
      </c>
      <c r="F111" s="57"/>
      <c r="G111" s="55">
        <v>313.98</v>
      </c>
    </row>
    <row r="112" spans="2:7" ht="15.75" thickBot="1" x14ac:dyDescent="0.3">
      <c r="B112" s="52">
        <v>95</v>
      </c>
      <c r="C112" s="53" t="s">
        <v>150</v>
      </c>
      <c r="D112" s="53" t="s">
        <v>106</v>
      </c>
      <c r="E112" s="53" t="s">
        <v>169</v>
      </c>
      <c r="F112" s="57"/>
      <c r="G112" s="55">
        <v>313.98</v>
      </c>
    </row>
    <row r="113" spans="2:8" ht="15.75" thickBot="1" x14ac:dyDescent="0.3">
      <c r="B113" s="52">
        <v>96</v>
      </c>
      <c r="C113" s="53" t="s">
        <v>150</v>
      </c>
      <c r="D113" s="53" t="s">
        <v>106</v>
      </c>
      <c r="E113" s="53" t="s">
        <v>170</v>
      </c>
      <c r="F113" s="57"/>
      <c r="G113" s="55">
        <v>313.98</v>
      </c>
    </row>
    <row r="114" spans="2:8" ht="15.75" thickBot="1" x14ac:dyDescent="0.3">
      <c r="B114" s="52">
        <v>97</v>
      </c>
      <c r="C114" s="53" t="s">
        <v>150</v>
      </c>
      <c r="D114" s="53" t="s">
        <v>106</v>
      </c>
      <c r="E114" s="53" t="s">
        <v>171</v>
      </c>
      <c r="F114" s="57"/>
      <c r="G114" s="55">
        <v>313.98</v>
      </c>
    </row>
    <row r="115" spans="2:8" ht="15.75" thickBot="1" x14ac:dyDescent="0.3">
      <c r="B115" s="52">
        <v>98</v>
      </c>
      <c r="C115" s="53" t="s">
        <v>150</v>
      </c>
      <c r="D115" s="53" t="s">
        <v>106</v>
      </c>
      <c r="E115" s="53" t="s">
        <v>172</v>
      </c>
      <c r="F115" s="57"/>
      <c r="G115" s="55">
        <v>313.98</v>
      </c>
    </row>
    <row r="116" spans="2:8" ht="15.75" thickBot="1" x14ac:dyDescent="0.3">
      <c r="B116" s="52">
        <v>99</v>
      </c>
      <c r="C116" s="53" t="s">
        <v>150</v>
      </c>
      <c r="D116" s="53" t="s">
        <v>106</v>
      </c>
      <c r="E116" s="53" t="s">
        <v>173</v>
      </c>
      <c r="F116" s="57"/>
      <c r="G116" s="55">
        <v>313.98</v>
      </c>
    </row>
    <row r="117" spans="2:8" ht="15.75" thickBot="1" x14ac:dyDescent="0.3">
      <c r="B117" s="52">
        <v>100</v>
      </c>
      <c r="C117" s="53" t="s">
        <v>150</v>
      </c>
      <c r="D117" s="53" t="s">
        <v>106</v>
      </c>
      <c r="E117" s="53" t="s">
        <v>174</v>
      </c>
      <c r="F117" s="57"/>
      <c r="G117" s="55">
        <v>313.98</v>
      </c>
    </row>
    <row r="118" spans="2:8" ht="15.75" thickBot="1" x14ac:dyDescent="0.3">
      <c r="B118" s="52">
        <v>101</v>
      </c>
      <c r="C118" s="53" t="s">
        <v>150</v>
      </c>
      <c r="D118" s="53" t="s">
        <v>106</v>
      </c>
      <c r="E118" s="53" t="s">
        <v>175</v>
      </c>
      <c r="F118" s="57"/>
      <c r="G118" s="55">
        <v>313.98</v>
      </c>
    </row>
    <row r="119" spans="2:8" ht="15.75" thickBot="1" x14ac:dyDescent="0.3">
      <c r="B119" s="52">
        <v>102</v>
      </c>
      <c r="C119" s="53" t="s">
        <v>150</v>
      </c>
      <c r="D119" s="53" t="s">
        <v>176</v>
      </c>
      <c r="E119" s="53" t="s">
        <v>177</v>
      </c>
      <c r="F119" s="57"/>
      <c r="G119" s="55">
        <v>313.98</v>
      </c>
    </row>
    <row r="120" spans="2:8" ht="15.75" thickBot="1" x14ac:dyDescent="0.3">
      <c r="B120" s="52">
        <v>103</v>
      </c>
      <c r="C120" s="53" t="s">
        <v>150</v>
      </c>
      <c r="D120" s="53" t="s">
        <v>176</v>
      </c>
      <c r="E120" s="53" t="s">
        <v>178</v>
      </c>
      <c r="F120" s="57"/>
      <c r="G120" s="55">
        <v>313.98</v>
      </c>
    </row>
    <row r="121" spans="2:8" ht="15.75" thickBot="1" x14ac:dyDescent="0.3">
      <c r="B121" s="52">
        <v>104</v>
      </c>
      <c r="C121" s="53" t="s">
        <v>150</v>
      </c>
      <c r="D121" s="53" t="s">
        <v>176</v>
      </c>
      <c r="E121" s="53" t="s">
        <v>179</v>
      </c>
      <c r="F121" s="57"/>
      <c r="G121" s="55">
        <v>313.98</v>
      </c>
    </row>
    <row r="122" spans="2:8" ht="15.75" thickBot="1" x14ac:dyDescent="0.3">
      <c r="B122" s="52">
        <v>105</v>
      </c>
      <c r="C122" s="53" t="s">
        <v>150</v>
      </c>
      <c r="D122" s="53" t="s">
        <v>176</v>
      </c>
      <c r="E122" s="53" t="s">
        <v>180</v>
      </c>
      <c r="F122" s="57"/>
      <c r="G122" s="55">
        <v>313.98</v>
      </c>
    </row>
    <row r="123" spans="2:8" ht="15.75" thickBot="1" x14ac:dyDescent="0.3">
      <c r="B123" s="52">
        <v>106</v>
      </c>
      <c r="C123" s="53" t="s">
        <v>150</v>
      </c>
      <c r="D123" s="53" t="s">
        <v>181</v>
      </c>
      <c r="E123" s="53" t="s">
        <v>182</v>
      </c>
      <c r="F123" s="57"/>
      <c r="G123" s="55">
        <v>313.98</v>
      </c>
    </row>
    <row r="124" spans="2:8" ht="15.75" thickBot="1" x14ac:dyDescent="0.3">
      <c r="B124" s="52">
        <v>107</v>
      </c>
      <c r="C124" s="53" t="s">
        <v>150</v>
      </c>
      <c r="D124" s="53" t="s">
        <v>181</v>
      </c>
      <c r="E124" s="53" t="s">
        <v>183</v>
      </c>
      <c r="F124" s="59"/>
      <c r="G124" s="55">
        <v>313.98</v>
      </c>
    </row>
    <row r="125" spans="2:8" ht="15.75" thickBot="1" x14ac:dyDescent="0.3">
      <c r="B125" s="52">
        <v>108</v>
      </c>
      <c r="C125" s="53" t="s">
        <v>108</v>
      </c>
      <c r="D125" s="53">
        <v>98</v>
      </c>
      <c r="E125" s="56"/>
      <c r="F125" s="59"/>
      <c r="G125" s="61">
        <v>74333.45</v>
      </c>
      <c r="H125" s="60"/>
    </row>
    <row r="126" spans="2:8" ht="15.75" thickBot="1" x14ac:dyDescent="0.3">
      <c r="B126" s="44">
        <v>109</v>
      </c>
      <c r="C126" s="45" t="s">
        <v>184</v>
      </c>
      <c r="D126" s="45">
        <v>1</v>
      </c>
      <c r="E126" s="41"/>
      <c r="F126" s="50"/>
      <c r="G126" s="51">
        <v>17.631599999999999</v>
      </c>
    </row>
    <row r="127" spans="2:8" ht="15.75" thickBot="1" x14ac:dyDescent="0.3">
      <c r="B127" s="44">
        <v>110</v>
      </c>
      <c r="C127" s="45" t="s">
        <v>185</v>
      </c>
      <c r="D127" s="45">
        <v>8</v>
      </c>
      <c r="E127" s="51">
        <v>1002.4824</v>
      </c>
      <c r="F127" s="50"/>
      <c r="G127" s="5">
        <f>E127*D127</f>
        <v>8019.8591999999999</v>
      </c>
    </row>
    <row r="128" spans="2:8" ht="15.75" thickBot="1" x14ac:dyDescent="0.3">
      <c r="B128" s="44">
        <v>111</v>
      </c>
      <c r="C128" s="45" t="s">
        <v>185</v>
      </c>
      <c r="D128" s="45">
        <v>3</v>
      </c>
      <c r="E128" s="51">
        <v>743.37</v>
      </c>
      <c r="G128" s="5">
        <f>E128*D128</f>
        <v>2230.11</v>
      </c>
    </row>
    <row r="129" spans="7:7" ht="18.75" x14ac:dyDescent="0.3">
      <c r="G129" s="62">
        <f>SUM(G18:G128)</f>
        <v>401521.04772999912</v>
      </c>
    </row>
    <row r="130" spans="7:7" ht="21.75" x14ac:dyDescent="0.3">
      <c r="G130" s="63"/>
    </row>
    <row r="131" spans="7:7" x14ac:dyDescent="0.25">
      <c r="G131" s="60"/>
    </row>
  </sheetData>
  <autoFilter ref="B16:G129" xr:uid="{00000000-0001-0000-0100-000000000000}">
    <filterColumn colId="0" showButton="0"/>
  </autoFilter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Mohsin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2026-06-24T17:15:06Z</dcterms:modified>
</cp:coreProperties>
</file>