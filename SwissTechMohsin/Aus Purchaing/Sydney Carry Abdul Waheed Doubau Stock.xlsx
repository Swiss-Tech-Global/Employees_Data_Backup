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DDF31C1C-A473-4DDD-BF7C-E63EB95D46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19" i="1"/>
  <c r="F18" i="1"/>
  <c r="F14" i="1"/>
  <c r="F15" i="1"/>
  <c r="F16" i="1"/>
  <c r="F17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<sst xmlns="http://schemas.openxmlformats.org/spreadsheetml/2006/main" count="70" uniqueCount="17">
  <si>
    <r>
      <rPr>
        <b/>
        <sz val="9.5"/>
        <rFont val="Arial"/>
        <family val="2"/>
      </rPr>
      <t>Date</t>
    </r>
  </si>
  <si>
    <r>
      <rPr>
        <b/>
        <sz val="9.5"/>
        <rFont val="Arial"/>
        <family val="2"/>
      </rPr>
      <t>Party Name</t>
    </r>
  </si>
  <si>
    <r>
      <rPr>
        <sz val="9.5"/>
        <rFont val="Arial MT"/>
        <family val="2"/>
      </rPr>
      <t>iPhone 17 Pro Max (FU)</t>
    </r>
  </si>
  <si>
    <r>
      <rPr>
        <sz val="9.5"/>
        <rFont val="Arial MT"/>
        <family val="2"/>
      </rPr>
      <t>Silver</t>
    </r>
  </si>
  <si>
    <r>
      <rPr>
        <sz val="9.5"/>
        <rFont val="Arial MT"/>
        <family val="2"/>
      </rPr>
      <t>256 GB</t>
    </r>
  </si>
  <si>
    <r>
      <rPr>
        <sz val="9.5"/>
        <rFont val="Arial MT"/>
        <family val="2"/>
      </rPr>
      <t>Meta Wayfarer Gen 2</t>
    </r>
  </si>
  <si>
    <r>
      <rPr>
        <sz val="9.5"/>
        <rFont val="Arial MT"/>
        <family val="2"/>
      </rPr>
      <t>Shiny Black, Graphite Green</t>
    </r>
  </si>
  <si>
    <r>
      <rPr>
        <sz val="9.5"/>
        <rFont val="Arial MT"/>
        <family val="2"/>
      </rPr>
      <t>4V37W32HC401GT</t>
    </r>
  </si>
  <si>
    <r>
      <rPr>
        <sz val="9.5"/>
        <rFont val="Arial MT"/>
        <family val="2"/>
      </rPr>
      <t>4V37W32H9902GH</t>
    </r>
  </si>
  <si>
    <r>
      <rPr>
        <sz val="9.5"/>
        <rFont val="Arial MT"/>
        <family val="2"/>
      </rPr>
      <t>4V37W32HC4012G</t>
    </r>
  </si>
  <si>
    <r>
      <rPr>
        <sz val="9.5"/>
        <rFont val="Arial MT"/>
        <family val="2"/>
      </rPr>
      <t>Matte Black, Grey</t>
    </r>
  </si>
  <si>
    <r>
      <rPr>
        <sz val="9.5"/>
        <rFont val="Arial MT"/>
        <family val="2"/>
      </rPr>
      <t>4V0ZW25H8V04JG</t>
    </r>
  </si>
  <si>
    <t>AED Price</t>
  </si>
  <si>
    <t>IMEI</t>
  </si>
  <si>
    <t>Storage</t>
  </si>
  <si>
    <r>
      <rPr>
        <b/>
        <sz val="11"/>
        <rFont val="Arial MT"/>
        <family val="2"/>
      </rPr>
      <t>Sydney Carry</t>
    </r>
  </si>
  <si>
    <t>Unlock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</si>
</sst>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yy;@"/>
    <numFmt numFmtId="168" formatCode="_-[$AED]\ * #,##0.00_-;\-[$AED]\ * #,##0.00_-;_-[$AED]\ * &quot;-&quot;??_-;_-@_-"/>
  </numFmts>
  <fonts count="10">
    <font>
      <sz val="10"/>
      <color rgb="FF000000"/>
      <name val="Times New Roman"/>
      <charset val="204"/>
    </font>
    <font>
      <b/>
      <sz val="9.5"/>
      <name val="Arial"/>
    </font>
    <font>
      <sz val="9.5"/>
      <color rgb="FF000000"/>
      <name val="Arial MT"/>
      <family val="2"/>
    </font>
    <font>
      <sz val="9.5"/>
      <name val="Arial MT"/>
    </font>
    <font>
      <b/>
      <sz val="9.5"/>
      <name val="Arial"/>
      <family val="2"/>
    </font>
    <font>
      <sz val="9.5"/>
      <name val="Arial MT"/>
      <family val="2"/>
    </font>
    <font>
      <b/>
      <sz val="11"/>
      <name val="Arial MT"/>
    </font>
    <font>
      <b/>
      <sz val="11"/>
      <name val="Arial MT"/>
      <family val="2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0" fillId="5" borderId="4" xfId="0" applyFill="1" applyBorder="1" applyAlignment="1">
      <alignment horizontal="left" vertical="top"/>
    </xf>
    <xf numFmtId="0" fontId="3" fillId="5" borderId="8" xfId="0" applyFont="1" applyFill="1" applyBorder="1" applyAlignment="1">
      <alignment horizontal="center" vertical="top" wrapText="1"/>
    </xf>
    <xf numFmtId="1" fontId="2" fillId="5" borderId="2" xfId="0" applyNumberFormat="1" applyFont="1" applyFill="1" applyBorder="1" applyAlignment="1">
      <alignment horizontal="center" vertical="top" shrinkToFit="1"/>
    </xf>
    <xf numFmtId="0" fontId="3" fillId="5" borderId="5" xfId="0" applyFont="1" applyFill="1" applyBorder="1" applyAlignment="1">
      <alignment horizontal="center" vertical="top" wrapText="1"/>
    </xf>
    <xf numFmtId="2" fontId="0" fillId="5" borderId="4" xfId="0" applyNumberForma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top" wrapText="1"/>
    </xf>
    <xf numFmtId="1" fontId="2" fillId="5" borderId="7" xfId="0" applyNumberFormat="1" applyFont="1" applyFill="1" applyBorder="1" applyAlignment="1">
      <alignment horizontal="center" vertical="top" shrinkToFit="1"/>
    </xf>
    <xf numFmtId="168" fontId="9" fillId="6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5" workbookViewId="0">
      <selection activeCell="D20" sqref="D20"/>
    </sheetView>
  </sheetViews>
  <sheetFormatPr defaultRowHeight="12.75"/>
  <cols>
    <col min="1" max="1" width="5.83203125" customWidth="1"/>
    <col min="2" max="2" width="43.1640625" customWidth="1"/>
    <col min="3" max="3" width="36" customWidth="1"/>
    <col min="4" max="5" width="34.83203125" customWidth="1"/>
    <col min="6" max="6" width="24.83203125" bestFit="1" customWidth="1"/>
  </cols>
  <sheetData>
    <row r="1" spans="1:7" ht="15" customHeight="1">
      <c r="A1" s="2" t="s">
        <v>0</v>
      </c>
      <c r="B1" s="3"/>
      <c r="C1" s="1">
        <v>46087</v>
      </c>
      <c r="D1" s="4"/>
      <c r="E1" s="4"/>
      <c r="G1" t="s">
        <v>16</v>
      </c>
    </row>
    <row r="2" spans="1:7" ht="15.95" customHeight="1">
      <c r="A2" s="2" t="s">
        <v>1</v>
      </c>
      <c r="B2" s="3"/>
      <c r="C2" s="7" t="s">
        <v>15</v>
      </c>
      <c r="D2" s="5" t="s">
        <v>14</v>
      </c>
      <c r="E2" s="5" t="s">
        <v>13</v>
      </c>
      <c r="F2" s="6" t="s">
        <v>12</v>
      </c>
    </row>
    <row r="3" spans="1:7" ht="15.95" customHeight="1">
      <c r="A3" s="8">
        <v>1</v>
      </c>
      <c r="B3" s="9" t="s">
        <v>2</v>
      </c>
      <c r="C3" s="9" t="s">
        <v>3</v>
      </c>
      <c r="D3" s="16" t="s">
        <v>4</v>
      </c>
      <c r="E3" s="17">
        <v>356908919081699</v>
      </c>
      <c r="F3" s="15">
        <f>2100*2.5461</f>
        <v>5346.81</v>
      </c>
    </row>
    <row r="4" spans="1:7" ht="15.95" customHeight="1">
      <c r="A4" s="8">
        <v>2</v>
      </c>
      <c r="B4" s="9" t="s">
        <v>2</v>
      </c>
      <c r="C4" s="9" t="s">
        <v>3</v>
      </c>
      <c r="D4" s="9" t="s">
        <v>4</v>
      </c>
      <c r="E4" s="13">
        <v>356722738763399</v>
      </c>
      <c r="F4" s="15">
        <f t="shared" ref="F4:F12" si="0">2100*2.5461</f>
        <v>5346.81</v>
      </c>
    </row>
    <row r="5" spans="1:7" ht="15" customHeight="1">
      <c r="A5" s="8">
        <v>3</v>
      </c>
      <c r="B5" s="9" t="s">
        <v>2</v>
      </c>
      <c r="C5" s="9" t="s">
        <v>3</v>
      </c>
      <c r="D5" s="9" t="s">
        <v>4</v>
      </c>
      <c r="E5" s="13">
        <v>356722738064210</v>
      </c>
      <c r="F5" s="15">
        <f t="shared" si="0"/>
        <v>5346.81</v>
      </c>
    </row>
    <row r="6" spans="1:7" ht="15.95" customHeight="1">
      <c r="A6" s="8">
        <v>4</v>
      </c>
      <c r="B6" s="9" t="s">
        <v>2</v>
      </c>
      <c r="C6" s="9" t="s">
        <v>3</v>
      </c>
      <c r="D6" s="9" t="s">
        <v>4</v>
      </c>
      <c r="E6" s="13">
        <v>356722739928744</v>
      </c>
      <c r="F6" s="15">
        <f t="shared" si="0"/>
        <v>5346.81</v>
      </c>
    </row>
    <row r="7" spans="1:7" ht="15.95" customHeight="1">
      <c r="A7" s="8">
        <v>5</v>
      </c>
      <c r="B7" s="9" t="s">
        <v>2</v>
      </c>
      <c r="C7" s="9" t="s">
        <v>3</v>
      </c>
      <c r="D7" s="9" t="s">
        <v>4</v>
      </c>
      <c r="E7" s="13">
        <v>356908919535272</v>
      </c>
      <c r="F7" s="15">
        <f t="shared" si="0"/>
        <v>5346.81</v>
      </c>
    </row>
    <row r="8" spans="1:7" ht="15.95" customHeight="1">
      <c r="A8" s="8">
        <v>6</v>
      </c>
      <c r="B8" s="9" t="s">
        <v>2</v>
      </c>
      <c r="C8" s="9" t="s">
        <v>3</v>
      </c>
      <c r="D8" s="9" t="s">
        <v>4</v>
      </c>
      <c r="E8" s="13">
        <v>351459291595174</v>
      </c>
      <c r="F8" s="15">
        <f t="shared" si="0"/>
        <v>5346.81</v>
      </c>
    </row>
    <row r="9" spans="1:7" ht="15" customHeight="1">
      <c r="A9" s="8">
        <v>7</v>
      </c>
      <c r="B9" s="9" t="s">
        <v>2</v>
      </c>
      <c r="C9" s="9" t="s">
        <v>3</v>
      </c>
      <c r="D9" s="9" t="s">
        <v>4</v>
      </c>
      <c r="E9" s="13">
        <v>351459291536186</v>
      </c>
      <c r="F9" s="15">
        <f t="shared" si="0"/>
        <v>5346.81</v>
      </c>
    </row>
    <row r="10" spans="1:7" ht="15.95" customHeight="1">
      <c r="A10" s="8">
        <v>8</v>
      </c>
      <c r="B10" s="9" t="s">
        <v>2</v>
      </c>
      <c r="C10" s="9" t="s">
        <v>3</v>
      </c>
      <c r="D10" s="9" t="s">
        <v>4</v>
      </c>
      <c r="E10" s="13">
        <v>351459291102484</v>
      </c>
      <c r="F10" s="15">
        <f t="shared" si="0"/>
        <v>5346.81</v>
      </c>
    </row>
    <row r="11" spans="1:7" ht="15.95" customHeight="1">
      <c r="A11" s="8">
        <v>9</v>
      </c>
      <c r="B11" s="9" t="s">
        <v>2</v>
      </c>
      <c r="C11" s="9" t="s">
        <v>3</v>
      </c>
      <c r="D11" s="9" t="s">
        <v>4</v>
      </c>
      <c r="E11" s="13">
        <v>356722737206218</v>
      </c>
      <c r="F11" s="15">
        <f t="shared" si="0"/>
        <v>5346.81</v>
      </c>
    </row>
    <row r="12" spans="1:7" ht="15.95" customHeight="1">
      <c r="A12" s="8">
        <v>10</v>
      </c>
      <c r="B12" s="9" t="s">
        <v>2</v>
      </c>
      <c r="C12" s="9" t="s">
        <v>3</v>
      </c>
      <c r="D12" s="9" t="s">
        <v>4</v>
      </c>
      <c r="E12" s="13">
        <v>356722738303972</v>
      </c>
      <c r="F12" s="15">
        <f t="shared" si="0"/>
        <v>5346.81</v>
      </c>
    </row>
    <row r="13" spans="1:7" ht="15" customHeight="1">
      <c r="A13" s="8">
        <v>11</v>
      </c>
      <c r="B13" s="9" t="s">
        <v>2</v>
      </c>
      <c r="C13" s="9" t="s">
        <v>3</v>
      </c>
      <c r="D13" s="9" t="s">
        <v>4</v>
      </c>
      <c r="E13" s="13">
        <v>357739169838531</v>
      </c>
      <c r="F13" s="15">
        <f>2099*2.5461</f>
        <v>5344.2638999999999</v>
      </c>
    </row>
    <row r="14" spans="1:7" ht="15.95" customHeight="1">
      <c r="A14" s="8">
        <v>12</v>
      </c>
      <c r="B14" s="9" t="s">
        <v>2</v>
      </c>
      <c r="C14" s="9" t="s">
        <v>3</v>
      </c>
      <c r="D14" s="9" t="s">
        <v>4</v>
      </c>
      <c r="E14" s="13">
        <v>351784398818892</v>
      </c>
      <c r="F14" s="15">
        <f t="shared" ref="F14:F17" si="1">2099*2.5461</f>
        <v>5344.2638999999999</v>
      </c>
    </row>
    <row r="15" spans="1:7" ht="15.95" customHeight="1">
      <c r="A15" s="8">
        <v>13</v>
      </c>
      <c r="B15" s="9" t="s">
        <v>2</v>
      </c>
      <c r="C15" s="9" t="s">
        <v>3</v>
      </c>
      <c r="D15" s="9" t="s">
        <v>4</v>
      </c>
      <c r="E15" s="13">
        <v>351784399238652</v>
      </c>
      <c r="F15" s="15">
        <f t="shared" si="1"/>
        <v>5344.2638999999999</v>
      </c>
    </row>
    <row r="16" spans="1:7" ht="15.95" customHeight="1">
      <c r="A16" s="8">
        <v>14</v>
      </c>
      <c r="B16" s="9" t="s">
        <v>2</v>
      </c>
      <c r="C16" s="9" t="s">
        <v>3</v>
      </c>
      <c r="D16" s="9" t="s">
        <v>4</v>
      </c>
      <c r="E16" s="13">
        <v>351459291665647</v>
      </c>
      <c r="F16" s="15">
        <f t="shared" si="1"/>
        <v>5344.2638999999999</v>
      </c>
    </row>
    <row r="17" spans="1:6" ht="15" customHeight="1">
      <c r="A17" s="8">
        <v>15</v>
      </c>
      <c r="B17" s="9" t="s">
        <v>2</v>
      </c>
      <c r="C17" s="9" t="s">
        <v>3</v>
      </c>
      <c r="D17" s="9" t="s">
        <v>4</v>
      </c>
      <c r="E17" s="13">
        <v>356722739939089</v>
      </c>
      <c r="F17" s="15">
        <f t="shared" si="1"/>
        <v>5344.2638999999999</v>
      </c>
    </row>
    <row r="18" spans="1:6" ht="15.95" customHeight="1">
      <c r="A18" s="8">
        <v>16</v>
      </c>
      <c r="B18" s="9" t="s">
        <v>2</v>
      </c>
      <c r="C18" s="9" t="s">
        <v>3</v>
      </c>
      <c r="D18" s="9" t="s">
        <v>4</v>
      </c>
      <c r="E18" s="13">
        <v>351784398825822</v>
      </c>
      <c r="F18" s="15">
        <f>2010*2.5461</f>
        <v>5117.6610000000001</v>
      </c>
    </row>
    <row r="19" spans="1:6" ht="15.95" customHeight="1">
      <c r="A19" s="8">
        <v>17</v>
      </c>
      <c r="B19" s="9" t="s">
        <v>2</v>
      </c>
      <c r="C19" s="9" t="s">
        <v>3</v>
      </c>
      <c r="D19" s="14" t="s">
        <v>4</v>
      </c>
      <c r="E19" s="13">
        <v>356722739522968</v>
      </c>
      <c r="F19" s="15">
        <f>2010*2.5461</f>
        <v>5117.6610000000001</v>
      </c>
    </row>
    <row r="20" spans="1:6" ht="15.95" customHeight="1">
      <c r="A20" s="8">
        <v>18</v>
      </c>
      <c r="B20" s="9" t="s">
        <v>5</v>
      </c>
      <c r="C20" s="10" t="s">
        <v>6</v>
      </c>
      <c r="D20" s="11"/>
      <c r="E20" s="12" t="s">
        <v>7</v>
      </c>
      <c r="F20" s="15">
        <v>1502.19</v>
      </c>
    </row>
    <row r="21" spans="1:6" ht="15" customHeight="1">
      <c r="A21" s="8">
        <v>19</v>
      </c>
      <c r="B21" s="9" t="s">
        <v>5</v>
      </c>
      <c r="C21" s="10" t="s">
        <v>6</v>
      </c>
      <c r="D21" s="11"/>
      <c r="E21" s="12" t="s">
        <v>8</v>
      </c>
      <c r="F21" s="15">
        <v>1502.19</v>
      </c>
    </row>
    <row r="22" spans="1:6" ht="15.95" customHeight="1">
      <c r="A22" s="8">
        <v>20</v>
      </c>
      <c r="B22" s="9" t="s">
        <v>5</v>
      </c>
      <c r="C22" s="10" t="s">
        <v>6</v>
      </c>
      <c r="D22" s="11"/>
      <c r="E22" s="12" t="s">
        <v>9</v>
      </c>
      <c r="F22" s="15">
        <v>1502.19</v>
      </c>
    </row>
    <row r="23" spans="1:6" ht="15.75" customHeight="1">
      <c r="A23" s="8">
        <v>21</v>
      </c>
      <c r="B23" s="9" t="s">
        <v>5</v>
      </c>
      <c r="C23" s="10" t="s">
        <v>10</v>
      </c>
      <c r="D23" s="11"/>
      <c r="E23" s="12" t="s">
        <v>11</v>
      </c>
      <c r="F23" s="15">
        <v>1502.19</v>
      </c>
    </row>
    <row r="24" spans="1:6" ht="18.75">
      <c r="F24" s="18">
        <f>SUM(F3:F23)</f>
        <v>96433.501500000013</v>
      </c>
    </row>
  </sheetData>
  <autoFilter ref="A1:F24" xr:uid="{00000000-0001-0000-0000-000000000000}">
    <filterColumn colId="0" showButton="0"/>
  </autoFilter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2026-03-07T10:02:11Z</dcterms:created>
  <dcterms:modified xsi:type="dcterms:W3CDTF">2026-03-07T10:14:23Z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2026-03-07T00:00:00Z</vt:filetime>
  </property>
</Properties>
</file>