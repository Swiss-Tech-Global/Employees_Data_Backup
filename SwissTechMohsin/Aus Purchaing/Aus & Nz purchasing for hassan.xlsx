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Aus Purchaing/"/>
    </mc:Choice>
  </mc:AlternateContent>
  <xr:revisionPtr revIDLastSave="11" documentId="13_ncr:1_{FDC1663C-A6B7-46DD-8AE7-B325416B51FC}" xr6:coauthVersionLast="47" xr6:coauthVersionMax="47" xr10:uidLastSave="{A94A4543-E625-4ED4-B2A3-C160BF04B61F}"/>
  <bookViews>
    <workbookView xWindow="-30828" yWindow="8772" windowWidth="30936" windowHeight="16776" xr2:uid="{BE379BA5-3C37-488C-BF8D-81308FAD52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6" i="1" l="1"/>
  <c r="M226" i="1" s="1"/>
  <c r="N226" i="1" s="1"/>
  <c r="I226" i="1"/>
  <c r="I225" i="1"/>
  <c r="J225" i="1" s="1"/>
  <c r="I219" i="1"/>
  <c r="H219" i="1"/>
  <c r="F219" i="1"/>
  <c r="I218" i="1"/>
  <c r="H218" i="1"/>
  <c r="F218" i="1"/>
  <c r="J217" i="1"/>
  <c r="J218" i="1" s="1"/>
  <c r="J219" i="1" s="1"/>
  <c r="I217" i="1"/>
  <c r="H217" i="1"/>
  <c r="F217" i="1"/>
  <c r="I209" i="1"/>
  <c r="H209" i="1"/>
  <c r="F209" i="1"/>
  <c r="I208" i="1"/>
  <c r="H208" i="1"/>
  <c r="F208" i="1"/>
  <c r="I207" i="1"/>
  <c r="H207" i="1"/>
  <c r="F207" i="1"/>
  <c r="I206" i="1"/>
  <c r="H206" i="1"/>
  <c r="F206" i="1"/>
  <c r="I205" i="1"/>
  <c r="H205" i="1"/>
  <c r="F205" i="1"/>
  <c r="I204" i="1"/>
  <c r="H204" i="1"/>
  <c r="F204" i="1"/>
  <c r="I203" i="1"/>
  <c r="H203" i="1"/>
  <c r="F203" i="1"/>
  <c r="I202" i="1"/>
  <c r="H202" i="1"/>
  <c r="F202" i="1"/>
  <c r="I201" i="1"/>
  <c r="H201" i="1"/>
  <c r="F201" i="1"/>
  <c r="I200" i="1"/>
  <c r="H200" i="1"/>
  <c r="F200" i="1"/>
  <c r="I199" i="1"/>
  <c r="H199" i="1"/>
  <c r="F199" i="1"/>
  <c r="I198" i="1"/>
  <c r="H198" i="1"/>
  <c r="F198" i="1"/>
  <c r="I197" i="1"/>
  <c r="H197" i="1"/>
  <c r="F197" i="1"/>
  <c r="I196" i="1"/>
  <c r="H196" i="1"/>
  <c r="F196" i="1"/>
  <c r="I195" i="1"/>
  <c r="H195" i="1"/>
  <c r="F195" i="1"/>
  <c r="I194" i="1"/>
  <c r="H194" i="1"/>
  <c r="F194" i="1"/>
  <c r="I193" i="1"/>
  <c r="H193" i="1"/>
  <c r="F193" i="1"/>
  <c r="I192" i="1"/>
  <c r="H192" i="1"/>
  <c r="F192" i="1"/>
  <c r="I191" i="1"/>
  <c r="H191" i="1"/>
  <c r="F191" i="1"/>
  <c r="I190" i="1"/>
  <c r="H190" i="1"/>
  <c r="F190" i="1"/>
  <c r="I189" i="1"/>
  <c r="H189" i="1"/>
  <c r="F189" i="1"/>
  <c r="J188" i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I188" i="1"/>
  <c r="H188" i="1"/>
  <c r="F188" i="1"/>
  <c r="M179" i="1"/>
  <c r="N179" i="1" s="1"/>
  <c r="J179" i="1"/>
  <c r="K179" i="1" s="1"/>
  <c r="I179" i="1"/>
  <c r="J178" i="1"/>
  <c r="M178" i="1" s="1"/>
  <c r="N178" i="1" s="1"/>
  <c r="O178" i="1" s="1"/>
  <c r="O179" i="1" s="1"/>
  <c r="I178" i="1"/>
  <c r="H171" i="1"/>
  <c r="I171" i="1" s="1"/>
  <c r="F171" i="1"/>
  <c r="H170" i="1"/>
  <c r="I170" i="1" s="1"/>
  <c r="F170" i="1"/>
  <c r="I169" i="1"/>
  <c r="H169" i="1"/>
  <c r="H168" i="1"/>
  <c r="I168" i="1" s="1"/>
  <c r="F168" i="1"/>
  <c r="H167" i="1"/>
  <c r="I167" i="1" s="1"/>
  <c r="F167" i="1"/>
  <c r="H166" i="1"/>
  <c r="I166" i="1" s="1"/>
  <c r="F166" i="1"/>
  <c r="H165" i="1"/>
  <c r="I165" i="1" s="1"/>
  <c r="F165" i="1"/>
  <c r="H164" i="1"/>
  <c r="I164" i="1" s="1"/>
  <c r="F164" i="1"/>
  <c r="H163" i="1"/>
  <c r="I163" i="1" s="1"/>
  <c r="F163" i="1"/>
  <c r="H162" i="1"/>
  <c r="I162" i="1" s="1"/>
  <c r="F162" i="1"/>
  <c r="H161" i="1"/>
  <c r="I161" i="1" s="1"/>
  <c r="F161" i="1"/>
  <c r="H160" i="1"/>
  <c r="I160" i="1" s="1"/>
  <c r="F160" i="1"/>
  <c r="H159" i="1"/>
  <c r="I159" i="1" s="1"/>
  <c r="F159" i="1"/>
  <c r="H158" i="1"/>
  <c r="I158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F158" i="1"/>
  <c r="H148" i="1"/>
  <c r="I148" i="1" s="1"/>
  <c r="F148" i="1"/>
  <c r="H147" i="1"/>
  <c r="I147" i="1" s="1"/>
  <c r="F147" i="1"/>
  <c r="H146" i="1"/>
  <c r="I146" i="1" s="1"/>
  <c r="J146" i="1" s="1"/>
  <c r="F146" i="1"/>
  <c r="H140" i="1"/>
  <c r="I140" i="1" s="1"/>
  <c r="F140" i="1"/>
  <c r="H139" i="1"/>
  <c r="I139" i="1" s="1"/>
  <c r="F139" i="1"/>
  <c r="H138" i="1"/>
  <c r="I138" i="1" s="1"/>
  <c r="F138" i="1"/>
  <c r="H137" i="1"/>
  <c r="I137" i="1" s="1"/>
  <c r="F137" i="1"/>
  <c r="H136" i="1"/>
  <c r="I136" i="1" s="1"/>
  <c r="F136" i="1"/>
  <c r="H135" i="1"/>
  <c r="I135" i="1" s="1"/>
  <c r="F135" i="1"/>
  <c r="H134" i="1"/>
  <c r="I134" i="1" s="1"/>
  <c r="F134" i="1"/>
  <c r="H133" i="1"/>
  <c r="I133" i="1" s="1"/>
  <c r="F133" i="1"/>
  <c r="H132" i="1"/>
  <c r="I132" i="1" s="1"/>
  <c r="F132" i="1"/>
  <c r="H131" i="1"/>
  <c r="I131" i="1" s="1"/>
  <c r="F131" i="1"/>
  <c r="H130" i="1"/>
  <c r="I130" i="1" s="1"/>
  <c r="F130" i="1"/>
  <c r="I129" i="1"/>
  <c r="H129" i="1"/>
  <c r="F129" i="1"/>
  <c r="H128" i="1"/>
  <c r="I128" i="1" s="1"/>
  <c r="F128" i="1"/>
  <c r="H127" i="1"/>
  <c r="I127" i="1" s="1"/>
  <c r="F127" i="1"/>
  <c r="H126" i="1"/>
  <c r="I126" i="1" s="1"/>
  <c r="F126" i="1"/>
  <c r="H125" i="1"/>
  <c r="I125" i="1" s="1"/>
  <c r="F125" i="1"/>
  <c r="H124" i="1"/>
  <c r="I124" i="1" s="1"/>
  <c r="F124" i="1"/>
  <c r="H123" i="1"/>
  <c r="I123" i="1" s="1"/>
  <c r="F123" i="1"/>
  <c r="H122" i="1"/>
  <c r="I122" i="1" s="1"/>
  <c r="F122" i="1"/>
  <c r="I121" i="1"/>
  <c r="H121" i="1"/>
  <c r="F121" i="1"/>
  <c r="H120" i="1"/>
  <c r="I120" i="1" s="1"/>
  <c r="F120" i="1"/>
  <c r="H119" i="1"/>
  <c r="I119" i="1" s="1"/>
  <c r="J119" i="1" s="1"/>
  <c r="J120" i="1" s="1"/>
  <c r="J121" i="1" s="1"/>
  <c r="F119" i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H86" i="1"/>
  <c r="I86" i="1" s="1"/>
  <c r="F86" i="1"/>
  <c r="I85" i="1"/>
  <c r="H85" i="1"/>
  <c r="F85" i="1"/>
  <c r="H84" i="1"/>
  <c r="I84" i="1" s="1"/>
  <c r="F84" i="1"/>
  <c r="I83" i="1"/>
  <c r="H83" i="1"/>
  <c r="F83" i="1"/>
  <c r="H82" i="1"/>
  <c r="I82" i="1" s="1"/>
  <c r="J82" i="1" s="1"/>
  <c r="J83" i="1" s="1"/>
  <c r="F82" i="1"/>
  <c r="J5" i="2"/>
  <c r="J6" i="2"/>
  <c r="J4" i="2"/>
  <c r="H3" i="2"/>
  <c r="I3" i="2" s="1"/>
  <c r="J3" i="2" s="1"/>
  <c r="F3" i="2"/>
  <c r="H2" i="2"/>
  <c r="I2" i="2" s="1"/>
  <c r="J2" i="2" s="1"/>
  <c r="F2" i="2"/>
  <c r="H75" i="1"/>
  <c r="I75" i="1" s="1"/>
  <c r="F75" i="1"/>
  <c r="H74" i="1"/>
  <c r="I74" i="1" s="1"/>
  <c r="F74" i="1"/>
  <c r="H73" i="1"/>
  <c r="I73" i="1" s="1"/>
  <c r="F73" i="1"/>
  <c r="H72" i="1"/>
  <c r="I72" i="1" s="1"/>
  <c r="F72" i="1"/>
  <c r="H71" i="1"/>
  <c r="I71" i="1" s="1"/>
  <c r="F71" i="1"/>
  <c r="H70" i="1"/>
  <c r="I70" i="1" s="1"/>
  <c r="F70" i="1"/>
  <c r="H69" i="1"/>
  <c r="I69" i="1" s="1"/>
  <c r="F69" i="1"/>
  <c r="H68" i="1"/>
  <c r="I68" i="1" s="1"/>
  <c r="F68" i="1"/>
  <c r="H67" i="1"/>
  <c r="I67" i="1" s="1"/>
  <c r="F67" i="1"/>
  <c r="H66" i="1"/>
  <c r="I66" i="1" s="1"/>
  <c r="F66" i="1"/>
  <c r="H65" i="1"/>
  <c r="I65" i="1" s="1"/>
  <c r="F65" i="1"/>
  <c r="H64" i="1"/>
  <c r="I64" i="1" s="1"/>
  <c r="F64" i="1"/>
  <c r="H63" i="1"/>
  <c r="I63" i="1" s="1"/>
  <c r="F63" i="1"/>
  <c r="H62" i="1"/>
  <c r="I62" i="1" s="1"/>
  <c r="F62" i="1"/>
  <c r="H61" i="1"/>
  <c r="I61" i="1" s="1"/>
  <c r="F61" i="1"/>
  <c r="H60" i="1"/>
  <c r="I60" i="1" s="1"/>
  <c r="J60" i="1" s="1"/>
  <c r="F60" i="1"/>
  <c r="H54" i="1"/>
  <c r="I54" i="1" s="1"/>
  <c r="F54" i="1"/>
  <c r="H53" i="1"/>
  <c r="I53" i="1" s="1"/>
  <c r="F53" i="1"/>
  <c r="H52" i="1"/>
  <c r="I52" i="1" s="1"/>
  <c r="F52" i="1"/>
  <c r="H51" i="1"/>
  <c r="I51" i="1" s="1"/>
  <c r="J51" i="1" s="1"/>
  <c r="F51" i="1"/>
  <c r="H44" i="1"/>
  <c r="I44" i="1" s="1"/>
  <c r="F44" i="1"/>
  <c r="H43" i="1"/>
  <c r="I43" i="1" s="1"/>
  <c r="F43" i="1"/>
  <c r="H42" i="1"/>
  <c r="I42" i="1" s="1"/>
  <c r="F42" i="1"/>
  <c r="H41" i="1"/>
  <c r="I41" i="1" s="1"/>
  <c r="F41" i="1"/>
  <c r="H40" i="1"/>
  <c r="I40" i="1" s="1"/>
  <c r="F40" i="1"/>
  <c r="H39" i="1"/>
  <c r="I39" i="1" s="1"/>
  <c r="F39" i="1"/>
  <c r="H38" i="1"/>
  <c r="I38" i="1" s="1"/>
  <c r="F38" i="1"/>
  <c r="H37" i="1"/>
  <c r="I37" i="1" s="1"/>
  <c r="F37" i="1"/>
  <c r="H36" i="1"/>
  <c r="I36" i="1" s="1"/>
  <c r="J36" i="1" s="1"/>
  <c r="F36" i="1"/>
  <c r="H29" i="1"/>
  <c r="I29" i="1" s="1"/>
  <c r="F29" i="1"/>
  <c r="H28" i="1"/>
  <c r="I28" i="1" s="1"/>
  <c r="F28" i="1"/>
  <c r="H27" i="1"/>
  <c r="I27" i="1" s="1"/>
  <c r="F27" i="1"/>
  <c r="H26" i="1"/>
  <c r="I26" i="1" s="1"/>
  <c r="F26" i="1"/>
  <c r="H25" i="1"/>
  <c r="I25" i="1" s="1"/>
  <c r="F25" i="1"/>
  <c r="H24" i="1"/>
  <c r="I24" i="1" s="1"/>
  <c r="F24" i="1"/>
  <c r="H23" i="1"/>
  <c r="I23" i="1" s="1"/>
  <c r="F23" i="1"/>
  <c r="H22" i="1"/>
  <c r="I22" i="1" s="1"/>
  <c r="F22" i="1"/>
  <c r="H21" i="1"/>
  <c r="I21" i="1" s="1"/>
  <c r="F21" i="1"/>
  <c r="H20" i="1"/>
  <c r="I20" i="1" s="1"/>
  <c r="F20" i="1"/>
  <c r="H19" i="1"/>
  <c r="I19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F19" i="1"/>
  <c r="H13" i="1"/>
  <c r="I13" i="1" s="1"/>
  <c r="F13" i="1"/>
  <c r="H12" i="1"/>
  <c r="I12" i="1" s="1"/>
  <c r="F12" i="1"/>
  <c r="H11" i="1"/>
  <c r="I11" i="1" s="1"/>
  <c r="F11" i="1"/>
  <c r="H10" i="1"/>
  <c r="I10" i="1" s="1"/>
  <c r="F10" i="1"/>
  <c r="H9" i="1"/>
  <c r="I9" i="1" s="1"/>
  <c r="F9" i="1"/>
  <c r="H8" i="1"/>
  <c r="I8" i="1" s="1"/>
  <c r="F8" i="1"/>
  <c r="H7" i="1"/>
  <c r="I7" i="1" s="1"/>
  <c r="F7" i="1"/>
  <c r="H6" i="1"/>
  <c r="I6" i="1" s="1"/>
  <c r="F6" i="1"/>
  <c r="H5" i="1"/>
  <c r="I5" i="1" s="1"/>
  <c r="F5" i="1"/>
  <c r="H4" i="1"/>
  <c r="I4" i="1" s="1"/>
  <c r="J4" i="1" s="1"/>
  <c r="F4" i="1"/>
  <c r="M225" i="1" l="1"/>
  <c r="N225" i="1" s="1"/>
  <c r="O225" i="1" s="1"/>
  <c r="O226" i="1" s="1"/>
  <c r="K225" i="1"/>
  <c r="K226" i="1"/>
  <c r="K178" i="1"/>
  <c r="J52" i="1"/>
  <c r="J53" i="1" s="1"/>
  <c r="J54" i="1" s="1"/>
  <c r="J61" i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5" i="1"/>
  <c r="J6" i="1" s="1"/>
  <c r="J7" i="1" s="1"/>
  <c r="J8" i="1" s="1"/>
  <c r="J9" i="1" s="1"/>
  <c r="J10" i="1" s="1"/>
  <c r="J11" i="1" s="1"/>
  <c r="J12" i="1" s="1"/>
  <c r="J13" i="1" s="1"/>
  <c r="J122" i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7" i="1"/>
  <c r="J148" i="1" s="1"/>
  <c r="M104" i="1"/>
  <c r="N104" i="1" s="1"/>
  <c r="K104" i="1"/>
  <c r="M107" i="1"/>
  <c r="N107" i="1" s="1"/>
  <c r="K107" i="1"/>
  <c r="M103" i="1"/>
  <c r="N103" i="1" s="1"/>
  <c r="K103" i="1"/>
  <c r="M97" i="1"/>
  <c r="N97" i="1" s="1"/>
  <c r="K97" i="1"/>
  <c r="M106" i="1"/>
  <c r="N106" i="1" s="1"/>
  <c r="K106" i="1"/>
  <c r="M100" i="1"/>
  <c r="N100" i="1" s="1"/>
  <c r="K100" i="1"/>
  <c r="K108" i="1"/>
  <c r="M108" i="1"/>
  <c r="N108" i="1" s="1"/>
  <c r="K96" i="1"/>
  <c r="M96" i="1"/>
  <c r="N96" i="1" s="1"/>
  <c r="M98" i="1"/>
  <c r="N98" i="1" s="1"/>
  <c r="K98" i="1"/>
  <c r="M93" i="1"/>
  <c r="N93" i="1" s="1"/>
  <c r="O93" i="1" s="1"/>
  <c r="K93" i="1"/>
  <c r="M101" i="1"/>
  <c r="N101" i="1" s="1"/>
  <c r="K101" i="1"/>
  <c r="M109" i="1"/>
  <c r="N109" i="1" s="1"/>
  <c r="K109" i="1"/>
  <c r="K95" i="1"/>
  <c r="M95" i="1"/>
  <c r="N95" i="1" s="1"/>
  <c r="M105" i="1"/>
  <c r="N105" i="1" s="1"/>
  <c r="K105" i="1"/>
  <c r="M99" i="1"/>
  <c r="N99" i="1" s="1"/>
  <c r="K99" i="1"/>
  <c r="M94" i="1"/>
  <c r="N94" i="1" s="1"/>
  <c r="K94" i="1"/>
  <c r="K102" i="1"/>
  <c r="M102" i="1"/>
  <c r="N102" i="1" s="1"/>
  <c r="M110" i="1"/>
  <c r="N110" i="1" s="1"/>
  <c r="K110" i="1"/>
  <c r="J84" i="1"/>
  <c r="J85" i="1" s="1"/>
  <c r="J86" i="1" s="1"/>
  <c r="J37" i="1"/>
  <c r="J38" i="1" s="1"/>
  <c r="J39" i="1" s="1"/>
  <c r="J40" i="1" s="1"/>
  <c r="J41" i="1" s="1"/>
  <c r="J42" i="1" s="1"/>
  <c r="J43" i="1" s="1"/>
  <c r="J44" i="1" s="1"/>
  <c r="O94" i="1" l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</calcChain>
</file>

<file path=xl/sharedStrings.xml><?xml version="1.0" encoding="utf-8"?>
<sst xmlns="http://schemas.openxmlformats.org/spreadsheetml/2006/main" count="636" uniqueCount="211">
  <si>
    <t>entry</t>
  </si>
  <si>
    <t>Australia</t>
  </si>
  <si>
    <t>Gst</t>
  </si>
  <si>
    <t>Date</t>
  </si>
  <si>
    <t>Product Name</t>
  </si>
  <si>
    <t>Qty</t>
  </si>
  <si>
    <t>Per/Unit  (AUD)</t>
  </si>
  <si>
    <t xml:space="preserve"> Price (AUD)</t>
  </si>
  <si>
    <t>C. Rate</t>
  </si>
  <si>
    <t>Per/Unit (AED)</t>
  </si>
  <si>
    <t>Total Price (AED)</t>
  </si>
  <si>
    <t>Iphone 17 pro max 256 Silver Officeworks Castle Hills</t>
  </si>
  <si>
    <t>Iphone 17 pro max 256 Silver Office Works Northmead</t>
  </si>
  <si>
    <t>Swiss Tech Business Name Renew Fees Expense</t>
  </si>
  <si>
    <t>Starlink Standard kit Adil Bhai</t>
  </si>
  <si>
    <t>PS5 Disc Bundle Adil Bhai</t>
  </si>
  <si>
    <t>PS5 Digital Bundle Adil Bhai</t>
  </si>
  <si>
    <t>PS5 Disc Bundle Adil Bhai Harvey Norman Alex Pending Delivery Adil Bha</t>
  </si>
  <si>
    <t>Commission Paid Adil Bhai Collection Commission</t>
  </si>
  <si>
    <t>Iphone 17 pro max 256 Silver Office Works Castle Hills</t>
  </si>
  <si>
    <t>Iphone 17 pro max 256 Silver Officeworks Blacktown</t>
  </si>
  <si>
    <t>Iphone 17 pro max 256 Silver Officeworks Wentworthville</t>
  </si>
  <si>
    <t>Iphone 17 pro max 256 Silver Officeworks Wetheill Park</t>
  </si>
  <si>
    <t>Iphone 17 pro max 256 Silver Office Works Wentworthville</t>
  </si>
  <si>
    <t>Iphone 17 pro max 256 Silver Officeworks Auburn</t>
  </si>
  <si>
    <t>Shipping Charges Megatop Sydney Shipping Expense</t>
  </si>
  <si>
    <t>Iphone 17 pro max 256 Silver Harvey Norman Fyshwick Pending Delivery/ 27-12 Deposit Update</t>
  </si>
  <si>
    <t>DJI Mavic 4 Pro DJI Macquarie Park Pending Collection</t>
  </si>
  <si>
    <t>DJI Mic 3 combo DJI Macquarie Park Pending Collection</t>
  </si>
  <si>
    <t>Mac Book Pro M5 24/1TB JBHIFI Bankstown</t>
  </si>
  <si>
    <t>Apple Air Pods 4 ANC JBHIFI Bankstown</t>
  </si>
  <si>
    <t>DJI Mini 4K combo JBHIFI Bankstown</t>
  </si>
  <si>
    <t>DJI Mic 3 combo JBHIFI Bankstown</t>
  </si>
  <si>
    <t>Shipping Carges CT Frieight Melbourne</t>
  </si>
  <si>
    <t>NewZeland</t>
  </si>
  <si>
    <t>G7X Mark III  Noel Leeming Abdul K</t>
  </si>
  <si>
    <t>Shipping Charges CT Frieght NZ Shipping Expense</t>
  </si>
  <si>
    <t>Iphone Air 256 Gold &amp; White Officeworks Auburn</t>
  </si>
  <si>
    <t>Iphone Air 256 Sky Blue Officeworks Old Guildford</t>
  </si>
  <si>
    <t>Canon SX740 Digi Direct Parramatta</t>
  </si>
  <si>
    <t>Iphone Air 256 Gold &amp; White JBHIFI Mount Druitt</t>
  </si>
  <si>
    <t>Iphone Air 256 White Officeworks Blacktown</t>
  </si>
  <si>
    <t>Iphone Air 256 Sky Blue Officeworks Castle Hills</t>
  </si>
  <si>
    <t>Starlink Standard kit Bunnungs Pymbal</t>
  </si>
  <si>
    <t>Starlink Standard kit Bunnings Dural</t>
  </si>
  <si>
    <t>Starlink Standard kit Bunnings Seven Hills</t>
  </si>
  <si>
    <t>Starlink Standard kit Bunnings East Packenham Pending Delivery 27-01 Melbourne</t>
  </si>
  <si>
    <t>Iphone Air  256 JBHIFI Merrylands</t>
  </si>
  <si>
    <t>Iphone Air  256 JHIFI Bankstown</t>
  </si>
  <si>
    <t>Starlink Standard kit Bunnings Greenacre</t>
  </si>
  <si>
    <t>VanHire + Petrol Anis Car Rental Expense</t>
  </si>
  <si>
    <t>Pocket 3 Creator combo DJI Macquarie</t>
  </si>
  <si>
    <t>Osmo Pocket 3 creator combo JBHIFI Parramatta</t>
  </si>
  <si>
    <t xml:space="preserve">Osmo Pocket 3 creator combo </t>
  </si>
  <si>
    <t>iphone 17 pro max 512gb</t>
  </si>
  <si>
    <t xml:space="preserve">iphone 17 pro max 256gb </t>
  </si>
  <si>
    <t>Starlink Standard kit Bunnings Lidcomb Awiating Stock</t>
  </si>
  <si>
    <t>Starlink Standard kit Bunnings Gladesville</t>
  </si>
  <si>
    <t>Starlink Standard kit Bunnings Castle Hill</t>
  </si>
  <si>
    <t>Starlink Standard kit</t>
  </si>
  <si>
    <t>Store</t>
  </si>
  <si>
    <t>Status</t>
  </si>
  <si>
    <t>Per/Unit (AUD)</t>
  </si>
  <si>
    <t>Discount %</t>
  </si>
  <si>
    <t>Discount</t>
  </si>
  <si>
    <t>Per/Unit After Dis.</t>
  </si>
  <si>
    <t>Total AUD</t>
  </si>
  <si>
    <t>C.Rate</t>
  </si>
  <si>
    <t>Per/unit AED</t>
  </si>
  <si>
    <t>Iphone 17 pro max 256 Silver JBHIFI Macquarie Park</t>
  </si>
  <si>
    <t>Iphone 17 pro max 256 Silver JBHIFI Hornsby</t>
  </si>
  <si>
    <t>Iphone 17 pro max 256 Silver JBHIFI Castle Tower</t>
  </si>
  <si>
    <t>Iphone 17 pro max 256 Silver JBHIFI Castle Hills Home</t>
  </si>
  <si>
    <t>Iphone 17 pro max 256 Orange JBHIFI Castle Hills Home</t>
  </si>
  <si>
    <t>Iphone Air 256 (Gold &amp; White) JBHIFI Castle Hills Home</t>
  </si>
  <si>
    <t>Iphone Air 256 (Gold &amp; White) Harvey Norman Castle Hills</t>
  </si>
  <si>
    <t>Iphone 17 pro max 256 Silver JBHIFI Top Ryde</t>
  </si>
  <si>
    <t>Iphone 17 pro max 256 Orange JBHIFI Top Ryde</t>
  </si>
  <si>
    <t>Iphone Air 256 Gold  JBHIFI Top Ryde</t>
  </si>
  <si>
    <t>Iphone Air 256 White JBHIFI Top Ryde</t>
  </si>
  <si>
    <t>Iphone 17 pro max 256 Silver JBHIFI Homebush</t>
  </si>
  <si>
    <t>Iphone 17 pro max 256 Silver JBHIFI Bankstown</t>
  </si>
  <si>
    <t>Iphone 17 pro max 256 Orange JBHIFI Bankstown</t>
  </si>
  <si>
    <t>Iphone Air 256 Gold JBHIFI Bankstown</t>
  </si>
  <si>
    <t>Iphone Air 256 White JBHIFI Bankstown</t>
  </si>
  <si>
    <t>Perth Collection Commision Waleed (Dec Month)</t>
  </si>
  <si>
    <t>Paid Abdul Khan (Ref 12 Jan  $500 balance)</t>
  </si>
  <si>
    <t>Starlink Standard kit Bunnings Epping Melbourne</t>
  </si>
  <si>
    <t>Starlink Standard kit Bunnings Sunshine Melbourne Pending Delivery 03-02</t>
  </si>
  <si>
    <t>Starlink Standard kit Bunnings Footscray Melbourne Pending Delivery 03-02</t>
  </si>
  <si>
    <t>Starlink Standard kit Bunnings Thomastown Melbourne</t>
  </si>
  <si>
    <t>Starlink Standard kit Bunnings Fairfield Melbourne</t>
  </si>
  <si>
    <t>Starlink Standard kit Bunnings Craigiburn Melbourne</t>
  </si>
  <si>
    <t>Starlink Standard kit Bunnings Tarnett Melbourne</t>
  </si>
  <si>
    <t>Starlink Standard kit Bunnings Hoppers Cross Melbourne</t>
  </si>
  <si>
    <t>Starlink Standard kit Bunnings Coburg Melbourne</t>
  </si>
  <si>
    <t>Starlink Standard kit Bunnings Caroline Spring Melbourne</t>
  </si>
  <si>
    <t>Starlink Standard kit Bunnings Taylors Lakes Melbourne</t>
  </si>
  <si>
    <t>Starlink Standard kit Bunnings Melton East Melbourne</t>
  </si>
  <si>
    <t>Starlink Standard kit Bunnings CT Frieight Melbourne</t>
  </si>
  <si>
    <t>Starlink Standard kit Bunnings Broadmedows Melbourne</t>
  </si>
  <si>
    <t>Melbourne Trip Expense Melbourne Expense</t>
  </si>
  <si>
    <t>Javed Bhai Investment Profit Year 2025 Javed Bhai</t>
  </si>
  <si>
    <t>Mini EVO Noel Leeming Delivered CT Freight</t>
  </si>
  <si>
    <t>Starlink Mini  Abdul Khan</t>
  </si>
  <si>
    <t>Party Name</t>
  </si>
  <si>
    <t>White</t>
  </si>
  <si>
    <t>Black</t>
  </si>
  <si>
    <t>1 TB</t>
  </si>
  <si>
    <t>Starlink V4</t>
  </si>
  <si>
    <t>Starlink Standard Kit Bunnings Lidcomb</t>
  </si>
  <si>
    <t>Starlink Standard Kit Bunnings Northmead</t>
  </si>
  <si>
    <t>Starlink Standard Kit Bunnings Smithfield</t>
  </si>
  <si>
    <t>Starlink Standard Kit Bunnings Hoxtonpark</t>
  </si>
  <si>
    <t>Starlink Standard Kit Bunnings Leppington</t>
  </si>
  <si>
    <t>Starlink Standard Kit Bunnings Gregory Hills</t>
  </si>
  <si>
    <t>Starlink Mini Bunnings Gregory Hills</t>
  </si>
  <si>
    <t>Starlink Mini Bunnings Hoxtonpark</t>
  </si>
  <si>
    <t>Starlink Mini Bunnings Bonnyrigg</t>
  </si>
  <si>
    <t>Starlink V2 Bunnings Bonnyrigg</t>
  </si>
  <si>
    <t>Mavic 4 pro Standard DJI Macquarie Park Pending Collection</t>
  </si>
  <si>
    <t>Iphone 17 pro max Harvey Norman Fyshwick Pending Delivery</t>
  </si>
  <si>
    <t>2-17-2026</t>
  </si>
  <si>
    <t>607-51694215 SYD</t>
  </si>
  <si>
    <t>iPhone 17 Pro Max (FU)</t>
  </si>
  <si>
    <t>Cosmic Orange</t>
  </si>
  <si>
    <t>256 GB</t>
  </si>
  <si>
    <t>Silver</t>
  </si>
  <si>
    <t>iPhone 17 Air (FU)</t>
  </si>
  <si>
    <t>Sky Blue</t>
  </si>
  <si>
    <t>Light Gold</t>
  </si>
  <si>
    <t>Cloud White</t>
  </si>
  <si>
    <t>Ps5 Slim Digital Fortnite</t>
  </si>
  <si>
    <t>825 GB</t>
  </si>
  <si>
    <t>S01E55901J5310253691</t>
  </si>
  <si>
    <t>S01E55901J5310253692</t>
  </si>
  <si>
    <t>S01E55A01J5310265194</t>
  </si>
  <si>
    <t>S01E55A01J5310265193</t>
  </si>
  <si>
    <t>S01E55901J5310259304</t>
  </si>
  <si>
    <t>S01E55901J5310259303</t>
  </si>
  <si>
    <t>Ps5 Slim Disc Fortnite</t>
  </si>
  <si>
    <t>S01F55901DR210315409</t>
  </si>
  <si>
    <t>S01F55901DR210315410</t>
  </si>
  <si>
    <t>S01F55901DR210318709</t>
  </si>
  <si>
    <t>S01F55901DR210318710</t>
  </si>
  <si>
    <t>DJI Mavic 4 Pro Standard</t>
  </si>
  <si>
    <t>1581F8LQC259Q0025JUL</t>
  </si>
  <si>
    <t>1581F8LQC259Q0025K9A</t>
  </si>
  <si>
    <t>1581F8LQC25AC00260CR</t>
  </si>
  <si>
    <t>1581F8LQC259V0025QG5</t>
  </si>
  <si>
    <t>1581F8LQC255Q0022GKA</t>
  </si>
  <si>
    <t>JBL Charge 6</t>
  </si>
  <si>
    <t>GG1363-EP0194945</t>
  </si>
  <si>
    <t>GG1363-EP0194994</t>
  </si>
  <si>
    <t>GG1363-EP0199339</t>
  </si>
  <si>
    <t>GG1363-EP0200638</t>
  </si>
  <si>
    <t>GG1363-EP0200642</t>
  </si>
  <si>
    <t>GG1363-JP0402373</t>
  </si>
  <si>
    <t>GG1363-JP0402372</t>
  </si>
  <si>
    <t>GG1363-JP0402368</t>
  </si>
  <si>
    <t>GG1363-JP0401174</t>
  </si>
  <si>
    <t>GG1363-JP0402917</t>
  </si>
  <si>
    <t>GG1363-JP0402952</t>
  </si>
  <si>
    <t>GG1363-JP0402951</t>
  </si>
  <si>
    <t>GG1363-JP0402949</t>
  </si>
  <si>
    <t>GG1363-JP0402292</t>
  </si>
  <si>
    <t>GG1363-JP0401955</t>
  </si>
  <si>
    <t>GG1363-JP0402293</t>
  </si>
  <si>
    <t>GG1363-JP0402296</t>
  </si>
  <si>
    <t>GG1363-JP0400825</t>
  </si>
  <si>
    <t>GG1363-JP0400826</t>
  </si>
  <si>
    <t>GG1363-JP0400827</t>
  </si>
  <si>
    <t>GG1363-JP0400792</t>
  </si>
  <si>
    <t>GG1363-JP0402927</t>
  </si>
  <si>
    <t>GG1363-JP0402923</t>
  </si>
  <si>
    <t>GG1363-JP0402925</t>
  </si>
  <si>
    <t>GG1363-JP0402806</t>
  </si>
  <si>
    <t>Blue</t>
  </si>
  <si>
    <t>GG1365-GP0194476</t>
  </si>
  <si>
    <t>GG1365-GP0194553</t>
  </si>
  <si>
    <t>GG1365-HP0205636</t>
  </si>
  <si>
    <t>GG1365-HP0207635</t>
  </si>
  <si>
    <t>Pink</t>
  </si>
  <si>
    <t>GG1370-EP0036191</t>
  </si>
  <si>
    <t>GG1370-GP0054030</t>
  </si>
  <si>
    <t>Starlink V2</t>
  </si>
  <si>
    <t>Starlink Mini</t>
  </si>
  <si>
    <t>Starlink Mini Bunnings Villawood</t>
  </si>
  <si>
    <t>Starlink Standard Kit Bunnings Rydalmere</t>
  </si>
  <si>
    <t>Starlink Standard Kit Bunnings Villawood</t>
  </si>
  <si>
    <t>Starlink Mini Bunnings Sunshine</t>
  </si>
  <si>
    <t>Macbook Pro M5 24/1TB JBHIFI Bankstown</t>
  </si>
  <si>
    <t>Apple Airpods ANC JBHIFI Bankstown</t>
  </si>
  <si>
    <t>DJI Mavic 4 pro 512 JBHIFI Bankstown</t>
  </si>
  <si>
    <t>DJI Mavic 4 Pro RC2 JBHIFI Bankstown</t>
  </si>
  <si>
    <t>DJI Mni 5 pro Combo Plus JBHIFI Bankstown</t>
  </si>
  <si>
    <t>DJI mini 4K JBHIFI Bankstown</t>
  </si>
  <si>
    <t>Apple Watch Ultra 3 JBHIFI Bankstown</t>
  </si>
  <si>
    <t>Kodak Camera JBHIFI Bankstown</t>
  </si>
  <si>
    <t>Starlink Standard Kit Bunnings Packenham Melbourne</t>
  </si>
  <si>
    <t>Starlink Standard Kit Bunings Westfootscray Melbourne</t>
  </si>
  <si>
    <t>Starlink Standard Kit JBHIFI Bankstown</t>
  </si>
  <si>
    <t>Iphone 17 pro max 256 Silver JHIFI Roselands</t>
  </si>
  <si>
    <t>Starlink Standard Kit JHIFI Roselands</t>
  </si>
  <si>
    <t>Starlink Standard Kit Bunnings Morayfiled Queensland</t>
  </si>
  <si>
    <t>Shipping Charges Megatop</t>
  </si>
  <si>
    <t>CT Freight Melbourne</t>
  </si>
  <si>
    <t>Canon Mark III Black Noel Leeming Pending Delivery</t>
  </si>
  <si>
    <t>Iphone Air 256 Blue Harvey Norman Fyshwick</t>
  </si>
  <si>
    <t>Aus Payment Entry</t>
  </si>
  <si>
    <t>New Payment entry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</si>
</sst>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AED]\ * #,##0.00_);_([$AED]\ * \(#,##0.00\);_([$AED]\ * &quot;-&quot;??_);_(@_)"/>
    <numFmt numFmtId="165" formatCode="&quot;$&quot;#,##0"/>
    <numFmt numFmtId="166" formatCode="&quot;$&quot;#,##0.00;[Red]\-&quot;$&quot;#,##0.00"/>
    <numFmt numFmtId="167" formatCode="&quot;$&quot;#,##0;[Red]\-&quot;$&quot;#,##0"/>
    <numFmt numFmtId="168" formatCode="&quot;$&quot;#,##0.00"/>
  </numFmts>
  <fonts count="6" x14ac:knownFonts="1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3" borderId="0" xfId="0" applyFont="1" applyFill="1" applyAlignment="1">
      <alignment horizontal="center"/>
    </xf>
    <xf numFmtId="16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/>
    <xf numFmtId="166" fontId="0" fillId="4" borderId="1" xfId="0" applyNumberFormat="1" applyFill="1" applyBorder="1"/>
    <xf numFmtId="16" fontId="0" fillId="6" borderId="1" xfId="0" applyNumberFormat="1" applyFill="1" applyBorder="1"/>
    <xf numFmtId="0" fontId="0" fillId="6" borderId="1" xfId="0" applyFill="1" applyBorder="1"/>
    <xf numFmtId="167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65" fontId="0" fillId="6" borderId="1" xfId="0" applyNumberFormat="1" applyFill="1" applyBorder="1"/>
    <xf numFmtId="0" fontId="2" fillId="7" borderId="0" xfId="0" applyFont="1" applyFill="1" applyAlignment="1">
      <alignment horizontal="center"/>
    </xf>
    <xf numFmtId="0" fontId="0" fillId="7" borderId="0" xfId="0" applyFill="1"/>
    <xf numFmtId="167" fontId="0" fillId="4" borderId="1" xfId="0" applyNumberFormat="1" applyFill="1" applyBorder="1"/>
    <xf numFmtId="0" fontId="0" fillId="4" borderId="1" xfId="0" applyFill="1" applyBorder="1" applyAlignment="1">
      <alignment horizontal="left"/>
    </xf>
    <xf numFmtId="0" fontId="0" fillId="6" borderId="0" xfId="0" applyFill="1"/>
    <xf numFmtId="0" fontId="4" fillId="6" borderId="0" xfId="0" applyFont="1" applyFill="1" applyAlignment="1">
      <alignment horizontal="center" wrapText="1"/>
    </xf>
    <xf numFmtId="0" fontId="4" fillId="6" borderId="0" xfId="0" applyFont="1" applyFill="1" applyAlignment="1">
      <alignment wrapText="1"/>
    </xf>
    <xf numFmtId="1" fontId="4" fillId="6" borderId="0" xfId="0" applyNumberFormat="1" applyFont="1" applyFill="1" applyAlignment="1">
      <alignment horizontal="center" wrapText="1"/>
    </xf>
    <xf numFmtId="168" fontId="0" fillId="0" borderId="1" xfId="0" applyNumberFormat="1" applyBorder="1"/>
    <xf numFmtId="168" fontId="0" fillId="5" borderId="1" xfId="0" applyNumberFormat="1" applyFill="1" applyBorder="1"/>
    <xf numFmtId="168" fontId="0" fillId="4" borderId="1" xfId="0" applyNumberFormat="1" applyFill="1" applyBorder="1"/>
    <xf numFmtId="168" fontId="0" fillId="6" borderId="1" xfId="0" applyNumberFormat="1" applyFill="1" applyBorder="1"/>
    <xf numFmtId="16" fontId="0" fillId="6" borderId="2" xfId="0" applyNumberFormat="1" applyFill="1" applyBorder="1"/>
    <xf numFmtId="0" fontId="0" fillId="6" borderId="2" xfId="0" applyFill="1" applyBorder="1"/>
    <xf numFmtId="168" fontId="0" fillId="6" borderId="2" xfId="0" applyNumberFormat="1" applyFill="1" applyBorder="1"/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" fontId="0" fillId="6" borderId="3" xfId="0" applyNumberFormat="1" applyFill="1" applyBorder="1"/>
    <xf numFmtId="0" fontId="0" fillId="6" borderId="3" xfId="0" applyFill="1" applyBorder="1"/>
    <xf numFmtId="168" fontId="0" fillId="6" borderId="3" xfId="0" applyNumberFormat="1" applyFill="1" applyBorder="1"/>
    <xf numFmtId="0" fontId="0" fillId="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4" fillId="9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9" borderId="7" xfId="0" applyFont="1" applyFill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1" fontId="4" fillId="0" borderId="11" xfId="0" applyNumberFormat="1" applyFont="1" applyBorder="1" applyAlignment="1">
      <alignment horizontal="center" wrapText="1"/>
    </xf>
    <xf numFmtId="1" fontId="4" fillId="0" borderId="4" xfId="0" applyNumberFormat="1" applyFont="1" applyBorder="1" applyAlignment="1">
      <alignment wrapText="1"/>
    </xf>
    <xf numFmtId="0" fontId="0" fillId="4" borderId="1" xfId="0" applyFill="1" applyBorder="1" applyAlignment="1">
      <alignment horizontal="right"/>
    </xf>
    <xf numFmtId="16" fontId="0" fillId="10" borderId="1" xfId="0" applyNumberFormat="1" applyFill="1" applyBorder="1" applyAlignment="1">
      <alignment horizontal="right"/>
    </xf>
    <xf numFmtId="0" fontId="0" fillId="10" borderId="1" xfId="0" applyFill="1" applyBorder="1"/>
    <xf numFmtId="0" fontId="0" fillId="10" borderId="1" xfId="0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8" borderId="5" xfId="0" applyFont="1" applyFill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5" fillId="8" borderId="8" xfId="0" applyFont="1" applyFill="1" applyBorder="1" applyAlignment="1">
      <alignment horizontal="center" wrapText="1"/>
    </xf>
    <xf numFmtId="0" fontId="5" fillId="8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4205-5A44-4A18-92FC-9A7712FFFDD6}">
  <dimension ref="A1:P226"/>
  <sheetViews>
    <sheetView tabSelected="1" topLeftCell="A188" zoomScale="70" zoomScaleNormal="70" workbookViewId="0">
      <selection activeCell="O184" sqref="O184"/>
    </sheetView>
  </sheetViews>
  <sheetFormatPr defaultRowHeight="15" x14ac:dyDescent="0.25"/>
  <cols>
    <col min="1" max="1" width="11.85546875" customWidth="1"/>
    <col min="2" max="2" width="15.42578125" customWidth="1"/>
    <col min="3" max="3" width="56.7109375" customWidth="1"/>
    <col min="4" max="4" width="29.85546875" customWidth="1"/>
    <col min="5" max="5" width="20.7109375" customWidth="1"/>
    <col min="6" max="6" width="34" customWidth="1"/>
    <col min="7" max="7" width="18.85546875" customWidth="1"/>
    <col min="8" max="9" width="20.42578125" customWidth="1"/>
    <col min="10" max="10" width="21" customWidth="1"/>
    <col min="11" max="11" width="12.7109375" customWidth="1"/>
    <col min="12" max="12" width="12.28515625" customWidth="1"/>
    <col min="13" max="13" width="14.140625" customWidth="1"/>
    <col min="14" max="14" width="20.42578125" customWidth="1"/>
    <col min="15" max="15" width="16.5703125" customWidth="1"/>
  </cols>
  <sheetData>
    <row r="1" spans="1:10" x14ac:dyDescent="0.25">
      <c r="B1" s="1"/>
      <c r="C1" s="1"/>
      <c r="D1" s="1"/>
      <c r="E1" s="1"/>
      <c r="F1" s="1"/>
      <c r="G1" s="1"/>
      <c r="H1" s="1"/>
      <c r="I1" s="1"/>
      <c r="J1" s="2"/>
    </row>
    <row r="2" spans="1:10" ht="21" x14ac:dyDescent="0.35">
      <c r="A2" t="s">
        <v>0</v>
      </c>
      <c r="B2" s="58" t="s">
        <v>1</v>
      </c>
      <c r="C2" s="58"/>
      <c r="D2" s="58"/>
      <c r="E2" s="58"/>
      <c r="F2" s="58"/>
      <c r="G2" s="58"/>
      <c r="H2" s="58"/>
      <c r="I2" s="58"/>
      <c r="J2" s="58"/>
    </row>
    <row r="3" spans="1:10" ht="18.75" x14ac:dyDescent="0.3">
      <c r="A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/>
    </row>
    <row r="4" spans="1:10" x14ac:dyDescent="0.25">
      <c r="B4" s="4">
        <v>46026</v>
      </c>
      <c r="C4" s="5" t="s">
        <v>11</v>
      </c>
      <c r="D4" s="5">
        <v>2</v>
      </c>
      <c r="E4" s="6">
        <v>2010</v>
      </c>
      <c r="F4" s="7">
        <f>E4*D4</f>
        <v>4020</v>
      </c>
      <c r="G4" s="7">
        <v>2.4285000000000001</v>
      </c>
      <c r="H4" s="7">
        <f>E4*G4</f>
        <v>4881.2849999999999</v>
      </c>
      <c r="I4" s="7">
        <f>H4*D4</f>
        <v>9762.57</v>
      </c>
      <c r="J4" s="5">
        <f>J3+I4</f>
        <v>9762.57</v>
      </c>
    </row>
    <row r="5" spans="1:10" x14ac:dyDescent="0.25">
      <c r="B5" s="4">
        <v>46026</v>
      </c>
      <c r="C5" s="5" t="s">
        <v>12</v>
      </c>
      <c r="D5" s="5">
        <v>2</v>
      </c>
      <c r="E5" s="6">
        <v>2010</v>
      </c>
      <c r="F5" s="7">
        <f t="shared" ref="F5:F13" si="0">E5*D5</f>
        <v>4020</v>
      </c>
      <c r="G5" s="7">
        <v>2.4285000000000001</v>
      </c>
      <c r="H5" s="7">
        <f t="shared" ref="H5:H13" si="1">E5*G5</f>
        <v>4881.2849999999999</v>
      </c>
      <c r="I5" s="7">
        <f t="shared" ref="I5:I13" si="2">H5*D5</f>
        <v>9762.57</v>
      </c>
      <c r="J5" s="5">
        <f t="shared" ref="J5:J13" si="3">J4+I5</f>
        <v>19525.14</v>
      </c>
    </row>
    <row r="6" spans="1:10" x14ac:dyDescent="0.25">
      <c r="B6" s="8">
        <v>46024</v>
      </c>
      <c r="C6" s="9" t="s">
        <v>13</v>
      </c>
      <c r="D6" s="9">
        <v>1</v>
      </c>
      <c r="E6" s="10">
        <v>104</v>
      </c>
      <c r="F6" s="11">
        <f t="shared" si="0"/>
        <v>104</v>
      </c>
      <c r="G6" s="11">
        <v>2.4285000000000001</v>
      </c>
      <c r="H6" s="11">
        <f t="shared" si="1"/>
        <v>252.56400000000002</v>
      </c>
      <c r="I6" s="11">
        <f t="shared" si="2"/>
        <v>252.56400000000002</v>
      </c>
      <c r="J6" s="9">
        <f t="shared" si="3"/>
        <v>19777.703999999998</v>
      </c>
    </row>
    <row r="7" spans="1:10" x14ac:dyDescent="0.25">
      <c r="B7" s="4">
        <v>46025</v>
      </c>
      <c r="C7" s="5" t="s">
        <v>14</v>
      </c>
      <c r="D7" s="5">
        <v>2</v>
      </c>
      <c r="E7" s="6">
        <v>398</v>
      </c>
      <c r="F7" s="7">
        <f t="shared" si="0"/>
        <v>796</v>
      </c>
      <c r="G7" s="7">
        <v>2.4285000000000001</v>
      </c>
      <c r="H7" s="7">
        <f t="shared" si="1"/>
        <v>966.54300000000001</v>
      </c>
      <c r="I7" s="7">
        <f t="shared" si="2"/>
        <v>1933.086</v>
      </c>
      <c r="J7" s="5">
        <f t="shared" si="3"/>
        <v>21710.789999999997</v>
      </c>
    </row>
    <row r="8" spans="1:10" x14ac:dyDescent="0.25">
      <c r="B8" s="4">
        <v>46025</v>
      </c>
      <c r="C8" s="5" t="s">
        <v>15</v>
      </c>
      <c r="D8" s="5">
        <v>8</v>
      </c>
      <c r="E8" s="6">
        <v>629</v>
      </c>
      <c r="F8" s="7">
        <f t="shared" si="0"/>
        <v>5032</v>
      </c>
      <c r="G8" s="7">
        <v>2.4285000000000001</v>
      </c>
      <c r="H8" s="7">
        <f t="shared" si="1"/>
        <v>1527.5265000000002</v>
      </c>
      <c r="I8" s="7">
        <f t="shared" si="2"/>
        <v>12220.212000000001</v>
      </c>
      <c r="J8" s="5">
        <f t="shared" si="3"/>
        <v>33931.002</v>
      </c>
    </row>
    <row r="9" spans="1:10" x14ac:dyDescent="0.25">
      <c r="B9" s="4">
        <v>46025</v>
      </c>
      <c r="C9" s="5" t="s">
        <v>15</v>
      </c>
      <c r="D9" s="5">
        <v>2</v>
      </c>
      <c r="E9" s="6">
        <v>629</v>
      </c>
      <c r="F9" s="7">
        <f t="shared" si="0"/>
        <v>1258</v>
      </c>
      <c r="G9" s="7">
        <v>2.4285000000000001</v>
      </c>
      <c r="H9" s="7">
        <f t="shared" si="1"/>
        <v>1527.5265000000002</v>
      </c>
      <c r="I9" s="7">
        <f t="shared" si="2"/>
        <v>3055.0530000000003</v>
      </c>
      <c r="J9" s="5">
        <f t="shared" si="3"/>
        <v>36986.055</v>
      </c>
    </row>
    <row r="10" spans="1:10" x14ac:dyDescent="0.25">
      <c r="B10" s="4">
        <v>46025</v>
      </c>
      <c r="C10" s="5" t="s">
        <v>16</v>
      </c>
      <c r="D10" s="5">
        <v>4</v>
      </c>
      <c r="E10" s="6">
        <v>477</v>
      </c>
      <c r="F10" s="7">
        <f t="shared" si="0"/>
        <v>1908</v>
      </c>
      <c r="G10" s="7">
        <v>2.4285000000000001</v>
      </c>
      <c r="H10" s="7">
        <f t="shared" si="1"/>
        <v>1158.3945000000001</v>
      </c>
      <c r="I10" s="7">
        <f t="shared" si="2"/>
        <v>4633.5780000000004</v>
      </c>
      <c r="J10" s="5">
        <f t="shared" si="3"/>
        <v>41619.633000000002</v>
      </c>
    </row>
    <row r="11" spans="1:10" x14ac:dyDescent="0.25">
      <c r="B11" s="4">
        <v>46025</v>
      </c>
      <c r="C11" s="5" t="s">
        <v>17</v>
      </c>
      <c r="D11" s="5">
        <v>2</v>
      </c>
      <c r="E11" s="6">
        <v>629</v>
      </c>
      <c r="F11" s="7">
        <f t="shared" si="0"/>
        <v>1258</v>
      </c>
      <c r="G11" s="7">
        <v>2.4285000000000001</v>
      </c>
      <c r="H11" s="7">
        <f t="shared" si="1"/>
        <v>1527.5265000000002</v>
      </c>
      <c r="I11" s="7">
        <f t="shared" si="2"/>
        <v>3055.0530000000003</v>
      </c>
      <c r="J11" s="5">
        <f t="shared" si="3"/>
        <v>44674.686000000002</v>
      </c>
    </row>
    <row r="12" spans="1:10" x14ac:dyDescent="0.25">
      <c r="B12" s="8">
        <v>46027</v>
      </c>
      <c r="C12" s="9" t="s">
        <v>18</v>
      </c>
      <c r="D12" s="9">
        <v>1</v>
      </c>
      <c r="E12" s="10">
        <v>510</v>
      </c>
      <c r="F12" s="11">
        <f t="shared" si="0"/>
        <v>510</v>
      </c>
      <c r="G12" s="11">
        <v>2.4285000000000001</v>
      </c>
      <c r="H12" s="11">
        <f t="shared" si="1"/>
        <v>1238.5350000000001</v>
      </c>
      <c r="I12" s="11">
        <f t="shared" si="2"/>
        <v>1238.5350000000001</v>
      </c>
      <c r="J12" s="9">
        <f t="shared" si="3"/>
        <v>45913.221000000005</v>
      </c>
    </row>
    <row r="13" spans="1:10" x14ac:dyDescent="0.25">
      <c r="B13" s="7"/>
      <c r="C13" s="7"/>
      <c r="D13" s="7"/>
      <c r="E13" s="7"/>
      <c r="F13" s="7">
        <f t="shared" si="0"/>
        <v>0</v>
      </c>
      <c r="G13" s="7"/>
      <c r="H13" s="7">
        <f t="shared" si="1"/>
        <v>0</v>
      </c>
      <c r="I13" s="7">
        <f t="shared" si="2"/>
        <v>0</v>
      </c>
      <c r="J13" s="5">
        <f t="shared" si="3"/>
        <v>45913.221000000005</v>
      </c>
    </row>
    <row r="14" spans="1:10" x14ac:dyDescent="0.25">
      <c r="B14" s="1"/>
      <c r="C14" s="1"/>
      <c r="D14" s="1"/>
      <c r="E14" s="1"/>
      <c r="F14" s="1"/>
      <c r="G14" s="1"/>
      <c r="H14" s="1"/>
      <c r="I14" s="1"/>
      <c r="J14" s="2"/>
    </row>
    <row r="15" spans="1:10" x14ac:dyDescent="0.25">
      <c r="B15" s="1"/>
      <c r="C15" s="1"/>
      <c r="D15" s="1"/>
      <c r="E15" s="1"/>
      <c r="F15" s="1"/>
      <c r="G15" s="1"/>
      <c r="H15" s="1"/>
      <c r="I15" s="1"/>
      <c r="J15" s="2"/>
    </row>
    <row r="16" spans="1:10" x14ac:dyDescent="0.25">
      <c r="B16" s="1"/>
      <c r="C16" s="1"/>
      <c r="D16" s="1"/>
      <c r="E16" s="1"/>
      <c r="F16" s="1"/>
      <c r="G16" s="1"/>
      <c r="H16" s="1"/>
      <c r="I16" s="1"/>
      <c r="J16" s="2"/>
    </row>
    <row r="17" spans="1:10" ht="21" x14ac:dyDescent="0.35">
      <c r="A17" t="s">
        <v>0</v>
      </c>
      <c r="B17" s="58" t="s">
        <v>1</v>
      </c>
      <c r="C17" s="58"/>
      <c r="D17" s="58"/>
      <c r="E17" s="58"/>
      <c r="F17" s="58"/>
      <c r="G17" s="58"/>
      <c r="H17" s="58"/>
      <c r="I17" s="58"/>
      <c r="J17" s="58"/>
    </row>
    <row r="18" spans="1:10" ht="18.75" x14ac:dyDescent="0.3">
      <c r="A18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/>
    </row>
    <row r="19" spans="1:10" x14ac:dyDescent="0.25">
      <c r="B19" s="8">
        <v>46028</v>
      </c>
      <c r="C19" s="9" t="s">
        <v>12</v>
      </c>
      <c r="D19" s="11">
        <v>2</v>
      </c>
      <c r="E19" s="10">
        <v>2010</v>
      </c>
      <c r="F19" s="11">
        <f>E19*D19</f>
        <v>4020</v>
      </c>
      <c r="G19" s="11">
        <v>2.4285000000000001</v>
      </c>
      <c r="H19" s="11">
        <f>E19*G19</f>
        <v>4881.2849999999999</v>
      </c>
      <c r="I19" s="11">
        <f>H19*D19</f>
        <v>9762.57</v>
      </c>
      <c r="J19" s="9">
        <f>J18+I19</f>
        <v>9762.57</v>
      </c>
    </row>
    <row r="20" spans="1:10" x14ac:dyDescent="0.25">
      <c r="B20" s="4">
        <v>46028</v>
      </c>
      <c r="C20" s="5" t="s">
        <v>19</v>
      </c>
      <c r="D20" s="7">
        <v>2</v>
      </c>
      <c r="E20" s="6">
        <v>2010</v>
      </c>
      <c r="F20" s="7">
        <f t="shared" ref="F20:F29" si="4">E20*D20</f>
        <v>4020</v>
      </c>
      <c r="G20" s="7">
        <v>2.4285000000000001</v>
      </c>
      <c r="H20" s="7">
        <f t="shared" ref="H20:H29" si="5">E20*G20</f>
        <v>4881.2849999999999</v>
      </c>
      <c r="I20" s="7">
        <f t="shared" ref="I20:I29" si="6">H20*D20</f>
        <v>9762.57</v>
      </c>
      <c r="J20" s="5">
        <f t="shared" ref="J20:J29" si="7">J19+I20</f>
        <v>19525.14</v>
      </c>
    </row>
    <row r="21" spans="1:10" x14ac:dyDescent="0.25">
      <c r="B21" s="4">
        <v>46028</v>
      </c>
      <c r="C21" s="5" t="s">
        <v>19</v>
      </c>
      <c r="D21" s="7">
        <v>2</v>
      </c>
      <c r="E21" s="6">
        <v>2010</v>
      </c>
      <c r="F21" s="7">
        <f t="shared" si="4"/>
        <v>4020</v>
      </c>
      <c r="G21" s="7">
        <v>2.4285000000000001</v>
      </c>
      <c r="H21" s="7">
        <f t="shared" si="5"/>
        <v>4881.2849999999999</v>
      </c>
      <c r="I21" s="7">
        <f t="shared" si="6"/>
        <v>9762.57</v>
      </c>
      <c r="J21" s="5">
        <f t="shared" si="7"/>
        <v>29287.71</v>
      </c>
    </row>
    <row r="22" spans="1:10" x14ac:dyDescent="0.25">
      <c r="B22" s="4">
        <v>46028</v>
      </c>
      <c r="C22" s="5" t="s">
        <v>20</v>
      </c>
      <c r="D22" s="7">
        <v>2</v>
      </c>
      <c r="E22" s="6">
        <v>2010</v>
      </c>
      <c r="F22" s="7">
        <f t="shared" si="4"/>
        <v>4020</v>
      </c>
      <c r="G22" s="7">
        <v>2.4285000000000001</v>
      </c>
      <c r="H22" s="7">
        <f t="shared" si="5"/>
        <v>4881.2849999999999</v>
      </c>
      <c r="I22" s="7">
        <f t="shared" si="6"/>
        <v>9762.57</v>
      </c>
      <c r="J22" s="5">
        <f t="shared" si="7"/>
        <v>39050.28</v>
      </c>
    </row>
    <row r="23" spans="1:10" x14ac:dyDescent="0.25">
      <c r="B23" s="12">
        <v>46028</v>
      </c>
      <c r="C23" s="13" t="s">
        <v>21</v>
      </c>
      <c r="D23" s="14">
        <v>1</v>
      </c>
      <c r="E23" s="15">
        <v>2010</v>
      </c>
      <c r="F23" s="7">
        <f t="shared" si="4"/>
        <v>2010</v>
      </c>
      <c r="G23" s="7">
        <v>2.4285000000000001</v>
      </c>
      <c r="H23" s="7">
        <f t="shared" si="5"/>
        <v>4881.2849999999999</v>
      </c>
      <c r="I23" s="7">
        <f t="shared" si="6"/>
        <v>4881.2849999999999</v>
      </c>
      <c r="J23" s="5">
        <f t="shared" si="7"/>
        <v>43931.565000000002</v>
      </c>
    </row>
    <row r="24" spans="1:10" x14ac:dyDescent="0.25">
      <c r="B24" s="12">
        <v>46031</v>
      </c>
      <c r="C24" s="13" t="s">
        <v>11</v>
      </c>
      <c r="D24" s="14">
        <v>2</v>
      </c>
      <c r="E24" s="15">
        <v>2010</v>
      </c>
      <c r="F24" s="7">
        <f t="shared" si="4"/>
        <v>4020</v>
      </c>
      <c r="G24" s="7">
        <v>2.4285000000000001</v>
      </c>
      <c r="H24" s="7">
        <f t="shared" si="5"/>
        <v>4881.2849999999999</v>
      </c>
      <c r="I24" s="7">
        <f t="shared" si="6"/>
        <v>9762.57</v>
      </c>
      <c r="J24" s="5">
        <f t="shared" si="7"/>
        <v>53694.135000000002</v>
      </c>
    </row>
    <row r="25" spans="1:10" x14ac:dyDescent="0.25">
      <c r="B25" s="12">
        <v>46031</v>
      </c>
      <c r="C25" s="13" t="s">
        <v>20</v>
      </c>
      <c r="D25" s="14">
        <v>2</v>
      </c>
      <c r="E25" s="15">
        <v>2010</v>
      </c>
      <c r="F25" s="7">
        <f t="shared" si="4"/>
        <v>4020</v>
      </c>
      <c r="G25" s="7">
        <v>2.4285000000000001</v>
      </c>
      <c r="H25" s="7">
        <f t="shared" si="5"/>
        <v>4881.2849999999999</v>
      </c>
      <c r="I25" s="7">
        <f t="shared" si="6"/>
        <v>9762.57</v>
      </c>
      <c r="J25" s="5">
        <f t="shared" si="7"/>
        <v>63456.705000000002</v>
      </c>
    </row>
    <row r="26" spans="1:10" x14ac:dyDescent="0.25">
      <c r="B26" s="12">
        <v>46031</v>
      </c>
      <c r="C26" s="13" t="s">
        <v>22</v>
      </c>
      <c r="D26" s="14">
        <v>2</v>
      </c>
      <c r="E26" s="15">
        <v>2010</v>
      </c>
      <c r="F26" s="7">
        <f t="shared" si="4"/>
        <v>4020</v>
      </c>
      <c r="G26" s="7">
        <v>2.4285000000000001</v>
      </c>
      <c r="H26" s="7">
        <f t="shared" si="5"/>
        <v>4881.2849999999999</v>
      </c>
      <c r="I26" s="7">
        <f t="shared" si="6"/>
        <v>9762.57</v>
      </c>
      <c r="J26" s="5">
        <f t="shared" si="7"/>
        <v>73219.274999999994</v>
      </c>
    </row>
    <row r="27" spans="1:10" x14ac:dyDescent="0.25">
      <c r="B27" s="12">
        <v>46031</v>
      </c>
      <c r="C27" s="13" t="s">
        <v>23</v>
      </c>
      <c r="D27" s="14">
        <v>1</v>
      </c>
      <c r="E27" s="15">
        <v>2010</v>
      </c>
      <c r="F27" s="7">
        <f t="shared" si="4"/>
        <v>2010</v>
      </c>
      <c r="G27" s="7">
        <v>2.4285000000000001</v>
      </c>
      <c r="H27" s="7">
        <f t="shared" si="5"/>
        <v>4881.2849999999999</v>
      </c>
      <c r="I27" s="7">
        <f t="shared" si="6"/>
        <v>4881.2849999999999</v>
      </c>
      <c r="J27" s="5">
        <f t="shared" si="7"/>
        <v>78100.56</v>
      </c>
    </row>
    <row r="28" spans="1:10" x14ac:dyDescent="0.25">
      <c r="B28" s="12">
        <v>46031</v>
      </c>
      <c r="C28" s="13" t="s">
        <v>24</v>
      </c>
      <c r="D28" s="14">
        <v>2</v>
      </c>
      <c r="E28" s="15">
        <v>2010</v>
      </c>
      <c r="F28" s="7">
        <f t="shared" si="4"/>
        <v>4020</v>
      </c>
      <c r="G28" s="7">
        <v>2.4285000000000001</v>
      </c>
      <c r="H28" s="7">
        <f t="shared" si="5"/>
        <v>4881.2849999999999</v>
      </c>
      <c r="I28" s="7">
        <f t="shared" si="6"/>
        <v>9762.57</v>
      </c>
      <c r="J28" s="5">
        <f t="shared" si="7"/>
        <v>87863.13</v>
      </c>
    </row>
    <row r="29" spans="1:10" x14ac:dyDescent="0.25">
      <c r="B29" s="8">
        <v>46029</v>
      </c>
      <c r="C29" s="9" t="s">
        <v>25</v>
      </c>
      <c r="D29" s="11">
        <v>1</v>
      </c>
      <c r="E29" s="16">
        <v>11423.05</v>
      </c>
      <c r="F29" s="11">
        <f t="shared" si="4"/>
        <v>11423.05</v>
      </c>
      <c r="G29" s="11">
        <v>2.4285000000000001</v>
      </c>
      <c r="H29" s="11">
        <f t="shared" si="5"/>
        <v>27740.876925</v>
      </c>
      <c r="I29" s="11">
        <f t="shared" si="6"/>
        <v>27740.876925</v>
      </c>
      <c r="J29" s="9">
        <f t="shared" si="7"/>
        <v>115604.00692500001</v>
      </c>
    </row>
    <row r="30" spans="1:10" x14ac:dyDescent="0.25">
      <c r="B30" s="1"/>
      <c r="C30" s="1"/>
      <c r="D30" s="1"/>
      <c r="E30" s="1"/>
      <c r="F30" s="1"/>
      <c r="G30" s="1"/>
      <c r="H30" s="1"/>
      <c r="I30" s="1"/>
      <c r="J30" s="2"/>
    </row>
    <row r="31" spans="1:10" x14ac:dyDescent="0.25">
      <c r="B31" s="1"/>
      <c r="C31" s="1"/>
      <c r="D31" s="1"/>
      <c r="E31" s="1"/>
      <c r="F31" s="1"/>
      <c r="G31" s="1"/>
      <c r="H31" s="1"/>
      <c r="I31" s="1"/>
      <c r="J31" s="2"/>
    </row>
    <row r="32" spans="1:10" x14ac:dyDescent="0.25">
      <c r="B32" s="1"/>
      <c r="C32" s="1"/>
      <c r="D32" s="1"/>
      <c r="E32" s="1"/>
      <c r="F32" s="1"/>
      <c r="G32" s="1"/>
      <c r="H32" s="1"/>
      <c r="I32" s="1"/>
      <c r="J32" s="2"/>
    </row>
    <row r="33" spans="1:10" x14ac:dyDescent="0.25">
      <c r="B33" s="1"/>
      <c r="C33" s="1"/>
      <c r="D33" s="1"/>
      <c r="E33" s="1"/>
      <c r="F33" s="1"/>
      <c r="G33" s="1"/>
      <c r="H33" s="1"/>
      <c r="I33" s="1"/>
      <c r="J33" s="2"/>
    </row>
    <row r="34" spans="1:10" ht="21" x14ac:dyDescent="0.35">
      <c r="A34" t="s">
        <v>0</v>
      </c>
      <c r="B34" s="58" t="s">
        <v>1</v>
      </c>
      <c r="C34" s="58"/>
      <c r="D34" s="58"/>
      <c r="E34" s="58"/>
      <c r="F34" s="58"/>
      <c r="G34" s="58"/>
      <c r="H34" s="58"/>
      <c r="I34" s="58"/>
      <c r="J34" s="58"/>
    </row>
    <row r="35" spans="1:10" ht="18.75" x14ac:dyDescent="0.3">
      <c r="A35" t="s">
        <v>2</v>
      </c>
      <c r="B35" s="3" t="s">
        <v>3</v>
      </c>
      <c r="C35" s="3" t="s">
        <v>4</v>
      </c>
      <c r="D35" s="3" t="s">
        <v>5</v>
      </c>
      <c r="E35" s="3" t="s">
        <v>6</v>
      </c>
      <c r="F35" s="3" t="s">
        <v>7</v>
      </c>
      <c r="G35" s="3" t="s">
        <v>8</v>
      </c>
      <c r="H35" s="3" t="s">
        <v>9</v>
      </c>
      <c r="I35" s="3" t="s">
        <v>10</v>
      </c>
      <c r="J35" s="3"/>
    </row>
    <row r="36" spans="1:10" x14ac:dyDescent="0.25">
      <c r="B36" s="17">
        <v>46033</v>
      </c>
      <c r="C36" s="18" t="s">
        <v>26</v>
      </c>
      <c r="D36" s="18">
        <v>7</v>
      </c>
      <c r="E36" s="19">
        <v>2197</v>
      </c>
      <c r="F36" s="20">
        <f>E36*D36</f>
        <v>15379</v>
      </c>
      <c r="G36" s="7">
        <v>2.4285000000000001</v>
      </c>
      <c r="H36" s="7">
        <f>E36*G36</f>
        <v>5335.4144999999999</v>
      </c>
      <c r="I36" s="7">
        <f>H36*D36</f>
        <v>37347.9015</v>
      </c>
      <c r="J36" s="5">
        <f>J35+I36</f>
        <v>37347.9015</v>
      </c>
    </row>
    <row r="37" spans="1:10" x14ac:dyDescent="0.25">
      <c r="B37" s="17">
        <v>46036</v>
      </c>
      <c r="C37" s="18" t="s">
        <v>27</v>
      </c>
      <c r="D37" s="18">
        <v>8</v>
      </c>
      <c r="E37" s="21">
        <v>2490</v>
      </c>
      <c r="F37" s="20">
        <f t="shared" ref="F37:F44" si="8">E37*D37</f>
        <v>19920</v>
      </c>
      <c r="G37" s="7">
        <v>2.4285000000000001</v>
      </c>
      <c r="H37" s="7">
        <f t="shared" ref="H37:H44" si="9">E37*G37</f>
        <v>6046.9650000000001</v>
      </c>
      <c r="I37" s="7">
        <f t="shared" ref="I37:I44" si="10">H37*D37</f>
        <v>48375.72</v>
      </c>
      <c r="J37" s="5">
        <f t="shared" ref="J37:J44" si="11">J36+I37</f>
        <v>85723.621500000008</v>
      </c>
    </row>
    <row r="38" spans="1:10" x14ac:dyDescent="0.25">
      <c r="B38" s="17">
        <v>46036</v>
      </c>
      <c r="C38" s="18" t="s">
        <v>28</v>
      </c>
      <c r="D38" s="18">
        <v>25</v>
      </c>
      <c r="E38" s="21">
        <v>415</v>
      </c>
      <c r="F38" s="20">
        <f t="shared" si="8"/>
        <v>10375</v>
      </c>
      <c r="G38" s="7">
        <v>2.4285000000000001</v>
      </c>
      <c r="H38" s="7">
        <f t="shared" si="9"/>
        <v>1007.8275</v>
      </c>
      <c r="I38" s="7">
        <f t="shared" si="10"/>
        <v>25195.6875</v>
      </c>
      <c r="J38" s="5">
        <f t="shared" si="11"/>
        <v>110919.30900000001</v>
      </c>
    </row>
    <row r="39" spans="1:10" x14ac:dyDescent="0.25">
      <c r="B39" s="17">
        <v>46037</v>
      </c>
      <c r="C39" s="18" t="s">
        <v>29</v>
      </c>
      <c r="D39" s="18">
        <v>3</v>
      </c>
      <c r="E39" s="21">
        <v>2690</v>
      </c>
      <c r="F39" s="20">
        <f t="shared" si="8"/>
        <v>8070</v>
      </c>
      <c r="G39" s="7">
        <v>2.4285000000000001</v>
      </c>
      <c r="H39" s="7">
        <f t="shared" si="9"/>
        <v>6532.665</v>
      </c>
      <c r="I39" s="7">
        <f t="shared" si="10"/>
        <v>19597.994999999999</v>
      </c>
      <c r="J39" s="5">
        <f t="shared" si="11"/>
        <v>130517.304</v>
      </c>
    </row>
    <row r="40" spans="1:10" x14ac:dyDescent="0.25">
      <c r="B40" s="17">
        <v>46037</v>
      </c>
      <c r="C40" s="18" t="s">
        <v>30</v>
      </c>
      <c r="D40" s="18">
        <v>3</v>
      </c>
      <c r="E40" s="21">
        <v>259</v>
      </c>
      <c r="F40" s="20">
        <f t="shared" si="8"/>
        <v>777</v>
      </c>
      <c r="G40" s="7">
        <v>2.4285000000000001</v>
      </c>
      <c r="H40" s="7">
        <f t="shared" si="9"/>
        <v>628.98149999999998</v>
      </c>
      <c r="I40" s="7">
        <f t="shared" si="10"/>
        <v>1886.9445000000001</v>
      </c>
      <c r="J40" s="5">
        <f t="shared" si="11"/>
        <v>132404.24850000002</v>
      </c>
    </row>
    <row r="41" spans="1:10" x14ac:dyDescent="0.25">
      <c r="B41" s="17">
        <v>46037</v>
      </c>
      <c r="C41" s="18" t="s">
        <v>31</v>
      </c>
      <c r="D41" s="18">
        <v>3</v>
      </c>
      <c r="E41" s="21">
        <v>519</v>
      </c>
      <c r="F41" s="20">
        <f t="shared" si="8"/>
        <v>1557</v>
      </c>
      <c r="G41" s="7">
        <v>2.4285000000000001</v>
      </c>
      <c r="H41" s="7">
        <f t="shared" si="9"/>
        <v>1260.3915</v>
      </c>
      <c r="I41" s="7">
        <f t="shared" si="10"/>
        <v>3781.1745000000001</v>
      </c>
      <c r="J41" s="5">
        <f t="shared" si="11"/>
        <v>136185.42300000001</v>
      </c>
    </row>
    <row r="42" spans="1:10" x14ac:dyDescent="0.25">
      <c r="B42" s="17">
        <v>46037</v>
      </c>
      <c r="C42" s="18" t="s">
        <v>32</v>
      </c>
      <c r="D42" s="18">
        <v>3</v>
      </c>
      <c r="E42" s="21">
        <v>419</v>
      </c>
      <c r="F42" s="20">
        <f t="shared" si="8"/>
        <v>1257</v>
      </c>
      <c r="G42" s="7">
        <v>2.4285000000000001</v>
      </c>
      <c r="H42" s="7">
        <f t="shared" si="9"/>
        <v>1017.5415</v>
      </c>
      <c r="I42" s="7">
        <f t="shared" si="10"/>
        <v>3052.6244999999999</v>
      </c>
      <c r="J42" s="5">
        <f t="shared" si="11"/>
        <v>139238.04750000002</v>
      </c>
    </row>
    <row r="43" spans="1:10" x14ac:dyDescent="0.25">
      <c r="B43" s="8">
        <v>46037</v>
      </c>
      <c r="C43" s="9" t="s">
        <v>33</v>
      </c>
      <c r="D43" s="9">
        <v>1</v>
      </c>
      <c r="E43" s="10">
        <v>7980</v>
      </c>
      <c r="F43" s="11">
        <f t="shared" si="8"/>
        <v>7980</v>
      </c>
      <c r="G43" s="11">
        <v>2.4285000000000001</v>
      </c>
      <c r="H43" s="11">
        <f t="shared" si="9"/>
        <v>19379.43</v>
      </c>
      <c r="I43" s="11">
        <f t="shared" si="10"/>
        <v>19379.43</v>
      </c>
      <c r="J43" s="9">
        <f t="shared" si="11"/>
        <v>158617.47750000001</v>
      </c>
    </row>
    <row r="44" spans="1:10" x14ac:dyDescent="0.25">
      <c r="B44" s="7"/>
      <c r="C44" s="7"/>
      <c r="D44" s="7"/>
      <c r="E44" s="7"/>
      <c r="F44" s="7">
        <f t="shared" si="8"/>
        <v>0</v>
      </c>
      <c r="G44" s="7"/>
      <c r="H44" s="7">
        <f t="shared" si="9"/>
        <v>0</v>
      </c>
      <c r="I44" s="7">
        <f t="shared" si="10"/>
        <v>0</v>
      </c>
      <c r="J44" s="5">
        <f t="shared" si="11"/>
        <v>158617.47750000001</v>
      </c>
    </row>
    <row r="45" spans="1:10" x14ac:dyDescent="0.25">
      <c r="B45" s="1"/>
      <c r="C45" s="1"/>
      <c r="D45" s="1"/>
      <c r="E45" s="1"/>
      <c r="F45" s="1"/>
      <c r="G45" s="1"/>
      <c r="H45" s="1"/>
      <c r="I45" s="1"/>
      <c r="J45" s="2"/>
    </row>
    <row r="46" spans="1:10" x14ac:dyDescent="0.25">
      <c r="B46" s="1"/>
      <c r="C46" s="1"/>
      <c r="D46" s="1"/>
      <c r="E46" s="1"/>
      <c r="F46" s="1"/>
      <c r="G46" s="1"/>
      <c r="H46" s="1"/>
      <c r="I46" s="1"/>
      <c r="J46" s="2"/>
    </row>
    <row r="47" spans="1:10" x14ac:dyDescent="0.25">
      <c r="B47" s="1"/>
      <c r="C47" s="1"/>
      <c r="D47" s="1"/>
      <c r="E47" s="1"/>
      <c r="F47" s="1"/>
      <c r="G47" s="1"/>
      <c r="H47" s="1"/>
      <c r="I47" s="1"/>
      <c r="J47" s="2"/>
    </row>
    <row r="48" spans="1:10" x14ac:dyDescent="0.25">
      <c r="B48" s="1"/>
      <c r="C48" s="1"/>
      <c r="D48" s="1"/>
      <c r="E48" s="1"/>
      <c r="F48" s="1"/>
      <c r="G48" s="1"/>
      <c r="H48" s="1"/>
      <c r="I48" s="1"/>
      <c r="J48" s="2"/>
    </row>
    <row r="49" spans="1:10" ht="21" x14ac:dyDescent="0.35">
      <c r="A49" t="s">
        <v>0</v>
      </c>
      <c r="B49" s="58" t="s">
        <v>34</v>
      </c>
      <c r="C49" s="58"/>
      <c r="D49" s="58"/>
      <c r="E49" s="58"/>
      <c r="F49" s="58"/>
      <c r="G49" s="58"/>
      <c r="H49" s="58"/>
      <c r="I49" s="58"/>
      <c r="J49" s="58"/>
    </row>
    <row r="50" spans="1:10" ht="18.75" x14ac:dyDescent="0.3">
      <c r="A50" t="s">
        <v>2</v>
      </c>
      <c r="B50" s="3" t="s">
        <v>3</v>
      </c>
      <c r="C50" s="3" t="s">
        <v>4</v>
      </c>
      <c r="D50" s="3" t="s">
        <v>5</v>
      </c>
      <c r="E50" s="3" t="s">
        <v>6</v>
      </c>
      <c r="F50" s="3" t="s">
        <v>7</v>
      </c>
      <c r="G50" s="3" t="s">
        <v>8</v>
      </c>
      <c r="H50" s="3" t="s">
        <v>9</v>
      </c>
      <c r="I50" s="3" t="s">
        <v>10</v>
      </c>
      <c r="J50" s="3"/>
    </row>
    <row r="51" spans="1:10" x14ac:dyDescent="0.25">
      <c r="B51" s="4">
        <v>46034</v>
      </c>
      <c r="C51" s="5" t="s">
        <v>35</v>
      </c>
      <c r="D51" s="5">
        <v>10</v>
      </c>
      <c r="E51" s="5">
        <v>1449</v>
      </c>
      <c r="F51" s="7">
        <f>E51*D51</f>
        <v>14490</v>
      </c>
      <c r="G51" s="7">
        <v>2.12</v>
      </c>
      <c r="H51" s="7">
        <f>E51*G51</f>
        <v>3071.88</v>
      </c>
      <c r="I51" s="7">
        <f>H51*D51</f>
        <v>30718.800000000003</v>
      </c>
      <c r="J51" s="5">
        <f>J50+I51</f>
        <v>30718.800000000003</v>
      </c>
    </row>
    <row r="52" spans="1:10" x14ac:dyDescent="0.25">
      <c r="B52" s="8">
        <v>46035</v>
      </c>
      <c r="C52" s="9" t="s">
        <v>36</v>
      </c>
      <c r="D52" s="9">
        <v>1</v>
      </c>
      <c r="E52" s="9">
        <v>3408</v>
      </c>
      <c r="F52" s="11">
        <f t="shared" ref="F52:F54" si="12">E52*D52</f>
        <v>3408</v>
      </c>
      <c r="G52" s="11">
        <v>2.12</v>
      </c>
      <c r="H52" s="11">
        <f t="shared" ref="H52:H54" si="13">E52*G52</f>
        <v>7224.96</v>
      </c>
      <c r="I52" s="11">
        <f t="shared" ref="I52:I54" si="14">H52*D52</f>
        <v>7224.96</v>
      </c>
      <c r="J52" s="9">
        <f t="shared" ref="J52:J54" si="15">J51+I52</f>
        <v>37943.760000000002</v>
      </c>
    </row>
    <row r="53" spans="1:10" x14ac:dyDescent="0.25">
      <c r="B53" s="7"/>
      <c r="C53" s="7"/>
      <c r="D53" s="7"/>
      <c r="E53" s="7"/>
      <c r="F53" s="7">
        <f t="shared" si="12"/>
        <v>0</v>
      </c>
      <c r="G53" s="7"/>
      <c r="H53" s="7">
        <f t="shared" si="13"/>
        <v>0</v>
      </c>
      <c r="I53" s="7">
        <f t="shared" si="14"/>
        <v>0</v>
      </c>
      <c r="J53" s="5">
        <f t="shared" si="15"/>
        <v>37943.760000000002</v>
      </c>
    </row>
    <row r="54" spans="1:10" x14ac:dyDescent="0.25">
      <c r="B54" s="7"/>
      <c r="C54" s="7"/>
      <c r="D54" s="7"/>
      <c r="E54" s="7"/>
      <c r="F54" s="7">
        <f t="shared" si="12"/>
        <v>0</v>
      </c>
      <c r="G54" s="7"/>
      <c r="H54" s="7">
        <f t="shared" si="13"/>
        <v>0</v>
      </c>
      <c r="I54" s="7">
        <f t="shared" si="14"/>
        <v>0</v>
      </c>
      <c r="J54" s="5">
        <f t="shared" si="15"/>
        <v>37943.760000000002</v>
      </c>
    </row>
    <row r="55" spans="1:10" x14ac:dyDescent="0.25">
      <c r="B55" s="1"/>
      <c r="C55" s="1"/>
      <c r="D55" s="1"/>
      <c r="E55" s="1"/>
      <c r="F55" s="1"/>
      <c r="G55" s="1"/>
      <c r="H55" s="1"/>
      <c r="I55" s="1"/>
      <c r="J55" s="2"/>
    </row>
    <row r="58" spans="1:10" ht="21" x14ac:dyDescent="0.35">
      <c r="A58" t="s">
        <v>0</v>
      </c>
      <c r="B58" s="58" t="s">
        <v>1</v>
      </c>
      <c r="C58" s="58"/>
      <c r="D58" s="58"/>
      <c r="E58" s="58"/>
      <c r="F58" s="58"/>
      <c r="G58" s="58"/>
      <c r="H58" s="58"/>
      <c r="I58" s="58"/>
      <c r="J58" s="58"/>
    </row>
    <row r="59" spans="1:10" ht="18.75" x14ac:dyDescent="0.3">
      <c r="A59" t="s">
        <v>2</v>
      </c>
      <c r="B59" s="3" t="s">
        <v>3</v>
      </c>
      <c r="C59" s="3" t="s">
        <v>4</v>
      </c>
      <c r="D59" s="3" t="s">
        <v>5</v>
      </c>
      <c r="E59" s="3" t="s">
        <v>6</v>
      </c>
      <c r="F59" s="3" t="s">
        <v>7</v>
      </c>
      <c r="G59" s="3" t="s">
        <v>8</v>
      </c>
      <c r="H59" s="3" t="s">
        <v>9</v>
      </c>
      <c r="I59" s="3" t="s">
        <v>10</v>
      </c>
      <c r="J59" s="3"/>
    </row>
    <row r="60" spans="1:10" x14ac:dyDescent="0.25">
      <c r="B60" s="17">
        <v>46038</v>
      </c>
      <c r="C60" s="18" t="s">
        <v>37</v>
      </c>
      <c r="D60" s="18">
        <v>2</v>
      </c>
      <c r="E60" s="18">
        <v>1397</v>
      </c>
      <c r="F60" s="7">
        <f>E60*D60</f>
        <v>2794</v>
      </c>
      <c r="G60" s="7">
        <v>2.4218000000000002</v>
      </c>
      <c r="H60" s="7">
        <f>E60*G60</f>
        <v>3383.2546000000002</v>
      </c>
      <c r="I60" s="7">
        <f>H60*D60</f>
        <v>6766.5092000000004</v>
      </c>
      <c r="J60" s="5">
        <f>J59+I60</f>
        <v>6766.5092000000004</v>
      </c>
    </row>
    <row r="61" spans="1:10" x14ac:dyDescent="0.25">
      <c r="B61" s="17">
        <v>46038</v>
      </c>
      <c r="C61" s="18" t="s">
        <v>38</v>
      </c>
      <c r="D61" s="18">
        <v>2</v>
      </c>
      <c r="E61" s="18">
        <v>1397</v>
      </c>
      <c r="F61" s="7">
        <f t="shared" ref="F61:F75" si="16">E61*D61</f>
        <v>2794</v>
      </c>
      <c r="G61" s="7">
        <v>2.4218000000000002</v>
      </c>
      <c r="H61" s="7">
        <f t="shared" ref="H61:H75" si="17">E61*G61</f>
        <v>3383.2546000000002</v>
      </c>
      <c r="I61" s="7">
        <f t="shared" ref="I61:I75" si="18">H61*D61</f>
        <v>6766.5092000000004</v>
      </c>
      <c r="J61" s="5">
        <f t="shared" ref="J61:J75" si="19">J60+I61</f>
        <v>13533.018400000001</v>
      </c>
    </row>
    <row r="62" spans="1:10" x14ac:dyDescent="0.25">
      <c r="B62" s="17">
        <v>46038</v>
      </c>
      <c r="C62" s="18" t="s">
        <v>39</v>
      </c>
      <c r="D62" s="18">
        <v>4</v>
      </c>
      <c r="E62" s="18">
        <v>648</v>
      </c>
      <c r="F62" s="7">
        <f t="shared" si="16"/>
        <v>2592</v>
      </c>
      <c r="G62" s="7">
        <v>2.4218000000000002</v>
      </c>
      <c r="H62" s="7">
        <f t="shared" si="17"/>
        <v>1569.3264000000001</v>
      </c>
      <c r="I62" s="7">
        <f t="shared" si="18"/>
        <v>6277.3056000000006</v>
      </c>
      <c r="J62" s="5">
        <f t="shared" si="19"/>
        <v>19810.324000000001</v>
      </c>
    </row>
    <row r="63" spans="1:10" x14ac:dyDescent="0.25">
      <c r="B63" s="17">
        <v>46039</v>
      </c>
      <c r="C63" s="18" t="s">
        <v>40</v>
      </c>
      <c r="D63" s="18">
        <v>2</v>
      </c>
      <c r="E63" s="18">
        <v>1398</v>
      </c>
      <c r="F63" s="7">
        <f t="shared" si="16"/>
        <v>2796</v>
      </c>
      <c r="G63" s="7">
        <v>2.4218000000000002</v>
      </c>
      <c r="H63" s="7">
        <f t="shared" si="17"/>
        <v>3385.6764000000003</v>
      </c>
      <c r="I63" s="7">
        <f t="shared" si="18"/>
        <v>6771.3528000000006</v>
      </c>
      <c r="J63" s="5">
        <f t="shared" si="19"/>
        <v>26581.676800000001</v>
      </c>
    </row>
    <row r="64" spans="1:10" x14ac:dyDescent="0.25">
      <c r="B64" s="17">
        <v>46039</v>
      </c>
      <c r="C64" s="18" t="s">
        <v>39</v>
      </c>
      <c r="D64" s="18">
        <v>2</v>
      </c>
      <c r="E64" s="18">
        <v>648</v>
      </c>
      <c r="F64" s="7">
        <f t="shared" si="16"/>
        <v>1296</v>
      </c>
      <c r="G64" s="7">
        <v>2.4218000000000002</v>
      </c>
      <c r="H64" s="7">
        <f t="shared" si="17"/>
        <v>1569.3264000000001</v>
      </c>
      <c r="I64" s="7">
        <f t="shared" si="18"/>
        <v>3138.6528000000003</v>
      </c>
      <c r="J64" s="5">
        <f t="shared" si="19"/>
        <v>29720.329600000001</v>
      </c>
    </row>
    <row r="65" spans="1:10" x14ac:dyDescent="0.25">
      <c r="B65" s="17">
        <v>46039</v>
      </c>
      <c r="C65" s="18" t="s">
        <v>41</v>
      </c>
      <c r="D65" s="18">
        <v>2</v>
      </c>
      <c r="E65" s="18">
        <v>1397</v>
      </c>
      <c r="F65" s="7">
        <f t="shared" si="16"/>
        <v>2794</v>
      </c>
      <c r="G65" s="7">
        <v>2.4218000000000002</v>
      </c>
      <c r="H65" s="7">
        <f t="shared" si="17"/>
        <v>3383.2546000000002</v>
      </c>
      <c r="I65" s="7">
        <f t="shared" si="18"/>
        <v>6766.5092000000004</v>
      </c>
      <c r="J65" s="5">
        <f t="shared" si="19"/>
        <v>36486.838799999998</v>
      </c>
    </row>
    <row r="66" spans="1:10" x14ac:dyDescent="0.25">
      <c r="B66" s="17">
        <v>46039</v>
      </c>
      <c r="C66" s="18" t="s">
        <v>42</v>
      </c>
      <c r="D66" s="18">
        <v>2</v>
      </c>
      <c r="E66" s="18">
        <v>1397</v>
      </c>
      <c r="F66" s="7">
        <f t="shared" si="16"/>
        <v>2794</v>
      </c>
      <c r="G66" s="7">
        <v>2.4218000000000002</v>
      </c>
      <c r="H66" s="7">
        <f t="shared" si="17"/>
        <v>3383.2546000000002</v>
      </c>
      <c r="I66" s="7">
        <f t="shared" si="18"/>
        <v>6766.5092000000004</v>
      </c>
      <c r="J66" s="5">
        <f t="shared" si="19"/>
        <v>43253.347999999998</v>
      </c>
    </row>
    <row r="67" spans="1:10" x14ac:dyDescent="0.25">
      <c r="B67" s="17">
        <v>46041</v>
      </c>
      <c r="C67" s="18" t="s">
        <v>43</v>
      </c>
      <c r="D67" s="18">
        <v>40</v>
      </c>
      <c r="E67" s="18">
        <v>402</v>
      </c>
      <c r="F67" s="7">
        <f t="shared" si="16"/>
        <v>16080</v>
      </c>
      <c r="G67" s="7">
        <v>2.4218000000000002</v>
      </c>
      <c r="H67" s="7">
        <f t="shared" si="17"/>
        <v>973.56360000000006</v>
      </c>
      <c r="I67" s="7">
        <f t="shared" si="18"/>
        <v>38942.544000000002</v>
      </c>
      <c r="J67" s="5">
        <f t="shared" si="19"/>
        <v>82195.891999999993</v>
      </c>
    </row>
    <row r="68" spans="1:10" x14ac:dyDescent="0.25">
      <c r="B68" s="17">
        <v>46041</v>
      </c>
      <c r="C68" s="18" t="s">
        <v>44</v>
      </c>
      <c r="D68" s="18">
        <v>32</v>
      </c>
      <c r="E68" s="18">
        <v>402</v>
      </c>
      <c r="F68" s="7">
        <f t="shared" si="16"/>
        <v>12864</v>
      </c>
      <c r="G68" s="7">
        <v>2.4218000000000002</v>
      </c>
      <c r="H68" s="7">
        <f t="shared" si="17"/>
        <v>973.56360000000006</v>
      </c>
      <c r="I68" s="7">
        <f t="shared" si="18"/>
        <v>31154.035200000002</v>
      </c>
      <c r="J68" s="5">
        <f t="shared" si="19"/>
        <v>113349.92719999999</v>
      </c>
    </row>
    <row r="69" spans="1:10" x14ac:dyDescent="0.25">
      <c r="B69" s="17">
        <v>46041</v>
      </c>
      <c r="C69" s="18" t="s">
        <v>45</v>
      </c>
      <c r="D69" s="18">
        <v>60</v>
      </c>
      <c r="E69" s="18">
        <v>402</v>
      </c>
      <c r="F69" s="7">
        <f t="shared" si="16"/>
        <v>24120</v>
      </c>
      <c r="G69" s="7">
        <v>2.4218000000000002</v>
      </c>
      <c r="H69" s="7">
        <f t="shared" si="17"/>
        <v>973.56360000000006</v>
      </c>
      <c r="I69" s="7">
        <f t="shared" si="18"/>
        <v>58413.816000000006</v>
      </c>
      <c r="J69" s="5">
        <f t="shared" si="19"/>
        <v>171763.7432</v>
      </c>
    </row>
    <row r="70" spans="1:10" x14ac:dyDescent="0.25">
      <c r="B70" s="12">
        <v>46043</v>
      </c>
      <c r="C70" s="13" t="s">
        <v>46</v>
      </c>
      <c r="D70" s="13">
        <v>80</v>
      </c>
      <c r="E70" s="13">
        <v>398</v>
      </c>
      <c r="F70" s="7">
        <f t="shared" si="16"/>
        <v>31840</v>
      </c>
      <c r="G70" s="7">
        <v>2.4218000000000002</v>
      </c>
      <c r="H70" s="7">
        <f t="shared" si="17"/>
        <v>963.8764000000001</v>
      </c>
      <c r="I70" s="7">
        <f t="shared" si="18"/>
        <v>77110.112000000008</v>
      </c>
      <c r="J70" s="5">
        <f t="shared" si="19"/>
        <v>248873.85519999999</v>
      </c>
    </row>
    <row r="71" spans="1:10" x14ac:dyDescent="0.25">
      <c r="B71" s="17">
        <v>46044</v>
      </c>
      <c r="C71" s="18" t="s">
        <v>47</v>
      </c>
      <c r="D71" s="18">
        <v>2</v>
      </c>
      <c r="E71" s="18">
        <v>1397</v>
      </c>
      <c r="F71" s="7">
        <f t="shared" si="16"/>
        <v>2794</v>
      </c>
      <c r="G71" s="7">
        <v>2.4218000000000002</v>
      </c>
      <c r="H71" s="7">
        <f t="shared" si="17"/>
        <v>3383.2546000000002</v>
      </c>
      <c r="I71" s="7">
        <f t="shared" si="18"/>
        <v>6766.5092000000004</v>
      </c>
      <c r="J71" s="5">
        <f t="shared" si="19"/>
        <v>255640.36439999999</v>
      </c>
    </row>
    <row r="72" spans="1:10" x14ac:dyDescent="0.25">
      <c r="B72" s="17">
        <v>46044</v>
      </c>
      <c r="C72" s="18" t="s">
        <v>48</v>
      </c>
      <c r="D72" s="18">
        <v>1</v>
      </c>
      <c r="E72" s="18">
        <v>1397</v>
      </c>
      <c r="F72" s="7">
        <f t="shared" si="16"/>
        <v>1397</v>
      </c>
      <c r="G72" s="7">
        <v>2.4218000000000002</v>
      </c>
      <c r="H72" s="7">
        <f t="shared" si="17"/>
        <v>3383.2546000000002</v>
      </c>
      <c r="I72" s="7">
        <f t="shared" si="18"/>
        <v>3383.2546000000002</v>
      </c>
      <c r="J72" s="5">
        <f t="shared" si="19"/>
        <v>259023.61900000001</v>
      </c>
    </row>
    <row r="73" spans="1:10" x14ac:dyDescent="0.25">
      <c r="B73" s="17">
        <v>46044</v>
      </c>
      <c r="C73" s="18" t="s">
        <v>49</v>
      </c>
      <c r="D73" s="18">
        <v>1</v>
      </c>
      <c r="E73" s="18">
        <v>439</v>
      </c>
      <c r="F73" s="7">
        <f t="shared" si="16"/>
        <v>439</v>
      </c>
      <c r="G73" s="7">
        <v>2.4218000000000002</v>
      </c>
      <c r="H73" s="7">
        <f t="shared" si="17"/>
        <v>1063.1702</v>
      </c>
      <c r="I73" s="7">
        <f t="shared" si="18"/>
        <v>1063.1702</v>
      </c>
      <c r="J73" s="5">
        <f t="shared" si="19"/>
        <v>260086.7892</v>
      </c>
    </row>
    <row r="74" spans="1:10" x14ac:dyDescent="0.25">
      <c r="B74" s="8">
        <v>46042</v>
      </c>
      <c r="C74" s="9" t="s">
        <v>50</v>
      </c>
      <c r="D74" s="9">
        <v>1</v>
      </c>
      <c r="E74" s="9">
        <v>100</v>
      </c>
      <c r="F74" s="11">
        <f t="shared" si="16"/>
        <v>100</v>
      </c>
      <c r="G74" s="11">
        <v>2.4218000000000002</v>
      </c>
      <c r="H74" s="11">
        <f t="shared" si="17"/>
        <v>242.18</v>
      </c>
      <c r="I74" s="11">
        <f t="shared" si="18"/>
        <v>242.18</v>
      </c>
      <c r="J74" s="9">
        <f t="shared" si="19"/>
        <v>260328.96919999999</v>
      </c>
    </row>
    <row r="75" spans="1:10" x14ac:dyDescent="0.25">
      <c r="B75" s="7"/>
      <c r="C75" s="7"/>
      <c r="D75" s="7"/>
      <c r="E75" s="7"/>
      <c r="F75" s="7">
        <f t="shared" si="16"/>
        <v>0</v>
      </c>
      <c r="G75" s="7"/>
      <c r="H75" s="7">
        <f t="shared" si="17"/>
        <v>0</v>
      </c>
      <c r="I75" s="7">
        <f t="shared" si="18"/>
        <v>0</v>
      </c>
      <c r="J75" s="5">
        <f t="shared" si="19"/>
        <v>260328.96919999999</v>
      </c>
    </row>
    <row r="80" spans="1:10" ht="21" x14ac:dyDescent="0.35">
      <c r="A80" t="s">
        <v>0</v>
      </c>
      <c r="B80" s="58" t="s">
        <v>1</v>
      </c>
      <c r="C80" s="58"/>
      <c r="D80" s="58"/>
      <c r="E80" s="58"/>
      <c r="F80" s="58"/>
      <c r="G80" s="58"/>
      <c r="H80" s="58"/>
      <c r="I80" s="58"/>
      <c r="J80" s="58"/>
    </row>
    <row r="81" spans="1:15" ht="18.75" x14ac:dyDescent="0.3">
      <c r="A81" t="s">
        <v>2</v>
      </c>
      <c r="B81" s="3" t="s">
        <v>3</v>
      </c>
      <c r="C81" s="3" t="s">
        <v>4</v>
      </c>
      <c r="D81" s="3" t="s">
        <v>5</v>
      </c>
      <c r="E81" s="3" t="s">
        <v>6</v>
      </c>
      <c r="F81" s="3" t="s">
        <v>7</v>
      </c>
      <c r="G81" s="3" t="s">
        <v>8</v>
      </c>
      <c r="H81" s="3" t="s">
        <v>9</v>
      </c>
      <c r="I81" s="3" t="s">
        <v>10</v>
      </c>
      <c r="J81" s="3"/>
    </row>
    <row r="82" spans="1:15" x14ac:dyDescent="0.25">
      <c r="B82" s="12">
        <v>46045</v>
      </c>
      <c r="C82" s="13" t="s">
        <v>56</v>
      </c>
      <c r="D82" s="13">
        <v>40</v>
      </c>
      <c r="E82" s="15">
        <v>398</v>
      </c>
      <c r="F82" s="7">
        <f>E82*D82</f>
        <v>15920</v>
      </c>
      <c r="G82" s="7">
        <v>2.4272999999999998</v>
      </c>
      <c r="H82" s="7">
        <f>E82*G82</f>
        <v>966.06539999999995</v>
      </c>
      <c r="I82" s="7">
        <f>H82*D82</f>
        <v>38642.615999999995</v>
      </c>
      <c r="J82" s="5">
        <f>J81+I82</f>
        <v>38642.615999999995</v>
      </c>
    </row>
    <row r="83" spans="1:15" x14ac:dyDescent="0.25">
      <c r="B83" s="4">
        <v>46045</v>
      </c>
      <c r="C83" s="5" t="s">
        <v>57</v>
      </c>
      <c r="D83" s="5">
        <v>10</v>
      </c>
      <c r="E83" s="6">
        <v>431</v>
      </c>
      <c r="F83" s="7">
        <f t="shared" ref="F83:F86" si="20">E83*D83</f>
        <v>4310</v>
      </c>
      <c r="G83" s="7">
        <v>2.4272999999999998</v>
      </c>
      <c r="H83" s="7">
        <f t="shared" ref="H83:H86" si="21">E83*G83</f>
        <v>1046.1662999999999</v>
      </c>
      <c r="I83" s="7">
        <f t="shared" ref="I83:I86" si="22">H83*D83</f>
        <v>10461.662999999999</v>
      </c>
      <c r="J83" s="5">
        <f t="shared" ref="J83:J86" si="23">J82+I83</f>
        <v>49104.278999999995</v>
      </c>
    </row>
    <row r="84" spans="1:15" x14ac:dyDescent="0.25">
      <c r="B84" s="4">
        <v>46046</v>
      </c>
      <c r="C84" s="5" t="s">
        <v>58</v>
      </c>
      <c r="D84" s="5">
        <v>4</v>
      </c>
      <c r="E84" s="6">
        <v>431</v>
      </c>
      <c r="F84" s="7">
        <f t="shared" si="20"/>
        <v>1724</v>
      </c>
      <c r="G84" s="7">
        <v>2.4272999999999998</v>
      </c>
      <c r="H84" s="7">
        <f t="shared" si="21"/>
        <v>1046.1662999999999</v>
      </c>
      <c r="I84" s="7">
        <f t="shared" si="22"/>
        <v>4184.6651999999995</v>
      </c>
      <c r="J84" s="5">
        <f t="shared" si="23"/>
        <v>53288.944199999998</v>
      </c>
    </row>
    <row r="85" spans="1:15" x14ac:dyDescent="0.25">
      <c r="B85" s="4">
        <v>46046</v>
      </c>
      <c r="C85" s="5" t="s">
        <v>49</v>
      </c>
      <c r="D85" s="5">
        <v>10</v>
      </c>
      <c r="E85" s="6">
        <v>451</v>
      </c>
      <c r="F85" s="7">
        <f t="shared" si="20"/>
        <v>4510</v>
      </c>
      <c r="G85" s="7">
        <v>2.4272999999999998</v>
      </c>
      <c r="H85" s="7">
        <f t="shared" si="21"/>
        <v>1094.7122999999999</v>
      </c>
      <c r="I85" s="7">
        <f t="shared" si="22"/>
        <v>10947.123</v>
      </c>
      <c r="J85" s="5">
        <f t="shared" si="23"/>
        <v>64236.067199999998</v>
      </c>
    </row>
    <row r="86" spans="1:15" x14ac:dyDescent="0.25">
      <c r="B86" s="12">
        <v>46049</v>
      </c>
      <c r="C86" s="13" t="s">
        <v>59</v>
      </c>
      <c r="D86" s="13">
        <v>24</v>
      </c>
      <c r="E86" s="13">
        <v>403</v>
      </c>
      <c r="F86" s="7">
        <f t="shared" si="20"/>
        <v>9672</v>
      </c>
      <c r="G86" s="7">
        <v>2.4272999999999998</v>
      </c>
      <c r="H86" s="7">
        <f t="shared" si="21"/>
        <v>978.20189999999991</v>
      </c>
      <c r="I86" s="7">
        <f t="shared" si="22"/>
        <v>23476.845599999997</v>
      </c>
      <c r="J86" s="5">
        <f t="shared" si="23"/>
        <v>87712.912799999991</v>
      </c>
    </row>
    <row r="91" spans="1:15" ht="21" x14ac:dyDescent="0.35">
      <c r="A91" t="s">
        <v>0</v>
      </c>
      <c r="B91" s="59" t="s">
        <v>1</v>
      </c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</row>
    <row r="92" spans="1:15" ht="18.75" x14ac:dyDescent="0.3">
      <c r="A92" t="s">
        <v>2</v>
      </c>
      <c r="B92" s="22" t="s">
        <v>3</v>
      </c>
      <c r="C92" s="22" t="s">
        <v>4</v>
      </c>
      <c r="D92" s="22" t="s">
        <v>60</v>
      </c>
      <c r="E92" s="22" t="s">
        <v>61</v>
      </c>
      <c r="F92" s="22" t="s">
        <v>5</v>
      </c>
      <c r="G92" s="22" t="s">
        <v>62</v>
      </c>
      <c r="H92" s="22" t="s">
        <v>63</v>
      </c>
      <c r="I92" s="22" t="s">
        <v>64</v>
      </c>
      <c r="J92" s="22" t="s">
        <v>65</v>
      </c>
      <c r="K92" s="22" t="s">
        <v>66</v>
      </c>
      <c r="L92" s="22" t="s">
        <v>67</v>
      </c>
      <c r="M92" s="22" t="s">
        <v>68</v>
      </c>
      <c r="N92" s="22" t="s">
        <v>10</v>
      </c>
      <c r="O92" s="23"/>
    </row>
    <row r="93" spans="1:15" x14ac:dyDescent="0.25">
      <c r="B93" s="4">
        <v>46046</v>
      </c>
      <c r="C93" s="5" t="s">
        <v>69</v>
      </c>
      <c r="D93" s="7"/>
      <c r="E93" s="7"/>
      <c r="F93" s="7">
        <v>4</v>
      </c>
      <c r="G93" s="6">
        <v>2199</v>
      </c>
      <c r="H93" s="7">
        <v>10</v>
      </c>
      <c r="I93" s="7">
        <f>G93*H93%</f>
        <v>219.9</v>
      </c>
      <c r="J93" s="5">
        <f>G93-I93</f>
        <v>1979.1</v>
      </c>
      <c r="K93" s="5">
        <f>F93*J93</f>
        <v>7916.4</v>
      </c>
      <c r="L93" s="7">
        <v>2.4272999999999998</v>
      </c>
      <c r="M93" s="5">
        <f>J93*L93</f>
        <v>4803.8694299999997</v>
      </c>
      <c r="N93" s="5">
        <f>F93*M93</f>
        <v>19215.477719999999</v>
      </c>
      <c r="O93" s="5">
        <f>O92+N93</f>
        <v>19215.477719999999</v>
      </c>
    </row>
    <row r="94" spans="1:15" x14ac:dyDescent="0.25">
      <c r="B94" s="4">
        <v>46046</v>
      </c>
      <c r="C94" s="5" t="s">
        <v>70</v>
      </c>
      <c r="D94" s="7"/>
      <c r="E94" s="7"/>
      <c r="F94" s="7">
        <v>4</v>
      </c>
      <c r="G94" s="6">
        <v>2199</v>
      </c>
      <c r="H94" s="7">
        <v>10</v>
      </c>
      <c r="I94" s="7">
        <f t="shared" ref="I94:I110" si="24">G94*H94%</f>
        <v>219.9</v>
      </c>
      <c r="J94" s="5">
        <f t="shared" ref="J94:J110" si="25">G94-I94</f>
        <v>1979.1</v>
      </c>
      <c r="K94" s="5">
        <f t="shared" ref="K94:K110" si="26">F94*J94</f>
        <v>7916.4</v>
      </c>
      <c r="L94" s="7">
        <v>2.4272999999999998</v>
      </c>
      <c r="M94" s="5">
        <f t="shared" ref="M94:M110" si="27">J94*L94</f>
        <v>4803.8694299999997</v>
      </c>
      <c r="N94" s="5">
        <f t="shared" ref="N94:N110" si="28">F94*M94</f>
        <v>19215.477719999999</v>
      </c>
      <c r="O94" s="5">
        <f t="shared" ref="O94:O110" si="29">O93+N94</f>
        <v>38430.955439999998</v>
      </c>
    </row>
    <row r="95" spans="1:15" x14ac:dyDescent="0.25">
      <c r="B95" s="4">
        <v>46046</v>
      </c>
      <c r="C95" s="5" t="s">
        <v>71</v>
      </c>
      <c r="D95" s="7"/>
      <c r="E95" s="7"/>
      <c r="F95" s="7">
        <v>2</v>
      </c>
      <c r="G95" s="6">
        <v>2199</v>
      </c>
      <c r="H95" s="7">
        <v>10</v>
      </c>
      <c r="I95" s="7">
        <f t="shared" si="24"/>
        <v>219.9</v>
      </c>
      <c r="J95" s="5">
        <f t="shared" si="25"/>
        <v>1979.1</v>
      </c>
      <c r="K95" s="5">
        <f t="shared" si="26"/>
        <v>3958.2</v>
      </c>
      <c r="L95" s="7">
        <v>2.4272999999999998</v>
      </c>
      <c r="M95" s="5">
        <f t="shared" si="27"/>
        <v>4803.8694299999997</v>
      </c>
      <c r="N95" s="5">
        <f t="shared" si="28"/>
        <v>9607.7388599999995</v>
      </c>
      <c r="O95" s="5">
        <f t="shared" si="29"/>
        <v>48038.694299999996</v>
      </c>
    </row>
    <row r="96" spans="1:15" x14ac:dyDescent="0.25">
      <c r="B96" s="4">
        <v>46046</v>
      </c>
      <c r="C96" s="5" t="s">
        <v>72</v>
      </c>
      <c r="D96" s="7"/>
      <c r="E96" s="7"/>
      <c r="F96" s="7">
        <v>4</v>
      </c>
      <c r="G96" s="6">
        <v>2199</v>
      </c>
      <c r="H96" s="7">
        <v>10</v>
      </c>
      <c r="I96" s="7">
        <f t="shared" si="24"/>
        <v>219.9</v>
      </c>
      <c r="J96" s="5">
        <f t="shared" si="25"/>
        <v>1979.1</v>
      </c>
      <c r="K96" s="5">
        <f t="shared" si="26"/>
        <v>7916.4</v>
      </c>
      <c r="L96" s="7">
        <v>2.4272999999999998</v>
      </c>
      <c r="M96" s="5">
        <f t="shared" si="27"/>
        <v>4803.8694299999997</v>
      </c>
      <c r="N96" s="5">
        <f t="shared" si="28"/>
        <v>19215.477719999999</v>
      </c>
      <c r="O96" s="5">
        <f t="shared" si="29"/>
        <v>67254.172019999998</v>
      </c>
    </row>
    <row r="97" spans="2:15" x14ac:dyDescent="0.25">
      <c r="B97" s="4">
        <v>46046</v>
      </c>
      <c r="C97" s="5" t="s">
        <v>73</v>
      </c>
      <c r="D97" s="7"/>
      <c r="E97" s="7"/>
      <c r="F97" s="7">
        <v>2</v>
      </c>
      <c r="G97" s="6">
        <v>2199</v>
      </c>
      <c r="H97" s="7">
        <v>10</v>
      </c>
      <c r="I97" s="7">
        <f t="shared" si="24"/>
        <v>219.9</v>
      </c>
      <c r="J97" s="5">
        <f t="shared" si="25"/>
        <v>1979.1</v>
      </c>
      <c r="K97" s="5">
        <f t="shared" si="26"/>
        <v>3958.2</v>
      </c>
      <c r="L97" s="7">
        <v>2.4272999999999998</v>
      </c>
      <c r="M97" s="5">
        <f t="shared" si="27"/>
        <v>4803.8694299999997</v>
      </c>
      <c r="N97" s="5">
        <f t="shared" si="28"/>
        <v>9607.7388599999995</v>
      </c>
      <c r="O97" s="5">
        <f t="shared" si="29"/>
        <v>76861.910879999996</v>
      </c>
    </row>
    <row r="98" spans="2:15" x14ac:dyDescent="0.25">
      <c r="B98" s="4">
        <v>46046</v>
      </c>
      <c r="C98" s="5" t="s">
        <v>74</v>
      </c>
      <c r="D98" s="7"/>
      <c r="E98" s="7"/>
      <c r="F98" s="7">
        <v>2</v>
      </c>
      <c r="G98" s="6">
        <v>1497</v>
      </c>
      <c r="H98" s="7">
        <v>10</v>
      </c>
      <c r="I98" s="7">
        <f t="shared" si="24"/>
        <v>149.70000000000002</v>
      </c>
      <c r="J98" s="5">
        <f t="shared" si="25"/>
        <v>1347.3</v>
      </c>
      <c r="K98" s="5">
        <f t="shared" si="26"/>
        <v>2694.6</v>
      </c>
      <c r="L98" s="7">
        <v>2.4272999999999998</v>
      </c>
      <c r="M98" s="5">
        <f t="shared" si="27"/>
        <v>3270.3012899999994</v>
      </c>
      <c r="N98" s="5">
        <f t="shared" si="28"/>
        <v>6540.6025799999989</v>
      </c>
      <c r="O98" s="5">
        <f t="shared" si="29"/>
        <v>83402.513459999987</v>
      </c>
    </row>
    <row r="99" spans="2:15" x14ac:dyDescent="0.25">
      <c r="B99" s="4">
        <v>46046</v>
      </c>
      <c r="C99" s="5" t="s">
        <v>75</v>
      </c>
      <c r="D99" s="7"/>
      <c r="E99" s="7"/>
      <c r="F99" s="7">
        <v>3</v>
      </c>
      <c r="G99" s="6">
        <v>1497</v>
      </c>
      <c r="H99" s="7">
        <v>10</v>
      </c>
      <c r="I99" s="7">
        <f t="shared" si="24"/>
        <v>149.70000000000002</v>
      </c>
      <c r="J99" s="5">
        <f t="shared" si="25"/>
        <v>1347.3</v>
      </c>
      <c r="K99" s="5">
        <f t="shared" si="26"/>
        <v>4041.8999999999996</v>
      </c>
      <c r="L99" s="7">
        <v>2.4272999999999998</v>
      </c>
      <c r="M99" s="5">
        <f t="shared" si="27"/>
        <v>3270.3012899999994</v>
      </c>
      <c r="N99" s="5">
        <f t="shared" si="28"/>
        <v>9810.9038699999983</v>
      </c>
      <c r="O99" s="5">
        <f t="shared" si="29"/>
        <v>93213.417329999982</v>
      </c>
    </row>
    <row r="100" spans="2:15" x14ac:dyDescent="0.25">
      <c r="B100" s="4">
        <v>46047</v>
      </c>
      <c r="C100" s="5" t="s">
        <v>76</v>
      </c>
      <c r="D100" s="7"/>
      <c r="E100" s="7"/>
      <c r="F100" s="7">
        <v>4</v>
      </c>
      <c r="G100" s="6">
        <v>2199</v>
      </c>
      <c r="H100" s="7">
        <v>10</v>
      </c>
      <c r="I100" s="7">
        <f t="shared" si="24"/>
        <v>219.9</v>
      </c>
      <c r="J100" s="5">
        <f t="shared" si="25"/>
        <v>1979.1</v>
      </c>
      <c r="K100" s="5">
        <f t="shared" si="26"/>
        <v>7916.4</v>
      </c>
      <c r="L100" s="7">
        <v>2.4272999999999998</v>
      </c>
      <c r="M100" s="5">
        <f t="shared" si="27"/>
        <v>4803.8694299999997</v>
      </c>
      <c r="N100" s="5">
        <f t="shared" si="28"/>
        <v>19215.477719999999</v>
      </c>
      <c r="O100" s="5">
        <f t="shared" si="29"/>
        <v>112428.89504999998</v>
      </c>
    </row>
    <row r="101" spans="2:15" x14ac:dyDescent="0.25">
      <c r="B101" s="4">
        <v>46047</v>
      </c>
      <c r="C101" s="5" t="s">
        <v>77</v>
      </c>
      <c r="D101" s="7"/>
      <c r="E101" s="7"/>
      <c r="F101" s="7">
        <v>2</v>
      </c>
      <c r="G101" s="6">
        <v>2199</v>
      </c>
      <c r="H101" s="7">
        <v>10</v>
      </c>
      <c r="I101" s="7">
        <f t="shared" si="24"/>
        <v>219.9</v>
      </c>
      <c r="J101" s="5">
        <f t="shared" si="25"/>
        <v>1979.1</v>
      </c>
      <c r="K101" s="5">
        <f t="shared" si="26"/>
        <v>3958.2</v>
      </c>
      <c r="L101" s="7">
        <v>2.4272999999999998</v>
      </c>
      <c r="M101" s="5">
        <f t="shared" si="27"/>
        <v>4803.8694299999997</v>
      </c>
      <c r="N101" s="5">
        <f t="shared" si="28"/>
        <v>9607.7388599999995</v>
      </c>
      <c r="O101" s="5">
        <f t="shared" si="29"/>
        <v>122036.63390999998</v>
      </c>
    </row>
    <row r="102" spans="2:15" x14ac:dyDescent="0.25">
      <c r="B102" s="4">
        <v>46047</v>
      </c>
      <c r="C102" s="5" t="s">
        <v>78</v>
      </c>
      <c r="D102" s="7"/>
      <c r="E102" s="7"/>
      <c r="F102" s="7">
        <v>2</v>
      </c>
      <c r="G102" s="6">
        <v>1499</v>
      </c>
      <c r="H102" s="7">
        <v>10</v>
      </c>
      <c r="I102" s="7">
        <f t="shared" si="24"/>
        <v>149.9</v>
      </c>
      <c r="J102" s="5">
        <f t="shared" si="25"/>
        <v>1349.1</v>
      </c>
      <c r="K102" s="5">
        <f t="shared" si="26"/>
        <v>2698.2</v>
      </c>
      <c r="L102" s="7">
        <v>2.4272999999999998</v>
      </c>
      <c r="M102" s="5">
        <f t="shared" si="27"/>
        <v>3274.6704299999997</v>
      </c>
      <c r="N102" s="5">
        <f t="shared" si="28"/>
        <v>6549.3408599999993</v>
      </c>
      <c r="O102" s="5">
        <f t="shared" si="29"/>
        <v>128585.97476999997</v>
      </c>
    </row>
    <row r="103" spans="2:15" x14ac:dyDescent="0.25">
      <c r="B103" s="4">
        <v>46047</v>
      </c>
      <c r="C103" s="5" t="s">
        <v>79</v>
      </c>
      <c r="D103" s="7"/>
      <c r="E103" s="7"/>
      <c r="F103" s="7">
        <v>2</v>
      </c>
      <c r="G103" s="6">
        <v>1499</v>
      </c>
      <c r="H103" s="7">
        <v>10</v>
      </c>
      <c r="I103" s="7">
        <f t="shared" si="24"/>
        <v>149.9</v>
      </c>
      <c r="J103" s="5">
        <f t="shared" si="25"/>
        <v>1349.1</v>
      </c>
      <c r="K103" s="5">
        <f t="shared" si="26"/>
        <v>2698.2</v>
      </c>
      <c r="L103" s="7">
        <v>2.4272999999999998</v>
      </c>
      <c r="M103" s="5">
        <f t="shared" si="27"/>
        <v>3274.6704299999997</v>
      </c>
      <c r="N103" s="5">
        <f t="shared" si="28"/>
        <v>6549.3408599999993</v>
      </c>
      <c r="O103" s="5">
        <f t="shared" si="29"/>
        <v>135135.31562999997</v>
      </c>
    </row>
    <row r="104" spans="2:15" x14ac:dyDescent="0.25">
      <c r="B104" s="4">
        <v>46047</v>
      </c>
      <c r="C104" s="5" t="s">
        <v>80</v>
      </c>
      <c r="D104" s="7"/>
      <c r="E104" s="7"/>
      <c r="F104" s="7">
        <v>3</v>
      </c>
      <c r="G104" s="6">
        <v>2199</v>
      </c>
      <c r="H104" s="7">
        <v>10</v>
      </c>
      <c r="I104" s="7">
        <f t="shared" si="24"/>
        <v>219.9</v>
      </c>
      <c r="J104" s="5">
        <f t="shared" si="25"/>
        <v>1979.1</v>
      </c>
      <c r="K104" s="5">
        <f t="shared" si="26"/>
        <v>5937.2999999999993</v>
      </c>
      <c r="L104" s="7">
        <v>2.4272999999999998</v>
      </c>
      <c r="M104" s="5">
        <f t="shared" si="27"/>
        <v>4803.8694299999997</v>
      </c>
      <c r="N104" s="5">
        <f t="shared" si="28"/>
        <v>14411.60829</v>
      </c>
      <c r="O104" s="5">
        <f t="shared" si="29"/>
        <v>149546.92391999997</v>
      </c>
    </row>
    <row r="105" spans="2:15" x14ac:dyDescent="0.25">
      <c r="B105" s="4">
        <v>46047</v>
      </c>
      <c r="C105" s="5" t="s">
        <v>81</v>
      </c>
      <c r="D105" s="7"/>
      <c r="E105" s="7"/>
      <c r="F105" s="7">
        <v>4</v>
      </c>
      <c r="G105" s="6">
        <v>2199</v>
      </c>
      <c r="H105" s="7">
        <v>10</v>
      </c>
      <c r="I105" s="7">
        <f t="shared" si="24"/>
        <v>219.9</v>
      </c>
      <c r="J105" s="5">
        <f t="shared" si="25"/>
        <v>1979.1</v>
      </c>
      <c r="K105" s="5">
        <f t="shared" si="26"/>
        <v>7916.4</v>
      </c>
      <c r="L105" s="7">
        <v>2.4272999999999998</v>
      </c>
      <c r="M105" s="5">
        <f t="shared" si="27"/>
        <v>4803.8694299999997</v>
      </c>
      <c r="N105" s="5">
        <f t="shared" si="28"/>
        <v>19215.477719999999</v>
      </c>
      <c r="O105" s="5">
        <f t="shared" si="29"/>
        <v>168762.40163999997</v>
      </c>
    </row>
    <row r="106" spans="2:15" x14ac:dyDescent="0.25">
      <c r="B106" s="4">
        <v>46047</v>
      </c>
      <c r="C106" s="5" t="s">
        <v>82</v>
      </c>
      <c r="D106" s="7"/>
      <c r="E106" s="7"/>
      <c r="F106" s="7">
        <v>4</v>
      </c>
      <c r="G106" s="6">
        <v>2199</v>
      </c>
      <c r="H106" s="7">
        <v>10</v>
      </c>
      <c r="I106" s="7">
        <f t="shared" si="24"/>
        <v>219.9</v>
      </c>
      <c r="J106" s="5">
        <f t="shared" si="25"/>
        <v>1979.1</v>
      </c>
      <c r="K106" s="5">
        <f t="shared" si="26"/>
        <v>7916.4</v>
      </c>
      <c r="L106" s="7">
        <v>2.4272999999999998</v>
      </c>
      <c r="M106" s="5">
        <f t="shared" si="27"/>
        <v>4803.8694299999997</v>
      </c>
      <c r="N106" s="5">
        <f t="shared" si="28"/>
        <v>19215.477719999999</v>
      </c>
      <c r="O106" s="5">
        <f t="shared" si="29"/>
        <v>187977.87935999996</v>
      </c>
    </row>
    <row r="107" spans="2:15" x14ac:dyDescent="0.25">
      <c r="B107" s="4">
        <v>46047</v>
      </c>
      <c r="C107" s="5" t="s">
        <v>83</v>
      </c>
      <c r="D107" s="7"/>
      <c r="E107" s="7"/>
      <c r="F107" s="7">
        <v>4</v>
      </c>
      <c r="G107" s="6">
        <v>1499</v>
      </c>
      <c r="H107" s="7">
        <v>10</v>
      </c>
      <c r="I107" s="7">
        <f t="shared" si="24"/>
        <v>149.9</v>
      </c>
      <c r="J107" s="5">
        <f t="shared" si="25"/>
        <v>1349.1</v>
      </c>
      <c r="K107" s="5">
        <f t="shared" si="26"/>
        <v>5396.4</v>
      </c>
      <c r="L107" s="7">
        <v>2.4272999999999998</v>
      </c>
      <c r="M107" s="5">
        <f t="shared" si="27"/>
        <v>3274.6704299999997</v>
      </c>
      <c r="N107" s="5">
        <f t="shared" si="28"/>
        <v>13098.681719999999</v>
      </c>
      <c r="O107" s="5">
        <f t="shared" si="29"/>
        <v>201076.56107999996</v>
      </c>
    </row>
    <row r="108" spans="2:15" x14ac:dyDescent="0.25">
      <c r="B108" s="4">
        <v>46047</v>
      </c>
      <c r="C108" s="5" t="s">
        <v>84</v>
      </c>
      <c r="D108" s="7"/>
      <c r="E108" s="7"/>
      <c r="F108" s="7">
        <v>4</v>
      </c>
      <c r="G108" s="6">
        <v>1499</v>
      </c>
      <c r="H108" s="7">
        <v>10</v>
      </c>
      <c r="I108" s="7">
        <f t="shared" si="24"/>
        <v>149.9</v>
      </c>
      <c r="J108" s="5">
        <f t="shared" si="25"/>
        <v>1349.1</v>
      </c>
      <c r="K108" s="5">
        <f t="shared" si="26"/>
        <v>5396.4</v>
      </c>
      <c r="L108" s="7">
        <v>2.4272999999999998</v>
      </c>
      <c r="M108" s="5">
        <f t="shared" si="27"/>
        <v>3274.6704299999997</v>
      </c>
      <c r="N108" s="5">
        <f t="shared" si="28"/>
        <v>13098.681719999999</v>
      </c>
      <c r="O108" s="5">
        <f t="shared" si="29"/>
        <v>214175.24279999995</v>
      </c>
    </row>
    <row r="109" spans="2:15" x14ac:dyDescent="0.25">
      <c r="B109" s="8">
        <v>46049</v>
      </c>
      <c r="C109" s="9" t="s">
        <v>85</v>
      </c>
      <c r="D109" s="11"/>
      <c r="E109" s="11"/>
      <c r="F109" s="11">
        <v>1</v>
      </c>
      <c r="G109" s="24">
        <v>2800</v>
      </c>
      <c r="H109" s="11"/>
      <c r="I109" s="11">
        <f t="shared" si="24"/>
        <v>0</v>
      </c>
      <c r="J109" s="9">
        <f t="shared" si="25"/>
        <v>2800</v>
      </c>
      <c r="K109" s="9">
        <f t="shared" si="26"/>
        <v>2800</v>
      </c>
      <c r="L109" s="11">
        <v>2.4272999999999998</v>
      </c>
      <c r="M109" s="9">
        <f t="shared" si="27"/>
        <v>6796.44</v>
      </c>
      <c r="N109" s="9">
        <f t="shared" si="28"/>
        <v>6796.44</v>
      </c>
      <c r="O109" s="9">
        <f t="shared" si="29"/>
        <v>220971.68279999995</v>
      </c>
    </row>
    <row r="110" spans="2:15" x14ac:dyDescent="0.25">
      <c r="B110" s="8">
        <v>46048</v>
      </c>
      <c r="C110" s="25" t="s">
        <v>86</v>
      </c>
      <c r="D110" s="11"/>
      <c r="E110" s="11"/>
      <c r="F110" s="11">
        <v>1</v>
      </c>
      <c r="G110" s="11">
        <v>5000</v>
      </c>
      <c r="H110" s="11"/>
      <c r="I110" s="11">
        <f t="shared" si="24"/>
        <v>0</v>
      </c>
      <c r="J110" s="9">
        <f t="shared" si="25"/>
        <v>5000</v>
      </c>
      <c r="K110" s="9">
        <f t="shared" si="26"/>
        <v>5000</v>
      </c>
      <c r="L110" s="9">
        <v>2.12</v>
      </c>
      <c r="M110" s="9">
        <f t="shared" si="27"/>
        <v>10600</v>
      </c>
      <c r="N110" s="9">
        <f t="shared" si="28"/>
        <v>10600</v>
      </c>
      <c r="O110" s="9">
        <f t="shared" si="29"/>
        <v>231571.68279999995</v>
      </c>
    </row>
    <row r="116" spans="1:10" x14ac:dyDescent="0.25">
      <c r="B116" s="1"/>
      <c r="C116" s="1"/>
      <c r="D116" s="1"/>
      <c r="E116" s="1"/>
      <c r="F116" s="1"/>
      <c r="G116" s="1"/>
      <c r="H116" s="1"/>
      <c r="I116" s="1"/>
      <c r="J116" s="2"/>
    </row>
    <row r="117" spans="1:10" ht="21" x14ac:dyDescent="0.35">
      <c r="A117" t="s">
        <v>0</v>
      </c>
      <c r="B117" s="58" t="s">
        <v>1</v>
      </c>
      <c r="C117" s="58"/>
      <c r="D117" s="58"/>
      <c r="E117" s="58"/>
      <c r="F117" s="58"/>
      <c r="G117" s="58"/>
      <c r="H117" s="58"/>
      <c r="I117" s="58"/>
      <c r="J117" s="58"/>
    </row>
    <row r="118" spans="1:10" ht="18.75" x14ac:dyDescent="0.3">
      <c r="A118" t="s">
        <v>2</v>
      </c>
      <c r="B118" s="3" t="s">
        <v>3</v>
      </c>
      <c r="C118" s="3" t="s">
        <v>4</v>
      </c>
      <c r="D118" s="3" t="s">
        <v>5</v>
      </c>
      <c r="E118" s="3" t="s">
        <v>6</v>
      </c>
      <c r="F118" s="3" t="s">
        <v>7</v>
      </c>
      <c r="G118" s="3" t="s">
        <v>8</v>
      </c>
      <c r="H118" s="3" t="s">
        <v>9</v>
      </c>
      <c r="I118" s="3" t="s">
        <v>10</v>
      </c>
      <c r="J118" s="3"/>
    </row>
    <row r="119" spans="1:10" x14ac:dyDescent="0.25">
      <c r="B119" s="4">
        <v>46051</v>
      </c>
      <c r="C119" s="5" t="s">
        <v>87</v>
      </c>
      <c r="D119" s="5">
        <v>15</v>
      </c>
      <c r="E119" s="30">
        <v>403</v>
      </c>
      <c r="F119" s="7">
        <f>E119*D119</f>
        <v>6045</v>
      </c>
      <c r="G119" s="7">
        <v>2.4994999999999998</v>
      </c>
      <c r="H119" s="7">
        <f>E119*G119</f>
        <v>1007.2984999999999</v>
      </c>
      <c r="I119" s="7">
        <f>H119*D119</f>
        <v>15109.477499999997</v>
      </c>
      <c r="J119" s="5">
        <f>J118+I119</f>
        <v>15109.477499999997</v>
      </c>
    </row>
    <row r="120" spans="1:10" x14ac:dyDescent="0.25">
      <c r="B120" s="12">
        <v>46052</v>
      </c>
      <c r="C120" s="13" t="s">
        <v>88</v>
      </c>
      <c r="D120" s="13">
        <v>250</v>
      </c>
      <c r="E120" s="31">
        <v>466</v>
      </c>
      <c r="F120" s="14">
        <f t="shared" ref="F120:F140" si="30">E120*D120</f>
        <v>116500</v>
      </c>
      <c r="G120" s="14">
        <v>2.4994999999999998</v>
      </c>
      <c r="H120" s="14">
        <f t="shared" ref="H120:H140" si="31">E120*G120</f>
        <v>1164.7669999999998</v>
      </c>
      <c r="I120" s="14">
        <f t="shared" ref="I120:I140" si="32">H120*D120</f>
        <v>291191.74999999994</v>
      </c>
      <c r="J120" s="13">
        <f t="shared" ref="J120:J140" si="33">J119+I120</f>
        <v>306301.22749999992</v>
      </c>
    </row>
    <row r="121" spans="1:10" x14ac:dyDescent="0.25">
      <c r="B121" s="12">
        <v>46052</v>
      </c>
      <c r="C121" s="13" t="s">
        <v>89</v>
      </c>
      <c r="D121" s="13">
        <v>48</v>
      </c>
      <c r="E121" s="31">
        <v>466</v>
      </c>
      <c r="F121" s="14">
        <f t="shared" si="30"/>
        <v>22368</v>
      </c>
      <c r="G121" s="14">
        <v>2.4994999999999998</v>
      </c>
      <c r="H121" s="14">
        <f t="shared" si="31"/>
        <v>1164.7669999999998</v>
      </c>
      <c r="I121" s="14">
        <f t="shared" si="32"/>
        <v>55908.815999999992</v>
      </c>
      <c r="J121" s="13">
        <f t="shared" si="33"/>
        <v>362210.04349999991</v>
      </c>
    </row>
    <row r="122" spans="1:10" x14ac:dyDescent="0.25">
      <c r="B122" s="4">
        <v>46052</v>
      </c>
      <c r="C122" s="5" t="s">
        <v>90</v>
      </c>
      <c r="D122" s="5">
        <v>8</v>
      </c>
      <c r="E122" s="30">
        <v>450.89</v>
      </c>
      <c r="F122" s="7">
        <f t="shared" si="30"/>
        <v>3607.12</v>
      </c>
      <c r="G122" s="7">
        <v>2.4994999999999998</v>
      </c>
      <c r="H122" s="7">
        <f t="shared" si="31"/>
        <v>1126.9995549999999</v>
      </c>
      <c r="I122" s="7">
        <f t="shared" si="32"/>
        <v>9015.996439999999</v>
      </c>
      <c r="J122" s="5">
        <f t="shared" si="33"/>
        <v>371226.03993999993</v>
      </c>
    </row>
    <row r="123" spans="1:10" x14ac:dyDescent="0.25">
      <c r="B123" s="4">
        <v>46052</v>
      </c>
      <c r="C123" s="5" t="s">
        <v>91</v>
      </c>
      <c r="D123" s="5">
        <v>8</v>
      </c>
      <c r="E123" s="30">
        <v>431.1</v>
      </c>
      <c r="F123" s="7">
        <f t="shared" si="30"/>
        <v>3448.8</v>
      </c>
      <c r="G123" s="7">
        <v>2.4994999999999998</v>
      </c>
      <c r="H123" s="7">
        <f t="shared" si="31"/>
        <v>1077.5344499999999</v>
      </c>
      <c r="I123" s="7">
        <f t="shared" si="32"/>
        <v>8620.275599999999</v>
      </c>
      <c r="J123" s="5">
        <f t="shared" si="33"/>
        <v>379846.31553999992</v>
      </c>
    </row>
    <row r="124" spans="1:10" x14ac:dyDescent="0.25">
      <c r="B124" s="4">
        <v>46052</v>
      </c>
      <c r="C124" s="5" t="s">
        <v>92</v>
      </c>
      <c r="D124" s="5">
        <v>6</v>
      </c>
      <c r="E124" s="30">
        <v>440.1</v>
      </c>
      <c r="F124" s="7">
        <f t="shared" si="30"/>
        <v>2640.6000000000004</v>
      </c>
      <c r="G124" s="7">
        <v>2.4994999999999998</v>
      </c>
      <c r="H124" s="7">
        <f t="shared" si="31"/>
        <v>1100.0299499999999</v>
      </c>
      <c r="I124" s="7">
        <f t="shared" si="32"/>
        <v>6600.1796999999988</v>
      </c>
      <c r="J124" s="5">
        <f t="shared" si="33"/>
        <v>386446.4952399999</v>
      </c>
    </row>
    <row r="125" spans="1:10" x14ac:dyDescent="0.25">
      <c r="B125" s="4">
        <v>46052</v>
      </c>
      <c r="C125" s="5" t="s">
        <v>92</v>
      </c>
      <c r="D125" s="5">
        <v>4</v>
      </c>
      <c r="E125" s="30">
        <v>440.1</v>
      </c>
      <c r="F125" s="7">
        <f t="shared" si="30"/>
        <v>1760.4</v>
      </c>
      <c r="G125" s="7">
        <v>2.4994999999999998</v>
      </c>
      <c r="H125" s="7">
        <f t="shared" si="31"/>
        <v>1100.0299499999999</v>
      </c>
      <c r="I125" s="7">
        <f t="shared" si="32"/>
        <v>4400.1197999999995</v>
      </c>
      <c r="J125" s="5">
        <f t="shared" si="33"/>
        <v>390846.61503999989</v>
      </c>
    </row>
    <row r="126" spans="1:10" x14ac:dyDescent="0.25">
      <c r="B126" s="4">
        <v>46052</v>
      </c>
      <c r="C126" s="5" t="s">
        <v>93</v>
      </c>
      <c r="D126" s="5">
        <v>10</v>
      </c>
      <c r="E126" s="30">
        <v>454.49</v>
      </c>
      <c r="F126" s="7">
        <f t="shared" si="30"/>
        <v>4544.8999999999996</v>
      </c>
      <c r="G126" s="7">
        <v>2.4994999999999998</v>
      </c>
      <c r="H126" s="7">
        <f t="shared" si="31"/>
        <v>1135.9977549999999</v>
      </c>
      <c r="I126" s="7">
        <f t="shared" si="32"/>
        <v>11359.97755</v>
      </c>
      <c r="J126" s="5">
        <f t="shared" si="33"/>
        <v>402206.5925899999</v>
      </c>
    </row>
    <row r="127" spans="1:10" x14ac:dyDescent="0.25">
      <c r="B127" s="4">
        <v>46052</v>
      </c>
      <c r="C127" s="5" t="s">
        <v>94</v>
      </c>
      <c r="D127" s="5">
        <v>11</v>
      </c>
      <c r="E127" s="30">
        <v>423.45</v>
      </c>
      <c r="F127" s="7">
        <f t="shared" si="30"/>
        <v>4657.95</v>
      </c>
      <c r="G127" s="7">
        <v>2.4994999999999998</v>
      </c>
      <c r="H127" s="7">
        <f t="shared" si="31"/>
        <v>1058.4132749999999</v>
      </c>
      <c r="I127" s="7">
        <f t="shared" si="32"/>
        <v>11642.546025</v>
      </c>
      <c r="J127" s="5">
        <f t="shared" si="33"/>
        <v>413849.13861499989</v>
      </c>
    </row>
    <row r="128" spans="1:10" x14ac:dyDescent="0.25">
      <c r="B128" s="4">
        <v>46052</v>
      </c>
      <c r="C128" s="5" t="s">
        <v>94</v>
      </c>
      <c r="D128" s="5">
        <v>1</v>
      </c>
      <c r="E128" s="30">
        <v>431.1</v>
      </c>
      <c r="F128" s="7">
        <f t="shared" si="30"/>
        <v>431.1</v>
      </c>
      <c r="G128" s="7">
        <v>2.4994999999999998</v>
      </c>
      <c r="H128" s="7">
        <f t="shared" si="31"/>
        <v>1077.5344499999999</v>
      </c>
      <c r="I128" s="7">
        <f t="shared" si="32"/>
        <v>1077.5344499999999</v>
      </c>
      <c r="J128" s="5">
        <f t="shared" si="33"/>
        <v>414926.67306499986</v>
      </c>
    </row>
    <row r="129" spans="1:10" x14ac:dyDescent="0.25">
      <c r="B129" s="4">
        <v>46052</v>
      </c>
      <c r="C129" s="5" t="s">
        <v>95</v>
      </c>
      <c r="D129" s="5">
        <v>7</v>
      </c>
      <c r="E129" s="30">
        <v>431.1</v>
      </c>
      <c r="F129" s="7">
        <f t="shared" si="30"/>
        <v>3017.7000000000003</v>
      </c>
      <c r="G129" s="7">
        <v>2.4994999999999998</v>
      </c>
      <c r="H129" s="7">
        <f t="shared" si="31"/>
        <v>1077.5344499999999</v>
      </c>
      <c r="I129" s="7">
        <f t="shared" si="32"/>
        <v>7542.7411499999989</v>
      </c>
      <c r="J129" s="5">
        <f t="shared" si="33"/>
        <v>422469.41421499988</v>
      </c>
    </row>
    <row r="130" spans="1:10" x14ac:dyDescent="0.25">
      <c r="B130" s="4">
        <v>46052</v>
      </c>
      <c r="C130" s="5" t="s">
        <v>96</v>
      </c>
      <c r="D130" s="5">
        <v>15</v>
      </c>
      <c r="E130" s="30">
        <v>431.1</v>
      </c>
      <c r="F130" s="7">
        <f t="shared" si="30"/>
        <v>6466.5</v>
      </c>
      <c r="G130" s="7">
        <v>2.4994999999999998</v>
      </c>
      <c r="H130" s="7">
        <f t="shared" si="31"/>
        <v>1077.5344499999999</v>
      </c>
      <c r="I130" s="7">
        <f t="shared" si="32"/>
        <v>16163.016749999999</v>
      </c>
      <c r="J130" s="5">
        <f t="shared" si="33"/>
        <v>438632.43096499989</v>
      </c>
    </row>
    <row r="131" spans="1:10" x14ac:dyDescent="0.25">
      <c r="B131" s="4">
        <v>46052</v>
      </c>
      <c r="C131" s="5" t="s">
        <v>97</v>
      </c>
      <c r="D131" s="5">
        <v>5</v>
      </c>
      <c r="E131" s="30">
        <v>450.89</v>
      </c>
      <c r="F131" s="7">
        <f t="shared" si="30"/>
        <v>2254.4499999999998</v>
      </c>
      <c r="G131" s="7">
        <v>2.4994999999999998</v>
      </c>
      <c r="H131" s="7">
        <f t="shared" si="31"/>
        <v>1126.9995549999999</v>
      </c>
      <c r="I131" s="7">
        <f t="shared" si="32"/>
        <v>5634.9977749999998</v>
      </c>
      <c r="J131" s="5">
        <f t="shared" si="33"/>
        <v>444267.42873999989</v>
      </c>
    </row>
    <row r="132" spans="1:10" x14ac:dyDescent="0.25">
      <c r="B132" s="4">
        <v>46052</v>
      </c>
      <c r="C132" s="5" t="s">
        <v>96</v>
      </c>
      <c r="D132" s="5">
        <v>6</v>
      </c>
      <c r="E132" s="30">
        <v>431.1</v>
      </c>
      <c r="F132" s="7">
        <f t="shared" si="30"/>
        <v>2586.6000000000004</v>
      </c>
      <c r="G132" s="7">
        <v>2.4994999999999998</v>
      </c>
      <c r="H132" s="7">
        <f t="shared" si="31"/>
        <v>1077.5344499999999</v>
      </c>
      <c r="I132" s="7">
        <f t="shared" si="32"/>
        <v>6465.2066999999988</v>
      </c>
      <c r="J132" s="5">
        <f t="shared" si="33"/>
        <v>450732.63543999987</v>
      </c>
    </row>
    <row r="133" spans="1:10" x14ac:dyDescent="0.25">
      <c r="B133" s="4">
        <v>46052</v>
      </c>
      <c r="C133" s="5" t="s">
        <v>98</v>
      </c>
      <c r="D133" s="5">
        <v>8</v>
      </c>
      <c r="E133" s="30">
        <v>431.1</v>
      </c>
      <c r="F133" s="7">
        <f t="shared" si="30"/>
        <v>3448.8</v>
      </c>
      <c r="G133" s="7">
        <v>2.4994999999999998</v>
      </c>
      <c r="H133" s="7">
        <f t="shared" si="31"/>
        <v>1077.5344499999999</v>
      </c>
      <c r="I133" s="7">
        <f t="shared" si="32"/>
        <v>8620.275599999999</v>
      </c>
      <c r="J133" s="5">
        <f t="shared" si="33"/>
        <v>459352.91103999986</v>
      </c>
    </row>
    <row r="134" spans="1:10" x14ac:dyDescent="0.25">
      <c r="B134" s="4">
        <v>46052</v>
      </c>
      <c r="C134" s="5" t="s">
        <v>99</v>
      </c>
      <c r="D134" s="5">
        <v>8</v>
      </c>
      <c r="E134" s="30">
        <v>431.1</v>
      </c>
      <c r="F134" s="7">
        <f t="shared" si="30"/>
        <v>3448.8</v>
      </c>
      <c r="G134" s="7">
        <v>2.4994999999999998</v>
      </c>
      <c r="H134" s="7">
        <f t="shared" si="31"/>
        <v>1077.5344499999999</v>
      </c>
      <c r="I134" s="7">
        <f t="shared" si="32"/>
        <v>8620.275599999999</v>
      </c>
      <c r="J134" s="5">
        <f t="shared" si="33"/>
        <v>467973.18663999985</v>
      </c>
    </row>
    <row r="135" spans="1:10" x14ac:dyDescent="0.25">
      <c r="B135" s="4">
        <v>46052</v>
      </c>
      <c r="C135" s="5" t="s">
        <v>100</v>
      </c>
      <c r="D135" s="5">
        <v>16</v>
      </c>
      <c r="E135" s="30">
        <v>431.1</v>
      </c>
      <c r="F135" s="7">
        <f t="shared" si="30"/>
        <v>6897.6</v>
      </c>
      <c r="G135" s="7">
        <v>2.4994999999999998</v>
      </c>
      <c r="H135" s="7">
        <f t="shared" si="31"/>
        <v>1077.5344499999999</v>
      </c>
      <c r="I135" s="7">
        <f t="shared" si="32"/>
        <v>17240.551199999998</v>
      </c>
      <c r="J135" s="5">
        <f t="shared" si="33"/>
        <v>485213.73783999984</v>
      </c>
    </row>
    <row r="136" spans="1:10" x14ac:dyDescent="0.25">
      <c r="B136" s="4">
        <v>46052</v>
      </c>
      <c r="C136" s="5" t="s">
        <v>95</v>
      </c>
      <c r="D136" s="5">
        <v>2</v>
      </c>
      <c r="E136" s="30">
        <v>450.89</v>
      </c>
      <c r="F136" s="7">
        <f t="shared" si="30"/>
        <v>901.78</v>
      </c>
      <c r="G136" s="7">
        <v>2.4994999999999998</v>
      </c>
      <c r="H136" s="7">
        <f t="shared" si="31"/>
        <v>1126.9995549999999</v>
      </c>
      <c r="I136" s="7">
        <f t="shared" si="32"/>
        <v>2253.9991099999997</v>
      </c>
      <c r="J136" s="5">
        <f t="shared" si="33"/>
        <v>487467.73694999982</v>
      </c>
    </row>
    <row r="137" spans="1:10" x14ac:dyDescent="0.25">
      <c r="B137" s="8">
        <v>46053</v>
      </c>
      <c r="C137" s="9" t="s">
        <v>101</v>
      </c>
      <c r="D137" s="9">
        <v>1</v>
      </c>
      <c r="E137" s="32">
        <v>1400</v>
      </c>
      <c r="F137" s="11">
        <f t="shared" si="30"/>
        <v>1400</v>
      </c>
      <c r="G137" s="11">
        <v>2.4994999999999998</v>
      </c>
      <c r="H137" s="11">
        <f t="shared" si="31"/>
        <v>3499.2999999999997</v>
      </c>
      <c r="I137" s="11">
        <f t="shared" si="32"/>
        <v>3499.2999999999997</v>
      </c>
      <c r="J137" s="9">
        <f t="shared" si="33"/>
        <v>490967.03694999981</v>
      </c>
    </row>
    <row r="138" spans="1:10" x14ac:dyDescent="0.25">
      <c r="B138" s="8">
        <v>46053</v>
      </c>
      <c r="C138" s="9" t="s">
        <v>102</v>
      </c>
      <c r="D138" s="9">
        <v>1</v>
      </c>
      <c r="E138" s="32">
        <v>1480</v>
      </c>
      <c r="F138" s="11">
        <f t="shared" si="30"/>
        <v>1480</v>
      </c>
      <c r="G138" s="11">
        <v>2.4994999999999998</v>
      </c>
      <c r="H138" s="11">
        <f t="shared" si="31"/>
        <v>3699.2599999999998</v>
      </c>
      <c r="I138" s="11">
        <f t="shared" si="32"/>
        <v>3699.2599999999998</v>
      </c>
      <c r="J138" s="9">
        <f t="shared" si="33"/>
        <v>494666.29694999981</v>
      </c>
    </row>
    <row r="139" spans="1:10" x14ac:dyDescent="0.25">
      <c r="B139" s="7"/>
      <c r="C139" s="7"/>
      <c r="D139" s="7"/>
      <c r="E139" s="7"/>
      <c r="F139" s="7">
        <f t="shared" si="30"/>
        <v>0</v>
      </c>
      <c r="G139" s="7"/>
      <c r="H139" s="7">
        <f t="shared" si="31"/>
        <v>0</v>
      </c>
      <c r="I139" s="7">
        <f t="shared" si="32"/>
        <v>0</v>
      </c>
      <c r="J139" s="5">
        <f t="shared" si="33"/>
        <v>494666.29694999981</v>
      </c>
    </row>
    <row r="140" spans="1:10" x14ac:dyDescent="0.25">
      <c r="B140" s="7"/>
      <c r="C140" s="7"/>
      <c r="D140" s="7"/>
      <c r="E140" s="7"/>
      <c r="F140" s="7">
        <f t="shared" si="30"/>
        <v>0</v>
      </c>
      <c r="G140" s="7"/>
      <c r="H140" s="7">
        <f t="shared" si="31"/>
        <v>0</v>
      </c>
      <c r="I140" s="7">
        <f t="shared" si="32"/>
        <v>0</v>
      </c>
      <c r="J140" s="5">
        <f t="shared" si="33"/>
        <v>494666.29694999981</v>
      </c>
    </row>
    <row r="141" spans="1:10" x14ac:dyDescent="0.25">
      <c r="B141" s="1"/>
      <c r="C141" s="1"/>
      <c r="D141" s="1"/>
      <c r="E141" s="1"/>
      <c r="F141" s="1"/>
      <c r="G141" s="1"/>
      <c r="H141" s="1"/>
      <c r="I141" s="1"/>
      <c r="J141" s="2"/>
    </row>
    <row r="142" spans="1:10" x14ac:dyDescent="0.25">
      <c r="B142" s="1"/>
      <c r="C142" s="1"/>
      <c r="D142" s="1"/>
      <c r="E142" s="1"/>
      <c r="F142" s="1"/>
      <c r="G142" s="1"/>
      <c r="H142" s="1"/>
      <c r="I142" s="1"/>
      <c r="J142" s="2"/>
    </row>
    <row r="143" spans="1:10" x14ac:dyDescent="0.25">
      <c r="B143" s="1"/>
      <c r="C143" s="1"/>
      <c r="D143" s="1"/>
      <c r="E143" s="1"/>
      <c r="F143" s="1"/>
      <c r="G143" s="1"/>
      <c r="H143" s="1"/>
      <c r="I143" s="1"/>
      <c r="J143" s="2"/>
    </row>
    <row r="144" spans="1:10" ht="21" x14ac:dyDescent="0.35">
      <c r="A144" t="s">
        <v>0</v>
      </c>
      <c r="B144" s="58" t="s">
        <v>34</v>
      </c>
      <c r="C144" s="58"/>
      <c r="D144" s="58"/>
      <c r="E144" s="58"/>
      <c r="F144" s="58"/>
      <c r="G144" s="58"/>
      <c r="H144" s="58"/>
      <c r="I144" s="58"/>
      <c r="J144" s="58"/>
    </row>
    <row r="145" spans="1:11" ht="18.75" x14ac:dyDescent="0.3">
      <c r="A145" t="s">
        <v>2</v>
      </c>
      <c r="B145" s="3" t="s">
        <v>3</v>
      </c>
      <c r="C145" s="3" t="s">
        <v>4</v>
      </c>
      <c r="D145" s="3" t="s">
        <v>5</v>
      </c>
      <c r="E145" s="3" t="s">
        <v>6</v>
      </c>
      <c r="F145" s="3" t="s">
        <v>7</v>
      </c>
      <c r="G145" s="3" t="s">
        <v>8</v>
      </c>
      <c r="H145" s="3" t="s">
        <v>9</v>
      </c>
      <c r="I145" s="3" t="s">
        <v>10</v>
      </c>
      <c r="J145" s="3"/>
      <c r="K145" t="s">
        <v>210</v>
      </c>
    </row>
    <row r="146" spans="1:11" x14ac:dyDescent="0.25">
      <c r="B146" s="4">
        <v>46051</v>
      </c>
      <c r="C146" s="5" t="s">
        <v>103</v>
      </c>
      <c r="D146" s="5">
        <v>100</v>
      </c>
      <c r="E146" s="5">
        <v>299</v>
      </c>
      <c r="F146" s="7">
        <f>E146*D146</f>
        <v>29900</v>
      </c>
      <c r="G146" s="7">
        <v>2.13</v>
      </c>
      <c r="H146" s="7">
        <f>E146*G146</f>
        <v>636.87</v>
      </c>
      <c r="I146" s="7">
        <f>H146*D146</f>
        <v>63687</v>
      </c>
      <c r="J146" s="5">
        <f>J145+I146</f>
        <v>63687</v>
      </c>
    </row>
    <row r="147" spans="1:11" x14ac:dyDescent="0.25">
      <c r="B147" s="4">
        <v>46051</v>
      </c>
      <c r="C147" s="5" t="s">
        <v>104</v>
      </c>
      <c r="D147" s="5">
        <v>4</v>
      </c>
      <c r="E147" s="5">
        <v>349</v>
      </c>
      <c r="F147" s="7">
        <f t="shared" ref="F147:F148" si="34">E147*D147</f>
        <v>1396</v>
      </c>
      <c r="G147" s="7">
        <v>2.13</v>
      </c>
      <c r="H147" s="7">
        <f t="shared" ref="H147:H148" si="35">E147*G147</f>
        <v>743.37</v>
      </c>
      <c r="I147" s="7">
        <f t="shared" ref="I147:I148" si="36">H147*D147</f>
        <v>2973.48</v>
      </c>
      <c r="J147" s="5">
        <f t="shared" ref="J147:J148" si="37">J146+I147</f>
        <v>66660.479999999996</v>
      </c>
    </row>
    <row r="148" spans="1:11" x14ac:dyDescent="0.25">
      <c r="B148" s="7"/>
      <c r="C148" s="7"/>
      <c r="D148" s="7"/>
      <c r="E148" s="7"/>
      <c r="F148" s="7">
        <f t="shared" si="34"/>
        <v>0</v>
      </c>
      <c r="G148" s="7"/>
      <c r="H148" s="7">
        <f t="shared" si="35"/>
        <v>0</v>
      </c>
      <c r="I148" s="7">
        <f t="shared" si="36"/>
        <v>0</v>
      </c>
      <c r="J148" s="5">
        <f t="shared" si="37"/>
        <v>66660.479999999996</v>
      </c>
    </row>
    <row r="149" spans="1:11" x14ac:dyDescent="0.25">
      <c r="B149" s="1"/>
      <c r="C149" s="1"/>
      <c r="D149" s="1"/>
      <c r="E149" s="1"/>
      <c r="F149" s="1"/>
      <c r="G149" s="1"/>
      <c r="H149" s="1"/>
      <c r="I149" s="1"/>
      <c r="J149" s="2"/>
    </row>
    <row r="150" spans="1:11" x14ac:dyDescent="0.25">
      <c r="A150" s="26"/>
      <c r="B150" s="27"/>
      <c r="C150" s="27"/>
      <c r="D150" s="27"/>
      <c r="E150" s="27"/>
      <c r="F150" s="29"/>
      <c r="G150" s="28"/>
      <c r="H150" s="26"/>
      <c r="I150" s="26"/>
    </row>
    <row r="151" spans="1:11" x14ac:dyDescent="0.25">
      <c r="A151" s="26"/>
      <c r="B151" s="27"/>
      <c r="C151" s="27"/>
      <c r="D151" s="27"/>
      <c r="E151" s="27"/>
      <c r="F151" s="29"/>
      <c r="G151" s="28"/>
      <c r="H151" s="26"/>
      <c r="I151" s="26"/>
    </row>
    <row r="152" spans="1:11" x14ac:dyDescent="0.25">
      <c r="A152" s="26"/>
      <c r="B152" s="27"/>
      <c r="C152" s="27"/>
      <c r="D152" s="27"/>
      <c r="E152" s="27"/>
      <c r="F152" s="29"/>
      <c r="G152" s="28"/>
      <c r="H152" s="26"/>
      <c r="I152" s="26"/>
    </row>
    <row r="153" spans="1:11" x14ac:dyDescent="0.25">
      <c r="A153" s="26"/>
      <c r="B153" s="27"/>
      <c r="C153" s="27"/>
      <c r="D153" s="27"/>
      <c r="E153" s="27"/>
      <c r="F153" s="29"/>
      <c r="G153" s="28"/>
      <c r="H153" s="26"/>
      <c r="I153" s="26"/>
    </row>
    <row r="154" spans="1:11" x14ac:dyDescent="0.25">
      <c r="A154" s="26"/>
      <c r="B154" s="27"/>
      <c r="C154" s="27"/>
      <c r="D154" s="27"/>
      <c r="E154" s="27"/>
      <c r="F154" s="29"/>
      <c r="G154" s="28"/>
      <c r="H154" s="26"/>
      <c r="I154" s="26"/>
    </row>
    <row r="155" spans="1:11" x14ac:dyDescent="0.25">
      <c r="A155" s="26"/>
      <c r="B155" s="27"/>
      <c r="C155" s="27"/>
      <c r="D155" s="27"/>
      <c r="E155" s="27"/>
      <c r="F155" s="29"/>
      <c r="G155" s="28"/>
      <c r="H155" s="26"/>
      <c r="I155" s="26"/>
    </row>
    <row r="156" spans="1:11" ht="21" x14ac:dyDescent="0.35">
      <c r="A156" t="s">
        <v>0</v>
      </c>
      <c r="B156" s="58" t="s">
        <v>1</v>
      </c>
      <c r="C156" s="58"/>
      <c r="D156" s="58"/>
      <c r="E156" s="58"/>
      <c r="F156" s="58"/>
      <c r="G156" s="58"/>
      <c r="H156" s="58"/>
      <c r="I156" s="58"/>
      <c r="J156" s="58"/>
    </row>
    <row r="157" spans="1:11" ht="18.75" x14ac:dyDescent="0.3">
      <c r="A157" t="s">
        <v>2</v>
      </c>
      <c r="B157" s="3" t="s">
        <v>3</v>
      </c>
      <c r="C157" s="3" t="s">
        <v>4</v>
      </c>
      <c r="D157" s="3" t="s">
        <v>5</v>
      </c>
      <c r="E157" s="3" t="s">
        <v>6</v>
      </c>
      <c r="F157" s="3" t="s">
        <v>7</v>
      </c>
      <c r="G157" s="3" t="s">
        <v>8</v>
      </c>
      <c r="H157" s="3" t="s">
        <v>9</v>
      </c>
      <c r="I157" s="3" t="s">
        <v>10</v>
      </c>
      <c r="J157" s="3"/>
      <c r="K157" t="s">
        <v>209</v>
      </c>
    </row>
    <row r="158" spans="1:11" x14ac:dyDescent="0.25">
      <c r="B158" s="17">
        <v>46055</v>
      </c>
      <c r="C158" s="18" t="s">
        <v>110</v>
      </c>
      <c r="D158" s="18">
        <v>11</v>
      </c>
      <c r="E158" s="21">
        <v>398</v>
      </c>
      <c r="F158" s="20">
        <f>E158*D158</f>
        <v>4378</v>
      </c>
      <c r="G158" s="20">
        <v>2.5188000000000001</v>
      </c>
      <c r="H158" s="20">
        <f>E158*G158</f>
        <v>1002.4824000000001</v>
      </c>
      <c r="I158" s="7">
        <f>H158*D158</f>
        <v>11027.306400000001</v>
      </c>
      <c r="J158" s="5">
        <f>J157+I158</f>
        <v>11027.306400000001</v>
      </c>
    </row>
    <row r="159" spans="1:11" x14ac:dyDescent="0.25">
      <c r="B159" s="17">
        <v>46055</v>
      </c>
      <c r="C159" s="18" t="s">
        <v>111</v>
      </c>
      <c r="D159" s="18">
        <v>4</v>
      </c>
      <c r="E159" s="33">
        <v>431</v>
      </c>
      <c r="F159" s="20">
        <f t="shared" ref="F159:F167" si="38">E159*D159</f>
        <v>1724</v>
      </c>
      <c r="G159" s="20">
        <v>2.5188000000000001</v>
      </c>
      <c r="H159" s="20">
        <f t="shared" ref="H159:H171" si="39">E159*G159</f>
        <v>1085.6028000000001</v>
      </c>
      <c r="I159" s="7">
        <f t="shared" ref="I159:I171" si="40">H159*D159</f>
        <v>4342.4112000000005</v>
      </c>
      <c r="J159" s="5">
        <f t="shared" ref="J159:J171" si="41">J158+I159</f>
        <v>15369.717600000002</v>
      </c>
    </row>
    <row r="160" spans="1:11" x14ac:dyDescent="0.25">
      <c r="B160" s="17">
        <v>46056</v>
      </c>
      <c r="C160" s="18" t="s">
        <v>112</v>
      </c>
      <c r="D160" s="18">
        <v>3</v>
      </c>
      <c r="E160" s="33">
        <v>431</v>
      </c>
      <c r="F160" s="20">
        <f t="shared" si="38"/>
        <v>1293</v>
      </c>
      <c r="G160" s="20">
        <v>2.5188000000000001</v>
      </c>
      <c r="H160" s="20">
        <f>E160*G160</f>
        <v>1085.6028000000001</v>
      </c>
      <c r="I160" s="7">
        <f t="shared" si="40"/>
        <v>3256.8084000000003</v>
      </c>
      <c r="J160" s="5">
        <f t="shared" si="41"/>
        <v>18626.526000000002</v>
      </c>
    </row>
    <row r="161" spans="1:15" ht="15.75" thickBot="1" x14ac:dyDescent="0.3">
      <c r="B161" s="34">
        <v>46056</v>
      </c>
      <c r="C161" s="35" t="s">
        <v>113</v>
      </c>
      <c r="D161" s="35">
        <v>8</v>
      </c>
      <c r="E161" s="36">
        <v>440</v>
      </c>
      <c r="F161" s="37">
        <f t="shared" si="38"/>
        <v>3520</v>
      </c>
      <c r="G161" s="37">
        <v>2.5188000000000001</v>
      </c>
      <c r="H161" s="37">
        <f t="shared" si="39"/>
        <v>1108.2720000000002</v>
      </c>
      <c r="I161" s="38">
        <f t="shared" si="40"/>
        <v>8866.1760000000013</v>
      </c>
      <c r="J161" s="39">
        <f t="shared" si="41"/>
        <v>27492.702000000005</v>
      </c>
    </row>
    <row r="162" spans="1:15" x14ac:dyDescent="0.25">
      <c r="B162" s="40">
        <v>46056</v>
      </c>
      <c r="C162" s="41" t="s">
        <v>114</v>
      </c>
      <c r="D162" s="41">
        <v>5</v>
      </c>
      <c r="E162" s="42">
        <v>440</v>
      </c>
      <c r="F162" s="43">
        <f t="shared" si="38"/>
        <v>2200</v>
      </c>
      <c r="G162" s="43">
        <v>2.5188000000000001</v>
      </c>
      <c r="H162" s="43">
        <f t="shared" si="39"/>
        <v>1108.2720000000002</v>
      </c>
      <c r="I162" s="44">
        <f t="shared" si="40"/>
        <v>5541.3600000000006</v>
      </c>
      <c r="J162" s="45">
        <f t="shared" si="41"/>
        <v>33034.062000000005</v>
      </c>
    </row>
    <row r="163" spans="1:15" x14ac:dyDescent="0.25">
      <c r="B163" s="17">
        <v>46056</v>
      </c>
      <c r="C163" s="18" t="s">
        <v>115</v>
      </c>
      <c r="D163" s="18">
        <v>6</v>
      </c>
      <c r="E163" s="33">
        <v>440</v>
      </c>
      <c r="F163" s="20">
        <f t="shared" si="38"/>
        <v>2640</v>
      </c>
      <c r="G163" s="20">
        <v>2.5188000000000001</v>
      </c>
      <c r="H163" s="20">
        <f t="shared" si="39"/>
        <v>1108.2720000000002</v>
      </c>
      <c r="I163" s="7">
        <f t="shared" si="40"/>
        <v>6649.6320000000014</v>
      </c>
      <c r="J163" s="5">
        <f t="shared" si="41"/>
        <v>39683.694000000003</v>
      </c>
    </row>
    <row r="164" spans="1:15" x14ac:dyDescent="0.25">
      <c r="B164" s="17">
        <v>46056</v>
      </c>
      <c r="C164" s="18" t="s">
        <v>116</v>
      </c>
      <c r="D164" s="18">
        <v>3</v>
      </c>
      <c r="E164" s="33">
        <v>398</v>
      </c>
      <c r="F164" s="20">
        <f t="shared" si="38"/>
        <v>1194</v>
      </c>
      <c r="G164" s="20">
        <v>2.5188000000000001</v>
      </c>
      <c r="H164" s="20">
        <f t="shared" si="39"/>
        <v>1002.4824000000001</v>
      </c>
      <c r="I164" s="7">
        <f t="shared" si="40"/>
        <v>3007.4472000000005</v>
      </c>
      <c r="J164" s="5">
        <f t="shared" si="41"/>
        <v>42691.141200000005</v>
      </c>
    </row>
    <row r="165" spans="1:15" x14ac:dyDescent="0.25">
      <c r="B165" s="17">
        <v>46056</v>
      </c>
      <c r="C165" s="18" t="s">
        <v>117</v>
      </c>
      <c r="D165" s="18">
        <v>3</v>
      </c>
      <c r="E165" s="33">
        <v>398</v>
      </c>
      <c r="F165" s="20">
        <f t="shared" si="38"/>
        <v>1194</v>
      </c>
      <c r="G165" s="20">
        <v>2.5188000000000001</v>
      </c>
      <c r="H165" s="20">
        <f t="shared" si="39"/>
        <v>1002.4824000000001</v>
      </c>
      <c r="I165" s="7">
        <f t="shared" si="40"/>
        <v>3007.4472000000005</v>
      </c>
      <c r="J165" s="5">
        <f t="shared" si="41"/>
        <v>45698.588400000008</v>
      </c>
    </row>
    <row r="166" spans="1:15" x14ac:dyDescent="0.25">
      <c r="B166" s="17">
        <v>46056</v>
      </c>
      <c r="C166" s="18" t="s">
        <v>118</v>
      </c>
      <c r="D166" s="18">
        <v>2</v>
      </c>
      <c r="E166" s="33">
        <v>398</v>
      </c>
      <c r="F166" s="20">
        <f t="shared" si="38"/>
        <v>796</v>
      </c>
      <c r="G166" s="20">
        <v>2.5188000000000001</v>
      </c>
      <c r="H166" s="20">
        <f t="shared" si="39"/>
        <v>1002.4824000000001</v>
      </c>
      <c r="I166" s="7">
        <f t="shared" si="40"/>
        <v>2004.9648000000002</v>
      </c>
      <c r="J166" s="5">
        <f t="shared" si="41"/>
        <v>47703.553200000009</v>
      </c>
    </row>
    <row r="167" spans="1:15" x14ac:dyDescent="0.25">
      <c r="B167" s="17">
        <v>46056</v>
      </c>
      <c r="C167" s="18" t="s">
        <v>119</v>
      </c>
      <c r="D167" s="18">
        <v>1</v>
      </c>
      <c r="E167" s="33">
        <v>7</v>
      </c>
      <c r="F167" s="20">
        <f t="shared" si="38"/>
        <v>7</v>
      </c>
      <c r="G167" s="20">
        <v>2.5188000000000001</v>
      </c>
      <c r="H167" s="20">
        <f t="shared" si="39"/>
        <v>17.631600000000002</v>
      </c>
      <c r="I167" s="7">
        <f t="shared" si="40"/>
        <v>17.631600000000002</v>
      </c>
      <c r="J167" s="5">
        <f t="shared" si="41"/>
        <v>47721.18480000001</v>
      </c>
    </row>
    <row r="168" spans="1:15" x14ac:dyDescent="0.25">
      <c r="B168" s="12">
        <v>46056</v>
      </c>
      <c r="C168" s="13" t="s">
        <v>120</v>
      </c>
      <c r="D168" s="13">
        <v>5</v>
      </c>
      <c r="E168" s="31">
        <v>2490</v>
      </c>
      <c r="F168" s="14">
        <f>E168*D168</f>
        <v>12450</v>
      </c>
      <c r="G168" s="14">
        <v>2.5188000000000001</v>
      </c>
      <c r="H168" s="14">
        <f t="shared" si="39"/>
        <v>6271.8120000000008</v>
      </c>
      <c r="I168" s="14">
        <f t="shared" si="40"/>
        <v>31359.060000000005</v>
      </c>
      <c r="J168" s="13">
        <f t="shared" si="41"/>
        <v>79080.244800000015</v>
      </c>
    </row>
    <row r="169" spans="1:15" x14ac:dyDescent="0.25">
      <c r="B169" s="7"/>
      <c r="C169" s="7"/>
      <c r="D169" s="7"/>
      <c r="E169" s="7"/>
      <c r="F169" s="7"/>
      <c r="G169" s="7"/>
      <c r="H169" s="7">
        <f t="shared" si="39"/>
        <v>0</v>
      </c>
      <c r="I169" s="7">
        <f t="shared" si="40"/>
        <v>0</v>
      </c>
      <c r="J169" s="5">
        <f t="shared" si="41"/>
        <v>79080.244800000015</v>
      </c>
    </row>
    <row r="170" spans="1:15" x14ac:dyDescent="0.25">
      <c r="B170" s="7"/>
      <c r="C170" s="7"/>
      <c r="D170" s="7"/>
      <c r="E170" s="7"/>
      <c r="F170" s="7">
        <f t="shared" ref="F170:F171" si="42">E170*D170</f>
        <v>0</v>
      </c>
      <c r="G170" s="7"/>
      <c r="H170" s="7">
        <f t="shared" si="39"/>
        <v>0</v>
      </c>
      <c r="I170" s="7">
        <f t="shared" si="40"/>
        <v>0</v>
      </c>
      <c r="J170" s="5">
        <f t="shared" si="41"/>
        <v>79080.244800000015</v>
      </c>
    </row>
    <row r="171" spans="1:15" x14ac:dyDescent="0.25">
      <c r="B171" s="7"/>
      <c r="C171" s="7"/>
      <c r="D171" s="7"/>
      <c r="E171" s="7"/>
      <c r="F171" s="7">
        <f t="shared" si="42"/>
        <v>0</v>
      </c>
      <c r="G171" s="7"/>
      <c r="H171" s="7">
        <f t="shared" si="39"/>
        <v>0</v>
      </c>
      <c r="I171" s="7">
        <f t="shared" si="40"/>
        <v>0</v>
      </c>
      <c r="J171" s="5">
        <f t="shared" si="41"/>
        <v>79080.244800000015</v>
      </c>
    </row>
    <row r="172" spans="1:15" x14ac:dyDescent="0.25">
      <c r="B172" s="1"/>
      <c r="C172" s="1"/>
      <c r="D172" s="1"/>
      <c r="E172" s="1"/>
      <c r="F172" s="1"/>
      <c r="G172" s="1"/>
      <c r="H172" s="1"/>
      <c r="I172" s="1"/>
      <c r="J172" s="2"/>
    </row>
    <row r="173" spans="1:15" x14ac:dyDescent="0.25">
      <c r="B173" s="1"/>
      <c r="C173" s="1"/>
      <c r="D173" s="1"/>
      <c r="E173" s="1"/>
      <c r="F173" s="1"/>
      <c r="G173" s="1"/>
      <c r="H173" s="1"/>
      <c r="I173" s="1"/>
      <c r="J173" s="2"/>
    </row>
    <row r="174" spans="1:15" x14ac:dyDescent="0.25">
      <c r="B174" s="1"/>
      <c r="C174" s="1"/>
      <c r="D174" s="1"/>
      <c r="E174" s="1"/>
      <c r="F174" s="1"/>
      <c r="G174" s="1"/>
      <c r="H174" s="1"/>
      <c r="I174" s="1"/>
      <c r="J174" s="2"/>
    </row>
    <row r="175" spans="1:15" x14ac:dyDescent="0.25">
      <c r="B175" s="1"/>
      <c r="C175" s="1"/>
      <c r="D175" s="1"/>
      <c r="E175" s="1"/>
      <c r="F175" s="1"/>
      <c r="G175" s="1"/>
      <c r="H175" s="1"/>
      <c r="I175" s="1"/>
      <c r="J175" s="2"/>
    </row>
    <row r="176" spans="1:15" ht="21" x14ac:dyDescent="0.35">
      <c r="A176" t="s">
        <v>0</v>
      </c>
      <c r="B176" s="59" t="s">
        <v>1</v>
      </c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</row>
    <row r="177" spans="1:16" ht="18.75" x14ac:dyDescent="0.3">
      <c r="A177" t="s">
        <v>2</v>
      </c>
      <c r="B177" s="22" t="s">
        <v>3</v>
      </c>
      <c r="C177" s="22" t="s">
        <v>4</v>
      </c>
      <c r="D177" s="22" t="s">
        <v>60</v>
      </c>
      <c r="E177" s="22" t="s">
        <v>61</v>
      </c>
      <c r="F177" s="22" t="s">
        <v>5</v>
      </c>
      <c r="G177" s="22" t="s">
        <v>62</v>
      </c>
      <c r="H177" s="22" t="s">
        <v>63</v>
      </c>
      <c r="I177" s="22" t="s">
        <v>64</v>
      </c>
      <c r="J177" s="22" t="s">
        <v>65</v>
      </c>
      <c r="K177" s="22" t="s">
        <v>66</v>
      </c>
      <c r="L177" s="22" t="s">
        <v>67</v>
      </c>
      <c r="M177" s="22" t="s">
        <v>68</v>
      </c>
      <c r="N177" s="22" t="s">
        <v>10</v>
      </c>
      <c r="O177" s="23"/>
      <c r="P177" t="s">
        <v>209</v>
      </c>
    </row>
    <row r="178" spans="1:16" x14ac:dyDescent="0.25">
      <c r="B178" s="17">
        <v>46056</v>
      </c>
      <c r="C178" s="18" t="s">
        <v>121</v>
      </c>
      <c r="D178" s="20"/>
      <c r="E178" s="20"/>
      <c r="F178" s="18">
        <v>2</v>
      </c>
      <c r="G178" s="7">
        <v>2197</v>
      </c>
      <c r="H178" s="7">
        <v>10</v>
      </c>
      <c r="I178" s="7">
        <f>G178*H178%</f>
        <v>219.70000000000002</v>
      </c>
      <c r="J178" s="5">
        <f>G178-I178</f>
        <v>1977.3</v>
      </c>
      <c r="K178" s="5">
        <f>F178*J178</f>
        <v>3954.6</v>
      </c>
      <c r="L178" s="7">
        <v>2.5188000000000001</v>
      </c>
      <c r="M178" s="5">
        <f>J178*L178</f>
        <v>4980.4232400000001</v>
      </c>
      <c r="N178" s="5">
        <f>F178*M178</f>
        <v>9960.8464800000002</v>
      </c>
      <c r="O178" s="5">
        <f>O177+N178</f>
        <v>9960.8464800000002</v>
      </c>
    </row>
    <row r="179" spans="1:16" x14ac:dyDescent="0.25">
      <c r="B179" s="7"/>
      <c r="C179" s="7"/>
      <c r="D179" s="7"/>
      <c r="E179" s="7"/>
      <c r="F179" s="7"/>
      <c r="G179" s="7"/>
      <c r="H179" s="7"/>
      <c r="I179" s="7">
        <f t="shared" ref="I179" si="43">G179*H179%</f>
        <v>0</v>
      </c>
      <c r="J179" s="5">
        <f t="shared" ref="J179" si="44">G179-I179</f>
        <v>0</v>
      </c>
      <c r="K179" s="5">
        <f t="shared" ref="K179" si="45">F179*J179</f>
        <v>0</v>
      </c>
      <c r="L179" s="5"/>
      <c r="M179" s="5">
        <f t="shared" ref="M179" si="46">J179*L179</f>
        <v>0</v>
      </c>
      <c r="N179" s="5">
        <f t="shared" ref="N179" si="47">F179*M179</f>
        <v>0</v>
      </c>
      <c r="O179" s="5">
        <f t="shared" ref="O179" si="48">O178+N179</f>
        <v>9960.8464800000002</v>
      </c>
    </row>
    <row r="180" spans="1:16" x14ac:dyDescent="0.25">
      <c r="B180" s="1"/>
      <c r="C180" s="1"/>
      <c r="D180" s="1"/>
      <c r="E180" s="1"/>
      <c r="F180" s="1"/>
      <c r="G180" s="1"/>
      <c r="H180" s="1"/>
      <c r="I180" s="1"/>
    </row>
    <row r="185" spans="1:16" x14ac:dyDescent="0.25">
      <c r="B185" s="1"/>
      <c r="C185" s="1"/>
      <c r="D185" s="1"/>
      <c r="E185" s="1"/>
      <c r="F185" s="1"/>
      <c r="G185" s="1"/>
      <c r="H185" s="1"/>
      <c r="I185" s="1"/>
      <c r="J185" s="2"/>
    </row>
    <row r="186" spans="1:16" ht="21" x14ac:dyDescent="0.35">
      <c r="A186" t="s">
        <v>0</v>
      </c>
      <c r="B186" s="58" t="s">
        <v>1</v>
      </c>
      <c r="C186" s="58"/>
      <c r="D186" s="58"/>
      <c r="E186" s="58"/>
      <c r="F186" s="58"/>
      <c r="G186" s="58"/>
      <c r="H186" s="58"/>
      <c r="I186" s="58"/>
      <c r="J186" s="58"/>
    </row>
    <row r="187" spans="1:16" ht="18.75" x14ac:dyDescent="0.3">
      <c r="A187" t="s">
        <v>2</v>
      </c>
      <c r="B187" s="3" t="s">
        <v>3</v>
      </c>
      <c r="C187" s="3" t="s">
        <v>4</v>
      </c>
      <c r="D187" s="3" t="s">
        <v>5</v>
      </c>
      <c r="E187" s="3" t="s">
        <v>6</v>
      </c>
      <c r="F187" s="3" t="s">
        <v>7</v>
      </c>
      <c r="G187" s="3" t="s">
        <v>8</v>
      </c>
      <c r="H187" s="3" t="s">
        <v>9</v>
      </c>
      <c r="I187" s="3" t="s">
        <v>10</v>
      </c>
      <c r="J187" s="3"/>
    </row>
    <row r="188" spans="1:16" x14ac:dyDescent="0.25">
      <c r="B188" s="17">
        <v>46057</v>
      </c>
      <c r="C188" s="18" t="s">
        <v>187</v>
      </c>
      <c r="D188" s="18">
        <v>3</v>
      </c>
      <c r="E188" s="18">
        <v>397</v>
      </c>
      <c r="F188" s="7">
        <f>E188*D188</f>
        <v>1191</v>
      </c>
      <c r="G188" s="7">
        <v>2.5461</v>
      </c>
      <c r="H188" s="7">
        <f>E188*G188</f>
        <v>1010.8017</v>
      </c>
      <c r="I188" s="7">
        <f>H188*D188</f>
        <v>3032.4050999999999</v>
      </c>
      <c r="J188" s="5">
        <f>J187+I188</f>
        <v>3032.4050999999999</v>
      </c>
    </row>
    <row r="189" spans="1:16" x14ac:dyDescent="0.25">
      <c r="B189" s="17">
        <v>46057</v>
      </c>
      <c r="C189" s="18" t="s">
        <v>188</v>
      </c>
      <c r="D189" s="18">
        <v>4</v>
      </c>
      <c r="E189" s="18">
        <v>454</v>
      </c>
      <c r="F189" s="7">
        <f t="shared" ref="F189:F209" si="49">E189*D189</f>
        <v>1816</v>
      </c>
      <c r="G189" s="7">
        <v>2.5461</v>
      </c>
      <c r="H189" s="7">
        <f t="shared" ref="H189:H209" si="50">E189*G189</f>
        <v>1155.9294</v>
      </c>
      <c r="I189" s="7">
        <f t="shared" ref="I189:I209" si="51">H189*D189</f>
        <v>4623.7175999999999</v>
      </c>
      <c r="J189" s="5">
        <f t="shared" ref="J189:J209" si="52">J188+I189</f>
        <v>7656.1226999999999</v>
      </c>
    </row>
    <row r="190" spans="1:16" x14ac:dyDescent="0.25">
      <c r="B190" s="17">
        <v>46057</v>
      </c>
      <c r="C190" s="18" t="s">
        <v>189</v>
      </c>
      <c r="D190" s="18">
        <v>4</v>
      </c>
      <c r="E190" s="18">
        <v>450</v>
      </c>
      <c r="F190" s="7">
        <f t="shared" si="49"/>
        <v>1800</v>
      </c>
      <c r="G190" s="7">
        <v>2.5461</v>
      </c>
      <c r="H190" s="7">
        <f t="shared" si="50"/>
        <v>1145.7450000000001</v>
      </c>
      <c r="I190" s="7">
        <f t="shared" si="51"/>
        <v>4582.9800000000005</v>
      </c>
      <c r="J190" s="5">
        <f t="shared" si="52"/>
        <v>12239.102699999999</v>
      </c>
    </row>
    <row r="191" spans="1:16" x14ac:dyDescent="0.25">
      <c r="B191" s="17">
        <v>46058</v>
      </c>
      <c r="C191" s="18" t="s">
        <v>190</v>
      </c>
      <c r="D191" s="18">
        <v>50</v>
      </c>
      <c r="E191" s="18">
        <v>397</v>
      </c>
      <c r="F191" s="7">
        <f t="shared" si="49"/>
        <v>19850</v>
      </c>
      <c r="G191" s="7">
        <v>2.5461</v>
      </c>
      <c r="H191" s="7">
        <f t="shared" si="50"/>
        <v>1010.8017</v>
      </c>
      <c r="I191" s="7">
        <f t="shared" si="51"/>
        <v>50540.084999999999</v>
      </c>
      <c r="J191" s="5">
        <f t="shared" si="52"/>
        <v>62779.187699999995</v>
      </c>
    </row>
    <row r="192" spans="1:16" x14ac:dyDescent="0.25">
      <c r="B192" s="17">
        <v>46059</v>
      </c>
      <c r="C192" s="18" t="s">
        <v>188</v>
      </c>
      <c r="D192" s="18">
        <v>2</v>
      </c>
      <c r="E192" s="18">
        <v>450</v>
      </c>
      <c r="F192" s="7">
        <f t="shared" si="49"/>
        <v>900</v>
      </c>
      <c r="G192" s="7">
        <v>2.5461</v>
      </c>
      <c r="H192" s="7">
        <f t="shared" si="50"/>
        <v>1145.7450000000001</v>
      </c>
      <c r="I192" s="7">
        <f t="shared" si="51"/>
        <v>2291.4900000000002</v>
      </c>
      <c r="J192" s="5">
        <f t="shared" si="52"/>
        <v>65070.677699999993</v>
      </c>
    </row>
    <row r="193" spans="2:10" x14ac:dyDescent="0.25">
      <c r="B193" s="17">
        <v>46066</v>
      </c>
      <c r="C193" s="18" t="s">
        <v>191</v>
      </c>
      <c r="D193" s="18">
        <v>1</v>
      </c>
      <c r="E193" s="18">
        <v>2949</v>
      </c>
      <c r="F193" s="7">
        <f t="shared" si="49"/>
        <v>2949</v>
      </c>
      <c r="G193" s="7">
        <v>2.5461</v>
      </c>
      <c r="H193" s="7">
        <f t="shared" si="50"/>
        <v>7508.4489000000003</v>
      </c>
      <c r="I193" s="7">
        <f t="shared" si="51"/>
        <v>7508.4489000000003</v>
      </c>
      <c r="J193" s="5">
        <f t="shared" si="52"/>
        <v>72579.126599999989</v>
      </c>
    </row>
    <row r="194" spans="2:10" x14ac:dyDescent="0.25">
      <c r="B194" s="17">
        <v>46066</v>
      </c>
      <c r="C194" s="18" t="s">
        <v>192</v>
      </c>
      <c r="D194" s="18">
        <v>1</v>
      </c>
      <c r="E194" s="18">
        <v>0</v>
      </c>
      <c r="F194" s="7">
        <f t="shared" si="49"/>
        <v>0</v>
      </c>
      <c r="G194" s="7">
        <v>2.5461</v>
      </c>
      <c r="H194" s="7">
        <f t="shared" si="50"/>
        <v>0</v>
      </c>
      <c r="I194" s="7">
        <f t="shared" si="51"/>
        <v>0</v>
      </c>
      <c r="J194" s="5">
        <f t="shared" si="52"/>
        <v>72579.126599999989</v>
      </c>
    </row>
    <row r="195" spans="2:10" x14ac:dyDescent="0.25">
      <c r="B195" s="17">
        <v>46066</v>
      </c>
      <c r="C195" s="18" t="s">
        <v>193</v>
      </c>
      <c r="D195" s="18">
        <v>1</v>
      </c>
      <c r="E195" s="18">
        <v>4400</v>
      </c>
      <c r="F195" s="7">
        <f t="shared" si="49"/>
        <v>4400</v>
      </c>
      <c r="G195" s="7">
        <v>2.5461</v>
      </c>
      <c r="H195" s="7">
        <f t="shared" si="50"/>
        <v>11202.84</v>
      </c>
      <c r="I195" s="7">
        <f t="shared" si="51"/>
        <v>11202.84</v>
      </c>
      <c r="J195" s="5">
        <f t="shared" si="52"/>
        <v>83781.966599999985</v>
      </c>
    </row>
    <row r="196" spans="2:10" x14ac:dyDescent="0.25">
      <c r="B196" s="17">
        <v>46066</v>
      </c>
      <c r="C196" s="18" t="s">
        <v>194</v>
      </c>
      <c r="D196" s="18">
        <v>1</v>
      </c>
      <c r="E196" s="18">
        <v>3300</v>
      </c>
      <c r="F196" s="7">
        <f t="shared" si="49"/>
        <v>3300</v>
      </c>
      <c r="G196" s="7">
        <v>2.5461</v>
      </c>
      <c r="H196" s="7">
        <f t="shared" si="50"/>
        <v>8402.1299999999992</v>
      </c>
      <c r="I196" s="7">
        <f t="shared" si="51"/>
        <v>8402.1299999999992</v>
      </c>
      <c r="J196" s="5">
        <f t="shared" si="52"/>
        <v>92184.09659999999</v>
      </c>
    </row>
    <row r="197" spans="2:10" x14ac:dyDescent="0.25">
      <c r="B197" s="17">
        <v>46066</v>
      </c>
      <c r="C197" s="18" t="s">
        <v>195</v>
      </c>
      <c r="D197" s="18">
        <v>2</v>
      </c>
      <c r="E197" s="18">
        <v>1400</v>
      </c>
      <c r="F197" s="7">
        <f t="shared" si="49"/>
        <v>2800</v>
      </c>
      <c r="G197" s="7">
        <v>2.5461</v>
      </c>
      <c r="H197" s="7">
        <f t="shared" si="50"/>
        <v>3564.54</v>
      </c>
      <c r="I197" s="7">
        <f t="shared" si="51"/>
        <v>7129.08</v>
      </c>
      <c r="J197" s="5">
        <f t="shared" si="52"/>
        <v>99313.176599999992</v>
      </c>
    </row>
    <row r="198" spans="2:10" x14ac:dyDescent="0.25">
      <c r="B198" s="17">
        <v>46066</v>
      </c>
      <c r="C198" s="18" t="s">
        <v>196</v>
      </c>
      <c r="D198" s="18">
        <v>3</v>
      </c>
      <c r="E198" s="18">
        <v>520</v>
      </c>
      <c r="F198" s="7">
        <f t="shared" si="49"/>
        <v>1560</v>
      </c>
      <c r="G198" s="7">
        <v>2.5461</v>
      </c>
      <c r="H198" s="7">
        <f t="shared" si="50"/>
        <v>1323.972</v>
      </c>
      <c r="I198" s="7">
        <f t="shared" si="51"/>
        <v>3971.9160000000002</v>
      </c>
      <c r="J198" s="5">
        <f t="shared" si="52"/>
        <v>103285.09259999999</v>
      </c>
    </row>
    <row r="199" spans="2:10" x14ac:dyDescent="0.25">
      <c r="B199" s="17">
        <v>46066</v>
      </c>
      <c r="C199" s="18" t="s">
        <v>197</v>
      </c>
      <c r="D199" s="18">
        <v>1</v>
      </c>
      <c r="E199" s="18">
        <v>1299</v>
      </c>
      <c r="F199" s="7">
        <f t="shared" si="49"/>
        <v>1299</v>
      </c>
      <c r="G199" s="7">
        <v>2.5461</v>
      </c>
      <c r="H199" s="7">
        <f t="shared" si="50"/>
        <v>3307.3838999999998</v>
      </c>
      <c r="I199" s="7">
        <f t="shared" si="51"/>
        <v>3307.3838999999998</v>
      </c>
      <c r="J199" s="5">
        <f t="shared" si="52"/>
        <v>106592.47649999999</v>
      </c>
    </row>
    <row r="200" spans="2:10" x14ac:dyDescent="0.25">
      <c r="B200" s="17">
        <v>46066</v>
      </c>
      <c r="C200" s="18" t="s">
        <v>198</v>
      </c>
      <c r="D200" s="18">
        <v>5</v>
      </c>
      <c r="E200" s="18">
        <v>30</v>
      </c>
      <c r="F200" s="7">
        <f t="shared" si="49"/>
        <v>150</v>
      </c>
      <c r="G200" s="7">
        <v>2.5461</v>
      </c>
      <c r="H200" s="7">
        <f t="shared" si="50"/>
        <v>76.382999999999996</v>
      </c>
      <c r="I200" s="7">
        <f t="shared" si="51"/>
        <v>381.91499999999996</v>
      </c>
      <c r="J200" s="5">
        <f t="shared" si="52"/>
        <v>106974.39149999998</v>
      </c>
    </row>
    <row r="201" spans="2:10" x14ac:dyDescent="0.25">
      <c r="B201" s="17">
        <v>46073</v>
      </c>
      <c r="C201" s="18" t="s">
        <v>199</v>
      </c>
      <c r="D201" s="18">
        <v>80</v>
      </c>
      <c r="E201" s="18">
        <v>400</v>
      </c>
      <c r="F201" s="7">
        <f t="shared" si="49"/>
        <v>32000</v>
      </c>
      <c r="G201" s="7">
        <v>2.5461</v>
      </c>
      <c r="H201" s="7">
        <f t="shared" si="50"/>
        <v>1018.44</v>
      </c>
      <c r="I201" s="7">
        <f t="shared" si="51"/>
        <v>81475.200000000012</v>
      </c>
      <c r="J201" s="5">
        <f t="shared" si="52"/>
        <v>188449.59149999998</v>
      </c>
    </row>
    <row r="202" spans="2:10" x14ac:dyDescent="0.25">
      <c r="B202" s="17">
        <v>46072</v>
      </c>
      <c r="C202" s="18" t="s">
        <v>200</v>
      </c>
      <c r="D202" s="18">
        <v>60</v>
      </c>
      <c r="E202" s="18">
        <v>400</v>
      </c>
      <c r="F202" s="7">
        <f t="shared" si="49"/>
        <v>24000</v>
      </c>
      <c r="G202" s="7">
        <v>2.5461</v>
      </c>
      <c r="H202" s="7">
        <f t="shared" si="50"/>
        <v>1018.44</v>
      </c>
      <c r="I202" s="7">
        <f t="shared" si="51"/>
        <v>61106.400000000001</v>
      </c>
      <c r="J202" s="5">
        <f t="shared" si="52"/>
        <v>249555.99149999997</v>
      </c>
    </row>
    <row r="203" spans="2:10" x14ac:dyDescent="0.25">
      <c r="B203" s="8">
        <v>46074</v>
      </c>
      <c r="C203" s="9" t="s">
        <v>81</v>
      </c>
      <c r="D203" s="9">
        <v>10</v>
      </c>
      <c r="E203" s="9">
        <v>2100</v>
      </c>
      <c r="F203" s="11">
        <f t="shared" si="49"/>
        <v>21000</v>
      </c>
      <c r="G203" s="11">
        <v>2.5461</v>
      </c>
      <c r="H203" s="11">
        <f t="shared" si="50"/>
        <v>5346.81</v>
      </c>
      <c r="I203" s="11">
        <f t="shared" si="51"/>
        <v>53468.100000000006</v>
      </c>
      <c r="J203" s="9">
        <f t="shared" si="52"/>
        <v>303024.09149999998</v>
      </c>
    </row>
    <row r="204" spans="2:10" x14ac:dyDescent="0.25">
      <c r="B204" s="17">
        <v>46074</v>
      </c>
      <c r="C204" s="18" t="s">
        <v>201</v>
      </c>
      <c r="D204" s="18">
        <v>4</v>
      </c>
      <c r="E204" s="18">
        <v>450</v>
      </c>
      <c r="F204" s="7">
        <f t="shared" si="49"/>
        <v>1800</v>
      </c>
      <c r="G204" s="7">
        <v>2.5461</v>
      </c>
      <c r="H204" s="7">
        <f t="shared" si="50"/>
        <v>1145.7450000000001</v>
      </c>
      <c r="I204" s="7">
        <f t="shared" si="51"/>
        <v>4582.9800000000005</v>
      </c>
      <c r="J204" s="5">
        <f t="shared" si="52"/>
        <v>307607.07149999996</v>
      </c>
    </row>
    <row r="205" spans="2:10" x14ac:dyDescent="0.25">
      <c r="B205" s="8">
        <v>46074</v>
      </c>
      <c r="C205" s="9" t="s">
        <v>202</v>
      </c>
      <c r="D205" s="9">
        <v>4</v>
      </c>
      <c r="E205" s="9">
        <v>2099</v>
      </c>
      <c r="F205" s="11">
        <f t="shared" si="49"/>
        <v>8396</v>
      </c>
      <c r="G205" s="11">
        <v>2.5461</v>
      </c>
      <c r="H205" s="11">
        <f t="shared" si="50"/>
        <v>5344.2638999999999</v>
      </c>
      <c r="I205" s="11">
        <f t="shared" si="51"/>
        <v>21377.0556</v>
      </c>
      <c r="J205" s="9">
        <f t="shared" si="52"/>
        <v>328984.12709999998</v>
      </c>
    </row>
    <row r="206" spans="2:10" x14ac:dyDescent="0.25">
      <c r="B206" s="17">
        <v>46074</v>
      </c>
      <c r="C206" s="18" t="s">
        <v>203</v>
      </c>
      <c r="D206" s="18">
        <v>5</v>
      </c>
      <c r="E206" s="18">
        <v>450</v>
      </c>
      <c r="F206" s="7">
        <f t="shared" si="49"/>
        <v>2250</v>
      </c>
      <c r="G206" s="7">
        <v>2.5461</v>
      </c>
      <c r="H206" s="7">
        <f t="shared" si="50"/>
        <v>1145.7450000000001</v>
      </c>
      <c r="I206" s="7">
        <f t="shared" si="51"/>
        <v>5728.7250000000004</v>
      </c>
      <c r="J206" s="5">
        <f t="shared" si="52"/>
        <v>334712.85209999996</v>
      </c>
    </row>
    <row r="207" spans="2:10" x14ac:dyDescent="0.25">
      <c r="B207" s="12">
        <v>46078</v>
      </c>
      <c r="C207" s="13" t="s">
        <v>204</v>
      </c>
      <c r="D207" s="13">
        <v>40</v>
      </c>
      <c r="E207" s="13">
        <v>398</v>
      </c>
      <c r="F207" s="14">
        <f t="shared" si="49"/>
        <v>15920</v>
      </c>
      <c r="G207" s="14">
        <v>2.5461</v>
      </c>
      <c r="H207" s="14">
        <f t="shared" si="50"/>
        <v>1013.3478</v>
      </c>
      <c r="I207" s="14">
        <f t="shared" si="51"/>
        <v>40533.911999999997</v>
      </c>
      <c r="J207" s="13">
        <f t="shared" si="52"/>
        <v>375246.76409999997</v>
      </c>
    </row>
    <row r="208" spans="2:10" x14ac:dyDescent="0.25">
      <c r="B208" s="8">
        <v>46069</v>
      </c>
      <c r="C208" s="9" t="s">
        <v>205</v>
      </c>
      <c r="D208" s="54">
        <v>1</v>
      </c>
      <c r="E208" s="9">
        <v>21250.35</v>
      </c>
      <c r="F208" s="11">
        <f t="shared" si="49"/>
        <v>21250.35</v>
      </c>
      <c r="G208" s="11">
        <v>2.5461</v>
      </c>
      <c r="H208" s="11">
        <f t="shared" si="50"/>
        <v>54105.516134999998</v>
      </c>
      <c r="I208" s="11">
        <f t="shared" si="51"/>
        <v>54105.516134999998</v>
      </c>
      <c r="J208" s="9">
        <f t="shared" si="52"/>
        <v>429352.28023499995</v>
      </c>
    </row>
    <row r="209" spans="1:15" x14ac:dyDescent="0.25">
      <c r="B209" s="55">
        <v>46058</v>
      </c>
      <c r="C209" s="56" t="s">
        <v>206</v>
      </c>
      <c r="D209" s="57">
        <v>1</v>
      </c>
      <c r="E209" s="57">
        <v>20000</v>
      </c>
      <c r="F209" s="7">
        <f t="shared" si="49"/>
        <v>20000</v>
      </c>
      <c r="G209" s="7">
        <v>2.5461</v>
      </c>
      <c r="H209" s="7">
        <f t="shared" si="50"/>
        <v>50922</v>
      </c>
      <c r="I209" s="7">
        <f t="shared" si="51"/>
        <v>50922</v>
      </c>
      <c r="J209" s="5">
        <f t="shared" si="52"/>
        <v>480274.28023499995</v>
      </c>
    </row>
    <row r="210" spans="1:15" x14ac:dyDescent="0.25">
      <c r="B210" s="1"/>
      <c r="C210" s="1"/>
      <c r="D210" s="1"/>
      <c r="E210" s="1"/>
      <c r="F210" s="1"/>
      <c r="G210" s="1"/>
      <c r="H210" s="1"/>
      <c r="I210" s="1"/>
      <c r="J210" s="2"/>
    </row>
    <row r="211" spans="1:15" x14ac:dyDescent="0.25">
      <c r="B211" s="1"/>
      <c r="C211" s="1"/>
      <c r="D211" s="1"/>
      <c r="E211" s="1"/>
      <c r="F211" s="1"/>
      <c r="G211" s="1"/>
      <c r="H211" s="1"/>
      <c r="I211" s="1"/>
      <c r="J211" s="2"/>
    </row>
    <row r="212" spans="1:15" x14ac:dyDescent="0.25">
      <c r="B212" s="1"/>
      <c r="C212" s="1"/>
      <c r="D212" s="1"/>
      <c r="E212" s="1"/>
      <c r="F212" s="1"/>
      <c r="G212" s="1"/>
      <c r="H212" s="1"/>
      <c r="I212" s="1"/>
      <c r="J212" s="2"/>
    </row>
    <row r="213" spans="1:15" x14ac:dyDescent="0.25">
      <c r="B213" s="1"/>
      <c r="C213" s="1"/>
      <c r="D213" s="1"/>
      <c r="E213" s="1"/>
      <c r="F213" s="1"/>
      <c r="G213" s="1"/>
      <c r="H213" s="1"/>
      <c r="I213" s="1"/>
      <c r="J213" s="2"/>
    </row>
    <row r="214" spans="1:15" x14ac:dyDescent="0.25">
      <c r="B214" s="1"/>
      <c r="C214" s="1"/>
      <c r="D214" s="1"/>
      <c r="E214" s="1"/>
      <c r="F214" s="1"/>
      <c r="G214" s="1"/>
      <c r="H214" s="1"/>
      <c r="I214" s="1"/>
      <c r="J214" s="2"/>
    </row>
    <row r="215" spans="1:15" ht="21" x14ac:dyDescent="0.35">
      <c r="A215" t="s">
        <v>0</v>
      </c>
      <c r="B215" s="58" t="s">
        <v>34</v>
      </c>
      <c r="C215" s="58"/>
      <c r="D215" s="58"/>
      <c r="E215" s="58"/>
      <c r="F215" s="58"/>
      <c r="G215" s="58"/>
      <c r="H215" s="58"/>
      <c r="I215" s="58"/>
      <c r="J215" s="58"/>
    </row>
    <row r="216" spans="1:15" ht="18.75" x14ac:dyDescent="0.3">
      <c r="A216" t="s">
        <v>2</v>
      </c>
      <c r="B216" s="3" t="s">
        <v>3</v>
      </c>
      <c r="C216" s="3" t="s">
        <v>4</v>
      </c>
      <c r="D216" s="3" t="s">
        <v>5</v>
      </c>
      <c r="E216" s="3" t="s">
        <v>6</v>
      </c>
      <c r="F216" s="3" t="s">
        <v>7</v>
      </c>
      <c r="G216" s="3" t="s">
        <v>8</v>
      </c>
      <c r="H216" s="3" t="s">
        <v>9</v>
      </c>
      <c r="I216" s="3" t="s">
        <v>10</v>
      </c>
      <c r="J216" s="3"/>
    </row>
    <row r="217" spans="1:15" x14ac:dyDescent="0.25">
      <c r="B217" s="12">
        <v>46071</v>
      </c>
      <c r="C217" s="13" t="s">
        <v>207</v>
      </c>
      <c r="D217" s="13">
        <v>3</v>
      </c>
      <c r="E217" s="13">
        <v>1449</v>
      </c>
      <c r="F217" s="7">
        <f>E217*D217</f>
        <v>4347</v>
      </c>
      <c r="G217" s="7">
        <v>2.13</v>
      </c>
      <c r="H217" s="7">
        <f>E217*G217</f>
        <v>3086.37</v>
      </c>
      <c r="I217" s="7">
        <f>H217*D217</f>
        <v>9259.11</v>
      </c>
      <c r="J217" s="5">
        <f>J216+I217</f>
        <v>9259.11</v>
      </c>
    </row>
    <row r="218" spans="1:15" x14ac:dyDescent="0.25">
      <c r="B218" s="7"/>
      <c r="C218" s="7"/>
      <c r="D218" s="7"/>
      <c r="E218" s="7"/>
      <c r="F218" s="7">
        <f t="shared" ref="F218:F219" si="53">E218*D218</f>
        <v>0</v>
      </c>
      <c r="G218" s="7"/>
      <c r="H218" s="7">
        <f t="shared" ref="H218:H219" si="54">E218*G218</f>
        <v>0</v>
      </c>
      <c r="I218" s="7">
        <f t="shared" ref="I218:I219" si="55">H218*D218</f>
        <v>0</v>
      </c>
      <c r="J218" s="5">
        <f t="shared" ref="J218:J219" si="56">J217+I218</f>
        <v>9259.11</v>
      </c>
    </row>
    <row r="219" spans="1:15" x14ac:dyDescent="0.25">
      <c r="B219" s="7"/>
      <c r="C219" s="7"/>
      <c r="D219" s="7"/>
      <c r="E219" s="7"/>
      <c r="F219" s="7">
        <f t="shared" si="53"/>
        <v>0</v>
      </c>
      <c r="G219" s="7"/>
      <c r="H219" s="7">
        <f t="shared" si="54"/>
        <v>0</v>
      </c>
      <c r="I219" s="7">
        <f t="shared" si="55"/>
        <v>0</v>
      </c>
      <c r="J219" s="5">
        <f t="shared" si="56"/>
        <v>9259.11</v>
      </c>
    </row>
    <row r="220" spans="1:15" x14ac:dyDescent="0.25">
      <c r="B220" s="1"/>
      <c r="C220" s="1"/>
      <c r="D220" s="1"/>
      <c r="E220" s="1"/>
      <c r="F220" s="1"/>
      <c r="G220" s="1"/>
      <c r="H220" s="1"/>
      <c r="I220" s="1"/>
      <c r="J220" s="2"/>
    </row>
    <row r="221" spans="1:15" x14ac:dyDescent="0.25">
      <c r="B221" s="1"/>
      <c r="C221" s="1"/>
      <c r="D221" s="1"/>
      <c r="E221" s="1"/>
      <c r="F221" s="1"/>
      <c r="G221" s="1"/>
      <c r="H221" s="1"/>
      <c r="I221" s="1"/>
      <c r="J221" s="2"/>
    </row>
    <row r="222" spans="1:15" x14ac:dyDescent="0.25">
      <c r="B222" s="1"/>
      <c r="C222" s="1"/>
      <c r="D222" s="1"/>
      <c r="E222" s="1"/>
      <c r="F222" s="1"/>
      <c r="G222" s="1"/>
      <c r="H222" s="1"/>
      <c r="I222" s="1"/>
      <c r="J222" s="2"/>
    </row>
    <row r="223" spans="1:15" ht="21" x14ac:dyDescent="0.35">
      <c r="A223" t="s">
        <v>0</v>
      </c>
      <c r="B223" s="59" t="s">
        <v>1</v>
      </c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</row>
    <row r="224" spans="1:15" ht="18.75" x14ac:dyDescent="0.3">
      <c r="A224" t="s">
        <v>2</v>
      </c>
      <c r="B224" s="22" t="s">
        <v>3</v>
      </c>
      <c r="C224" s="22" t="s">
        <v>4</v>
      </c>
      <c r="D224" s="22" t="s">
        <v>60</v>
      </c>
      <c r="E224" s="22" t="s">
        <v>61</v>
      </c>
      <c r="F224" s="22" t="s">
        <v>5</v>
      </c>
      <c r="G224" s="22" t="s">
        <v>62</v>
      </c>
      <c r="H224" s="22" t="s">
        <v>63</v>
      </c>
      <c r="I224" s="22" t="s">
        <v>64</v>
      </c>
      <c r="J224" s="22" t="s">
        <v>65</v>
      </c>
      <c r="K224" s="22" t="s">
        <v>66</v>
      </c>
      <c r="L224" s="22" t="s">
        <v>67</v>
      </c>
      <c r="M224" s="22" t="s">
        <v>68</v>
      </c>
      <c r="N224" s="22" t="s">
        <v>10</v>
      </c>
      <c r="O224" s="23"/>
    </row>
    <row r="225" spans="2:15" x14ac:dyDescent="0.25">
      <c r="B225" s="17">
        <v>46047</v>
      </c>
      <c r="C225" s="18" t="s">
        <v>208</v>
      </c>
      <c r="D225" s="20"/>
      <c r="E225" s="20"/>
      <c r="F225" s="20">
        <v>2</v>
      </c>
      <c r="G225" s="18">
        <v>1497</v>
      </c>
      <c r="H225" s="20">
        <v>10</v>
      </c>
      <c r="I225" s="7">
        <f>G225*H225%</f>
        <v>149.70000000000002</v>
      </c>
      <c r="J225" s="5">
        <f>G225-I225</f>
        <v>1347.3</v>
      </c>
      <c r="K225" s="5">
        <f>F225*J225</f>
        <v>2694.6</v>
      </c>
      <c r="L225" s="5">
        <v>2.33</v>
      </c>
      <c r="M225" s="5">
        <f>J225*L225</f>
        <v>3139.2089999999998</v>
      </c>
      <c r="N225" s="5">
        <f>F225*M225</f>
        <v>6278.4179999999997</v>
      </c>
      <c r="O225" s="5">
        <f>O224+N225</f>
        <v>6278.4179999999997</v>
      </c>
    </row>
    <row r="226" spans="2:15" x14ac:dyDescent="0.25">
      <c r="B226" s="7"/>
      <c r="C226" s="7"/>
      <c r="D226" s="7"/>
      <c r="E226" s="7"/>
      <c r="F226" s="7"/>
      <c r="G226" s="7"/>
      <c r="H226" s="7"/>
      <c r="I226" s="7">
        <f t="shared" ref="I226" si="57">G226*H226%</f>
        <v>0</v>
      </c>
      <c r="J226" s="5">
        <f t="shared" ref="J226" si="58">G226-I226</f>
        <v>0</v>
      </c>
      <c r="K226" s="5">
        <f t="shared" ref="K226" si="59">F226*J226</f>
        <v>0</v>
      </c>
      <c r="L226" s="5"/>
      <c r="M226" s="5">
        <f t="shared" ref="M226" si="60">J226*L226</f>
        <v>0</v>
      </c>
      <c r="N226" s="5">
        <f t="shared" ref="N226" si="61">F226*M226</f>
        <v>0</v>
      </c>
      <c r="O226" s="5">
        <f t="shared" ref="O226" si="62">O225+N226</f>
        <v>6278.4179999999997</v>
      </c>
    </row>
  </sheetData>
  <mergeCells count="14">
    <mergeCell ref="B186:J186"/>
    <mergeCell ref="B215:J215"/>
    <mergeCell ref="B223:O223"/>
    <mergeCell ref="B176:O176"/>
    <mergeCell ref="B2:J2"/>
    <mergeCell ref="B17:J17"/>
    <mergeCell ref="B34:J34"/>
    <mergeCell ref="B49:J49"/>
    <mergeCell ref="B58:J58"/>
    <mergeCell ref="B144:J144"/>
    <mergeCell ref="B80:J80"/>
    <mergeCell ref="B91:O91"/>
    <mergeCell ref="B117:J117"/>
    <mergeCell ref="B156:J1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EC9C-DF80-4147-991B-3BD7ABB00BDA}">
  <dimension ref="B2:J127"/>
  <sheetViews>
    <sheetView topLeftCell="A8" workbookViewId="0">
      <selection activeCell="E23" sqref="E23"/>
    </sheetView>
  </sheetViews>
  <sheetFormatPr defaultRowHeight="15" x14ac:dyDescent="0.25"/>
  <cols>
    <col min="2" max="2" width="12.28515625" customWidth="1"/>
    <col min="3" max="3" width="40.140625" customWidth="1"/>
    <col min="4" max="4" width="19.42578125" customWidth="1"/>
    <col min="5" max="5" width="21.140625" customWidth="1"/>
    <col min="6" max="6" width="26.7109375" customWidth="1"/>
    <col min="7" max="7" width="12.42578125" customWidth="1"/>
    <col min="8" max="8" width="14.28515625" customWidth="1"/>
  </cols>
  <sheetData>
    <row r="2" spans="2:10" x14ac:dyDescent="0.25">
      <c r="B2" s="12">
        <v>46010</v>
      </c>
      <c r="C2" s="13" t="s">
        <v>51</v>
      </c>
      <c r="D2" s="14">
        <v>20</v>
      </c>
      <c r="E2" s="13">
        <v>765</v>
      </c>
      <c r="F2" s="14">
        <f t="shared" ref="F2:F3" si="0">E2*D2</f>
        <v>15300</v>
      </c>
      <c r="G2" s="14">
        <v>2.3940000000000001</v>
      </c>
      <c r="H2" s="14">
        <f t="shared" ref="H2:H3" si="1">E2*G2</f>
        <v>1831.41</v>
      </c>
      <c r="I2" s="14">
        <f t="shared" ref="I2:I3" si="2">H2*D2</f>
        <v>36628.200000000004</v>
      </c>
      <c r="J2" s="13">
        <f t="shared" ref="J2:J3" si="3">J1+I2</f>
        <v>36628.200000000004</v>
      </c>
    </row>
    <row r="3" spans="2:10" x14ac:dyDescent="0.25">
      <c r="B3" s="17">
        <v>46017</v>
      </c>
      <c r="C3" s="18" t="s">
        <v>52</v>
      </c>
      <c r="D3" s="18">
        <v>3</v>
      </c>
      <c r="E3" s="21">
        <v>779</v>
      </c>
      <c r="F3" s="7">
        <f t="shared" si="0"/>
        <v>2337</v>
      </c>
      <c r="G3" s="7">
        <v>2.4060000000000001</v>
      </c>
      <c r="H3" s="7">
        <f t="shared" si="1"/>
        <v>1874.2740000000001</v>
      </c>
      <c r="I3" s="7">
        <f t="shared" si="2"/>
        <v>5622.8220000000001</v>
      </c>
      <c r="J3" s="5">
        <f t="shared" si="3"/>
        <v>42251.022000000004</v>
      </c>
    </row>
    <row r="4" spans="2:10" x14ac:dyDescent="0.25">
      <c r="B4" s="5"/>
      <c r="C4" s="5" t="s">
        <v>53</v>
      </c>
      <c r="D4" s="5">
        <v>7</v>
      </c>
      <c r="E4" s="5"/>
      <c r="F4" s="5"/>
      <c r="G4" s="5"/>
      <c r="H4" s="5">
        <v>1847.66</v>
      </c>
      <c r="I4" s="5"/>
      <c r="J4" s="5">
        <f>H4*D4</f>
        <v>12933.62</v>
      </c>
    </row>
    <row r="5" spans="2:10" x14ac:dyDescent="0.25">
      <c r="B5" s="5"/>
      <c r="C5" s="5" t="s">
        <v>54</v>
      </c>
      <c r="D5" s="5">
        <v>2</v>
      </c>
      <c r="E5" s="5"/>
      <c r="F5" s="5"/>
      <c r="G5" s="5"/>
      <c r="H5" s="5">
        <v>2339</v>
      </c>
      <c r="I5" s="5"/>
      <c r="J5" s="5">
        <f t="shared" ref="J5:J6" si="4">H5*D5</f>
        <v>4678</v>
      </c>
    </row>
    <row r="6" spans="2:10" x14ac:dyDescent="0.25">
      <c r="B6" s="5"/>
      <c r="C6" s="5" t="s">
        <v>55</v>
      </c>
      <c r="D6" s="5">
        <v>4</v>
      </c>
      <c r="E6" s="5"/>
      <c r="F6" s="5"/>
      <c r="G6" s="5"/>
      <c r="H6" s="5">
        <v>2197</v>
      </c>
      <c r="I6" s="5"/>
      <c r="J6" s="5">
        <f t="shared" si="4"/>
        <v>8788</v>
      </c>
    </row>
    <row r="15" spans="2:10" ht="15.75" thickBot="1" x14ac:dyDescent="0.3"/>
    <row r="16" spans="2:10" ht="15.75" thickBot="1" x14ac:dyDescent="0.3">
      <c r="B16" s="60" t="s">
        <v>3</v>
      </c>
      <c r="C16" s="61"/>
      <c r="D16" s="46" t="s">
        <v>122</v>
      </c>
      <c r="E16" s="47"/>
      <c r="F16" s="47"/>
    </row>
    <row r="17" spans="2:6" ht="15.75" thickBot="1" x14ac:dyDescent="0.3">
      <c r="B17" s="62" t="s">
        <v>105</v>
      </c>
      <c r="C17" s="63"/>
      <c r="D17" s="48" t="s">
        <v>123</v>
      </c>
      <c r="E17" s="49"/>
      <c r="F17" s="49"/>
    </row>
    <row r="18" spans="2:6" ht="15.75" thickBot="1" x14ac:dyDescent="0.3">
      <c r="B18" s="50">
        <v>1</v>
      </c>
      <c r="C18" s="51" t="s">
        <v>124</v>
      </c>
      <c r="D18" s="51" t="s">
        <v>125</v>
      </c>
      <c r="E18" s="51" t="s">
        <v>126</v>
      </c>
      <c r="F18" s="52">
        <v>357311288544547</v>
      </c>
    </row>
    <row r="19" spans="2:6" ht="15.75" thickBot="1" x14ac:dyDescent="0.3">
      <c r="B19" s="50">
        <v>2</v>
      </c>
      <c r="C19" s="51" t="s">
        <v>124</v>
      </c>
      <c r="D19" s="51" t="s">
        <v>125</v>
      </c>
      <c r="E19" s="51" t="s">
        <v>126</v>
      </c>
      <c r="F19" s="52">
        <v>356722731048954</v>
      </c>
    </row>
    <row r="20" spans="2:6" ht="15.75" thickBot="1" x14ac:dyDescent="0.3">
      <c r="B20" s="50">
        <v>3</v>
      </c>
      <c r="C20" s="51" t="s">
        <v>124</v>
      </c>
      <c r="D20" s="51" t="s">
        <v>125</v>
      </c>
      <c r="E20" s="51" t="s">
        <v>126</v>
      </c>
      <c r="F20" s="52">
        <v>356722732436992</v>
      </c>
    </row>
    <row r="21" spans="2:6" ht="15.75" thickBot="1" x14ac:dyDescent="0.3">
      <c r="B21" s="50">
        <v>4</v>
      </c>
      <c r="C21" s="51" t="s">
        <v>124</v>
      </c>
      <c r="D21" s="51" t="s">
        <v>125</v>
      </c>
      <c r="E21" s="51" t="s">
        <v>126</v>
      </c>
      <c r="F21" s="52">
        <v>356722731228671</v>
      </c>
    </row>
    <row r="22" spans="2:6" ht="15.75" thickBot="1" x14ac:dyDescent="0.3">
      <c r="B22" s="50">
        <v>5</v>
      </c>
      <c r="C22" s="51" t="s">
        <v>124</v>
      </c>
      <c r="D22" s="51" t="s">
        <v>125</v>
      </c>
      <c r="E22" s="51" t="s">
        <v>126</v>
      </c>
      <c r="F22" s="52">
        <v>352758408372867</v>
      </c>
    </row>
    <row r="23" spans="2:6" ht="15.75" thickBot="1" x14ac:dyDescent="0.3">
      <c r="B23" s="50">
        <v>6</v>
      </c>
      <c r="C23" s="51" t="s">
        <v>124</v>
      </c>
      <c r="D23" s="51" t="s">
        <v>125</v>
      </c>
      <c r="E23" s="51" t="s">
        <v>126</v>
      </c>
      <c r="F23" s="52">
        <v>356722732318984</v>
      </c>
    </row>
    <row r="24" spans="2:6" ht="15.75" thickBot="1" x14ac:dyDescent="0.3">
      <c r="B24" s="50">
        <v>7</v>
      </c>
      <c r="C24" s="51" t="s">
        <v>124</v>
      </c>
      <c r="D24" s="51" t="s">
        <v>125</v>
      </c>
      <c r="E24" s="51" t="s">
        <v>126</v>
      </c>
      <c r="F24" s="52">
        <v>356722732122964</v>
      </c>
    </row>
    <row r="25" spans="2:6" ht="15.75" thickBot="1" x14ac:dyDescent="0.3">
      <c r="B25" s="50">
        <v>8</v>
      </c>
      <c r="C25" s="51" t="s">
        <v>124</v>
      </c>
      <c r="D25" s="51" t="s">
        <v>125</v>
      </c>
      <c r="E25" s="51" t="s">
        <v>126</v>
      </c>
      <c r="F25" s="52">
        <v>356722732492409</v>
      </c>
    </row>
    <row r="26" spans="2:6" ht="15.75" thickBot="1" x14ac:dyDescent="0.3">
      <c r="B26" s="50">
        <v>9</v>
      </c>
      <c r="C26" s="51" t="s">
        <v>124</v>
      </c>
      <c r="D26" s="51" t="s">
        <v>127</v>
      </c>
      <c r="E26" s="51" t="s">
        <v>126</v>
      </c>
      <c r="F26" s="52">
        <v>357903256189915</v>
      </c>
    </row>
    <row r="27" spans="2:6" ht="15.75" thickBot="1" x14ac:dyDescent="0.3">
      <c r="B27" s="50">
        <v>10</v>
      </c>
      <c r="C27" s="51" t="s">
        <v>124</v>
      </c>
      <c r="D27" s="51" t="s">
        <v>127</v>
      </c>
      <c r="E27" s="51" t="s">
        <v>126</v>
      </c>
      <c r="F27" s="52">
        <v>351784399117633</v>
      </c>
    </row>
    <row r="28" spans="2:6" ht="15.75" thickBot="1" x14ac:dyDescent="0.3">
      <c r="B28" s="50">
        <v>11</v>
      </c>
      <c r="C28" s="51" t="s">
        <v>124</v>
      </c>
      <c r="D28" s="51" t="s">
        <v>127</v>
      </c>
      <c r="E28" s="51" t="s">
        <v>126</v>
      </c>
      <c r="F28" s="52">
        <v>356722738091312</v>
      </c>
    </row>
    <row r="29" spans="2:6" ht="15.75" thickBot="1" x14ac:dyDescent="0.3">
      <c r="B29" s="50">
        <v>12</v>
      </c>
      <c r="C29" s="51" t="s">
        <v>124</v>
      </c>
      <c r="D29" s="51" t="s">
        <v>127</v>
      </c>
      <c r="E29" s="51" t="s">
        <v>126</v>
      </c>
      <c r="F29" s="52">
        <v>356722737664176</v>
      </c>
    </row>
    <row r="30" spans="2:6" ht="15.75" thickBot="1" x14ac:dyDescent="0.3">
      <c r="B30" s="50">
        <v>13</v>
      </c>
      <c r="C30" s="51" t="s">
        <v>124</v>
      </c>
      <c r="D30" s="51" t="s">
        <v>127</v>
      </c>
      <c r="E30" s="51" t="s">
        <v>126</v>
      </c>
      <c r="F30" s="52">
        <v>351784398989180</v>
      </c>
    </row>
    <row r="31" spans="2:6" ht="15.75" thickBot="1" x14ac:dyDescent="0.3">
      <c r="B31" s="50">
        <v>14</v>
      </c>
      <c r="C31" s="51" t="s">
        <v>124</v>
      </c>
      <c r="D31" s="51" t="s">
        <v>127</v>
      </c>
      <c r="E31" s="51" t="s">
        <v>126</v>
      </c>
      <c r="F31" s="52">
        <v>351784398960173</v>
      </c>
    </row>
    <row r="32" spans="2:6" ht="15.75" thickBot="1" x14ac:dyDescent="0.3">
      <c r="B32" s="50">
        <v>15</v>
      </c>
      <c r="C32" s="51" t="s">
        <v>124</v>
      </c>
      <c r="D32" s="51" t="s">
        <v>127</v>
      </c>
      <c r="E32" s="51" t="s">
        <v>126</v>
      </c>
      <c r="F32" s="52">
        <v>356722738052967</v>
      </c>
    </row>
    <row r="33" spans="2:6" ht="15.75" thickBot="1" x14ac:dyDescent="0.3">
      <c r="B33" s="50">
        <v>16</v>
      </c>
      <c r="C33" s="51" t="s">
        <v>124</v>
      </c>
      <c r="D33" s="51" t="s">
        <v>127</v>
      </c>
      <c r="E33" s="51" t="s">
        <v>126</v>
      </c>
      <c r="F33" s="52">
        <v>351784398944524</v>
      </c>
    </row>
    <row r="34" spans="2:6" ht="15.75" thickBot="1" x14ac:dyDescent="0.3">
      <c r="B34" s="50">
        <v>17</v>
      </c>
      <c r="C34" s="51" t="s">
        <v>124</v>
      </c>
      <c r="D34" s="51" t="s">
        <v>127</v>
      </c>
      <c r="E34" s="51" t="s">
        <v>126</v>
      </c>
      <c r="F34" s="52">
        <v>351784399158041</v>
      </c>
    </row>
    <row r="35" spans="2:6" ht="15.75" thickBot="1" x14ac:dyDescent="0.3">
      <c r="B35" s="50">
        <v>18</v>
      </c>
      <c r="C35" s="51" t="s">
        <v>124</v>
      </c>
      <c r="D35" s="51" t="s">
        <v>127</v>
      </c>
      <c r="E35" s="51" t="s">
        <v>126</v>
      </c>
      <c r="F35" s="52">
        <v>351784398758668</v>
      </c>
    </row>
    <row r="36" spans="2:6" ht="15.75" thickBot="1" x14ac:dyDescent="0.3">
      <c r="B36" s="50">
        <v>19</v>
      </c>
      <c r="C36" s="51" t="s">
        <v>124</v>
      </c>
      <c r="D36" s="51" t="s">
        <v>127</v>
      </c>
      <c r="E36" s="51" t="s">
        <v>126</v>
      </c>
      <c r="F36" s="52">
        <v>351784398760383</v>
      </c>
    </row>
    <row r="37" spans="2:6" ht="15.75" thickBot="1" x14ac:dyDescent="0.3">
      <c r="B37" s="50">
        <v>20</v>
      </c>
      <c r="C37" s="51" t="s">
        <v>124</v>
      </c>
      <c r="D37" s="51" t="s">
        <v>127</v>
      </c>
      <c r="E37" s="51" t="s">
        <v>126</v>
      </c>
      <c r="F37" s="52">
        <v>351784399238439</v>
      </c>
    </row>
    <row r="38" spans="2:6" ht="15.75" thickBot="1" x14ac:dyDescent="0.3">
      <c r="B38" s="50">
        <v>21</v>
      </c>
      <c r="C38" s="51" t="s">
        <v>124</v>
      </c>
      <c r="D38" s="51" t="s">
        <v>127</v>
      </c>
      <c r="E38" s="51" t="s">
        <v>126</v>
      </c>
      <c r="F38" s="52">
        <v>351784399025976</v>
      </c>
    </row>
    <row r="39" spans="2:6" ht="15.75" thickBot="1" x14ac:dyDescent="0.3">
      <c r="B39" s="50">
        <v>22</v>
      </c>
      <c r="C39" s="51" t="s">
        <v>124</v>
      </c>
      <c r="D39" s="51" t="s">
        <v>127</v>
      </c>
      <c r="E39" s="51" t="s">
        <v>126</v>
      </c>
      <c r="F39" s="52">
        <v>357903256164868</v>
      </c>
    </row>
    <row r="40" spans="2:6" ht="15.75" thickBot="1" x14ac:dyDescent="0.3">
      <c r="B40" s="50">
        <v>23</v>
      </c>
      <c r="C40" s="51" t="s">
        <v>124</v>
      </c>
      <c r="D40" s="51" t="s">
        <v>127</v>
      </c>
      <c r="E40" s="51" t="s">
        <v>126</v>
      </c>
      <c r="F40" s="52">
        <v>357903255981775</v>
      </c>
    </row>
    <row r="41" spans="2:6" ht="15.75" thickBot="1" x14ac:dyDescent="0.3">
      <c r="B41" s="50">
        <v>24</v>
      </c>
      <c r="C41" s="51" t="s">
        <v>124</v>
      </c>
      <c r="D41" s="51" t="s">
        <v>127</v>
      </c>
      <c r="E41" s="51" t="s">
        <v>126</v>
      </c>
      <c r="F41" s="52">
        <v>356722737327212</v>
      </c>
    </row>
    <row r="42" spans="2:6" ht="15.75" thickBot="1" x14ac:dyDescent="0.3">
      <c r="B42" s="50">
        <v>25</v>
      </c>
      <c r="C42" s="51" t="s">
        <v>124</v>
      </c>
      <c r="D42" s="51" t="s">
        <v>127</v>
      </c>
      <c r="E42" s="51" t="s">
        <v>126</v>
      </c>
      <c r="F42" s="52">
        <v>351784398774574</v>
      </c>
    </row>
    <row r="43" spans="2:6" ht="15.75" thickBot="1" x14ac:dyDescent="0.3">
      <c r="B43" s="50">
        <v>26</v>
      </c>
      <c r="C43" s="51" t="s">
        <v>124</v>
      </c>
      <c r="D43" s="51" t="s">
        <v>127</v>
      </c>
      <c r="E43" s="51" t="s">
        <v>126</v>
      </c>
      <c r="F43" s="52">
        <v>356722737436211</v>
      </c>
    </row>
    <row r="44" spans="2:6" ht="15.75" thickBot="1" x14ac:dyDescent="0.3">
      <c r="B44" s="50">
        <v>27</v>
      </c>
      <c r="C44" s="51" t="s">
        <v>124</v>
      </c>
      <c r="D44" s="51" t="s">
        <v>127</v>
      </c>
      <c r="E44" s="51" t="s">
        <v>126</v>
      </c>
      <c r="F44" s="52">
        <v>356722738049112</v>
      </c>
    </row>
    <row r="45" spans="2:6" ht="15.75" thickBot="1" x14ac:dyDescent="0.3">
      <c r="B45" s="50">
        <v>28</v>
      </c>
      <c r="C45" s="51" t="s">
        <v>124</v>
      </c>
      <c r="D45" s="51" t="s">
        <v>127</v>
      </c>
      <c r="E45" s="51" t="s">
        <v>126</v>
      </c>
      <c r="F45" s="52">
        <v>356908918928668</v>
      </c>
    </row>
    <row r="46" spans="2:6" ht="15.75" thickBot="1" x14ac:dyDescent="0.3">
      <c r="B46" s="50">
        <v>29</v>
      </c>
      <c r="C46" s="51" t="s">
        <v>124</v>
      </c>
      <c r="D46" s="51" t="s">
        <v>127</v>
      </c>
      <c r="E46" s="51" t="s">
        <v>126</v>
      </c>
      <c r="F46" s="52">
        <v>356722738173250</v>
      </c>
    </row>
    <row r="47" spans="2:6" ht="15.75" thickBot="1" x14ac:dyDescent="0.3">
      <c r="B47" s="50">
        <v>30</v>
      </c>
      <c r="C47" s="51" t="s">
        <v>124</v>
      </c>
      <c r="D47" s="51" t="s">
        <v>127</v>
      </c>
      <c r="E47" s="51" t="s">
        <v>126</v>
      </c>
      <c r="F47" s="52">
        <v>356722738462760</v>
      </c>
    </row>
    <row r="48" spans="2:6" ht="15.75" thickBot="1" x14ac:dyDescent="0.3">
      <c r="B48" s="50">
        <v>31</v>
      </c>
      <c r="C48" s="51" t="s">
        <v>124</v>
      </c>
      <c r="D48" s="51" t="s">
        <v>127</v>
      </c>
      <c r="E48" s="51" t="s">
        <v>126</v>
      </c>
      <c r="F48" s="52">
        <v>356722738455111</v>
      </c>
    </row>
    <row r="49" spans="2:6" ht="15.75" thickBot="1" x14ac:dyDescent="0.3">
      <c r="B49" s="50">
        <v>32</v>
      </c>
      <c r="C49" s="51" t="s">
        <v>124</v>
      </c>
      <c r="D49" s="51" t="s">
        <v>127</v>
      </c>
      <c r="E49" s="51" t="s">
        <v>126</v>
      </c>
      <c r="F49" s="52">
        <v>356722737557578</v>
      </c>
    </row>
    <row r="50" spans="2:6" ht="15.75" thickBot="1" x14ac:dyDescent="0.3">
      <c r="B50" s="50">
        <v>33</v>
      </c>
      <c r="C50" s="51" t="s">
        <v>124</v>
      </c>
      <c r="D50" s="51" t="s">
        <v>127</v>
      </c>
      <c r="E50" s="51" t="s">
        <v>126</v>
      </c>
      <c r="F50" s="52">
        <v>356722737348721</v>
      </c>
    </row>
    <row r="51" spans="2:6" ht="15.75" thickBot="1" x14ac:dyDescent="0.3">
      <c r="B51" s="50">
        <v>34</v>
      </c>
      <c r="C51" s="51" t="s">
        <v>124</v>
      </c>
      <c r="D51" s="51" t="s">
        <v>127</v>
      </c>
      <c r="E51" s="51" t="s">
        <v>126</v>
      </c>
      <c r="F51" s="52">
        <v>356908918984257</v>
      </c>
    </row>
    <row r="52" spans="2:6" ht="15.75" thickBot="1" x14ac:dyDescent="0.3">
      <c r="B52" s="50">
        <v>35</v>
      </c>
      <c r="C52" s="51" t="s">
        <v>124</v>
      </c>
      <c r="D52" s="51" t="s">
        <v>127</v>
      </c>
      <c r="E52" s="51" t="s">
        <v>126</v>
      </c>
      <c r="F52" s="52">
        <v>351784398999825</v>
      </c>
    </row>
    <row r="53" spans="2:6" ht="15.75" thickBot="1" x14ac:dyDescent="0.3">
      <c r="B53" s="50">
        <v>36</v>
      </c>
      <c r="C53" s="51" t="s">
        <v>124</v>
      </c>
      <c r="D53" s="51" t="s">
        <v>127</v>
      </c>
      <c r="E53" s="51" t="s">
        <v>126</v>
      </c>
      <c r="F53" s="52">
        <v>357739168928176</v>
      </c>
    </row>
    <row r="54" spans="2:6" ht="15.75" thickBot="1" x14ac:dyDescent="0.3">
      <c r="B54" s="50">
        <v>37</v>
      </c>
      <c r="C54" s="51" t="s">
        <v>124</v>
      </c>
      <c r="D54" s="51" t="s">
        <v>127</v>
      </c>
      <c r="E54" s="51" t="s">
        <v>126</v>
      </c>
      <c r="F54" s="52">
        <v>356722738283067</v>
      </c>
    </row>
    <row r="55" spans="2:6" ht="15.75" thickBot="1" x14ac:dyDescent="0.3">
      <c r="B55" s="50">
        <v>38</v>
      </c>
      <c r="C55" s="51" t="s">
        <v>124</v>
      </c>
      <c r="D55" s="51" t="s">
        <v>127</v>
      </c>
      <c r="E55" s="51" t="s">
        <v>126</v>
      </c>
      <c r="F55" s="52">
        <v>357739168891804</v>
      </c>
    </row>
    <row r="56" spans="2:6" ht="15.75" thickBot="1" x14ac:dyDescent="0.3">
      <c r="B56" s="50">
        <v>39</v>
      </c>
      <c r="C56" s="51" t="s">
        <v>124</v>
      </c>
      <c r="D56" s="51" t="s">
        <v>127</v>
      </c>
      <c r="E56" s="51" t="s">
        <v>126</v>
      </c>
      <c r="F56" s="52">
        <v>356722737714245</v>
      </c>
    </row>
    <row r="57" spans="2:6" ht="15.75" thickBot="1" x14ac:dyDescent="0.3">
      <c r="B57" s="50">
        <v>40</v>
      </c>
      <c r="C57" s="51" t="s">
        <v>128</v>
      </c>
      <c r="D57" s="51" t="s">
        <v>129</v>
      </c>
      <c r="E57" s="51" t="s">
        <v>126</v>
      </c>
      <c r="F57" s="52">
        <v>356523761791970</v>
      </c>
    </row>
    <row r="58" spans="2:6" ht="15.75" thickBot="1" x14ac:dyDescent="0.3">
      <c r="B58" s="50">
        <v>41</v>
      </c>
      <c r="C58" s="51" t="s">
        <v>128</v>
      </c>
      <c r="D58" s="51" t="s">
        <v>129</v>
      </c>
      <c r="E58" s="51" t="s">
        <v>126</v>
      </c>
      <c r="F58" s="52">
        <v>358258282013129</v>
      </c>
    </row>
    <row r="59" spans="2:6" ht="15.75" thickBot="1" x14ac:dyDescent="0.3">
      <c r="B59" s="50">
        <v>42</v>
      </c>
      <c r="C59" s="51" t="s">
        <v>128</v>
      </c>
      <c r="D59" s="51" t="s">
        <v>129</v>
      </c>
      <c r="E59" s="51" t="s">
        <v>126</v>
      </c>
      <c r="F59" s="52">
        <v>356523761667352</v>
      </c>
    </row>
    <row r="60" spans="2:6" ht="15.75" thickBot="1" x14ac:dyDescent="0.3">
      <c r="B60" s="50">
        <v>43</v>
      </c>
      <c r="C60" s="51" t="s">
        <v>128</v>
      </c>
      <c r="D60" s="51" t="s">
        <v>129</v>
      </c>
      <c r="E60" s="51" t="s">
        <v>126</v>
      </c>
      <c r="F60" s="52">
        <v>356523761963934</v>
      </c>
    </row>
    <row r="61" spans="2:6" ht="15.75" thickBot="1" x14ac:dyDescent="0.3">
      <c r="B61" s="50">
        <v>44</v>
      </c>
      <c r="C61" s="51" t="s">
        <v>128</v>
      </c>
      <c r="D61" s="51" t="s">
        <v>130</v>
      </c>
      <c r="E61" s="51" t="s">
        <v>126</v>
      </c>
      <c r="F61" s="52">
        <v>358918502652432</v>
      </c>
    </row>
    <row r="62" spans="2:6" ht="15.75" thickBot="1" x14ac:dyDescent="0.3">
      <c r="B62" s="50">
        <v>45</v>
      </c>
      <c r="C62" s="51" t="s">
        <v>128</v>
      </c>
      <c r="D62" s="51" t="s">
        <v>130</v>
      </c>
      <c r="E62" s="51" t="s">
        <v>126</v>
      </c>
      <c r="F62" s="52">
        <v>353065383441389</v>
      </c>
    </row>
    <row r="63" spans="2:6" ht="15.75" thickBot="1" x14ac:dyDescent="0.3">
      <c r="B63" s="50">
        <v>46</v>
      </c>
      <c r="C63" s="51" t="s">
        <v>128</v>
      </c>
      <c r="D63" s="51" t="s">
        <v>130</v>
      </c>
      <c r="E63" s="51" t="s">
        <v>126</v>
      </c>
      <c r="F63" s="52">
        <v>356523762750090</v>
      </c>
    </row>
    <row r="64" spans="2:6" ht="15.75" thickBot="1" x14ac:dyDescent="0.3">
      <c r="B64" s="50">
        <v>47</v>
      </c>
      <c r="C64" s="51" t="s">
        <v>128</v>
      </c>
      <c r="D64" s="51" t="s">
        <v>130</v>
      </c>
      <c r="E64" s="51" t="s">
        <v>126</v>
      </c>
      <c r="F64" s="52">
        <v>358918503424849</v>
      </c>
    </row>
    <row r="65" spans="2:6" ht="15.75" thickBot="1" x14ac:dyDescent="0.3">
      <c r="B65" s="50">
        <v>48</v>
      </c>
      <c r="C65" s="51" t="s">
        <v>128</v>
      </c>
      <c r="D65" s="51" t="s">
        <v>130</v>
      </c>
      <c r="E65" s="51" t="s">
        <v>126</v>
      </c>
      <c r="F65" s="52">
        <v>353065383522717</v>
      </c>
    </row>
    <row r="66" spans="2:6" ht="15.75" thickBot="1" x14ac:dyDescent="0.3">
      <c r="B66" s="50">
        <v>49</v>
      </c>
      <c r="C66" s="51" t="s">
        <v>128</v>
      </c>
      <c r="D66" s="51" t="s">
        <v>131</v>
      </c>
      <c r="E66" s="51" t="s">
        <v>126</v>
      </c>
      <c r="F66" s="52">
        <v>358378923991010</v>
      </c>
    </row>
    <row r="67" spans="2:6" ht="15.75" thickBot="1" x14ac:dyDescent="0.3">
      <c r="B67" s="50">
        <v>50</v>
      </c>
      <c r="C67" s="51" t="s">
        <v>128</v>
      </c>
      <c r="D67" s="51" t="s">
        <v>131</v>
      </c>
      <c r="E67" s="51" t="s">
        <v>126</v>
      </c>
      <c r="F67" s="52">
        <v>358378921566780</v>
      </c>
    </row>
    <row r="68" spans="2:6" ht="15.75" thickBot="1" x14ac:dyDescent="0.3">
      <c r="B68" s="50">
        <v>51</v>
      </c>
      <c r="C68" s="51" t="s">
        <v>128</v>
      </c>
      <c r="D68" s="51" t="s">
        <v>131</v>
      </c>
      <c r="E68" s="51" t="s">
        <v>126</v>
      </c>
      <c r="F68" s="52">
        <v>356182201321532</v>
      </c>
    </row>
    <row r="69" spans="2:6" ht="15.75" thickBot="1" x14ac:dyDescent="0.3">
      <c r="B69" s="50">
        <v>52</v>
      </c>
      <c r="C69" s="51" t="s">
        <v>128</v>
      </c>
      <c r="D69" s="51" t="s">
        <v>131</v>
      </c>
      <c r="E69" s="51" t="s">
        <v>126</v>
      </c>
      <c r="F69" s="52">
        <v>356182200979447</v>
      </c>
    </row>
    <row r="70" spans="2:6" ht="15.75" thickBot="1" x14ac:dyDescent="0.3">
      <c r="B70" s="50">
        <v>53</v>
      </c>
      <c r="C70" s="51" t="s">
        <v>128</v>
      </c>
      <c r="D70" s="51" t="s">
        <v>131</v>
      </c>
      <c r="E70" s="51" t="s">
        <v>126</v>
      </c>
      <c r="F70" s="52">
        <v>356182203812850</v>
      </c>
    </row>
    <row r="71" spans="2:6" ht="15.75" thickBot="1" x14ac:dyDescent="0.3">
      <c r="B71" s="50">
        <v>54</v>
      </c>
      <c r="C71" s="51" t="s">
        <v>128</v>
      </c>
      <c r="D71" s="51" t="s">
        <v>131</v>
      </c>
      <c r="E71" s="51" t="s">
        <v>126</v>
      </c>
      <c r="F71" s="52">
        <v>358918501178686</v>
      </c>
    </row>
    <row r="72" spans="2:6" ht="15.75" thickBot="1" x14ac:dyDescent="0.3">
      <c r="B72" s="50">
        <v>55</v>
      </c>
      <c r="C72" s="51" t="s">
        <v>128</v>
      </c>
      <c r="D72" s="51" t="s">
        <v>131</v>
      </c>
      <c r="E72" s="51" t="s">
        <v>126</v>
      </c>
      <c r="F72" s="52">
        <v>353065382846091</v>
      </c>
    </row>
    <row r="73" spans="2:6" ht="15.75" thickBot="1" x14ac:dyDescent="0.3">
      <c r="B73" s="50">
        <v>56</v>
      </c>
      <c r="C73" s="51" t="s">
        <v>128</v>
      </c>
      <c r="D73" s="51" t="s">
        <v>131</v>
      </c>
      <c r="E73" s="51" t="s">
        <v>126</v>
      </c>
      <c r="F73" s="52">
        <v>353065382766703</v>
      </c>
    </row>
    <row r="74" spans="2:6" ht="15.75" thickBot="1" x14ac:dyDescent="0.3">
      <c r="B74" s="50">
        <v>57</v>
      </c>
      <c r="C74" s="51" t="s">
        <v>128</v>
      </c>
      <c r="D74" s="51" t="s">
        <v>131</v>
      </c>
      <c r="E74" s="51" t="s">
        <v>126</v>
      </c>
      <c r="F74" s="52">
        <v>351737652283591</v>
      </c>
    </row>
    <row r="75" spans="2:6" ht="15.75" thickBot="1" x14ac:dyDescent="0.3">
      <c r="B75" s="50">
        <v>58</v>
      </c>
      <c r="C75" s="51" t="s">
        <v>128</v>
      </c>
      <c r="D75" s="51" t="s">
        <v>131</v>
      </c>
      <c r="E75" s="51" t="s">
        <v>126</v>
      </c>
      <c r="F75" s="52">
        <v>353065380365300</v>
      </c>
    </row>
    <row r="76" spans="2:6" ht="15.75" thickBot="1" x14ac:dyDescent="0.3">
      <c r="B76" s="50">
        <v>59</v>
      </c>
      <c r="C76" s="51" t="s">
        <v>128</v>
      </c>
      <c r="D76" s="51" t="s">
        <v>131</v>
      </c>
      <c r="E76" s="51" t="s">
        <v>126</v>
      </c>
      <c r="F76" s="52">
        <v>353065383930746</v>
      </c>
    </row>
    <row r="77" spans="2:6" ht="15.75" thickBot="1" x14ac:dyDescent="0.3">
      <c r="B77" s="50">
        <v>60</v>
      </c>
      <c r="C77" s="51" t="s">
        <v>128</v>
      </c>
      <c r="D77" s="51" t="s">
        <v>131</v>
      </c>
      <c r="E77" s="51" t="s">
        <v>126</v>
      </c>
      <c r="F77" s="52">
        <v>356182204104018</v>
      </c>
    </row>
    <row r="78" spans="2:6" ht="15.75" thickBot="1" x14ac:dyDescent="0.3">
      <c r="B78" s="50">
        <v>61</v>
      </c>
      <c r="C78" s="51" t="s">
        <v>128</v>
      </c>
      <c r="D78" s="51" t="s">
        <v>131</v>
      </c>
      <c r="E78" s="51" t="s">
        <v>126</v>
      </c>
      <c r="F78" s="52">
        <v>356182202549131</v>
      </c>
    </row>
    <row r="79" spans="2:6" ht="15.75" thickBot="1" x14ac:dyDescent="0.3">
      <c r="B79" s="50">
        <v>62</v>
      </c>
      <c r="C79" s="51" t="s">
        <v>132</v>
      </c>
      <c r="D79" s="51" t="s">
        <v>106</v>
      </c>
      <c r="E79" s="51" t="s">
        <v>133</v>
      </c>
      <c r="F79" s="52" t="s">
        <v>134</v>
      </c>
    </row>
    <row r="80" spans="2:6" ht="15.75" thickBot="1" x14ac:dyDescent="0.3">
      <c r="B80" s="50">
        <v>63</v>
      </c>
      <c r="C80" s="51" t="s">
        <v>132</v>
      </c>
      <c r="D80" s="51" t="s">
        <v>106</v>
      </c>
      <c r="E80" s="51" t="s">
        <v>133</v>
      </c>
      <c r="F80" s="52" t="s">
        <v>135</v>
      </c>
    </row>
    <row r="81" spans="2:6" ht="15.75" thickBot="1" x14ac:dyDescent="0.3">
      <c r="B81" s="50">
        <v>64</v>
      </c>
      <c r="C81" s="51" t="s">
        <v>132</v>
      </c>
      <c r="D81" s="51" t="s">
        <v>106</v>
      </c>
      <c r="E81" s="51" t="s">
        <v>133</v>
      </c>
      <c r="F81" s="52" t="s">
        <v>136</v>
      </c>
    </row>
    <row r="82" spans="2:6" ht="15.75" thickBot="1" x14ac:dyDescent="0.3">
      <c r="B82" s="50">
        <v>65</v>
      </c>
      <c r="C82" s="51" t="s">
        <v>132</v>
      </c>
      <c r="D82" s="51" t="s">
        <v>106</v>
      </c>
      <c r="E82" s="51" t="s">
        <v>133</v>
      </c>
      <c r="F82" s="52" t="s">
        <v>137</v>
      </c>
    </row>
    <row r="83" spans="2:6" ht="15.75" thickBot="1" x14ac:dyDescent="0.3">
      <c r="B83" s="50">
        <v>66</v>
      </c>
      <c r="C83" s="51" t="s">
        <v>132</v>
      </c>
      <c r="D83" s="51" t="s">
        <v>106</v>
      </c>
      <c r="E83" s="51" t="s">
        <v>133</v>
      </c>
      <c r="F83" s="52" t="s">
        <v>138</v>
      </c>
    </row>
    <row r="84" spans="2:6" ht="15.75" thickBot="1" x14ac:dyDescent="0.3">
      <c r="B84" s="50">
        <v>67</v>
      </c>
      <c r="C84" s="51" t="s">
        <v>132</v>
      </c>
      <c r="D84" s="51" t="s">
        <v>106</v>
      </c>
      <c r="E84" s="51" t="s">
        <v>133</v>
      </c>
      <c r="F84" s="52" t="s">
        <v>139</v>
      </c>
    </row>
    <row r="85" spans="2:6" ht="15.75" thickBot="1" x14ac:dyDescent="0.3">
      <c r="B85" s="50">
        <v>68</v>
      </c>
      <c r="C85" s="51" t="s">
        <v>140</v>
      </c>
      <c r="D85" s="51" t="s">
        <v>106</v>
      </c>
      <c r="E85" s="51" t="s">
        <v>108</v>
      </c>
      <c r="F85" s="52" t="s">
        <v>141</v>
      </c>
    </row>
    <row r="86" spans="2:6" ht="15.75" thickBot="1" x14ac:dyDescent="0.3">
      <c r="B86" s="50">
        <v>69</v>
      </c>
      <c r="C86" s="51" t="s">
        <v>140</v>
      </c>
      <c r="D86" s="51" t="s">
        <v>106</v>
      </c>
      <c r="E86" s="51" t="s">
        <v>108</v>
      </c>
      <c r="F86" s="52" t="s">
        <v>142</v>
      </c>
    </row>
    <row r="87" spans="2:6" ht="15.75" thickBot="1" x14ac:dyDescent="0.3">
      <c r="B87" s="50">
        <v>70</v>
      </c>
      <c r="C87" s="51" t="s">
        <v>140</v>
      </c>
      <c r="D87" s="51" t="s">
        <v>106</v>
      </c>
      <c r="E87" s="51" t="s">
        <v>108</v>
      </c>
      <c r="F87" s="52" t="s">
        <v>143</v>
      </c>
    </row>
    <row r="88" spans="2:6" ht="15.75" thickBot="1" x14ac:dyDescent="0.3">
      <c r="B88" s="50">
        <v>71</v>
      </c>
      <c r="C88" s="51" t="s">
        <v>140</v>
      </c>
      <c r="D88" s="51" t="s">
        <v>106</v>
      </c>
      <c r="E88" s="51" t="s">
        <v>108</v>
      </c>
      <c r="F88" s="52" t="s">
        <v>144</v>
      </c>
    </row>
    <row r="89" spans="2:6" ht="27" thickBot="1" x14ac:dyDescent="0.3">
      <c r="B89" s="50">
        <v>72</v>
      </c>
      <c r="C89" s="51" t="s">
        <v>145</v>
      </c>
      <c r="D89" s="51" t="s">
        <v>146</v>
      </c>
      <c r="E89" s="47"/>
      <c r="F89" s="53"/>
    </row>
    <row r="90" spans="2:6" ht="27" thickBot="1" x14ac:dyDescent="0.3">
      <c r="B90" s="50">
        <v>73</v>
      </c>
      <c r="C90" s="51" t="s">
        <v>145</v>
      </c>
      <c r="D90" s="51" t="s">
        <v>147</v>
      </c>
      <c r="E90" s="47"/>
      <c r="F90" s="53"/>
    </row>
    <row r="91" spans="2:6" ht="27" thickBot="1" x14ac:dyDescent="0.3">
      <c r="B91" s="50">
        <v>74</v>
      </c>
      <c r="C91" s="51" t="s">
        <v>145</v>
      </c>
      <c r="D91" s="51" t="s">
        <v>148</v>
      </c>
      <c r="E91" s="47"/>
      <c r="F91" s="53"/>
    </row>
    <row r="92" spans="2:6" ht="27" thickBot="1" x14ac:dyDescent="0.3">
      <c r="B92" s="50">
        <v>75</v>
      </c>
      <c r="C92" s="51" t="s">
        <v>145</v>
      </c>
      <c r="D92" s="51" t="s">
        <v>149</v>
      </c>
      <c r="E92" s="47"/>
      <c r="F92" s="53"/>
    </row>
    <row r="93" spans="2:6" ht="27" thickBot="1" x14ac:dyDescent="0.3">
      <c r="B93" s="50">
        <v>76</v>
      </c>
      <c r="C93" s="51" t="s">
        <v>145</v>
      </c>
      <c r="D93" s="51" t="s">
        <v>150</v>
      </c>
      <c r="E93" s="49"/>
      <c r="F93" s="53"/>
    </row>
    <row r="94" spans="2:6" ht="15.75" thickBot="1" x14ac:dyDescent="0.3">
      <c r="B94" s="50">
        <v>77</v>
      </c>
      <c r="C94" s="51" t="s">
        <v>151</v>
      </c>
      <c r="D94" s="51" t="s">
        <v>107</v>
      </c>
      <c r="E94" s="51" t="s">
        <v>152</v>
      </c>
      <c r="F94" s="53"/>
    </row>
    <row r="95" spans="2:6" ht="15.75" thickBot="1" x14ac:dyDescent="0.3">
      <c r="B95" s="50">
        <v>78</v>
      </c>
      <c r="C95" s="51" t="s">
        <v>151</v>
      </c>
      <c r="D95" s="51" t="s">
        <v>107</v>
      </c>
      <c r="E95" s="51" t="s">
        <v>153</v>
      </c>
      <c r="F95" s="53"/>
    </row>
    <row r="96" spans="2:6" ht="15.75" thickBot="1" x14ac:dyDescent="0.3">
      <c r="B96" s="50">
        <v>79</v>
      </c>
      <c r="C96" s="51" t="s">
        <v>151</v>
      </c>
      <c r="D96" s="51" t="s">
        <v>107</v>
      </c>
      <c r="E96" s="51" t="s">
        <v>154</v>
      </c>
      <c r="F96" s="53"/>
    </row>
    <row r="97" spans="2:6" ht="15.75" thickBot="1" x14ac:dyDescent="0.3">
      <c r="B97" s="50">
        <v>80</v>
      </c>
      <c r="C97" s="51" t="s">
        <v>151</v>
      </c>
      <c r="D97" s="51" t="s">
        <v>107</v>
      </c>
      <c r="E97" s="51" t="s">
        <v>155</v>
      </c>
      <c r="F97" s="53"/>
    </row>
    <row r="98" spans="2:6" ht="15.75" thickBot="1" x14ac:dyDescent="0.3">
      <c r="B98" s="50">
        <v>81</v>
      </c>
      <c r="C98" s="51" t="s">
        <v>151</v>
      </c>
      <c r="D98" s="51" t="s">
        <v>107</v>
      </c>
      <c r="E98" s="51" t="s">
        <v>156</v>
      </c>
      <c r="F98" s="53"/>
    </row>
    <row r="99" spans="2:6" ht="15.75" thickBot="1" x14ac:dyDescent="0.3">
      <c r="B99" s="50">
        <v>82</v>
      </c>
      <c r="C99" s="51" t="s">
        <v>151</v>
      </c>
      <c r="D99" s="51" t="s">
        <v>107</v>
      </c>
      <c r="E99" s="51" t="s">
        <v>157</v>
      </c>
      <c r="F99" s="53"/>
    </row>
    <row r="100" spans="2:6" ht="15.75" thickBot="1" x14ac:dyDescent="0.3">
      <c r="B100" s="50">
        <v>83</v>
      </c>
      <c r="C100" s="51" t="s">
        <v>151</v>
      </c>
      <c r="D100" s="51" t="s">
        <v>107</v>
      </c>
      <c r="E100" s="51" t="s">
        <v>158</v>
      </c>
      <c r="F100" s="53"/>
    </row>
    <row r="101" spans="2:6" ht="15.75" thickBot="1" x14ac:dyDescent="0.3">
      <c r="B101" s="50">
        <v>84</v>
      </c>
      <c r="C101" s="51" t="s">
        <v>151</v>
      </c>
      <c r="D101" s="51" t="s">
        <v>107</v>
      </c>
      <c r="E101" s="51" t="s">
        <v>159</v>
      </c>
      <c r="F101" s="53"/>
    </row>
    <row r="102" spans="2:6" ht="15.75" thickBot="1" x14ac:dyDescent="0.3">
      <c r="B102" s="50">
        <v>85</v>
      </c>
      <c r="C102" s="51" t="s">
        <v>151</v>
      </c>
      <c r="D102" s="51" t="s">
        <v>107</v>
      </c>
      <c r="E102" s="51" t="s">
        <v>160</v>
      </c>
      <c r="F102" s="53"/>
    </row>
    <row r="103" spans="2:6" ht="15.75" thickBot="1" x14ac:dyDescent="0.3">
      <c r="B103" s="50">
        <v>86</v>
      </c>
      <c r="C103" s="51" t="s">
        <v>151</v>
      </c>
      <c r="D103" s="51" t="s">
        <v>107</v>
      </c>
      <c r="E103" s="51" t="s">
        <v>161</v>
      </c>
      <c r="F103" s="53"/>
    </row>
    <row r="104" spans="2:6" ht="15.75" thickBot="1" x14ac:dyDescent="0.3">
      <c r="B104" s="50">
        <v>87</v>
      </c>
      <c r="C104" s="51" t="s">
        <v>151</v>
      </c>
      <c r="D104" s="51" t="s">
        <v>107</v>
      </c>
      <c r="E104" s="51" t="s">
        <v>162</v>
      </c>
      <c r="F104" s="53"/>
    </row>
    <row r="105" spans="2:6" ht="15.75" thickBot="1" x14ac:dyDescent="0.3">
      <c r="B105" s="50">
        <v>88</v>
      </c>
      <c r="C105" s="51" t="s">
        <v>151</v>
      </c>
      <c r="D105" s="51" t="s">
        <v>107</v>
      </c>
      <c r="E105" s="51" t="s">
        <v>163</v>
      </c>
      <c r="F105" s="53"/>
    </row>
    <row r="106" spans="2:6" ht="15.75" thickBot="1" x14ac:dyDescent="0.3">
      <c r="B106" s="50">
        <v>89</v>
      </c>
      <c r="C106" s="51" t="s">
        <v>151</v>
      </c>
      <c r="D106" s="51" t="s">
        <v>107</v>
      </c>
      <c r="E106" s="51" t="s">
        <v>164</v>
      </c>
      <c r="F106" s="53"/>
    </row>
    <row r="107" spans="2:6" ht="15.75" thickBot="1" x14ac:dyDescent="0.3">
      <c r="B107" s="50">
        <v>90</v>
      </c>
      <c r="C107" s="51" t="s">
        <v>151</v>
      </c>
      <c r="D107" s="51" t="s">
        <v>107</v>
      </c>
      <c r="E107" s="51" t="s">
        <v>165</v>
      </c>
      <c r="F107" s="53"/>
    </row>
    <row r="108" spans="2:6" ht="15.75" thickBot="1" x14ac:dyDescent="0.3">
      <c r="B108" s="50">
        <v>91</v>
      </c>
      <c r="C108" s="51" t="s">
        <v>151</v>
      </c>
      <c r="D108" s="51" t="s">
        <v>107</v>
      </c>
      <c r="E108" s="51" t="s">
        <v>166</v>
      </c>
      <c r="F108" s="53"/>
    </row>
    <row r="109" spans="2:6" ht="15.75" thickBot="1" x14ac:dyDescent="0.3">
      <c r="B109" s="50">
        <v>92</v>
      </c>
      <c r="C109" s="51" t="s">
        <v>151</v>
      </c>
      <c r="D109" s="51" t="s">
        <v>107</v>
      </c>
      <c r="E109" s="51" t="s">
        <v>167</v>
      </c>
      <c r="F109" s="53"/>
    </row>
    <row r="110" spans="2:6" ht="15.75" thickBot="1" x14ac:dyDescent="0.3">
      <c r="B110" s="50">
        <v>93</v>
      </c>
      <c r="C110" s="51" t="s">
        <v>151</v>
      </c>
      <c r="D110" s="51" t="s">
        <v>107</v>
      </c>
      <c r="E110" s="51" t="s">
        <v>168</v>
      </c>
      <c r="F110" s="53"/>
    </row>
    <row r="111" spans="2:6" ht="15.75" thickBot="1" x14ac:dyDescent="0.3">
      <c r="B111" s="50">
        <v>94</v>
      </c>
      <c r="C111" s="51" t="s">
        <v>151</v>
      </c>
      <c r="D111" s="51" t="s">
        <v>107</v>
      </c>
      <c r="E111" s="51" t="s">
        <v>169</v>
      </c>
      <c r="F111" s="53"/>
    </row>
    <row r="112" spans="2:6" ht="15.75" thickBot="1" x14ac:dyDescent="0.3">
      <c r="B112" s="50">
        <v>95</v>
      </c>
      <c r="C112" s="51" t="s">
        <v>151</v>
      </c>
      <c r="D112" s="51" t="s">
        <v>107</v>
      </c>
      <c r="E112" s="51" t="s">
        <v>170</v>
      </c>
      <c r="F112" s="53"/>
    </row>
    <row r="113" spans="2:6" ht="15.75" thickBot="1" x14ac:dyDescent="0.3">
      <c r="B113" s="50">
        <v>96</v>
      </c>
      <c r="C113" s="51" t="s">
        <v>151</v>
      </c>
      <c r="D113" s="51" t="s">
        <v>107</v>
      </c>
      <c r="E113" s="51" t="s">
        <v>171</v>
      </c>
      <c r="F113" s="53"/>
    </row>
    <row r="114" spans="2:6" ht="15.75" thickBot="1" x14ac:dyDescent="0.3">
      <c r="B114" s="50">
        <v>97</v>
      </c>
      <c r="C114" s="51" t="s">
        <v>151</v>
      </c>
      <c r="D114" s="51" t="s">
        <v>107</v>
      </c>
      <c r="E114" s="51" t="s">
        <v>172</v>
      </c>
      <c r="F114" s="53"/>
    </row>
    <row r="115" spans="2:6" ht="15.75" thickBot="1" x14ac:dyDescent="0.3">
      <c r="B115" s="50">
        <v>98</v>
      </c>
      <c r="C115" s="51" t="s">
        <v>151</v>
      </c>
      <c r="D115" s="51" t="s">
        <v>107</v>
      </c>
      <c r="E115" s="51" t="s">
        <v>173</v>
      </c>
      <c r="F115" s="53"/>
    </row>
    <row r="116" spans="2:6" ht="15.75" thickBot="1" x14ac:dyDescent="0.3">
      <c r="B116" s="50">
        <v>99</v>
      </c>
      <c r="C116" s="51" t="s">
        <v>151</v>
      </c>
      <c r="D116" s="51" t="s">
        <v>107</v>
      </c>
      <c r="E116" s="51" t="s">
        <v>174</v>
      </c>
      <c r="F116" s="53"/>
    </row>
    <row r="117" spans="2:6" ht="15.75" thickBot="1" x14ac:dyDescent="0.3">
      <c r="B117" s="50">
        <v>100</v>
      </c>
      <c r="C117" s="51" t="s">
        <v>151</v>
      </c>
      <c r="D117" s="51" t="s">
        <v>107</v>
      </c>
      <c r="E117" s="51" t="s">
        <v>175</v>
      </c>
      <c r="F117" s="53"/>
    </row>
    <row r="118" spans="2:6" ht="15.75" thickBot="1" x14ac:dyDescent="0.3">
      <c r="B118" s="50">
        <v>101</v>
      </c>
      <c r="C118" s="51" t="s">
        <v>151</v>
      </c>
      <c r="D118" s="51" t="s">
        <v>107</v>
      </c>
      <c r="E118" s="51" t="s">
        <v>176</v>
      </c>
      <c r="F118" s="53"/>
    </row>
    <row r="119" spans="2:6" ht="15.75" thickBot="1" x14ac:dyDescent="0.3">
      <c r="B119" s="50">
        <v>102</v>
      </c>
      <c r="C119" s="51" t="s">
        <v>151</v>
      </c>
      <c r="D119" s="51" t="s">
        <v>177</v>
      </c>
      <c r="E119" s="51" t="s">
        <v>178</v>
      </c>
      <c r="F119" s="53"/>
    </row>
    <row r="120" spans="2:6" ht="15.75" thickBot="1" x14ac:dyDescent="0.3">
      <c r="B120" s="50">
        <v>103</v>
      </c>
      <c r="C120" s="51" t="s">
        <v>151</v>
      </c>
      <c r="D120" s="51" t="s">
        <v>177</v>
      </c>
      <c r="E120" s="51" t="s">
        <v>179</v>
      </c>
      <c r="F120" s="53"/>
    </row>
    <row r="121" spans="2:6" ht="15.75" thickBot="1" x14ac:dyDescent="0.3">
      <c r="B121" s="50">
        <v>104</v>
      </c>
      <c r="C121" s="51" t="s">
        <v>151</v>
      </c>
      <c r="D121" s="51" t="s">
        <v>177</v>
      </c>
      <c r="E121" s="51" t="s">
        <v>180</v>
      </c>
      <c r="F121" s="53"/>
    </row>
    <row r="122" spans="2:6" ht="15.75" thickBot="1" x14ac:dyDescent="0.3">
      <c r="B122" s="50">
        <v>105</v>
      </c>
      <c r="C122" s="51" t="s">
        <v>151</v>
      </c>
      <c r="D122" s="51" t="s">
        <v>177</v>
      </c>
      <c r="E122" s="51" t="s">
        <v>181</v>
      </c>
      <c r="F122" s="53"/>
    </row>
    <row r="123" spans="2:6" ht="15.75" thickBot="1" x14ac:dyDescent="0.3">
      <c r="B123" s="50">
        <v>106</v>
      </c>
      <c r="C123" s="51" t="s">
        <v>151</v>
      </c>
      <c r="D123" s="51" t="s">
        <v>182</v>
      </c>
      <c r="E123" s="51" t="s">
        <v>183</v>
      </c>
      <c r="F123" s="53"/>
    </row>
    <row r="124" spans="2:6" ht="15.75" thickBot="1" x14ac:dyDescent="0.3">
      <c r="B124" s="50">
        <v>107</v>
      </c>
      <c r="C124" s="51" t="s">
        <v>151</v>
      </c>
      <c r="D124" s="51" t="s">
        <v>182</v>
      </c>
      <c r="E124" s="51" t="s">
        <v>184</v>
      </c>
      <c r="F124" s="47"/>
    </row>
    <row r="125" spans="2:6" ht="15.75" thickBot="1" x14ac:dyDescent="0.3">
      <c r="B125" s="50">
        <v>108</v>
      </c>
      <c r="C125" s="51" t="s">
        <v>109</v>
      </c>
      <c r="D125" s="51">
        <v>98</v>
      </c>
      <c r="E125" s="47"/>
      <c r="F125" s="47"/>
    </row>
    <row r="126" spans="2:6" ht="15.75" thickBot="1" x14ac:dyDescent="0.3">
      <c r="B126" s="50">
        <v>109</v>
      </c>
      <c r="C126" s="51" t="s">
        <v>185</v>
      </c>
      <c r="D126" s="51">
        <v>1</v>
      </c>
      <c r="E126" s="47"/>
      <c r="F126" s="47"/>
    </row>
    <row r="127" spans="2:6" ht="15.75" thickBot="1" x14ac:dyDescent="0.3">
      <c r="B127" s="50">
        <v>110</v>
      </c>
      <c r="C127" s="51" t="s">
        <v>186</v>
      </c>
      <c r="D127" s="51">
        <v>11</v>
      </c>
      <c r="E127" s="47"/>
      <c r="F127" s="47"/>
    </row>
  </sheetData>
  <mergeCells count="2">
    <mergeCell ref="B16:C16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2026-01-19T14:40:22Z</dcterms:created>
  <dcterms:modified xsi:type="dcterms:W3CDTF">2026-03-14T10:57:54Z</dcterms:modified>
</cp:coreProperties>
</file>