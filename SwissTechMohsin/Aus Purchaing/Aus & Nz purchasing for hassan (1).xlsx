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Aus Purchaing/"/>
    </mc:Choice>
  </mc:AlternateContent>
  <xr:revisionPtr revIDLastSave="6" documentId="13_ncr:1_{D2BB8CFB-E489-4EF0-98D4-B64780356A45}" xr6:coauthVersionLast="47" xr6:coauthVersionMax="47" xr10:uidLastSave="{EFC5E06D-18D3-4933-8B19-CFB6F5F0DBCC}"/>
  <bookViews>
    <workbookView xWindow="20370" yWindow="-120" windowWidth="29040" windowHeight="17520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0" i="1" l="1"/>
  <c r="H390" i="1"/>
  <c r="F390" i="1"/>
  <c r="H389" i="1"/>
  <c r="I389" i="1" s="1"/>
  <c r="F389" i="1"/>
  <c r="I388" i="1"/>
  <c r="H388" i="1"/>
  <c r="F388" i="1"/>
  <c r="I387" i="1"/>
  <c r="H387" i="1"/>
  <c r="F387" i="1"/>
  <c r="I386" i="1"/>
  <c r="H386" i="1"/>
  <c r="F386" i="1"/>
  <c r="I385" i="1"/>
  <c r="H385" i="1"/>
  <c r="F385" i="1"/>
  <c r="I384" i="1"/>
  <c r="H384" i="1"/>
  <c r="F384" i="1"/>
  <c r="I383" i="1"/>
  <c r="H383" i="1"/>
  <c r="F383" i="1"/>
  <c r="I382" i="1"/>
  <c r="H382" i="1"/>
  <c r="F382" i="1"/>
  <c r="I381" i="1"/>
  <c r="H381" i="1"/>
  <c r="F381" i="1"/>
  <c r="I380" i="1"/>
  <c r="H380" i="1"/>
  <c r="F380" i="1"/>
  <c r="I379" i="1"/>
  <c r="H379" i="1"/>
  <c r="F379" i="1"/>
  <c r="I378" i="1"/>
  <c r="H378" i="1"/>
  <c r="F378" i="1"/>
  <c r="I377" i="1"/>
  <c r="H377" i="1"/>
  <c r="F377" i="1"/>
  <c r="I376" i="1"/>
  <c r="H376" i="1"/>
  <c r="F376" i="1"/>
  <c r="I375" i="1"/>
  <c r="H375" i="1"/>
  <c r="F375" i="1"/>
  <c r="I374" i="1"/>
  <c r="H374" i="1"/>
  <c r="F374" i="1"/>
  <c r="I373" i="1"/>
  <c r="H373" i="1"/>
  <c r="F373" i="1"/>
  <c r="I372" i="1"/>
  <c r="H372" i="1"/>
  <c r="F372" i="1"/>
  <c r="I371" i="1"/>
  <c r="H371" i="1"/>
  <c r="F371" i="1"/>
  <c r="I370" i="1"/>
  <c r="H370" i="1"/>
  <c r="F370" i="1"/>
  <c r="I369" i="1"/>
  <c r="H369" i="1"/>
  <c r="F369" i="1"/>
  <c r="I368" i="1"/>
  <c r="H368" i="1"/>
  <c r="F368" i="1"/>
  <c r="I367" i="1"/>
  <c r="H367" i="1"/>
  <c r="F367" i="1"/>
  <c r="I366" i="1"/>
  <c r="H366" i="1"/>
  <c r="F366" i="1"/>
  <c r="I365" i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H365" i="1"/>
  <c r="F365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28" i="1"/>
  <c r="H328" i="1"/>
  <c r="F328" i="1"/>
  <c r="I327" i="1"/>
  <c r="H327" i="1"/>
  <c r="F327" i="1"/>
  <c r="I326" i="1"/>
  <c r="H326" i="1"/>
  <c r="F326" i="1"/>
  <c r="I325" i="1"/>
  <c r="H325" i="1"/>
  <c r="F325" i="1"/>
  <c r="I324" i="1"/>
  <c r="H324" i="1"/>
  <c r="F324" i="1"/>
  <c r="I323" i="1"/>
  <c r="H323" i="1"/>
  <c r="F323" i="1"/>
  <c r="I322" i="1"/>
  <c r="H322" i="1"/>
  <c r="F322" i="1"/>
  <c r="I321" i="1"/>
  <c r="H321" i="1"/>
  <c r="F321" i="1"/>
  <c r="I320" i="1"/>
  <c r="J320" i="1" s="1"/>
  <c r="J321" i="1" s="1"/>
  <c r="J322" i="1" s="1"/>
  <c r="J323" i="1" s="1"/>
  <c r="J324" i="1" s="1"/>
  <c r="J325" i="1" s="1"/>
  <c r="J326" i="1" s="1"/>
  <c r="J327" i="1" s="1"/>
  <c r="J328" i="1" s="1"/>
  <c r="H320" i="1"/>
  <c r="F320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N305" i="1"/>
  <c r="O305" i="1" s="1"/>
  <c r="I305" i="1"/>
  <c r="J305" i="1" s="1"/>
  <c r="K305" i="1" s="1"/>
  <c r="H295" i="1"/>
  <c r="I295" i="1" s="1"/>
  <c r="F295" i="1"/>
  <c r="H294" i="1"/>
  <c r="I294" i="1" s="1"/>
  <c r="F294" i="1"/>
  <c r="H293" i="1"/>
  <c r="I293" i="1" s="1"/>
  <c r="F293" i="1"/>
  <c r="H292" i="1"/>
  <c r="I292" i="1" s="1"/>
  <c r="F292" i="1"/>
  <c r="H291" i="1"/>
  <c r="I291" i="1" s="1"/>
  <c r="F291" i="1"/>
  <c r="H290" i="1"/>
  <c r="I290" i="1" s="1"/>
  <c r="F290" i="1"/>
  <c r="H289" i="1"/>
  <c r="I289" i="1" s="1"/>
  <c r="F289" i="1"/>
  <c r="H288" i="1"/>
  <c r="I288" i="1" s="1"/>
  <c r="F288" i="1"/>
  <c r="H287" i="1"/>
  <c r="I287" i="1" s="1"/>
  <c r="F287" i="1"/>
  <c r="H286" i="1"/>
  <c r="I286" i="1" s="1"/>
  <c r="J286" i="1" s="1"/>
  <c r="J287" i="1" s="1"/>
  <c r="F286" i="1"/>
  <c r="H277" i="1"/>
  <c r="I277" i="1" s="1"/>
  <c r="F277" i="1"/>
  <c r="H276" i="1"/>
  <c r="I276" i="1" s="1"/>
  <c r="F276" i="1"/>
  <c r="H275" i="1"/>
  <c r="I275" i="1" s="1"/>
  <c r="F275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H266" i="1"/>
  <c r="I266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F266" i="1"/>
  <c r="H251" i="1"/>
  <c r="I251" i="1" s="1"/>
  <c r="F251" i="1"/>
  <c r="H250" i="1"/>
  <c r="I250" i="1" s="1"/>
  <c r="F250" i="1"/>
  <c r="H249" i="1"/>
  <c r="I249" i="1" s="1"/>
  <c r="F249" i="1"/>
  <c r="I248" i="1"/>
  <c r="H248" i="1"/>
  <c r="F248" i="1"/>
  <c r="H247" i="1"/>
  <c r="I247" i="1" s="1"/>
  <c r="F247" i="1"/>
  <c r="I246" i="1"/>
  <c r="J246" i="1" s="1"/>
  <c r="J247" i="1" s="1"/>
  <c r="J248" i="1" s="1"/>
  <c r="J249" i="1" s="1"/>
  <c r="J250" i="1" s="1"/>
  <c r="J251" i="1" s="1"/>
  <c r="H246" i="1"/>
  <c r="F246" i="1"/>
  <c r="H237" i="1"/>
  <c r="I237" i="1" s="1"/>
  <c r="F237" i="1"/>
  <c r="I236" i="1"/>
  <c r="J236" i="1" s="1"/>
  <c r="H236" i="1"/>
  <c r="F236" i="1"/>
  <c r="J226" i="1"/>
  <c r="M226" i="1" s="1"/>
  <c r="N226" i="1" s="1"/>
  <c r="I226" i="1"/>
  <c r="I225" i="1"/>
  <c r="J225" i="1" s="1"/>
  <c r="I219" i="1"/>
  <c r="H219" i="1"/>
  <c r="F219" i="1"/>
  <c r="I218" i="1"/>
  <c r="H218" i="1"/>
  <c r="F218" i="1"/>
  <c r="J217" i="1"/>
  <c r="J218" i="1" s="1"/>
  <c r="J219" i="1" s="1"/>
  <c r="I217" i="1"/>
  <c r="H217" i="1"/>
  <c r="F217" i="1"/>
  <c r="I209" i="1"/>
  <c r="H209" i="1"/>
  <c r="F209" i="1"/>
  <c r="I208" i="1"/>
  <c r="H208" i="1"/>
  <c r="F208" i="1"/>
  <c r="I207" i="1"/>
  <c r="H207" i="1"/>
  <c r="F207" i="1"/>
  <c r="I206" i="1"/>
  <c r="H206" i="1"/>
  <c r="F206" i="1"/>
  <c r="I205" i="1"/>
  <c r="H205" i="1"/>
  <c r="F205" i="1"/>
  <c r="I204" i="1"/>
  <c r="H204" i="1"/>
  <c r="F204" i="1"/>
  <c r="I203" i="1"/>
  <c r="H203" i="1"/>
  <c r="F203" i="1"/>
  <c r="I202" i="1"/>
  <c r="H202" i="1"/>
  <c r="F202" i="1"/>
  <c r="I201" i="1"/>
  <c r="H201" i="1"/>
  <c r="F201" i="1"/>
  <c r="I200" i="1"/>
  <c r="H200" i="1"/>
  <c r="F200" i="1"/>
  <c r="I199" i="1"/>
  <c r="H199" i="1"/>
  <c r="F199" i="1"/>
  <c r="I198" i="1"/>
  <c r="H198" i="1"/>
  <c r="F198" i="1"/>
  <c r="I197" i="1"/>
  <c r="H197" i="1"/>
  <c r="F197" i="1"/>
  <c r="I196" i="1"/>
  <c r="H196" i="1"/>
  <c r="F196" i="1"/>
  <c r="I195" i="1"/>
  <c r="H195" i="1"/>
  <c r="F195" i="1"/>
  <c r="I194" i="1"/>
  <c r="H194" i="1"/>
  <c r="F194" i="1"/>
  <c r="I193" i="1"/>
  <c r="H193" i="1"/>
  <c r="F193" i="1"/>
  <c r="I192" i="1"/>
  <c r="H192" i="1"/>
  <c r="F192" i="1"/>
  <c r="I191" i="1"/>
  <c r="H191" i="1"/>
  <c r="F191" i="1"/>
  <c r="I190" i="1"/>
  <c r="H190" i="1"/>
  <c r="F190" i="1"/>
  <c r="I189" i="1"/>
  <c r="H189" i="1"/>
  <c r="F189" i="1"/>
  <c r="J188" i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I188" i="1"/>
  <c r="H188" i="1"/>
  <c r="F188" i="1"/>
  <c r="M179" i="1"/>
  <c r="N179" i="1" s="1"/>
  <c r="J179" i="1"/>
  <c r="K179" i="1" s="1"/>
  <c r="I179" i="1"/>
  <c r="J178" i="1"/>
  <c r="M178" i="1" s="1"/>
  <c r="N178" i="1" s="1"/>
  <c r="O178" i="1" s="1"/>
  <c r="O179" i="1" s="1"/>
  <c r="I178" i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I121" i="1"/>
  <c r="H121" i="1"/>
  <c r="F121" i="1"/>
  <c r="H120" i="1"/>
  <c r="I120" i="1" s="1"/>
  <c r="F120" i="1"/>
  <c r="H119" i="1"/>
  <c r="I119" i="1" s="1"/>
  <c r="J119" i="1" s="1"/>
  <c r="J120" i="1" s="1"/>
  <c r="J121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I83" i="1"/>
  <c r="H83" i="1"/>
  <c r="F83" i="1"/>
  <c r="H82" i="1"/>
  <c r="I82" i="1" s="1"/>
  <c r="J82" i="1" s="1"/>
  <c r="J83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M344" i="1" l="1"/>
  <c r="N344" i="1" s="1"/>
  <c r="K344" i="1"/>
  <c r="M352" i="1"/>
  <c r="N352" i="1" s="1"/>
  <c r="K352" i="1"/>
  <c r="M307" i="1"/>
  <c r="N307" i="1" s="1"/>
  <c r="K307" i="1"/>
  <c r="M337" i="1"/>
  <c r="N337" i="1" s="1"/>
  <c r="O337" i="1" s="1"/>
  <c r="K337" i="1"/>
  <c r="M345" i="1"/>
  <c r="N345" i="1" s="1"/>
  <c r="K345" i="1"/>
  <c r="M353" i="1"/>
  <c r="N353" i="1" s="1"/>
  <c r="K353" i="1"/>
  <c r="M308" i="1"/>
  <c r="N308" i="1" s="1"/>
  <c r="K308" i="1"/>
  <c r="M338" i="1"/>
  <c r="N338" i="1" s="1"/>
  <c r="K338" i="1"/>
  <c r="M346" i="1"/>
  <c r="N346" i="1" s="1"/>
  <c r="K346" i="1"/>
  <c r="M354" i="1"/>
  <c r="N354" i="1" s="1"/>
  <c r="K354" i="1"/>
  <c r="O306" i="1"/>
  <c r="O307" i="1" s="1"/>
  <c r="O308" i="1" s="1"/>
  <c r="O309" i="1" s="1"/>
  <c r="O310" i="1" s="1"/>
  <c r="O311" i="1" s="1"/>
  <c r="M306" i="1"/>
  <c r="N306" i="1" s="1"/>
  <c r="K306" i="1"/>
  <c r="M309" i="1"/>
  <c r="N309" i="1" s="1"/>
  <c r="K309" i="1"/>
  <c r="K355" i="1"/>
  <c r="M355" i="1"/>
  <c r="N355" i="1" s="1"/>
  <c r="M343" i="1"/>
  <c r="N343" i="1" s="1"/>
  <c r="K343" i="1"/>
  <c r="J288" i="1"/>
  <c r="J289" i="1" s="1"/>
  <c r="J290" i="1" s="1"/>
  <c r="J291" i="1" s="1"/>
  <c r="J292" i="1" s="1"/>
  <c r="J293" i="1" s="1"/>
  <c r="J294" i="1" s="1"/>
  <c r="J295" i="1" s="1"/>
  <c r="M339" i="1"/>
  <c r="N339" i="1" s="1"/>
  <c r="K339" i="1"/>
  <c r="K310" i="1"/>
  <c r="M310" i="1"/>
  <c r="N310" i="1" s="1"/>
  <c r="M340" i="1"/>
  <c r="N340" i="1" s="1"/>
  <c r="K340" i="1"/>
  <c r="M348" i="1"/>
  <c r="N348" i="1" s="1"/>
  <c r="K348" i="1"/>
  <c r="M351" i="1"/>
  <c r="N351" i="1" s="1"/>
  <c r="K351" i="1"/>
  <c r="M347" i="1"/>
  <c r="N347" i="1" s="1"/>
  <c r="K347" i="1"/>
  <c r="M311" i="1"/>
  <c r="N311" i="1" s="1"/>
  <c r="K311" i="1"/>
  <c r="K341" i="1"/>
  <c r="M341" i="1"/>
  <c r="N341" i="1" s="1"/>
  <c r="M349" i="1"/>
  <c r="N349" i="1" s="1"/>
  <c r="K349" i="1"/>
  <c r="M342" i="1"/>
  <c r="N342" i="1" s="1"/>
  <c r="K342" i="1"/>
  <c r="M350" i="1"/>
  <c r="N350" i="1" s="1"/>
  <c r="K350" i="1"/>
  <c r="J389" i="1"/>
  <c r="J390" i="1" s="1"/>
  <c r="J237" i="1"/>
  <c r="M225" i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84" i="1"/>
  <c r="J85" i="1" s="1"/>
  <c r="J86" i="1" s="1"/>
  <c r="J37" i="1"/>
  <c r="J38" i="1" s="1"/>
  <c r="J39" i="1" s="1"/>
  <c r="J40" i="1" s="1"/>
  <c r="J41" i="1" s="1"/>
  <c r="J42" i="1" s="1"/>
  <c r="J43" i="1" s="1"/>
  <c r="J44" i="1" s="1"/>
  <c r="O338" i="1" l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<sst xmlns="http://schemas.openxmlformats.org/spreadsheetml/2006/main" count="853" uniqueCount="271">
  <si>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</si>
  <si>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</si>
  <si>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</si>
  <si>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</si>
  <si>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</si>
  <si>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</si>
  <si>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</si>
  <si>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</si>
  <si>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</si>
  <si>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</si>
  <si>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</si>
  <si>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</si>
  <si>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</si>
  <si>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</si>
  <si>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</si>
  <si>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</si>
  <si>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</si>
  <si>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</si>
  <si>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</si>
  <si>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</si>
  <si>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</si>
  <si>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</si>
  <si>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</si>
  <si>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</si>
  <si>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</si>
  <si>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</si>
  <si>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</si>
  <si>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</si>
  <si>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</si>
  <si>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</si>
  <si>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</si>
  <si>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</si>
  <si>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</si>
  <si>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</si>
  <si>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</si>
  <si>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</si>
  <si>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</si>
  <si>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</si>
  <si>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</si>
  <si>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</si>
  <si>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</si>
  <si>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</si>
  <si>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</si>
  <si>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</si>
  <si>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</si>
  <si>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</si>
  <si>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</si>
  <si>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</si>
  <si>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</si>
  <si>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</si>
  <si>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</si>
  <si>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</si>
  <si>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</si>
  <si>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</si>
  <si>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</si>
  <si>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</si>
  <si>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</si>
  <si>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</si>
  <si>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</si>
  <si>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</si>
  <si>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</si>
  <si>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</si>
  <si>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</si>
  <si>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</si>
  <si>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</si>
  <si>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</si>
  <si>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</si>
  <si>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</si>
  <si>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</si>
  <si>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</si>
  <si>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</si>
  <si>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</si>
  <si>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</si>
  <si>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</si>
  <si>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</si>
  <si>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</si>
  <si>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</si>
  <si>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</si>
  <si>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</si>
  <si>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</si>
  <si>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</si>
  <si>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</si>
  <si>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</si>
  <si>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</si>
  <si>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</si>
  <si>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</si>
  <si>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</si>
  <si>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</si>
  <si>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</si>
  <si>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</si>
  <si>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</si>
  <si>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</si>
  <si>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</si>
  <si>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</si>
  <si>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</si>
  <si>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</si>
  <si>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</si>
  <si>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</si>
  <si>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</si>
  <si>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</si>
  <si>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</si>
  <si>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</si>
  <si>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</si>
  <si>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</si>
  <si>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</si>
  <si>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</si>
  <si>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</si>
  <si>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</si>
  <si>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</si>
  <si>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</si>
  <si>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</si>
  <si>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</si>
  <si>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</si>
  <si>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</si>
  <si>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</si>
  <si>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</si>
  <si>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</si>
  <si>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</si>
  <si>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</si>
  <si>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</si>
  <si>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</si>
  <si>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</si>
  <si>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</si>
  <si>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</si>
  <si>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</si>
  <si>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</si>
  <si>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</si>
  <si>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</si>
  <si>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</si>
  <si>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</si>
  <si>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</si>
  <si>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</si>
  <si>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</si>
  <si>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</si>
  <si>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</si>
  <si>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</si>
  <si>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</si>
  <si>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</si>
  <si>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</si>
  <si>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</si>
  <si>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</si>
  <si>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</si>
  <si>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</si>
  <si>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</si>
  <si>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</si>
  <si>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</si>
  <si>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</si>
  <si>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</si>
  <si>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</si>
  <si>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</si>
  <si>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</si>
  <si>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</si>
  <si>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</si>
  <si>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</si>
  <si>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</si>
  <si>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</si>
  <si>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</si>
  <si>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</si>
  <si>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</si>
  <si>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</si>
  <si>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</si>
  <si>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</si>
  <si>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</si>
  <si>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</si>
  <si>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</si>
  <si>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</si>
  <si>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</si>
  <si>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</si>
  <si>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</si>
  <si>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</si>
  <si>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</si>
  <si>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</si>
  <si>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</si>
  <si>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</si>
  <si>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</si>
  <si>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</si>
  <si>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</si>
  <si>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</si>
  <si>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</si>
  <si>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</si>
  <si>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</si>
  <si>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</si>
  <si>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</si>
  <si>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</si>
  <si>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</si>
  <si>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</si>
  <si>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</si>
  <si>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</si>
  <si>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</si>
  <si>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</si>
  <si>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</si>
  <si>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</si>
  <si>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</si>
  <si>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</si>
  <si>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</si>
  <si>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</si>
  <si>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</si>
  <si>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</si>
  <si>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</si>
  <si>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</si>
  <si>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</si>
  <si>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</si>
  <si>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</si>
  <si>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</si>
  <si>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</si>
  <si>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</si>
  <si>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</si>
  <si>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</si>
  <si>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</si>
  <si>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</si>
  <si>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</si>
  <si>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</si>
  <si>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</si>
  <si>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</si>
  <si>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</si>
  <si>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</si>
  <si>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</si>
  <si>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</si>
  <si>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</si>
  <si>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</si>
  <si>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</si>
  <si>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</si>
  <si>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</si>
  <si>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</si>
  <si>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</si>
  <si>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</si>
  <si>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</si>
  <si>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</si>
  <si>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</si>
  <si>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</si>
  <si>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</si>
  <si>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</si>
  <si>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</si>
  <si>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</si>
  <si>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</si>
  <si>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</si>
  <si>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</si>
  <si>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</si>
  <si>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</si>
  <si>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</si>
  <si>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</si>
  <si>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</si>
  <si>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</si>
  <si>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</si>
  <si>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</si>
  <si>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</si>
  <si>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</si>
  <si>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</si>
  <si>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</si>
  <si>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</si>
  <si>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</si>
  <si>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</si>
  <si>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</si>
  <si>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</si>
  <si>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</si>
  <si>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</si>
  <si>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</si>
  <si>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</si>
  <si>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</si>
  <si>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</si>
  <si>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</si>
  <si>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</si>
  <si>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</si>
  <si>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</si>
  <si>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</si>
  <si>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</si>
  <si>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</si>
  <si>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</si>
  <si>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</si>
  <si>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</si>
  <si>
    <t>Received 05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</si>
</sst>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6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0" fillId="6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" fontId="0" fillId="10" borderId="1" xfId="0" applyNumberFormat="1" applyFill="1" applyBorder="1"/>
    <xf numFmtId="165" fontId="0" fillId="10" borderId="1" xfId="0" applyNumberFormat="1" applyFill="1" applyBorder="1"/>
    <xf numFmtId="16" fontId="0" fillId="0" borderId="0" xfId="0" applyNumberFormat="1"/>
    <xf numFmtId="165" fontId="0" fillId="0" borderId="0" xfId="0" applyNumberFormat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" xfId="0" applyFill="1" applyBorder="1" applyAlignment="1">
      <alignment horizontal="center"/>
    </xf>
    <xf numFmtId="16" fontId="0" fillId="5" borderId="13" xfId="0" applyNumberFormat="1" applyFill="1" applyBorder="1"/>
    <xf numFmtId="0" fontId="0" fillId="5" borderId="13" xfId="0" applyFill="1" applyBorder="1"/>
    <xf numFmtId="168" fontId="0" fillId="5" borderId="13" xfId="0" applyNumberFormat="1" applyFill="1" applyBorder="1"/>
    <xf numFmtId="0" fontId="0" fillId="4" borderId="12" xfId="0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O393"/>
  <sheetViews>
    <sheetView tabSelected="1" zoomScale="70" zoomScaleNormal="70" workbookViewId="0">
      <selection activeCell="C372" sqref="C372"/>
    </sheetView>
  </sheetViews>
  <sheetFormatPr defaultRowHeight="15" x14ac:dyDescent="0.25"/>
  <cols>
    <col min="1" max="1" width="11.85546875" customWidth="1"/>
    <col min="2" max="2" width="15.42578125" customWidth="1"/>
    <col min="3" max="3" width="92" bestFit="1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73" t="s">
        <v>1</v>
      </c>
      <c r="C2" s="73"/>
      <c r="D2" s="73"/>
      <c r="E2" s="73"/>
      <c r="F2" s="73"/>
      <c r="G2" s="73"/>
      <c r="H2" s="73"/>
      <c r="I2" s="73"/>
      <c r="J2" s="73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73" t="s">
        <v>1</v>
      </c>
      <c r="C17" s="73"/>
      <c r="D17" s="73"/>
      <c r="E17" s="73"/>
      <c r="F17" s="73"/>
      <c r="G17" s="73"/>
      <c r="H17" s="73"/>
      <c r="I17" s="73"/>
      <c r="J17" s="73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4">
        <v>46028</v>
      </c>
      <c r="C19" s="5" t="s">
        <v>12</v>
      </c>
      <c r="D19" s="7">
        <v>2</v>
      </c>
      <c r="E19" s="6">
        <v>2010</v>
      </c>
      <c r="F19" s="7">
        <f>E19*D19</f>
        <v>4020</v>
      </c>
      <c r="G19" s="7">
        <v>2.4285000000000001</v>
      </c>
      <c r="H19" s="7">
        <f>E19*G19</f>
        <v>4881.2849999999999</v>
      </c>
      <c r="I19" s="7">
        <f>H19*D19</f>
        <v>9762.57</v>
      </c>
      <c r="J19" s="5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73" t="s">
        <v>1</v>
      </c>
      <c r="C34" s="73"/>
      <c r="D34" s="73"/>
      <c r="E34" s="73"/>
      <c r="F34" s="73"/>
      <c r="G34" s="73"/>
      <c r="H34" s="73"/>
      <c r="I34" s="73"/>
      <c r="J34" s="73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1" ht="21" x14ac:dyDescent="0.35">
      <c r="A49" t="s">
        <v>0</v>
      </c>
      <c r="B49" s="73" t="s">
        <v>34</v>
      </c>
      <c r="C49" s="73"/>
      <c r="D49" s="73"/>
      <c r="E49" s="73"/>
      <c r="F49" s="73"/>
      <c r="G49" s="73"/>
      <c r="H49" s="73"/>
      <c r="I49" s="73"/>
      <c r="J49" s="73"/>
    </row>
    <row r="50" spans="1:11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1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  <c r="K51" t="s">
        <v>270</v>
      </c>
    </row>
    <row r="52" spans="1:11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1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1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1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1" ht="21" x14ac:dyDescent="0.35">
      <c r="A58" t="s">
        <v>0</v>
      </c>
      <c r="B58" s="73" t="s">
        <v>1</v>
      </c>
      <c r="C58" s="73"/>
      <c r="D58" s="73"/>
      <c r="E58" s="73"/>
      <c r="F58" s="73"/>
      <c r="G58" s="73"/>
      <c r="H58" s="73"/>
      <c r="I58" s="73"/>
      <c r="J58" s="73"/>
    </row>
    <row r="59" spans="1:11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1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1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1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1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1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73" t="s">
        <v>1</v>
      </c>
      <c r="C80" s="73"/>
      <c r="D80" s="73"/>
      <c r="E80" s="73"/>
      <c r="F80" s="73"/>
      <c r="G80" s="73"/>
      <c r="H80" s="73"/>
      <c r="I80" s="73"/>
      <c r="J80" s="73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74" t="s">
        <v>1</v>
      </c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73" t="s">
        <v>1</v>
      </c>
      <c r="C117" s="73"/>
      <c r="D117" s="73"/>
      <c r="E117" s="73"/>
      <c r="F117" s="73"/>
      <c r="G117" s="73"/>
      <c r="H117" s="73"/>
      <c r="I117" s="73"/>
      <c r="J117" s="73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73" t="s">
        <v>34</v>
      </c>
      <c r="C144" s="73"/>
      <c r="D144" s="73"/>
      <c r="E144" s="73"/>
      <c r="F144" s="73"/>
      <c r="G144" s="73"/>
      <c r="H144" s="73"/>
      <c r="I144" s="73"/>
      <c r="J144" s="73"/>
    </row>
    <row r="145" spans="1:10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</row>
    <row r="146" spans="1:10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0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0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0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0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0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0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0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0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0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0" ht="21" x14ac:dyDescent="0.35">
      <c r="A156" t="s">
        <v>0</v>
      </c>
      <c r="B156" s="73" t="s">
        <v>1</v>
      </c>
      <c r="C156" s="73"/>
      <c r="D156" s="73"/>
      <c r="E156" s="73"/>
      <c r="F156" s="73"/>
      <c r="G156" s="73"/>
      <c r="H156" s="73"/>
      <c r="I156" s="73"/>
      <c r="J156" s="73"/>
    </row>
    <row r="157" spans="1:10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</row>
    <row r="158" spans="1:10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0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0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40">
        <v>46056</v>
      </c>
      <c r="C162" s="41" t="s">
        <v>114</v>
      </c>
      <c r="D162" s="41">
        <v>5</v>
      </c>
      <c r="E162" s="42">
        <v>440</v>
      </c>
      <c r="F162" s="43">
        <f t="shared" si="38"/>
        <v>2200</v>
      </c>
      <c r="G162" s="43">
        <v>2.5188000000000001</v>
      </c>
      <c r="H162" s="43">
        <f t="shared" si="39"/>
        <v>1108.2720000000002</v>
      </c>
      <c r="I162" s="44">
        <f t="shared" si="40"/>
        <v>5541.3600000000006</v>
      </c>
      <c r="J162" s="45">
        <f t="shared" si="41"/>
        <v>33034.062000000005</v>
      </c>
    </row>
    <row r="163" spans="1:15" x14ac:dyDescent="0.25">
      <c r="B163" s="17">
        <v>46056</v>
      </c>
      <c r="C163" s="18" t="s">
        <v>115</v>
      </c>
      <c r="D163" s="18">
        <v>6</v>
      </c>
      <c r="E163" s="33">
        <v>440</v>
      </c>
      <c r="F163" s="20">
        <f t="shared" si="38"/>
        <v>2640</v>
      </c>
      <c r="G163" s="20">
        <v>2.5188000000000001</v>
      </c>
      <c r="H163" s="20">
        <f t="shared" si="39"/>
        <v>1108.2720000000002</v>
      </c>
      <c r="I163" s="7">
        <f t="shared" si="40"/>
        <v>6649.6320000000014</v>
      </c>
      <c r="J163" s="5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74" t="s">
        <v>1</v>
      </c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</row>
    <row r="177" spans="1:15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</row>
    <row r="178" spans="1:15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5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5" x14ac:dyDescent="0.25">
      <c r="B180" s="1"/>
      <c r="C180" s="1"/>
      <c r="D180" s="1"/>
      <c r="E180" s="1"/>
      <c r="F180" s="1"/>
      <c r="G180" s="1"/>
      <c r="H180" s="1"/>
      <c r="I180" s="1"/>
    </row>
    <row r="185" spans="1:15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5" ht="21" x14ac:dyDescent="0.35">
      <c r="A186" t="s">
        <v>0</v>
      </c>
      <c r="B186" s="73" t="s">
        <v>1</v>
      </c>
      <c r="C186" s="73"/>
      <c r="D186" s="73"/>
      <c r="E186" s="73"/>
      <c r="F186" s="73"/>
      <c r="G186" s="73"/>
      <c r="H186" s="73"/>
      <c r="I186" s="73"/>
      <c r="J186" s="73"/>
    </row>
    <row r="187" spans="1:15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</row>
    <row r="188" spans="1:15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5" x14ac:dyDescent="0.25">
      <c r="B189" s="17">
        <v>46057</v>
      </c>
      <c r="C189" s="18" t="s">
        <v>188</v>
      </c>
      <c r="D189" s="18">
        <v>4</v>
      </c>
      <c r="E189" s="18">
        <v>454</v>
      </c>
      <c r="F189" s="7">
        <f t="shared" ref="F189:F209" si="49">E189*D189</f>
        <v>1816</v>
      </c>
      <c r="G189" s="7">
        <v>2.5461</v>
      </c>
      <c r="H189" s="7">
        <f t="shared" ref="H189:H209" si="50">E189*G189</f>
        <v>1155.9294</v>
      </c>
      <c r="I189" s="7">
        <f t="shared" ref="I189:I209" si="51">H189*D189</f>
        <v>4623.7175999999999</v>
      </c>
      <c r="J189" s="5">
        <f t="shared" ref="J189:J209" si="52">J188+I189</f>
        <v>7656.1226999999999</v>
      </c>
    </row>
    <row r="190" spans="1:15" x14ac:dyDescent="0.25">
      <c r="B190" s="17">
        <v>46057</v>
      </c>
      <c r="C190" s="18" t="s">
        <v>189</v>
      </c>
      <c r="D190" s="18">
        <v>4</v>
      </c>
      <c r="E190" s="18">
        <v>450</v>
      </c>
      <c r="F190" s="7">
        <f t="shared" si="49"/>
        <v>1800</v>
      </c>
      <c r="G190" s="7">
        <v>2.5461</v>
      </c>
      <c r="H190" s="7">
        <f t="shared" si="50"/>
        <v>1145.7450000000001</v>
      </c>
      <c r="I190" s="7">
        <f t="shared" si="51"/>
        <v>4582.9800000000005</v>
      </c>
      <c r="J190" s="5">
        <f t="shared" si="52"/>
        <v>12239.102699999999</v>
      </c>
    </row>
    <row r="191" spans="1:15" x14ac:dyDescent="0.25">
      <c r="B191" s="17">
        <v>46058</v>
      </c>
      <c r="C191" s="18" t="s">
        <v>190</v>
      </c>
      <c r="D191" s="18">
        <v>50</v>
      </c>
      <c r="E191" s="18">
        <v>397</v>
      </c>
      <c r="F191" s="7">
        <f t="shared" si="49"/>
        <v>19850</v>
      </c>
      <c r="G191" s="7">
        <v>2.5461</v>
      </c>
      <c r="H191" s="7">
        <f t="shared" si="50"/>
        <v>1010.8017</v>
      </c>
      <c r="I191" s="7">
        <f t="shared" si="51"/>
        <v>50540.084999999999</v>
      </c>
      <c r="J191" s="5">
        <f t="shared" si="52"/>
        <v>62779.187699999995</v>
      </c>
    </row>
    <row r="192" spans="1:15" x14ac:dyDescent="0.25">
      <c r="B192" s="17">
        <v>46059</v>
      </c>
      <c r="C192" s="18" t="s">
        <v>188</v>
      </c>
      <c r="D192" s="18">
        <v>2</v>
      </c>
      <c r="E192" s="18">
        <v>450</v>
      </c>
      <c r="F192" s="7">
        <f t="shared" si="49"/>
        <v>900</v>
      </c>
      <c r="G192" s="7">
        <v>2.5461</v>
      </c>
      <c r="H192" s="7">
        <f t="shared" si="50"/>
        <v>1145.7450000000001</v>
      </c>
      <c r="I192" s="7">
        <f t="shared" si="51"/>
        <v>2291.4900000000002</v>
      </c>
      <c r="J192" s="5">
        <f t="shared" si="52"/>
        <v>65070.677699999993</v>
      </c>
    </row>
    <row r="193" spans="2:10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0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0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0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0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0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0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0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0" x14ac:dyDescent="0.25">
      <c r="B201" s="17">
        <v>46073</v>
      </c>
      <c r="C201" s="18" t="s">
        <v>199</v>
      </c>
      <c r="D201" s="18">
        <v>80</v>
      </c>
      <c r="E201" s="18">
        <v>400</v>
      </c>
      <c r="F201" s="7">
        <f t="shared" si="49"/>
        <v>32000</v>
      </c>
      <c r="G201" s="7">
        <v>2.5461</v>
      </c>
      <c r="H201" s="7">
        <f t="shared" si="50"/>
        <v>1018.44</v>
      </c>
      <c r="I201" s="7">
        <f t="shared" si="51"/>
        <v>81475.200000000012</v>
      </c>
      <c r="J201" s="5">
        <f t="shared" si="52"/>
        <v>188449.59149999998</v>
      </c>
    </row>
    <row r="202" spans="2:10" x14ac:dyDescent="0.25">
      <c r="B202" s="17">
        <v>46072</v>
      </c>
      <c r="C202" s="18" t="s">
        <v>200</v>
      </c>
      <c r="D202" s="18">
        <v>60</v>
      </c>
      <c r="E202" s="18">
        <v>400</v>
      </c>
      <c r="F202" s="7">
        <f t="shared" si="49"/>
        <v>24000</v>
      </c>
      <c r="G202" s="7">
        <v>2.5461</v>
      </c>
      <c r="H202" s="7">
        <f t="shared" si="50"/>
        <v>1018.44</v>
      </c>
      <c r="I202" s="7">
        <f t="shared" si="51"/>
        <v>61106.400000000001</v>
      </c>
      <c r="J202" s="5">
        <f t="shared" si="52"/>
        <v>249555.99149999997</v>
      </c>
    </row>
    <row r="203" spans="2:10" x14ac:dyDescent="0.25">
      <c r="B203" s="17">
        <v>46074</v>
      </c>
      <c r="C203" s="18" t="s">
        <v>81</v>
      </c>
      <c r="D203" s="18">
        <v>10</v>
      </c>
      <c r="E203" s="18">
        <v>2100</v>
      </c>
      <c r="F203" s="7">
        <f t="shared" si="49"/>
        <v>21000</v>
      </c>
      <c r="G203" s="7">
        <v>2.5461</v>
      </c>
      <c r="H203" s="7">
        <f t="shared" si="50"/>
        <v>5346.81</v>
      </c>
      <c r="I203" s="7">
        <f t="shared" si="51"/>
        <v>53468.100000000006</v>
      </c>
      <c r="J203" s="5">
        <f t="shared" si="52"/>
        <v>303024.09149999998</v>
      </c>
    </row>
    <row r="204" spans="2:10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0" x14ac:dyDescent="0.25">
      <c r="B205" s="17">
        <v>46074</v>
      </c>
      <c r="C205" s="18" t="s">
        <v>202</v>
      </c>
      <c r="D205" s="18">
        <v>4</v>
      </c>
      <c r="E205" s="18">
        <v>2099</v>
      </c>
      <c r="F205" s="7">
        <f t="shared" si="49"/>
        <v>8396</v>
      </c>
      <c r="G205" s="7">
        <v>2.5461</v>
      </c>
      <c r="H205" s="7">
        <f t="shared" si="50"/>
        <v>5344.2638999999999</v>
      </c>
      <c r="I205" s="7">
        <f t="shared" si="51"/>
        <v>21377.0556</v>
      </c>
      <c r="J205" s="5">
        <f t="shared" si="52"/>
        <v>328984.12709999998</v>
      </c>
    </row>
    <row r="206" spans="2:10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0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0" x14ac:dyDescent="0.25">
      <c r="B208" s="8">
        <v>46069</v>
      </c>
      <c r="C208" s="9" t="s">
        <v>205</v>
      </c>
      <c r="D208" s="54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55">
        <v>46058</v>
      </c>
      <c r="C209" s="56" t="s">
        <v>206</v>
      </c>
      <c r="D209" s="57">
        <v>1</v>
      </c>
      <c r="E209" s="57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73" t="s">
        <v>34</v>
      </c>
      <c r="C215" s="73"/>
      <c r="D215" s="73"/>
      <c r="E215" s="73"/>
      <c r="F215" s="73"/>
      <c r="G215" s="73"/>
      <c r="H215" s="73"/>
      <c r="I215" s="73"/>
      <c r="J215" s="73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</row>
    <row r="217" spans="1:15" x14ac:dyDescent="0.25">
      <c r="B217" s="8">
        <v>46071</v>
      </c>
      <c r="C217" s="9" t="s">
        <v>207</v>
      </c>
      <c r="D217" s="9">
        <v>3</v>
      </c>
      <c r="E217" s="9">
        <v>1449</v>
      </c>
      <c r="F217" s="11">
        <f>E217*D217</f>
        <v>4347</v>
      </c>
      <c r="G217" s="11">
        <v>2.13</v>
      </c>
      <c r="H217" s="11">
        <f>E217*G217</f>
        <v>3086.37</v>
      </c>
      <c r="I217" s="11">
        <f>H217*D217</f>
        <v>9259.11</v>
      </c>
      <c r="J217" s="9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74" t="s">
        <v>1</v>
      </c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1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1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  <row r="233" spans="1:15" x14ac:dyDescent="0.25">
      <c r="B233" s="1"/>
      <c r="C233" s="1"/>
      <c r="D233" s="1"/>
      <c r="E233" s="1"/>
      <c r="F233" s="1"/>
      <c r="G233" s="1"/>
      <c r="H233" s="1"/>
      <c r="I233" s="1"/>
      <c r="J233" s="2"/>
    </row>
    <row r="234" spans="1:15" ht="21" x14ac:dyDescent="0.35">
      <c r="A234" t="s">
        <v>0</v>
      </c>
      <c r="B234" s="73" t="s">
        <v>34</v>
      </c>
      <c r="C234" s="73"/>
      <c r="D234" s="73"/>
      <c r="E234" s="73"/>
      <c r="F234" s="73"/>
      <c r="G234" s="73"/>
      <c r="H234" s="73"/>
      <c r="I234" s="73"/>
      <c r="J234" s="73"/>
    </row>
    <row r="235" spans="1:15" ht="18.75" x14ac:dyDescent="0.3">
      <c r="A235" t="s">
        <v>2</v>
      </c>
      <c r="B235" s="3" t="s">
        <v>3</v>
      </c>
      <c r="C235" s="3" t="s">
        <v>4</v>
      </c>
      <c r="D235" s="3" t="s">
        <v>5</v>
      </c>
      <c r="E235" s="3" t="s">
        <v>6</v>
      </c>
      <c r="F235" s="3" t="s">
        <v>7</v>
      </c>
      <c r="G235" s="3" t="s">
        <v>8</v>
      </c>
      <c r="H235" s="3" t="s">
        <v>9</v>
      </c>
      <c r="I235" s="3" t="s">
        <v>10</v>
      </c>
      <c r="J235" s="3"/>
    </row>
    <row r="236" spans="1:15" x14ac:dyDescent="0.25">
      <c r="B236" s="17">
        <v>46034</v>
      </c>
      <c r="C236" s="18" t="s">
        <v>209</v>
      </c>
      <c r="D236" s="18">
        <v>30</v>
      </c>
      <c r="E236" s="18">
        <v>460</v>
      </c>
      <c r="F236" s="20">
        <f>E236*D236</f>
        <v>13800</v>
      </c>
      <c r="G236" s="7">
        <v>2.13</v>
      </c>
      <c r="H236" s="7">
        <f>E236*G236</f>
        <v>979.8</v>
      </c>
      <c r="I236" s="7">
        <f>H236*D236</f>
        <v>29394</v>
      </c>
      <c r="J236" s="5">
        <f>J235+I236</f>
        <v>29394</v>
      </c>
    </row>
    <row r="237" spans="1:15" x14ac:dyDescent="0.25">
      <c r="B237" s="7"/>
      <c r="C237" s="7"/>
      <c r="D237" s="7"/>
      <c r="E237" s="7"/>
      <c r="F237" s="7">
        <f t="shared" ref="F237" si="63">E237*D237</f>
        <v>0</v>
      </c>
      <c r="G237" s="7"/>
      <c r="H237" s="7">
        <f t="shared" ref="H237" si="64">E237*G237</f>
        <v>0</v>
      </c>
      <c r="I237" s="7">
        <f t="shared" ref="I237" si="65">H237*D237</f>
        <v>0</v>
      </c>
      <c r="J237" s="5">
        <f t="shared" ref="J237" si="66">J236+I237</f>
        <v>29394</v>
      </c>
    </row>
    <row r="238" spans="1:15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5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5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0" x14ac:dyDescent="0.25">
      <c r="B241" s="1"/>
      <c r="C241" s="1"/>
      <c r="D241" s="1"/>
      <c r="E241" s="1"/>
      <c r="F241" s="1"/>
      <c r="G241" s="1"/>
      <c r="H241" s="1"/>
      <c r="I241" s="1"/>
      <c r="J241" s="2"/>
    </row>
    <row r="242" spans="1:10" x14ac:dyDescent="0.25">
      <c r="B242" s="1"/>
      <c r="C242" s="1"/>
      <c r="D242" s="1"/>
      <c r="E242" s="1"/>
      <c r="F242" s="1"/>
      <c r="G242" s="1"/>
      <c r="H242" s="1"/>
      <c r="I242" s="1"/>
      <c r="J242" s="2"/>
    </row>
    <row r="243" spans="1:10" x14ac:dyDescent="0.25">
      <c r="B243" s="1"/>
      <c r="C243" s="1"/>
      <c r="D243" s="1"/>
      <c r="E243" s="1"/>
      <c r="F243" s="1"/>
      <c r="G243" s="1"/>
      <c r="H243" s="1"/>
      <c r="I243" s="1"/>
      <c r="J243" s="2"/>
    </row>
    <row r="244" spans="1:10" ht="21" x14ac:dyDescent="0.35">
      <c r="A244" t="s">
        <v>0</v>
      </c>
      <c r="B244" s="73" t="s">
        <v>1</v>
      </c>
      <c r="C244" s="73"/>
      <c r="D244" s="73"/>
      <c r="E244" s="73"/>
      <c r="F244" s="73"/>
      <c r="G244" s="73"/>
      <c r="H244" s="73"/>
      <c r="I244" s="73"/>
      <c r="J244" s="73"/>
    </row>
    <row r="245" spans="1:10" ht="18.75" x14ac:dyDescent="0.3">
      <c r="A245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  <c r="H245" s="3" t="s">
        <v>9</v>
      </c>
      <c r="I245" s="3" t="s">
        <v>10</v>
      </c>
      <c r="J245" s="3"/>
    </row>
    <row r="246" spans="1:10" x14ac:dyDescent="0.25">
      <c r="B246" s="17">
        <v>46080</v>
      </c>
      <c r="C246" s="18" t="s">
        <v>210</v>
      </c>
      <c r="D246" s="18">
        <v>60</v>
      </c>
      <c r="E246" s="18">
        <v>400</v>
      </c>
      <c r="F246" s="20">
        <f>E246*D246</f>
        <v>24000</v>
      </c>
      <c r="G246" s="20">
        <v>2.5466000000000002</v>
      </c>
      <c r="H246" s="7">
        <f>E246*G246</f>
        <v>1018.6400000000001</v>
      </c>
      <c r="I246" s="7">
        <f>H246*D246</f>
        <v>61118.400000000009</v>
      </c>
      <c r="J246" s="5">
        <f>J245+I246</f>
        <v>61118.400000000009</v>
      </c>
    </row>
    <row r="247" spans="1:10" x14ac:dyDescent="0.25">
      <c r="B247" s="17">
        <v>46081</v>
      </c>
      <c r="C247" s="18" t="s">
        <v>211</v>
      </c>
      <c r="D247" s="18">
        <v>4</v>
      </c>
      <c r="E247" s="18">
        <v>590</v>
      </c>
      <c r="F247" s="20">
        <f t="shared" ref="F247:F251" si="67">E247*D247</f>
        <v>2360</v>
      </c>
      <c r="G247" s="20">
        <v>2.5466000000000002</v>
      </c>
      <c r="H247" s="7">
        <f t="shared" ref="H247:H251" si="68">E247*G247</f>
        <v>1502.4940000000001</v>
      </c>
      <c r="I247" s="7">
        <f t="shared" ref="I247:I251" si="69">H247*D247</f>
        <v>6009.9760000000006</v>
      </c>
      <c r="J247" s="5">
        <f t="shared" ref="J247:J251" si="70">J246+I247</f>
        <v>67128.376000000004</v>
      </c>
    </row>
    <row r="248" spans="1:10" x14ac:dyDescent="0.25">
      <c r="B248" s="17">
        <v>46081</v>
      </c>
      <c r="C248" s="18" t="s">
        <v>69</v>
      </c>
      <c r="D248" s="18">
        <v>1</v>
      </c>
      <c r="E248" s="18">
        <v>2099</v>
      </c>
      <c r="F248" s="20">
        <f t="shared" si="67"/>
        <v>2099</v>
      </c>
      <c r="G248" s="20">
        <v>2.5466000000000002</v>
      </c>
      <c r="H248" s="7">
        <f t="shared" si="68"/>
        <v>5345.3134</v>
      </c>
      <c r="I248" s="7">
        <f t="shared" si="69"/>
        <v>5345.3134</v>
      </c>
      <c r="J248" s="5">
        <f t="shared" si="70"/>
        <v>72473.689400000003</v>
      </c>
    </row>
    <row r="249" spans="1:10" x14ac:dyDescent="0.25">
      <c r="B249" s="12">
        <v>46083</v>
      </c>
      <c r="C249" s="13" t="s">
        <v>212</v>
      </c>
      <c r="D249" s="13">
        <v>80</v>
      </c>
      <c r="E249" s="15">
        <v>400</v>
      </c>
      <c r="F249" s="14">
        <f t="shared" si="67"/>
        <v>32000</v>
      </c>
      <c r="G249" s="14">
        <v>2.5466000000000002</v>
      </c>
      <c r="H249" s="14">
        <f t="shared" si="68"/>
        <v>1018.6400000000001</v>
      </c>
      <c r="I249" s="14">
        <f t="shared" si="69"/>
        <v>81491.200000000012</v>
      </c>
      <c r="J249" s="13">
        <f t="shared" si="70"/>
        <v>153964.88940000001</v>
      </c>
    </row>
    <row r="250" spans="1:10" x14ac:dyDescent="0.25">
      <c r="B250" s="58">
        <v>45982</v>
      </c>
      <c r="C250" s="59" t="s">
        <v>213</v>
      </c>
      <c r="D250" s="60">
        <v>16</v>
      </c>
      <c r="E250" s="60">
        <v>391</v>
      </c>
      <c r="F250" s="7">
        <f t="shared" si="67"/>
        <v>6256</v>
      </c>
      <c r="G250" s="20">
        <v>2.5466000000000002</v>
      </c>
      <c r="H250" s="7">
        <f t="shared" si="68"/>
        <v>995.7206000000001</v>
      </c>
      <c r="I250" s="7">
        <f t="shared" si="69"/>
        <v>15931.529600000002</v>
      </c>
      <c r="J250" s="5">
        <f t="shared" si="70"/>
        <v>169896.41900000002</v>
      </c>
    </row>
    <row r="251" spans="1:10" x14ac:dyDescent="0.25">
      <c r="B251" s="58">
        <v>45982</v>
      </c>
      <c r="C251" s="59" t="s">
        <v>214</v>
      </c>
      <c r="D251" s="60">
        <v>5</v>
      </c>
      <c r="E251" s="60">
        <v>1</v>
      </c>
      <c r="F251" s="7">
        <f t="shared" si="67"/>
        <v>5</v>
      </c>
      <c r="G251" s="20">
        <v>2.5466000000000002</v>
      </c>
      <c r="H251" s="7">
        <f t="shared" si="68"/>
        <v>2.5466000000000002</v>
      </c>
      <c r="I251" s="7">
        <f t="shared" si="69"/>
        <v>12.733000000000001</v>
      </c>
      <c r="J251" s="5">
        <f t="shared" si="70"/>
        <v>169909.15200000003</v>
      </c>
    </row>
    <row r="263" spans="1:10" x14ac:dyDescent="0.25">
      <c r="B263" s="1"/>
      <c r="C263" s="1"/>
      <c r="D263" s="1"/>
      <c r="E263" s="1"/>
      <c r="F263" s="1"/>
      <c r="G263" s="1"/>
      <c r="H263" s="1"/>
      <c r="I263" s="1"/>
      <c r="J263" s="2"/>
    </row>
    <row r="264" spans="1:10" ht="21" x14ac:dyDescent="0.35">
      <c r="A264" t="s">
        <v>0</v>
      </c>
      <c r="B264" s="73" t="s">
        <v>34</v>
      </c>
      <c r="C264" s="73"/>
      <c r="D264" s="73"/>
      <c r="E264" s="73"/>
      <c r="F264" s="73"/>
      <c r="G264" s="73"/>
      <c r="H264" s="73"/>
      <c r="I264" s="73"/>
      <c r="J264" s="73"/>
    </row>
    <row r="265" spans="1:10" ht="18.75" x14ac:dyDescent="0.3">
      <c r="A265" t="s">
        <v>2</v>
      </c>
      <c r="B265" s="3" t="s">
        <v>3</v>
      </c>
      <c r="C265" s="3" t="s">
        <v>4</v>
      </c>
      <c r="D265" s="3" t="s">
        <v>5</v>
      </c>
      <c r="E265" s="3" t="s">
        <v>6</v>
      </c>
      <c r="F265" s="3" t="s">
        <v>7</v>
      </c>
      <c r="G265" s="3" t="s">
        <v>8</v>
      </c>
      <c r="H265" s="3" t="s">
        <v>9</v>
      </c>
      <c r="I265" s="3" t="s">
        <v>10</v>
      </c>
      <c r="J265" s="3"/>
    </row>
    <row r="266" spans="1:10" x14ac:dyDescent="0.25">
      <c r="B266" s="8">
        <v>46113</v>
      </c>
      <c r="C266" s="9" t="s">
        <v>215</v>
      </c>
      <c r="D266" s="9">
        <v>10</v>
      </c>
      <c r="E266" s="10">
        <v>469</v>
      </c>
      <c r="F266" s="11">
        <f>E266*D266</f>
        <v>4690</v>
      </c>
      <c r="G266" s="11">
        <v>2.15</v>
      </c>
      <c r="H266" s="11">
        <f>E266*G266</f>
        <v>1008.3499999999999</v>
      </c>
      <c r="I266" s="11">
        <f>H266*D266</f>
        <v>10083.5</v>
      </c>
      <c r="J266" s="9">
        <f>J265+I266</f>
        <v>10083.5</v>
      </c>
    </row>
    <row r="267" spans="1:10" x14ac:dyDescent="0.25">
      <c r="B267" s="8">
        <v>46113</v>
      </c>
      <c r="C267" s="9" t="s">
        <v>216</v>
      </c>
      <c r="D267" s="9">
        <v>8</v>
      </c>
      <c r="E267" s="10">
        <v>1579</v>
      </c>
      <c r="F267" s="11">
        <f t="shared" ref="F267:F274" si="71">E267*D267</f>
        <v>12632</v>
      </c>
      <c r="G267" s="11">
        <v>2.15</v>
      </c>
      <c r="H267" s="11">
        <f t="shared" ref="H267:H274" si="72">E267*G267</f>
        <v>3394.85</v>
      </c>
      <c r="I267" s="11">
        <f t="shared" ref="I267:I274" si="73">H267*D267</f>
        <v>27158.799999999999</v>
      </c>
      <c r="J267" s="9">
        <f t="shared" ref="J267:J274" si="74">J266+I267</f>
        <v>37242.300000000003</v>
      </c>
    </row>
    <row r="268" spans="1:10" x14ac:dyDescent="0.25">
      <c r="B268" s="8">
        <v>46113</v>
      </c>
      <c r="C268" s="9" t="s">
        <v>217</v>
      </c>
      <c r="D268" s="9">
        <v>5</v>
      </c>
      <c r="E268" s="10">
        <v>1579</v>
      </c>
      <c r="F268" s="11">
        <f t="shared" si="71"/>
        <v>7895</v>
      </c>
      <c r="G268" s="11">
        <v>2.15</v>
      </c>
      <c r="H268" s="11">
        <f t="shared" si="72"/>
        <v>3394.85</v>
      </c>
      <c r="I268" s="11">
        <f t="shared" si="73"/>
        <v>16974.25</v>
      </c>
      <c r="J268" s="9">
        <f t="shared" si="74"/>
        <v>54216.55</v>
      </c>
    </row>
    <row r="269" spans="1:10" x14ac:dyDescent="0.25">
      <c r="B269" s="8">
        <v>46113</v>
      </c>
      <c r="C269" s="9" t="s">
        <v>218</v>
      </c>
      <c r="D269" s="9">
        <v>4</v>
      </c>
      <c r="E269" s="10">
        <v>779</v>
      </c>
      <c r="F269" s="11">
        <f t="shared" si="71"/>
        <v>3116</v>
      </c>
      <c r="G269" s="11">
        <v>2.15</v>
      </c>
      <c r="H269" s="11">
        <f t="shared" si="72"/>
        <v>1674.85</v>
      </c>
      <c r="I269" s="11">
        <f t="shared" si="73"/>
        <v>6699.4</v>
      </c>
      <c r="J269" s="9">
        <f t="shared" si="74"/>
        <v>60915.950000000004</v>
      </c>
    </row>
    <row r="270" spans="1:10" x14ac:dyDescent="0.25">
      <c r="B270" s="8">
        <v>46114</v>
      </c>
      <c r="C270" s="9" t="s">
        <v>219</v>
      </c>
      <c r="D270" s="9">
        <v>2</v>
      </c>
      <c r="E270" s="10">
        <v>1579</v>
      </c>
      <c r="F270" s="11">
        <f t="shared" si="71"/>
        <v>3158</v>
      </c>
      <c r="G270" s="11">
        <v>2.15</v>
      </c>
      <c r="H270" s="11">
        <f t="shared" si="72"/>
        <v>3394.85</v>
      </c>
      <c r="I270" s="11">
        <f t="shared" si="73"/>
        <v>6789.7</v>
      </c>
      <c r="J270" s="9">
        <f t="shared" si="74"/>
        <v>67705.650000000009</v>
      </c>
    </row>
    <row r="271" spans="1:10" x14ac:dyDescent="0.25">
      <c r="B271" s="8">
        <v>46113</v>
      </c>
      <c r="C271" s="9" t="s">
        <v>220</v>
      </c>
      <c r="D271" s="9">
        <v>4</v>
      </c>
      <c r="E271" s="10">
        <v>1579</v>
      </c>
      <c r="F271" s="11">
        <f t="shared" si="71"/>
        <v>6316</v>
      </c>
      <c r="G271" s="11">
        <v>2.15</v>
      </c>
      <c r="H271" s="11">
        <f t="shared" si="72"/>
        <v>3394.85</v>
      </c>
      <c r="I271" s="11">
        <f t="shared" si="73"/>
        <v>13579.4</v>
      </c>
      <c r="J271" s="9">
        <f t="shared" si="74"/>
        <v>81285.05</v>
      </c>
    </row>
    <row r="272" spans="1:10" x14ac:dyDescent="0.25">
      <c r="B272" s="8">
        <v>46113</v>
      </c>
      <c r="C272" s="9" t="s">
        <v>216</v>
      </c>
      <c r="D272" s="9">
        <v>3</v>
      </c>
      <c r="E272" s="10">
        <v>1579</v>
      </c>
      <c r="F272" s="11">
        <f t="shared" si="71"/>
        <v>4737</v>
      </c>
      <c r="G272" s="11">
        <v>2.15</v>
      </c>
      <c r="H272" s="11">
        <f t="shared" si="72"/>
        <v>3394.85</v>
      </c>
      <c r="I272" s="11">
        <f t="shared" si="73"/>
        <v>10184.549999999999</v>
      </c>
      <c r="J272" s="9">
        <f t="shared" si="74"/>
        <v>91469.6</v>
      </c>
    </row>
    <row r="273" spans="1:10" x14ac:dyDescent="0.25">
      <c r="B273" s="8">
        <v>46113</v>
      </c>
      <c r="C273" s="9" t="s">
        <v>219</v>
      </c>
      <c r="D273" s="9">
        <v>1</v>
      </c>
      <c r="E273" s="10">
        <v>1579</v>
      </c>
      <c r="F273" s="11">
        <f t="shared" si="71"/>
        <v>1579</v>
      </c>
      <c r="G273" s="11">
        <v>2.15</v>
      </c>
      <c r="H273" s="11">
        <f t="shared" si="72"/>
        <v>3394.85</v>
      </c>
      <c r="I273" s="11">
        <f t="shared" si="73"/>
        <v>3394.85</v>
      </c>
      <c r="J273" s="9">
        <f t="shared" si="74"/>
        <v>94864.450000000012</v>
      </c>
    </row>
    <row r="274" spans="1:10" x14ac:dyDescent="0.25">
      <c r="B274" s="8">
        <v>46114</v>
      </c>
      <c r="C274" s="9" t="s">
        <v>217</v>
      </c>
      <c r="D274" s="9">
        <v>3</v>
      </c>
      <c r="E274" s="10">
        <v>1579</v>
      </c>
      <c r="F274" s="11">
        <f t="shared" si="71"/>
        <v>4737</v>
      </c>
      <c r="G274" s="11">
        <v>2.15</v>
      </c>
      <c r="H274" s="11">
        <f t="shared" si="72"/>
        <v>3394.85</v>
      </c>
      <c r="I274" s="11">
        <f t="shared" si="73"/>
        <v>10184.549999999999</v>
      </c>
      <c r="J274" s="9">
        <f t="shared" si="74"/>
        <v>105049.00000000001</v>
      </c>
    </row>
    <row r="275" spans="1:10" x14ac:dyDescent="0.25">
      <c r="B275" s="8">
        <v>46114</v>
      </c>
      <c r="C275" s="9" t="s">
        <v>216</v>
      </c>
      <c r="D275" s="9">
        <v>3</v>
      </c>
      <c r="E275" s="10">
        <v>1579</v>
      </c>
      <c r="F275" s="11">
        <f>E275*D275</f>
        <v>4737</v>
      </c>
      <c r="G275" s="11">
        <v>2.15</v>
      </c>
      <c r="H275" s="11">
        <f>E275*G275</f>
        <v>3394.85</v>
      </c>
      <c r="I275" s="11">
        <f>H275*D275</f>
        <v>10184.549999999999</v>
      </c>
      <c r="J275" s="9">
        <f>J274+I275</f>
        <v>115233.55000000002</v>
      </c>
    </row>
    <row r="276" spans="1:10" x14ac:dyDescent="0.25">
      <c r="B276" s="8">
        <v>46118</v>
      </c>
      <c r="C276" s="9" t="s">
        <v>221</v>
      </c>
      <c r="D276" s="54">
        <v>10</v>
      </c>
      <c r="E276" s="54">
        <v>470</v>
      </c>
      <c r="F276" s="54">
        <f>E276*D276</f>
        <v>4700</v>
      </c>
      <c r="G276" s="54">
        <v>2.15</v>
      </c>
      <c r="H276" s="54">
        <f>E276*G276</f>
        <v>1010.5</v>
      </c>
      <c r="I276" s="54">
        <f>H276*D276</f>
        <v>10105</v>
      </c>
      <c r="J276" s="9">
        <f>J275+I276</f>
        <v>125338.55000000002</v>
      </c>
    </row>
    <row r="277" spans="1:10" x14ac:dyDescent="0.25">
      <c r="B277" s="4">
        <v>46114</v>
      </c>
      <c r="C277" s="5" t="s">
        <v>222</v>
      </c>
      <c r="D277" s="5">
        <v>1</v>
      </c>
      <c r="E277" s="6">
        <v>2748.46</v>
      </c>
      <c r="F277" s="7">
        <f>E277*D277</f>
        <v>2748.46</v>
      </c>
      <c r="G277" s="7">
        <v>2.15</v>
      </c>
      <c r="H277" s="7">
        <f>E277*G277</f>
        <v>5909.1889999999994</v>
      </c>
      <c r="I277" s="7">
        <f>H277*D277</f>
        <v>5909.1889999999994</v>
      </c>
      <c r="J277" s="18">
        <f>J276+I277</f>
        <v>131247.73900000003</v>
      </c>
    </row>
    <row r="278" spans="1:10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0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0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0" x14ac:dyDescent="0.25">
      <c r="B281" s="1"/>
      <c r="C281" s="1"/>
      <c r="D281" s="1"/>
      <c r="E281" s="1"/>
      <c r="F281" s="1"/>
      <c r="G281" s="1"/>
      <c r="H281" s="1"/>
      <c r="I281" s="1"/>
      <c r="J281" s="2"/>
    </row>
    <row r="282" spans="1:10" x14ac:dyDescent="0.25">
      <c r="B282" s="1"/>
      <c r="C282" s="1"/>
      <c r="D282" s="1"/>
      <c r="E282" s="1"/>
      <c r="F282" s="1"/>
      <c r="G282" s="1"/>
      <c r="H282" s="1"/>
      <c r="I282" s="1"/>
      <c r="J282" s="2"/>
    </row>
    <row r="283" spans="1:10" x14ac:dyDescent="0.25">
      <c r="B283" s="1"/>
      <c r="C283" s="1"/>
      <c r="D283" s="1"/>
      <c r="E283" s="1"/>
      <c r="F283" s="1"/>
      <c r="G283" s="1"/>
      <c r="H283" s="1"/>
      <c r="I283" s="1"/>
      <c r="J283" s="2"/>
    </row>
    <row r="284" spans="1:10" ht="21" x14ac:dyDescent="0.35">
      <c r="A284" t="s">
        <v>0</v>
      </c>
      <c r="B284" s="73" t="s">
        <v>1</v>
      </c>
      <c r="C284" s="73"/>
      <c r="D284" s="73"/>
      <c r="E284" s="73"/>
      <c r="F284" s="73"/>
      <c r="G284" s="73"/>
      <c r="H284" s="73"/>
      <c r="I284" s="73"/>
      <c r="J284" s="73"/>
    </row>
    <row r="285" spans="1:10" ht="18.75" x14ac:dyDescent="0.3">
      <c r="A285" t="s">
        <v>2</v>
      </c>
      <c r="B285" s="3" t="s">
        <v>3</v>
      </c>
      <c r="C285" s="3" t="s">
        <v>4</v>
      </c>
      <c r="D285" s="3" t="s">
        <v>5</v>
      </c>
      <c r="E285" s="3" t="s">
        <v>6</v>
      </c>
      <c r="F285" s="3" t="s">
        <v>7</v>
      </c>
      <c r="G285" s="3" t="s">
        <v>8</v>
      </c>
      <c r="H285" s="3" t="s">
        <v>9</v>
      </c>
      <c r="I285" s="3" t="s">
        <v>10</v>
      </c>
      <c r="J285" s="3"/>
    </row>
    <row r="286" spans="1:10" x14ac:dyDescent="0.25">
      <c r="B286" s="8">
        <v>46127</v>
      </c>
      <c r="C286" s="9" t="s">
        <v>223</v>
      </c>
      <c r="D286" s="9">
        <v>500</v>
      </c>
      <c r="E286" s="10">
        <v>398</v>
      </c>
      <c r="F286" s="11">
        <f t="shared" ref="F286:F295" si="75">E286*D286</f>
        <v>199000</v>
      </c>
      <c r="G286" s="11">
        <v>2.5585</v>
      </c>
      <c r="H286" s="11">
        <f t="shared" ref="H286:H295" si="76">E286*G286</f>
        <v>1018.283</v>
      </c>
      <c r="I286" s="11">
        <f t="shared" ref="I286:I295" si="77">H286*D286</f>
        <v>509141.5</v>
      </c>
      <c r="J286" s="9">
        <f>J285+I286</f>
        <v>509141.5</v>
      </c>
    </row>
    <row r="287" spans="1:10" x14ac:dyDescent="0.25">
      <c r="B287" s="4">
        <v>46129</v>
      </c>
      <c r="C287" s="5" t="s">
        <v>224</v>
      </c>
      <c r="D287" s="5">
        <v>2</v>
      </c>
      <c r="E287" s="6">
        <v>1199</v>
      </c>
      <c r="F287" s="7">
        <f t="shared" si="75"/>
        <v>2398</v>
      </c>
      <c r="G287" s="7">
        <v>2.5585</v>
      </c>
      <c r="H287" s="7">
        <f t="shared" si="76"/>
        <v>3067.6415000000002</v>
      </c>
      <c r="I287" s="7">
        <f t="shared" si="77"/>
        <v>6135.2830000000004</v>
      </c>
      <c r="J287" s="5">
        <f t="shared" ref="J287:J295" si="78">J286+I287</f>
        <v>515276.783</v>
      </c>
    </row>
    <row r="288" spans="1:10" x14ac:dyDescent="0.25">
      <c r="B288" s="4">
        <v>46129</v>
      </c>
      <c r="C288" s="5" t="s">
        <v>225</v>
      </c>
      <c r="D288" s="5">
        <v>2</v>
      </c>
      <c r="E288" s="6">
        <v>1199</v>
      </c>
      <c r="F288" s="7">
        <f t="shared" si="75"/>
        <v>2398</v>
      </c>
      <c r="G288" s="7">
        <v>2.5585</v>
      </c>
      <c r="H288" s="7">
        <f t="shared" si="76"/>
        <v>3067.6415000000002</v>
      </c>
      <c r="I288" s="7">
        <f t="shared" si="77"/>
        <v>6135.2830000000004</v>
      </c>
      <c r="J288" s="5">
        <f t="shared" si="78"/>
        <v>521412.06599999999</v>
      </c>
    </row>
    <row r="289" spans="1:15" x14ac:dyDescent="0.25">
      <c r="B289" s="4">
        <v>46129</v>
      </c>
      <c r="C289" s="5" t="s">
        <v>225</v>
      </c>
      <c r="D289" s="5">
        <v>3</v>
      </c>
      <c r="E289" s="6">
        <v>1199</v>
      </c>
      <c r="F289" s="7">
        <f t="shared" si="75"/>
        <v>3597</v>
      </c>
      <c r="G289" s="7">
        <v>2.5585</v>
      </c>
      <c r="H289" s="7">
        <f t="shared" si="76"/>
        <v>3067.6415000000002</v>
      </c>
      <c r="I289" s="7">
        <f t="shared" si="77"/>
        <v>9202.924500000001</v>
      </c>
      <c r="J289" s="5">
        <f t="shared" si="78"/>
        <v>530614.99049999996</v>
      </c>
    </row>
    <row r="290" spans="1:15" x14ac:dyDescent="0.25">
      <c r="B290" s="61">
        <v>46129</v>
      </c>
      <c r="C290" s="56" t="s">
        <v>225</v>
      </c>
      <c r="D290" s="56">
        <v>1</v>
      </c>
      <c r="E290" s="62">
        <v>750</v>
      </c>
      <c r="F290" s="7">
        <f t="shared" si="75"/>
        <v>750</v>
      </c>
      <c r="G290" s="7">
        <v>2.5585</v>
      </c>
      <c r="H290" s="7">
        <f t="shared" si="76"/>
        <v>1918.875</v>
      </c>
      <c r="I290" s="7">
        <f t="shared" si="77"/>
        <v>1918.875</v>
      </c>
      <c r="J290" s="5">
        <f t="shared" si="78"/>
        <v>532533.86549999996</v>
      </c>
    </row>
    <row r="291" spans="1:15" x14ac:dyDescent="0.25">
      <c r="B291" s="12">
        <v>46130</v>
      </c>
      <c r="C291" s="13" t="s">
        <v>226</v>
      </c>
      <c r="D291" s="13">
        <v>4</v>
      </c>
      <c r="E291" s="15">
        <v>1199</v>
      </c>
      <c r="F291" s="14">
        <f t="shared" si="75"/>
        <v>4796</v>
      </c>
      <c r="G291" s="14">
        <v>2.5585</v>
      </c>
      <c r="H291" s="14">
        <f t="shared" si="76"/>
        <v>3067.6415000000002</v>
      </c>
      <c r="I291" s="14">
        <f t="shared" si="77"/>
        <v>12270.566000000001</v>
      </c>
      <c r="J291" s="13">
        <f t="shared" si="78"/>
        <v>544804.43149999995</v>
      </c>
    </row>
    <row r="292" spans="1:15" x14ac:dyDescent="0.25">
      <c r="B292" s="12">
        <v>46130</v>
      </c>
      <c r="C292" s="13" t="s">
        <v>227</v>
      </c>
      <c r="D292" s="13">
        <v>4</v>
      </c>
      <c r="E292" s="13">
        <v>1199</v>
      </c>
      <c r="F292" s="14">
        <f t="shared" si="75"/>
        <v>4796</v>
      </c>
      <c r="G292" s="14">
        <v>2.5585</v>
      </c>
      <c r="H292" s="14">
        <f t="shared" si="76"/>
        <v>3067.6415000000002</v>
      </c>
      <c r="I292" s="14">
        <f t="shared" si="77"/>
        <v>12270.566000000001</v>
      </c>
      <c r="J292" s="13">
        <f t="shared" si="78"/>
        <v>557074.99749999994</v>
      </c>
    </row>
    <row r="293" spans="1:15" x14ac:dyDescent="0.25">
      <c r="B293" s="8">
        <v>46127</v>
      </c>
      <c r="C293" s="9" t="s">
        <v>228</v>
      </c>
      <c r="D293" s="9">
        <v>1</v>
      </c>
      <c r="E293" s="10">
        <v>200</v>
      </c>
      <c r="F293" s="11">
        <f t="shared" si="75"/>
        <v>200</v>
      </c>
      <c r="G293" s="11">
        <v>2.5585</v>
      </c>
      <c r="H293" s="11">
        <f t="shared" si="76"/>
        <v>511.7</v>
      </c>
      <c r="I293" s="11">
        <f t="shared" si="77"/>
        <v>511.7</v>
      </c>
      <c r="J293" s="9">
        <f t="shared" si="78"/>
        <v>557586.69749999989</v>
      </c>
    </row>
    <row r="294" spans="1:15" x14ac:dyDescent="0.25">
      <c r="B294" s="8">
        <v>46129</v>
      </c>
      <c r="C294" s="9" t="s">
        <v>229</v>
      </c>
      <c r="D294" s="9">
        <v>1</v>
      </c>
      <c r="E294" s="10">
        <v>2350</v>
      </c>
      <c r="F294" s="11">
        <f t="shared" si="75"/>
        <v>2350</v>
      </c>
      <c r="G294" s="11">
        <v>2.5585</v>
      </c>
      <c r="H294" s="11">
        <f t="shared" si="76"/>
        <v>6012.4750000000004</v>
      </c>
      <c r="I294" s="11">
        <f t="shared" si="77"/>
        <v>6012.4750000000004</v>
      </c>
      <c r="J294" s="9">
        <f t="shared" si="78"/>
        <v>563599.17249999987</v>
      </c>
    </row>
    <row r="295" spans="1:15" x14ac:dyDescent="0.25">
      <c r="B295" s="8">
        <v>46120</v>
      </c>
      <c r="C295" s="9" t="s">
        <v>230</v>
      </c>
      <c r="D295" s="9">
        <v>4</v>
      </c>
      <c r="E295" s="10">
        <v>25</v>
      </c>
      <c r="F295" s="11">
        <f t="shared" si="75"/>
        <v>100</v>
      </c>
      <c r="G295" s="11">
        <v>2.5585</v>
      </c>
      <c r="H295" s="11">
        <f t="shared" si="76"/>
        <v>63.962499999999999</v>
      </c>
      <c r="I295" s="11">
        <f t="shared" si="77"/>
        <v>255.85</v>
      </c>
      <c r="J295" s="9">
        <f t="shared" si="78"/>
        <v>563855.02249999985</v>
      </c>
    </row>
    <row r="296" spans="1:15" x14ac:dyDescent="0.25">
      <c r="B296" s="63"/>
      <c r="E296" s="64"/>
      <c r="F296" s="1"/>
      <c r="G296" s="1"/>
      <c r="H296" s="1"/>
      <c r="I296" s="1"/>
    </row>
    <row r="297" spans="1:15" x14ac:dyDescent="0.25">
      <c r="B297" s="63"/>
      <c r="E297" s="64"/>
      <c r="F297" s="1"/>
      <c r="G297" s="1"/>
      <c r="H297" s="1"/>
      <c r="I297" s="1"/>
    </row>
    <row r="298" spans="1:15" x14ac:dyDescent="0.25">
      <c r="B298" s="63"/>
      <c r="E298" s="64"/>
      <c r="F298" s="1"/>
      <c r="G298" s="1"/>
      <c r="H298" s="1"/>
      <c r="I298" s="1"/>
    </row>
    <row r="299" spans="1:15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5" x14ac:dyDescent="0.25">
      <c r="B300" s="1"/>
      <c r="C300" s="1"/>
      <c r="D300" s="1"/>
      <c r="E300" s="1"/>
      <c r="F300" s="1"/>
      <c r="G300" s="1"/>
      <c r="H300" s="1"/>
      <c r="I300" s="1"/>
      <c r="J300" s="2"/>
    </row>
    <row r="301" spans="1:15" x14ac:dyDescent="0.25">
      <c r="B301" s="1"/>
      <c r="C301" s="1"/>
      <c r="D301" s="1"/>
      <c r="E301" s="1"/>
      <c r="F301" s="1"/>
      <c r="G301" s="1"/>
      <c r="H301" s="1"/>
      <c r="I301" s="1"/>
      <c r="J301" s="2"/>
    </row>
    <row r="302" spans="1:15" x14ac:dyDescent="0.25">
      <c r="B302" s="1"/>
      <c r="C302" s="1"/>
      <c r="D302" s="1"/>
      <c r="E302" s="1"/>
      <c r="F302" s="1"/>
      <c r="G302" s="1"/>
      <c r="H302" s="1"/>
      <c r="I302" s="1"/>
      <c r="J302" s="2"/>
    </row>
    <row r="303" spans="1:15" ht="21" x14ac:dyDescent="0.35">
      <c r="A303" t="s">
        <v>0</v>
      </c>
      <c r="B303" s="74" t="s">
        <v>1</v>
      </c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</row>
    <row r="304" spans="1:15" ht="18.75" x14ac:dyDescent="0.3">
      <c r="A304" t="s">
        <v>2</v>
      </c>
      <c r="B304" s="22" t="s">
        <v>3</v>
      </c>
      <c r="C304" s="22" t="s">
        <v>4</v>
      </c>
      <c r="D304" s="22" t="s">
        <v>60</v>
      </c>
      <c r="E304" s="22" t="s">
        <v>61</v>
      </c>
      <c r="F304" s="22" t="s">
        <v>5</v>
      </c>
      <c r="G304" s="22" t="s">
        <v>62</v>
      </c>
      <c r="H304" s="22" t="s">
        <v>63</v>
      </c>
      <c r="I304" s="22" t="s">
        <v>64</v>
      </c>
      <c r="J304" s="22" t="s">
        <v>65</v>
      </c>
      <c r="K304" s="22" t="s">
        <v>66</v>
      </c>
      <c r="L304" s="22" t="s">
        <v>67</v>
      </c>
      <c r="M304" s="22" t="s">
        <v>68</v>
      </c>
      <c r="N304" s="22" t="s">
        <v>10</v>
      </c>
      <c r="O304" s="23"/>
    </row>
    <row r="305" spans="1:15" x14ac:dyDescent="0.25">
      <c r="B305" s="12">
        <v>46120</v>
      </c>
      <c r="C305" s="13" t="s">
        <v>231</v>
      </c>
      <c r="D305" s="5"/>
      <c r="E305" s="7"/>
      <c r="F305" s="5">
        <v>2</v>
      </c>
      <c r="G305" s="6">
        <v>2199</v>
      </c>
      <c r="H305" s="7">
        <v>10</v>
      </c>
      <c r="I305" s="7">
        <f t="shared" ref="I305:I311" si="79">G305*H305%</f>
        <v>219.9</v>
      </c>
      <c r="J305" s="5">
        <f t="shared" ref="J305:J311" si="80">G305-I305</f>
        <v>1979.1</v>
      </c>
      <c r="K305" s="5">
        <f>F305*J305</f>
        <v>3958.2</v>
      </c>
      <c r="L305" s="7">
        <v>2.5585</v>
      </c>
      <c r="M305" s="5">
        <v>5063.5200000000004</v>
      </c>
      <c r="N305" s="5">
        <f>F305*M305</f>
        <v>10127.040000000001</v>
      </c>
      <c r="O305" s="5">
        <f>O304+N305</f>
        <v>10127.040000000001</v>
      </c>
    </row>
    <row r="306" spans="1:15" x14ac:dyDescent="0.25">
      <c r="B306" s="8">
        <v>46120</v>
      </c>
      <c r="C306" s="9" t="s">
        <v>232</v>
      </c>
      <c r="D306" s="9"/>
      <c r="E306" s="11"/>
      <c r="F306" s="9">
        <v>2</v>
      </c>
      <c r="G306" s="10">
        <v>2199</v>
      </c>
      <c r="H306" s="11">
        <v>10</v>
      </c>
      <c r="I306" s="11">
        <f t="shared" si="79"/>
        <v>219.9</v>
      </c>
      <c r="J306" s="9">
        <f t="shared" si="80"/>
        <v>1979.1</v>
      </c>
      <c r="K306" s="9">
        <f t="shared" ref="K306:K311" si="81">F306*J306</f>
        <v>3958.2</v>
      </c>
      <c r="L306" s="11">
        <v>2.5585</v>
      </c>
      <c r="M306" s="9">
        <f t="shared" ref="M306:M311" si="82">J306*L306</f>
        <v>5063.5273499999994</v>
      </c>
      <c r="N306" s="9">
        <f t="shared" ref="N306:N311" si="83">F306*M306</f>
        <v>10127.054699999999</v>
      </c>
      <c r="O306" s="9">
        <f t="shared" ref="O306:O311" si="84">O305+N306</f>
        <v>20254.094700000001</v>
      </c>
    </row>
    <row r="307" spans="1:15" x14ac:dyDescent="0.25">
      <c r="B307" s="8">
        <v>46119</v>
      </c>
      <c r="C307" s="9" t="s">
        <v>233</v>
      </c>
      <c r="D307" s="11"/>
      <c r="E307" s="11"/>
      <c r="F307" s="9">
        <v>40</v>
      </c>
      <c r="G307" s="10">
        <v>2199</v>
      </c>
      <c r="H307" s="11">
        <v>10</v>
      </c>
      <c r="I307" s="11">
        <f t="shared" si="79"/>
        <v>219.9</v>
      </c>
      <c r="J307" s="9">
        <f t="shared" si="80"/>
        <v>1979.1</v>
      </c>
      <c r="K307" s="9">
        <f t="shared" si="81"/>
        <v>79164</v>
      </c>
      <c r="L307" s="11">
        <v>2.5585</v>
      </c>
      <c r="M307" s="9">
        <f t="shared" si="82"/>
        <v>5063.5273499999994</v>
      </c>
      <c r="N307" s="9">
        <f t="shared" si="83"/>
        <v>202541.09399999998</v>
      </c>
      <c r="O307" s="9">
        <f t="shared" si="84"/>
        <v>222795.1887</v>
      </c>
    </row>
    <row r="308" spans="1:15" x14ac:dyDescent="0.25">
      <c r="B308" s="8">
        <v>46119</v>
      </c>
      <c r="C308" s="9" t="s">
        <v>234</v>
      </c>
      <c r="D308" s="11"/>
      <c r="E308" s="11"/>
      <c r="F308" s="9">
        <v>6</v>
      </c>
      <c r="G308" s="10">
        <v>689</v>
      </c>
      <c r="H308" s="11">
        <v>10</v>
      </c>
      <c r="I308" s="11">
        <f t="shared" si="79"/>
        <v>68.900000000000006</v>
      </c>
      <c r="J308" s="9">
        <f t="shared" si="80"/>
        <v>620.1</v>
      </c>
      <c r="K308" s="9">
        <f t="shared" si="81"/>
        <v>3720.6000000000004</v>
      </c>
      <c r="L308" s="11">
        <v>2.5585</v>
      </c>
      <c r="M308" s="9">
        <f t="shared" si="82"/>
        <v>1586.52585</v>
      </c>
      <c r="N308" s="9">
        <f t="shared" si="83"/>
        <v>9519.1550999999999</v>
      </c>
      <c r="O308" s="9">
        <f t="shared" si="84"/>
        <v>232314.3438</v>
      </c>
    </row>
    <row r="309" spans="1:15" x14ac:dyDescent="0.25">
      <c r="B309" s="8">
        <v>46119</v>
      </c>
      <c r="C309" s="9" t="s">
        <v>235</v>
      </c>
      <c r="D309" s="11"/>
      <c r="E309" s="11"/>
      <c r="F309" s="9">
        <v>7</v>
      </c>
      <c r="G309" s="10">
        <v>398</v>
      </c>
      <c r="H309" s="11">
        <v>10</v>
      </c>
      <c r="I309" s="11">
        <f t="shared" si="79"/>
        <v>39.800000000000004</v>
      </c>
      <c r="J309" s="9">
        <f t="shared" si="80"/>
        <v>358.2</v>
      </c>
      <c r="K309" s="9">
        <f t="shared" si="81"/>
        <v>2507.4</v>
      </c>
      <c r="L309" s="11">
        <v>2.5585</v>
      </c>
      <c r="M309" s="9">
        <f t="shared" si="82"/>
        <v>916.4547</v>
      </c>
      <c r="N309" s="9">
        <f t="shared" si="83"/>
        <v>6415.1828999999998</v>
      </c>
      <c r="O309" s="9">
        <f t="shared" si="84"/>
        <v>238729.52669999999</v>
      </c>
    </row>
    <row r="310" spans="1:15" x14ac:dyDescent="0.25">
      <c r="B310" s="8">
        <v>46119</v>
      </c>
      <c r="C310" s="9" t="s">
        <v>236</v>
      </c>
      <c r="D310" s="11"/>
      <c r="E310" s="11"/>
      <c r="F310" s="9">
        <v>60</v>
      </c>
      <c r="G310" s="10">
        <v>398</v>
      </c>
      <c r="H310" s="11">
        <v>10</v>
      </c>
      <c r="I310" s="11">
        <f t="shared" si="79"/>
        <v>39.800000000000004</v>
      </c>
      <c r="J310" s="9">
        <f t="shared" si="80"/>
        <v>358.2</v>
      </c>
      <c r="K310" s="9">
        <f t="shared" si="81"/>
        <v>21492</v>
      </c>
      <c r="L310" s="11">
        <v>2.5585</v>
      </c>
      <c r="M310" s="9">
        <f t="shared" si="82"/>
        <v>916.4547</v>
      </c>
      <c r="N310" s="9">
        <f t="shared" si="83"/>
        <v>54987.281999999999</v>
      </c>
      <c r="O310" s="9">
        <f t="shared" si="84"/>
        <v>293716.80869999999</v>
      </c>
    </row>
    <row r="311" spans="1:15" x14ac:dyDescent="0.25">
      <c r="B311" s="7"/>
      <c r="C311" s="7"/>
      <c r="D311" s="7"/>
      <c r="E311" s="7"/>
      <c r="F311" s="7"/>
      <c r="G311" s="7"/>
      <c r="H311" s="7"/>
      <c r="I311" s="7">
        <f t="shared" si="79"/>
        <v>0</v>
      </c>
      <c r="J311" s="5">
        <f t="shared" si="80"/>
        <v>0</v>
      </c>
      <c r="K311" s="5">
        <f t="shared" si="81"/>
        <v>0</v>
      </c>
      <c r="L311" s="5"/>
      <c r="M311" s="5">
        <f t="shared" si="82"/>
        <v>0</v>
      </c>
      <c r="N311" s="5">
        <f t="shared" si="83"/>
        <v>0</v>
      </c>
      <c r="O311" s="5">
        <f t="shared" si="84"/>
        <v>293716.80869999999</v>
      </c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x14ac:dyDescent="0.25">
      <c r="B315" s="1"/>
      <c r="C315" s="1"/>
      <c r="D315" s="1"/>
      <c r="E315" s="1"/>
      <c r="F315" s="1"/>
      <c r="G315" s="1"/>
      <c r="H315" s="1"/>
      <c r="I315" s="1"/>
      <c r="J315" s="2"/>
    </row>
    <row r="316" spans="1:15" x14ac:dyDescent="0.25">
      <c r="B316" s="1"/>
      <c r="C316" s="1"/>
      <c r="D316" s="1"/>
      <c r="E316" s="1"/>
      <c r="F316" s="1"/>
      <c r="G316" s="1"/>
      <c r="H316" s="1"/>
      <c r="I316" s="1"/>
      <c r="J316" s="2"/>
    </row>
    <row r="317" spans="1:15" x14ac:dyDescent="0.25">
      <c r="B317" s="1"/>
      <c r="C317" s="1"/>
      <c r="D317" s="1"/>
      <c r="E317" s="1"/>
      <c r="F317" s="1"/>
      <c r="G317" s="1"/>
      <c r="H317" s="1"/>
      <c r="I317" s="1"/>
      <c r="J317" s="2"/>
    </row>
    <row r="318" spans="1:15" ht="21" x14ac:dyDescent="0.35">
      <c r="A318" t="s">
        <v>0</v>
      </c>
      <c r="B318" s="73" t="s">
        <v>34</v>
      </c>
      <c r="C318" s="73"/>
      <c r="D318" s="73"/>
      <c r="E318" s="73"/>
      <c r="F318" s="73"/>
      <c r="G318" s="73"/>
      <c r="H318" s="73"/>
      <c r="I318" s="73"/>
      <c r="J318" s="73"/>
    </row>
    <row r="319" spans="1:15" ht="18.75" x14ac:dyDescent="0.3">
      <c r="A319" t="s">
        <v>2</v>
      </c>
      <c r="B319" s="3" t="s">
        <v>3</v>
      </c>
      <c r="C319" s="3" t="s">
        <v>4</v>
      </c>
      <c r="D319" s="3" t="s">
        <v>5</v>
      </c>
      <c r="E319" s="3" t="s">
        <v>6</v>
      </c>
      <c r="F319" s="3" t="s">
        <v>7</v>
      </c>
      <c r="G319" s="3" t="s">
        <v>8</v>
      </c>
      <c r="H319" s="3" t="s">
        <v>9</v>
      </c>
      <c r="I319" s="3" t="s">
        <v>10</v>
      </c>
      <c r="J319" s="3"/>
    </row>
    <row r="320" spans="1:15" x14ac:dyDescent="0.25">
      <c r="B320" s="8">
        <v>46132</v>
      </c>
      <c r="C320" s="9" t="s">
        <v>237</v>
      </c>
      <c r="D320" s="9">
        <v>1</v>
      </c>
      <c r="E320" s="9">
        <v>1649</v>
      </c>
      <c r="F320" s="11">
        <f>E320*D320</f>
        <v>1649</v>
      </c>
      <c r="G320" s="11">
        <v>2.15</v>
      </c>
      <c r="H320" s="11">
        <f>E320*G320</f>
        <v>3545.35</v>
      </c>
      <c r="I320" s="11">
        <f>H320*D320</f>
        <v>3545.35</v>
      </c>
      <c r="J320" s="9">
        <f>J319+I320</f>
        <v>3545.35</v>
      </c>
    </row>
    <row r="321" spans="1:15" x14ac:dyDescent="0.25">
      <c r="B321" s="8">
        <v>46132</v>
      </c>
      <c r="C321" s="9" t="s">
        <v>238</v>
      </c>
      <c r="D321" s="9">
        <v>1</v>
      </c>
      <c r="E321" s="9">
        <v>17999</v>
      </c>
      <c r="F321" s="11">
        <f t="shared" ref="F321:F328" si="85">E321*D321</f>
        <v>17999</v>
      </c>
      <c r="G321" s="11">
        <v>2.15</v>
      </c>
      <c r="H321" s="11">
        <f t="shared" ref="H321:H328" si="86">E321*G321</f>
        <v>38697.85</v>
      </c>
      <c r="I321" s="11">
        <f t="shared" ref="I321:I328" si="87">H321*D321</f>
        <v>38697.85</v>
      </c>
      <c r="J321" s="9">
        <f t="shared" ref="J321:J328" si="88">J320+I321</f>
        <v>42243.199999999997</v>
      </c>
    </row>
    <row r="322" spans="1:15" x14ac:dyDescent="0.25">
      <c r="B322" s="8">
        <v>46132</v>
      </c>
      <c r="C322" s="9" t="s">
        <v>239</v>
      </c>
      <c r="D322" s="9">
        <v>5</v>
      </c>
      <c r="E322" s="9">
        <v>786</v>
      </c>
      <c r="F322" s="11">
        <f t="shared" si="85"/>
        <v>3930</v>
      </c>
      <c r="G322" s="11">
        <v>2.15</v>
      </c>
      <c r="H322" s="11">
        <f t="shared" si="86"/>
        <v>1689.8999999999999</v>
      </c>
      <c r="I322" s="11">
        <f t="shared" si="87"/>
        <v>8449.5</v>
      </c>
      <c r="J322" s="9">
        <f t="shared" si="88"/>
        <v>50692.7</v>
      </c>
    </row>
    <row r="323" spans="1:15" x14ac:dyDescent="0.25">
      <c r="B323" s="8">
        <v>46134</v>
      </c>
      <c r="C323" s="9" t="s">
        <v>240</v>
      </c>
      <c r="D323" s="9">
        <v>10</v>
      </c>
      <c r="E323" s="9">
        <v>1579</v>
      </c>
      <c r="F323" s="11">
        <f t="shared" si="85"/>
        <v>15790</v>
      </c>
      <c r="G323" s="11">
        <v>2.15</v>
      </c>
      <c r="H323" s="11">
        <f t="shared" si="86"/>
        <v>3394.85</v>
      </c>
      <c r="I323" s="11">
        <f t="shared" si="87"/>
        <v>33948.5</v>
      </c>
      <c r="J323" s="9">
        <f t="shared" si="88"/>
        <v>84641.2</v>
      </c>
    </row>
    <row r="324" spans="1:15" x14ac:dyDescent="0.25">
      <c r="B324" s="8">
        <v>46136</v>
      </c>
      <c r="C324" s="9" t="s">
        <v>241</v>
      </c>
      <c r="D324" s="9">
        <v>10</v>
      </c>
      <c r="E324" s="9">
        <v>1489</v>
      </c>
      <c r="F324" s="11">
        <f t="shared" si="85"/>
        <v>14890</v>
      </c>
      <c r="G324" s="11">
        <v>2.15</v>
      </c>
      <c r="H324" s="11">
        <f t="shared" si="86"/>
        <v>3201.35</v>
      </c>
      <c r="I324" s="11">
        <f t="shared" si="87"/>
        <v>32013.5</v>
      </c>
      <c r="J324" s="9">
        <f t="shared" si="88"/>
        <v>116654.7</v>
      </c>
    </row>
    <row r="325" spans="1:15" x14ac:dyDescent="0.25">
      <c r="B325" s="8">
        <v>46136</v>
      </c>
      <c r="C325" s="9" t="s">
        <v>241</v>
      </c>
      <c r="D325" s="72">
        <v>10</v>
      </c>
      <c r="E325" s="72">
        <v>1489</v>
      </c>
      <c r="F325" s="11">
        <f t="shared" si="85"/>
        <v>14890</v>
      </c>
      <c r="G325" s="11">
        <v>2.15</v>
      </c>
      <c r="H325" s="11">
        <f t="shared" si="86"/>
        <v>3201.35</v>
      </c>
      <c r="I325" s="11">
        <f t="shared" si="87"/>
        <v>32013.5</v>
      </c>
      <c r="J325" s="9">
        <f t="shared" si="88"/>
        <v>148668.20000000001</v>
      </c>
    </row>
    <row r="326" spans="1:15" x14ac:dyDescent="0.25">
      <c r="B326" s="20"/>
      <c r="C326" s="20"/>
      <c r="D326" s="20"/>
      <c r="E326" s="20"/>
      <c r="F326" s="20">
        <f t="shared" si="85"/>
        <v>0</v>
      </c>
      <c r="G326" s="20"/>
      <c r="H326" s="20">
        <f t="shared" si="86"/>
        <v>0</v>
      </c>
      <c r="I326" s="20">
        <f t="shared" si="87"/>
        <v>0</v>
      </c>
      <c r="J326" s="18">
        <f t="shared" si="88"/>
        <v>148668.20000000001</v>
      </c>
    </row>
    <row r="327" spans="1:15" x14ac:dyDescent="0.25">
      <c r="B327" s="7"/>
      <c r="C327" s="7"/>
      <c r="D327" s="7"/>
      <c r="E327" s="7"/>
      <c r="F327" s="7">
        <f t="shared" si="85"/>
        <v>0</v>
      </c>
      <c r="G327" s="7"/>
      <c r="H327" s="7">
        <f t="shared" si="86"/>
        <v>0</v>
      </c>
      <c r="I327" s="7">
        <f t="shared" si="87"/>
        <v>0</v>
      </c>
      <c r="J327" s="5">
        <f t="shared" si="88"/>
        <v>148668.20000000001</v>
      </c>
    </row>
    <row r="328" spans="1:15" x14ac:dyDescent="0.25">
      <c r="B328" s="7"/>
      <c r="C328" s="7"/>
      <c r="D328" s="7"/>
      <c r="E328" s="7"/>
      <c r="F328" s="7">
        <f t="shared" si="85"/>
        <v>0</v>
      </c>
      <c r="G328" s="7"/>
      <c r="H328" s="7">
        <f t="shared" si="86"/>
        <v>0</v>
      </c>
      <c r="I328" s="7">
        <f t="shared" si="87"/>
        <v>0</v>
      </c>
      <c r="J328" s="5">
        <f t="shared" si="88"/>
        <v>148668.20000000001</v>
      </c>
    </row>
    <row r="329" spans="1:15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5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5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5" x14ac:dyDescent="0.25">
      <c r="B332" s="1"/>
      <c r="C332" s="1"/>
      <c r="D332" s="1"/>
      <c r="E332" s="1"/>
      <c r="F332" s="1"/>
      <c r="G332" s="1"/>
      <c r="H332" s="1"/>
      <c r="I332" s="1"/>
      <c r="J332" s="2"/>
    </row>
    <row r="333" spans="1:15" x14ac:dyDescent="0.25">
      <c r="B333" s="1"/>
      <c r="C333" s="1"/>
      <c r="D333" s="1"/>
      <c r="E333" s="1"/>
      <c r="F333" s="1"/>
      <c r="G333" s="1"/>
      <c r="H333" s="1"/>
      <c r="I333" s="1"/>
      <c r="J333" s="2"/>
    </row>
    <row r="334" spans="1:15" x14ac:dyDescent="0.25">
      <c r="B334" s="1"/>
      <c r="C334" s="1"/>
      <c r="D334" s="1"/>
      <c r="E334" s="1"/>
      <c r="F334" s="1"/>
      <c r="G334" s="1"/>
      <c r="H334" s="1"/>
      <c r="I334" s="1"/>
      <c r="J334" s="2"/>
    </row>
    <row r="335" spans="1:15" ht="21" x14ac:dyDescent="0.35">
      <c r="A335" t="s">
        <v>0</v>
      </c>
      <c r="B335" s="74" t="s">
        <v>1</v>
      </c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</row>
    <row r="336" spans="1:15" ht="18.75" x14ac:dyDescent="0.3">
      <c r="A336" t="s">
        <v>2</v>
      </c>
      <c r="B336" s="22" t="s">
        <v>3</v>
      </c>
      <c r="C336" s="22" t="s">
        <v>4</v>
      </c>
      <c r="D336" s="22" t="s">
        <v>60</v>
      </c>
      <c r="E336" s="22" t="s">
        <v>61</v>
      </c>
      <c r="F336" s="22" t="s">
        <v>5</v>
      </c>
      <c r="G336" s="22" t="s">
        <v>62</v>
      </c>
      <c r="H336" s="22" t="s">
        <v>63</v>
      </c>
      <c r="I336" s="22" t="s">
        <v>64</v>
      </c>
      <c r="J336" s="22" t="s">
        <v>65</v>
      </c>
      <c r="K336" s="22" t="s">
        <v>66</v>
      </c>
      <c r="L336" s="22" t="s">
        <v>67</v>
      </c>
      <c r="M336" s="22" t="s">
        <v>68</v>
      </c>
      <c r="N336" s="22" t="s">
        <v>10</v>
      </c>
      <c r="O336" s="23"/>
    </row>
    <row r="337" spans="2:15" x14ac:dyDescent="0.25">
      <c r="B337" s="17">
        <v>46138</v>
      </c>
      <c r="C337" s="18" t="s">
        <v>242</v>
      </c>
      <c r="D337" s="18" t="s">
        <v>243</v>
      </c>
      <c r="E337" s="18" t="s">
        <v>244</v>
      </c>
      <c r="F337" s="18">
        <v>2</v>
      </c>
      <c r="G337" s="33">
        <v>2199</v>
      </c>
      <c r="H337" s="20">
        <v>10</v>
      </c>
      <c r="I337" s="20">
        <f>G337*H337%</f>
        <v>219.9</v>
      </c>
      <c r="J337" s="18">
        <f>G337-I337</f>
        <v>1979.1</v>
      </c>
      <c r="K337" s="18">
        <f>F337*J337</f>
        <v>3958.2</v>
      </c>
      <c r="L337" s="18">
        <v>2.5994000000000002</v>
      </c>
      <c r="M337" s="18">
        <f>J337*L337</f>
        <v>5144.4725399999998</v>
      </c>
      <c r="N337" s="18">
        <f>F337*M337</f>
        <v>10288.94508</v>
      </c>
      <c r="O337" s="18">
        <f>O336+N337</f>
        <v>10288.94508</v>
      </c>
    </row>
    <row r="338" spans="2:15" x14ac:dyDescent="0.25">
      <c r="B338" s="17">
        <v>46138</v>
      </c>
      <c r="C338" s="18" t="s">
        <v>245</v>
      </c>
      <c r="D338" s="18" t="s">
        <v>243</v>
      </c>
      <c r="E338" s="18" t="s">
        <v>244</v>
      </c>
      <c r="F338" s="18">
        <v>2</v>
      </c>
      <c r="G338" s="33">
        <v>2199</v>
      </c>
      <c r="H338" s="20">
        <v>10</v>
      </c>
      <c r="I338" s="20">
        <f t="shared" ref="I338:I355" si="89">G338*H338%</f>
        <v>219.9</v>
      </c>
      <c r="J338" s="18">
        <f t="shared" ref="J338:J355" si="90">G338-I338</f>
        <v>1979.1</v>
      </c>
      <c r="K338" s="18">
        <f t="shared" ref="K338:K355" si="91">F338*J338</f>
        <v>3958.2</v>
      </c>
      <c r="L338" s="18">
        <v>2.5994000000000002</v>
      </c>
      <c r="M338" s="18">
        <f t="shared" ref="M338:M355" si="92">J338*L338</f>
        <v>5144.4725399999998</v>
      </c>
      <c r="N338" s="18">
        <f t="shared" ref="N338:N355" si="93">F338*M338</f>
        <v>10288.94508</v>
      </c>
      <c r="O338" s="18">
        <f t="shared" ref="O338:O355" si="94">O337+N338</f>
        <v>20577.890159999999</v>
      </c>
    </row>
    <row r="339" spans="2:15" x14ac:dyDescent="0.25">
      <c r="B339" s="17">
        <v>46138</v>
      </c>
      <c r="C339" s="18" t="s">
        <v>213</v>
      </c>
      <c r="D339" s="18" t="s">
        <v>243</v>
      </c>
      <c r="E339" s="18" t="s">
        <v>244</v>
      </c>
      <c r="F339" s="18">
        <v>1</v>
      </c>
      <c r="G339" s="33">
        <v>399</v>
      </c>
      <c r="H339" s="20">
        <v>10</v>
      </c>
      <c r="I339" s="20">
        <f t="shared" si="89"/>
        <v>39.900000000000006</v>
      </c>
      <c r="J339" s="18">
        <f t="shared" si="90"/>
        <v>359.1</v>
      </c>
      <c r="K339" s="18">
        <f t="shared" si="91"/>
        <v>359.1</v>
      </c>
      <c r="L339" s="18">
        <v>2.5994000000000002</v>
      </c>
      <c r="M339" s="18">
        <f t="shared" si="92"/>
        <v>933.44454000000007</v>
      </c>
      <c r="N339" s="18">
        <f t="shared" si="93"/>
        <v>933.44454000000007</v>
      </c>
      <c r="O339" s="18">
        <f t="shared" si="94"/>
        <v>21511.334699999999</v>
      </c>
    </row>
    <row r="340" spans="2:15" x14ac:dyDescent="0.25">
      <c r="B340" s="17">
        <v>46138</v>
      </c>
      <c r="C340" s="18" t="s">
        <v>246</v>
      </c>
      <c r="D340" s="18" t="s">
        <v>243</v>
      </c>
      <c r="E340" s="18" t="s">
        <v>244</v>
      </c>
      <c r="F340" s="18">
        <v>1</v>
      </c>
      <c r="G340" s="33">
        <v>1400</v>
      </c>
      <c r="H340" s="20">
        <v>10</v>
      </c>
      <c r="I340" s="20">
        <f t="shared" si="89"/>
        <v>140</v>
      </c>
      <c r="J340" s="18">
        <f t="shared" si="90"/>
        <v>1260</v>
      </c>
      <c r="K340" s="18">
        <f t="shared" si="91"/>
        <v>1260</v>
      </c>
      <c r="L340" s="18">
        <v>2.5994000000000002</v>
      </c>
      <c r="M340" s="18">
        <f t="shared" si="92"/>
        <v>3275.2440000000001</v>
      </c>
      <c r="N340" s="18">
        <f t="shared" si="93"/>
        <v>3275.2440000000001</v>
      </c>
      <c r="O340" s="18">
        <f t="shared" si="94"/>
        <v>24786.578699999998</v>
      </c>
    </row>
    <row r="341" spans="2:15" x14ac:dyDescent="0.25">
      <c r="B341" s="17">
        <v>46138</v>
      </c>
      <c r="C341" s="18" t="s">
        <v>247</v>
      </c>
      <c r="D341" s="18" t="s">
        <v>243</v>
      </c>
      <c r="E341" s="18" t="s">
        <v>244</v>
      </c>
      <c r="F341" s="18">
        <v>1</v>
      </c>
      <c r="G341" s="33">
        <v>675.79</v>
      </c>
      <c r="H341" s="20">
        <v>10</v>
      </c>
      <c r="I341" s="20">
        <f t="shared" si="89"/>
        <v>67.578999999999994</v>
      </c>
      <c r="J341" s="18">
        <f t="shared" si="90"/>
        <v>608.21100000000001</v>
      </c>
      <c r="K341" s="18">
        <f t="shared" si="91"/>
        <v>608.21100000000001</v>
      </c>
      <c r="L341" s="18">
        <v>2.5994000000000002</v>
      </c>
      <c r="M341" s="18">
        <f t="shared" si="92"/>
        <v>1580.9836734</v>
      </c>
      <c r="N341" s="18">
        <f t="shared" si="93"/>
        <v>1580.9836734</v>
      </c>
      <c r="O341" s="18">
        <f t="shared" si="94"/>
        <v>26367.562373399996</v>
      </c>
    </row>
    <row r="342" spans="2:15" x14ac:dyDescent="0.25">
      <c r="B342" s="17">
        <v>46139</v>
      </c>
      <c r="C342" s="18" t="s">
        <v>245</v>
      </c>
      <c r="D342" s="18" t="s">
        <v>243</v>
      </c>
      <c r="E342" s="18" t="s">
        <v>244</v>
      </c>
      <c r="F342" s="18">
        <v>2</v>
      </c>
      <c r="G342" s="33">
        <v>2199</v>
      </c>
      <c r="H342" s="20">
        <v>10</v>
      </c>
      <c r="I342" s="20">
        <f t="shared" si="89"/>
        <v>219.9</v>
      </c>
      <c r="J342" s="18">
        <f t="shared" si="90"/>
        <v>1979.1</v>
      </c>
      <c r="K342" s="18">
        <f t="shared" si="91"/>
        <v>3958.2</v>
      </c>
      <c r="L342" s="18">
        <v>2.5994000000000002</v>
      </c>
      <c r="M342" s="18">
        <f t="shared" si="92"/>
        <v>5144.4725399999998</v>
      </c>
      <c r="N342" s="18">
        <f t="shared" si="93"/>
        <v>10288.94508</v>
      </c>
      <c r="O342" s="18">
        <f t="shared" si="94"/>
        <v>36656.507453399994</v>
      </c>
    </row>
    <row r="343" spans="2:15" x14ac:dyDescent="0.25">
      <c r="B343" s="17">
        <v>46139</v>
      </c>
      <c r="C343" s="18" t="s">
        <v>247</v>
      </c>
      <c r="D343" s="18" t="s">
        <v>243</v>
      </c>
      <c r="E343" s="18" t="s">
        <v>244</v>
      </c>
      <c r="F343" s="18">
        <v>1</v>
      </c>
      <c r="G343" s="33">
        <v>689</v>
      </c>
      <c r="H343" s="20">
        <v>10</v>
      </c>
      <c r="I343" s="20">
        <f t="shared" si="89"/>
        <v>68.900000000000006</v>
      </c>
      <c r="J343" s="18">
        <f t="shared" si="90"/>
        <v>620.1</v>
      </c>
      <c r="K343" s="18">
        <f t="shared" si="91"/>
        <v>620.1</v>
      </c>
      <c r="L343" s="18">
        <v>2.5994000000000002</v>
      </c>
      <c r="M343" s="18">
        <f t="shared" si="92"/>
        <v>1611.8879400000001</v>
      </c>
      <c r="N343" s="18">
        <f t="shared" si="93"/>
        <v>1611.8879400000001</v>
      </c>
      <c r="O343" s="18">
        <f t="shared" si="94"/>
        <v>38268.395393399995</v>
      </c>
    </row>
    <row r="344" spans="2:15" x14ac:dyDescent="0.25">
      <c r="B344" s="17">
        <v>46139</v>
      </c>
      <c r="C344" s="18" t="s">
        <v>248</v>
      </c>
      <c r="D344" s="18" t="s">
        <v>243</v>
      </c>
      <c r="E344" s="18" t="s">
        <v>244</v>
      </c>
      <c r="F344" s="18">
        <v>1</v>
      </c>
      <c r="G344" s="33">
        <v>4500</v>
      </c>
      <c r="H344" s="20">
        <v>10</v>
      </c>
      <c r="I344" s="20">
        <f t="shared" si="89"/>
        <v>450</v>
      </c>
      <c r="J344" s="18">
        <f t="shared" si="90"/>
        <v>4050</v>
      </c>
      <c r="K344" s="18">
        <f t="shared" si="91"/>
        <v>4050</v>
      </c>
      <c r="L344" s="18">
        <v>2.5994000000000002</v>
      </c>
      <c r="M344" s="18">
        <f t="shared" si="92"/>
        <v>10527.570000000002</v>
      </c>
      <c r="N344" s="18">
        <f t="shared" si="93"/>
        <v>10527.570000000002</v>
      </c>
      <c r="O344" s="18">
        <f t="shared" si="94"/>
        <v>48795.965393399994</v>
      </c>
    </row>
    <row r="345" spans="2:15" x14ac:dyDescent="0.25">
      <c r="B345" s="17">
        <v>46139</v>
      </c>
      <c r="C345" s="18" t="s">
        <v>213</v>
      </c>
      <c r="D345" s="18" t="s">
        <v>243</v>
      </c>
      <c r="E345" s="18" t="s">
        <v>244</v>
      </c>
      <c r="F345" s="18">
        <v>1</v>
      </c>
      <c r="G345" s="33">
        <v>299</v>
      </c>
      <c r="H345" s="20">
        <v>10</v>
      </c>
      <c r="I345" s="20">
        <f t="shared" si="89"/>
        <v>29.900000000000002</v>
      </c>
      <c r="J345" s="18">
        <f t="shared" si="90"/>
        <v>269.10000000000002</v>
      </c>
      <c r="K345" s="18">
        <f t="shared" si="91"/>
        <v>269.10000000000002</v>
      </c>
      <c r="L345" s="18">
        <v>2.5994000000000002</v>
      </c>
      <c r="M345" s="18">
        <f t="shared" si="92"/>
        <v>699.49854000000005</v>
      </c>
      <c r="N345" s="18">
        <f t="shared" si="93"/>
        <v>699.49854000000005</v>
      </c>
      <c r="O345" s="18">
        <f t="shared" si="94"/>
        <v>49495.463933399995</v>
      </c>
    </row>
    <row r="346" spans="2:15" x14ac:dyDescent="0.25">
      <c r="B346" s="17">
        <v>46139</v>
      </c>
      <c r="C346" s="18" t="s">
        <v>151</v>
      </c>
      <c r="D346" s="18" t="s">
        <v>243</v>
      </c>
      <c r="E346" s="18" t="s">
        <v>244</v>
      </c>
      <c r="F346" s="18">
        <v>11</v>
      </c>
      <c r="G346" s="33">
        <v>125</v>
      </c>
      <c r="H346" s="20">
        <v>10</v>
      </c>
      <c r="I346" s="20">
        <f t="shared" si="89"/>
        <v>12.5</v>
      </c>
      <c r="J346" s="18">
        <f t="shared" si="90"/>
        <v>112.5</v>
      </c>
      <c r="K346" s="18">
        <f t="shared" si="91"/>
        <v>1237.5</v>
      </c>
      <c r="L346" s="18">
        <v>2.5994000000000002</v>
      </c>
      <c r="M346" s="18">
        <f t="shared" si="92"/>
        <v>292.4325</v>
      </c>
      <c r="N346" s="18">
        <f t="shared" si="93"/>
        <v>3216.7575000000002</v>
      </c>
      <c r="O346" s="18">
        <f t="shared" si="94"/>
        <v>52712.221433399995</v>
      </c>
    </row>
    <row r="347" spans="2:15" x14ac:dyDescent="0.25">
      <c r="B347" s="17">
        <v>46139</v>
      </c>
      <c r="C347" s="18" t="s">
        <v>249</v>
      </c>
      <c r="D347" s="18" t="s">
        <v>243</v>
      </c>
      <c r="E347" s="18" t="s">
        <v>250</v>
      </c>
      <c r="F347" s="18">
        <v>2</v>
      </c>
      <c r="G347" s="33">
        <v>2199</v>
      </c>
      <c r="H347" s="20">
        <v>10</v>
      </c>
      <c r="I347" s="20">
        <f t="shared" si="89"/>
        <v>219.9</v>
      </c>
      <c r="J347" s="18">
        <f t="shared" si="90"/>
        <v>1979.1</v>
      </c>
      <c r="K347" s="18">
        <f t="shared" si="91"/>
        <v>3958.2</v>
      </c>
      <c r="L347" s="18">
        <v>2.5994000000000002</v>
      </c>
      <c r="M347" s="18">
        <f t="shared" si="92"/>
        <v>5144.4725399999998</v>
      </c>
      <c r="N347" s="18">
        <f t="shared" si="93"/>
        <v>10288.94508</v>
      </c>
      <c r="O347" s="18">
        <f t="shared" si="94"/>
        <v>63001.166513399992</v>
      </c>
    </row>
    <row r="348" spans="2:15" x14ac:dyDescent="0.25">
      <c r="B348" s="17">
        <v>46139</v>
      </c>
      <c r="C348" s="18" t="s">
        <v>251</v>
      </c>
      <c r="D348" s="18" t="s">
        <v>243</v>
      </c>
      <c r="E348" s="18" t="s">
        <v>244</v>
      </c>
      <c r="F348" s="18">
        <v>1</v>
      </c>
      <c r="G348" s="33">
        <v>3440</v>
      </c>
      <c r="H348" s="20">
        <v>10</v>
      </c>
      <c r="I348" s="20">
        <f t="shared" si="89"/>
        <v>344</v>
      </c>
      <c r="J348" s="18">
        <f t="shared" si="90"/>
        <v>3096</v>
      </c>
      <c r="K348" s="18">
        <f t="shared" si="91"/>
        <v>3096</v>
      </c>
      <c r="L348" s="18">
        <v>2.5994000000000002</v>
      </c>
      <c r="M348" s="18">
        <f t="shared" si="92"/>
        <v>8047.7424000000001</v>
      </c>
      <c r="N348" s="18">
        <f t="shared" si="93"/>
        <v>8047.7424000000001</v>
      </c>
      <c r="O348" s="18">
        <f t="shared" si="94"/>
        <v>71048.908913399995</v>
      </c>
    </row>
    <row r="349" spans="2:15" x14ac:dyDescent="0.25">
      <c r="B349" s="17">
        <v>46139</v>
      </c>
      <c r="C349" s="18" t="s">
        <v>247</v>
      </c>
      <c r="D349" s="18" t="s">
        <v>243</v>
      </c>
      <c r="E349" s="18" t="s">
        <v>244</v>
      </c>
      <c r="F349" s="18">
        <v>1</v>
      </c>
      <c r="G349" s="33">
        <v>689</v>
      </c>
      <c r="H349" s="20">
        <v>10</v>
      </c>
      <c r="I349" s="20">
        <f t="shared" si="89"/>
        <v>68.900000000000006</v>
      </c>
      <c r="J349" s="18">
        <f t="shared" si="90"/>
        <v>620.1</v>
      </c>
      <c r="K349" s="18">
        <f t="shared" si="91"/>
        <v>620.1</v>
      </c>
      <c r="L349" s="18">
        <v>2.5994000000000002</v>
      </c>
      <c r="M349" s="18">
        <f t="shared" si="92"/>
        <v>1611.8879400000001</v>
      </c>
      <c r="N349" s="18">
        <f t="shared" si="93"/>
        <v>1611.8879400000001</v>
      </c>
      <c r="O349" s="18">
        <f t="shared" si="94"/>
        <v>72660.796853399996</v>
      </c>
    </row>
    <row r="350" spans="2:15" x14ac:dyDescent="0.25">
      <c r="B350" s="17">
        <v>46139</v>
      </c>
      <c r="C350" s="18" t="s">
        <v>249</v>
      </c>
      <c r="D350" s="18" t="s">
        <v>243</v>
      </c>
      <c r="E350" s="18" t="s">
        <v>252</v>
      </c>
      <c r="F350" s="18">
        <v>2</v>
      </c>
      <c r="G350" s="33">
        <v>2199</v>
      </c>
      <c r="H350" s="20">
        <v>10</v>
      </c>
      <c r="I350" s="20">
        <f t="shared" si="89"/>
        <v>219.9</v>
      </c>
      <c r="J350" s="18">
        <f t="shared" si="90"/>
        <v>1979.1</v>
      </c>
      <c r="K350" s="18">
        <f t="shared" si="91"/>
        <v>3958.2</v>
      </c>
      <c r="L350" s="18">
        <v>2.5994000000000002</v>
      </c>
      <c r="M350" s="18">
        <f t="shared" si="92"/>
        <v>5144.4725399999998</v>
      </c>
      <c r="N350" s="18">
        <f t="shared" si="93"/>
        <v>10288.94508</v>
      </c>
      <c r="O350" s="18">
        <f t="shared" si="94"/>
        <v>82949.741933400001</v>
      </c>
    </row>
    <row r="351" spans="2:15" x14ac:dyDescent="0.25">
      <c r="B351" s="17">
        <v>46139</v>
      </c>
      <c r="C351" s="18" t="s">
        <v>213</v>
      </c>
      <c r="D351" s="18" t="s">
        <v>243</v>
      </c>
      <c r="E351" s="18" t="s">
        <v>252</v>
      </c>
      <c r="F351" s="18">
        <v>1</v>
      </c>
      <c r="G351" s="33">
        <v>299</v>
      </c>
      <c r="H351" s="20">
        <v>10</v>
      </c>
      <c r="I351" s="20">
        <f t="shared" si="89"/>
        <v>29.900000000000002</v>
      </c>
      <c r="J351" s="18">
        <f t="shared" si="90"/>
        <v>269.10000000000002</v>
      </c>
      <c r="K351" s="18">
        <f t="shared" si="91"/>
        <v>269.10000000000002</v>
      </c>
      <c r="L351" s="18">
        <v>2.5994000000000002</v>
      </c>
      <c r="M351" s="18">
        <f t="shared" si="92"/>
        <v>699.49854000000005</v>
      </c>
      <c r="N351" s="18">
        <f t="shared" si="93"/>
        <v>699.49854000000005</v>
      </c>
      <c r="O351" s="5">
        <f t="shared" si="94"/>
        <v>83649.240473400001</v>
      </c>
    </row>
    <row r="352" spans="2:15" x14ac:dyDescent="0.25">
      <c r="B352" s="17">
        <v>46139</v>
      </c>
      <c r="C352" s="18" t="s">
        <v>248</v>
      </c>
      <c r="D352" s="18" t="s">
        <v>243</v>
      </c>
      <c r="E352" s="18" t="s">
        <v>252</v>
      </c>
      <c r="F352" s="18">
        <v>1</v>
      </c>
      <c r="G352" s="33">
        <v>4500</v>
      </c>
      <c r="H352" s="20">
        <v>10</v>
      </c>
      <c r="I352" s="20">
        <f t="shared" si="89"/>
        <v>450</v>
      </c>
      <c r="J352" s="18">
        <f t="shared" si="90"/>
        <v>4050</v>
      </c>
      <c r="K352" s="18">
        <f t="shared" si="91"/>
        <v>4050</v>
      </c>
      <c r="L352" s="18">
        <v>2.5994000000000002</v>
      </c>
      <c r="M352" s="18">
        <f t="shared" si="92"/>
        <v>10527.570000000002</v>
      </c>
      <c r="N352" s="18">
        <f t="shared" si="93"/>
        <v>10527.570000000002</v>
      </c>
      <c r="O352" s="18">
        <f t="shared" si="94"/>
        <v>94176.810473400008</v>
      </c>
    </row>
    <row r="353" spans="1:15" x14ac:dyDescent="0.25">
      <c r="B353" s="17">
        <v>46139</v>
      </c>
      <c r="C353" s="18" t="s">
        <v>249</v>
      </c>
      <c r="D353" s="18" t="s">
        <v>253</v>
      </c>
      <c r="E353" s="18" t="s">
        <v>244</v>
      </c>
      <c r="F353" s="18">
        <v>3</v>
      </c>
      <c r="G353" s="33">
        <v>2199</v>
      </c>
      <c r="H353" s="20">
        <v>10</v>
      </c>
      <c r="I353" s="20">
        <f t="shared" si="89"/>
        <v>219.9</v>
      </c>
      <c r="J353" s="18">
        <f t="shared" si="90"/>
        <v>1979.1</v>
      </c>
      <c r="K353" s="18">
        <f t="shared" si="91"/>
        <v>5937.2999999999993</v>
      </c>
      <c r="L353" s="18">
        <v>2.5994000000000002</v>
      </c>
      <c r="M353" s="18">
        <f t="shared" si="92"/>
        <v>5144.4725399999998</v>
      </c>
      <c r="N353" s="18">
        <f t="shared" si="93"/>
        <v>15433.41762</v>
      </c>
      <c r="O353" s="18">
        <f t="shared" si="94"/>
        <v>109610.22809340002</v>
      </c>
    </row>
    <row r="354" spans="1:15" x14ac:dyDescent="0.25">
      <c r="B354" s="17">
        <v>46139</v>
      </c>
      <c r="C354" s="18" t="s">
        <v>249</v>
      </c>
      <c r="D354" s="18" t="s">
        <v>253</v>
      </c>
      <c r="E354" s="18" t="s">
        <v>244</v>
      </c>
      <c r="F354" s="18">
        <v>3</v>
      </c>
      <c r="G354" s="33">
        <v>2199</v>
      </c>
      <c r="H354" s="20">
        <v>10</v>
      </c>
      <c r="I354" s="20">
        <f t="shared" si="89"/>
        <v>219.9</v>
      </c>
      <c r="J354" s="18">
        <f t="shared" si="90"/>
        <v>1979.1</v>
      </c>
      <c r="K354" s="18">
        <f t="shared" si="91"/>
        <v>5937.2999999999993</v>
      </c>
      <c r="L354" s="18">
        <v>2.5994000000000002</v>
      </c>
      <c r="M354" s="18">
        <f t="shared" si="92"/>
        <v>5144.4725399999998</v>
      </c>
      <c r="N354" s="18">
        <f t="shared" si="93"/>
        <v>15433.41762</v>
      </c>
      <c r="O354" s="18">
        <f t="shared" si="94"/>
        <v>125043.64571340001</v>
      </c>
    </row>
    <row r="355" spans="1:15" x14ac:dyDescent="0.25">
      <c r="B355" s="7"/>
      <c r="C355" s="7"/>
      <c r="D355" s="7"/>
      <c r="E355" s="7"/>
      <c r="F355" s="7"/>
      <c r="G355" s="7"/>
      <c r="H355" s="7"/>
      <c r="I355" s="7">
        <f t="shared" si="89"/>
        <v>0</v>
      </c>
      <c r="J355" s="5">
        <f t="shared" si="90"/>
        <v>0</v>
      </c>
      <c r="K355" s="5">
        <f t="shared" si="91"/>
        <v>0</v>
      </c>
      <c r="L355" s="5"/>
      <c r="M355" s="5">
        <f t="shared" si="92"/>
        <v>0</v>
      </c>
      <c r="N355" s="5">
        <f t="shared" si="93"/>
        <v>0</v>
      </c>
      <c r="O355" s="5">
        <f t="shared" si="94"/>
        <v>125043.64571340001</v>
      </c>
    </row>
    <row r="356" spans="1:15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5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5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5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5" x14ac:dyDescent="0.25">
      <c r="B360" s="1"/>
      <c r="C360" s="1"/>
      <c r="D360" s="1"/>
      <c r="E360" s="1"/>
      <c r="F360" s="1"/>
      <c r="G360" s="1"/>
      <c r="H360" s="1"/>
      <c r="I360" s="1"/>
      <c r="J360" s="2"/>
    </row>
    <row r="361" spans="1:15" x14ac:dyDescent="0.25">
      <c r="B361" s="1"/>
      <c r="C361" s="1"/>
      <c r="D361" s="1"/>
      <c r="E361" s="1"/>
      <c r="F361" s="1"/>
      <c r="G361" s="1"/>
      <c r="H361" s="1"/>
      <c r="I361" s="1"/>
      <c r="J361" s="2"/>
    </row>
    <row r="362" spans="1:15" x14ac:dyDescent="0.25">
      <c r="B362" s="1"/>
      <c r="C362" s="1"/>
      <c r="D362" s="1"/>
      <c r="E362" s="1"/>
      <c r="F362" s="1"/>
      <c r="G362" s="1"/>
      <c r="H362" s="1"/>
      <c r="I362" s="1"/>
      <c r="J362" s="2"/>
    </row>
    <row r="363" spans="1:15" ht="21" x14ac:dyDescent="0.35">
      <c r="A363" t="s">
        <v>0</v>
      </c>
      <c r="B363" s="73" t="s">
        <v>1</v>
      </c>
      <c r="C363" s="73"/>
      <c r="D363" s="73"/>
      <c r="E363" s="73"/>
      <c r="F363" s="73"/>
      <c r="G363" s="73"/>
      <c r="H363" s="73"/>
      <c r="I363" s="73"/>
      <c r="J363" s="73"/>
    </row>
    <row r="364" spans="1:15" ht="18.75" x14ac:dyDescent="0.3">
      <c r="A364" t="s">
        <v>2</v>
      </c>
      <c r="B364" s="3" t="s">
        <v>3</v>
      </c>
      <c r="C364" s="3" t="s">
        <v>4</v>
      </c>
      <c r="D364" s="3" t="s">
        <v>5</v>
      </c>
      <c r="E364" s="3" t="s">
        <v>6</v>
      </c>
      <c r="F364" s="3" t="s">
        <v>7</v>
      </c>
      <c r="G364" s="3" t="s">
        <v>8</v>
      </c>
      <c r="H364" s="3" t="s">
        <v>9</v>
      </c>
      <c r="I364" s="3" t="s">
        <v>10</v>
      </c>
      <c r="J364" s="3"/>
    </row>
    <row r="365" spans="1:15" x14ac:dyDescent="0.25">
      <c r="B365" s="17">
        <v>46132</v>
      </c>
      <c r="C365" s="18" t="s">
        <v>254</v>
      </c>
      <c r="D365" s="18">
        <v>4</v>
      </c>
      <c r="E365" s="33">
        <v>1199</v>
      </c>
      <c r="F365" s="7">
        <f>E365*D365</f>
        <v>4796</v>
      </c>
      <c r="G365" s="7">
        <v>2.5994000000000002</v>
      </c>
      <c r="H365" s="7">
        <f>E365*G365</f>
        <v>3116.6806000000001</v>
      </c>
      <c r="I365" s="7">
        <f>H365*D365</f>
        <v>12466.722400000001</v>
      </c>
      <c r="J365" s="5">
        <f>J364+I365</f>
        <v>12466.722400000001</v>
      </c>
    </row>
    <row r="366" spans="1:15" x14ac:dyDescent="0.25">
      <c r="B366" s="12">
        <v>46132</v>
      </c>
      <c r="C366" s="13" t="s">
        <v>255</v>
      </c>
      <c r="D366" s="13">
        <v>2</v>
      </c>
      <c r="E366" s="31">
        <v>1199</v>
      </c>
      <c r="F366" s="7">
        <f t="shared" ref="F366:F386" si="95">E366*D366</f>
        <v>2398</v>
      </c>
      <c r="G366" s="7">
        <v>2.5994000000000002</v>
      </c>
      <c r="H366" s="7">
        <f t="shared" ref="H366:H386" si="96">E366*G366</f>
        <v>3116.6806000000001</v>
      </c>
      <c r="I366" s="7">
        <f t="shared" ref="I366:I386" si="97">H366*D366</f>
        <v>6233.3612000000003</v>
      </c>
      <c r="J366" s="5">
        <f t="shared" ref="J366:J390" si="98">J365+I366</f>
        <v>18700.083600000002</v>
      </c>
    </row>
    <row r="367" spans="1:15" x14ac:dyDescent="0.25">
      <c r="B367" s="12">
        <v>46132</v>
      </c>
      <c r="C367" s="13" t="s">
        <v>255</v>
      </c>
      <c r="D367" s="13">
        <v>4</v>
      </c>
      <c r="E367" s="31">
        <v>1199</v>
      </c>
      <c r="F367" s="7">
        <f t="shared" si="95"/>
        <v>4796</v>
      </c>
      <c r="G367" s="7">
        <v>2.5994000000000002</v>
      </c>
      <c r="H367" s="7">
        <f t="shared" si="96"/>
        <v>3116.6806000000001</v>
      </c>
      <c r="I367" s="7">
        <f t="shared" si="97"/>
        <v>12466.722400000001</v>
      </c>
      <c r="J367" s="5">
        <f t="shared" si="98"/>
        <v>31166.806000000004</v>
      </c>
    </row>
    <row r="368" spans="1:15" x14ac:dyDescent="0.25">
      <c r="B368" s="65">
        <v>46133</v>
      </c>
      <c r="C368" s="66" t="s">
        <v>256</v>
      </c>
      <c r="D368" s="66">
        <v>1</v>
      </c>
      <c r="E368" s="67">
        <v>0</v>
      </c>
      <c r="F368" s="68">
        <f t="shared" si="95"/>
        <v>0</v>
      </c>
      <c r="G368" s="7">
        <v>2.5994000000000002</v>
      </c>
      <c r="H368" s="68">
        <f t="shared" si="96"/>
        <v>0</v>
      </c>
      <c r="I368" s="68">
        <f t="shared" si="97"/>
        <v>0</v>
      </c>
      <c r="J368" s="5">
        <f t="shared" si="98"/>
        <v>31166.806000000004</v>
      </c>
    </row>
    <row r="369" spans="2:10" x14ac:dyDescent="0.25">
      <c r="B369" s="17">
        <v>46133</v>
      </c>
      <c r="C369" s="18" t="s">
        <v>257</v>
      </c>
      <c r="D369" s="18">
        <v>2</v>
      </c>
      <c r="E369" s="33">
        <v>1249</v>
      </c>
      <c r="F369" s="7">
        <f t="shared" si="95"/>
        <v>2498</v>
      </c>
      <c r="G369" s="7">
        <v>2.5994000000000002</v>
      </c>
      <c r="H369" s="7">
        <f t="shared" si="96"/>
        <v>3246.6506000000004</v>
      </c>
      <c r="I369" s="7">
        <f t="shared" si="97"/>
        <v>6493.3012000000008</v>
      </c>
      <c r="J369" s="5">
        <f t="shared" si="98"/>
        <v>37660.107200000006</v>
      </c>
    </row>
    <row r="370" spans="2:10" x14ac:dyDescent="0.25">
      <c r="B370" s="17">
        <v>46134</v>
      </c>
      <c r="C370" s="18" t="s">
        <v>255</v>
      </c>
      <c r="D370" s="18">
        <v>2</v>
      </c>
      <c r="E370" s="33">
        <v>1199</v>
      </c>
      <c r="F370" s="7">
        <f t="shared" si="95"/>
        <v>2398</v>
      </c>
      <c r="G370" s="7">
        <v>2.5994000000000002</v>
      </c>
      <c r="H370" s="7">
        <f t="shared" si="96"/>
        <v>3116.6806000000001</v>
      </c>
      <c r="I370" s="7">
        <f t="shared" si="97"/>
        <v>6233.3612000000003</v>
      </c>
      <c r="J370" s="5">
        <f t="shared" si="98"/>
        <v>43893.468400000005</v>
      </c>
    </row>
    <row r="371" spans="2:10" x14ac:dyDescent="0.25">
      <c r="B371" s="17">
        <v>46133</v>
      </c>
      <c r="C371" s="18" t="s">
        <v>258</v>
      </c>
      <c r="D371" s="18">
        <v>10</v>
      </c>
      <c r="E371" s="33">
        <v>999</v>
      </c>
      <c r="F371" s="7">
        <f t="shared" si="95"/>
        <v>9990</v>
      </c>
      <c r="G371" s="7">
        <v>2.5994000000000002</v>
      </c>
      <c r="H371" s="7">
        <f t="shared" si="96"/>
        <v>2596.8006</v>
      </c>
      <c r="I371" s="7">
        <f t="shared" si="97"/>
        <v>25968.006000000001</v>
      </c>
      <c r="J371" s="5">
        <f t="shared" si="98"/>
        <v>69861.474400000006</v>
      </c>
    </row>
    <row r="372" spans="2:10" x14ac:dyDescent="0.25">
      <c r="B372" s="17">
        <v>46136</v>
      </c>
      <c r="C372" s="18" t="s">
        <v>259</v>
      </c>
      <c r="D372" s="18">
        <v>32</v>
      </c>
      <c r="E372" s="33">
        <v>398</v>
      </c>
      <c r="F372" s="7">
        <f t="shared" si="95"/>
        <v>12736</v>
      </c>
      <c r="G372" s="7">
        <v>2.5994000000000002</v>
      </c>
      <c r="H372" s="7">
        <f t="shared" si="96"/>
        <v>1034.5612000000001</v>
      </c>
      <c r="I372" s="7">
        <f t="shared" si="97"/>
        <v>33105.958400000003</v>
      </c>
      <c r="J372" s="5">
        <f t="shared" si="98"/>
        <v>102967.43280000001</v>
      </c>
    </row>
    <row r="373" spans="2:10" x14ac:dyDescent="0.25">
      <c r="B373" s="65">
        <v>46136</v>
      </c>
      <c r="C373" s="66" t="s">
        <v>260</v>
      </c>
      <c r="D373" s="66"/>
      <c r="E373" s="67">
        <v>0</v>
      </c>
      <c r="F373" s="68">
        <f t="shared" si="95"/>
        <v>0</v>
      </c>
      <c r="G373" s="7">
        <v>2.5994000000000002</v>
      </c>
      <c r="H373" s="68">
        <f t="shared" si="96"/>
        <v>0</v>
      </c>
      <c r="I373" s="68">
        <f t="shared" si="97"/>
        <v>0</v>
      </c>
      <c r="J373" s="5">
        <f t="shared" si="98"/>
        <v>102967.43280000001</v>
      </c>
    </row>
    <row r="374" spans="2:10" x14ac:dyDescent="0.25">
      <c r="B374" s="17">
        <v>46137</v>
      </c>
      <c r="C374" s="18" t="s">
        <v>261</v>
      </c>
      <c r="D374" s="18">
        <v>4</v>
      </c>
      <c r="E374" s="33">
        <v>398</v>
      </c>
      <c r="F374" s="7">
        <f t="shared" si="95"/>
        <v>1592</v>
      </c>
      <c r="G374" s="7">
        <v>2.5994000000000002</v>
      </c>
      <c r="H374" s="7">
        <f t="shared" si="96"/>
        <v>1034.5612000000001</v>
      </c>
      <c r="I374" s="7">
        <f t="shared" si="97"/>
        <v>4138.2448000000004</v>
      </c>
      <c r="J374" s="5">
        <f t="shared" si="98"/>
        <v>107105.67760000001</v>
      </c>
    </row>
    <row r="375" spans="2:10" x14ac:dyDescent="0.25">
      <c r="B375" s="12">
        <v>46138</v>
      </c>
      <c r="C375" s="13" t="s">
        <v>255</v>
      </c>
      <c r="D375" s="13">
        <v>2</v>
      </c>
      <c r="E375" s="31">
        <v>1199</v>
      </c>
      <c r="F375" s="7">
        <f t="shared" si="95"/>
        <v>2398</v>
      </c>
      <c r="G375" s="7">
        <v>2.5994000000000002</v>
      </c>
      <c r="H375" s="7">
        <f t="shared" si="96"/>
        <v>3116.6806000000001</v>
      </c>
      <c r="I375" s="7">
        <f t="shared" si="97"/>
        <v>6233.3612000000003</v>
      </c>
      <c r="J375" s="5">
        <f t="shared" si="98"/>
        <v>113339.03880000001</v>
      </c>
    </row>
    <row r="376" spans="2:10" x14ac:dyDescent="0.25">
      <c r="B376" s="12">
        <v>46138</v>
      </c>
      <c r="C376" s="13" t="s">
        <v>255</v>
      </c>
      <c r="D376" s="13">
        <v>2</v>
      </c>
      <c r="E376" s="31">
        <v>1199</v>
      </c>
      <c r="F376" s="7">
        <f t="shared" si="95"/>
        <v>2398</v>
      </c>
      <c r="G376" s="7">
        <v>2.5994000000000002</v>
      </c>
      <c r="H376" s="7">
        <f t="shared" si="96"/>
        <v>3116.6806000000001</v>
      </c>
      <c r="I376" s="7">
        <f t="shared" si="97"/>
        <v>6233.3612000000003</v>
      </c>
      <c r="J376" s="5">
        <f t="shared" si="98"/>
        <v>119572.40000000001</v>
      </c>
    </row>
    <row r="377" spans="2:10" x14ac:dyDescent="0.25">
      <c r="B377" s="12">
        <v>46138</v>
      </c>
      <c r="C377" s="13" t="s">
        <v>255</v>
      </c>
      <c r="D377" s="13">
        <v>2</v>
      </c>
      <c r="E377" s="31">
        <v>1199</v>
      </c>
      <c r="F377" s="7">
        <f t="shared" si="95"/>
        <v>2398</v>
      </c>
      <c r="G377" s="7">
        <v>2.5994000000000002</v>
      </c>
      <c r="H377" s="7">
        <f t="shared" si="96"/>
        <v>3116.6806000000001</v>
      </c>
      <c r="I377" s="7">
        <f t="shared" si="97"/>
        <v>6233.3612000000003</v>
      </c>
      <c r="J377" s="5">
        <f t="shared" si="98"/>
        <v>125805.76120000001</v>
      </c>
    </row>
    <row r="378" spans="2:10" x14ac:dyDescent="0.25">
      <c r="B378" s="12">
        <v>46138</v>
      </c>
      <c r="C378" s="13" t="s">
        <v>262</v>
      </c>
      <c r="D378" s="13">
        <v>2</v>
      </c>
      <c r="E378" s="31">
        <v>1199</v>
      </c>
      <c r="F378" s="7">
        <f t="shared" si="95"/>
        <v>2398</v>
      </c>
      <c r="G378" s="7">
        <v>2.5994000000000002</v>
      </c>
      <c r="H378" s="7">
        <f t="shared" si="96"/>
        <v>3116.6806000000001</v>
      </c>
      <c r="I378" s="7">
        <f t="shared" si="97"/>
        <v>6233.3612000000003</v>
      </c>
      <c r="J378" s="5">
        <f t="shared" si="98"/>
        <v>132039.12240000002</v>
      </c>
    </row>
    <row r="379" spans="2:10" x14ac:dyDescent="0.25">
      <c r="B379" s="12">
        <v>46138</v>
      </c>
      <c r="C379" s="13" t="s">
        <v>262</v>
      </c>
      <c r="D379" s="13">
        <v>2</v>
      </c>
      <c r="E379" s="31">
        <v>1199</v>
      </c>
      <c r="F379" s="7">
        <f t="shared" si="95"/>
        <v>2398</v>
      </c>
      <c r="G379" s="7">
        <v>2.5994000000000002</v>
      </c>
      <c r="H379" s="7">
        <f t="shared" si="96"/>
        <v>3116.6806000000001</v>
      </c>
      <c r="I379" s="7">
        <f t="shared" si="97"/>
        <v>6233.3612000000003</v>
      </c>
      <c r="J379" s="5">
        <f t="shared" si="98"/>
        <v>138272.48360000004</v>
      </c>
    </row>
    <row r="380" spans="2:10" x14ac:dyDescent="0.25">
      <c r="B380" s="69">
        <v>46138</v>
      </c>
      <c r="C380" s="70" t="s">
        <v>262</v>
      </c>
      <c r="D380" s="70">
        <v>2</v>
      </c>
      <c r="E380" s="71">
        <v>1199</v>
      </c>
      <c r="F380" s="7">
        <f t="shared" si="95"/>
        <v>2398</v>
      </c>
      <c r="G380" s="7">
        <v>2.5994000000000002</v>
      </c>
      <c r="H380" s="7">
        <f t="shared" si="96"/>
        <v>3116.6806000000001</v>
      </c>
      <c r="I380" s="7">
        <f t="shared" si="97"/>
        <v>6233.3612000000003</v>
      </c>
      <c r="J380" s="5">
        <f t="shared" si="98"/>
        <v>144505.84480000005</v>
      </c>
    </row>
    <row r="381" spans="2:10" x14ac:dyDescent="0.25">
      <c r="B381" s="12">
        <v>46138</v>
      </c>
      <c r="C381" s="13" t="s">
        <v>262</v>
      </c>
      <c r="D381" s="13">
        <v>2</v>
      </c>
      <c r="E381" s="31">
        <v>1199</v>
      </c>
      <c r="F381" s="7">
        <f t="shared" si="95"/>
        <v>2398</v>
      </c>
      <c r="G381" s="7">
        <v>2.5994000000000002</v>
      </c>
      <c r="H381" s="7">
        <f t="shared" si="96"/>
        <v>3116.6806000000001</v>
      </c>
      <c r="I381" s="7">
        <f t="shared" si="97"/>
        <v>6233.3612000000003</v>
      </c>
      <c r="J381" s="5">
        <f t="shared" si="98"/>
        <v>150739.20600000006</v>
      </c>
    </row>
    <row r="382" spans="2:10" x14ac:dyDescent="0.25">
      <c r="B382" s="12">
        <v>46138</v>
      </c>
      <c r="C382" s="13" t="s">
        <v>255</v>
      </c>
      <c r="D382" s="13">
        <v>2</v>
      </c>
      <c r="E382" s="31">
        <v>1199</v>
      </c>
      <c r="F382" s="7">
        <f t="shared" si="95"/>
        <v>2398</v>
      </c>
      <c r="G382" s="7">
        <v>2.5994000000000002</v>
      </c>
      <c r="H382" s="7">
        <f t="shared" si="96"/>
        <v>3116.6806000000001</v>
      </c>
      <c r="I382" s="7">
        <f t="shared" si="97"/>
        <v>6233.3612000000003</v>
      </c>
      <c r="J382" s="5">
        <f t="shared" si="98"/>
        <v>156972.56720000008</v>
      </c>
    </row>
    <row r="383" spans="2:10" x14ac:dyDescent="0.25">
      <c r="B383" s="17">
        <v>46138</v>
      </c>
      <c r="C383" s="18" t="s">
        <v>263</v>
      </c>
      <c r="D383" s="18">
        <v>5</v>
      </c>
      <c r="E383" s="33">
        <v>398</v>
      </c>
      <c r="F383" s="7">
        <f t="shared" si="95"/>
        <v>1990</v>
      </c>
      <c r="G383" s="7">
        <v>2.5994000000000002</v>
      </c>
      <c r="H383" s="7">
        <f t="shared" si="96"/>
        <v>1034.5612000000001</v>
      </c>
      <c r="I383" s="7">
        <f t="shared" si="97"/>
        <v>5172.8060000000005</v>
      </c>
      <c r="J383" s="5">
        <f t="shared" si="98"/>
        <v>162145.37320000009</v>
      </c>
    </row>
    <row r="384" spans="2:10" x14ac:dyDescent="0.25">
      <c r="B384" s="17">
        <v>46139</v>
      </c>
      <c r="C384" s="18" t="s">
        <v>264</v>
      </c>
      <c r="D384" s="18">
        <v>3</v>
      </c>
      <c r="E384" s="33">
        <v>399</v>
      </c>
      <c r="F384" s="7">
        <f t="shared" si="95"/>
        <v>1197</v>
      </c>
      <c r="G384" s="7">
        <v>2.5994000000000002</v>
      </c>
      <c r="H384" s="7">
        <f t="shared" si="96"/>
        <v>1037.1606000000002</v>
      </c>
      <c r="I384" s="7">
        <f t="shared" si="97"/>
        <v>3111.4818000000005</v>
      </c>
      <c r="J384" s="5">
        <f t="shared" si="98"/>
        <v>165256.8550000001</v>
      </c>
    </row>
    <row r="385" spans="2:10" x14ac:dyDescent="0.25">
      <c r="B385" s="12">
        <v>46139</v>
      </c>
      <c r="C385" s="13" t="s">
        <v>265</v>
      </c>
      <c r="D385" s="13">
        <v>1</v>
      </c>
      <c r="E385" s="31">
        <v>695</v>
      </c>
      <c r="F385" s="7">
        <f t="shared" si="95"/>
        <v>695</v>
      </c>
      <c r="G385" s="7">
        <v>2.5994000000000002</v>
      </c>
      <c r="H385" s="7">
        <f t="shared" si="96"/>
        <v>1806.5830000000001</v>
      </c>
      <c r="I385" s="7">
        <f t="shared" si="97"/>
        <v>1806.5830000000001</v>
      </c>
      <c r="J385" s="5">
        <f t="shared" si="98"/>
        <v>167063.43800000011</v>
      </c>
    </row>
    <row r="386" spans="2:10" x14ac:dyDescent="0.25">
      <c r="B386" s="12">
        <v>46139</v>
      </c>
      <c r="C386" s="13" t="s">
        <v>266</v>
      </c>
      <c r="D386" s="13">
        <v>1</v>
      </c>
      <c r="E386" s="31">
        <v>1298</v>
      </c>
      <c r="F386" s="7">
        <f t="shared" si="95"/>
        <v>1298</v>
      </c>
      <c r="G386" s="7">
        <v>2.5994000000000002</v>
      </c>
      <c r="H386" s="7">
        <f t="shared" si="96"/>
        <v>3374.0212000000001</v>
      </c>
      <c r="I386" s="7">
        <f t="shared" si="97"/>
        <v>3374.0212000000001</v>
      </c>
      <c r="J386" s="5">
        <f t="shared" si="98"/>
        <v>170437.4592000001</v>
      </c>
    </row>
    <row r="387" spans="2:10" x14ac:dyDescent="0.25">
      <c r="B387" s="17">
        <v>46139</v>
      </c>
      <c r="C387" s="18" t="s">
        <v>267</v>
      </c>
      <c r="D387" s="18">
        <v>1</v>
      </c>
      <c r="E387" s="33">
        <v>399</v>
      </c>
      <c r="F387" s="7">
        <f>E387*D387</f>
        <v>399</v>
      </c>
      <c r="G387" s="7">
        <v>2.5994000000000002</v>
      </c>
      <c r="H387" s="7">
        <f>E387*G387</f>
        <v>1037.1606000000002</v>
      </c>
      <c r="I387" s="7">
        <f>H387*D387</f>
        <v>1037.1606000000002</v>
      </c>
      <c r="J387" s="5">
        <f t="shared" si="98"/>
        <v>171474.6198000001</v>
      </c>
    </row>
    <row r="388" spans="2:10" x14ac:dyDescent="0.25">
      <c r="B388" s="8">
        <v>46132</v>
      </c>
      <c r="C388" s="9" t="s">
        <v>268</v>
      </c>
      <c r="D388" s="9">
        <v>1</v>
      </c>
      <c r="E388" s="32">
        <v>3561.82</v>
      </c>
      <c r="F388" s="11">
        <f t="shared" ref="F388:F390" si="99">E388*D388</f>
        <v>3561.82</v>
      </c>
      <c r="G388" s="11">
        <v>2.5994000000000002</v>
      </c>
      <c r="H388" s="11">
        <f t="shared" ref="H388:H390" si="100">E388*G388</f>
        <v>9258.5949080000009</v>
      </c>
      <c r="I388" s="11">
        <f t="shared" ref="I388:I390" si="101">H388*D388</f>
        <v>9258.5949080000009</v>
      </c>
      <c r="J388" s="9">
        <f t="shared" si="98"/>
        <v>180733.2147080001</v>
      </c>
    </row>
    <row r="389" spans="2:10" x14ac:dyDescent="0.25">
      <c r="B389" s="8">
        <v>46132</v>
      </c>
      <c r="C389" s="9" t="s">
        <v>268</v>
      </c>
      <c r="D389" s="9">
        <v>1</v>
      </c>
      <c r="E389" s="32">
        <v>6194.93</v>
      </c>
      <c r="F389" s="11">
        <f t="shared" si="99"/>
        <v>6194.93</v>
      </c>
      <c r="G389" s="11">
        <v>2.5994000000000002</v>
      </c>
      <c r="H389" s="11">
        <f t="shared" si="100"/>
        <v>16103.101042000002</v>
      </c>
      <c r="I389" s="11">
        <f t="shared" si="101"/>
        <v>16103.101042000002</v>
      </c>
      <c r="J389" s="9">
        <f t="shared" si="98"/>
        <v>196836.3157500001</v>
      </c>
    </row>
    <row r="390" spans="2:10" x14ac:dyDescent="0.25">
      <c r="B390" s="8">
        <v>46136</v>
      </c>
      <c r="C390" s="9" t="s">
        <v>269</v>
      </c>
      <c r="D390" s="9">
        <v>1</v>
      </c>
      <c r="E390" s="32">
        <v>405</v>
      </c>
      <c r="F390" s="11">
        <f t="shared" si="99"/>
        <v>405</v>
      </c>
      <c r="G390" s="11">
        <v>2.5994000000000002</v>
      </c>
      <c r="H390" s="11">
        <f t="shared" si="100"/>
        <v>1052.7570000000001</v>
      </c>
      <c r="I390" s="11">
        <f t="shared" si="101"/>
        <v>1052.7570000000001</v>
      </c>
      <c r="J390" s="9">
        <f t="shared" si="98"/>
        <v>197889.07275000011</v>
      </c>
    </row>
    <row r="391" spans="2:10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2:10" x14ac:dyDescent="0.25">
      <c r="B392" s="1"/>
      <c r="C392" s="1"/>
      <c r="D392" s="1"/>
      <c r="E392" s="1"/>
      <c r="F392" s="1"/>
      <c r="G392" s="1"/>
      <c r="H392" s="1"/>
      <c r="I392" s="1"/>
      <c r="J392" s="2"/>
    </row>
    <row r="393" spans="2:10" x14ac:dyDescent="0.25">
      <c r="B393" s="1"/>
      <c r="C393" s="1"/>
      <c r="D393" s="1"/>
      <c r="E393" s="1"/>
      <c r="F393" s="1"/>
      <c r="G393" s="1"/>
      <c r="H393" s="1"/>
      <c r="I393" s="1"/>
      <c r="J393" s="2"/>
    </row>
  </sheetData>
  <mergeCells count="22">
    <mergeCell ref="B363:J363"/>
    <mergeCell ref="B264:J264"/>
    <mergeCell ref="B284:J284"/>
    <mergeCell ref="B303:O303"/>
    <mergeCell ref="B318:J318"/>
    <mergeCell ref="B335:O335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234:J234"/>
    <mergeCell ref="B244:J244"/>
    <mergeCell ref="B186:J186"/>
    <mergeCell ref="B215:J215"/>
    <mergeCell ref="B223:O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8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75" t="s">
        <v>3</v>
      </c>
      <c r="C16" s="76"/>
      <c r="D16" s="46" t="s">
        <v>122</v>
      </c>
      <c r="E16" s="47"/>
      <c r="F16" s="47"/>
    </row>
    <row r="17" spans="2:6" ht="15.75" thickBot="1" x14ac:dyDescent="0.3">
      <c r="B17" s="77" t="s">
        <v>105</v>
      </c>
      <c r="C17" s="78"/>
      <c r="D17" s="48" t="s">
        <v>123</v>
      </c>
      <c r="E17" s="49"/>
      <c r="F17" s="49"/>
    </row>
    <row r="18" spans="2:6" ht="15.75" thickBot="1" x14ac:dyDescent="0.3">
      <c r="B18" s="50">
        <v>1</v>
      </c>
      <c r="C18" s="51" t="s">
        <v>124</v>
      </c>
      <c r="D18" s="51" t="s">
        <v>125</v>
      </c>
      <c r="E18" s="51" t="s">
        <v>126</v>
      </c>
      <c r="F18" s="52">
        <v>357311288544547</v>
      </c>
    </row>
    <row r="19" spans="2:6" ht="15.75" thickBot="1" x14ac:dyDescent="0.3">
      <c r="B19" s="50">
        <v>2</v>
      </c>
      <c r="C19" s="51" t="s">
        <v>124</v>
      </c>
      <c r="D19" s="51" t="s">
        <v>125</v>
      </c>
      <c r="E19" s="51" t="s">
        <v>126</v>
      </c>
      <c r="F19" s="52">
        <v>356722731048954</v>
      </c>
    </row>
    <row r="20" spans="2:6" ht="15.75" thickBot="1" x14ac:dyDescent="0.3">
      <c r="B20" s="50">
        <v>3</v>
      </c>
      <c r="C20" s="51" t="s">
        <v>124</v>
      </c>
      <c r="D20" s="51" t="s">
        <v>125</v>
      </c>
      <c r="E20" s="51" t="s">
        <v>126</v>
      </c>
      <c r="F20" s="52">
        <v>356722732436992</v>
      </c>
    </row>
    <row r="21" spans="2:6" ht="15.75" thickBot="1" x14ac:dyDescent="0.3">
      <c r="B21" s="50">
        <v>4</v>
      </c>
      <c r="C21" s="51" t="s">
        <v>124</v>
      </c>
      <c r="D21" s="51" t="s">
        <v>125</v>
      </c>
      <c r="E21" s="51" t="s">
        <v>126</v>
      </c>
      <c r="F21" s="52">
        <v>356722731228671</v>
      </c>
    </row>
    <row r="22" spans="2:6" ht="15.75" thickBot="1" x14ac:dyDescent="0.3">
      <c r="B22" s="50">
        <v>5</v>
      </c>
      <c r="C22" s="51" t="s">
        <v>124</v>
      </c>
      <c r="D22" s="51" t="s">
        <v>125</v>
      </c>
      <c r="E22" s="51" t="s">
        <v>126</v>
      </c>
      <c r="F22" s="52">
        <v>352758408372867</v>
      </c>
    </row>
    <row r="23" spans="2:6" ht="15.75" thickBot="1" x14ac:dyDescent="0.3">
      <c r="B23" s="50">
        <v>6</v>
      </c>
      <c r="C23" s="51" t="s">
        <v>124</v>
      </c>
      <c r="D23" s="51" t="s">
        <v>125</v>
      </c>
      <c r="E23" s="51" t="s">
        <v>126</v>
      </c>
      <c r="F23" s="52">
        <v>356722732318984</v>
      </c>
    </row>
    <row r="24" spans="2:6" ht="15.75" thickBot="1" x14ac:dyDescent="0.3">
      <c r="B24" s="50">
        <v>7</v>
      </c>
      <c r="C24" s="51" t="s">
        <v>124</v>
      </c>
      <c r="D24" s="51" t="s">
        <v>125</v>
      </c>
      <c r="E24" s="51" t="s">
        <v>126</v>
      </c>
      <c r="F24" s="52">
        <v>356722732122964</v>
      </c>
    </row>
    <row r="25" spans="2:6" ht="15.75" thickBot="1" x14ac:dyDescent="0.3">
      <c r="B25" s="50">
        <v>8</v>
      </c>
      <c r="C25" s="51" t="s">
        <v>124</v>
      </c>
      <c r="D25" s="51" t="s">
        <v>125</v>
      </c>
      <c r="E25" s="51" t="s">
        <v>126</v>
      </c>
      <c r="F25" s="52">
        <v>356722732492409</v>
      </c>
    </row>
    <row r="26" spans="2:6" ht="15.75" thickBot="1" x14ac:dyDescent="0.3">
      <c r="B26" s="50">
        <v>9</v>
      </c>
      <c r="C26" s="51" t="s">
        <v>124</v>
      </c>
      <c r="D26" s="51" t="s">
        <v>127</v>
      </c>
      <c r="E26" s="51" t="s">
        <v>126</v>
      </c>
      <c r="F26" s="52">
        <v>357903256189915</v>
      </c>
    </row>
    <row r="27" spans="2:6" ht="15.75" thickBot="1" x14ac:dyDescent="0.3">
      <c r="B27" s="50">
        <v>10</v>
      </c>
      <c r="C27" s="51" t="s">
        <v>124</v>
      </c>
      <c r="D27" s="51" t="s">
        <v>127</v>
      </c>
      <c r="E27" s="51" t="s">
        <v>126</v>
      </c>
      <c r="F27" s="52">
        <v>351784399117633</v>
      </c>
    </row>
    <row r="28" spans="2:6" ht="15.75" thickBot="1" x14ac:dyDescent="0.3">
      <c r="B28" s="50">
        <v>11</v>
      </c>
      <c r="C28" s="51" t="s">
        <v>124</v>
      </c>
      <c r="D28" s="51" t="s">
        <v>127</v>
      </c>
      <c r="E28" s="51" t="s">
        <v>126</v>
      </c>
      <c r="F28" s="52">
        <v>356722738091312</v>
      </c>
    </row>
    <row r="29" spans="2:6" ht="15.75" thickBot="1" x14ac:dyDescent="0.3">
      <c r="B29" s="50">
        <v>12</v>
      </c>
      <c r="C29" s="51" t="s">
        <v>124</v>
      </c>
      <c r="D29" s="51" t="s">
        <v>127</v>
      </c>
      <c r="E29" s="51" t="s">
        <v>126</v>
      </c>
      <c r="F29" s="52">
        <v>356722737664176</v>
      </c>
    </row>
    <row r="30" spans="2:6" ht="15.75" thickBot="1" x14ac:dyDescent="0.3">
      <c r="B30" s="50">
        <v>13</v>
      </c>
      <c r="C30" s="51" t="s">
        <v>124</v>
      </c>
      <c r="D30" s="51" t="s">
        <v>127</v>
      </c>
      <c r="E30" s="51" t="s">
        <v>126</v>
      </c>
      <c r="F30" s="52">
        <v>351784398989180</v>
      </c>
    </row>
    <row r="31" spans="2:6" ht="15.75" thickBot="1" x14ac:dyDescent="0.3">
      <c r="B31" s="50">
        <v>14</v>
      </c>
      <c r="C31" s="51" t="s">
        <v>124</v>
      </c>
      <c r="D31" s="51" t="s">
        <v>127</v>
      </c>
      <c r="E31" s="51" t="s">
        <v>126</v>
      </c>
      <c r="F31" s="52">
        <v>351784398960173</v>
      </c>
    </row>
    <row r="32" spans="2:6" ht="15.75" thickBot="1" x14ac:dyDescent="0.3">
      <c r="B32" s="50">
        <v>15</v>
      </c>
      <c r="C32" s="51" t="s">
        <v>124</v>
      </c>
      <c r="D32" s="51" t="s">
        <v>127</v>
      </c>
      <c r="E32" s="51" t="s">
        <v>126</v>
      </c>
      <c r="F32" s="52">
        <v>356722738052967</v>
      </c>
    </row>
    <row r="33" spans="2:6" ht="15.75" thickBot="1" x14ac:dyDescent="0.3">
      <c r="B33" s="50">
        <v>16</v>
      </c>
      <c r="C33" s="51" t="s">
        <v>124</v>
      </c>
      <c r="D33" s="51" t="s">
        <v>127</v>
      </c>
      <c r="E33" s="51" t="s">
        <v>126</v>
      </c>
      <c r="F33" s="52">
        <v>351784398944524</v>
      </c>
    </row>
    <row r="34" spans="2:6" ht="15.75" thickBot="1" x14ac:dyDescent="0.3">
      <c r="B34" s="50">
        <v>17</v>
      </c>
      <c r="C34" s="51" t="s">
        <v>124</v>
      </c>
      <c r="D34" s="51" t="s">
        <v>127</v>
      </c>
      <c r="E34" s="51" t="s">
        <v>126</v>
      </c>
      <c r="F34" s="52">
        <v>351784399158041</v>
      </c>
    </row>
    <row r="35" spans="2:6" ht="15.75" thickBot="1" x14ac:dyDescent="0.3">
      <c r="B35" s="50">
        <v>18</v>
      </c>
      <c r="C35" s="51" t="s">
        <v>124</v>
      </c>
      <c r="D35" s="51" t="s">
        <v>127</v>
      </c>
      <c r="E35" s="51" t="s">
        <v>126</v>
      </c>
      <c r="F35" s="52">
        <v>351784398758668</v>
      </c>
    </row>
    <row r="36" spans="2:6" ht="15.75" thickBot="1" x14ac:dyDescent="0.3">
      <c r="B36" s="50">
        <v>19</v>
      </c>
      <c r="C36" s="51" t="s">
        <v>124</v>
      </c>
      <c r="D36" s="51" t="s">
        <v>127</v>
      </c>
      <c r="E36" s="51" t="s">
        <v>126</v>
      </c>
      <c r="F36" s="52">
        <v>351784398760383</v>
      </c>
    </row>
    <row r="37" spans="2:6" ht="15.75" thickBot="1" x14ac:dyDescent="0.3">
      <c r="B37" s="50">
        <v>20</v>
      </c>
      <c r="C37" s="51" t="s">
        <v>124</v>
      </c>
      <c r="D37" s="51" t="s">
        <v>127</v>
      </c>
      <c r="E37" s="51" t="s">
        <v>126</v>
      </c>
      <c r="F37" s="52">
        <v>351784399238439</v>
      </c>
    </row>
    <row r="38" spans="2:6" ht="15.75" thickBot="1" x14ac:dyDescent="0.3">
      <c r="B38" s="50">
        <v>21</v>
      </c>
      <c r="C38" s="51" t="s">
        <v>124</v>
      </c>
      <c r="D38" s="51" t="s">
        <v>127</v>
      </c>
      <c r="E38" s="51" t="s">
        <v>126</v>
      </c>
      <c r="F38" s="52">
        <v>351784399025976</v>
      </c>
    </row>
    <row r="39" spans="2:6" ht="15.75" thickBot="1" x14ac:dyDescent="0.3">
      <c r="B39" s="50">
        <v>22</v>
      </c>
      <c r="C39" s="51" t="s">
        <v>124</v>
      </c>
      <c r="D39" s="51" t="s">
        <v>127</v>
      </c>
      <c r="E39" s="51" t="s">
        <v>126</v>
      </c>
      <c r="F39" s="52">
        <v>357903256164868</v>
      </c>
    </row>
    <row r="40" spans="2:6" ht="15.75" thickBot="1" x14ac:dyDescent="0.3">
      <c r="B40" s="50">
        <v>23</v>
      </c>
      <c r="C40" s="51" t="s">
        <v>124</v>
      </c>
      <c r="D40" s="51" t="s">
        <v>127</v>
      </c>
      <c r="E40" s="51" t="s">
        <v>126</v>
      </c>
      <c r="F40" s="52">
        <v>357903255981775</v>
      </c>
    </row>
    <row r="41" spans="2:6" ht="15.75" thickBot="1" x14ac:dyDescent="0.3">
      <c r="B41" s="50">
        <v>24</v>
      </c>
      <c r="C41" s="51" t="s">
        <v>124</v>
      </c>
      <c r="D41" s="51" t="s">
        <v>127</v>
      </c>
      <c r="E41" s="51" t="s">
        <v>126</v>
      </c>
      <c r="F41" s="52">
        <v>356722737327212</v>
      </c>
    </row>
    <row r="42" spans="2:6" ht="15.75" thickBot="1" x14ac:dyDescent="0.3">
      <c r="B42" s="50">
        <v>25</v>
      </c>
      <c r="C42" s="51" t="s">
        <v>124</v>
      </c>
      <c r="D42" s="51" t="s">
        <v>127</v>
      </c>
      <c r="E42" s="51" t="s">
        <v>126</v>
      </c>
      <c r="F42" s="52">
        <v>351784398774574</v>
      </c>
    </row>
    <row r="43" spans="2:6" ht="15.75" thickBot="1" x14ac:dyDescent="0.3">
      <c r="B43" s="50">
        <v>26</v>
      </c>
      <c r="C43" s="51" t="s">
        <v>124</v>
      </c>
      <c r="D43" s="51" t="s">
        <v>127</v>
      </c>
      <c r="E43" s="51" t="s">
        <v>126</v>
      </c>
      <c r="F43" s="52">
        <v>356722737436211</v>
      </c>
    </row>
    <row r="44" spans="2:6" ht="15.75" thickBot="1" x14ac:dyDescent="0.3">
      <c r="B44" s="50">
        <v>27</v>
      </c>
      <c r="C44" s="51" t="s">
        <v>124</v>
      </c>
      <c r="D44" s="51" t="s">
        <v>127</v>
      </c>
      <c r="E44" s="51" t="s">
        <v>126</v>
      </c>
      <c r="F44" s="52">
        <v>356722738049112</v>
      </c>
    </row>
    <row r="45" spans="2:6" ht="15.75" thickBot="1" x14ac:dyDescent="0.3">
      <c r="B45" s="50">
        <v>28</v>
      </c>
      <c r="C45" s="51" t="s">
        <v>124</v>
      </c>
      <c r="D45" s="51" t="s">
        <v>127</v>
      </c>
      <c r="E45" s="51" t="s">
        <v>126</v>
      </c>
      <c r="F45" s="52">
        <v>356908918928668</v>
      </c>
    </row>
    <row r="46" spans="2:6" ht="15.75" thickBot="1" x14ac:dyDescent="0.3">
      <c r="B46" s="50">
        <v>29</v>
      </c>
      <c r="C46" s="51" t="s">
        <v>124</v>
      </c>
      <c r="D46" s="51" t="s">
        <v>127</v>
      </c>
      <c r="E46" s="51" t="s">
        <v>126</v>
      </c>
      <c r="F46" s="52">
        <v>356722738173250</v>
      </c>
    </row>
    <row r="47" spans="2:6" ht="15.75" thickBot="1" x14ac:dyDescent="0.3">
      <c r="B47" s="50">
        <v>30</v>
      </c>
      <c r="C47" s="51" t="s">
        <v>124</v>
      </c>
      <c r="D47" s="51" t="s">
        <v>127</v>
      </c>
      <c r="E47" s="51" t="s">
        <v>126</v>
      </c>
      <c r="F47" s="52">
        <v>356722738462760</v>
      </c>
    </row>
    <row r="48" spans="2:6" ht="15.75" thickBot="1" x14ac:dyDescent="0.3">
      <c r="B48" s="50">
        <v>31</v>
      </c>
      <c r="C48" s="51" t="s">
        <v>124</v>
      </c>
      <c r="D48" s="51" t="s">
        <v>127</v>
      </c>
      <c r="E48" s="51" t="s">
        <v>126</v>
      </c>
      <c r="F48" s="52">
        <v>356722738455111</v>
      </c>
    </row>
    <row r="49" spans="2:6" ht="15.75" thickBot="1" x14ac:dyDescent="0.3">
      <c r="B49" s="50">
        <v>32</v>
      </c>
      <c r="C49" s="51" t="s">
        <v>124</v>
      </c>
      <c r="D49" s="51" t="s">
        <v>127</v>
      </c>
      <c r="E49" s="51" t="s">
        <v>126</v>
      </c>
      <c r="F49" s="52">
        <v>356722737557578</v>
      </c>
    </row>
    <row r="50" spans="2:6" ht="15.75" thickBot="1" x14ac:dyDescent="0.3">
      <c r="B50" s="50">
        <v>33</v>
      </c>
      <c r="C50" s="51" t="s">
        <v>124</v>
      </c>
      <c r="D50" s="51" t="s">
        <v>127</v>
      </c>
      <c r="E50" s="51" t="s">
        <v>126</v>
      </c>
      <c r="F50" s="52">
        <v>356722737348721</v>
      </c>
    </row>
    <row r="51" spans="2:6" ht="15.75" thickBot="1" x14ac:dyDescent="0.3">
      <c r="B51" s="50">
        <v>34</v>
      </c>
      <c r="C51" s="51" t="s">
        <v>124</v>
      </c>
      <c r="D51" s="51" t="s">
        <v>127</v>
      </c>
      <c r="E51" s="51" t="s">
        <v>126</v>
      </c>
      <c r="F51" s="52">
        <v>356908918984257</v>
      </c>
    </row>
    <row r="52" spans="2:6" ht="15.75" thickBot="1" x14ac:dyDescent="0.3">
      <c r="B52" s="50">
        <v>35</v>
      </c>
      <c r="C52" s="51" t="s">
        <v>124</v>
      </c>
      <c r="D52" s="51" t="s">
        <v>127</v>
      </c>
      <c r="E52" s="51" t="s">
        <v>126</v>
      </c>
      <c r="F52" s="52">
        <v>351784398999825</v>
      </c>
    </row>
    <row r="53" spans="2:6" ht="15.75" thickBot="1" x14ac:dyDescent="0.3">
      <c r="B53" s="50">
        <v>36</v>
      </c>
      <c r="C53" s="51" t="s">
        <v>124</v>
      </c>
      <c r="D53" s="51" t="s">
        <v>127</v>
      </c>
      <c r="E53" s="51" t="s">
        <v>126</v>
      </c>
      <c r="F53" s="52">
        <v>357739168928176</v>
      </c>
    </row>
    <row r="54" spans="2:6" ht="15.75" thickBot="1" x14ac:dyDescent="0.3">
      <c r="B54" s="50">
        <v>37</v>
      </c>
      <c r="C54" s="51" t="s">
        <v>124</v>
      </c>
      <c r="D54" s="51" t="s">
        <v>127</v>
      </c>
      <c r="E54" s="51" t="s">
        <v>126</v>
      </c>
      <c r="F54" s="52">
        <v>356722738283067</v>
      </c>
    </row>
    <row r="55" spans="2:6" ht="15.75" thickBot="1" x14ac:dyDescent="0.3">
      <c r="B55" s="50">
        <v>38</v>
      </c>
      <c r="C55" s="51" t="s">
        <v>124</v>
      </c>
      <c r="D55" s="51" t="s">
        <v>127</v>
      </c>
      <c r="E55" s="51" t="s">
        <v>126</v>
      </c>
      <c r="F55" s="52">
        <v>357739168891804</v>
      </c>
    </row>
    <row r="56" spans="2:6" ht="15.75" thickBot="1" x14ac:dyDescent="0.3">
      <c r="B56" s="50">
        <v>39</v>
      </c>
      <c r="C56" s="51" t="s">
        <v>124</v>
      </c>
      <c r="D56" s="51" t="s">
        <v>127</v>
      </c>
      <c r="E56" s="51" t="s">
        <v>126</v>
      </c>
      <c r="F56" s="52">
        <v>356722737714245</v>
      </c>
    </row>
    <row r="57" spans="2:6" ht="15.75" thickBot="1" x14ac:dyDescent="0.3">
      <c r="B57" s="50">
        <v>40</v>
      </c>
      <c r="C57" s="51" t="s">
        <v>128</v>
      </c>
      <c r="D57" s="51" t="s">
        <v>129</v>
      </c>
      <c r="E57" s="51" t="s">
        <v>126</v>
      </c>
      <c r="F57" s="52">
        <v>356523761791970</v>
      </c>
    </row>
    <row r="58" spans="2:6" ht="15.75" thickBot="1" x14ac:dyDescent="0.3">
      <c r="B58" s="50">
        <v>41</v>
      </c>
      <c r="C58" s="51" t="s">
        <v>128</v>
      </c>
      <c r="D58" s="51" t="s">
        <v>129</v>
      </c>
      <c r="E58" s="51" t="s">
        <v>126</v>
      </c>
      <c r="F58" s="52">
        <v>358258282013129</v>
      </c>
    </row>
    <row r="59" spans="2:6" ht="15.75" thickBot="1" x14ac:dyDescent="0.3">
      <c r="B59" s="50">
        <v>42</v>
      </c>
      <c r="C59" s="51" t="s">
        <v>128</v>
      </c>
      <c r="D59" s="51" t="s">
        <v>129</v>
      </c>
      <c r="E59" s="51" t="s">
        <v>126</v>
      </c>
      <c r="F59" s="52">
        <v>356523761667352</v>
      </c>
    </row>
    <row r="60" spans="2:6" ht="15.75" thickBot="1" x14ac:dyDescent="0.3">
      <c r="B60" s="50">
        <v>43</v>
      </c>
      <c r="C60" s="51" t="s">
        <v>128</v>
      </c>
      <c r="D60" s="51" t="s">
        <v>129</v>
      </c>
      <c r="E60" s="51" t="s">
        <v>126</v>
      </c>
      <c r="F60" s="52">
        <v>356523761963934</v>
      </c>
    </row>
    <row r="61" spans="2:6" ht="15.75" thickBot="1" x14ac:dyDescent="0.3">
      <c r="B61" s="50">
        <v>44</v>
      </c>
      <c r="C61" s="51" t="s">
        <v>128</v>
      </c>
      <c r="D61" s="51" t="s">
        <v>130</v>
      </c>
      <c r="E61" s="51" t="s">
        <v>126</v>
      </c>
      <c r="F61" s="52">
        <v>358918502652432</v>
      </c>
    </row>
    <row r="62" spans="2:6" ht="15.75" thickBot="1" x14ac:dyDescent="0.3">
      <c r="B62" s="50">
        <v>45</v>
      </c>
      <c r="C62" s="51" t="s">
        <v>128</v>
      </c>
      <c r="D62" s="51" t="s">
        <v>130</v>
      </c>
      <c r="E62" s="51" t="s">
        <v>126</v>
      </c>
      <c r="F62" s="52">
        <v>353065383441389</v>
      </c>
    </row>
    <row r="63" spans="2:6" ht="15.75" thickBot="1" x14ac:dyDescent="0.3">
      <c r="B63" s="50">
        <v>46</v>
      </c>
      <c r="C63" s="51" t="s">
        <v>128</v>
      </c>
      <c r="D63" s="51" t="s">
        <v>130</v>
      </c>
      <c r="E63" s="51" t="s">
        <v>126</v>
      </c>
      <c r="F63" s="52">
        <v>356523762750090</v>
      </c>
    </row>
    <row r="64" spans="2:6" ht="15.75" thickBot="1" x14ac:dyDescent="0.3">
      <c r="B64" s="50">
        <v>47</v>
      </c>
      <c r="C64" s="51" t="s">
        <v>128</v>
      </c>
      <c r="D64" s="51" t="s">
        <v>130</v>
      </c>
      <c r="E64" s="51" t="s">
        <v>126</v>
      </c>
      <c r="F64" s="52">
        <v>358918503424849</v>
      </c>
    </row>
    <row r="65" spans="2:6" ht="15.75" thickBot="1" x14ac:dyDescent="0.3">
      <c r="B65" s="50">
        <v>48</v>
      </c>
      <c r="C65" s="51" t="s">
        <v>128</v>
      </c>
      <c r="D65" s="51" t="s">
        <v>130</v>
      </c>
      <c r="E65" s="51" t="s">
        <v>126</v>
      </c>
      <c r="F65" s="52">
        <v>353065383522717</v>
      </c>
    </row>
    <row r="66" spans="2:6" ht="15.75" thickBot="1" x14ac:dyDescent="0.3">
      <c r="B66" s="50">
        <v>49</v>
      </c>
      <c r="C66" s="51" t="s">
        <v>128</v>
      </c>
      <c r="D66" s="51" t="s">
        <v>131</v>
      </c>
      <c r="E66" s="51" t="s">
        <v>126</v>
      </c>
      <c r="F66" s="52">
        <v>358378923991010</v>
      </c>
    </row>
    <row r="67" spans="2:6" ht="15.75" thickBot="1" x14ac:dyDescent="0.3">
      <c r="B67" s="50">
        <v>50</v>
      </c>
      <c r="C67" s="51" t="s">
        <v>128</v>
      </c>
      <c r="D67" s="51" t="s">
        <v>131</v>
      </c>
      <c r="E67" s="51" t="s">
        <v>126</v>
      </c>
      <c r="F67" s="52">
        <v>358378921566780</v>
      </c>
    </row>
    <row r="68" spans="2:6" ht="15.75" thickBot="1" x14ac:dyDescent="0.3">
      <c r="B68" s="50">
        <v>51</v>
      </c>
      <c r="C68" s="51" t="s">
        <v>128</v>
      </c>
      <c r="D68" s="51" t="s">
        <v>131</v>
      </c>
      <c r="E68" s="51" t="s">
        <v>126</v>
      </c>
      <c r="F68" s="52">
        <v>356182201321532</v>
      </c>
    </row>
    <row r="69" spans="2:6" ht="15.75" thickBot="1" x14ac:dyDescent="0.3">
      <c r="B69" s="50">
        <v>52</v>
      </c>
      <c r="C69" s="51" t="s">
        <v>128</v>
      </c>
      <c r="D69" s="51" t="s">
        <v>131</v>
      </c>
      <c r="E69" s="51" t="s">
        <v>126</v>
      </c>
      <c r="F69" s="52">
        <v>356182200979447</v>
      </c>
    </row>
    <row r="70" spans="2:6" ht="15.75" thickBot="1" x14ac:dyDescent="0.3">
      <c r="B70" s="50">
        <v>53</v>
      </c>
      <c r="C70" s="51" t="s">
        <v>128</v>
      </c>
      <c r="D70" s="51" t="s">
        <v>131</v>
      </c>
      <c r="E70" s="51" t="s">
        <v>126</v>
      </c>
      <c r="F70" s="52">
        <v>356182203812850</v>
      </c>
    </row>
    <row r="71" spans="2:6" ht="15.75" thickBot="1" x14ac:dyDescent="0.3">
      <c r="B71" s="50">
        <v>54</v>
      </c>
      <c r="C71" s="51" t="s">
        <v>128</v>
      </c>
      <c r="D71" s="51" t="s">
        <v>131</v>
      </c>
      <c r="E71" s="51" t="s">
        <v>126</v>
      </c>
      <c r="F71" s="52">
        <v>358918501178686</v>
      </c>
    </row>
    <row r="72" spans="2:6" ht="15.75" thickBot="1" x14ac:dyDescent="0.3">
      <c r="B72" s="50">
        <v>55</v>
      </c>
      <c r="C72" s="51" t="s">
        <v>128</v>
      </c>
      <c r="D72" s="51" t="s">
        <v>131</v>
      </c>
      <c r="E72" s="51" t="s">
        <v>126</v>
      </c>
      <c r="F72" s="52">
        <v>353065382846091</v>
      </c>
    </row>
    <row r="73" spans="2:6" ht="15.75" thickBot="1" x14ac:dyDescent="0.3">
      <c r="B73" s="50">
        <v>56</v>
      </c>
      <c r="C73" s="51" t="s">
        <v>128</v>
      </c>
      <c r="D73" s="51" t="s">
        <v>131</v>
      </c>
      <c r="E73" s="51" t="s">
        <v>126</v>
      </c>
      <c r="F73" s="52">
        <v>353065382766703</v>
      </c>
    </row>
    <row r="74" spans="2:6" ht="15.75" thickBot="1" x14ac:dyDescent="0.3">
      <c r="B74" s="50">
        <v>57</v>
      </c>
      <c r="C74" s="51" t="s">
        <v>128</v>
      </c>
      <c r="D74" s="51" t="s">
        <v>131</v>
      </c>
      <c r="E74" s="51" t="s">
        <v>126</v>
      </c>
      <c r="F74" s="52">
        <v>351737652283591</v>
      </c>
    </row>
    <row r="75" spans="2:6" ht="15.75" thickBot="1" x14ac:dyDescent="0.3">
      <c r="B75" s="50">
        <v>58</v>
      </c>
      <c r="C75" s="51" t="s">
        <v>128</v>
      </c>
      <c r="D75" s="51" t="s">
        <v>131</v>
      </c>
      <c r="E75" s="51" t="s">
        <v>126</v>
      </c>
      <c r="F75" s="52">
        <v>353065380365300</v>
      </c>
    </row>
    <row r="76" spans="2:6" ht="15.75" thickBot="1" x14ac:dyDescent="0.3">
      <c r="B76" s="50">
        <v>59</v>
      </c>
      <c r="C76" s="51" t="s">
        <v>128</v>
      </c>
      <c r="D76" s="51" t="s">
        <v>131</v>
      </c>
      <c r="E76" s="51" t="s">
        <v>126</v>
      </c>
      <c r="F76" s="52">
        <v>353065383930746</v>
      </c>
    </row>
    <row r="77" spans="2:6" ht="15.75" thickBot="1" x14ac:dyDescent="0.3">
      <c r="B77" s="50">
        <v>60</v>
      </c>
      <c r="C77" s="51" t="s">
        <v>128</v>
      </c>
      <c r="D77" s="51" t="s">
        <v>131</v>
      </c>
      <c r="E77" s="51" t="s">
        <v>126</v>
      </c>
      <c r="F77" s="52">
        <v>356182204104018</v>
      </c>
    </row>
    <row r="78" spans="2:6" ht="15.75" thickBot="1" x14ac:dyDescent="0.3">
      <c r="B78" s="50">
        <v>61</v>
      </c>
      <c r="C78" s="51" t="s">
        <v>128</v>
      </c>
      <c r="D78" s="51" t="s">
        <v>131</v>
      </c>
      <c r="E78" s="51" t="s">
        <v>126</v>
      </c>
      <c r="F78" s="52">
        <v>356182202549131</v>
      </c>
    </row>
    <row r="79" spans="2:6" ht="15.75" thickBot="1" x14ac:dyDescent="0.3">
      <c r="B79" s="50">
        <v>62</v>
      </c>
      <c r="C79" s="51" t="s">
        <v>132</v>
      </c>
      <c r="D79" s="51" t="s">
        <v>106</v>
      </c>
      <c r="E79" s="51" t="s">
        <v>133</v>
      </c>
      <c r="F79" s="52" t="s">
        <v>134</v>
      </c>
    </row>
    <row r="80" spans="2:6" ht="15.75" thickBot="1" x14ac:dyDescent="0.3">
      <c r="B80" s="50">
        <v>63</v>
      </c>
      <c r="C80" s="51" t="s">
        <v>132</v>
      </c>
      <c r="D80" s="51" t="s">
        <v>106</v>
      </c>
      <c r="E80" s="51" t="s">
        <v>133</v>
      </c>
      <c r="F80" s="52" t="s">
        <v>135</v>
      </c>
    </row>
    <row r="81" spans="2:6" ht="15.75" thickBot="1" x14ac:dyDescent="0.3">
      <c r="B81" s="50">
        <v>64</v>
      </c>
      <c r="C81" s="51" t="s">
        <v>132</v>
      </c>
      <c r="D81" s="51" t="s">
        <v>106</v>
      </c>
      <c r="E81" s="51" t="s">
        <v>133</v>
      </c>
      <c r="F81" s="52" t="s">
        <v>136</v>
      </c>
    </row>
    <row r="82" spans="2:6" ht="15.75" thickBot="1" x14ac:dyDescent="0.3">
      <c r="B82" s="50">
        <v>65</v>
      </c>
      <c r="C82" s="51" t="s">
        <v>132</v>
      </c>
      <c r="D82" s="51" t="s">
        <v>106</v>
      </c>
      <c r="E82" s="51" t="s">
        <v>133</v>
      </c>
      <c r="F82" s="52" t="s">
        <v>137</v>
      </c>
    </row>
    <row r="83" spans="2:6" ht="15.75" thickBot="1" x14ac:dyDescent="0.3">
      <c r="B83" s="50">
        <v>66</v>
      </c>
      <c r="C83" s="51" t="s">
        <v>132</v>
      </c>
      <c r="D83" s="51" t="s">
        <v>106</v>
      </c>
      <c r="E83" s="51" t="s">
        <v>133</v>
      </c>
      <c r="F83" s="52" t="s">
        <v>138</v>
      </c>
    </row>
    <row r="84" spans="2:6" ht="15.75" thickBot="1" x14ac:dyDescent="0.3">
      <c r="B84" s="50">
        <v>67</v>
      </c>
      <c r="C84" s="51" t="s">
        <v>132</v>
      </c>
      <c r="D84" s="51" t="s">
        <v>106</v>
      </c>
      <c r="E84" s="51" t="s">
        <v>133</v>
      </c>
      <c r="F84" s="52" t="s">
        <v>139</v>
      </c>
    </row>
    <row r="85" spans="2:6" ht="15.75" thickBot="1" x14ac:dyDescent="0.3">
      <c r="B85" s="50">
        <v>68</v>
      </c>
      <c r="C85" s="51" t="s">
        <v>140</v>
      </c>
      <c r="D85" s="51" t="s">
        <v>106</v>
      </c>
      <c r="E85" s="51" t="s">
        <v>108</v>
      </c>
      <c r="F85" s="52" t="s">
        <v>141</v>
      </c>
    </row>
    <row r="86" spans="2:6" ht="15.75" thickBot="1" x14ac:dyDescent="0.3">
      <c r="B86" s="50">
        <v>69</v>
      </c>
      <c r="C86" s="51" t="s">
        <v>140</v>
      </c>
      <c r="D86" s="51" t="s">
        <v>106</v>
      </c>
      <c r="E86" s="51" t="s">
        <v>108</v>
      </c>
      <c r="F86" s="52" t="s">
        <v>142</v>
      </c>
    </row>
    <row r="87" spans="2:6" ht="15.75" thickBot="1" x14ac:dyDescent="0.3">
      <c r="B87" s="50">
        <v>70</v>
      </c>
      <c r="C87" s="51" t="s">
        <v>140</v>
      </c>
      <c r="D87" s="51" t="s">
        <v>106</v>
      </c>
      <c r="E87" s="51" t="s">
        <v>108</v>
      </c>
      <c r="F87" s="52" t="s">
        <v>143</v>
      </c>
    </row>
    <row r="88" spans="2:6" ht="15.75" thickBot="1" x14ac:dyDescent="0.3">
      <c r="B88" s="50">
        <v>71</v>
      </c>
      <c r="C88" s="51" t="s">
        <v>140</v>
      </c>
      <c r="D88" s="51" t="s">
        <v>106</v>
      </c>
      <c r="E88" s="51" t="s">
        <v>108</v>
      </c>
      <c r="F88" s="52" t="s">
        <v>144</v>
      </c>
    </row>
    <row r="89" spans="2:6" ht="27" thickBot="1" x14ac:dyDescent="0.3">
      <c r="B89" s="50">
        <v>72</v>
      </c>
      <c r="C89" s="51" t="s">
        <v>145</v>
      </c>
      <c r="D89" s="51" t="s">
        <v>146</v>
      </c>
      <c r="E89" s="47"/>
      <c r="F89" s="53"/>
    </row>
    <row r="90" spans="2:6" ht="27" thickBot="1" x14ac:dyDescent="0.3">
      <c r="B90" s="50">
        <v>73</v>
      </c>
      <c r="C90" s="51" t="s">
        <v>145</v>
      </c>
      <c r="D90" s="51" t="s">
        <v>147</v>
      </c>
      <c r="E90" s="47"/>
      <c r="F90" s="53"/>
    </row>
    <row r="91" spans="2:6" ht="27" thickBot="1" x14ac:dyDescent="0.3">
      <c r="B91" s="50">
        <v>74</v>
      </c>
      <c r="C91" s="51" t="s">
        <v>145</v>
      </c>
      <c r="D91" s="51" t="s">
        <v>148</v>
      </c>
      <c r="E91" s="47"/>
      <c r="F91" s="53"/>
    </row>
    <row r="92" spans="2:6" ht="27" thickBot="1" x14ac:dyDescent="0.3">
      <c r="B92" s="50">
        <v>75</v>
      </c>
      <c r="C92" s="51" t="s">
        <v>145</v>
      </c>
      <c r="D92" s="51" t="s">
        <v>149</v>
      </c>
      <c r="E92" s="47"/>
      <c r="F92" s="53"/>
    </row>
    <row r="93" spans="2:6" ht="27" thickBot="1" x14ac:dyDescent="0.3">
      <c r="B93" s="50">
        <v>76</v>
      </c>
      <c r="C93" s="51" t="s">
        <v>145</v>
      </c>
      <c r="D93" s="51" t="s">
        <v>150</v>
      </c>
      <c r="E93" s="49"/>
      <c r="F93" s="53"/>
    </row>
    <row r="94" spans="2:6" ht="15.75" thickBot="1" x14ac:dyDescent="0.3">
      <c r="B94" s="50">
        <v>77</v>
      </c>
      <c r="C94" s="51" t="s">
        <v>151</v>
      </c>
      <c r="D94" s="51" t="s">
        <v>107</v>
      </c>
      <c r="E94" s="51" t="s">
        <v>152</v>
      </c>
      <c r="F94" s="53"/>
    </row>
    <row r="95" spans="2:6" ht="15.75" thickBot="1" x14ac:dyDescent="0.3">
      <c r="B95" s="50">
        <v>78</v>
      </c>
      <c r="C95" s="51" t="s">
        <v>151</v>
      </c>
      <c r="D95" s="51" t="s">
        <v>107</v>
      </c>
      <c r="E95" s="51" t="s">
        <v>153</v>
      </c>
      <c r="F95" s="53"/>
    </row>
    <row r="96" spans="2:6" ht="15.75" thickBot="1" x14ac:dyDescent="0.3">
      <c r="B96" s="50">
        <v>79</v>
      </c>
      <c r="C96" s="51" t="s">
        <v>151</v>
      </c>
      <c r="D96" s="51" t="s">
        <v>107</v>
      </c>
      <c r="E96" s="51" t="s">
        <v>154</v>
      </c>
      <c r="F96" s="53"/>
    </row>
    <row r="97" spans="2:6" ht="15.75" thickBot="1" x14ac:dyDescent="0.3">
      <c r="B97" s="50">
        <v>80</v>
      </c>
      <c r="C97" s="51" t="s">
        <v>151</v>
      </c>
      <c r="D97" s="51" t="s">
        <v>107</v>
      </c>
      <c r="E97" s="51" t="s">
        <v>155</v>
      </c>
      <c r="F97" s="53"/>
    </row>
    <row r="98" spans="2:6" ht="15.75" thickBot="1" x14ac:dyDescent="0.3">
      <c r="B98" s="50">
        <v>81</v>
      </c>
      <c r="C98" s="51" t="s">
        <v>151</v>
      </c>
      <c r="D98" s="51" t="s">
        <v>107</v>
      </c>
      <c r="E98" s="51" t="s">
        <v>156</v>
      </c>
      <c r="F98" s="53"/>
    </row>
    <row r="99" spans="2:6" ht="15.75" thickBot="1" x14ac:dyDescent="0.3">
      <c r="B99" s="50">
        <v>82</v>
      </c>
      <c r="C99" s="51" t="s">
        <v>151</v>
      </c>
      <c r="D99" s="51" t="s">
        <v>107</v>
      </c>
      <c r="E99" s="51" t="s">
        <v>157</v>
      </c>
      <c r="F99" s="53"/>
    </row>
    <row r="100" spans="2:6" ht="15.75" thickBot="1" x14ac:dyDescent="0.3">
      <c r="B100" s="50">
        <v>83</v>
      </c>
      <c r="C100" s="51" t="s">
        <v>151</v>
      </c>
      <c r="D100" s="51" t="s">
        <v>107</v>
      </c>
      <c r="E100" s="51" t="s">
        <v>158</v>
      </c>
      <c r="F100" s="53"/>
    </row>
    <row r="101" spans="2:6" ht="15.75" thickBot="1" x14ac:dyDescent="0.3">
      <c r="B101" s="50">
        <v>84</v>
      </c>
      <c r="C101" s="51" t="s">
        <v>151</v>
      </c>
      <c r="D101" s="51" t="s">
        <v>107</v>
      </c>
      <c r="E101" s="51" t="s">
        <v>159</v>
      </c>
      <c r="F101" s="53"/>
    </row>
    <row r="102" spans="2:6" ht="15.75" thickBot="1" x14ac:dyDescent="0.3">
      <c r="B102" s="50">
        <v>85</v>
      </c>
      <c r="C102" s="51" t="s">
        <v>151</v>
      </c>
      <c r="D102" s="51" t="s">
        <v>107</v>
      </c>
      <c r="E102" s="51" t="s">
        <v>160</v>
      </c>
      <c r="F102" s="53"/>
    </row>
    <row r="103" spans="2:6" ht="15.75" thickBot="1" x14ac:dyDescent="0.3">
      <c r="B103" s="50">
        <v>86</v>
      </c>
      <c r="C103" s="51" t="s">
        <v>151</v>
      </c>
      <c r="D103" s="51" t="s">
        <v>107</v>
      </c>
      <c r="E103" s="51" t="s">
        <v>161</v>
      </c>
      <c r="F103" s="53"/>
    </row>
    <row r="104" spans="2:6" ht="15.75" thickBot="1" x14ac:dyDescent="0.3">
      <c r="B104" s="50">
        <v>87</v>
      </c>
      <c r="C104" s="51" t="s">
        <v>151</v>
      </c>
      <c r="D104" s="51" t="s">
        <v>107</v>
      </c>
      <c r="E104" s="51" t="s">
        <v>162</v>
      </c>
      <c r="F104" s="53"/>
    </row>
    <row r="105" spans="2:6" ht="15.75" thickBot="1" x14ac:dyDescent="0.3">
      <c r="B105" s="50">
        <v>88</v>
      </c>
      <c r="C105" s="51" t="s">
        <v>151</v>
      </c>
      <c r="D105" s="51" t="s">
        <v>107</v>
      </c>
      <c r="E105" s="51" t="s">
        <v>163</v>
      </c>
      <c r="F105" s="53"/>
    </row>
    <row r="106" spans="2:6" ht="15.75" thickBot="1" x14ac:dyDescent="0.3">
      <c r="B106" s="50">
        <v>89</v>
      </c>
      <c r="C106" s="51" t="s">
        <v>151</v>
      </c>
      <c r="D106" s="51" t="s">
        <v>107</v>
      </c>
      <c r="E106" s="51" t="s">
        <v>164</v>
      </c>
      <c r="F106" s="53"/>
    </row>
    <row r="107" spans="2:6" ht="15.75" thickBot="1" x14ac:dyDescent="0.3">
      <c r="B107" s="50">
        <v>90</v>
      </c>
      <c r="C107" s="51" t="s">
        <v>151</v>
      </c>
      <c r="D107" s="51" t="s">
        <v>107</v>
      </c>
      <c r="E107" s="51" t="s">
        <v>165</v>
      </c>
      <c r="F107" s="53"/>
    </row>
    <row r="108" spans="2:6" ht="15.75" thickBot="1" x14ac:dyDescent="0.3">
      <c r="B108" s="50">
        <v>91</v>
      </c>
      <c r="C108" s="51" t="s">
        <v>151</v>
      </c>
      <c r="D108" s="51" t="s">
        <v>107</v>
      </c>
      <c r="E108" s="51" t="s">
        <v>166</v>
      </c>
      <c r="F108" s="53"/>
    </row>
    <row r="109" spans="2:6" ht="15.75" thickBot="1" x14ac:dyDescent="0.3">
      <c r="B109" s="50">
        <v>92</v>
      </c>
      <c r="C109" s="51" t="s">
        <v>151</v>
      </c>
      <c r="D109" s="51" t="s">
        <v>107</v>
      </c>
      <c r="E109" s="51" t="s">
        <v>167</v>
      </c>
      <c r="F109" s="53"/>
    </row>
    <row r="110" spans="2:6" ht="15.75" thickBot="1" x14ac:dyDescent="0.3">
      <c r="B110" s="50">
        <v>93</v>
      </c>
      <c r="C110" s="51" t="s">
        <v>151</v>
      </c>
      <c r="D110" s="51" t="s">
        <v>107</v>
      </c>
      <c r="E110" s="51" t="s">
        <v>168</v>
      </c>
      <c r="F110" s="53"/>
    </row>
    <row r="111" spans="2:6" ht="15.75" thickBot="1" x14ac:dyDescent="0.3">
      <c r="B111" s="50">
        <v>94</v>
      </c>
      <c r="C111" s="51" t="s">
        <v>151</v>
      </c>
      <c r="D111" s="51" t="s">
        <v>107</v>
      </c>
      <c r="E111" s="51" t="s">
        <v>169</v>
      </c>
      <c r="F111" s="53"/>
    </row>
    <row r="112" spans="2:6" ht="15.75" thickBot="1" x14ac:dyDescent="0.3">
      <c r="B112" s="50">
        <v>95</v>
      </c>
      <c r="C112" s="51" t="s">
        <v>151</v>
      </c>
      <c r="D112" s="51" t="s">
        <v>107</v>
      </c>
      <c r="E112" s="51" t="s">
        <v>170</v>
      </c>
      <c r="F112" s="53"/>
    </row>
    <row r="113" spans="2:6" ht="15.75" thickBot="1" x14ac:dyDescent="0.3">
      <c r="B113" s="50">
        <v>96</v>
      </c>
      <c r="C113" s="51" t="s">
        <v>151</v>
      </c>
      <c r="D113" s="51" t="s">
        <v>107</v>
      </c>
      <c r="E113" s="51" t="s">
        <v>171</v>
      </c>
      <c r="F113" s="53"/>
    </row>
    <row r="114" spans="2:6" ht="15.75" thickBot="1" x14ac:dyDescent="0.3">
      <c r="B114" s="50">
        <v>97</v>
      </c>
      <c r="C114" s="51" t="s">
        <v>151</v>
      </c>
      <c r="D114" s="51" t="s">
        <v>107</v>
      </c>
      <c r="E114" s="51" t="s">
        <v>172</v>
      </c>
      <c r="F114" s="53"/>
    </row>
    <row r="115" spans="2:6" ht="15.75" thickBot="1" x14ac:dyDescent="0.3">
      <c r="B115" s="50">
        <v>98</v>
      </c>
      <c r="C115" s="51" t="s">
        <v>151</v>
      </c>
      <c r="D115" s="51" t="s">
        <v>107</v>
      </c>
      <c r="E115" s="51" t="s">
        <v>173</v>
      </c>
      <c r="F115" s="53"/>
    </row>
    <row r="116" spans="2:6" ht="15.75" thickBot="1" x14ac:dyDescent="0.3">
      <c r="B116" s="50">
        <v>99</v>
      </c>
      <c r="C116" s="51" t="s">
        <v>151</v>
      </c>
      <c r="D116" s="51" t="s">
        <v>107</v>
      </c>
      <c r="E116" s="51" t="s">
        <v>174</v>
      </c>
      <c r="F116" s="53"/>
    </row>
    <row r="117" spans="2:6" ht="15.75" thickBot="1" x14ac:dyDescent="0.3">
      <c r="B117" s="50">
        <v>100</v>
      </c>
      <c r="C117" s="51" t="s">
        <v>151</v>
      </c>
      <c r="D117" s="51" t="s">
        <v>107</v>
      </c>
      <c r="E117" s="51" t="s">
        <v>175</v>
      </c>
      <c r="F117" s="53"/>
    </row>
    <row r="118" spans="2:6" ht="15.75" thickBot="1" x14ac:dyDescent="0.3">
      <c r="B118" s="50">
        <v>101</v>
      </c>
      <c r="C118" s="51" t="s">
        <v>151</v>
      </c>
      <c r="D118" s="51" t="s">
        <v>107</v>
      </c>
      <c r="E118" s="51" t="s">
        <v>176</v>
      </c>
      <c r="F118" s="53"/>
    </row>
    <row r="119" spans="2:6" ht="15.75" thickBot="1" x14ac:dyDescent="0.3">
      <c r="B119" s="50">
        <v>102</v>
      </c>
      <c r="C119" s="51" t="s">
        <v>151</v>
      </c>
      <c r="D119" s="51" t="s">
        <v>177</v>
      </c>
      <c r="E119" s="51" t="s">
        <v>178</v>
      </c>
      <c r="F119" s="53"/>
    </row>
    <row r="120" spans="2:6" ht="15.75" thickBot="1" x14ac:dyDescent="0.3">
      <c r="B120" s="50">
        <v>103</v>
      </c>
      <c r="C120" s="51" t="s">
        <v>151</v>
      </c>
      <c r="D120" s="51" t="s">
        <v>177</v>
      </c>
      <c r="E120" s="51" t="s">
        <v>179</v>
      </c>
      <c r="F120" s="53"/>
    </row>
    <row r="121" spans="2:6" ht="15.75" thickBot="1" x14ac:dyDescent="0.3">
      <c r="B121" s="50">
        <v>104</v>
      </c>
      <c r="C121" s="51" t="s">
        <v>151</v>
      </c>
      <c r="D121" s="51" t="s">
        <v>177</v>
      </c>
      <c r="E121" s="51" t="s">
        <v>180</v>
      </c>
      <c r="F121" s="53"/>
    </row>
    <row r="122" spans="2:6" ht="15.75" thickBot="1" x14ac:dyDescent="0.3">
      <c r="B122" s="50">
        <v>105</v>
      </c>
      <c r="C122" s="51" t="s">
        <v>151</v>
      </c>
      <c r="D122" s="51" t="s">
        <v>177</v>
      </c>
      <c r="E122" s="51" t="s">
        <v>181</v>
      </c>
      <c r="F122" s="53"/>
    </row>
    <row r="123" spans="2:6" ht="15.75" thickBot="1" x14ac:dyDescent="0.3">
      <c r="B123" s="50">
        <v>106</v>
      </c>
      <c r="C123" s="51" t="s">
        <v>151</v>
      </c>
      <c r="D123" s="51" t="s">
        <v>182</v>
      </c>
      <c r="E123" s="51" t="s">
        <v>183</v>
      </c>
      <c r="F123" s="53"/>
    </row>
    <row r="124" spans="2:6" ht="15.75" thickBot="1" x14ac:dyDescent="0.3">
      <c r="B124" s="50">
        <v>107</v>
      </c>
      <c r="C124" s="51" t="s">
        <v>151</v>
      </c>
      <c r="D124" s="51" t="s">
        <v>182</v>
      </c>
      <c r="E124" s="51" t="s">
        <v>184</v>
      </c>
      <c r="F124" s="47"/>
    </row>
    <row r="125" spans="2:6" ht="15.75" thickBot="1" x14ac:dyDescent="0.3">
      <c r="B125" s="50">
        <v>108</v>
      </c>
      <c r="C125" s="51" t="s">
        <v>109</v>
      </c>
      <c r="D125" s="51">
        <v>98</v>
      </c>
      <c r="E125" s="47"/>
      <c r="F125" s="47"/>
    </row>
    <row r="126" spans="2:6" ht="15.75" thickBot="1" x14ac:dyDescent="0.3">
      <c r="B126" s="50">
        <v>109</v>
      </c>
      <c r="C126" s="51" t="s">
        <v>185</v>
      </c>
      <c r="D126" s="51">
        <v>1</v>
      </c>
      <c r="E126" s="47"/>
      <c r="F126" s="47"/>
    </row>
    <row r="127" spans="2:6" ht="15.75" thickBot="1" x14ac:dyDescent="0.3">
      <c r="B127" s="50">
        <v>110</v>
      </c>
      <c r="C127" s="51" t="s">
        <v>186</v>
      </c>
      <c r="D127" s="51">
        <v>11</v>
      </c>
      <c r="E127" s="47"/>
      <c r="F127" s="47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2026-05-11T15:17:37Z</dcterms:modified>
</cp:coreProperties>
</file>