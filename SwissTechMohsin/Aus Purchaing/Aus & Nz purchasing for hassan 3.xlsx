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01F90FB6-BFFD-4B3D-860A-2D95F8DF274B}" xr6:coauthVersionLast="47" xr6:coauthVersionMax="47" xr10:uidLastSave="{00000000-0000-0000-0000-000000000000}"/>
  <bookViews>
    <workbookView xWindow="-120" yWindow="-120" windowWidth="29040" windowHeight="15720" xr2:uid="{BE379BA5-3C37-488C-BF8D-81308FAD52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26" i="1" l="1"/>
  <c r="J526" i="1" s="1"/>
  <c r="M525" i="1"/>
  <c r="N525" i="1" s="1"/>
  <c r="O525" i="1" s="1"/>
  <c r="J525" i="1"/>
  <c r="K525" i="1" s="1"/>
  <c r="I525" i="1"/>
  <c r="I516" i="1"/>
  <c r="H516" i="1"/>
  <c r="F516" i="1"/>
  <c r="H515" i="1"/>
  <c r="I515" i="1" s="1"/>
  <c r="F515" i="1"/>
  <c r="I514" i="1"/>
  <c r="H514" i="1"/>
  <c r="F514" i="1"/>
  <c r="H513" i="1"/>
  <c r="I513" i="1" s="1"/>
  <c r="F513" i="1"/>
  <c r="I512" i="1"/>
  <c r="H512" i="1"/>
  <c r="F512" i="1"/>
  <c r="H511" i="1"/>
  <c r="I511" i="1" s="1"/>
  <c r="F511" i="1"/>
  <c r="I510" i="1"/>
  <c r="H510" i="1"/>
  <c r="F510" i="1"/>
  <c r="H509" i="1"/>
  <c r="I509" i="1" s="1"/>
  <c r="F509" i="1"/>
  <c r="I508" i="1"/>
  <c r="H508" i="1"/>
  <c r="F508" i="1"/>
  <c r="H507" i="1"/>
  <c r="I507" i="1" s="1"/>
  <c r="F507" i="1"/>
  <c r="I506" i="1"/>
  <c r="H506" i="1"/>
  <c r="F506" i="1"/>
  <c r="H505" i="1"/>
  <c r="I505" i="1" s="1"/>
  <c r="F505" i="1"/>
  <c r="I504" i="1"/>
  <c r="H504" i="1"/>
  <c r="F504" i="1"/>
  <c r="H503" i="1"/>
  <c r="I503" i="1" s="1"/>
  <c r="F503" i="1"/>
  <c r="I502" i="1"/>
  <c r="H502" i="1"/>
  <c r="F502" i="1"/>
  <c r="H501" i="1"/>
  <c r="I501" i="1" s="1"/>
  <c r="F501" i="1"/>
  <c r="I500" i="1"/>
  <c r="H500" i="1"/>
  <c r="F500" i="1"/>
  <c r="H499" i="1"/>
  <c r="I499" i="1" s="1"/>
  <c r="F499" i="1"/>
  <c r="I498" i="1"/>
  <c r="H498" i="1"/>
  <c r="F498" i="1"/>
  <c r="H497" i="1"/>
  <c r="I497" i="1" s="1"/>
  <c r="F497" i="1"/>
  <c r="I496" i="1"/>
  <c r="H496" i="1"/>
  <c r="F496" i="1"/>
  <c r="H495" i="1"/>
  <c r="I495" i="1" s="1"/>
  <c r="F495" i="1"/>
  <c r="I494" i="1"/>
  <c r="H494" i="1"/>
  <c r="F494" i="1"/>
  <c r="H493" i="1"/>
  <c r="I493" i="1" s="1"/>
  <c r="F493" i="1"/>
  <c r="I492" i="1"/>
  <c r="J492" i="1" s="1"/>
  <c r="J493" i="1" s="1"/>
  <c r="J494" i="1" s="1"/>
  <c r="H492" i="1"/>
  <c r="F492" i="1"/>
  <c r="H484" i="1"/>
  <c r="I484" i="1" s="1"/>
  <c r="F484" i="1"/>
  <c r="I483" i="1"/>
  <c r="H483" i="1"/>
  <c r="F483" i="1"/>
  <c r="H482" i="1"/>
  <c r="I482" i="1" s="1"/>
  <c r="F482" i="1"/>
  <c r="I481" i="1"/>
  <c r="H481" i="1"/>
  <c r="F481" i="1"/>
  <c r="H480" i="1"/>
  <c r="I480" i="1" s="1"/>
  <c r="F480" i="1"/>
  <c r="I479" i="1"/>
  <c r="H479" i="1"/>
  <c r="F479" i="1"/>
  <c r="H478" i="1"/>
  <c r="I478" i="1" s="1"/>
  <c r="F478" i="1"/>
  <c r="I477" i="1"/>
  <c r="H477" i="1"/>
  <c r="F477" i="1"/>
  <c r="H476" i="1"/>
  <c r="I476" i="1" s="1"/>
  <c r="F476" i="1"/>
  <c r="I475" i="1"/>
  <c r="H475" i="1"/>
  <c r="F475" i="1"/>
  <c r="H474" i="1"/>
  <c r="I474" i="1" s="1"/>
  <c r="F474" i="1"/>
  <c r="I473" i="1"/>
  <c r="H473" i="1"/>
  <c r="F473" i="1"/>
  <c r="H472" i="1"/>
  <c r="I472" i="1" s="1"/>
  <c r="F472" i="1"/>
  <c r="I471" i="1"/>
  <c r="J471" i="1" s="1"/>
  <c r="H471" i="1"/>
  <c r="F471" i="1"/>
  <c r="H462" i="1"/>
  <c r="I462" i="1" s="1"/>
  <c r="F462" i="1"/>
  <c r="I461" i="1"/>
  <c r="H461" i="1"/>
  <c r="F461" i="1"/>
  <c r="H460" i="1"/>
  <c r="I460" i="1" s="1"/>
  <c r="F460" i="1"/>
  <c r="I459" i="1"/>
  <c r="H459" i="1"/>
  <c r="F459" i="1"/>
  <c r="H458" i="1"/>
  <c r="I458" i="1" s="1"/>
  <c r="F458" i="1"/>
  <c r="I457" i="1"/>
  <c r="H457" i="1"/>
  <c r="F457" i="1"/>
  <c r="H456" i="1"/>
  <c r="I456" i="1" s="1"/>
  <c r="F456" i="1"/>
  <c r="I455" i="1"/>
  <c r="H455" i="1"/>
  <c r="F455" i="1"/>
  <c r="H454" i="1"/>
  <c r="I454" i="1" s="1"/>
  <c r="F454" i="1"/>
  <c r="I453" i="1"/>
  <c r="H453" i="1"/>
  <c r="F453" i="1"/>
  <c r="H452" i="1"/>
  <c r="I452" i="1" s="1"/>
  <c r="F452" i="1"/>
  <c r="I451" i="1"/>
  <c r="J451" i="1" s="1"/>
  <c r="H451" i="1"/>
  <c r="F451" i="1"/>
  <c r="H442" i="1"/>
  <c r="I442" i="1" s="1"/>
  <c r="F442" i="1"/>
  <c r="I441" i="1"/>
  <c r="H441" i="1"/>
  <c r="F441" i="1"/>
  <c r="H440" i="1"/>
  <c r="I440" i="1" s="1"/>
  <c r="F440" i="1"/>
  <c r="I439" i="1"/>
  <c r="H439" i="1"/>
  <c r="F439" i="1"/>
  <c r="H438" i="1"/>
  <c r="I438" i="1" s="1"/>
  <c r="F438" i="1"/>
  <c r="I437" i="1"/>
  <c r="H437" i="1"/>
  <c r="F437" i="1"/>
  <c r="H436" i="1"/>
  <c r="I436" i="1" s="1"/>
  <c r="F436" i="1"/>
  <c r="I435" i="1"/>
  <c r="H435" i="1"/>
  <c r="F435" i="1"/>
  <c r="H434" i="1"/>
  <c r="I434" i="1" s="1"/>
  <c r="F434" i="1"/>
  <c r="I433" i="1"/>
  <c r="H433" i="1"/>
  <c r="F433" i="1"/>
  <c r="H432" i="1"/>
  <c r="I432" i="1" s="1"/>
  <c r="F432" i="1"/>
  <c r="I431" i="1"/>
  <c r="H431" i="1"/>
  <c r="F431" i="1"/>
  <c r="H430" i="1"/>
  <c r="I430" i="1" s="1"/>
  <c r="F430" i="1"/>
  <c r="I429" i="1"/>
  <c r="H429" i="1"/>
  <c r="F429" i="1"/>
  <c r="H428" i="1"/>
  <c r="I428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F428" i="1"/>
  <c r="I419" i="1"/>
  <c r="H419" i="1"/>
  <c r="F419" i="1"/>
  <c r="H418" i="1"/>
  <c r="I418" i="1" s="1"/>
  <c r="F418" i="1"/>
  <c r="I417" i="1"/>
  <c r="H417" i="1"/>
  <c r="F417" i="1"/>
  <c r="H416" i="1"/>
  <c r="I416" i="1" s="1"/>
  <c r="F416" i="1"/>
  <c r="I415" i="1"/>
  <c r="J415" i="1" s="1"/>
  <c r="H415" i="1"/>
  <c r="F415" i="1"/>
  <c r="H406" i="1"/>
  <c r="I406" i="1" s="1"/>
  <c r="F406" i="1"/>
  <c r="I405" i="1"/>
  <c r="H405" i="1"/>
  <c r="F405" i="1"/>
  <c r="H404" i="1"/>
  <c r="I404" i="1" s="1"/>
  <c r="F404" i="1"/>
  <c r="I403" i="1"/>
  <c r="H403" i="1"/>
  <c r="F403" i="1"/>
  <c r="H402" i="1"/>
  <c r="I402" i="1" s="1"/>
  <c r="J402" i="1" s="1"/>
  <c r="J403" i="1" s="1"/>
  <c r="F402" i="1"/>
  <c r="I390" i="1"/>
  <c r="H390" i="1"/>
  <c r="F390" i="1"/>
  <c r="H389" i="1"/>
  <c r="I389" i="1" s="1"/>
  <c r="F389" i="1"/>
  <c r="I388" i="1"/>
  <c r="H388" i="1"/>
  <c r="F388" i="1"/>
  <c r="I387" i="1"/>
  <c r="H387" i="1"/>
  <c r="F387" i="1"/>
  <c r="I386" i="1"/>
  <c r="H386" i="1"/>
  <c r="F386" i="1"/>
  <c r="I385" i="1"/>
  <c r="H385" i="1"/>
  <c r="F385" i="1"/>
  <c r="I384" i="1"/>
  <c r="H384" i="1"/>
  <c r="F384" i="1"/>
  <c r="I383" i="1"/>
  <c r="H383" i="1"/>
  <c r="F383" i="1"/>
  <c r="I382" i="1"/>
  <c r="H382" i="1"/>
  <c r="F382" i="1"/>
  <c r="I381" i="1"/>
  <c r="H381" i="1"/>
  <c r="F381" i="1"/>
  <c r="I380" i="1"/>
  <c r="H380" i="1"/>
  <c r="F380" i="1"/>
  <c r="I379" i="1"/>
  <c r="H379" i="1"/>
  <c r="F379" i="1"/>
  <c r="I378" i="1"/>
  <c r="H378" i="1"/>
  <c r="F378" i="1"/>
  <c r="I377" i="1"/>
  <c r="H377" i="1"/>
  <c r="F377" i="1"/>
  <c r="I376" i="1"/>
  <c r="H376" i="1"/>
  <c r="F376" i="1"/>
  <c r="I375" i="1"/>
  <c r="H375" i="1"/>
  <c r="F375" i="1"/>
  <c r="I374" i="1"/>
  <c r="H374" i="1"/>
  <c r="F374" i="1"/>
  <c r="I373" i="1"/>
  <c r="H373" i="1"/>
  <c r="F373" i="1"/>
  <c r="I372" i="1"/>
  <c r="H372" i="1"/>
  <c r="F372" i="1"/>
  <c r="I371" i="1"/>
  <c r="H371" i="1"/>
  <c r="F371" i="1"/>
  <c r="I370" i="1"/>
  <c r="H370" i="1"/>
  <c r="F370" i="1"/>
  <c r="I369" i="1"/>
  <c r="H369" i="1"/>
  <c r="F369" i="1"/>
  <c r="I368" i="1"/>
  <c r="H368" i="1"/>
  <c r="F368" i="1"/>
  <c r="I367" i="1"/>
  <c r="H367" i="1"/>
  <c r="F367" i="1"/>
  <c r="I366" i="1"/>
  <c r="H366" i="1"/>
  <c r="F366" i="1"/>
  <c r="I365" i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H365" i="1"/>
  <c r="F365" i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28" i="1"/>
  <c r="H328" i="1"/>
  <c r="F328" i="1"/>
  <c r="I327" i="1"/>
  <c r="H327" i="1"/>
  <c r="F327" i="1"/>
  <c r="I326" i="1"/>
  <c r="H326" i="1"/>
  <c r="F326" i="1"/>
  <c r="I325" i="1"/>
  <c r="H325" i="1"/>
  <c r="F325" i="1"/>
  <c r="I324" i="1"/>
  <c r="H324" i="1"/>
  <c r="F324" i="1"/>
  <c r="I323" i="1"/>
  <c r="H323" i="1"/>
  <c r="F323" i="1"/>
  <c r="I322" i="1"/>
  <c r="H322" i="1"/>
  <c r="F322" i="1"/>
  <c r="I321" i="1"/>
  <c r="H321" i="1"/>
  <c r="F321" i="1"/>
  <c r="I320" i="1"/>
  <c r="J320" i="1" s="1"/>
  <c r="J321" i="1" s="1"/>
  <c r="J322" i="1" s="1"/>
  <c r="J323" i="1" s="1"/>
  <c r="J324" i="1" s="1"/>
  <c r="J325" i="1" s="1"/>
  <c r="J326" i="1" s="1"/>
  <c r="J327" i="1" s="1"/>
  <c r="J328" i="1" s="1"/>
  <c r="H320" i="1"/>
  <c r="F320" i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N305" i="1"/>
  <c r="O305" i="1" s="1"/>
  <c r="I305" i="1"/>
  <c r="J305" i="1" s="1"/>
  <c r="K305" i="1" s="1"/>
  <c r="H295" i="1"/>
  <c r="I295" i="1" s="1"/>
  <c r="F295" i="1"/>
  <c r="H294" i="1"/>
  <c r="I294" i="1" s="1"/>
  <c r="F294" i="1"/>
  <c r="H293" i="1"/>
  <c r="I293" i="1" s="1"/>
  <c r="F293" i="1"/>
  <c r="H292" i="1"/>
  <c r="I292" i="1" s="1"/>
  <c r="F292" i="1"/>
  <c r="H291" i="1"/>
  <c r="I291" i="1" s="1"/>
  <c r="F291" i="1"/>
  <c r="H290" i="1"/>
  <c r="I290" i="1" s="1"/>
  <c r="F290" i="1"/>
  <c r="H289" i="1"/>
  <c r="I289" i="1" s="1"/>
  <c r="F289" i="1"/>
  <c r="H288" i="1"/>
  <c r="I288" i="1" s="1"/>
  <c r="F288" i="1"/>
  <c r="H287" i="1"/>
  <c r="I287" i="1" s="1"/>
  <c r="F287" i="1"/>
  <c r="H286" i="1"/>
  <c r="I286" i="1" s="1"/>
  <c r="J286" i="1" s="1"/>
  <c r="J287" i="1" s="1"/>
  <c r="F286" i="1"/>
  <c r="H277" i="1"/>
  <c r="I277" i="1" s="1"/>
  <c r="F277" i="1"/>
  <c r="H276" i="1"/>
  <c r="I276" i="1" s="1"/>
  <c r="F276" i="1"/>
  <c r="H275" i="1"/>
  <c r="I275" i="1" s="1"/>
  <c r="F275" i="1"/>
  <c r="H274" i="1"/>
  <c r="I274" i="1" s="1"/>
  <c r="F274" i="1"/>
  <c r="H273" i="1"/>
  <c r="I273" i="1" s="1"/>
  <c r="F273" i="1"/>
  <c r="H272" i="1"/>
  <c r="I272" i="1" s="1"/>
  <c r="F272" i="1"/>
  <c r="H271" i="1"/>
  <c r="I271" i="1" s="1"/>
  <c r="F271" i="1"/>
  <c r="H270" i="1"/>
  <c r="I270" i="1" s="1"/>
  <c r="F270" i="1"/>
  <c r="H269" i="1"/>
  <c r="I269" i="1" s="1"/>
  <c r="F269" i="1"/>
  <c r="H268" i="1"/>
  <c r="I268" i="1" s="1"/>
  <c r="F268" i="1"/>
  <c r="H267" i="1"/>
  <c r="I267" i="1" s="1"/>
  <c r="F267" i="1"/>
  <c r="H266" i="1"/>
  <c r="I266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F266" i="1"/>
  <c r="H251" i="1"/>
  <c r="I251" i="1" s="1"/>
  <c r="F251" i="1"/>
  <c r="H250" i="1"/>
  <c r="I250" i="1" s="1"/>
  <c r="F250" i="1"/>
  <c r="H249" i="1"/>
  <c r="I249" i="1" s="1"/>
  <c r="F249" i="1"/>
  <c r="I248" i="1"/>
  <c r="H248" i="1"/>
  <c r="F248" i="1"/>
  <c r="H247" i="1"/>
  <c r="I247" i="1" s="1"/>
  <c r="F247" i="1"/>
  <c r="I246" i="1"/>
  <c r="J246" i="1" s="1"/>
  <c r="J247" i="1" s="1"/>
  <c r="J248" i="1" s="1"/>
  <c r="J249" i="1" s="1"/>
  <c r="J250" i="1" s="1"/>
  <c r="J251" i="1" s="1"/>
  <c r="H246" i="1"/>
  <c r="F246" i="1"/>
  <c r="H237" i="1"/>
  <c r="I237" i="1" s="1"/>
  <c r="F237" i="1"/>
  <c r="I236" i="1"/>
  <c r="J236" i="1" s="1"/>
  <c r="H236" i="1"/>
  <c r="F236" i="1"/>
  <c r="J226" i="1"/>
  <c r="M226" i="1" s="1"/>
  <c r="N226" i="1" s="1"/>
  <c r="I226" i="1"/>
  <c r="I225" i="1"/>
  <c r="J225" i="1" s="1"/>
  <c r="I219" i="1"/>
  <c r="H219" i="1"/>
  <c r="F219" i="1"/>
  <c r="I218" i="1"/>
  <c r="H218" i="1"/>
  <c r="F218" i="1"/>
  <c r="J217" i="1"/>
  <c r="J218" i="1" s="1"/>
  <c r="J219" i="1" s="1"/>
  <c r="I217" i="1"/>
  <c r="H217" i="1"/>
  <c r="F217" i="1"/>
  <c r="I209" i="1"/>
  <c r="H209" i="1"/>
  <c r="F209" i="1"/>
  <c r="I208" i="1"/>
  <c r="H208" i="1"/>
  <c r="F208" i="1"/>
  <c r="I207" i="1"/>
  <c r="H207" i="1"/>
  <c r="F207" i="1"/>
  <c r="I206" i="1"/>
  <c r="H206" i="1"/>
  <c r="F206" i="1"/>
  <c r="I205" i="1"/>
  <c r="H205" i="1"/>
  <c r="F205" i="1"/>
  <c r="I204" i="1"/>
  <c r="H204" i="1"/>
  <c r="F204" i="1"/>
  <c r="I203" i="1"/>
  <c r="H203" i="1"/>
  <c r="F203" i="1"/>
  <c r="I202" i="1"/>
  <c r="H202" i="1"/>
  <c r="F202" i="1"/>
  <c r="I201" i="1"/>
  <c r="H201" i="1"/>
  <c r="F201" i="1"/>
  <c r="I200" i="1"/>
  <c r="H200" i="1"/>
  <c r="F200" i="1"/>
  <c r="I199" i="1"/>
  <c r="H199" i="1"/>
  <c r="F199" i="1"/>
  <c r="I198" i="1"/>
  <c r="H198" i="1"/>
  <c r="F198" i="1"/>
  <c r="I197" i="1"/>
  <c r="H197" i="1"/>
  <c r="F197" i="1"/>
  <c r="I196" i="1"/>
  <c r="H196" i="1"/>
  <c r="F196" i="1"/>
  <c r="I195" i="1"/>
  <c r="H195" i="1"/>
  <c r="F195" i="1"/>
  <c r="I194" i="1"/>
  <c r="H194" i="1"/>
  <c r="F194" i="1"/>
  <c r="I193" i="1"/>
  <c r="H193" i="1"/>
  <c r="F193" i="1"/>
  <c r="I192" i="1"/>
  <c r="H192" i="1"/>
  <c r="F192" i="1"/>
  <c r="I191" i="1"/>
  <c r="H191" i="1"/>
  <c r="F191" i="1"/>
  <c r="I190" i="1"/>
  <c r="H190" i="1"/>
  <c r="F190" i="1"/>
  <c r="I189" i="1"/>
  <c r="H189" i="1"/>
  <c r="F189" i="1"/>
  <c r="J188" i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I188" i="1"/>
  <c r="H188" i="1"/>
  <c r="F188" i="1"/>
  <c r="M179" i="1"/>
  <c r="N179" i="1" s="1"/>
  <c r="J179" i="1"/>
  <c r="K179" i="1" s="1"/>
  <c r="I179" i="1"/>
  <c r="J178" i="1"/>
  <c r="M178" i="1" s="1"/>
  <c r="N178" i="1" s="1"/>
  <c r="O178" i="1" s="1"/>
  <c r="O179" i="1" s="1"/>
  <c r="I178" i="1"/>
  <c r="H171" i="1"/>
  <c r="I171" i="1" s="1"/>
  <c r="F171" i="1"/>
  <c r="H170" i="1"/>
  <c r="I170" i="1" s="1"/>
  <c r="F170" i="1"/>
  <c r="I169" i="1"/>
  <c r="H169" i="1"/>
  <c r="H168" i="1"/>
  <c r="I168" i="1" s="1"/>
  <c r="F168" i="1"/>
  <c r="H167" i="1"/>
  <c r="I167" i="1" s="1"/>
  <c r="F167" i="1"/>
  <c r="H166" i="1"/>
  <c r="I166" i="1" s="1"/>
  <c r="F166" i="1"/>
  <c r="H165" i="1"/>
  <c r="I165" i="1" s="1"/>
  <c r="F165" i="1"/>
  <c r="H164" i="1"/>
  <c r="I164" i="1" s="1"/>
  <c r="F164" i="1"/>
  <c r="H163" i="1"/>
  <c r="I163" i="1" s="1"/>
  <c r="F163" i="1"/>
  <c r="H162" i="1"/>
  <c r="I162" i="1" s="1"/>
  <c r="F162" i="1"/>
  <c r="H161" i="1"/>
  <c r="I161" i="1" s="1"/>
  <c r="F161" i="1"/>
  <c r="H160" i="1"/>
  <c r="I160" i="1" s="1"/>
  <c r="F160" i="1"/>
  <c r="H159" i="1"/>
  <c r="I159" i="1" s="1"/>
  <c r="F159" i="1"/>
  <c r="H158" i="1"/>
  <c r="I158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F158" i="1"/>
  <c r="H148" i="1"/>
  <c r="I148" i="1" s="1"/>
  <c r="F148" i="1"/>
  <c r="H147" i="1"/>
  <c r="I147" i="1" s="1"/>
  <c r="F147" i="1"/>
  <c r="H146" i="1"/>
  <c r="I146" i="1" s="1"/>
  <c r="J146" i="1" s="1"/>
  <c r="F146" i="1"/>
  <c r="H140" i="1"/>
  <c r="I140" i="1" s="1"/>
  <c r="F140" i="1"/>
  <c r="H139" i="1"/>
  <c r="I139" i="1" s="1"/>
  <c r="F139" i="1"/>
  <c r="H138" i="1"/>
  <c r="I138" i="1" s="1"/>
  <c r="F138" i="1"/>
  <c r="H137" i="1"/>
  <c r="I137" i="1" s="1"/>
  <c r="F137" i="1"/>
  <c r="H136" i="1"/>
  <c r="I136" i="1" s="1"/>
  <c r="F136" i="1"/>
  <c r="H135" i="1"/>
  <c r="I135" i="1" s="1"/>
  <c r="F135" i="1"/>
  <c r="H134" i="1"/>
  <c r="I134" i="1" s="1"/>
  <c r="F134" i="1"/>
  <c r="H133" i="1"/>
  <c r="I133" i="1" s="1"/>
  <c r="F133" i="1"/>
  <c r="H132" i="1"/>
  <c r="I132" i="1" s="1"/>
  <c r="F132" i="1"/>
  <c r="H131" i="1"/>
  <c r="I131" i="1" s="1"/>
  <c r="F131" i="1"/>
  <c r="H130" i="1"/>
  <c r="I130" i="1" s="1"/>
  <c r="F130" i="1"/>
  <c r="I129" i="1"/>
  <c r="H129" i="1"/>
  <c r="F129" i="1"/>
  <c r="H128" i="1"/>
  <c r="I128" i="1" s="1"/>
  <c r="F128" i="1"/>
  <c r="H127" i="1"/>
  <c r="I127" i="1" s="1"/>
  <c r="F127" i="1"/>
  <c r="H126" i="1"/>
  <c r="I126" i="1" s="1"/>
  <c r="F126" i="1"/>
  <c r="H125" i="1"/>
  <c r="I125" i="1" s="1"/>
  <c r="F125" i="1"/>
  <c r="H124" i="1"/>
  <c r="I124" i="1" s="1"/>
  <c r="F124" i="1"/>
  <c r="H123" i="1"/>
  <c r="I123" i="1" s="1"/>
  <c r="F123" i="1"/>
  <c r="H122" i="1"/>
  <c r="I122" i="1" s="1"/>
  <c r="F122" i="1"/>
  <c r="I121" i="1"/>
  <c r="H121" i="1"/>
  <c r="F121" i="1"/>
  <c r="H120" i="1"/>
  <c r="I120" i="1" s="1"/>
  <c r="F120" i="1"/>
  <c r="H119" i="1"/>
  <c r="I119" i="1" s="1"/>
  <c r="J119" i="1" s="1"/>
  <c r="J120" i="1" s="1"/>
  <c r="J121" i="1" s="1"/>
  <c r="F119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H86" i="1"/>
  <c r="I86" i="1" s="1"/>
  <c r="F86" i="1"/>
  <c r="I85" i="1"/>
  <c r="H85" i="1"/>
  <c r="F85" i="1"/>
  <c r="H84" i="1"/>
  <c r="I84" i="1" s="1"/>
  <c r="F84" i="1"/>
  <c r="I83" i="1"/>
  <c r="H83" i="1"/>
  <c r="F83" i="1"/>
  <c r="H82" i="1"/>
  <c r="I82" i="1" s="1"/>
  <c r="J82" i="1" s="1"/>
  <c r="J83" i="1" s="1"/>
  <c r="F82" i="1"/>
  <c r="J5" i="2"/>
  <c r="J6" i="2"/>
  <c r="J4" i="2"/>
  <c r="H3" i="2"/>
  <c r="I3" i="2" s="1"/>
  <c r="J3" i="2" s="1"/>
  <c r="F3" i="2"/>
  <c r="H2" i="2"/>
  <c r="I2" i="2" s="1"/>
  <c r="J2" i="2" s="1"/>
  <c r="F2" i="2"/>
  <c r="H75" i="1"/>
  <c r="I75" i="1" s="1"/>
  <c r="F75" i="1"/>
  <c r="H74" i="1"/>
  <c r="I74" i="1" s="1"/>
  <c r="F74" i="1"/>
  <c r="H73" i="1"/>
  <c r="I73" i="1" s="1"/>
  <c r="F73" i="1"/>
  <c r="H72" i="1"/>
  <c r="I72" i="1" s="1"/>
  <c r="F72" i="1"/>
  <c r="H71" i="1"/>
  <c r="I71" i="1" s="1"/>
  <c r="F71" i="1"/>
  <c r="H70" i="1"/>
  <c r="I70" i="1" s="1"/>
  <c r="F70" i="1"/>
  <c r="H69" i="1"/>
  <c r="I69" i="1" s="1"/>
  <c r="F69" i="1"/>
  <c r="H68" i="1"/>
  <c r="I68" i="1" s="1"/>
  <c r="F68" i="1"/>
  <c r="H67" i="1"/>
  <c r="I67" i="1" s="1"/>
  <c r="F67" i="1"/>
  <c r="H66" i="1"/>
  <c r="I66" i="1" s="1"/>
  <c r="F66" i="1"/>
  <c r="H65" i="1"/>
  <c r="I65" i="1" s="1"/>
  <c r="F65" i="1"/>
  <c r="H64" i="1"/>
  <c r="I64" i="1" s="1"/>
  <c r="F64" i="1"/>
  <c r="H63" i="1"/>
  <c r="I63" i="1" s="1"/>
  <c r="F63" i="1"/>
  <c r="H62" i="1"/>
  <c r="I62" i="1" s="1"/>
  <c r="F62" i="1"/>
  <c r="H61" i="1"/>
  <c r="I61" i="1" s="1"/>
  <c r="F61" i="1"/>
  <c r="H60" i="1"/>
  <c r="I60" i="1" s="1"/>
  <c r="J60" i="1" s="1"/>
  <c r="F60" i="1"/>
  <c r="H54" i="1"/>
  <c r="I54" i="1" s="1"/>
  <c r="F54" i="1"/>
  <c r="H53" i="1"/>
  <c r="I53" i="1" s="1"/>
  <c r="F53" i="1"/>
  <c r="H52" i="1"/>
  <c r="I52" i="1" s="1"/>
  <c r="F52" i="1"/>
  <c r="H51" i="1"/>
  <c r="I51" i="1" s="1"/>
  <c r="J51" i="1" s="1"/>
  <c r="F51" i="1"/>
  <c r="H44" i="1"/>
  <c r="I44" i="1" s="1"/>
  <c r="F44" i="1"/>
  <c r="H43" i="1"/>
  <c r="I43" i="1" s="1"/>
  <c r="F43" i="1"/>
  <c r="H42" i="1"/>
  <c r="I42" i="1" s="1"/>
  <c r="F42" i="1"/>
  <c r="H41" i="1"/>
  <c r="I41" i="1" s="1"/>
  <c r="F41" i="1"/>
  <c r="H40" i="1"/>
  <c r="I40" i="1" s="1"/>
  <c r="F40" i="1"/>
  <c r="H39" i="1"/>
  <c r="I39" i="1" s="1"/>
  <c r="F39" i="1"/>
  <c r="H38" i="1"/>
  <c r="I38" i="1" s="1"/>
  <c r="F38" i="1"/>
  <c r="H37" i="1"/>
  <c r="I37" i="1" s="1"/>
  <c r="F37" i="1"/>
  <c r="H36" i="1"/>
  <c r="I36" i="1" s="1"/>
  <c r="J36" i="1" s="1"/>
  <c r="F36" i="1"/>
  <c r="H29" i="1"/>
  <c r="I29" i="1" s="1"/>
  <c r="F29" i="1"/>
  <c r="H28" i="1"/>
  <c r="I28" i="1" s="1"/>
  <c r="F28" i="1"/>
  <c r="H27" i="1"/>
  <c r="I27" i="1" s="1"/>
  <c r="F27" i="1"/>
  <c r="H26" i="1"/>
  <c r="I26" i="1" s="1"/>
  <c r="F26" i="1"/>
  <c r="H25" i="1"/>
  <c r="I25" i="1" s="1"/>
  <c r="F25" i="1"/>
  <c r="H24" i="1"/>
  <c r="I24" i="1" s="1"/>
  <c r="F24" i="1"/>
  <c r="H23" i="1"/>
  <c r="I23" i="1" s="1"/>
  <c r="F23" i="1"/>
  <c r="H22" i="1"/>
  <c r="I22" i="1" s="1"/>
  <c r="F22" i="1"/>
  <c r="H21" i="1"/>
  <c r="I21" i="1" s="1"/>
  <c r="F21" i="1"/>
  <c r="H20" i="1"/>
  <c r="I20" i="1" s="1"/>
  <c r="F20" i="1"/>
  <c r="H19" i="1"/>
  <c r="I19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F19" i="1"/>
  <c r="H13" i="1"/>
  <c r="I13" i="1" s="1"/>
  <c r="F13" i="1"/>
  <c r="H12" i="1"/>
  <c r="I12" i="1" s="1"/>
  <c r="F12" i="1"/>
  <c r="H11" i="1"/>
  <c r="I11" i="1" s="1"/>
  <c r="F11" i="1"/>
  <c r="H10" i="1"/>
  <c r="I10" i="1" s="1"/>
  <c r="F10" i="1"/>
  <c r="H9" i="1"/>
  <c r="I9" i="1" s="1"/>
  <c r="F9" i="1"/>
  <c r="H8" i="1"/>
  <c r="I8" i="1" s="1"/>
  <c r="F8" i="1"/>
  <c r="H7" i="1"/>
  <c r="I7" i="1" s="1"/>
  <c r="F7" i="1"/>
  <c r="H6" i="1"/>
  <c r="I6" i="1" s="1"/>
  <c r="F6" i="1"/>
  <c r="H5" i="1"/>
  <c r="I5" i="1" s="1"/>
  <c r="F5" i="1"/>
  <c r="H4" i="1"/>
  <c r="I4" i="1" s="1"/>
  <c r="J4" i="1" s="1"/>
  <c r="F4" i="1"/>
  <c r="J416" i="1" l="1"/>
  <c r="J417" i="1" s="1"/>
  <c r="J418" i="1" s="1"/>
  <c r="J419" i="1" s="1"/>
  <c r="J472" i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52" i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O526" i="1"/>
  <c r="J404" i="1"/>
  <c r="J405" i="1" s="1"/>
  <c r="J406" i="1" s="1"/>
  <c r="J495" i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M526" i="1"/>
  <c r="N526" i="1" s="1"/>
  <c r="K526" i="1"/>
  <c r="M344" i="1"/>
  <c r="N344" i="1" s="1"/>
  <c r="K344" i="1"/>
  <c r="M352" i="1"/>
  <c r="N352" i="1" s="1"/>
  <c r="K352" i="1"/>
  <c r="M307" i="1"/>
  <c r="N307" i="1" s="1"/>
  <c r="K307" i="1"/>
  <c r="M337" i="1"/>
  <c r="N337" i="1" s="1"/>
  <c r="O337" i="1" s="1"/>
  <c r="K337" i="1"/>
  <c r="M345" i="1"/>
  <c r="N345" i="1" s="1"/>
  <c r="K345" i="1"/>
  <c r="M353" i="1"/>
  <c r="N353" i="1" s="1"/>
  <c r="K353" i="1"/>
  <c r="M308" i="1"/>
  <c r="N308" i="1" s="1"/>
  <c r="K308" i="1"/>
  <c r="M338" i="1"/>
  <c r="N338" i="1" s="1"/>
  <c r="K338" i="1"/>
  <c r="M346" i="1"/>
  <c r="N346" i="1" s="1"/>
  <c r="K346" i="1"/>
  <c r="M354" i="1"/>
  <c r="N354" i="1" s="1"/>
  <c r="K354" i="1"/>
  <c r="O306" i="1"/>
  <c r="O307" i="1" s="1"/>
  <c r="O308" i="1" s="1"/>
  <c r="O309" i="1" s="1"/>
  <c r="O310" i="1" s="1"/>
  <c r="O311" i="1" s="1"/>
  <c r="M306" i="1"/>
  <c r="N306" i="1" s="1"/>
  <c r="K306" i="1"/>
  <c r="M309" i="1"/>
  <c r="N309" i="1" s="1"/>
  <c r="K309" i="1"/>
  <c r="K355" i="1"/>
  <c r="M355" i="1"/>
  <c r="N355" i="1" s="1"/>
  <c r="M343" i="1"/>
  <c r="N343" i="1" s="1"/>
  <c r="K343" i="1"/>
  <c r="J288" i="1"/>
  <c r="J289" i="1" s="1"/>
  <c r="J290" i="1" s="1"/>
  <c r="J291" i="1" s="1"/>
  <c r="J292" i="1" s="1"/>
  <c r="J293" i="1" s="1"/>
  <c r="J294" i="1" s="1"/>
  <c r="J295" i="1" s="1"/>
  <c r="M339" i="1"/>
  <c r="N339" i="1" s="1"/>
  <c r="K339" i="1"/>
  <c r="K310" i="1"/>
  <c r="M310" i="1"/>
  <c r="N310" i="1" s="1"/>
  <c r="M340" i="1"/>
  <c r="N340" i="1" s="1"/>
  <c r="K340" i="1"/>
  <c r="M348" i="1"/>
  <c r="N348" i="1" s="1"/>
  <c r="K348" i="1"/>
  <c r="M351" i="1"/>
  <c r="N351" i="1" s="1"/>
  <c r="K351" i="1"/>
  <c r="M347" i="1"/>
  <c r="N347" i="1" s="1"/>
  <c r="K347" i="1"/>
  <c r="M311" i="1"/>
  <c r="N311" i="1" s="1"/>
  <c r="K311" i="1"/>
  <c r="K341" i="1"/>
  <c r="M341" i="1"/>
  <c r="N341" i="1" s="1"/>
  <c r="M349" i="1"/>
  <c r="N349" i="1" s="1"/>
  <c r="K349" i="1"/>
  <c r="M342" i="1"/>
  <c r="N342" i="1" s="1"/>
  <c r="K342" i="1"/>
  <c r="M350" i="1"/>
  <c r="N350" i="1" s="1"/>
  <c r="K350" i="1"/>
  <c r="J389" i="1"/>
  <c r="J390" i="1" s="1"/>
  <c r="J237" i="1"/>
  <c r="M225" i="1"/>
  <c r="N225" i="1" s="1"/>
  <c r="O225" i="1" s="1"/>
  <c r="O226" i="1" s="1"/>
  <c r="K225" i="1"/>
  <c r="K226" i="1"/>
  <c r="K178" i="1"/>
  <c r="J52" i="1"/>
  <c r="J53" i="1" s="1"/>
  <c r="J54" i="1" s="1"/>
  <c r="J61" i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5" i="1"/>
  <c r="J6" i="1" s="1"/>
  <c r="J7" i="1" s="1"/>
  <c r="J8" i="1" s="1"/>
  <c r="J9" i="1" s="1"/>
  <c r="J10" i="1" s="1"/>
  <c r="J11" i="1" s="1"/>
  <c r="J12" i="1" s="1"/>
  <c r="J13" i="1" s="1"/>
  <c r="J122" i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7" i="1"/>
  <c r="J148" i="1" s="1"/>
  <c r="M104" i="1"/>
  <c r="N104" i="1" s="1"/>
  <c r="K104" i="1"/>
  <c r="M107" i="1"/>
  <c r="N107" i="1" s="1"/>
  <c r="K107" i="1"/>
  <c r="M103" i="1"/>
  <c r="N103" i="1" s="1"/>
  <c r="K103" i="1"/>
  <c r="M97" i="1"/>
  <c r="N97" i="1" s="1"/>
  <c r="K97" i="1"/>
  <c r="M106" i="1"/>
  <c r="N106" i="1" s="1"/>
  <c r="K106" i="1"/>
  <c r="M100" i="1"/>
  <c r="N100" i="1" s="1"/>
  <c r="K100" i="1"/>
  <c r="K108" i="1"/>
  <c r="M108" i="1"/>
  <c r="N108" i="1" s="1"/>
  <c r="K96" i="1"/>
  <c r="M96" i="1"/>
  <c r="N96" i="1" s="1"/>
  <c r="M98" i="1"/>
  <c r="N98" i="1" s="1"/>
  <c r="K98" i="1"/>
  <c r="M93" i="1"/>
  <c r="N93" i="1" s="1"/>
  <c r="O93" i="1" s="1"/>
  <c r="K93" i="1"/>
  <c r="M101" i="1"/>
  <c r="N101" i="1" s="1"/>
  <c r="K101" i="1"/>
  <c r="M109" i="1"/>
  <c r="N109" i="1" s="1"/>
  <c r="K109" i="1"/>
  <c r="K95" i="1"/>
  <c r="M95" i="1"/>
  <c r="N95" i="1" s="1"/>
  <c r="M105" i="1"/>
  <c r="N105" i="1" s="1"/>
  <c r="K105" i="1"/>
  <c r="M99" i="1"/>
  <c r="N99" i="1" s="1"/>
  <c r="K99" i="1"/>
  <c r="M94" i="1"/>
  <c r="N94" i="1" s="1"/>
  <c r="K94" i="1"/>
  <c r="K102" i="1"/>
  <c r="M102" i="1"/>
  <c r="N102" i="1" s="1"/>
  <c r="M110" i="1"/>
  <c r="N110" i="1" s="1"/>
  <c r="K110" i="1"/>
  <c r="J84" i="1"/>
  <c r="J85" i="1" s="1"/>
  <c r="J86" i="1" s="1"/>
  <c r="J37" i="1"/>
  <c r="J38" i="1" s="1"/>
  <c r="J39" i="1" s="1"/>
  <c r="J40" i="1" s="1"/>
  <c r="J41" i="1" s="1"/>
  <c r="J42" i="1" s="1"/>
  <c r="J43" i="1" s="1"/>
  <c r="J44" i="1" s="1"/>
  <c r="O338" i="1" l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94" i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</calcChain>
</file>

<file path=xl/sharedStrings.xml><?xml version="1.0" encoding="utf-8"?>
<sst xmlns="http://schemas.openxmlformats.org/spreadsheetml/2006/main" count="1002" uniqueCount="302">
  <si>
    <t>entry</t>
  </si>
  <si>
    <t>Australia</t>
  </si>
  <si>
    <t>Gst</t>
  </si>
  <si>
    <t>Date</t>
  </si>
  <si>
    <t>Product Name</t>
  </si>
  <si>
    <t>Qty</t>
  </si>
  <si>
    <t>Per/Unit  (AUD)</t>
  </si>
  <si>
    <t xml:space="preserve"> Price (AUD)</t>
  </si>
  <si>
    <t>C. Rate</t>
  </si>
  <si>
    <t>Per/Unit (AED)</t>
  </si>
  <si>
    <t>Total Price (AED)</t>
  </si>
  <si>
    <t>Iphone 17 pro max 256 Silver Officeworks Castle Hills</t>
  </si>
  <si>
    <t>Iphone 17 pro max 256 Silver Office Works Northmead</t>
  </si>
  <si>
    <t>Swiss Tech Business Name Renew Fees Expense</t>
  </si>
  <si>
    <t>Starlink Standard kit Adil Bhai</t>
  </si>
  <si>
    <t>PS5 Disc Bundle Adil Bhai</t>
  </si>
  <si>
    <t>PS5 Digital Bundle Adil Bhai</t>
  </si>
  <si>
    <t>PS5 Disc Bundle Adil Bhai Harvey Norman Alex Pending Delivery Adil Bha</t>
  </si>
  <si>
    <t>Commission Paid Adil Bhai Collection Commission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</si>
  <si>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</si>
  <si>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</si>
  <si>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</si>
  <si>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</si>
  <si>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</si>
  <si>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</si>
  <si>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</si>
  <si>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</si>
  <si>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</si>
  <si>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</si>
  <si>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Mac Book Pro M5 24/1TB JBHIFI Bankstown</t>
  </si>
  <si>
    <t>Apple Air Pods 4 ANC JBHIFI Bankstown</t>
  </si>
  <si>
    <t>DJI Mini 4K combo JBHIFI Bankstown</t>
  </si>
  <si>
    <t>DJI Mic 3 combo JBHIFI Bankstown</t>
  </si>
  <si>
    <t>Shipping Carges CT Frieight Melbourne</t>
  </si>
  <si>
    <t>NewZeland</t>
  </si>
  <si>
    <t>G7X Mark III  Noel Leeming Abdul K</t>
  </si>
  <si>
    <t>Shipping Charges CT Frieght NZ Shipping Expense</t>
  </si>
  <si>
    <t>Iphone Air 256 Gold &amp; White Officeworks Auburn</t>
  </si>
  <si>
    <t>Iphone Air 256 Sky Blue Officeworks Old Guildford</t>
  </si>
  <si>
    <t>Canon SX740 Digi Direct Parramatta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</si>
  <si>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</si>
  <si>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</si>
  <si>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</si>
  <si>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</si>
  <si>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</si>
  <si>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</si>
  <si>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Starlink Standard kit Bunnings East Packenham Pending Delivery 27-01 Melbourne</t>
  </si>
  <si>
    <t>Iphone Air  256 JBHIFI Merrylands</t>
  </si>
  <si>
    <t>Iphone Air  256 JHIFI Bankstown</t>
  </si>
  <si>
    <t>Starlink Standard kit Bunnings Greenacre</t>
  </si>
  <si>
    <t>VanHire + Petrol Anis Car Rental Expense</t>
  </si>
  <si>
    <t>Pocket 3 Creator combo DJI Macquarie</t>
  </si>
  <si>
    <t>Osmo Pocket 3 creator combo JBHIFI Parramatta</t>
  </si>
  <si>
    <t xml:space="preserve">Osmo Pocket 3 creator combo </t>
  </si>
  <si>
    <t>iphone 17 pro max 512gb</t>
  </si>
  <si>
    <t xml:space="preserve">iphone 17 pro max 256gb </t>
  </si>
  <si>
    <t>Starlink Standard kit Bunnings Lidcomb Awiating Stock</t>
  </si>
  <si>
    <t>Starlink Standard kit Bunnings Gladesville</t>
  </si>
  <si>
    <t>Starlink Standard kit Bunnings Castle Hill</t>
  </si>
  <si>
    <t>Starlink Standard kit</t>
  </si>
  <si>
    <t>Store</t>
  </si>
  <si>
    <t>Status</t>
  </si>
  <si>
    <t>Per/Unit (AUD)</t>
  </si>
  <si>
    <t>Discount %</t>
  </si>
  <si>
    <t>Discount</t>
  </si>
  <si>
    <t>Per/Unit After Dis.</t>
  </si>
  <si>
    <t>Total AUD</t>
  </si>
  <si>
    <t>C.Rate</t>
  </si>
  <si>
    <t>Per/unit AED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</si>
  <si>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</si>
  <si>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</si>
  <si>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</si>
  <si>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</si>
  <si>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</si>
  <si>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</si>
  <si>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</si>
  <si>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</si>
  <si>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</si>
  <si>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</si>
  <si>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</si>
  <si>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</si>
  <si>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</si>
  <si>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</si>
  <si>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</si>
  <si>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</si>
  <si>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</si>
  <si>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</si>
  <si>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Starlink Standard kit Bunnings Epping Melbourne</t>
  </si>
  <si>
    <t>Starlink Standard kit Bunnings Sunshine Melbourne Pending Delivery 03-02</t>
  </si>
  <si>
    <t>Starlink Standard kit Bunnings Footscray Melbourne Pending Delivery 03-02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</si>
  <si>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</si>
  <si>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</si>
  <si>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</si>
  <si>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</si>
  <si>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</si>
  <si>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</si>
  <si>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</si>
  <si>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</si>
  <si>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</si>
  <si>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CT Frieight Melbourne</t>
  </si>
  <si>
    <t>Starlink Standard kit Bunnings Broadmedows Melbourne</t>
  </si>
  <si>
    <t>Melbourne Trip Expense Melbourne Expense</t>
  </si>
  <si>
    <t>Javed Bhai Investment Profit Year 2025 Javed Bhai</t>
  </si>
  <si>
    <t>Mini EVO Noel Leeming Delivered CT Freight</t>
  </si>
  <si>
    <t>Starlink Mini  Abdul Khan</t>
  </si>
  <si>
    <t>Party Name</t>
  </si>
  <si>
    <t>White</t>
  </si>
  <si>
    <t>Black</t>
  </si>
  <si>
    <t>1 TB</t>
  </si>
  <si>
    <t>Starlink V4</t>
  </si>
  <si>
    <t>Starlink Standard Kit Bunnings Lidcomb</t>
  </si>
  <si>
    <t>Starlink Standard Kit Bunnings Northmead</t>
  </si>
  <si>
    <t>Starlink Standard Kit Bunnings Smithfield</t>
  </si>
  <si>
    <t>Starlink Standard Kit Bunnings Hoxtonpark</t>
  </si>
  <si>
    <t>Starlink Standard Kit Bunnings Leppington</t>
  </si>
  <si>
    <t>Starlink Standard Kit Bunnings Gregory Hills</t>
  </si>
  <si>
    <t>Starlink Mini Bunnings Gregory Hills</t>
  </si>
  <si>
    <t>Starlink Mini Bunnings Hoxtonpark</t>
  </si>
  <si>
    <t>Starlink Mini Bunnings Bonnyrigg</t>
  </si>
  <si>
    <t>Starlink V2 Bunnings Bonnyrigg</t>
  </si>
  <si>
    <t>Mavic 4 pro Standard DJI Macquarie Park Pending Collection</t>
  </si>
  <si>
    <t>Iphone 17 pro max Harvey Norman Fyshwick Pending Delivery</t>
  </si>
  <si>
    <t>2-17-2026</t>
  </si>
  <si>
    <t>607-51694215 SYD</t>
  </si>
  <si>
    <t>iPhone 17 Pro Max (FU)</t>
  </si>
  <si>
    <t>Cosmic Orange</t>
  </si>
  <si>
    <t>256 GB</t>
  </si>
  <si>
    <t>Silver</t>
  </si>
  <si>
    <t>iPhone 17 Air (FU)</t>
  </si>
  <si>
    <t>Sky Blue</t>
  </si>
  <si>
    <t>Light Gold</t>
  </si>
  <si>
    <t>Cloud White</t>
  </si>
  <si>
    <t>Ps5 Slim Digital Fortnite</t>
  </si>
  <si>
    <t>825 GB</t>
  </si>
  <si>
    <t>S01E55901J5310253691</t>
  </si>
  <si>
    <t>S01E55901J5310253692</t>
  </si>
  <si>
    <t>S01E55A01J5310265194</t>
  </si>
  <si>
    <t>S01E55A01J5310265193</t>
  </si>
  <si>
    <t>S01E55901J5310259304</t>
  </si>
  <si>
    <t>S01E55901J5310259303</t>
  </si>
  <si>
    <t>Ps5 Slim Disc Fortnite</t>
  </si>
  <si>
    <t>S01F55901DR210315409</t>
  </si>
  <si>
    <t>S01F55901DR210315410</t>
  </si>
  <si>
    <t>S01F55901DR210318709</t>
  </si>
  <si>
    <t>S01F55901DR210318710</t>
  </si>
  <si>
    <t>DJI Mavic 4 Pro Standard</t>
  </si>
  <si>
    <t>1581F8LQC259Q0025JUL</t>
  </si>
  <si>
    <t>1581F8LQC259Q0025K9A</t>
  </si>
  <si>
    <t>1581F8LQC25AC00260CR</t>
  </si>
  <si>
    <t>1581F8LQC259V0025QG5</t>
  </si>
  <si>
    <t>1581F8LQC255Q0022GKA</t>
  </si>
  <si>
    <t>JBL Charge 6</t>
  </si>
  <si>
    <t>GG1363-EP0194945</t>
  </si>
  <si>
    <t>GG1363-EP0194994</t>
  </si>
  <si>
    <t>GG1363-EP0199339</t>
  </si>
  <si>
    <t>GG1363-EP0200638</t>
  </si>
  <si>
    <t>GG1363-EP0200642</t>
  </si>
  <si>
    <t>GG1363-JP0402373</t>
  </si>
  <si>
    <t>GG1363-JP0402372</t>
  </si>
  <si>
    <t>GG1363-JP0402368</t>
  </si>
  <si>
    <t>GG1363-JP0401174</t>
  </si>
  <si>
    <t>GG1363-JP0402917</t>
  </si>
  <si>
    <t>GG1363-JP0402952</t>
  </si>
  <si>
    <t>GG1363-JP0402951</t>
  </si>
  <si>
    <t>GG1363-JP0402949</t>
  </si>
  <si>
    <t>GG1363-JP0402292</t>
  </si>
  <si>
    <t>GG1363-JP0401955</t>
  </si>
  <si>
    <t>GG1363-JP0402293</t>
  </si>
  <si>
    <t>GG1363-JP0402296</t>
  </si>
  <si>
    <t>GG1363-JP0400825</t>
  </si>
  <si>
    <t>GG1363-JP0400826</t>
  </si>
  <si>
    <t>GG1363-JP0400827</t>
  </si>
  <si>
    <t>GG1363-JP0400792</t>
  </si>
  <si>
    <t>GG1363-JP0402927</t>
  </si>
  <si>
    <t>GG1363-JP0402923</t>
  </si>
  <si>
    <t>GG1363-JP0402925</t>
  </si>
  <si>
    <t>GG1363-JP0402806</t>
  </si>
  <si>
    <t>Blue</t>
  </si>
  <si>
    <t>GG1365-GP0194476</t>
  </si>
  <si>
    <t>GG1365-GP0194553</t>
  </si>
  <si>
    <t>GG1365-HP0205636</t>
  </si>
  <si>
    <t>GG1365-HP0207635</t>
  </si>
  <si>
    <t>Pink</t>
  </si>
  <si>
    <t>GG1370-EP0036191</t>
  </si>
  <si>
    <t>GG1370-GP0054030</t>
  </si>
  <si>
    <t>Starlink V2</t>
  </si>
  <si>
    <t>Starlink Mini</t>
  </si>
  <si>
    <t>Starlink Mini Bunnings Villawood</t>
  </si>
  <si>
    <t>Starlink Standard Kit Bunnings Rydalmere</t>
  </si>
  <si>
    <t>Starlink Standard Kit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</si>
  <si>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</si>
  <si>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</si>
  <si>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</si>
  <si>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</si>
  <si>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</si>
  <si>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</si>
  <si>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</si>
  <si>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</si>
  <si>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</si>
  <si>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</si>
  <si>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</si>
  <si>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Starlink Standard Kit JBHIFI Bankstown</t>
  </si>
  <si>
    <t>Iphone 17 pro max 256 Silver JHIFI Roselands</t>
  </si>
  <si>
    <t>Starlink Standard Kit JHIFI Roselands</t>
  </si>
  <si>
    <t>Starlink Standard Kit Bunnings Morayfiled Queensland</t>
  </si>
  <si>
    <t>Shipping Charges Megatop</t>
  </si>
  <si>
    <t>CT Freight Melbourne</t>
  </si>
  <si>
    <t>Canon Mark III Black Noel Leeming Pending Delivery</t>
  </si>
  <si>
    <t>Iphone Air 256 Blue Harvey Norman Fyshwick</t>
  </si>
  <si>
    <t>Starlink Standard Kit V4 Noel Leeming</t>
  </si>
  <si>
    <t>Starlink Standard Kit Bunnings Seven Hills</t>
  </si>
  <si>
    <t>Meta Rayban transitions JBHIFI Macquarie Park</t>
  </si>
  <si>
    <t>Starlink Standard Kit Bunnings East Pakenham Pending Delivery Melbourne</t>
  </si>
  <si>
    <t>Starlink Standard Kit</t>
  </si>
  <si>
    <t>Starlink Standard Kit Active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</si>
  <si>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</si>
  <si>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</si>
  <si>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</si>
  <si>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</si>
  <si>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</si>
  <si>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</si>
  <si>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Starlink V4 Abdul Khan</t>
  </si>
  <si>
    <t>Shipping Charges Expense</t>
  </si>
  <si>
    <t>Starlink Standard Kit Bunnings  Pakenham</t>
  </si>
  <si>
    <t>Minelab 1000 BCF</t>
  </si>
  <si>
    <t>Minelab 1000 Annaconda</t>
  </si>
  <si>
    <t>Minelab 1000 Annaconda Online Pending Delivery</t>
  </si>
  <si>
    <t>Minelab 1000 BCF ONLINE Pending Delivery</t>
  </si>
  <si>
    <t>Delivery Charges Bunnings  Pakenham Expense</t>
  </si>
  <si>
    <t>Waleed  collection  Perth Expense</t>
  </si>
  <si>
    <t>Collection Commission Adil Bhai Expense</t>
  </si>
  <si>
    <t>Iphone 17 pro max 256 Silver JBHIFI Pending Delivery</t>
  </si>
  <si>
    <t>Iphone 17 pro max 256 Orange JBHIFI Pending Delivery</t>
  </si>
  <si>
    <t>Iphone 17 pro max 256 Orange &amp; Silver JBHIFI Waleed Perth</t>
  </si>
  <si>
    <t>Meta Gen2 Transitios JBHIFI Waleed Perth</t>
  </si>
  <si>
    <t>Starlink Standard Kit JBHIFI Waleed Perth</t>
  </si>
  <si>
    <t>Starlink Standard Kit Bunnings  Perth Waleed Perth</t>
  </si>
  <si>
    <t>Minelab 1000 Jacobs Digital Abdul Rehman Card</t>
  </si>
  <si>
    <t>Minelab GPZ 8000 Jacobs Digital Abdul Rehman Card</t>
  </si>
  <si>
    <t>SX740 Noel Leeming Noel Leeming</t>
  </si>
  <si>
    <t>G7X Mark III Black Abdul Khan Abdul Khan</t>
  </si>
  <si>
    <t>G7X Mark III Black Noel Leeming Noel Leeming</t>
  </si>
  <si>
    <t>Iphone pro max 256 Silver</t>
  </si>
  <si>
    <t>JBHIFI Bankstown</t>
  </si>
  <si>
    <t>Collected</t>
  </si>
  <si>
    <t>Iphone pro max 256 Orange</t>
  </si>
  <si>
    <t>DJI mini 5 pro RC2</t>
  </si>
  <si>
    <t>Meta Gen2 Transitions</t>
  </si>
  <si>
    <t>DJI Mavic 4 Pro RC2 512 GB</t>
  </si>
  <si>
    <t>Iphone 17 pro max Silver</t>
  </si>
  <si>
    <t>Collected Homebush</t>
  </si>
  <si>
    <t>DJI Mavic 4 Pro FMC</t>
  </si>
  <si>
    <t>Collected Parramatta</t>
  </si>
  <si>
    <t>JBHIFI Roselands</t>
  </si>
  <si>
    <t>Minelab 1000 Annaconda Online</t>
  </si>
  <si>
    <t>Minelab 1000 BCF ONLINE</t>
  </si>
  <si>
    <t>GPZ8000 Deposit $500 Gold Ballarat</t>
  </si>
  <si>
    <t>Minelab 1000 Lucky stricke gold</t>
  </si>
  <si>
    <t>Minelab 1000 Annaconda Chullora</t>
  </si>
  <si>
    <t>Starlink Standard Kit Bunnings Stores</t>
  </si>
  <si>
    <t>Starlink Standard Kit 6500 Deposit Only 260 units @398 Bunnings Sevenhills</t>
  </si>
  <si>
    <t>Starlink Standard Kit Storage King Bunnings</t>
  </si>
  <si>
    <t>Minelab 1000 Anaconda Online</t>
  </si>
  <si>
    <t>Starlink Standard Kit Bunings Bankstown</t>
  </si>
  <si>
    <t>Starlink Standard Kit JBHIFI Parramatta</t>
  </si>
  <si>
    <t>SX740 JBHIFI Parramatta</t>
  </si>
  <si>
    <t>G7X Mark III JBHIFI Parramatta</t>
  </si>
  <si>
    <t>Starlink Standard Kit Jbhifi Homebush</t>
  </si>
  <si>
    <t>Shipping Charges CT Freight Melbourne</t>
  </si>
  <si>
    <t>Storage Hire Storage King</t>
  </si>
  <si>
    <t>G7X Mark III Black Photogear Online Abdul Khan</t>
  </si>
  <si>
    <t>G7X Mark III Black Photo Warehouse Abdul Khan</t>
  </si>
  <si>
    <t>Sx740 Ruber Monkey Abdul Khan</t>
  </si>
  <si>
    <t>G7X Mark III Ruber Monkey Abdul Khan</t>
  </si>
  <si>
    <t>Minelab 1000 Anaconda Online Pending Delivery</t>
  </si>
  <si>
    <t>Starlink Actuated kit Qantas Marketplace Pending Delivery</t>
  </si>
  <si>
    <t>Macbook Pro M5 16/512 JBHIFI Bankstown</t>
  </si>
  <si>
    <t>Macbook Pro M5 16/512 JBHIFI Roselands</t>
  </si>
  <si>
    <t>Macbook Pro M5 16/512 JBHIFI Merrylands</t>
  </si>
  <si>
    <t>Macbook Pro M5 16/512 JBHIFI Parramatta</t>
  </si>
  <si>
    <t>Macbook Pro M5 16/512 JBHIFI Macquarie</t>
  </si>
  <si>
    <t>Goldmonster 2000 Jacobs Digital Pending Delivery</t>
  </si>
  <si>
    <t>G7X Mark III Black Photogear Online</t>
  </si>
  <si>
    <t>G7X Mark III Black Photo Warehouse Pending Delivery</t>
  </si>
  <si>
    <t>Instax Mini 13 Noel Leeming Online Pending Delivery</t>
  </si>
  <si>
    <t>G7X Mark III Black Photogear Online Pending Delivery</t>
  </si>
  <si>
    <t>Instax Mini 13 Abdul Khan</t>
  </si>
  <si>
    <t>Minelab GPZ 8000Jacobs Digital Pending Delivery</t>
  </si>
  <si>
    <t>Minelab 1000  Jacobs Digital Pending Delivery</t>
  </si>
  <si>
    <t>G7X MakIII Silver Photogear Online Pending Delivery</t>
  </si>
  <si>
    <t>Collection Commision Abdul Khan</t>
  </si>
  <si>
    <t>Minelab 1000 Anaconda Chullora</t>
  </si>
  <si>
    <t>Minelab 1000 BCF Online Pending Delivery</t>
  </si>
  <si>
    <t>Macbook Pro M5 16/512 JBHIFI Homebush</t>
  </si>
  <si>
    <t>Starlink Standard Kit JBHIFI Homebush</t>
  </si>
  <si>
    <t>Minelab 1000 Anaconda Marsden Park Pending Collection</t>
  </si>
  <si>
    <t>Minelab 1000 Eastern Creek Pending Collection</t>
  </si>
  <si>
    <t>Minelab 1000 Penrith Pending Collection</t>
  </si>
  <si>
    <t>Minelab 1000 BCF Online Adil Bhai Pending</t>
  </si>
  <si>
    <t>Minelab 1000 Asfand Perth Deposit Pending</t>
  </si>
  <si>
    <t>Collection Charges Waleed Perth</t>
  </si>
  <si>
    <t>Iphoe 17 pro max Harvey Norman Adil Bhai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</si>
</sst>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AED]\ * #,##0.00_);_([$AED]\ * \(#,##0.00\);_([$AED]\ * &quot;-&quot;??_);_(@_)"/>
    <numFmt numFmtId="165" formatCode="&quot;$&quot;#,##0"/>
    <numFmt numFmtId="166" formatCode="&quot;$&quot;#,##0.00;[Red]\-&quot;$&quot;#,##0.00"/>
    <numFmt numFmtId="167" formatCode="&quot;$&quot;#,##0;[Red]\-&quot;$&quot;#,##0"/>
    <numFmt numFmtId="168" formatCode="&quot;$&quot;#,##0.00"/>
  </numFmts>
  <fonts count="6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3" borderId="0" xfId="0" applyFont="1" applyFill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/>
    <xf numFmtId="166" fontId="0" fillId="4" borderId="1" xfId="0" applyNumberFormat="1" applyFill="1" applyBorder="1"/>
    <xf numFmtId="16" fontId="0" fillId="6" borderId="1" xfId="0" applyNumberFormat="1" applyFill="1" applyBorder="1"/>
    <xf numFmtId="0" fontId="0" fillId="6" borderId="1" xfId="0" applyFill="1" applyBorder="1"/>
    <xf numFmtId="167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/>
    <xf numFmtId="0" fontId="2" fillId="7" borderId="0" xfId="0" applyFont="1" applyFill="1" applyAlignment="1">
      <alignment horizontal="center"/>
    </xf>
    <xf numFmtId="0" fontId="0" fillId="7" borderId="0" xfId="0" applyFill="1"/>
    <xf numFmtId="167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6" borderId="0" xfId="0" applyFill="1" applyBorder="1"/>
    <xf numFmtId="0" fontId="4" fillId="6" borderId="0" xfId="0" applyFont="1" applyFill="1" applyBorder="1" applyAlignment="1">
      <alignment horizontal="center" wrapText="1"/>
    </xf>
    <xf numFmtId="0" fontId="4" fillId="6" borderId="0" xfId="0" applyFont="1" applyFill="1" applyBorder="1" applyAlignment="1">
      <alignment wrapText="1"/>
    </xf>
    <xf numFmtId="1" fontId="4" fillId="6" borderId="0" xfId="0" applyNumberFormat="1" applyFont="1" applyFill="1" applyBorder="1" applyAlignment="1">
      <alignment horizontal="center" wrapText="1"/>
    </xf>
    <xf numFmtId="168" fontId="0" fillId="0" borderId="1" xfId="0" applyNumberFormat="1" applyBorder="1"/>
    <xf numFmtId="168" fontId="0" fillId="5" borderId="1" xfId="0" applyNumberFormat="1" applyFill="1" applyBorder="1"/>
    <xf numFmtId="168" fontId="0" fillId="4" borderId="1" xfId="0" applyNumberFormat="1" applyFill="1" applyBorder="1"/>
    <xf numFmtId="168" fontId="0" fillId="6" borderId="1" xfId="0" applyNumberFormat="1" applyFill="1" applyBorder="1"/>
    <xf numFmtId="16" fontId="0" fillId="6" borderId="2" xfId="0" applyNumberFormat="1" applyFill="1" applyBorder="1"/>
    <xf numFmtId="0" fontId="0" fillId="6" borderId="2" xfId="0" applyFill="1" applyBorder="1"/>
    <xf numFmtId="168" fontId="0" fillId="6" borderId="2" xfId="0" applyNumberFormat="1" applyFill="1" applyBorder="1"/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" fontId="0" fillId="6" borderId="3" xfId="0" applyNumberFormat="1" applyFill="1" applyBorder="1"/>
    <xf numFmtId="0" fontId="0" fillId="6" borderId="3" xfId="0" applyFill="1" applyBorder="1"/>
    <xf numFmtId="168" fontId="0" fillId="6" borderId="3" xfId="0" applyNumberFormat="1" applyFill="1" applyBorder="1"/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9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9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 wrapText="1"/>
    </xf>
    <xf numFmtId="1" fontId="4" fillId="0" borderId="4" xfId="0" applyNumberFormat="1" applyFont="1" applyBorder="1" applyAlignment="1">
      <alignment wrapText="1"/>
    </xf>
    <xf numFmtId="0" fontId="0" fillId="4" borderId="1" xfId="0" applyFill="1" applyBorder="1" applyAlignment="1">
      <alignment horizontal="right"/>
    </xf>
    <xf numFmtId="16" fontId="0" fillId="10" borderId="1" xfId="0" applyNumberFormat="1" applyFill="1" applyBorder="1" applyAlignment="1">
      <alignment horizontal="right"/>
    </xf>
    <xf numFmtId="0" fontId="0" fillId="10" borderId="1" xfId="0" applyFill="1" applyBorder="1"/>
    <xf numFmtId="0" fontId="0" fillId="10" borderId="1" xfId="0" applyFill="1" applyBorder="1" applyAlignment="1">
      <alignment horizontal="right"/>
    </xf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" fontId="0" fillId="10" borderId="1" xfId="0" applyNumberFormat="1" applyFill="1" applyBorder="1"/>
    <xf numFmtId="165" fontId="0" fillId="10" borderId="1" xfId="0" applyNumberFormat="1" applyFill="1" applyBorder="1"/>
    <xf numFmtId="16" fontId="0" fillId="0" borderId="0" xfId="0" applyNumberFormat="1"/>
    <xf numFmtId="165" fontId="0" fillId="0" borderId="0" xfId="0" applyNumberFormat="1"/>
    <xf numFmtId="0" fontId="0" fillId="6" borderId="12" xfId="0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0" fontId="0" fillId="11" borderId="1" xfId="0" applyFill="1" applyBorder="1" applyAlignment="1">
      <alignment horizontal="center"/>
    </xf>
    <xf numFmtId="16" fontId="0" fillId="5" borderId="13" xfId="0" applyNumberFormat="1" applyFill="1" applyBorder="1"/>
    <xf numFmtId="0" fontId="0" fillId="5" borderId="13" xfId="0" applyFill="1" applyBorder="1"/>
    <xf numFmtId="168" fontId="0" fillId="5" borderId="13" xfId="0" applyNumberFormat="1" applyFill="1" applyBorder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5" fillId="8" borderId="8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205-5A44-4A18-92FC-9A7712FFFDD6}">
  <dimension ref="A1:O532"/>
  <sheetViews>
    <sheetView tabSelected="1" topLeftCell="A504" zoomScale="70" zoomScaleNormal="70" workbookViewId="0">
      <selection activeCell="D546" sqref="D546"/>
    </sheetView>
  </sheetViews>
  <sheetFormatPr defaultRowHeight="15" x14ac:dyDescent="0.25"/>
  <cols>
    <col min="1" max="1" width="11.85546875" customWidth="1"/>
    <col min="2" max="2" width="15.42578125" customWidth="1"/>
    <col min="3" max="3" width="56.7109375" customWidth="1"/>
    <col min="4" max="4" width="29.85546875" customWidth="1"/>
    <col min="5" max="5" width="20.7109375" customWidth="1"/>
    <col min="6" max="6" width="34" customWidth="1"/>
    <col min="7" max="7" width="18.85546875" customWidth="1"/>
    <col min="8" max="9" width="20.42578125" customWidth="1"/>
    <col min="10" max="10" width="21" customWidth="1"/>
    <col min="11" max="11" width="12.7109375" customWidth="1"/>
    <col min="12" max="12" width="12.28515625" customWidth="1"/>
    <col min="13" max="13" width="14.140625" customWidth="1"/>
    <col min="14" max="14" width="20.42578125" customWidth="1"/>
    <col min="15" max="15" width="16.5703125" customWidth="1"/>
  </cols>
  <sheetData>
    <row r="1" spans="1:10" x14ac:dyDescent="0.25">
      <c r="B1" s="1"/>
      <c r="C1" s="1"/>
      <c r="D1" s="1"/>
      <c r="E1" s="1"/>
      <c r="F1" s="1"/>
      <c r="G1" s="1"/>
      <c r="H1" s="1"/>
      <c r="I1" s="1"/>
      <c r="J1" s="2"/>
    </row>
    <row r="2" spans="1:10" ht="21" x14ac:dyDescent="0.35">
      <c r="A2" t="s">
        <v>0</v>
      </c>
      <c r="B2" s="73" t="s">
        <v>1</v>
      </c>
      <c r="C2" s="73"/>
      <c r="D2" s="73"/>
      <c r="E2" s="73"/>
      <c r="F2" s="73"/>
      <c r="G2" s="73"/>
      <c r="H2" s="73"/>
      <c r="I2" s="73"/>
      <c r="J2" s="73"/>
    </row>
    <row r="3" spans="1:10" ht="18.75" x14ac:dyDescent="0.3">
      <c r="A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/>
    </row>
    <row r="4" spans="1:10" x14ac:dyDescent="0.25">
      <c r="B4" s="4">
        <v>46026</v>
      </c>
      <c r="C4" s="5" t="s">
        <v>11</v>
      </c>
      <c r="D4" s="5">
        <v>2</v>
      </c>
      <c r="E4" s="6">
        <v>2010</v>
      </c>
      <c r="F4" s="7">
        <f>E4*D4</f>
        <v>4020</v>
      </c>
      <c r="G4" s="7">
        <v>2.4285000000000001</v>
      </c>
      <c r="H4" s="7">
        <f>E4*G4</f>
        <v>4881.2849999999999</v>
      </c>
      <c r="I4" s="7">
        <f>H4*D4</f>
        <v>9762.57</v>
      </c>
      <c r="J4" s="5">
        <f>J3+I4</f>
        <v>9762.57</v>
      </c>
    </row>
    <row r="5" spans="1:10" x14ac:dyDescent="0.25">
      <c r="B5" s="4">
        <v>46026</v>
      </c>
      <c r="C5" s="5" t="s">
        <v>12</v>
      </c>
      <c r="D5" s="5">
        <v>2</v>
      </c>
      <c r="E5" s="6">
        <v>2010</v>
      </c>
      <c r="F5" s="7">
        <f t="shared" ref="F5:F13" si="0">E5*D5</f>
        <v>4020</v>
      </c>
      <c r="G5" s="7">
        <v>2.4285000000000001</v>
      </c>
      <c r="H5" s="7">
        <f t="shared" ref="H5:H13" si="1">E5*G5</f>
        <v>4881.2849999999999</v>
      </c>
      <c r="I5" s="7">
        <f t="shared" ref="I5:I13" si="2">H5*D5</f>
        <v>9762.57</v>
      </c>
      <c r="J5" s="5">
        <f t="shared" ref="J5:J13" si="3">J4+I5</f>
        <v>19525.14</v>
      </c>
    </row>
    <row r="6" spans="1:10" x14ac:dyDescent="0.25">
      <c r="B6" s="8">
        <v>46024</v>
      </c>
      <c r="C6" s="9" t="s">
        <v>13</v>
      </c>
      <c r="D6" s="9">
        <v>1</v>
      </c>
      <c r="E6" s="10">
        <v>104</v>
      </c>
      <c r="F6" s="11">
        <f t="shared" si="0"/>
        <v>104</v>
      </c>
      <c r="G6" s="11">
        <v>2.4285000000000001</v>
      </c>
      <c r="H6" s="11">
        <f t="shared" si="1"/>
        <v>252.56400000000002</v>
      </c>
      <c r="I6" s="11">
        <f t="shared" si="2"/>
        <v>252.56400000000002</v>
      </c>
      <c r="J6" s="9">
        <f t="shared" si="3"/>
        <v>19777.703999999998</v>
      </c>
    </row>
    <row r="7" spans="1:10" x14ac:dyDescent="0.25">
      <c r="B7" s="4">
        <v>46025</v>
      </c>
      <c r="C7" s="5" t="s">
        <v>14</v>
      </c>
      <c r="D7" s="5">
        <v>2</v>
      </c>
      <c r="E7" s="6">
        <v>398</v>
      </c>
      <c r="F7" s="7">
        <f t="shared" si="0"/>
        <v>796</v>
      </c>
      <c r="G7" s="7">
        <v>2.4285000000000001</v>
      </c>
      <c r="H7" s="7">
        <f t="shared" si="1"/>
        <v>966.54300000000001</v>
      </c>
      <c r="I7" s="7">
        <f t="shared" si="2"/>
        <v>1933.086</v>
      </c>
      <c r="J7" s="5">
        <f t="shared" si="3"/>
        <v>21710.789999999997</v>
      </c>
    </row>
    <row r="8" spans="1:10" x14ac:dyDescent="0.25">
      <c r="B8" s="4">
        <v>46025</v>
      </c>
      <c r="C8" s="5" t="s">
        <v>15</v>
      </c>
      <c r="D8" s="5">
        <v>8</v>
      </c>
      <c r="E8" s="6">
        <v>629</v>
      </c>
      <c r="F8" s="7">
        <f t="shared" si="0"/>
        <v>5032</v>
      </c>
      <c r="G8" s="7">
        <v>2.4285000000000001</v>
      </c>
      <c r="H8" s="7">
        <f t="shared" si="1"/>
        <v>1527.5265000000002</v>
      </c>
      <c r="I8" s="7">
        <f t="shared" si="2"/>
        <v>12220.212000000001</v>
      </c>
      <c r="J8" s="5">
        <f t="shared" si="3"/>
        <v>33931.002</v>
      </c>
    </row>
    <row r="9" spans="1:10" x14ac:dyDescent="0.25">
      <c r="B9" s="4">
        <v>46025</v>
      </c>
      <c r="C9" s="5" t="s">
        <v>15</v>
      </c>
      <c r="D9" s="5">
        <v>2</v>
      </c>
      <c r="E9" s="6">
        <v>629</v>
      </c>
      <c r="F9" s="7">
        <f t="shared" si="0"/>
        <v>1258</v>
      </c>
      <c r="G9" s="7">
        <v>2.4285000000000001</v>
      </c>
      <c r="H9" s="7">
        <f t="shared" si="1"/>
        <v>1527.5265000000002</v>
      </c>
      <c r="I9" s="7">
        <f t="shared" si="2"/>
        <v>3055.0530000000003</v>
      </c>
      <c r="J9" s="5">
        <f t="shared" si="3"/>
        <v>36986.055</v>
      </c>
    </row>
    <row r="10" spans="1:10" x14ac:dyDescent="0.25">
      <c r="B10" s="4">
        <v>46025</v>
      </c>
      <c r="C10" s="5" t="s">
        <v>16</v>
      </c>
      <c r="D10" s="5">
        <v>4</v>
      </c>
      <c r="E10" s="6">
        <v>477</v>
      </c>
      <c r="F10" s="7">
        <f t="shared" si="0"/>
        <v>1908</v>
      </c>
      <c r="G10" s="7">
        <v>2.4285000000000001</v>
      </c>
      <c r="H10" s="7">
        <f t="shared" si="1"/>
        <v>1158.3945000000001</v>
      </c>
      <c r="I10" s="7">
        <f t="shared" si="2"/>
        <v>4633.5780000000004</v>
      </c>
      <c r="J10" s="5">
        <f t="shared" si="3"/>
        <v>41619.633000000002</v>
      </c>
    </row>
    <row r="11" spans="1:10" x14ac:dyDescent="0.25">
      <c r="B11" s="4">
        <v>46025</v>
      </c>
      <c r="C11" s="5" t="s">
        <v>17</v>
      </c>
      <c r="D11" s="5">
        <v>2</v>
      </c>
      <c r="E11" s="6">
        <v>629</v>
      </c>
      <c r="F11" s="7">
        <f t="shared" si="0"/>
        <v>1258</v>
      </c>
      <c r="G11" s="7">
        <v>2.4285000000000001</v>
      </c>
      <c r="H11" s="7">
        <f t="shared" si="1"/>
        <v>1527.5265000000002</v>
      </c>
      <c r="I11" s="7">
        <f t="shared" si="2"/>
        <v>3055.0530000000003</v>
      </c>
      <c r="J11" s="5">
        <f t="shared" si="3"/>
        <v>44674.686000000002</v>
      </c>
    </row>
    <row r="12" spans="1:10" x14ac:dyDescent="0.25">
      <c r="B12" s="8">
        <v>46027</v>
      </c>
      <c r="C12" s="9" t="s">
        <v>18</v>
      </c>
      <c r="D12" s="9">
        <v>1</v>
      </c>
      <c r="E12" s="10">
        <v>510</v>
      </c>
      <c r="F12" s="11">
        <f t="shared" si="0"/>
        <v>510</v>
      </c>
      <c r="G12" s="11">
        <v>2.4285000000000001</v>
      </c>
      <c r="H12" s="11">
        <f t="shared" si="1"/>
        <v>1238.5350000000001</v>
      </c>
      <c r="I12" s="11">
        <f t="shared" si="2"/>
        <v>1238.5350000000001</v>
      </c>
      <c r="J12" s="9">
        <f t="shared" si="3"/>
        <v>45913.221000000005</v>
      </c>
    </row>
    <row r="13" spans="1:10" x14ac:dyDescent="0.25">
      <c r="B13" s="7"/>
      <c r="C13" s="7"/>
      <c r="D13" s="7"/>
      <c r="E13" s="7"/>
      <c r="F13" s="7">
        <f t="shared" si="0"/>
        <v>0</v>
      </c>
      <c r="G13" s="7"/>
      <c r="H13" s="7">
        <f t="shared" si="1"/>
        <v>0</v>
      </c>
      <c r="I13" s="7">
        <f t="shared" si="2"/>
        <v>0</v>
      </c>
      <c r="J13" s="5">
        <f t="shared" si="3"/>
        <v>45913.221000000005</v>
      </c>
    </row>
    <row r="14" spans="1:10" x14ac:dyDescent="0.25">
      <c r="B14" s="1"/>
      <c r="C14" s="1"/>
      <c r="D14" s="1"/>
      <c r="E14" s="1"/>
      <c r="F14" s="1"/>
      <c r="G14" s="1"/>
      <c r="H14" s="1"/>
      <c r="I14" s="1"/>
      <c r="J14" s="2"/>
    </row>
    <row r="15" spans="1:10" x14ac:dyDescent="0.25">
      <c r="B15" s="1"/>
      <c r="C15" s="1"/>
      <c r="D15" s="1"/>
      <c r="E15" s="1"/>
      <c r="F15" s="1"/>
      <c r="G15" s="1"/>
      <c r="H15" s="1"/>
      <c r="I15" s="1"/>
      <c r="J15" s="2"/>
    </row>
    <row r="16" spans="1:10" x14ac:dyDescent="0.25">
      <c r="B16" s="1"/>
      <c r="C16" s="1"/>
      <c r="D16" s="1"/>
      <c r="E16" s="1"/>
      <c r="F16" s="1"/>
      <c r="G16" s="1"/>
      <c r="H16" s="1"/>
      <c r="I16" s="1"/>
      <c r="J16" s="2"/>
    </row>
    <row r="17" spans="1:10" ht="21" x14ac:dyDescent="0.35">
      <c r="A17" t="s">
        <v>0</v>
      </c>
      <c r="B17" s="73" t="s">
        <v>1</v>
      </c>
      <c r="C17" s="73"/>
      <c r="D17" s="73"/>
      <c r="E17" s="73"/>
      <c r="F17" s="73"/>
      <c r="G17" s="73"/>
      <c r="H17" s="73"/>
      <c r="I17" s="73"/>
      <c r="J17" s="73"/>
    </row>
    <row r="18" spans="1:10" ht="18.75" x14ac:dyDescent="0.3">
      <c r="A18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/>
    </row>
    <row r="19" spans="1:10" x14ac:dyDescent="0.25">
      <c r="B19" s="4">
        <v>46028</v>
      </c>
      <c r="C19" s="5" t="s">
        <v>12</v>
      </c>
      <c r="D19" s="7">
        <v>2</v>
      </c>
      <c r="E19" s="6">
        <v>2010</v>
      </c>
      <c r="F19" s="7">
        <f>E19*D19</f>
        <v>4020</v>
      </c>
      <c r="G19" s="7">
        <v>2.4285000000000001</v>
      </c>
      <c r="H19" s="7">
        <f>E19*G19</f>
        <v>4881.2849999999999</v>
      </c>
      <c r="I19" s="7">
        <f>H19*D19</f>
        <v>9762.57</v>
      </c>
      <c r="J19" s="5">
        <f>J18+I19</f>
        <v>9762.57</v>
      </c>
    </row>
    <row r="20" spans="1:10" x14ac:dyDescent="0.25">
      <c r="B20" s="4">
        <v>46028</v>
      </c>
      <c r="C20" s="5" t="s">
        <v>19</v>
      </c>
      <c r="D20" s="7">
        <v>2</v>
      </c>
      <c r="E20" s="6">
        <v>2010</v>
      </c>
      <c r="F20" s="7">
        <f t="shared" ref="F20:F29" si="4">E20*D20</f>
        <v>4020</v>
      </c>
      <c r="G20" s="7">
        <v>2.4285000000000001</v>
      </c>
      <c r="H20" s="7">
        <f t="shared" ref="H20:H29" si="5">E20*G20</f>
        <v>4881.2849999999999</v>
      </c>
      <c r="I20" s="7">
        <f t="shared" ref="I20:I29" si="6">H20*D20</f>
        <v>9762.57</v>
      </c>
      <c r="J20" s="5">
        <f t="shared" ref="J20:J29" si="7">J19+I20</f>
        <v>19525.14</v>
      </c>
    </row>
    <row r="21" spans="1:10" x14ac:dyDescent="0.25">
      <c r="B21" s="4">
        <v>46028</v>
      </c>
      <c r="C21" s="5" t="s">
        <v>19</v>
      </c>
      <c r="D21" s="7">
        <v>2</v>
      </c>
      <c r="E21" s="6">
        <v>2010</v>
      </c>
      <c r="F21" s="7">
        <f t="shared" si="4"/>
        <v>4020</v>
      </c>
      <c r="G21" s="7">
        <v>2.4285000000000001</v>
      </c>
      <c r="H21" s="7">
        <f t="shared" si="5"/>
        <v>4881.2849999999999</v>
      </c>
      <c r="I21" s="7">
        <f t="shared" si="6"/>
        <v>9762.57</v>
      </c>
      <c r="J21" s="5">
        <f t="shared" si="7"/>
        <v>29287.71</v>
      </c>
    </row>
    <row r="22" spans="1:10" x14ac:dyDescent="0.25">
      <c r="B22" s="4">
        <v>46028</v>
      </c>
      <c r="C22" s="5" t="s">
        <v>20</v>
      </c>
      <c r="D22" s="7">
        <v>2</v>
      </c>
      <c r="E22" s="6">
        <v>2010</v>
      </c>
      <c r="F22" s="7">
        <f t="shared" si="4"/>
        <v>4020</v>
      </c>
      <c r="G22" s="7">
        <v>2.4285000000000001</v>
      </c>
      <c r="H22" s="7">
        <f t="shared" si="5"/>
        <v>4881.2849999999999</v>
      </c>
      <c r="I22" s="7">
        <f t="shared" si="6"/>
        <v>9762.57</v>
      </c>
      <c r="J22" s="5">
        <f t="shared" si="7"/>
        <v>39050.28</v>
      </c>
    </row>
    <row r="23" spans="1:10" x14ac:dyDescent="0.25">
      <c r="B23" s="12">
        <v>46028</v>
      </c>
      <c r="C23" s="13" t="s">
        <v>21</v>
      </c>
      <c r="D23" s="14">
        <v>1</v>
      </c>
      <c r="E23" s="15">
        <v>2010</v>
      </c>
      <c r="F23" s="7">
        <f t="shared" si="4"/>
        <v>2010</v>
      </c>
      <c r="G23" s="7">
        <v>2.4285000000000001</v>
      </c>
      <c r="H23" s="7">
        <f t="shared" si="5"/>
        <v>4881.2849999999999</v>
      </c>
      <c r="I23" s="7">
        <f t="shared" si="6"/>
        <v>4881.2849999999999</v>
      </c>
      <c r="J23" s="5">
        <f t="shared" si="7"/>
        <v>43931.565000000002</v>
      </c>
    </row>
    <row r="24" spans="1:10" x14ac:dyDescent="0.25">
      <c r="B24" s="12">
        <v>46031</v>
      </c>
      <c r="C24" s="13" t="s">
        <v>11</v>
      </c>
      <c r="D24" s="14">
        <v>2</v>
      </c>
      <c r="E24" s="15">
        <v>2010</v>
      </c>
      <c r="F24" s="7">
        <f t="shared" si="4"/>
        <v>4020</v>
      </c>
      <c r="G24" s="7">
        <v>2.4285000000000001</v>
      </c>
      <c r="H24" s="7">
        <f t="shared" si="5"/>
        <v>4881.2849999999999</v>
      </c>
      <c r="I24" s="7">
        <f t="shared" si="6"/>
        <v>9762.57</v>
      </c>
      <c r="J24" s="5">
        <f t="shared" si="7"/>
        <v>53694.135000000002</v>
      </c>
    </row>
    <row r="25" spans="1:10" x14ac:dyDescent="0.25">
      <c r="B25" s="12">
        <v>46031</v>
      </c>
      <c r="C25" s="13" t="s">
        <v>20</v>
      </c>
      <c r="D25" s="14">
        <v>2</v>
      </c>
      <c r="E25" s="15">
        <v>2010</v>
      </c>
      <c r="F25" s="7">
        <f t="shared" si="4"/>
        <v>4020</v>
      </c>
      <c r="G25" s="7">
        <v>2.4285000000000001</v>
      </c>
      <c r="H25" s="7">
        <f t="shared" si="5"/>
        <v>4881.2849999999999</v>
      </c>
      <c r="I25" s="7">
        <f t="shared" si="6"/>
        <v>9762.57</v>
      </c>
      <c r="J25" s="5">
        <f t="shared" si="7"/>
        <v>63456.705000000002</v>
      </c>
    </row>
    <row r="26" spans="1:10" x14ac:dyDescent="0.25">
      <c r="B26" s="12">
        <v>46031</v>
      </c>
      <c r="C26" s="13" t="s">
        <v>22</v>
      </c>
      <c r="D26" s="14">
        <v>2</v>
      </c>
      <c r="E26" s="15">
        <v>2010</v>
      </c>
      <c r="F26" s="7">
        <f t="shared" si="4"/>
        <v>4020</v>
      </c>
      <c r="G26" s="7">
        <v>2.4285000000000001</v>
      </c>
      <c r="H26" s="7">
        <f t="shared" si="5"/>
        <v>4881.2849999999999</v>
      </c>
      <c r="I26" s="7">
        <f t="shared" si="6"/>
        <v>9762.57</v>
      </c>
      <c r="J26" s="5">
        <f t="shared" si="7"/>
        <v>73219.274999999994</v>
      </c>
    </row>
    <row r="27" spans="1:10" x14ac:dyDescent="0.25">
      <c r="B27" s="12">
        <v>46031</v>
      </c>
      <c r="C27" s="13" t="s">
        <v>23</v>
      </c>
      <c r="D27" s="14">
        <v>1</v>
      </c>
      <c r="E27" s="15">
        <v>2010</v>
      </c>
      <c r="F27" s="7">
        <f t="shared" si="4"/>
        <v>2010</v>
      </c>
      <c r="G27" s="7">
        <v>2.4285000000000001</v>
      </c>
      <c r="H27" s="7">
        <f t="shared" si="5"/>
        <v>4881.2849999999999</v>
      </c>
      <c r="I27" s="7">
        <f t="shared" si="6"/>
        <v>4881.2849999999999</v>
      </c>
      <c r="J27" s="5">
        <f t="shared" si="7"/>
        <v>78100.56</v>
      </c>
    </row>
    <row r="28" spans="1:10" x14ac:dyDescent="0.25">
      <c r="B28" s="12">
        <v>46031</v>
      </c>
      <c r="C28" s="13" t="s">
        <v>24</v>
      </c>
      <c r="D28" s="14">
        <v>2</v>
      </c>
      <c r="E28" s="15">
        <v>2010</v>
      </c>
      <c r="F28" s="7">
        <f t="shared" si="4"/>
        <v>4020</v>
      </c>
      <c r="G28" s="7">
        <v>2.4285000000000001</v>
      </c>
      <c r="H28" s="7">
        <f t="shared" si="5"/>
        <v>4881.2849999999999</v>
      </c>
      <c r="I28" s="7">
        <f t="shared" si="6"/>
        <v>9762.57</v>
      </c>
      <c r="J28" s="5">
        <f t="shared" si="7"/>
        <v>87863.13</v>
      </c>
    </row>
    <row r="29" spans="1:10" x14ac:dyDescent="0.25">
      <c r="B29" s="8">
        <v>46029</v>
      </c>
      <c r="C29" s="9" t="s">
        <v>25</v>
      </c>
      <c r="D29" s="11">
        <v>1</v>
      </c>
      <c r="E29" s="16">
        <v>11423.05</v>
      </c>
      <c r="F29" s="11">
        <f t="shared" si="4"/>
        <v>11423.05</v>
      </c>
      <c r="G29" s="11">
        <v>2.4285000000000001</v>
      </c>
      <c r="H29" s="11">
        <f t="shared" si="5"/>
        <v>27740.876925</v>
      </c>
      <c r="I29" s="11">
        <f t="shared" si="6"/>
        <v>27740.876925</v>
      </c>
      <c r="J29" s="9">
        <f t="shared" si="7"/>
        <v>115604.00692500001</v>
      </c>
    </row>
    <row r="30" spans="1:10" x14ac:dyDescent="0.25">
      <c r="B30" s="1"/>
      <c r="C30" s="1"/>
      <c r="D30" s="1"/>
      <c r="E30" s="1"/>
      <c r="F30" s="1"/>
      <c r="G30" s="1"/>
      <c r="H30" s="1"/>
      <c r="I30" s="1"/>
      <c r="J30" s="2"/>
    </row>
    <row r="31" spans="1:10" x14ac:dyDescent="0.25">
      <c r="B31" s="1"/>
      <c r="C31" s="1"/>
      <c r="D31" s="1"/>
      <c r="E31" s="1"/>
      <c r="F31" s="1"/>
      <c r="G31" s="1"/>
      <c r="H31" s="1"/>
      <c r="I31" s="1"/>
      <c r="J31" s="2"/>
    </row>
    <row r="32" spans="1:10" x14ac:dyDescent="0.25">
      <c r="B32" s="1"/>
      <c r="C32" s="1"/>
      <c r="D32" s="1"/>
      <c r="E32" s="1"/>
      <c r="F32" s="1"/>
      <c r="G32" s="1"/>
      <c r="H32" s="1"/>
      <c r="I32" s="1"/>
      <c r="J32" s="2"/>
    </row>
    <row r="33" spans="1:10" x14ac:dyDescent="0.25">
      <c r="B33" s="1"/>
      <c r="C33" s="1"/>
      <c r="D33" s="1"/>
      <c r="E33" s="1"/>
      <c r="F33" s="1"/>
      <c r="G33" s="1"/>
      <c r="H33" s="1"/>
      <c r="I33" s="1"/>
      <c r="J33" s="2"/>
    </row>
    <row r="34" spans="1:10" ht="21" x14ac:dyDescent="0.35">
      <c r="A34" t="s">
        <v>0</v>
      </c>
      <c r="B34" s="73" t="s">
        <v>1</v>
      </c>
      <c r="C34" s="73"/>
      <c r="D34" s="73"/>
      <c r="E34" s="73"/>
      <c r="F34" s="73"/>
      <c r="G34" s="73"/>
      <c r="H34" s="73"/>
      <c r="I34" s="73"/>
      <c r="J34" s="73"/>
    </row>
    <row r="35" spans="1:10" ht="18.75" x14ac:dyDescent="0.3">
      <c r="A35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9</v>
      </c>
      <c r="I35" s="3" t="s">
        <v>10</v>
      </c>
      <c r="J35" s="3"/>
    </row>
    <row r="36" spans="1:10" x14ac:dyDescent="0.25">
      <c r="B36" s="17">
        <v>46033</v>
      </c>
      <c r="C36" s="18" t="s">
        <v>26</v>
      </c>
      <c r="D36" s="18">
        <v>7</v>
      </c>
      <c r="E36" s="19">
        <v>2197</v>
      </c>
      <c r="F36" s="20">
        <f>E36*D36</f>
        <v>15379</v>
      </c>
      <c r="G36" s="7">
        <v>2.4285000000000001</v>
      </c>
      <c r="H36" s="7">
        <f>E36*G36</f>
        <v>5335.4144999999999</v>
      </c>
      <c r="I36" s="7">
        <f>H36*D36</f>
        <v>37347.9015</v>
      </c>
      <c r="J36" s="5">
        <f>J35+I36</f>
        <v>37347.9015</v>
      </c>
    </row>
    <row r="37" spans="1:10" x14ac:dyDescent="0.25">
      <c r="B37" s="17">
        <v>46036</v>
      </c>
      <c r="C37" s="18" t="s">
        <v>27</v>
      </c>
      <c r="D37" s="18">
        <v>8</v>
      </c>
      <c r="E37" s="21">
        <v>2490</v>
      </c>
      <c r="F37" s="20">
        <f t="shared" ref="F37:F44" si="8">E37*D37</f>
        <v>19920</v>
      </c>
      <c r="G37" s="7">
        <v>2.4285000000000001</v>
      </c>
      <c r="H37" s="7">
        <f t="shared" ref="H37:H44" si="9">E37*G37</f>
        <v>6046.9650000000001</v>
      </c>
      <c r="I37" s="7">
        <f t="shared" ref="I37:I44" si="10">H37*D37</f>
        <v>48375.72</v>
      </c>
      <c r="J37" s="5">
        <f t="shared" ref="J37:J44" si="11">J36+I37</f>
        <v>85723.621500000008</v>
      </c>
    </row>
    <row r="38" spans="1:10" x14ac:dyDescent="0.25">
      <c r="B38" s="17">
        <v>46036</v>
      </c>
      <c r="C38" s="18" t="s">
        <v>28</v>
      </c>
      <c r="D38" s="18">
        <v>25</v>
      </c>
      <c r="E38" s="21">
        <v>415</v>
      </c>
      <c r="F38" s="20">
        <f t="shared" si="8"/>
        <v>10375</v>
      </c>
      <c r="G38" s="7">
        <v>2.4285000000000001</v>
      </c>
      <c r="H38" s="7">
        <f t="shared" si="9"/>
        <v>1007.8275</v>
      </c>
      <c r="I38" s="7">
        <f t="shared" si="10"/>
        <v>25195.6875</v>
      </c>
      <c r="J38" s="5">
        <f t="shared" si="11"/>
        <v>110919.30900000001</v>
      </c>
    </row>
    <row r="39" spans="1:10" x14ac:dyDescent="0.25">
      <c r="B39" s="17">
        <v>46037</v>
      </c>
      <c r="C39" s="18" t="s">
        <v>29</v>
      </c>
      <c r="D39" s="18">
        <v>3</v>
      </c>
      <c r="E39" s="21">
        <v>2690</v>
      </c>
      <c r="F39" s="20">
        <f t="shared" si="8"/>
        <v>8070</v>
      </c>
      <c r="G39" s="7">
        <v>2.4285000000000001</v>
      </c>
      <c r="H39" s="7">
        <f t="shared" si="9"/>
        <v>6532.665</v>
      </c>
      <c r="I39" s="7">
        <f t="shared" si="10"/>
        <v>19597.994999999999</v>
      </c>
      <c r="J39" s="5">
        <f t="shared" si="11"/>
        <v>130517.304</v>
      </c>
    </row>
    <row r="40" spans="1:10" x14ac:dyDescent="0.25">
      <c r="B40" s="17">
        <v>46037</v>
      </c>
      <c r="C40" s="18" t="s">
        <v>30</v>
      </c>
      <c r="D40" s="18">
        <v>3</v>
      </c>
      <c r="E40" s="21">
        <v>259</v>
      </c>
      <c r="F40" s="20">
        <f t="shared" si="8"/>
        <v>777</v>
      </c>
      <c r="G40" s="7">
        <v>2.4285000000000001</v>
      </c>
      <c r="H40" s="7">
        <f t="shared" si="9"/>
        <v>628.98149999999998</v>
      </c>
      <c r="I40" s="7">
        <f t="shared" si="10"/>
        <v>1886.9445000000001</v>
      </c>
      <c r="J40" s="5">
        <f t="shared" si="11"/>
        <v>132404.24850000002</v>
      </c>
    </row>
    <row r="41" spans="1:10" x14ac:dyDescent="0.25">
      <c r="B41" s="17">
        <v>46037</v>
      </c>
      <c r="C41" s="18" t="s">
        <v>31</v>
      </c>
      <c r="D41" s="18">
        <v>3</v>
      </c>
      <c r="E41" s="21">
        <v>519</v>
      </c>
      <c r="F41" s="20">
        <f t="shared" si="8"/>
        <v>1557</v>
      </c>
      <c r="G41" s="7">
        <v>2.4285000000000001</v>
      </c>
      <c r="H41" s="7">
        <f t="shared" si="9"/>
        <v>1260.3915</v>
      </c>
      <c r="I41" s="7">
        <f t="shared" si="10"/>
        <v>3781.1745000000001</v>
      </c>
      <c r="J41" s="5">
        <f t="shared" si="11"/>
        <v>136185.42300000001</v>
      </c>
    </row>
    <row r="42" spans="1:10" x14ac:dyDescent="0.25">
      <c r="B42" s="17">
        <v>46037</v>
      </c>
      <c r="C42" s="18" t="s">
        <v>32</v>
      </c>
      <c r="D42" s="18">
        <v>3</v>
      </c>
      <c r="E42" s="21">
        <v>419</v>
      </c>
      <c r="F42" s="20">
        <f t="shared" si="8"/>
        <v>1257</v>
      </c>
      <c r="G42" s="7">
        <v>2.4285000000000001</v>
      </c>
      <c r="H42" s="7">
        <f t="shared" si="9"/>
        <v>1017.5415</v>
      </c>
      <c r="I42" s="7">
        <f t="shared" si="10"/>
        <v>3052.6244999999999</v>
      </c>
      <c r="J42" s="5">
        <f t="shared" si="11"/>
        <v>139238.04750000002</v>
      </c>
    </row>
    <row r="43" spans="1:10" x14ac:dyDescent="0.25">
      <c r="B43" s="8">
        <v>46037</v>
      </c>
      <c r="C43" s="9" t="s">
        <v>33</v>
      </c>
      <c r="D43" s="9">
        <v>1</v>
      </c>
      <c r="E43" s="10">
        <v>7980</v>
      </c>
      <c r="F43" s="11">
        <f t="shared" si="8"/>
        <v>7980</v>
      </c>
      <c r="G43" s="11">
        <v>2.4285000000000001</v>
      </c>
      <c r="H43" s="11">
        <f t="shared" si="9"/>
        <v>19379.43</v>
      </c>
      <c r="I43" s="11">
        <f t="shared" si="10"/>
        <v>19379.43</v>
      </c>
      <c r="J43" s="9">
        <f t="shared" si="11"/>
        <v>158617.47750000001</v>
      </c>
    </row>
    <row r="44" spans="1:10" x14ac:dyDescent="0.25">
      <c r="B44" s="7"/>
      <c r="C44" s="7"/>
      <c r="D44" s="7"/>
      <c r="E44" s="7"/>
      <c r="F44" s="7">
        <f t="shared" si="8"/>
        <v>0</v>
      </c>
      <c r="G44" s="7"/>
      <c r="H44" s="7">
        <f t="shared" si="9"/>
        <v>0</v>
      </c>
      <c r="I44" s="7">
        <f t="shared" si="10"/>
        <v>0</v>
      </c>
      <c r="J44" s="5">
        <f t="shared" si="11"/>
        <v>158617.47750000001</v>
      </c>
    </row>
    <row r="45" spans="1:10" x14ac:dyDescent="0.25">
      <c r="B45" s="1"/>
      <c r="C45" s="1"/>
      <c r="D45" s="1"/>
      <c r="E45" s="1"/>
      <c r="F45" s="1"/>
      <c r="G45" s="1"/>
      <c r="H45" s="1"/>
      <c r="I45" s="1"/>
      <c r="J45" s="2"/>
    </row>
    <row r="46" spans="1:10" x14ac:dyDescent="0.25">
      <c r="B46" s="1"/>
      <c r="C46" s="1"/>
      <c r="D46" s="1"/>
      <c r="E46" s="1"/>
      <c r="F46" s="1"/>
      <c r="G46" s="1"/>
      <c r="H46" s="1"/>
      <c r="I46" s="1"/>
      <c r="J46" s="2"/>
    </row>
    <row r="47" spans="1:10" x14ac:dyDescent="0.25">
      <c r="B47" s="1"/>
      <c r="C47" s="1"/>
      <c r="D47" s="1"/>
      <c r="E47" s="1"/>
      <c r="F47" s="1"/>
      <c r="G47" s="1"/>
      <c r="H47" s="1"/>
      <c r="I47" s="1"/>
      <c r="J47" s="2"/>
    </row>
    <row r="48" spans="1:10" x14ac:dyDescent="0.25">
      <c r="B48" s="1"/>
      <c r="C48" s="1"/>
      <c r="D48" s="1"/>
      <c r="E48" s="1"/>
      <c r="F48" s="1"/>
      <c r="G48" s="1"/>
      <c r="H48" s="1"/>
      <c r="I48" s="1"/>
      <c r="J48" s="2"/>
    </row>
    <row r="49" spans="1:10" ht="21" x14ac:dyDescent="0.35">
      <c r="A49" t="s">
        <v>0</v>
      </c>
      <c r="B49" s="73" t="s">
        <v>34</v>
      </c>
      <c r="C49" s="73"/>
      <c r="D49" s="73"/>
      <c r="E49" s="73"/>
      <c r="F49" s="73"/>
      <c r="G49" s="73"/>
      <c r="H49" s="73"/>
      <c r="I49" s="73"/>
      <c r="J49" s="73"/>
    </row>
    <row r="50" spans="1:10" ht="18.75" x14ac:dyDescent="0.3">
      <c r="A50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  <c r="H50" s="3" t="s">
        <v>9</v>
      </c>
      <c r="I50" s="3" t="s">
        <v>10</v>
      </c>
      <c r="J50" s="3"/>
    </row>
    <row r="51" spans="1:10" x14ac:dyDescent="0.25">
      <c r="B51" s="4">
        <v>46034</v>
      </c>
      <c r="C51" s="5" t="s">
        <v>35</v>
      </c>
      <c r="D51" s="5">
        <v>10</v>
      </c>
      <c r="E51" s="5">
        <v>1449</v>
      </c>
      <c r="F51" s="7">
        <f>E51*D51</f>
        <v>14490</v>
      </c>
      <c r="G51" s="7">
        <v>2.12</v>
      </c>
      <c r="H51" s="7">
        <f>E51*G51</f>
        <v>3071.88</v>
      </c>
      <c r="I51" s="7">
        <f>H51*D51</f>
        <v>30718.800000000003</v>
      </c>
      <c r="J51" s="5">
        <f>J50+I51</f>
        <v>30718.800000000003</v>
      </c>
    </row>
    <row r="52" spans="1:10" x14ac:dyDescent="0.25">
      <c r="B52" s="8">
        <v>46035</v>
      </c>
      <c r="C52" s="9" t="s">
        <v>36</v>
      </c>
      <c r="D52" s="9">
        <v>1</v>
      </c>
      <c r="E52" s="9">
        <v>3408</v>
      </c>
      <c r="F52" s="11">
        <f t="shared" ref="F52:F54" si="12">E52*D52</f>
        <v>3408</v>
      </c>
      <c r="G52" s="11">
        <v>2.12</v>
      </c>
      <c r="H52" s="11">
        <f t="shared" ref="H52:H54" si="13">E52*G52</f>
        <v>7224.96</v>
      </c>
      <c r="I52" s="11">
        <f t="shared" ref="I52:I54" si="14">H52*D52</f>
        <v>7224.96</v>
      </c>
      <c r="J52" s="9">
        <f t="shared" ref="J52:J54" si="15">J51+I52</f>
        <v>37943.760000000002</v>
      </c>
    </row>
    <row r="53" spans="1:10" x14ac:dyDescent="0.25">
      <c r="B53" s="7"/>
      <c r="C53" s="7"/>
      <c r="D53" s="7"/>
      <c r="E53" s="7"/>
      <c r="F53" s="7">
        <f t="shared" si="12"/>
        <v>0</v>
      </c>
      <c r="G53" s="7"/>
      <c r="H53" s="7">
        <f t="shared" si="13"/>
        <v>0</v>
      </c>
      <c r="I53" s="7">
        <f t="shared" si="14"/>
        <v>0</v>
      </c>
      <c r="J53" s="5">
        <f t="shared" si="15"/>
        <v>37943.760000000002</v>
      </c>
    </row>
    <row r="54" spans="1:10" x14ac:dyDescent="0.25">
      <c r="B54" s="7"/>
      <c r="C54" s="7"/>
      <c r="D54" s="7"/>
      <c r="E54" s="7"/>
      <c r="F54" s="7">
        <f t="shared" si="12"/>
        <v>0</v>
      </c>
      <c r="G54" s="7"/>
      <c r="H54" s="7">
        <f t="shared" si="13"/>
        <v>0</v>
      </c>
      <c r="I54" s="7">
        <f t="shared" si="14"/>
        <v>0</v>
      </c>
      <c r="J54" s="5">
        <f t="shared" si="15"/>
        <v>37943.760000000002</v>
      </c>
    </row>
    <row r="55" spans="1:10" x14ac:dyDescent="0.25">
      <c r="B55" s="1"/>
      <c r="C55" s="1"/>
      <c r="D55" s="1"/>
      <c r="E55" s="1"/>
      <c r="F55" s="1"/>
      <c r="G55" s="1"/>
      <c r="H55" s="1"/>
      <c r="I55" s="1"/>
      <c r="J55" s="2"/>
    </row>
    <row r="58" spans="1:10" ht="21" x14ac:dyDescent="0.35">
      <c r="A58" t="s">
        <v>0</v>
      </c>
      <c r="B58" s="73" t="s">
        <v>1</v>
      </c>
      <c r="C58" s="73"/>
      <c r="D58" s="73"/>
      <c r="E58" s="73"/>
      <c r="F58" s="73"/>
      <c r="G58" s="73"/>
      <c r="H58" s="73"/>
      <c r="I58" s="73"/>
      <c r="J58" s="73"/>
    </row>
    <row r="59" spans="1:10" ht="18.75" x14ac:dyDescent="0.3">
      <c r="A59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/>
    </row>
    <row r="60" spans="1:10" x14ac:dyDescent="0.25">
      <c r="B60" s="17">
        <v>46038</v>
      </c>
      <c r="C60" s="18" t="s">
        <v>37</v>
      </c>
      <c r="D60" s="18">
        <v>2</v>
      </c>
      <c r="E60" s="18">
        <v>1397</v>
      </c>
      <c r="F60" s="7">
        <f>E60*D60</f>
        <v>2794</v>
      </c>
      <c r="G60" s="7">
        <v>2.4218000000000002</v>
      </c>
      <c r="H60" s="7">
        <f>E60*G60</f>
        <v>3383.2546000000002</v>
      </c>
      <c r="I60" s="7">
        <f>H60*D60</f>
        <v>6766.5092000000004</v>
      </c>
      <c r="J60" s="5">
        <f>J59+I60</f>
        <v>6766.5092000000004</v>
      </c>
    </row>
    <row r="61" spans="1:10" x14ac:dyDescent="0.25">
      <c r="B61" s="17">
        <v>46038</v>
      </c>
      <c r="C61" s="18" t="s">
        <v>38</v>
      </c>
      <c r="D61" s="18">
        <v>2</v>
      </c>
      <c r="E61" s="18">
        <v>1397</v>
      </c>
      <c r="F61" s="7">
        <f t="shared" ref="F61:F75" si="16">E61*D61</f>
        <v>2794</v>
      </c>
      <c r="G61" s="7">
        <v>2.4218000000000002</v>
      </c>
      <c r="H61" s="7">
        <f t="shared" ref="H61:H75" si="17">E61*G61</f>
        <v>3383.2546000000002</v>
      </c>
      <c r="I61" s="7">
        <f t="shared" ref="I61:I75" si="18">H61*D61</f>
        <v>6766.5092000000004</v>
      </c>
      <c r="J61" s="5">
        <f t="shared" ref="J61:J75" si="19">J60+I61</f>
        <v>13533.018400000001</v>
      </c>
    </row>
    <row r="62" spans="1:10" x14ac:dyDescent="0.25">
      <c r="B62" s="17">
        <v>46038</v>
      </c>
      <c r="C62" s="18" t="s">
        <v>39</v>
      </c>
      <c r="D62" s="18">
        <v>4</v>
      </c>
      <c r="E62" s="18">
        <v>648</v>
      </c>
      <c r="F62" s="7">
        <f t="shared" si="16"/>
        <v>2592</v>
      </c>
      <c r="G62" s="7">
        <v>2.4218000000000002</v>
      </c>
      <c r="H62" s="7">
        <f t="shared" si="17"/>
        <v>1569.3264000000001</v>
      </c>
      <c r="I62" s="7">
        <f t="shared" si="18"/>
        <v>6277.3056000000006</v>
      </c>
      <c r="J62" s="5">
        <f t="shared" si="19"/>
        <v>19810.324000000001</v>
      </c>
    </row>
    <row r="63" spans="1:10" x14ac:dyDescent="0.25">
      <c r="B63" s="17">
        <v>46039</v>
      </c>
      <c r="C63" s="18" t="s">
        <v>40</v>
      </c>
      <c r="D63" s="18">
        <v>2</v>
      </c>
      <c r="E63" s="18">
        <v>1398</v>
      </c>
      <c r="F63" s="7">
        <f t="shared" si="16"/>
        <v>2796</v>
      </c>
      <c r="G63" s="7">
        <v>2.4218000000000002</v>
      </c>
      <c r="H63" s="7">
        <f t="shared" si="17"/>
        <v>3385.6764000000003</v>
      </c>
      <c r="I63" s="7">
        <f t="shared" si="18"/>
        <v>6771.3528000000006</v>
      </c>
      <c r="J63" s="5">
        <f t="shared" si="19"/>
        <v>26581.676800000001</v>
      </c>
    </row>
    <row r="64" spans="1:10" x14ac:dyDescent="0.25">
      <c r="B64" s="17">
        <v>46039</v>
      </c>
      <c r="C64" s="18" t="s">
        <v>39</v>
      </c>
      <c r="D64" s="18">
        <v>2</v>
      </c>
      <c r="E64" s="18">
        <v>648</v>
      </c>
      <c r="F64" s="7">
        <f t="shared" si="16"/>
        <v>1296</v>
      </c>
      <c r="G64" s="7">
        <v>2.4218000000000002</v>
      </c>
      <c r="H64" s="7">
        <f t="shared" si="17"/>
        <v>1569.3264000000001</v>
      </c>
      <c r="I64" s="7">
        <f t="shared" si="18"/>
        <v>3138.6528000000003</v>
      </c>
      <c r="J64" s="5">
        <f t="shared" si="19"/>
        <v>29720.329600000001</v>
      </c>
    </row>
    <row r="65" spans="1:10" x14ac:dyDescent="0.25">
      <c r="B65" s="17">
        <v>46039</v>
      </c>
      <c r="C65" s="18" t="s">
        <v>41</v>
      </c>
      <c r="D65" s="18">
        <v>2</v>
      </c>
      <c r="E65" s="18">
        <v>1397</v>
      </c>
      <c r="F65" s="7">
        <f t="shared" si="16"/>
        <v>2794</v>
      </c>
      <c r="G65" s="7">
        <v>2.4218000000000002</v>
      </c>
      <c r="H65" s="7">
        <f t="shared" si="17"/>
        <v>3383.2546000000002</v>
      </c>
      <c r="I65" s="7">
        <f t="shared" si="18"/>
        <v>6766.5092000000004</v>
      </c>
      <c r="J65" s="5">
        <f t="shared" si="19"/>
        <v>36486.838799999998</v>
      </c>
    </row>
    <row r="66" spans="1:10" x14ac:dyDescent="0.25">
      <c r="B66" s="17">
        <v>46039</v>
      </c>
      <c r="C66" s="18" t="s">
        <v>42</v>
      </c>
      <c r="D66" s="18">
        <v>2</v>
      </c>
      <c r="E66" s="18">
        <v>1397</v>
      </c>
      <c r="F66" s="7">
        <f t="shared" si="16"/>
        <v>2794</v>
      </c>
      <c r="G66" s="7">
        <v>2.4218000000000002</v>
      </c>
      <c r="H66" s="7">
        <f t="shared" si="17"/>
        <v>3383.2546000000002</v>
      </c>
      <c r="I66" s="7">
        <f t="shared" si="18"/>
        <v>6766.5092000000004</v>
      </c>
      <c r="J66" s="5">
        <f t="shared" si="19"/>
        <v>43253.347999999998</v>
      </c>
    </row>
    <row r="67" spans="1:10" x14ac:dyDescent="0.25">
      <c r="B67" s="17">
        <v>46041</v>
      </c>
      <c r="C67" s="18" t="s">
        <v>43</v>
      </c>
      <c r="D67" s="18">
        <v>40</v>
      </c>
      <c r="E67" s="18">
        <v>402</v>
      </c>
      <c r="F67" s="7">
        <f t="shared" si="16"/>
        <v>16080</v>
      </c>
      <c r="G67" s="7">
        <v>2.4218000000000002</v>
      </c>
      <c r="H67" s="7">
        <f t="shared" si="17"/>
        <v>973.56360000000006</v>
      </c>
      <c r="I67" s="7">
        <f t="shared" si="18"/>
        <v>38942.544000000002</v>
      </c>
      <c r="J67" s="5">
        <f t="shared" si="19"/>
        <v>82195.891999999993</v>
      </c>
    </row>
    <row r="68" spans="1:10" x14ac:dyDescent="0.25">
      <c r="B68" s="17">
        <v>46041</v>
      </c>
      <c r="C68" s="18" t="s">
        <v>44</v>
      </c>
      <c r="D68" s="18">
        <v>32</v>
      </c>
      <c r="E68" s="18">
        <v>402</v>
      </c>
      <c r="F68" s="7">
        <f t="shared" si="16"/>
        <v>12864</v>
      </c>
      <c r="G68" s="7">
        <v>2.4218000000000002</v>
      </c>
      <c r="H68" s="7">
        <f t="shared" si="17"/>
        <v>973.56360000000006</v>
      </c>
      <c r="I68" s="7">
        <f t="shared" si="18"/>
        <v>31154.035200000002</v>
      </c>
      <c r="J68" s="5">
        <f t="shared" si="19"/>
        <v>113349.92719999999</v>
      </c>
    </row>
    <row r="69" spans="1:10" x14ac:dyDescent="0.25">
      <c r="B69" s="17">
        <v>46041</v>
      </c>
      <c r="C69" s="18" t="s">
        <v>45</v>
      </c>
      <c r="D69" s="18">
        <v>60</v>
      </c>
      <c r="E69" s="18">
        <v>402</v>
      </c>
      <c r="F69" s="7">
        <f t="shared" si="16"/>
        <v>24120</v>
      </c>
      <c r="G69" s="7">
        <v>2.4218000000000002</v>
      </c>
      <c r="H69" s="7">
        <f t="shared" si="17"/>
        <v>973.56360000000006</v>
      </c>
      <c r="I69" s="7">
        <f t="shared" si="18"/>
        <v>58413.816000000006</v>
      </c>
      <c r="J69" s="5">
        <f t="shared" si="19"/>
        <v>171763.7432</v>
      </c>
    </row>
    <row r="70" spans="1:10" x14ac:dyDescent="0.25">
      <c r="B70" s="12">
        <v>46043</v>
      </c>
      <c r="C70" s="13" t="s">
        <v>46</v>
      </c>
      <c r="D70" s="13">
        <v>80</v>
      </c>
      <c r="E70" s="13">
        <v>398</v>
      </c>
      <c r="F70" s="7">
        <f t="shared" si="16"/>
        <v>31840</v>
      </c>
      <c r="G70" s="7">
        <v>2.4218000000000002</v>
      </c>
      <c r="H70" s="7">
        <f t="shared" si="17"/>
        <v>963.8764000000001</v>
      </c>
      <c r="I70" s="7">
        <f t="shared" si="18"/>
        <v>77110.112000000008</v>
      </c>
      <c r="J70" s="5">
        <f t="shared" si="19"/>
        <v>248873.85519999999</v>
      </c>
    </row>
    <row r="71" spans="1:10" x14ac:dyDescent="0.25">
      <c r="B71" s="17">
        <v>46044</v>
      </c>
      <c r="C71" s="18" t="s">
        <v>47</v>
      </c>
      <c r="D71" s="18">
        <v>2</v>
      </c>
      <c r="E71" s="18">
        <v>1397</v>
      </c>
      <c r="F71" s="7">
        <f t="shared" si="16"/>
        <v>2794</v>
      </c>
      <c r="G71" s="7">
        <v>2.4218000000000002</v>
      </c>
      <c r="H71" s="7">
        <f t="shared" si="17"/>
        <v>3383.2546000000002</v>
      </c>
      <c r="I71" s="7">
        <f t="shared" si="18"/>
        <v>6766.5092000000004</v>
      </c>
      <c r="J71" s="5">
        <f t="shared" si="19"/>
        <v>255640.36439999999</v>
      </c>
    </row>
    <row r="72" spans="1:10" x14ac:dyDescent="0.25">
      <c r="B72" s="17">
        <v>46044</v>
      </c>
      <c r="C72" s="18" t="s">
        <v>48</v>
      </c>
      <c r="D72" s="18">
        <v>1</v>
      </c>
      <c r="E72" s="18">
        <v>1397</v>
      </c>
      <c r="F72" s="7">
        <f t="shared" si="16"/>
        <v>1397</v>
      </c>
      <c r="G72" s="7">
        <v>2.4218000000000002</v>
      </c>
      <c r="H72" s="7">
        <f t="shared" si="17"/>
        <v>3383.2546000000002</v>
      </c>
      <c r="I72" s="7">
        <f t="shared" si="18"/>
        <v>3383.2546000000002</v>
      </c>
      <c r="J72" s="5">
        <f t="shared" si="19"/>
        <v>259023.61900000001</v>
      </c>
    </row>
    <row r="73" spans="1:10" x14ac:dyDescent="0.25">
      <c r="B73" s="17">
        <v>46044</v>
      </c>
      <c r="C73" s="18" t="s">
        <v>49</v>
      </c>
      <c r="D73" s="18">
        <v>1</v>
      </c>
      <c r="E73" s="18">
        <v>439</v>
      </c>
      <c r="F73" s="7">
        <f t="shared" si="16"/>
        <v>439</v>
      </c>
      <c r="G73" s="7">
        <v>2.4218000000000002</v>
      </c>
      <c r="H73" s="7">
        <f t="shared" si="17"/>
        <v>1063.1702</v>
      </c>
      <c r="I73" s="7">
        <f t="shared" si="18"/>
        <v>1063.1702</v>
      </c>
      <c r="J73" s="5">
        <f t="shared" si="19"/>
        <v>260086.7892</v>
      </c>
    </row>
    <row r="74" spans="1:10" x14ac:dyDescent="0.25">
      <c r="B74" s="8">
        <v>46042</v>
      </c>
      <c r="C74" s="9" t="s">
        <v>50</v>
      </c>
      <c r="D74" s="9">
        <v>1</v>
      </c>
      <c r="E74" s="9">
        <v>100</v>
      </c>
      <c r="F74" s="11">
        <f t="shared" si="16"/>
        <v>100</v>
      </c>
      <c r="G74" s="11">
        <v>2.4218000000000002</v>
      </c>
      <c r="H74" s="11">
        <f t="shared" si="17"/>
        <v>242.18</v>
      </c>
      <c r="I74" s="11">
        <f t="shared" si="18"/>
        <v>242.18</v>
      </c>
      <c r="J74" s="9">
        <f t="shared" si="19"/>
        <v>260328.96919999999</v>
      </c>
    </row>
    <row r="75" spans="1:10" x14ac:dyDescent="0.25">
      <c r="B75" s="7"/>
      <c r="C75" s="7"/>
      <c r="D75" s="7"/>
      <c r="E75" s="7"/>
      <c r="F75" s="7">
        <f t="shared" si="16"/>
        <v>0</v>
      </c>
      <c r="G75" s="7"/>
      <c r="H75" s="7">
        <f t="shared" si="17"/>
        <v>0</v>
      </c>
      <c r="I75" s="7">
        <f t="shared" si="18"/>
        <v>0</v>
      </c>
      <c r="J75" s="5">
        <f t="shared" si="19"/>
        <v>260328.96919999999</v>
      </c>
    </row>
    <row r="80" spans="1:10" ht="21" x14ac:dyDescent="0.35">
      <c r="A80" t="s">
        <v>0</v>
      </c>
      <c r="B80" s="73" t="s">
        <v>1</v>
      </c>
      <c r="C80" s="73"/>
      <c r="D80" s="73"/>
      <c r="E80" s="73"/>
      <c r="F80" s="73"/>
      <c r="G80" s="73"/>
      <c r="H80" s="73"/>
      <c r="I80" s="73"/>
      <c r="J80" s="73"/>
    </row>
    <row r="81" spans="1:15" ht="18.75" x14ac:dyDescent="0.3">
      <c r="A81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/>
    </row>
    <row r="82" spans="1:15" x14ac:dyDescent="0.25">
      <c r="B82" s="12">
        <v>46045</v>
      </c>
      <c r="C82" s="13" t="s">
        <v>56</v>
      </c>
      <c r="D82" s="13">
        <v>40</v>
      </c>
      <c r="E82" s="15">
        <v>398</v>
      </c>
      <c r="F82" s="7">
        <f>E82*D82</f>
        <v>15920</v>
      </c>
      <c r="G82" s="7">
        <v>2.4272999999999998</v>
      </c>
      <c r="H82" s="7">
        <f>E82*G82</f>
        <v>966.06539999999995</v>
      </c>
      <c r="I82" s="7">
        <f>H82*D82</f>
        <v>38642.615999999995</v>
      </c>
      <c r="J82" s="5">
        <f>J81+I82</f>
        <v>38642.615999999995</v>
      </c>
    </row>
    <row r="83" spans="1:15" x14ac:dyDescent="0.25">
      <c r="B83" s="4">
        <v>46045</v>
      </c>
      <c r="C83" s="5" t="s">
        <v>57</v>
      </c>
      <c r="D83" s="5">
        <v>10</v>
      </c>
      <c r="E83" s="6">
        <v>431</v>
      </c>
      <c r="F83" s="7">
        <f t="shared" ref="F83:F86" si="20">E83*D83</f>
        <v>4310</v>
      </c>
      <c r="G83" s="7">
        <v>2.4272999999999998</v>
      </c>
      <c r="H83" s="7">
        <f t="shared" ref="H83:H86" si="21">E83*G83</f>
        <v>1046.1662999999999</v>
      </c>
      <c r="I83" s="7">
        <f t="shared" ref="I83:I86" si="22">H83*D83</f>
        <v>10461.662999999999</v>
      </c>
      <c r="J83" s="5">
        <f t="shared" ref="J83:J86" si="23">J82+I83</f>
        <v>49104.278999999995</v>
      </c>
    </row>
    <row r="84" spans="1:15" x14ac:dyDescent="0.25">
      <c r="B84" s="4">
        <v>46046</v>
      </c>
      <c r="C84" s="5" t="s">
        <v>58</v>
      </c>
      <c r="D84" s="5">
        <v>4</v>
      </c>
      <c r="E84" s="6">
        <v>431</v>
      </c>
      <c r="F84" s="7">
        <f t="shared" si="20"/>
        <v>1724</v>
      </c>
      <c r="G84" s="7">
        <v>2.4272999999999998</v>
      </c>
      <c r="H84" s="7">
        <f t="shared" si="21"/>
        <v>1046.1662999999999</v>
      </c>
      <c r="I84" s="7">
        <f t="shared" si="22"/>
        <v>4184.6651999999995</v>
      </c>
      <c r="J84" s="5">
        <f t="shared" si="23"/>
        <v>53288.944199999998</v>
      </c>
    </row>
    <row r="85" spans="1:15" x14ac:dyDescent="0.25">
      <c r="B85" s="4">
        <v>46046</v>
      </c>
      <c r="C85" s="5" t="s">
        <v>49</v>
      </c>
      <c r="D85" s="5">
        <v>10</v>
      </c>
      <c r="E85" s="6">
        <v>451</v>
      </c>
      <c r="F85" s="7">
        <f t="shared" si="20"/>
        <v>4510</v>
      </c>
      <c r="G85" s="7">
        <v>2.4272999999999998</v>
      </c>
      <c r="H85" s="7">
        <f t="shared" si="21"/>
        <v>1094.7122999999999</v>
      </c>
      <c r="I85" s="7">
        <f t="shared" si="22"/>
        <v>10947.123</v>
      </c>
      <c r="J85" s="5">
        <f t="shared" si="23"/>
        <v>64236.067199999998</v>
      </c>
    </row>
    <row r="86" spans="1:15" x14ac:dyDescent="0.25">
      <c r="B86" s="12">
        <v>46049</v>
      </c>
      <c r="C86" s="13" t="s">
        <v>59</v>
      </c>
      <c r="D86" s="13">
        <v>24</v>
      </c>
      <c r="E86" s="13">
        <v>403</v>
      </c>
      <c r="F86" s="7">
        <f t="shared" si="20"/>
        <v>9672</v>
      </c>
      <c r="G86" s="7">
        <v>2.4272999999999998</v>
      </c>
      <c r="H86" s="7">
        <f t="shared" si="21"/>
        <v>978.20189999999991</v>
      </c>
      <c r="I86" s="7">
        <f t="shared" si="22"/>
        <v>23476.845599999997</v>
      </c>
      <c r="J86" s="5">
        <f t="shared" si="23"/>
        <v>87712.912799999991</v>
      </c>
    </row>
    <row r="91" spans="1:15" ht="21" x14ac:dyDescent="0.35">
      <c r="A91" t="s">
        <v>0</v>
      </c>
      <c r="B91" s="74" t="s">
        <v>1</v>
      </c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</row>
    <row r="92" spans="1:15" ht="18.75" x14ac:dyDescent="0.3">
      <c r="A92" t="s">
        <v>2</v>
      </c>
      <c r="B92" s="22" t="s">
        <v>3</v>
      </c>
      <c r="C92" s="22" t="s">
        <v>4</v>
      </c>
      <c r="D92" s="22" t="s">
        <v>60</v>
      </c>
      <c r="E92" s="22" t="s">
        <v>61</v>
      </c>
      <c r="F92" s="22" t="s">
        <v>5</v>
      </c>
      <c r="G92" s="22" t="s">
        <v>62</v>
      </c>
      <c r="H92" s="22" t="s">
        <v>63</v>
      </c>
      <c r="I92" s="22" t="s">
        <v>64</v>
      </c>
      <c r="J92" s="22" t="s">
        <v>65</v>
      </c>
      <c r="K92" s="22" t="s">
        <v>66</v>
      </c>
      <c r="L92" s="22" t="s">
        <v>67</v>
      </c>
      <c r="M92" s="22" t="s">
        <v>68</v>
      </c>
      <c r="N92" s="22" t="s">
        <v>10</v>
      </c>
      <c r="O92" s="23"/>
    </row>
    <row r="93" spans="1:15" x14ac:dyDescent="0.25">
      <c r="B93" s="4">
        <v>46046</v>
      </c>
      <c r="C93" s="5" t="s">
        <v>69</v>
      </c>
      <c r="D93" s="7"/>
      <c r="E93" s="7"/>
      <c r="F93" s="7">
        <v>4</v>
      </c>
      <c r="G93" s="6">
        <v>2199</v>
      </c>
      <c r="H93" s="7">
        <v>10</v>
      </c>
      <c r="I93" s="7">
        <f>G93*H93%</f>
        <v>219.9</v>
      </c>
      <c r="J93" s="5">
        <f>G93-I93</f>
        <v>1979.1</v>
      </c>
      <c r="K93" s="5">
        <f>F93*J93</f>
        <v>7916.4</v>
      </c>
      <c r="L93" s="7">
        <v>2.4272999999999998</v>
      </c>
      <c r="M93" s="5">
        <f>J93*L93</f>
        <v>4803.8694299999997</v>
      </c>
      <c r="N93" s="5">
        <f>F93*M93</f>
        <v>19215.477719999999</v>
      </c>
      <c r="O93" s="5">
        <f>O92+N93</f>
        <v>19215.477719999999</v>
      </c>
    </row>
    <row r="94" spans="1:15" x14ac:dyDescent="0.25">
      <c r="B94" s="4">
        <v>46046</v>
      </c>
      <c r="C94" s="5" t="s">
        <v>70</v>
      </c>
      <c r="D94" s="7"/>
      <c r="E94" s="7"/>
      <c r="F94" s="7">
        <v>4</v>
      </c>
      <c r="G94" s="6">
        <v>2199</v>
      </c>
      <c r="H94" s="7">
        <v>10</v>
      </c>
      <c r="I94" s="7">
        <f t="shared" ref="I94:I110" si="24">G94*H94%</f>
        <v>219.9</v>
      </c>
      <c r="J94" s="5">
        <f t="shared" ref="J94:J110" si="25">G94-I94</f>
        <v>1979.1</v>
      </c>
      <c r="K94" s="5">
        <f t="shared" ref="K94:K110" si="26">F94*J94</f>
        <v>7916.4</v>
      </c>
      <c r="L94" s="7">
        <v>2.4272999999999998</v>
      </c>
      <c r="M94" s="5">
        <f t="shared" ref="M94:M110" si="27">J94*L94</f>
        <v>4803.8694299999997</v>
      </c>
      <c r="N94" s="5">
        <f t="shared" ref="N94:N110" si="28">F94*M94</f>
        <v>19215.477719999999</v>
      </c>
      <c r="O94" s="5">
        <f t="shared" ref="O94:O110" si="29">O93+N94</f>
        <v>38430.955439999998</v>
      </c>
    </row>
    <row r="95" spans="1:15" x14ac:dyDescent="0.25">
      <c r="B95" s="4">
        <v>46046</v>
      </c>
      <c r="C95" s="5" t="s">
        <v>71</v>
      </c>
      <c r="D95" s="7"/>
      <c r="E95" s="7"/>
      <c r="F95" s="7">
        <v>2</v>
      </c>
      <c r="G95" s="6">
        <v>2199</v>
      </c>
      <c r="H95" s="7">
        <v>10</v>
      </c>
      <c r="I95" s="7">
        <f t="shared" si="24"/>
        <v>219.9</v>
      </c>
      <c r="J95" s="5">
        <f t="shared" si="25"/>
        <v>1979.1</v>
      </c>
      <c r="K95" s="5">
        <f t="shared" si="26"/>
        <v>3958.2</v>
      </c>
      <c r="L95" s="7">
        <v>2.4272999999999998</v>
      </c>
      <c r="M95" s="5">
        <f t="shared" si="27"/>
        <v>4803.8694299999997</v>
      </c>
      <c r="N95" s="5">
        <f t="shared" si="28"/>
        <v>9607.7388599999995</v>
      </c>
      <c r="O95" s="5">
        <f t="shared" si="29"/>
        <v>48038.694299999996</v>
      </c>
    </row>
    <row r="96" spans="1:15" x14ac:dyDescent="0.25">
      <c r="B96" s="4">
        <v>46046</v>
      </c>
      <c r="C96" s="5" t="s">
        <v>72</v>
      </c>
      <c r="D96" s="7"/>
      <c r="E96" s="7"/>
      <c r="F96" s="7">
        <v>4</v>
      </c>
      <c r="G96" s="6">
        <v>2199</v>
      </c>
      <c r="H96" s="7">
        <v>10</v>
      </c>
      <c r="I96" s="7">
        <f t="shared" si="24"/>
        <v>219.9</v>
      </c>
      <c r="J96" s="5">
        <f t="shared" si="25"/>
        <v>1979.1</v>
      </c>
      <c r="K96" s="5">
        <f t="shared" si="26"/>
        <v>7916.4</v>
      </c>
      <c r="L96" s="7">
        <v>2.4272999999999998</v>
      </c>
      <c r="M96" s="5">
        <f t="shared" si="27"/>
        <v>4803.8694299999997</v>
      </c>
      <c r="N96" s="5">
        <f t="shared" si="28"/>
        <v>19215.477719999999</v>
      </c>
      <c r="O96" s="5">
        <f t="shared" si="29"/>
        <v>67254.172019999998</v>
      </c>
    </row>
    <row r="97" spans="2:15" x14ac:dyDescent="0.25">
      <c r="B97" s="4">
        <v>46046</v>
      </c>
      <c r="C97" s="5" t="s">
        <v>73</v>
      </c>
      <c r="D97" s="7"/>
      <c r="E97" s="7"/>
      <c r="F97" s="7">
        <v>2</v>
      </c>
      <c r="G97" s="6">
        <v>2199</v>
      </c>
      <c r="H97" s="7">
        <v>10</v>
      </c>
      <c r="I97" s="7">
        <f t="shared" si="24"/>
        <v>219.9</v>
      </c>
      <c r="J97" s="5">
        <f t="shared" si="25"/>
        <v>1979.1</v>
      </c>
      <c r="K97" s="5">
        <f t="shared" si="26"/>
        <v>3958.2</v>
      </c>
      <c r="L97" s="7">
        <v>2.4272999999999998</v>
      </c>
      <c r="M97" s="5">
        <f t="shared" si="27"/>
        <v>4803.8694299999997</v>
      </c>
      <c r="N97" s="5">
        <f t="shared" si="28"/>
        <v>9607.7388599999995</v>
      </c>
      <c r="O97" s="5">
        <f t="shared" si="29"/>
        <v>76861.910879999996</v>
      </c>
    </row>
    <row r="98" spans="2:15" x14ac:dyDescent="0.25">
      <c r="B98" s="4">
        <v>46046</v>
      </c>
      <c r="C98" s="5" t="s">
        <v>74</v>
      </c>
      <c r="D98" s="7"/>
      <c r="E98" s="7"/>
      <c r="F98" s="7">
        <v>2</v>
      </c>
      <c r="G98" s="6">
        <v>1497</v>
      </c>
      <c r="H98" s="7">
        <v>10</v>
      </c>
      <c r="I98" s="7">
        <f t="shared" si="24"/>
        <v>149.70000000000002</v>
      </c>
      <c r="J98" s="5">
        <f t="shared" si="25"/>
        <v>1347.3</v>
      </c>
      <c r="K98" s="5">
        <f t="shared" si="26"/>
        <v>2694.6</v>
      </c>
      <c r="L98" s="7">
        <v>2.4272999999999998</v>
      </c>
      <c r="M98" s="5">
        <f t="shared" si="27"/>
        <v>3270.3012899999994</v>
      </c>
      <c r="N98" s="5">
        <f t="shared" si="28"/>
        <v>6540.6025799999989</v>
      </c>
      <c r="O98" s="5">
        <f t="shared" si="29"/>
        <v>83402.513459999987</v>
      </c>
    </row>
    <row r="99" spans="2:15" x14ac:dyDescent="0.25">
      <c r="B99" s="4">
        <v>46046</v>
      </c>
      <c r="C99" s="5" t="s">
        <v>75</v>
      </c>
      <c r="D99" s="7"/>
      <c r="E99" s="7"/>
      <c r="F99" s="7">
        <v>3</v>
      </c>
      <c r="G99" s="6">
        <v>1497</v>
      </c>
      <c r="H99" s="7">
        <v>10</v>
      </c>
      <c r="I99" s="7">
        <f t="shared" si="24"/>
        <v>149.70000000000002</v>
      </c>
      <c r="J99" s="5">
        <f t="shared" si="25"/>
        <v>1347.3</v>
      </c>
      <c r="K99" s="5">
        <f t="shared" si="26"/>
        <v>4041.8999999999996</v>
      </c>
      <c r="L99" s="7">
        <v>2.4272999999999998</v>
      </c>
      <c r="M99" s="5">
        <f t="shared" si="27"/>
        <v>3270.3012899999994</v>
      </c>
      <c r="N99" s="5">
        <f t="shared" si="28"/>
        <v>9810.9038699999983</v>
      </c>
      <c r="O99" s="5">
        <f t="shared" si="29"/>
        <v>93213.417329999982</v>
      </c>
    </row>
    <row r="100" spans="2:15" x14ac:dyDescent="0.25">
      <c r="B100" s="4">
        <v>46047</v>
      </c>
      <c r="C100" s="5" t="s">
        <v>76</v>
      </c>
      <c r="D100" s="7"/>
      <c r="E100" s="7"/>
      <c r="F100" s="7">
        <v>4</v>
      </c>
      <c r="G100" s="6">
        <v>2199</v>
      </c>
      <c r="H100" s="7">
        <v>10</v>
      </c>
      <c r="I100" s="7">
        <f t="shared" si="24"/>
        <v>219.9</v>
      </c>
      <c r="J100" s="5">
        <f t="shared" si="25"/>
        <v>1979.1</v>
      </c>
      <c r="K100" s="5">
        <f t="shared" si="26"/>
        <v>7916.4</v>
      </c>
      <c r="L100" s="7">
        <v>2.4272999999999998</v>
      </c>
      <c r="M100" s="5">
        <f t="shared" si="27"/>
        <v>4803.8694299999997</v>
      </c>
      <c r="N100" s="5">
        <f t="shared" si="28"/>
        <v>19215.477719999999</v>
      </c>
      <c r="O100" s="5">
        <f t="shared" si="29"/>
        <v>112428.89504999998</v>
      </c>
    </row>
    <row r="101" spans="2:15" x14ac:dyDescent="0.25">
      <c r="B101" s="4">
        <v>46047</v>
      </c>
      <c r="C101" s="5" t="s">
        <v>77</v>
      </c>
      <c r="D101" s="7"/>
      <c r="E101" s="7"/>
      <c r="F101" s="7">
        <v>2</v>
      </c>
      <c r="G101" s="6">
        <v>2199</v>
      </c>
      <c r="H101" s="7">
        <v>10</v>
      </c>
      <c r="I101" s="7">
        <f t="shared" si="24"/>
        <v>219.9</v>
      </c>
      <c r="J101" s="5">
        <f t="shared" si="25"/>
        <v>1979.1</v>
      </c>
      <c r="K101" s="5">
        <f t="shared" si="26"/>
        <v>3958.2</v>
      </c>
      <c r="L101" s="7">
        <v>2.4272999999999998</v>
      </c>
      <c r="M101" s="5">
        <f t="shared" si="27"/>
        <v>4803.8694299999997</v>
      </c>
      <c r="N101" s="5">
        <f t="shared" si="28"/>
        <v>9607.7388599999995</v>
      </c>
      <c r="O101" s="5">
        <f t="shared" si="29"/>
        <v>122036.63390999998</v>
      </c>
    </row>
    <row r="102" spans="2:15" x14ac:dyDescent="0.25">
      <c r="B102" s="4">
        <v>46047</v>
      </c>
      <c r="C102" s="5" t="s">
        <v>78</v>
      </c>
      <c r="D102" s="7"/>
      <c r="E102" s="7"/>
      <c r="F102" s="7">
        <v>2</v>
      </c>
      <c r="G102" s="6">
        <v>1499</v>
      </c>
      <c r="H102" s="7">
        <v>10</v>
      </c>
      <c r="I102" s="7">
        <f t="shared" si="24"/>
        <v>149.9</v>
      </c>
      <c r="J102" s="5">
        <f t="shared" si="25"/>
        <v>1349.1</v>
      </c>
      <c r="K102" s="5">
        <f t="shared" si="26"/>
        <v>2698.2</v>
      </c>
      <c r="L102" s="7">
        <v>2.4272999999999998</v>
      </c>
      <c r="M102" s="5">
        <f t="shared" si="27"/>
        <v>3274.6704299999997</v>
      </c>
      <c r="N102" s="5">
        <f t="shared" si="28"/>
        <v>6549.3408599999993</v>
      </c>
      <c r="O102" s="5">
        <f t="shared" si="29"/>
        <v>128585.97476999997</v>
      </c>
    </row>
    <row r="103" spans="2:15" x14ac:dyDescent="0.25">
      <c r="B103" s="4">
        <v>46047</v>
      </c>
      <c r="C103" s="5" t="s">
        <v>79</v>
      </c>
      <c r="D103" s="7"/>
      <c r="E103" s="7"/>
      <c r="F103" s="7">
        <v>2</v>
      </c>
      <c r="G103" s="6">
        <v>1499</v>
      </c>
      <c r="H103" s="7">
        <v>10</v>
      </c>
      <c r="I103" s="7">
        <f t="shared" si="24"/>
        <v>149.9</v>
      </c>
      <c r="J103" s="5">
        <f t="shared" si="25"/>
        <v>1349.1</v>
      </c>
      <c r="K103" s="5">
        <f t="shared" si="26"/>
        <v>2698.2</v>
      </c>
      <c r="L103" s="7">
        <v>2.4272999999999998</v>
      </c>
      <c r="M103" s="5">
        <f t="shared" si="27"/>
        <v>3274.6704299999997</v>
      </c>
      <c r="N103" s="5">
        <f t="shared" si="28"/>
        <v>6549.3408599999993</v>
      </c>
      <c r="O103" s="5">
        <f t="shared" si="29"/>
        <v>135135.31562999997</v>
      </c>
    </row>
    <row r="104" spans="2:15" x14ac:dyDescent="0.25">
      <c r="B104" s="4">
        <v>46047</v>
      </c>
      <c r="C104" s="5" t="s">
        <v>80</v>
      </c>
      <c r="D104" s="7"/>
      <c r="E104" s="7"/>
      <c r="F104" s="7">
        <v>3</v>
      </c>
      <c r="G104" s="6">
        <v>2199</v>
      </c>
      <c r="H104" s="7">
        <v>10</v>
      </c>
      <c r="I104" s="7">
        <f t="shared" si="24"/>
        <v>219.9</v>
      </c>
      <c r="J104" s="5">
        <f t="shared" si="25"/>
        <v>1979.1</v>
      </c>
      <c r="K104" s="5">
        <f t="shared" si="26"/>
        <v>5937.2999999999993</v>
      </c>
      <c r="L104" s="7">
        <v>2.4272999999999998</v>
      </c>
      <c r="M104" s="5">
        <f t="shared" si="27"/>
        <v>4803.8694299999997</v>
      </c>
      <c r="N104" s="5">
        <f t="shared" si="28"/>
        <v>14411.60829</v>
      </c>
      <c r="O104" s="5">
        <f t="shared" si="29"/>
        <v>149546.92391999997</v>
      </c>
    </row>
    <row r="105" spans="2:15" x14ac:dyDescent="0.25">
      <c r="B105" s="4">
        <v>46047</v>
      </c>
      <c r="C105" s="5" t="s">
        <v>81</v>
      </c>
      <c r="D105" s="7"/>
      <c r="E105" s="7"/>
      <c r="F105" s="7">
        <v>4</v>
      </c>
      <c r="G105" s="6">
        <v>2199</v>
      </c>
      <c r="H105" s="7">
        <v>10</v>
      </c>
      <c r="I105" s="7">
        <f t="shared" si="24"/>
        <v>219.9</v>
      </c>
      <c r="J105" s="5">
        <f t="shared" si="25"/>
        <v>1979.1</v>
      </c>
      <c r="K105" s="5">
        <f t="shared" si="26"/>
        <v>7916.4</v>
      </c>
      <c r="L105" s="7">
        <v>2.4272999999999998</v>
      </c>
      <c r="M105" s="5">
        <f t="shared" si="27"/>
        <v>4803.8694299999997</v>
      </c>
      <c r="N105" s="5">
        <f t="shared" si="28"/>
        <v>19215.477719999999</v>
      </c>
      <c r="O105" s="5">
        <f t="shared" si="29"/>
        <v>168762.40163999997</v>
      </c>
    </row>
    <row r="106" spans="2:15" x14ac:dyDescent="0.25">
      <c r="B106" s="4">
        <v>46047</v>
      </c>
      <c r="C106" s="5" t="s">
        <v>82</v>
      </c>
      <c r="D106" s="7"/>
      <c r="E106" s="7"/>
      <c r="F106" s="7">
        <v>4</v>
      </c>
      <c r="G106" s="6">
        <v>2199</v>
      </c>
      <c r="H106" s="7">
        <v>10</v>
      </c>
      <c r="I106" s="7">
        <f t="shared" si="24"/>
        <v>219.9</v>
      </c>
      <c r="J106" s="5">
        <f t="shared" si="25"/>
        <v>1979.1</v>
      </c>
      <c r="K106" s="5">
        <f t="shared" si="26"/>
        <v>7916.4</v>
      </c>
      <c r="L106" s="7">
        <v>2.4272999999999998</v>
      </c>
      <c r="M106" s="5">
        <f t="shared" si="27"/>
        <v>4803.8694299999997</v>
      </c>
      <c r="N106" s="5">
        <f t="shared" si="28"/>
        <v>19215.477719999999</v>
      </c>
      <c r="O106" s="5">
        <f t="shared" si="29"/>
        <v>187977.87935999996</v>
      </c>
    </row>
    <row r="107" spans="2:15" x14ac:dyDescent="0.25">
      <c r="B107" s="4">
        <v>46047</v>
      </c>
      <c r="C107" s="5" t="s">
        <v>83</v>
      </c>
      <c r="D107" s="7"/>
      <c r="E107" s="7"/>
      <c r="F107" s="7">
        <v>4</v>
      </c>
      <c r="G107" s="6">
        <v>1499</v>
      </c>
      <c r="H107" s="7">
        <v>10</v>
      </c>
      <c r="I107" s="7">
        <f t="shared" si="24"/>
        <v>149.9</v>
      </c>
      <c r="J107" s="5">
        <f t="shared" si="25"/>
        <v>1349.1</v>
      </c>
      <c r="K107" s="5">
        <f t="shared" si="26"/>
        <v>5396.4</v>
      </c>
      <c r="L107" s="7">
        <v>2.4272999999999998</v>
      </c>
      <c r="M107" s="5">
        <f t="shared" si="27"/>
        <v>3274.6704299999997</v>
      </c>
      <c r="N107" s="5">
        <f t="shared" si="28"/>
        <v>13098.681719999999</v>
      </c>
      <c r="O107" s="5">
        <f t="shared" si="29"/>
        <v>201076.56107999996</v>
      </c>
    </row>
    <row r="108" spans="2:15" x14ac:dyDescent="0.25">
      <c r="B108" s="4">
        <v>46047</v>
      </c>
      <c r="C108" s="5" t="s">
        <v>84</v>
      </c>
      <c r="D108" s="7"/>
      <c r="E108" s="7"/>
      <c r="F108" s="7">
        <v>4</v>
      </c>
      <c r="G108" s="6">
        <v>1499</v>
      </c>
      <c r="H108" s="7">
        <v>10</v>
      </c>
      <c r="I108" s="7">
        <f t="shared" si="24"/>
        <v>149.9</v>
      </c>
      <c r="J108" s="5">
        <f t="shared" si="25"/>
        <v>1349.1</v>
      </c>
      <c r="K108" s="5">
        <f t="shared" si="26"/>
        <v>5396.4</v>
      </c>
      <c r="L108" s="7">
        <v>2.4272999999999998</v>
      </c>
      <c r="M108" s="5">
        <f t="shared" si="27"/>
        <v>3274.6704299999997</v>
      </c>
      <c r="N108" s="5">
        <f t="shared" si="28"/>
        <v>13098.681719999999</v>
      </c>
      <c r="O108" s="5">
        <f t="shared" si="29"/>
        <v>214175.24279999995</v>
      </c>
    </row>
    <row r="109" spans="2:15" x14ac:dyDescent="0.25">
      <c r="B109" s="8">
        <v>46049</v>
      </c>
      <c r="C109" s="9" t="s">
        <v>85</v>
      </c>
      <c r="D109" s="11"/>
      <c r="E109" s="11"/>
      <c r="F109" s="11">
        <v>1</v>
      </c>
      <c r="G109" s="24">
        <v>2800</v>
      </c>
      <c r="H109" s="11"/>
      <c r="I109" s="11">
        <f t="shared" si="24"/>
        <v>0</v>
      </c>
      <c r="J109" s="9">
        <f t="shared" si="25"/>
        <v>2800</v>
      </c>
      <c r="K109" s="9">
        <f t="shared" si="26"/>
        <v>2800</v>
      </c>
      <c r="L109" s="11">
        <v>2.4272999999999998</v>
      </c>
      <c r="M109" s="9">
        <f t="shared" si="27"/>
        <v>6796.44</v>
      </c>
      <c r="N109" s="9">
        <f t="shared" si="28"/>
        <v>6796.44</v>
      </c>
      <c r="O109" s="9">
        <f t="shared" si="29"/>
        <v>220971.68279999995</v>
      </c>
    </row>
    <row r="110" spans="2:15" x14ac:dyDescent="0.25">
      <c r="B110" s="8">
        <v>46048</v>
      </c>
      <c r="C110" s="25" t="s">
        <v>86</v>
      </c>
      <c r="D110" s="11"/>
      <c r="E110" s="11"/>
      <c r="F110" s="11">
        <v>1</v>
      </c>
      <c r="G110" s="11">
        <v>5000</v>
      </c>
      <c r="H110" s="11"/>
      <c r="I110" s="11">
        <f t="shared" si="24"/>
        <v>0</v>
      </c>
      <c r="J110" s="9">
        <f t="shared" si="25"/>
        <v>5000</v>
      </c>
      <c r="K110" s="9">
        <f t="shared" si="26"/>
        <v>5000</v>
      </c>
      <c r="L110" s="9">
        <v>2.12</v>
      </c>
      <c r="M110" s="9">
        <f t="shared" si="27"/>
        <v>10600</v>
      </c>
      <c r="N110" s="9">
        <f t="shared" si="28"/>
        <v>10600</v>
      </c>
      <c r="O110" s="9">
        <f t="shared" si="29"/>
        <v>231571.68279999995</v>
      </c>
    </row>
    <row r="116" spans="1:10" x14ac:dyDescent="0.25">
      <c r="B116" s="1"/>
      <c r="C116" s="1"/>
      <c r="D116" s="1"/>
      <c r="E116" s="1"/>
      <c r="F116" s="1"/>
      <c r="G116" s="1"/>
      <c r="H116" s="1"/>
      <c r="I116" s="1"/>
      <c r="J116" s="2"/>
    </row>
    <row r="117" spans="1:10" ht="21" x14ac:dyDescent="0.35">
      <c r="A117" t="s">
        <v>0</v>
      </c>
      <c r="B117" s="73" t="s">
        <v>1</v>
      </c>
      <c r="C117" s="73"/>
      <c r="D117" s="73"/>
      <c r="E117" s="73"/>
      <c r="F117" s="73"/>
      <c r="G117" s="73"/>
      <c r="H117" s="73"/>
      <c r="I117" s="73"/>
      <c r="J117" s="73"/>
    </row>
    <row r="118" spans="1:10" ht="18.75" x14ac:dyDescent="0.3">
      <c r="A118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/>
    </row>
    <row r="119" spans="1:10" x14ac:dyDescent="0.25">
      <c r="B119" s="4">
        <v>46051</v>
      </c>
      <c r="C119" s="5" t="s">
        <v>87</v>
      </c>
      <c r="D119" s="5">
        <v>15</v>
      </c>
      <c r="E119" s="30">
        <v>403</v>
      </c>
      <c r="F119" s="7">
        <f>E119*D119</f>
        <v>6045</v>
      </c>
      <c r="G119" s="7">
        <v>2.4994999999999998</v>
      </c>
      <c r="H119" s="7">
        <f>E119*G119</f>
        <v>1007.2984999999999</v>
      </c>
      <c r="I119" s="7">
        <f>H119*D119</f>
        <v>15109.477499999997</v>
      </c>
      <c r="J119" s="5">
        <f>J118+I119</f>
        <v>15109.477499999997</v>
      </c>
    </row>
    <row r="120" spans="1:10" x14ac:dyDescent="0.25">
      <c r="B120" s="12">
        <v>46052</v>
      </c>
      <c r="C120" s="13" t="s">
        <v>88</v>
      </c>
      <c r="D120" s="13">
        <v>250</v>
      </c>
      <c r="E120" s="31">
        <v>466</v>
      </c>
      <c r="F120" s="14">
        <f t="shared" ref="F120:F140" si="30">E120*D120</f>
        <v>116500</v>
      </c>
      <c r="G120" s="14">
        <v>2.4994999999999998</v>
      </c>
      <c r="H120" s="14">
        <f t="shared" ref="H120:H140" si="31">E120*G120</f>
        <v>1164.7669999999998</v>
      </c>
      <c r="I120" s="14">
        <f t="shared" ref="I120:I140" si="32">H120*D120</f>
        <v>291191.74999999994</v>
      </c>
      <c r="J120" s="13">
        <f t="shared" ref="J120:J140" si="33">J119+I120</f>
        <v>306301.22749999992</v>
      </c>
    </row>
    <row r="121" spans="1:10" x14ac:dyDescent="0.25">
      <c r="B121" s="12">
        <v>46052</v>
      </c>
      <c r="C121" s="13" t="s">
        <v>89</v>
      </c>
      <c r="D121" s="13">
        <v>48</v>
      </c>
      <c r="E121" s="31">
        <v>466</v>
      </c>
      <c r="F121" s="14">
        <f t="shared" si="30"/>
        <v>22368</v>
      </c>
      <c r="G121" s="14">
        <v>2.4994999999999998</v>
      </c>
      <c r="H121" s="14">
        <f t="shared" si="31"/>
        <v>1164.7669999999998</v>
      </c>
      <c r="I121" s="14">
        <f t="shared" si="32"/>
        <v>55908.815999999992</v>
      </c>
      <c r="J121" s="13">
        <f t="shared" si="33"/>
        <v>362210.04349999991</v>
      </c>
    </row>
    <row r="122" spans="1:10" x14ac:dyDescent="0.25">
      <c r="B122" s="4">
        <v>46052</v>
      </c>
      <c r="C122" s="5" t="s">
        <v>90</v>
      </c>
      <c r="D122" s="5">
        <v>8</v>
      </c>
      <c r="E122" s="30">
        <v>450.89</v>
      </c>
      <c r="F122" s="7">
        <f t="shared" si="30"/>
        <v>3607.12</v>
      </c>
      <c r="G122" s="7">
        <v>2.4994999999999998</v>
      </c>
      <c r="H122" s="7">
        <f t="shared" si="31"/>
        <v>1126.9995549999999</v>
      </c>
      <c r="I122" s="7">
        <f t="shared" si="32"/>
        <v>9015.996439999999</v>
      </c>
      <c r="J122" s="5">
        <f t="shared" si="33"/>
        <v>371226.03993999993</v>
      </c>
    </row>
    <row r="123" spans="1:10" x14ac:dyDescent="0.25">
      <c r="B123" s="4">
        <v>46052</v>
      </c>
      <c r="C123" s="5" t="s">
        <v>91</v>
      </c>
      <c r="D123" s="5">
        <v>8</v>
      </c>
      <c r="E123" s="30">
        <v>431.1</v>
      </c>
      <c r="F123" s="7">
        <f t="shared" si="30"/>
        <v>3448.8</v>
      </c>
      <c r="G123" s="7">
        <v>2.4994999999999998</v>
      </c>
      <c r="H123" s="7">
        <f t="shared" si="31"/>
        <v>1077.5344499999999</v>
      </c>
      <c r="I123" s="7">
        <f t="shared" si="32"/>
        <v>8620.275599999999</v>
      </c>
      <c r="J123" s="5">
        <f t="shared" si="33"/>
        <v>379846.31553999992</v>
      </c>
    </row>
    <row r="124" spans="1:10" x14ac:dyDescent="0.25">
      <c r="B124" s="4">
        <v>46052</v>
      </c>
      <c r="C124" s="5" t="s">
        <v>92</v>
      </c>
      <c r="D124" s="5">
        <v>6</v>
      </c>
      <c r="E124" s="30">
        <v>440.1</v>
      </c>
      <c r="F124" s="7">
        <f t="shared" si="30"/>
        <v>2640.6000000000004</v>
      </c>
      <c r="G124" s="7">
        <v>2.4994999999999998</v>
      </c>
      <c r="H124" s="7">
        <f t="shared" si="31"/>
        <v>1100.0299499999999</v>
      </c>
      <c r="I124" s="7">
        <f t="shared" si="32"/>
        <v>6600.1796999999988</v>
      </c>
      <c r="J124" s="5">
        <f t="shared" si="33"/>
        <v>386446.4952399999</v>
      </c>
    </row>
    <row r="125" spans="1:10" x14ac:dyDescent="0.25">
      <c r="B125" s="4">
        <v>46052</v>
      </c>
      <c r="C125" s="5" t="s">
        <v>92</v>
      </c>
      <c r="D125" s="5">
        <v>4</v>
      </c>
      <c r="E125" s="30">
        <v>440.1</v>
      </c>
      <c r="F125" s="7">
        <f t="shared" si="30"/>
        <v>1760.4</v>
      </c>
      <c r="G125" s="7">
        <v>2.4994999999999998</v>
      </c>
      <c r="H125" s="7">
        <f t="shared" si="31"/>
        <v>1100.0299499999999</v>
      </c>
      <c r="I125" s="7">
        <f t="shared" si="32"/>
        <v>4400.1197999999995</v>
      </c>
      <c r="J125" s="5">
        <f t="shared" si="33"/>
        <v>390846.61503999989</v>
      </c>
    </row>
    <row r="126" spans="1:10" x14ac:dyDescent="0.25">
      <c r="B126" s="4">
        <v>46052</v>
      </c>
      <c r="C126" s="5" t="s">
        <v>93</v>
      </c>
      <c r="D126" s="5">
        <v>10</v>
      </c>
      <c r="E126" s="30">
        <v>454.49</v>
      </c>
      <c r="F126" s="7">
        <f t="shared" si="30"/>
        <v>4544.8999999999996</v>
      </c>
      <c r="G126" s="7">
        <v>2.4994999999999998</v>
      </c>
      <c r="H126" s="7">
        <f t="shared" si="31"/>
        <v>1135.9977549999999</v>
      </c>
      <c r="I126" s="7">
        <f t="shared" si="32"/>
        <v>11359.97755</v>
      </c>
      <c r="J126" s="5">
        <f t="shared" si="33"/>
        <v>402206.5925899999</v>
      </c>
    </row>
    <row r="127" spans="1:10" x14ac:dyDescent="0.25">
      <c r="B127" s="4">
        <v>46052</v>
      </c>
      <c r="C127" s="5" t="s">
        <v>94</v>
      </c>
      <c r="D127" s="5">
        <v>11</v>
      </c>
      <c r="E127" s="30">
        <v>423.45</v>
      </c>
      <c r="F127" s="7">
        <f t="shared" si="30"/>
        <v>4657.95</v>
      </c>
      <c r="G127" s="7">
        <v>2.4994999999999998</v>
      </c>
      <c r="H127" s="7">
        <f t="shared" si="31"/>
        <v>1058.4132749999999</v>
      </c>
      <c r="I127" s="7">
        <f t="shared" si="32"/>
        <v>11642.546025</v>
      </c>
      <c r="J127" s="5">
        <f t="shared" si="33"/>
        <v>413849.13861499989</v>
      </c>
    </row>
    <row r="128" spans="1:10" x14ac:dyDescent="0.25">
      <c r="B128" s="4">
        <v>46052</v>
      </c>
      <c r="C128" s="5" t="s">
        <v>94</v>
      </c>
      <c r="D128" s="5">
        <v>1</v>
      </c>
      <c r="E128" s="30">
        <v>431.1</v>
      </c>
      <c r="F128" s="7">
        <f t="shared" si="30"/>
        <v>431.1</v>
      </c>
      <c r="G128" s="7">
        <v>2.4994999999999998</v>
      </c>
      <c r="H128" s="7">
        <f t="shared" si="31"/>
        <v>1077.5344499999999</v>
      </c>
      <c r="I128" s="7">
        <f t="shared" si="32"/>
        <v>1077.5344499999999</v>
      </c>
      <c r="J128" s="5">
        <f t="shared" si="33"/>
        <v>414926.67306499986</v>
      </c>
    </row>
    <row r="129" spans="1:10" x14ac:dyDescent="0.25">
      <c r="B129" s="4">
        <v>46052</v>
      </c>
      <c r="C129" s="5" t="s">
        <v>95</v>
      </c>
      <c r="D129" s="5">
        <v>7</v>
      </c>
      <c r="E129" s="30">
        <v>431.1</v>
      </c>
      <c r="F129" s="7">
        <f t="shared" si="30"/>
        <v>3017.7000000000003</v>
      </c>
      <c r="G129" s="7">
        <v>2.4994999999999998</v>
      </c>
      <c r="H129" s="7">
        <f t="shared" si="31"/>
        <v>1077.5344499999999</v>
      </c>
      <c r="I129" s="7">
        <f t="shared" si="32"/>
        <v>7542.7411499999989</v>
      </c>
      <c r="J129" s="5">
        <f t="shared" si="33"/>
        <v>422469.41421499988</v>
      </c>
    </row>
    <row r="130" spans="1:10" x14ac:dyDescent="0.25">
      <c r="B130" s="4">
        <v>46052</v>
      </c>
      <c r="C130" s="5" t="s">
        <v>96</v>
      </c>
      <c r="D130" s="5">
        <v>15</v>
      </c>
      <c r="E130" s="30">
        <v>431.1</v>
      </c>
      <c r="F130" s="7">
        <f t="shared" si="30"/>
        <v>6466.5</v>
      </c>
      <c r="G130" s="7">
        <v>2.4994999999999998</v>
      </c>
      <c r="H130" s="7">
        <f t="shared" si="31"/>
        <v>1077.5344499999999</v>
      </c>
      <c r="I130" s="7">
        <f t="shared" si="32"/>
        <v>16163.016749999999</v>
      </c>
      <c r="J130" s="5">
        <f t="shared" si="33"/>
        <v>438632.43096499989</v>
      </c>
    </row>
    <row r="131" spans="1:10" x14ac:dyDescent="0.25">
      <c r="B131" s="4">
        <v>46052</v>
      </c>
      <c r="C131" s="5" t="s">
        <v>97</v>
      </c>
      <c r="D131" s="5">
        <v>5</v>
      </c>
      <c r="E131" s="30">
        <v>450.89</v>
      </c>
      <c r="F131" s="7">
        <f t="shared" si="30"/>
        <v>2254.4499999999998</v>
      </c>
      <c r="G131" s="7">
        <v>2.4994999999999998</v>
      </c>
      <c r="H131" s="7">
        <f t="shared" si="31"/>
        <v>1126.9995549999999</v>
      </c>
      <c r="I131" s="7">
        <f t="shared" si="32"/>
        <v>5634.9977749999998</v>
      </c>
      <c r="J131" s="5">
        <f t="shared" si="33"/>
        <v>444267.42873999989</v>
      </c>
    </row>
    <row r="132" spans="1:10" x14ac:dyDescent="0.25">
      <c r="B132" s="4">
        <v>46052</v>
      </c>
      <c r="C132" s="5" t="s">
        <v>96</v>
      </c>
      <c r="D132" s="5">
        <v>6</v>
      </c>
      <c r="E132" s="30">
        <v>431.1</v>
      </c>
      <c r="F132" s="7">
        <f t="shared" si="30"/>
        <v>2586.6000000000004</v>
      </c>
      <c r="G132" s="7">
        <v>2.4994999999999998</v>
      </c>
      <c r="H132" s="7">
        <f t="shared" si="31"/>
        <v>1077.5344499999999</v>
      </c>
      <c r="I132" s="7">
        <f t="shared" si="32"/>
        <v>6465.2066999999988</v>
      </c>
      <c r="J132" s="5">
        <f t="shared" si="33"/>
        <v>450732.63543999987</v>
      </c>
    </row>
    <row r="133" spans="1:10" x14ac:dyDescent="0.25">
      <c r="B133" s="4">
        <v>46052</v>
      </c>
      <c r="C133" s="5" t="s">
        <v>98</v>
      </c>
      <c r="D133" s="5">
        <v>8</v>
      </c>
      <c r="E133" s="30">
        <v>431.1</v>
      </c>
      <c r="F133" s="7">
        <f t="shared" si="30"/>
        <v>3448.8</v>
      </c>
      <c r="G133" s="7">
        <v>2.4994999999999998</v>
      </c>
      <c r="H133" s="7">
        <f t="shared" si="31"/>
        <v>1077.5344499999999</v>
      </c>
      <c r="I133" s="7">
        <f t="shared" si="32"/>
        <v>8620.275599999999</v>
      </c>
      <c r="J133" s="5">
        <f t="shared" si="33"/>
        <v>459352.91103999986</v>
      </c>
    </row>
    <row r="134" spans="1:10" x14ac:dyDescent="0.25">
      <c r="B134" s="4">
        <v>46052</v>
      </c>
      <c r="C134" s="5" t="s">
        <v>99</v>
      </c>
      <c r="D134" s="5">
        <v>8</v>
      </c>
      <c r="E134" s="30">
        <v>431.1</v>
      </c>
      <c r="F134" s="7">
        <f t="shared" si="30"/>
        <v>3448.8</v>
      </c>
      <c r="G134" s="7">
        <v>2.4994999999999998</v>
      </c>
      <c r="H134" s="7">
        <f t="shared" si="31"/>
        <v>1077.5344499999999</v>
      </c>
      <c r="I134" s="7">
        <f t="shared" si="32"/>
        <v>8620.275599999999</v>
      </c>
      <c r="J134" s="5">
        <f t="shared" si="33"/>
        <v>467973.18663999985</v>
      </c>
    </row>
    <row r="135" spans="1:10" x14ac:dyDescent="0.25">
      <c r="B135" s="4">
        <v>46052</v>
      </c>
      <c r="C135" s="5" t="s">
        <v>100</v>
      </c>
      <c r="D135" s="5">
        <v>16</v>
      </c>
      <c r="E135" s="30">
        <v>431.1</v>
      </c>
      <c r="F135" s="7">
        <f t="shared" si="30"/>
        <v>6897.6</v>
      </c>
      <c r="G135" s="7">
        <v>2.4994999999999998</v>
      </c>
      <c r="H135" s="7">
        <f t="shared" si="31"/>
        <v>1077.5344499999999</v>
      </c>
      <c r="I135" s="7">
        <f t="shared" si="32"/>
        <v>17240.551199999998</v>
      </c>
      <c r="J135" s="5">
        <f t="shared" si="33"/>
        <v>485213.73783999984</v>
      </c>
    </row>
    <row r="136" spans="1:10" x14ac:dyDescent="0.25">
      <c r="B136" s="4">
        <v>46052</v>
      </c>
      <c r="C136" s="5" t="s">
        <v>95</v>
      </c>
      <c r="D136" s="5">
        <v>2</v>
      </c>
      <c r="E136" s="30">
        <v>450.89</v>
      </c>
      <c r="F136" s="7">
        <f t="shared" si="30"/>
        <v>901.78</v>
      </c>
      <c r="G136" s="7">
        <v>2.4994999999999998</v>
      </c>
      <c r="H136" s="7">
        <f t="shared" si="31"/>
        <v>1126.9995549999999</v>
      </c>
      <c r="I136" s="7">
        <f t="shared" si="32"/>
        <v>2253.9991099999997</v>
      </c>
      <c r="J136" s="5">
        <f t="shared" si="33"/>
        <v>487467.73694999982</v>
      </c>
    </row>
    <row r="137" spans="1:10" x14ac:dyDescent="0.25">
      <c r="B137" s="8">
        <v>46053</v>
      </c>
      <c r="C137" s="9" t="s">
        <v>101</v>
      </c>
      <c r="D137" s="9">
        <v>1</v>
      </c>
      <c r="E137" s="32">
        <v>1400</v>
      </c>
      <c r="F137" s="11">
        <f t="shared" si="30"/>
        <v>1400</v>
      </c>
      <c r="G137" s="11">
        <v>2.4994999999999998</v>
      </c>
      <c r="H137" s="11">
        <f t="shared" si="31"/>
        <v>3499.2999999999997</v>
      </c>
      <c r="I137" s="11">
        <f t="shared" si="32"/>
        <v>3499.2999999999997</v>
      </c>
      <c r="J137" s="9">
        <f t="shared" si="33"/>
        <v>490967.03694999981</v>
      </c>
    </row>
    <row r="138" spans="1:10" x14ac:dyDescent="0.25">
      <c r="B138" s="8">
        <v>46053</v>
      </c>
      <c r="C138" s="9" t="s">
        <v>102</v>
      </c>
      <c r="D138" s="9">
        <v>1</v>
      </c>
      <c r="E138" s="32">
        <v>1480</v>
      </c>
      <c r="F138" s="11">
        <f t="shared" si="30"/>
        <v>1480</v>
      </c>
      <c r="G138" s="11">
        <v>2.4994999999999998</v>
      </c>
      <c r="H138" s="11">
        <f t="shared" si="31"/>
        <v>3699.2599999999998</v>
      </c>
      <c r="I138" s="11">
        <f t="shared" si="32"/>
        <v>3699.2599999999998</v>
      </c>
      <c r="J138" s="9">
        <f t="shared" si="33"/>
        <v>494666.29694999981</v>
      </c>
    </row>
    <row r="139" spans="1:10" x14ac:dyDescent="0.25">
      <c r="B139" s="7"/>
      <c r="C139" s="7"/>
      <c r="D139" s="7"/>
      <c r="E139" s="7"/>
      <c r="F139" s="7">
        <f t="shared" si="30"/>
        <v>0</v>
      </c>
      <c r="G139" s="7"/>
      <c r="H139" s="7">
        <f t="shared" si="31"/>
        <v>0</v>
      </c>
      <c r="I139" s="7">
        <f t="shared" si="32"/>
        <v>0</v>
      </c>
      <c r="J139" s="5">
        <f t="shared" si="33"/>
        <v>494666.29694999981</v>
      </c>
    </row>
    <row r="140" spans="1:10" x14ac:dyDescent="0.25">
      <c r="B140" s="7"/>
      <c r="C140" s="7"/>
      <c r="D140" s="7"/>
      <c r="E140" s="7"/>
      <c r="F140" s="7">
        <f t="shared" si="30"/>
        <v>0</v>
      </c>
      <c r="G140" s="7"/>
      <c r="H140" s="7">
        <f t="shared" si="31"/>
        <v>0</v>
      </c>
      <c r="I140" s="7">
        <f t="shared" si="32"/>
        <v>0</v>
      </c>
      <c r="J140" s="5">
        <f t="shared" si="33"/>
        <v>494666.29694999981</v>
      </c>
    </row>
    <row r="141" spans="1:10" x14ac:dyDescent="0.25">
      <c r="B141" s="1"/>
      <c r="C141" s="1"/>
      <c r="D141" s="1"/>
      <c r="E141" s="1"/>
      <c r="F141" s="1"/>
      <c r="G141" s="1"/>
      <c r="H141" s="1"/>
      <c r="I141" s="1"/>
      <c r="J141" s="2"/>
    </row>
    <row r="142" spans="1:10" x14ac:dyDescent="0.25">
      <c r="B142" s="1"/>
      <c r="C142" s="1"/>
      <c r="D142" s="1"/>
      <c r="E142" s="1"/>
      <c r="F142" s="1"/>
      <c r="G142" s="1"/>
      <c r="H142" s="1"/>
      <c r="I142" s="1"/>
      <c r="J142" s="2"/>
    </row>
    <row r="143" spans="1:10" x14ac:dyDescent="0.25">
      <c r="B143" s="1"/>
      <c r="C143" s="1"/>
      <c r="D143" s="1"/>
      <c r="E143" s="1"/>
      <c r="F143" s="1"/>
      <c r="G143" s="1"/>
      <c r="H143" s="1"/>
      <c r="I143" s="1"/>
      <c r="J143" s="2"/>
    </row>
    <row r="144" spans="1:10" ht="21" x14ac:dyDescent="0.35">
      <c r="A144" t="s">
        <v>0</v>
      </c>
      <c r="B144" s="73" t="s">
        <v>34</v>
      </c>
      <c r="C144" s="73"/>
      <c r="D144" s="73"/>
      <c r="E144" s="73"/>
      <c r="F144" s="73"/>
      <c r="G144" s="73"/>
      <c r="H144" s="73"/>
      <c r="I144" s="73"/>
      <c r="J144" s="73"/>
    </row>
    <row r="145" spans="1:10" ht="18.75" x14ac:dyDescent="0.3">
      <c r="A145" t="s">
        <v>2</v>
      </c>
      <c r="B145" s="3" t="s">
        <v>3</v>
      </c>
      <c r="C145" s="3" t="s">
        <v>4</v>
      </c>
      <c r="D145" s="3" t="s">
        <v>5</v>
      </c>
      <c r="E145" s="3" t="s">
        <v>6</v>
      </c>
      <c r="F145" s="3" t="s">
        <v>7</v>
      </c>
      <c r="G145" s="3" t="s">
        <v>8</v>
      </c>
      <c r="H145" s="3" t="s">
        <v>9</v>
      </c>
      <c r="I145" s="3" t="s">
        <v>10</v>
      </c>
      <c r="J145" s="3"/>
    </row>
    <row r="146" spans="1:10" x14ac:dyDescent="0.25">
      <c r="B146" s="4">
        <v>46051</v>
      </c>
      <c r="C146" s="5" t="s">
        <v>103</v>
      </c>
      <c r="D146" s="5">
        <v>100</v>
      </c>
      <c r="E146" s="5">
        <v>299</v>
      </c>
      <c r="F146" s="7">
        <f>E146*D146</f>
        <v>29900</v>
      </c>
      <c r="G146" s="7">
        <v>2.13</v>
      </c>
      <c r="H146" s="7">
        <f>E146*G146</f>
        <v>636.87</v>
      </c>
      <c r="I146" s="7">
        <f>H146*D146</f>
        <v>63687</v>
      </c>
      <c r="J146" s="5">
        <f>J145+I146</f>
        <v>63687</v>
      </c>
    </row>
    <row r="147" spans="1:10" x14ac:dyDescent="0.25">
      <c r="B147" s="4">
        <v>46051</v>
      </c>
      <c r="C147" s="5" t="s">
        <v>104</v>
      </c>
      <c r="D147" s="5">
        <v>4</v>
      </c>
      <c r="E147" s="5">
        <v>349</v>
      </c>
      <c r="F147" s="7">
        <f t="shared" ref="F147:F148" si="34">E147*D147</f>
        <v>1396</v>
      </c>
      <c r="G147" s="7">
        <v>2.13</v>
      </c>
      <c r="H147" s="7">
        <f t="shared" ref="H147:H148" si="35">E147*G147</f>
        <v>743.37</v>
      </c>
      <c r="I147" s="7">
        <f t="shared" ref="I147:I148" si="36">H147*D147</f>
        <v>2973.48</v>
      </c>
      <c r="J147" s="5">
        <f t="shared" ref="J147:J148" si="37">J146+I147</f>
        <v>66660.479999999996</v>
      </c>
    </row>
    <row r="148" spans="1:10" x14ac:dyDescent="0.25">
      <c r="B148" s="7"/>
      <c r="C148" s="7"/>
      <c r="D148" s="7"/>
      <c r="E148" s="7"/>
      <c r="F148" s="7">
        <f t="shared" si="34"/>
        <v>0</v>
      </c>
      <c r="G148" s="7"/>
      <c r="H148" s="7">
        <f t="shared" si="35"/>
        <v>0</v>
      </c>
      <c r="I148" s="7">
        <f t="shared" si="36"/>
        <v>0</v>
      </c>
      <c r="J148" s="5">
        <f t="shared" si="37"/>
        <v>66660.479999999996</v>
      </c>
    </row>
    <row r="149" spans="1:10" x14ac:dyDescent="0.25">
      <c r="B149" s="1"/>
      <c r="C149" s="1"/>
      <c r="D149" s="1"/>
      <c r="E149" s="1"/>
      <c r="F149" s="1"/>
      <c r="G149" s="1"/>
      <c r="H149" s="1"/>
      <c r="I149" s="1"/>
      <c r="J149" s="2"/>
    </row>
    <row r="150" spans="1:10" x14ac:dyDescent="0.25">
      <c r="A150" s="26"/>
      <c r="B150" s="27"/>
      <c r="C150" s="27"/>
      <c r="D150" s="27"/>
      <c r="E150" s="27"/>
      <c r="F150" s="29"/>
      <c r="G150" s="28"/>
      <c r="H150" s="26"/>
      <c r="I150" s="26"/>
    </row>
    <row r="151" spans="1:10" x14ac:dyDescent="0.25">
      <c r="A151" s="26"/>
      <c r="B151" s="27"/>
      <c r="C151" s="27"/>
      <c r="D151" s="27"/>
      <c r="E151" s="27"/>
      <c r="F151" s="29"/>
      <c r="G151" s="28"/>
      <c r="H151" s="26"/>
      <c r="I151" s="26"/>
    </row>
    <row r="152" spans="1:10" x14ac:dyDescent="0.25">
      <c r="A152" s="26"/>
      <c r="B152" s="27"/>
      <c r="C152" s="27"/>
      <c r="D152" s="27"/>
      <c r="E152" s="27"/>
      <c r="F152" s="29"/>
      <c r="G152" s="28"/>
      <c r="H152" s="26"/>
      <c r="I152" s="26"/>
    </row>
    <row r="153" spans="1:10" x14ac:dyDescent="0.25">
      <c r="A153" s="26"/>
      <c r="B153" s="27"/>
      <c r="C153" s="27"/>
      <c r="D153" s="27"/>
      <c r="E153" s="27"/>
      <c r="F153" s="29"/>
      <c r="G153" s="28"/>
      <c r="H153" s="26"/>
      <c r="I153" s="26"/>
    </row>
    <row r="154" spans="1:10" x14ac:dyDescent="0.25">
      <c r="A154" s="26"/>
      <c r="B154" s="27"/>
      <c r="C154" s="27"/>
      <c r="D154" s="27"/>
      <c r="E154" s="27"/>
      <c r="F154" s="29"/>
      <c r="G154" s="28"/>
      <c r="H154" s="26"/>
      <c r="I154" s="26"/>
    </row>
    <row r="155" spans="1:10" x14ac:dyDescent="0.25">
      <c r="A155" s="26"/>
      <c r="B155" s="27"/>
      <c r="C155" s="27"/>
      <c r="D155" s="27"/>
      <c r="E155" s="27"/>
      <c r="F155" s="29"/>
      <c r="G155" s="28"/>
      <c r="H155" s="26"/>
      <c r="I155" s="26"/>
    </row>
    <row r="156" spans="1:10" ht="21" x14ac:dyDescent="0.35">
      <c r="A156" t="s">
        <v>0</v>
      </c>
      <c r="B156" s="73" t="s">
        <v>1</v>
      </c>
      <c r="C156" s="73"/>
      <c r="D156" s="73"/>
      <c r="E156" s="73"/>
      <c r="F156" s="73"/>
      <c r="G156" s="73"/>
      <c r="H156" s="73"/>
      <c r="I156" s="73"/>
      <c r="J156" s="73"/>
    </row>
    <row r="157" spans="1:10" ht="18.75" x14ac:dyDescent="0.3">
      <c r="A157" t="s">
        <v>2</v>
      </c>
      <c r="B157" s="3" t="s">
        <v>3</v>
      </c>
      <c r="C157" s="3" t="s">
        <v>4</v>
      </c>
      <c r="D157" s="3" t="s">
        <v>5</v>
      </c>
      <c r="E157" s="3" t="s">
        <v>6</v>
      </c>
      <c r="F157" s="3" t="s">
        <v>7</v>
      </c>
      <c r="G157" s="3" t="s">
        <v>8</v>
      </c>
      <c r="H157" s="3" t="s">
        <v>9</v>
      </c>
      <c r="I157" s="3" t="s">
        <v>10</v>
      </c>
      <c r="J157" s="3"/>
    </row>
    <row r="158" spans="1:10" x14ac:dyDescent="0.25">
      <c r="B158" s="17">
        <v>46055</v>
      </c>
      <c r="C158" s="18" t="s">
        <v>110</v>
      </c>
      <c r="D158" s="18">
        <v>11</v>
      </c>
      <c r="E158" s="21">
        <v>398</v>
      </c>
      <c r="F158" s="20">
        <f>E158*D158</f>
        <v>4378</v>
      </c>
      <c r="G158" s="20">
        <v>2.5188000000000001</v>
      </c>
      <c r="H158" s="20">
        <f>E158*G158</f>
        <v>1002.4824000000001</v>
      </c>
      <c r="I158" s="7">
        <f>H158*D158</f>
        <v>11027.306400000001</v>
      </c>
      <c r="J158" s="5">
        <f>J157+I158</f>
        <v>11027.306400000001</v>
      </c>
    </row>
    <row r="159" spans="1:10" x14ac:dyDescent="0.25">
      <c r="B159" s="17">
        <v>46055</v>
      </c>
      <c r="C159" s="18" t="s">
        <v>111</v>
      </c>
      <c r="D159" s="18">
        <v>4</v>
      </c>
      <c r="E159" s="33">
        <v>431</v>
      </c>
      <c r="F159" s="20">
        <f t="shared" ref="F159:F167" si="38">E159*D159</f>
        <v>1724</v>
      </c>
      <c r="G159" s="20">
        <v>2.5188000000000001</v>
      </c>
      <c r="H159" s="20">
        <f t="shared" ref="H159:H171" si="39">E159*G159</f>
        <v>1085.6028000000001</v>
      </c>
      <c r="I159" s="7">
        <f t="shared" ref="I159:I171" si="40">H159*D159</f>
        <v>4342.4112000000005</v>
      </c>
      <c r="J159" s="5">
        <f t="shared" ref="J159:J171" si="41">J158+I159</f>
        <v>15369.717600000002</v>
      </c>
    </row>
    <row r="160" spans="1:10" x14ac:dyDescent="0.25">
      <c r="B160" s="17">
        <v>46056</v>
      </c>
      <c r="C160" s="18" t="s">
        <v>112</v>
      </c>
      <c r="D160" s="18">
        <v>3</v>
      </c>
      <c r="E160" s="33">
        <v>431</v>
      </c>
      <c r="F160" s="20">
        <f t="shared" si="38"/>
        <v>1293</v>
      </c>
      <c r="G160" s="20">
        <v>2.5188000000000001</v>
      </c>
      <c r="H160" s="20">
        <f>E160*G160</f>
        <v>1085.6028000000001</v>
      </c>
      <c r="I160" s="7">
        <f t="shared" si="40"/>
        <v>3256.8084000000003</v>
      </c>
      <c r="J160" s="5">
        <f t="shared" si="41"/>
        <v>18626.526000000002</v>
      </c>
    </row>
    <row r="161" spans="1:15" ht="15.75" thickBot="1" x14ac:dyDescent="0.3">
      <c r="B161" s="34">
        <v>46056</v>
      </c>
      <c r="C161" s="35" t="s">
        <v>113</v>
      </c>
      <c r="D161" s="35">
        <v>8</v>
      </c>
      <c r="E161" s="36">
        <v>440</v>
      </c>
      <c r="F161" s="37">
        <f t="shared" si="38"/>
        <v>3520</v>
      </c>
      <c r="G161" s="37">
        <v>2.5188000000000001</v>
      </c>
      <c r="H161" s="37">
        <f t="shared" si="39"/>
        <v>1108.2720000000002</v>
      </c>
      <c r="I161" s="38">
        <f t="shared" si="40"/>
        <v>8866.1760000000013</v>
      </c>
      <c r="J161" s="39">
        <f t="shared" si="41"/>
        <v>27492.702000000005</v>
      </c>
    </row>
    <row r="162" spans="1:15" x14ac:dyDescent="0.25">
      <c r="B162" s="40">
        <v>46056</v>
      </c>
      <c r="C162" s="41" t="s">
        <v>114</v>
      </c>
      <c r="D162" s="41">
        <v>5</v>
      </c>
      <c r="E162" s="42">
        <v>440</v>
      </c>
      <c r="F162" s="43">
        <f t="shared" si="38"/>
        <v>2200</v>
      </c>
      <c r="G162" s="43">
        <v>2.5188000000000001</v>
      </c>
      <c r="H162" s="43">
        <f t="shared" si="39"/>
        <v>1108.2720000000002</v>
      </c>
      <c r="I162" s="44">
        <f t="shared" si="40"/>
        <v>5541.3600000000006</v>
      </c>
      <c r="J162" s="45">
        <f t="shared" si="41"/>
        <v>33034.062000000005</v>
      </c>
    </row>
    <row r="163" spans="1:15" x14ac:dyDescent="0.25">
      <c r="B163" s="17">
        <v>46056</v>
      </c>
      <c r="C163" s="18" t="s">
        <v>115</v>
      </c>
      <c r="D163" s="18">
        <v>6</v>
      </c>
      <c r="E163" s="33">
        <v>440</v>
      </c>
      <c r="F163" s="20">
        <f t="shared" si="38"/>
        <v>2640</v>
      </c>
      <c r="G163" s="20">
        <v>2.5188000000000001</v>
      </c>
      <c r="H163" s="20">
        <f t="shared" si="39"/>
        <v>1108.2720000000002</v>
      </c>
      <c r="I163" s="7">
        <f t="shared" si="40"/>
        <v>6649.6320000000014</v>
      </c>
      <c r="J163" s="5">
        <f t="shared" si="41"/>
        <v>39683.694000000003</v>
      </c>
    </row>
    <row r="164" spans="1:15" x14ac:dyDescent="0.25">
      <c r="B164" s="17">
        <v>46056</v>
      </c>
      <c r="C164" s="18" t="s">
        <v>116</v>
      </c>
      <c r="D164" s="18">
        <v>3</v>
      </c>
      <c r="E164" s="33">
        <v>398</v>
      </c>
      <c r="F164" s="20">
        <f t="shared" si="38"/>
        <v>1194</v>
      </c>
      <c r="G164" s="20">
        <v>2.5188000000000001</v>
      </c>
      <c r="H164" s="20">
        <f t="shared" si="39"/>
        <v>1002.4824000000001</v>
      </c>
      <c r="I164" s="7">
        <f t="shared" si="40"/>
        <v>3007.4472000000005</v>
      </c>
      <c r="J164" s="5">
        <f t="shared" si="41"/>
        <v>42691.141200000005</v>
      </c>
    </row>
    <row r="165" spans="1:15" x14ac:dyDescent="0.25">
      <c r="B165" s="17">
        <v>46056</v>
      </c>
      <c r="C165" s="18" t="s">
        <v>117</v>
      </c>
      <c r="D165" s="18">
        <v>3</v>
      </c>
      <c r="E165" s="33">
        <v>398</v>
      </c>
      <c r="F165" s="20">
        <f t="shared" si="38"/>
        <v>1194</v>
      </c>
      <c r="G165" s="20">
        <v>2.5188000000000001</v>
      </c>
      <c r="H165" s="20">
        <f t="shared" si="39"/>
        <v>1002.4824000000001</v>
      </c>
      <c r="I165" s="7">
        <f t="shared" si="40"/>
        <v>3007.4472000000005</v>
      </c>
      <c r="J165" s="5">
        <f t="shared" si="41"/>
        <v>45698.588400000008</v>
      </c>
    </row>
    <row r="166" spans="1:15" x14ac:dyDescent="0.25">
      <c r="B166" s="17">
        <v>46056</v>
      </c>
      <c r="C166" s="18" t="s">
        <v>118</v>
      </c>
      <c r="D166" s="18">
        <v>2</v>
      </c>
      <c r="E166" s="33">
        <v>398</v>
      </c>
      <c r="F166" s="20">
        <f t="shared" si="38"/>
        <v>796</v>
      </c>
      <c r="G166" s="20">
        <v>2.5188000000000001</v>
      </c>
      <c r="H166" s="20">
        <f t="shared" si="39"/>
        <v>1002.4824000000001</v>
      </c>
      <c r="I166" s="7">
        <f t="shared" si="40"/>
        <v>2004.9648000000002</v>
      </c>
      <c r="J166" s="5">
        <f t="shared" si="41"/>
        <v>47703.553200000009</v>
      </c>
    </row>
    <row r="167" spans="1:15" x14ac:dyDescent="0.25">
      <c r="B167" s="17">
        <v>46056</v>
      </c>
      <c r="C167" s="18" t="s">
        <v>119</v>
      </c>
      <c r="D167" s="18">
        <v>1</v>
      </c>
      <c r="E167" s="33">
        <v>7</v>
      </c>
      <c r="F167" s="20">
        <f t="shared" si="38"/>
        <v>7</v>
      </c>
      <c r="G167" s="20">
        <v>2.5188000000000001</v>
      </c>
      <c r="H167" s="20">
        <f t="shared" si="39"/>
        <v>17.631600000000002</v>
      </c>
      <c r="I167" s="7">
        <f t="shared" si="40"/>
        <v>17.631600000000002</v>
      </c>
      <c r="J167" s="5">
        <f t="shared" si="41"/>
        <v>47721.18480000001</v>
      </c>
    </row>
    <row r="168" spans="1:15" x14ac:dyDescent="0.25">
      <c r="B168" s="12">
        <v>46056</v>
      </c>
      <c r="C168" s="13" t="s">
        <v>120</v>
      </c>
      <c r="D168" s="13">
        <v>5</v>
      </c>
      <c r="E168" s="31">
        <v>2490</v>
      </c>
      <c r="F168" s="14">
        <f>E168*D168</f>
        <v>12450</v>
      </c>
      <c r="G168" s="14">
        <v>2.5188000000000001</v>
      </c>
      <c r="H168" s="14">
        <f t="shared" si="39"/>
        <v>6271.8120000000008</v>
      </c>
      <c r="I168" s="14">
        <f t="shared" si="40"/>
        <v>31359.060000000005</v>
      </c>
      <c r="J168" s="13">
        <f t="shared" si="41"/>
        <v>79080.244800000015</v>
      </c>
    </row>
    <row r="169" spans="1:15" x14ac:dyDescent="0.25">
      <c r="B169" s="7"/>
      <c r="C169" s="7"/>
      <c r="D169" s="7"/>
      <c r="E169" s="7"/>
      <c r="F169" s="7"/>
      <c r="G169" s="7"/>
      <c r="H169" s="7">
        <f t="shared" si="39"/>
        <v>0</v>
      </c>
      <c r="I169" s="7">
        <f t="shared" si="40"/>
        <v>0</v>
      </c>
      <c r="J169" s="5">
        <f t="shared" si="41"/>
        <v>79080.244800000015</v>
      </c>
    </row>
    <row r="170" spans="1:15" x14ac:dyDescent="0.25">
      <c r="B170" s="7"/>
      <c r="C170" s="7"/>
      <c r="D170" s="7"/>
      <c r="E170" s="7"/>
      <c r="F170" s="7">
        <f t="shared" ref="F170:F171" si="42">E170*D170</f>
        <v>0</v>
      </c>
      <c r="G170" s="7"/>
      <c r="H170" s="7">
        <f t="shared" si="39"/>
        <v>0</v>
      </c>
      <c r="I170" s="7">
        <f t="shared" si="40"/>
        <v>0</v>
      </c>
      <c r="J170" s="5">
        <f t="shared" si="41"/>
        <v>79080.244800000015</v>
      </c>
    </row>
    <row r="171" spans="1:15" x14ac:dyDescent="0.25">
      <c r="B171" s="7"/>
      <c r="C171" s="7"/>
      <c r="D171" s="7"/>
      <c r="E171" s="7"/>
      <c r="F171" s="7">
        <f t="shared" si="42"/>
        <v>0</v>
      </c>
      <c r="G171" s="7"/>
      <c r="H171" s="7">
        <f t="shared" si="39"/>
        <v>0</v>
      </c>
      <c r="I171" s="7">
        <f t="shared" si="40"/>
        <v>0</v>
      </c>
      <c r="J171" s="5">
        <f t="shared" si="41"/>
        <v>79080.244800000015</v>
      </c>
    </row>
    <row r="172" spans="1:15" x14ac:dyDescent="0.25">
      <c r="B172" s="1"/>
      <c r="C172" s="1"/>
      <c r="D172" s="1"/>
      <c r="E172" s="1"/>
      <c r="F172" s="1"/>
      <c r="G172" s="1"/>
      <c r="H172" s="1"/>
      <c r="I172" s="1"/>
      <c r="J172" s="2"/>
    </row>
    <row r="173" spans="1:15" x14ac:dyDescent="0.25">
      <c r="B173" s="1"/>
      <c r="C173" s="1"/>
      <c r="D173" s="1"/>
      <c r="E173" s="1"/>
      <c r="F173" s="1"/>
      <c r="G173" s="1"/>
      <c r="H173" s="1"/>
      <c r="I173" s="1"/>
      <c r="J173" s="2"/>
    </row>
    <row r="174" spans="1:15" x14ac:dyDescent="0.25">
      <c r="B174" s="1"/>
      <c r="C174" s="1"/>
      <c r="D174" s="1"/>
      <c r="E174" s="1"/>
      <c r="F174" s="1"/>
      <c r="G174" s="1"/>
      <c r="H174" s="1"/>
      <c r="I174" s="1"/>
      <c r="J174" s="2"/>
    </row>
    <row r="175" spans="1:15" x14ac:dyDescent="0.25">
      <c r="B175" s="1"/>
      <c r="C175" s="1"/>
      <c r="D175" s="1"/>
      <c r="E175" s="1"/>
      <c r="F175" s="1"/>
      <c r="G175" s="1"/>
      <c r="H175" s="1"/>
      <c r="I175" s="1"/>
      <c r="J175" s="2"/>
    </row>
    <row r="176" spans="1:15" ht="21" x14ac:dyDescent="0.35">
      <c r="A176" t="s">
        <v>0</v>
      </c>
      <c r="B176" s="74" t="s">
        <v>1</v>
      </c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</row>
    <row r="177" spans="1:15" ht="18.75" x14ac:dyDescent="0.3">
      <c r="A177" t="s">
        <v>2</v>
      </c>
      <c r="B177" s="22" t="s">
        <v>3</v>
      </c>
      <c r="C177" s="22" t="s">
        <v>4</v>
      </c>
      <c r="D177" s="22" t="s">
        <v>60</v>
      </c>
      <c r="E177" s="22" t="s">
        <v>61</v>
      </c>
      <c r="F177" s="22" t="s">
        <v>5</v>
      </c>
      <c r="G177" s="22" t="s">
        <v>62</v>
      </c>
      <c r="H177" s="22" t="s">
        <v>63</v>
      </c>
      <c r="I177" s="22" t="s">
        <v>64</v>
      </c>
      <c r="J177" s="22" t="s">
        <v>65</v>
      </c>
      <c r="K177" s="22" t="s">
        <v>66</v>
      </c>
      <c r="L177" s="22" t="s">
        <v>67</v>
      </c>
      <c r="M177" s="22" t="s">
        <v>68</v>
      </c>
      <c r="N177" s="22" t="s">
        <v>10</v>
      </c>
      <c r="O177" s="23"/>
    </row>
    <row r="178" spans="1:15" x14ac:dyDescent="0.25">
      <c r="B178" s="17">
        <v>46056</v>
      </c>
      <c r="C178" s="18" t="s">
        <v>121</v>
      </c>
      <c r="D178" s="20"/>
      <c r="E178" s="20"/>
      <c r="F178" s="18">
        <v>2</v>
      </c>
      <c r="G178" s="7">
        <v>2197</v>
      </c>
      <c r="H178" s="7">
        <v>10</v>
      </c>
      <c r="I178" s="7">
        <f>G178*H178%</f>
        <v>219.70000000000002</v>
      </c>
      <c r="J178" s="5">
        <f>G178-I178</f>
        <v>1977.3</v>
      </c>
      <c r="K178" s="5">
        <f>F178*J178</f>
        <v>3954.6</v>
      </c>
      <c r="L178" s="7">
        <v>2.5188000000000001</v>
      </c>
      <c r="M178" s="5">
        <f>J178*L178</f>
        <v>4980.4232400000001</v>
      </c>
      <c r="N178" s="5">
        <f>F178*M178</f>
        <v>9960.8464800000002</v>
      </c>
      <c r="O178" s="5">
        <f>O177+N178</f>
        <v>9960.8464800000002</v>
      </c>
    </row>
    <row r="179" spans="1:15" x14ac:dyDescent="0.25">
      <c r="B179" s="7"/>
      <c r="C179" s="7"/>
      <c r="D179" s="7"/>
      <c r="E179" s="7"/>
      <c r="F179" s="7"/>
      <c r="G179" s="7"/>
      <c r="H179" s="7"/>
      <c r="I179" s="7">
        <f t="shared" ref="I179" si="43">G179*H179%</f>
        <v>0</v>
      </c>
      <c r="J179" s="5">
        <f t="shared" ref="J179" si="44">G179-I179</f>
        <v>0</v>
      </c>
      <c r="K179" s="5">
        <f t="shared" ref="K179" si="45">F179*J179</f>
        <v>0</v>
      </c>
      <c r="L179" s="5"/>
      <c r="M179" s="5">
        <f t="shared" ref="M179" si="46">J179*L179</f>
        <v>0</v>
      </c>
      <c r="N179" s="5">
        <f t="shared" ref="N179" si="47">F179*M179</f>
        <v>0</v>
      </c>
      <c r="O179" s="5">
        <f t="shared" ref="O179" si="48">O178+N179</f>
        <v>9960.8464800000002</v>
      </c>
    </row>
    <row r="180" spans="1:15" x14ac:dyDescent="0.25">
      <c r="B180" s="1"/>
      <c r="C180" s="1"/>
      <c r="D180" s="1"/>
      <c r="E180" s="1"/>
      <c r="F180" s="1"/>
      <c r="G180" s="1"/>
      <c r="H180" s="1"/>
      <c r="I180" s="1"/>
    </row>
    <row r="185" spans="1:15" x14ac:dyDescent="0.25">
      <c r="B185" s="1"/>
      <c r="C185" s="1"/>
      <c r="D185" s="1"/>
      <c r="E185" s="1"/>
      <c r="F185" s="1"/>
      <c r="G185" s="1"/>
      <c r="H185" s="1"/>
      <c r="I185" s="1"/>
      <c r="J185" s="2"/>
    </row>
    <row r="186" spans="1:15" ht="21" x14ac:dyDescent="0.35">
      <c r="A186" t="s">
        <v>0</v>
      </c>
      <c r="B186" s="73" t="s">
        <v>1</v>
      </c>
      <c r="C186" s="73"/>
      <c r="D186" s="73"/>
      <c r="E186" s="73"/>
      <c r="F186" s="73"/>
      <c r="G186" s="73"/>
      <c r="H186" s="73"/>
      <c r="I186" s="73"/>
      <c r="J186" s="73"/>
    </row>
    <row r="187" spans="1:15" ht="18.75" x14ac:dyDescent="0.3">
      <c r="A187" t="s">
        <v>2</v>
      </c>
      <c r="B187" s="3" t="s">
        <v>3</v>
      </c>
      <c r="C187" s="3" t="s">
        <v>4</v>
      </c>
      <c r="D187" s="3" t="s">
        <v>5</v>
      </c>
      <c r="E187" s="3" t="s">
        <v>6</v>
      </c>
      <c r="F187" s="3" t="s">
        <v>7</v>
      </c>
      <c r="G187" s="3" t="s">
        <v>8</v>
      </c>
      <c r="H187" s="3" t="s">
        <v>9</v>
      </c>
      <c r="I187" s="3" t="s">
        <v>10</v>
      </c>
      <c r="J187" s="3"/>
    </row>
    <row r="188" spans="1:15" x14ac:dyDescent="0.25">
      <c r="B188" s="17">
        <v>46057</v>
      </c>
      <c r="C188" s="18" t="s">
        <v>187</v>
      </c>
      <c r="D188" s="18">
        <v>3</v>
      </c>
      <c r="E188" s="18">
        <v>397</v>
      </c>
      <c r="F188" s="7">
        <f>E188*D188</f>
        <v>1191</v>
      </c>
      <c r="G188" s="7">
        <v>2.5461</v>
      </c>
      <c r="H188" s="7">
        <f>E188*G188</f>
        <v>1010.8017</v>
      </c>
      <c r="I188" s="7">
        <f>H188*D188</f>
        <v>3032.4050999999999</v>
      </c>
      <c r="J188" s="5">
        <f>J187+I188</f>
        <v>3032.4050999999999</v>
      </c>
    </row>
    <row r="189" spans="1:15" x14ac:dyDescent="0.25">
      <c r="B189" s="17">
        <v>46057</v>
      </c>
      <c r="C189" s="18" t="s">
        <v>188</v>
      </c>
      <c r="D189" s="18">
        <v>4</v>
      </c>
      <c r="E189" s="18">
        <v>454</v>
      </c>
      <c r="F189" s="7">
        <f t="shared" ref="F189:F209" si="49">E189*D189</f>
        <v>1816</v>
      </c>
      <c r="G189" s="7">
        <v>2.5461</v>
      </c>
      <c r="H189" s="7">
        <f t="shared" ref="H189:H209" si="50">E189*G189</f>
        <v>1155.9294</v>
      </c>
      <c r="I189" s="7">
        <f t="shared" ref="I189:I209" si="51">H189*D189</f>
        <v>4623.7175999999999</v>
      </c>
      <c r="J189" s="5">
        <f t="shared" ref="J189:J209" si="52">J188+I189</f>
        <v>7656.1226999999999</v>
      </c>
    </row>
    <row r="190" spans="1:15" x14ac:dyDescent="0.25">
      <c r="B190" s="17">
        <v>46057</v>
      </c>
      <c r="C190" s="18" t="s">
        <v>189</v>
      </c>
      <c r="D190" s="18">
        <v>4</v>
      </c>
      <c r="E190" s="18">
        <v>450</v>
      </c>
      <c r="F190" s="7">
        <f t="shared" si="49"/>
        <v>1800</v>
      </c>
      <c r="G190" s="7">
        <v>2.5461</v>
      </c>
      <c r="H190" s="7">
        <f t="shared" si="50"/>
        <v>1145.7450000000001</v>
      </c>
      <c r="I190" s="7">
        <f t="shared" si="51"/>
        <v>4582.9800000000005</v>
      </c>
      <c r="J190" s="5">
        <f t="shared" si="52"/>
        <v>12239.102699999999</v>
      </c>
    </row>
    <row r="191" spans="1:15" x14ac:dyDescent="0.25">
      <c r="B191" s="17">
        <v>46058</v>
      </c>
      <c r="C191" s="18" t="s">
        <v>190</v>
      </c>
      <c r="D191" s="18">
        <v>50</v>
      </c>
      <c r="E191" s="18">
        <v>397</v>
      </c>
      <c r="F191" s="7">
        <f t="shared" si="49"/>
        <v>19850</v>
      </c>
      <c r="G191" s="7">
        <v>2.5461</v>
      </c>
      <c r="H191" s="7">
        <f t="shared" si="50"/>
        <v>1010.8017</v>
      </c>
      <c r="I191" s="7">
        <f t="shared" si="51"/>
        <v>50540.084999999999</v>
      </c>
      <c r="J191" s="5">
        <f t="shared" si="52"/>
        <v>62779.187699999995</v>
      </c>
    </row>
    <row r="192" spans="1:15" x14ac:dyDescent="0.25">
      <c r="B192" s="17">
        <v>46059</v>
      </c>
      <c r="C192" s="18" t="s">
        <v>188</v>
      </c>
      <c r="D192" s="18">
        <v>2</v>
      </c>
      <c r="E192" s="18">
        <v>450</v>
      </c>
      <c r="F192" s="7">
        <f t="shared" si="49"/>
        <v>900</v>
      </c>
      <c r="G192" s="7">
        <v>2.5461</v>
      </c>
      <c r="H192" s="7">
        <f t="shared" si="50"/>
        <v>1145.7450000000001</v>
      </c>
      <c r="I192" s="7">
        <f t="shared" si="51"/>
        <v>2291.4900000000002</v>
      </c>
      <c r="J192" s="5">
        <f t="shared" si="52"/>
        <v>65070.677699999993</v>
      </c>
    </row>
    <row r="193" spans="2:10" x14ac:dyDescent="0.25">
      <c r="B193" s="17">
        <v>46066</v>
      </c>
      <c r="C193" s="18" t="s">
        <v>191</v>
      </c>
      <c r="D193" s="18">
        <v>1</v>
      </c>
      <c r="E193" s="18">
        <v>2949</v>
      </c>
      <c r="F193" s="7">
        <f t="shared" si="49"/>
        <v>2949</v>
      </c>
      <c r="G193" s="7">
        <v>2.5461</v>
      </c>
      <c r="H193" s="7">
        <f t="shared" si="50"/>
        <v>7508.4489000000003</v>
      </c>
      <c r="I193" s="7">
        <f t="shared" si="51"/>
        <v>7508.4489000000003</v>
      </c>
      <c r="J193" s="5">
        <f t="shared" si="52"/>
        <v>72579.126599999989</v>
      </c>
    </row>
    <row r="194" spans="2:10" x14ac:dyDescent="0.25">
      <c r="B194" s="17">
        <v>46066</v>
      </c>
      <c r="C194" s="18" t="s">
        <v>192</v>
      </c>
      <c r="D194" s="18">
        <v>1</v>
      </c>
      <c r="E194" s="18">
        <v>0</v>
      </c>
      <c r="F194" s="7">
        <f t="shared" si="49"/>
        <v>0</v>
      </c>
      <c r="G194" s="7">
        <v>2.5461</v>
      </c>
      <c r="H194" s="7">
        <f t="shared" si="50"/>
        <v>0</v>
      </c>
      <c r="I194" s="7">
        <f t="shared" si="51"/>
        <v>0</v>
      </c>
      <c r="J194" s="5">
        <f t="shared" si="52"/>
        <v>72579.126599999989</v>
      </c>
    </row>
    <row r="195" spans="2:10" x14ac:dyDescent="0.25">
      <c r="B195" s="17">
        <v>46066</v>
      </c>
      <c r="C195" s="18" t="s">
        <v>193</v>
      </c>
      <c r="D195" s="18">
        <v>1</v>
      </c>
      <c r="E195" s="18">
        <v>4400</v>
      </c>
      <c r="F195" s="7">
        <f t="shared" si="49"/>
        <v>4400</v>
      </c>
      <c r="G195" s="7">
        <v>2.5461</v>
      </c>
      <c r="H195" s="7">
        <f t="shared" si="50"/>
        <v>11202.84</v>
      </c>
      <c r="I195" s="7">
        <f t="shared" si="51"/>
        <v>11202.84</v>
      </c>
      <c r="J195" s="5">
        <f t="shared" si="52"/>
        <v>83781.966599999985</v>
      </c>
    </row>
    <row r="196" spans="2:10" x14ac:dyDescent="0.25">
      <c r="B196" s="17">
        <v>46066</v>
      </c>
      <c r="C196" s="18" t="s">
        <v>194</v>
      </c>
      <c r="D196" s="18">
        <v>1</v>
      </c>
      <c r="E196" s="18">
        <v>3300</v>
      </c>
      <c r="F196" s="7">
        <f t="shared" si="49"/>
        <v>3300</v>
      </c>
      <c r="G196" s="7">
        <v>2.5461</v>
      </c>
      <c r="H196" s="7">
        <f t="shared" si="50"/>
        <v>8402.1299999999992</v>
      </c>
      <c r="I196" s="7">
        <f t="shared" si="51"/>
        <v>8402.1299999999992</v>
      </c>
      <c r="J196" s="5">
        <f t="shared" si="52"/>
        <v>92184.09659999999</v>
      </c>
    </row>
    <row r="197" spans="2:10" x14ac:dyDescent="0.25">
      <c r="B197" s="17">
        <v>46066</v>
      </c>
      <c r="C197" s="18" t="s">
        <v>195</v>
      </c>
      <c r="D197" s="18">
        <v>2</v>
      </c>
      <c r="E197" s="18">
        <v>1400</v>
      </c>
      <c r="F197" s="7">
        <f t="shared" si="49"/>
        <v>2800</v>
      </c>
      <c r="G197" s="7">
        <v>2.5461</v>
      </c>
      <c r="H197" s="7">
        <f t="shared" si="50"/>
        <v>3564.54</v>
      </c>
      <c r="I197" s="7">
        <f t="shared" si="51"/>
        <v>7129.08</v>
      </c>
      <c r="J197" s="5">
        <f t="shared" si="52"/>
        <v>99313.176599999992</v>
      </c>
    </row>
    <row r="198" spans="2:10" x14ac:dyDescent="0.25">
      <c r="B198" s="17">
        <v>46066</v>
      </c>
      <c r="C198" s="18" t="s">
        <v>196</v>
      </c>
      <c r="D198" s="18">
        <v>3</v>
      </c>
      <c r="E198" s="18">
        <v>520</v>
      </c>
      <c r="F198" s="7">
        <f t="shared" si="49"/>
        <v>1560</v>
      </c>
      <c r="G198" s="7">
        <v>2.5461</v>
      </c>
      <c r="H198" s="7">
        <f t="shared" si="50"/>
        <v>1323.972</v>
      </c>
      <c r="I198" s="7">
        <f t="shared" si="51"/>
        <v>3971.9160000000002</v>
      </c>
      <c r="J198" s="5">
        <f t="shared" si="52"/>
        <v>103285.09259999999</v>
      </c>
    </row>
    <row r="199" spans="2:10" x14ac:dyDescent="0.25">
      <c r="B199" s="17">
        <v>46066</v>
      </c>
      <c r="C199" s="18" t="s">
        <v>197</v>
      </c>
      <c r="D199" s="18">
        <v>1</v>
      </c>
      <c r="E199" s="18">
        <v>1299</v>
      </c>
      <c r="F199" s="7">
        <f t="shared" si="49"/>
        <v>1299</v>
      </c>
      <c r="G199" s="7">
        <v>2.5461</v>
      </c>
      <c r="H199" s="7">
        <f t="shared" si="50"/>
        <v>3307.3838999999998</v>
      </c>
      <c r="I199" s="7">
        <f t="shared" si="51"/>
        <v>3307.3838999999998</v>
      </c>
      <c r="J199" s="5">
        <f t="shared" si="52"/>
        <v>106592.47649999999</v>
      </c>
    </row>
    <row r="200" spans="2:10" x14ac:dyDescent="0.25">
      <c r="B200" s="17">
        <v>46066</v>
      </c>
      <c r="C200" s="18" t="s">
        <v>198</v>
      </c>
      <c r="D200" s="18">
        <v>5</v>
      </c>
      <c r="E200" s="18">
        <v>30</v>
      </c>
      <c r="F200" s="7">
        <f t="shared" si="49"/>
        <v>150</v>
      </c>
      <c r="G200" s="7">
        <v>2.5461</v>
      </c>
      <c r="H200" s="7">
        <f t="shared" si="50"/>
        <v>76.382999999999996</v>
      </c>
      <c r="I200" s="7">
        <f t="shared" si="51"/>
        <v>381.91499999999996</v>
      </c>
      <c r="J200" s="5">
        <f t="shared" si="52"/>
        <v>106974.39149999998</v>
      </c>
    </row>
    <row r="201" spans="2:10" x14ac:dyDescent="0.25">
      <c r="B201" s="17">
        <v>46073</v>
      </c>
      <c r="C201" s="18" t="s">
        <v>199</v>
      </c>
      <c r="D201" s="18">
        <v>80</v>
      </c>
      <c r="E201" s="18">
        <v>400</v>
      </c>
      <c r="F201" s="7">
        <f t="shared" si="49"/>
        <v>32000</v>
      </c>
      <c r="G201" s="7">
        <v>2.5461</v>
      </c>
      <c r="H201" s="7">
        <f t="shared" si="50"/>
        <v>1018.44</v>
      </c>
      <c r="I201" s="7">
        <f t="shared" si="51"/>
        <v>81475.200000000012</v>
      </c>
      <c r="J201" s="5">
        <f t="shared" si="52"/>
        <v>188449.59149999998</v>
      </c>
    </row>
    <row r="202" spans="2:10" x14ac:dyDescent="0.25">
      <c r="B202" s="17">
        <v>46072</v>
      </c>
      <c r="C202" s="18" t="s">
        <v>200</v>
      </c>
      <c r="D202" s="18">
        <v>60</v>
      </c>
      <c r="E202" s="18">
        <v>400</v>
      </c>
      <c r="F202" s="7">
        <f t="shared" si="49"/>
        <v>24000</v>
      </c>
      <c r="G202" s="7">
        <v>2.5461</v>
      </c>
      <c r="H202" s="7">
        <f t="shared" si="50"/>
        <v>1018.44</v>
      </c>
      <c r="I202" s="7">
        <f t="shared" si="51"/>
        <v>61106.400000000001</v>
      </c>
      <c r="J202" s="5">
        <f t="shared" si="52"/>
        <v>249555.99149999997</v>
      </c>
    </row>
    <row r="203" spans="2:10" x14ac:dyDescent="0.25">
      <c r="B203" s="17">
        <v>46074</v>
      </c>
      <c r="C203" s="18" t="s">
        <v>81</v>
      </c>
      <c r="D203" s="18">
        <v>10</v>
      </c>
      <c r="E203" s="18">
        <v>2100</v>
      </c>
      <c r="F203" s="7">
        <f t="shared" si="49"/>
        <v>21000</v>
      </c>
      <c r="G203" s="7">
        <v>2.5461</v>
      </c>
      <c r="H203" s="7">
        <f t="shared" si="50"/>
        <v>5346.81</v>
      </c>
      <c r="I203" s="7">
        <f t="shared" si="51"/>
        <v>53468.100000000006</v>
      </c>
      <c r="J203" s="5">
        <f t="shared" si="52"/>
        <v>303024.09149999998</v>
      </c>
    </row>
    <row r="204" spans="2:10" x14ac:dyDescent="0.25">
      <c r="B204" s="17">
        <v>46074</v>
      </c>
      <c r="C204" s="18" t="s">
        <v>201</v>
      </c>
      <c r="D204" s="18">
        <v>4</v>
      </c>
      <c r="E204" s="18">
        <v>450</v>
      </c>
      <c r="F204" s="7">
        <f t="shared" si="49"/>
        <v>1800</v>
      </c>
      <c r="G204" s="7">
        <v>2.5461</v>
      </c>
      <c r="H204" s="7">
        <f t="shared" si="50"/>
        <v>1145.7450000000001</v>
      </c>
      <c r="I204" s="7">
        <f t="shared" si="51"/>
        <v>4582.9800000000005</v>
      </c>
      <c r="J204" s="5">
        <f t="shared" si="52"/>
        <v>307607.07149999996</v>
      </c>
    </row>
    <row r="205" spans="2:10" x14ac:dyDescent="0.25">
      <c r="B205" s="17">
        <v>46074</v>
      </c>
      <c r="C205" s="18" t="s">
        <v>202</v>
      </c>
      <c r="D205" s="18">
        <v>4</v>
      </c>
      <c r="E205" s="18">
        <v>2099</v>
      </c>
      <c r="F205" s="7">
        <f t="shared" si="49"/>
        <v>8396</v>
      </c>
      <c r="G205" s="7">
        <v>2.5461</v>
      </c>
      <c r="H205" s="7">
        <f t="shared" si="50"/>
        <v>5344.2638999999999</v>
      </c>
      <c r="I205" s="7">
        <f t="shared" si="51"/>
        <v>21377.0556</v>
      </c>
      <c r="J205" s="5">
        <f t="shared" si="52"/>
        <v>328984.12709999998</v>
      </c>
    </row>
    <row r="206" spans="2:10" x14ac:dyDescent="0.25">
      <c r="B206" s="17">
        <v>46074</v>
      </c>
      <c r="C206" s="18" t="s">
        <v>203</v>
      </c>
      <c r="D206" s="18">
        <v>5</v>
      </c>
      <c r="E206" s="18">
        <v>450</v>
      </c>
      <c r="F206" s="7">
        <f t="shared" si="49"/>
        <v>2250</v>
      </c>
      <c r="G206" s="7">
        <v>2.5461</v>
      </c>
      <c r="H206" s="7">
        <f t="shared" si="50"/>
        <v>1145.7450000000001</v>
      </c>
      <c r="I206" s="7">
        <f t="shared" si="51"/>
        <v>5728.7250000000004</v>
      </c>
      <c r="J206" s="5">
        <f t="shared" si="52"/>
        <v>334712.85209999996</v>
      </c>
    </row>
    <row r="207" spans="2:10" x14ac:dyDescent="0.25">
      <c r="B207" s="12">
        <v>46078</v>
      </c>
      <c r="C207" s="13" t="s">
        <v>204</v>
      </c>
      <c r="D207" s="13">
        <v>40</v>
      </c>
      <c r="E207" s="13">
        <v>398</v>
      </c>
      <c r="F207" s="14">
        <f t="shared" si="49"/>
        <v>15920</v>
      </c>
      <c r="G207" s="14">
        <v>2.5461</v>
      </c>
      <c r="H207" s="14">
        <f t="shared" si="50"/>
        <v>1013.3478</v>
      </c>
      <c r="I207" s="14">
        <f t="shared" si="51"/>
        <v>40533.911999999997</v>
      </c>
      <c r="J207" s="13">
        <f t="shared" si="52"/>
        <v>375246.76409999997</v>
      </c>
    </row>
    <row r="208" spans="2:10" x14ac:dyDescent="0.25">
      <c r="B208" s="8">
        <v>46069</v>
      </c>
      <c r="C208" s="9" t="s">
        <v>205</v>
      </c>
      <c r="D208" s="54">
        <v>1</v>
      </c>
      <c r="E208" s="9">
        <v>21250.35</v>
      </c>
      <c r="F208" s="11">
        <f t="shared" si="49"/>
        <v>21250.35</v>
      </c>
      <c r="G208" s="11">
        <v>2.5461</v>
      </c>
      <c r="H208" s="11">
        <f t="shared" si="50"/>
        <v>54105.516134999998</v>
      </c>
      <c r="I208" s="11">
        <f t="shared" si="51"/>
        <v>54105.516134999998</v>
      </c>
      <c r="J208" s="9">
        <f t="shared" si="52"/>
        <v>429352.28023499995</v>
      </c>
    </row>
    <row r="209" spans="1:15" x14ac:dyDescent="0.25">
      <c r="B209" s="55">
        <v>46058</v>
      </c>
      <c r="C209" s="56" t="s">
        <v>206</v>
      </c>
      <c r="D209" s="57">
        <v>1</v>
      </c>
      <c r="E209" s="57">
        <v>20000</v>
      </c>
      <c r="F209" s="7">
        <f t="shared" si="49"/>
        <v>20000</v>
      </c>
      <c r="G209" s="7">
        <v>2.5461</v>
      </c>
      <c r="H209" s="7">
        <f t="shared" si="50"/>
        <v>50922</v>
      </c>
      <c r="I209" s="7">
        <f t="shared" si="51"/>
        <v>50922</v>
      </c>
      <c r="J209" s="5">
        <f t="shared" si="52"/>
        <v>480274.28023499995</v>
      </c>
    </row>
    <row r="210" spans="1:15" x14ac:dyDescent="0.25">
      <c r="B210" s="1"/>
      <c r="C210" s="1"/>
      <c r="D210" s="1"/>
      <c r="E210" s="1"/>
      <c r="F210" s="1"/>
      <c r="G210" s="1"/>
      <c r="H210" s="1"/>
      <c r="I210" s="1"/>
      <c r="J210" s="2"/>
    </row>
    <row r="211" spans="1:15" x14ac:dyDescent="0.25">
      <c r="B211" s="1"/>
      <c r="C211" s="1"/>
      <c r="D211" s="1"/>
      <c r="E211" s="1"/>
      <c r="F211" s="1"/>
      <c r="G211" s="1"/>
      <c r="H211" s="1"/>
      <c r="I211" s="1"/>
      <c r="J211" s="2"/>
    </row>
    <row r="212" spans="1:15" x14ac:dyDescent="0.25">
      <c r="B212" s="1"/>
      <c r="C212" s="1"/>
      <c r="D212" s="1"/>
      <c r="E212" s="1"/>
      <c r="F212" s="1"/>
      <c r="G212" s="1"/>
      <c r="H212" s="1"/>
      <c r="I212" s="1"/>
      <c r="J212" s="2"/>
    </row>
    <row r="213" spans="1:15" x14ac:dyDescent="0.25">
      <c r="B213" s="1"/>
      <c r="C213" s="1"/>
      <c r="D213" s="1"/>
      <c r="E213" s="1"/>
      <c r="F213" s="1"/>
      <c r="G213" s="1"/>
      <c r="H213" s="1"/>
      <c r="I213" s="1"/>
      <c r="J213" s="2"/>
    </row>
    <row r="214" spans="1:15" x14ac:dyDescent="0.25">
      <c r="B214" s="1"/>
      <c r="C214" s="1"/>
      <c r="D214" s="1"/>
      <c r="E214" s="1"/>
      <c r="F214" s="1"/>
      <c r="G214" s="1"/>
      <c r="H214" s="1"/>
      <c r="I214" s="1"/>
      <c r="J214" s="2"/>
    </row>
    <row r="215" spans="1:15" ht="21" x14ac:dyDescent="0.35">
      <c r="A215" t="s">
        <v>0</v>
      </c>
      <c r="B215" s="73" t="s">
        <v>34</v>
      </c>
      <c r="C215" s="73"/>
      <c r="D215" s="73"/>
      <c r="E215" s="73"/>
      <c r="F215" s="73"/>
      <c r="G215" s="73"/>
      <c r="H215" s="73"/>
      <c r="I215" s="73"/>
      <c r="J215" s="73"/>
    </row>
    <row r="216" spans="1:15" ht="18.75" x14ac:dyDescent="0.3">
      <c r="A216" t="s">
        <v>2</v>
      </c>
      <c r="B216" s="3" t="s">
        <v>3</v>
      </c>
      <c r="C216" s="3" t="s">
        <v>4</v>
      </c>
      <c r="D216" s="3" t="s">
        <v>5</v>
      </c>
      <c r="E216" s="3" t="s">
        <v>6</v>
      </c>
      <c r="F216" s="3" t="s">
        <v>7</v>
      </c>
      <c r="G216" s="3" t="s">
        <v>8</v>
      </c>
      <c r="H216" s="3" t="s">
        <v>9</v>
      </c>
      <c r="I216" s="3" t="s">
        <v>10</v>
      </c>
      <c r="J216" s="3"/>
    </row>
    <row r="217" spans="1:15" x14ac:dyDescent="0.25">
      <c r="B217" s="12">
        <v>46071</v>
      </c>
      <c r="C217" s="13" t="s">
        <v>207</v>
      </c>
      <c r="D217" s="13">
        <v>3</v>
      </c>
      <c r="E217" s="13">
        <v>1449</v>
      </c>
      <c r="F217" s="7">
        <f>E217*D217</f>
        <v>4347</v>
      </c>
      <c r="G217" s="7">
        <v>2.13</v>
      </c>
      <c r="H217" s="7">
        <f>E217*G217</f>
        <v>3086.37</v>
      </c>
      <c r="I217" s="7">
        <f>H217*D217</f>
        <v>9259.11</v>
      </c>
      <c r="J217" s="5">
        <f>J216+I217</f>
        <v>9259.11</v>
      </c>
    </row>
    <row r="218" spans="1:15" x14ac:dyDescent="0.25">
      <c r="B218" s="7"/>
      <c r="C218" s="7"/>
      <c r="D218" s="7"/>
      <c r="E218" s="7"/>
      <c r="F218" s="7">
        <f t="shared" ref="F218:F219" si="53">E218*D218</f>
        <v>0</v>
      </c>
      <c r="G218" s="7"/>
      <c r="H218" s="7">
        <f t="shared" ref="H218:H219" si="54">E218*G218</f>
        <v>0</v>
      </c>
      <c r="I218" s="7">
        <f t="shared" ref="I218:I219" si="55">H218*D218</f>
        <v>0</v>
      </c>
      <c r="J218" s="5">
        <f t="shared" ref="J218:J219" si="56">J217+I218</f>
        <v>9259.11</v>
      </c>
    </row>
    <row r="219" spans="1:15" x14ac:dyDescent="0.25">
      <c r="B219" s="7"/>
      <c r="C219" s="7"/>
      <c r="D219" s="7"/>
      <c r="E219" s="7"/>
      <c r="F219" s="7">
        <f t="shared" si="53"/>
        <v>0</v>
      </c>
      <c r="G219" s="7"/>
      <c r="H219" s="7">
        <f t="shared" si="54"/>
        <v>0</v>
      </c>
      <c r="I219" s="7">
        <f t="shared" si="55"/>
        <v>0</v>
      </c>
      <c r="J219" s="5">
        <f t="shared" si="56"/>
        <v>9259.11</v>
      </c>
    </row>
    <row r="220" spans="1:15" x14ac:dyDescent="0.25">
      <c r="B220" s="1"/>
      <c r="C220" s="1"/>
      <c r="D220" s="1"/>
      <c r="E220" s="1"/>
      <c r="F220" s="1"/>
      <c r="G220" s="1"/>
      <c r="H220" s="1"/>
      <c r="I220" s="1"/>
      <c r="J220" s="2"/>
    </row>
    <row r="221" spans="1:15" x14ac:dyDescent="0.25">
      <c r="B221" s="1"/>
      <c r="C221" s="1"/>
      <c r="D221" s="1"/>
      <c r="E221" s="1"/>
      <c r="F221" s="1"/>
      <c r="G221" s="1"/>
      <c r="H221" s="1"/>
      <c r="I221" s="1"/>
      <c r="J221" s="2"/>
    </row>
    <row r="222" spans="1:15" x14ac:dyDescent="0.25">
      <c r="B222" s="1"/>
      <c r="C222" s="1"/>
      <c r="D222" s="1"/>
      <c r="E222" s="1"/>
      <c r="F222" s="1"/>
      <c r="G222" s="1"/>
      <c r="H222" s="1"/>
      <c r="I222" s="1"/>
      <c r="J222" s="2"/>
    </row>
    <row r="223" spans="1:15" ht="21" x14ac:dyDescent="0.35">
      <c r="A223" t="s">
        <v>0</v>
      </c>
      <c r="B223" s="74" t="s">
        <v>1</v>
      </c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</row>
    <row r="224" spans="1:15" ht="18.75" x14ac:dyDescent="0.3">
      <c r="A224" t="s">
        <v>2</v>
      </c>
      <c r="B224" s="22" t="s">
        <v>3</v>
      </c>
      <c r="C224" s="22" t="s">
        <v>4</v>
      </c>
      <c r="D224" s="22" t="s">
        <v>60</v>
      </c>
      <c r="E224" s="22" t="s">
        <v>61</v>
      </c>
      <c r="F224" s="22" t="s">
        <v>5</v>
      </c>
      <c r="G224" s="22" t="s">
        <v>62</v>
      </c>
      <c r="H224" s="22" t="s">
        <v>63</v>
      </c>
      <c r="I224" s="22" t="s">
        <v>64</v>
      </c>
      <c r="J224" s="22" t="s">
        <v>65</v>
      </c>
      <c r="K224" s="22" t="s">
        <v>66</v>
      </c>
      <c r="L224" s="22" t="s">
        <v>67</v>
      </c>
      <c r="M224" s="22" t="s">
        <v>68</v>
      </c>
      <c r="N224" s="22" t="s">
        <v>10</v>
      </c>
      <c r="O224" s="23"/>
    </row>
    <row r="225" spans="1:15" x14ac:dyDescent="0.25">
      <c r="B225" s="17">
        <v>46047</v>
      </c>
      <c r="C225" s="18" t="s">
        <v>208</v>
      </c>
      <c r="D225" s="20"/>
      <c r="E225" s="20"/>
      <c r="F225" s="20">
        <v>2</v>
      </c>
      <c r="G225" s="18">
        <v>1497</v>
      </c>
      <c r="H225" s="20">
        <v>10</v>
      </c>
      <c r="I225" s="7">
        <f>G225*H225%</f>
        <v>149.70000000000002</v>
      </c>
      <c r="J225" s="5">
        <f>G225-I225</f>
        <v>1347.3</v>
      </c>
      <c r="K225" s="5">
        <f>F225*J225</f>
        <v>2694.6</v>
      </c>
      <c r="L225" s="5">
        <v>2.33</v>
      </c>
      <c r="M225" s="5">
        <f>J225*L225</f>
        <v>3139.2089999999998</v>
      </c>
      <c r="N225" s="5">
        <f>F225*M225</f>
        <v>6278.4179999999997</v>
      </c>
      <c r="O225" s="5">
        <f>O224+N225</f>
        <v>6278.4179999999997</v>
      </c>
    </row>
    <row r="226" spans="1:15" x14ac:dyDescent="0.25">
      <c r="B226" s="7"/>
      <c r="C226" s="7"/>
      <c r="D226" s="7"/>
      <c r="E226" s="7"/>
      <c r="F226" s="7"/>
      <c r="G226" s="7"/>
      <c r="H226" s="7"/>
      <c r="I226" s="7">
        <f t="shared" ref="I226" si="57">G226*H226%</f>
        <v>0</v>
      </c>
      <c r="J226" s="5">
        <f t="shared" ref="J226" si="58">G226-I226</f>
        <v>0</v>
      </c>
      <c r="K226" s="5">
        <f t="shared" ref="K226" si="59">F226*J226</f>
        <v>0</v>
      </c>
      <c r="L226" s="5"/>
      <c r="M226" s="5">
        <f t="shared" ref="M226" si="60">J226*L226</f>
        <v>0</v>
      </c>
      <c r="N226" s="5">
        <f t="shared" ref="N226" si="61">F226*M226</f>
        <v>0</v>
      </c>
      <c r="O226" s="5">
        <f t="shared" ref="O226" si="62">O225+N226</f>
        <v>6278.4179999999997</v>
      </c>
    </row>
    <row r="233" spans="1:15" x14ac:dyDescent="0.25">
      <c r="B233" s="1"/>
      <c r="C233" s="1"/>
      <c r="D233" s="1"/>
      <c r="E233" s="1"/>
      <c r="F233" s="1"/>
      <c r="G233" s="1"/>
      <c r="H233" s="1"/>
      <c r="I233" s="1"/>
      <c r="J233" s="2"/>
    </row>
    <row r="234" spans="1:15" ht="21" x14ac:dyDescent="0.35">
      <c r="A234" t="s">
        <v>0</v>
      </c>
      <c r="B234" s="73" t="s">
        <v>34</v>
      </c>
      <c r="C234" s="73"/>
      <c r="D234" s="73"/>
      <c r="E234" s="73"/>
      <c r="F234" s="73"/>
      <c r="G234" s="73"/>
      <c r="H234" s="73"/>
      <c r="I234" s="73"/>
      <c r="J234" s="73"/>
    </row>
    <row r="235" spans="1:15" ht="18.75" x14ac:dyDescent="0.3">
      <c r="A235" t="s">
        <v>2</v>
      </c>
      <c r="B235" s="3" t="s">
        <v>3</v>
      </c>
      <c r="C235" s="3" t="s">
        <v>4</v>
      </c>
      <c r="D235" s="3" t="s">
        <v>5</v>
      </c>
      <c r="E235" s="3" t="s">
        <v>6</v>
      </c>
      <c r="F235" s="3" t="s">
        <v>7</v>
      </c>
      <c r="G235" s="3" t="s">
        <v>8</v>
      </c>
      <c r="H235" s="3" t="s">
        <v>9</v>
      </c>
      <c r="I235" s="3" t="s">
        <v>10</v>
      </c>
      <c r="J235" s="3"/>
    </row>
    <row r="236" spans="1:15" x14ac:dyDescent="0.25">
      <c r="B236" s="17">
        <v>46034</v>
      </c>
      <c r="C236" s="18" t="s">
        <v>209</v>
      </c>
      <c r="D236" s="18">
        <v>30</v>
      </c>
      <c r="E236" s="18">
        <v>460</v>
      </c>
      <c r="F236" s="20">
        <f>E236*D236</f>
        <v>13800</v>
      </c>
      <c r="G236" s="7">
        <v>2.13</v>
      </c>
      <c r="H236" s="7">
        <f>E236*G236</f>
        <v>979.8</v>
      </c>
      <c r="I236" s="7">
        <f>H236*D236</f>
        <v>29394</v>
      </c>
      <c r="J236" s="5">
        <f>J235+I236</f>
        <v>29394</v>
      </c>
    </row>
    <row r="237" spans="1:15" x14ac:dyDescent="0.25">
      <c r="B237" s="7"/>
      <c r="C237" s="7"/>
      <c r="D237" s="7"/>
      <c r="E237" s="7"/>
      <c r="F237" s="7">
        <f t="shared" ref="F237" si="63">E237*D237</f>
        <v>0</v>
      </c>
      <c r="G237" s="7"/>
      <c r="H237" s="7">
        <f t="shared" ref="H237" si="64">E237*G237</f>
        <v>0</v>
      </c>
      <c r="I237" s="7">
        <f t="shared" ref="I237" si="65">H237*D237</f>
        <v>0</v>
      </c>
      <c r="J237" s="5">
        <f t="shared" ref="J237" si="66">J236+I237</f>
        <v>29394</v>
      </c>
    </row>
    <row r="238" spans="1:15" x14ac:dyDescent="0.25">
      <c r="B238" s="1"/>
      <c r="C238" s="1"/>
      <c r="D238" s="1"/>
      <c r="E238" s="1"/>
      <c r="F238" s="1"/>
      <c r="G238" s="1"/>
      <c r="H238" s="1"/>
      <c r="I238" s="1"/>
      <c r="J238" s="2"/>
    </row>
    <row r="239" spans="1:15" x14ac:dyDescent="0.25">
      <c r="B239" s="1"/>
      <c r="C239" s="1"/>
      <c r="D239" s="1"/>
      <c r="E239" s="1"/>
      <c r="F239" s="1"/>
      <c r="G239" s="1"/>
      <c r="H239" s="1"/>
      <c r="I239" s="1"/>
      <c r="J239" s="2"/>
    </row>
    <row r="240" spans="1:15" x14ac:dyDescent="0.25">
      <c r="B240" s="1"/>
      <c r="C240" s="1"/>
      <c r="D240" s="1"/>
      <c r="E240" s="1"/>
      <c r="F240" s="1"/>
      <c r="G240" s="1"/>
      <c r="H240" s="1"/>
      <c r="I240" s="1"/>
      <c r="J240" s="2"/>
    </row>
    <row r="241" spans="1:10" x14ac:dyDescent="0.25">
      <c r="B241" s="1"/>
      <c r="C241" s="1"/>
      <c r="D241" s="1"/>
      <c r="E241" s="1"/>
      <c r="F241" s="1"/>
      <c r="G241" s="1"/>
      <c r="H241" s="1"/>
      <c r="I241" s="1"/>
      <c r="J241" s="2"/>
    </row>
    <row r="242" spans="1:10" x14ac:dyDescent="0.25">
      <c r="B242" s="1"/>
      <c r="C242" s="1"/>
      <c r="D242" s="1"/>
      <c r="E242" s="1"/>
      <c r="F242" s="1"/>
      <c r="G242" s="1"/>
      <c r="H242" s="1"/>
      <c r="I242" s="1"/>
      <c r="J242" s="2"/>
    </row>
    <row r="243" spans="1:10" x14ac:dyDescent="0.25">
      <c r="B243" s="1"/>
      <c r="C243" s="1"/>
      <c r="D243" s="1"/>
      <c r="E243" s="1"/>
      <c r="F243" s="1"/>
      <c r="G243" s="1"/>
      <c r="H243" s="1"/>
      <c r="I243" s="1"/>
      <c r="J243" s="2"/>
    </row>
    <row r="244" spans="1:10" ht="21" x14ac:dyDescent="0.35">
      <c r="A244" t="s">
        <v>0</v>
      </c>
      <c r="B244" s="73" t="s">
        <v>1</v>
      </c>
      <c r="C244" s="73"/>
      <c r="D244" s="73"/>
      <c r="E244" s="73"/>
      <c r="F244" s="73"/>
      <c r="G244" s="73"/>
      <c r="H244" s="73"/>
      <c r="I244" s="73"/>
      <c r="J244" s="73"/>
    </row>
    <row r="245" spans="1:10" ht="18.75" x14ac:dyDescent="0.3">
      <c r="A245" t="s">
        <v>2</v>
      </c>
      <c r="B245" s="3" t="s">
        <v>3</v>
      </c>
      <c r="C245" s="3" t="s">
        <v>4</v>
      </c>
      <c r="D245" s="3" t="s">
        <v>5</v>
      </c>
      <c r="E245" s="3" t="s">
        <v>6</v>
      </c>
      <c r="F245" s="3" t="s">
        <v>7</v>
      </c>
      <c r="G245" s="3" t="s">
        <v>8</v>
      </c>
      <c r="H245" s="3" t="s">
        <v>9</v>
      </c>
      <c r="I245" s="3" t="s">
        <v>10</v>
      </c>
      <c r="J245" s="3"/>
    </row>
    <row r="246" spans="1:10" x14ac:dyDescent="0.25">
      <c r="B246" s="17">
        <v>46080</v>
      </c>
      <c r="C246" s="18" t="s">
        <v>210</v>
      </c>
      <c r="D246" s="18">
        <v>60</v>
      </c>
      <c r="E246" s="18">
        <v>400</v>
      </c>
      <c r="F246" s="20">
        <f>E246*D246</f>
        <v>24000</v>
      </c>
      <c r="G246" s="20">
        <v>2.5466000000000002</v>
      </c>
      <c r="H246" s="7">
        <f>E246*G246</f>
        <v>1018.6400000000001</v>
      </c>
      <c r="I246" s="7">
        <f>H246*D246</f>
        <v>61118.400000000009</v>
      </c>
      <c r="J246" s="5">
        <f>J245+I246</f>
        <v>61118.400000000009</v>
      </c>
    </row>
    <row r="247" spans="1:10" x14ac:dyDescent="0.25">
      <c r="B247" s="17">
        <v>46081</v>
      </c>
      <c r="C247" s="18" t="s">
        <v>211</v>
      </c>
      <c r="D247" s="18">
        <v>4</v>
      </c>
      <c r="E247" s="18">
        <v>590</v>
      </c>
      <c r="F247" s="20">
        <f t="shared" ref="F247:F251" si="67">E247*D247</f>
        <v>2360</v>
      </c>
      <c r="G247" s="20">
        <v>2.5466000000000002</v>
      </c>
      <c r="H247" s="7">
        <f t="shared" ref="H247:H251" si="68">E247*G247</f>
        <v>1502.4940000000001</v>
      </c>
      <c r="I247" s="7">
        <f t="shared" ref="I247:I251" si="69">H247*D247</f>
        <v>6009.9760000000006</v>
      </c>
      <c r="J247" s="5">
        <f t="shared" ref="J247:J251" si="70">J246+I247</f>
        <v>67128.376000000004</v>
      </c>
    </row>
    <row r="248" spans="1:10" x14ac:dyDescent="0.25">
      <c r="B248" s="17">
        <v>46081</v>
      </c>
      <c r="C248" s="18" t="s">
        <v>69</v>
      </c>
      <c r="D248" s="18">
        <v>1</v>
      </c>
      <c r="E248" s="18">
        <v>2099</v>
      </c>
      <c r="F248" s="20">
        <f t="shared" si="67"/>
        <v>2099</v>
      </c>
      <c r="G248" s="20">
        <v>2.5466000000000002</v>
      </c>
      <c r="H248" s="7">
        <f t="shared" si="68"/>
        <v>5345.3134</v>
      </c>
      <c r="I248" s="7">
        <f t="shared" si="69"/>
        <v>5345.3134</v>
      </c>
      <c r="J248" s="5">
        <f t="shared" si="70"/>
        <v>72473.689400000003</v>
      </c>
    </row>
    <row r="249" spans="1:10" x14ac:dyDescent="0.25">
      <c r="B249" s="12">
        <v>46083</v>
      </c>
      <c r="C249" s="13" t="s">
        <v>212</v>
      </c>
      <c r="D249" s="13">
        <v>80</v>
      </c>
      <c r="E249" s="15">
        <v>400</v>
      </c>
      <c r="F249" s="14">
        <f t="shared" si="67"/>
        <v>32000</v>
      </c>
      <c r="G249" s="14">
        <v>2.5466000000000002</v>
      </c>
      <c r="H249" s="14">
        <f t="shared" si="68"/>
        <v>1018.6400000000001</v>
      </c>
      <c r="I249" s="14">
        <f t="shared" si="69"/>
        <v>81491.200000000012</v>
      </c>
      <c r="J249" s="13">
        <f t="shared" si="70"/>
        <v>153964.88940000001</v>
      </c>
    </row>
    <row r="250" spans="1:10" x14ac:dyDescent="0.25">
      <c r="B250" s="58">
        <v>45982</v>
      </c>
      <c r="C250" s="59" t="s">
        <v>213</v>
      </c>
      <c r="D250" s="60">
        <v>16</v>
      </c>
      <c r="E250" s="60">
        <v>391</v>
      </c>
      <c r="F250" s="7">
        <f t="shared" si="67"/>
        <v>6256</v>
      </c>
      <c r="G250" s="20">
        <v>2.5466000000000002</v>
      </c>
      <c r="H250" s="7">
        <f t="shared" si="68"/>
        <v>995.7206000000001</v>
      </c>
      <c r="I250" s="7">
        <f t="shared" si="69"/>
        <v>15931.529600000002</v>
      </c>
      <c r="J250" s="5">
        <f t="shared" si="70"/>
        <v>169896.41900000002</v>
      </c>
    </row>
    <row r="251" spans="1:10" x14ac:dyDescent="0.25">
      <c r="B251" s="58">
        <v>45982</v>
      </c>
      <c r="C251" s="59" t="s">
        <v>214</v>
      </c>
      <c r="D251" s="60">
        <v>5</v>
      </c>
      <c r="E251" s="60">
        <v>1</v>
      </c>
      <c r="F251" s="7">
        <f t="shared" si="67"/>
        <v>5</v>
      </c>
      <c r="G251" s="20">
        <v>2.5466000000000002</v>
      </c>
      <c r="H251" s="7">
        <f t="shared" si="68"/>
        <v>2.5466000000000002</v>
      </c>
      <c r="I251" s="7">
        <f t="shared" si="69"/>
        <v>12.733000000000001</v>
      </c>
      <c r="J251" s="5">
        <f t="shared" si="70"/>
        <v>169909.15200000003</v>
      </c>
    </row>
    <row r="263" spans="1:10" x14ac:dyDescent="0.25">
      <c r="B263" s="1"/>
      <c r="C263" s="1"/>
      <c r="D263" s="1"/>
      <c r="E263" s="1"/>
      <c r="F263" s="1"/>
      <c r="G263" s="1"/>
      <c r="H263" s="1"/>
      <c r="I263" s="1"/>
      <c r="J263" s="2"/>
    </row>
    <row r="264" spans="1:10" ht="21" x14ac:dyDescent="0.35">
      <c r="A264" t="s">
        <v>0</v>
      </c>
      <c r="B264" s="73" t="s">
        <v>34</v>
      </c>
      <c r="C264" s="73"/>
      <c r="D264" s="73"/>
      <c r="E264" s="73"/>
      <c r="F264" s="73"/>
      <c r="G264" s="73"/>
      <c r="H264" s="73"/>
      <c r="I264" s="73"/>
      <c r="J264" s="73"/>
    </row>
    <row r="265" spans="1:10" ht="18.75" x14ac:dyDescent="0.3">
      <c r="A265" t="s">
        <v>2</v>
      </c>
      <c r="B265" s="3" t="s">
        <v>3</v>
      </c>
      <c r="C265" s="3" t="s">
        <v>4</v>
      </c>
      <c r="D265" s="3" t="s">
        <v>5</v>
      </c>
      <c r="E265" s="3" t="s">
        <v>6</v>
      </c>
      <c r="F265" s="3" t="s">
        <v>7</v>
      </c>
      <c r="G265" s="3" t="s">
        <v>8</v>
      </c>
      <c r="H265" s="3" t="s">
        <v>9</v>
      </c>
      <c r="I265" s="3" t="s">
        <v>10</v>
      </c>
      <c r="J265" s="3"/>
    </row>
    <row r="266" spans="1:10" x14ac:dyDescent="0.25">
      <c r="B266" s="12">
        <v>46113</v>
      </c>
      <c r="C266" s="13" t="s">
        <v>215</v>
      </c>
      <c r="D266" s="13">
        <v>10</v>
      </c>
      <c r="E266" s="15">
        <v>469</v>
      </c>
      <c r="F266" s="14">
        <f>E266*D266</f>
        <v>4690</v>
      </c>
      <c r="G266" s="14">
        <v>2.15</v>
      </c>
      <c r="H266" s="14">
        <f>E266*G266</f>
        <v>1008.3499999999999</v>
      </c>
      <c r="I266" s="14">
        <f>H266*D266</f>
        <v>10083.5</v>
      </c>
      <c r="J266" s="13">
        <f>J265+I266</f>
        <v>10083.5</v>
      </c>
    </row>
    <row r="267" spans="1:10" x14ac:dyDescent="0.25">
      <c r="B267" s="12">
        <v>46113</v>
      </c>
      <c r="C267" s="13" t="s">
        <v>216</v>
      </c>
      <c r="D267" s="13">
        <v>8</v>
      </c>
      <c r="E267" s="15">
        <v>1579</v>
      </c>
      <c r="F267" s="14">
        <f t="shared" ref="F267:F274" si="71">E267*D267</f>
        <v>12632</v>
      </c>
      <c r="G267" s="14">
        <v>2.15</v>
      </c>
      <c r="H267" s="14">
        <f t="shared" ref="H267:H274" si="72">E267*G267</f>
        <v>3394.85</v>
      </c>
      <c r="I267" s="14">
        <f t="shared" ref="I267:I274" si="73">H267*D267</f>
        <v>27158.799999999999</v>
      </c>
      <c r="J267" s="13">
        <f t="shared" ref="J267:J274" si="74">J266+I267</f>
        <v>37242.300000000003</v>
      </c>
    </row>
    <row r="268" spans="1:10" x14ac:dyDescent="0.25">
      <c r="B268" s="12">
        <v>46113</v>
      </c>
      <c r="C268" s="13" t="s">
        <v>217</v>
      </c>
      <c r="D268" s="13">
        <v>5</v>
      </c>
      <c r="E268" s="15">
        <v>1579</v>
      </c>
      <c r="F268" s="14">
        <f t="shared" si="71"/>
        <v>7895</v>
      </c>
      <c r="G268" s="14">
        <v>2.15</v>
      </c>
      <c r="H268" s="14">
        <f t="shared" si="72"/>
        <v>3394.85</v>
      </c>
      <c r="I268" s="14">
        <f t="shared" si="73"/>
        <v>16974.25</v>
      </c>
      <c r="J268" s="13">
        <f t="shared" si="74"/>
        <v>54216.55</v>
      </c>
    </row>
    <row r="269" spans="1:10" x14ac:dyDescent="0.25">
      <c r="B269" s="12">
        <v>46113</v>
      </c>
      <c r="C269" s="13" t="s">
        <v>218</v>
      </c>
      <c r="D269" s="13">
        <v>4</v>
      </c>
      <c r="E269" s="15">
        <v>779</v>
      </c>
      <c r="F269" s="14">
        <f t="shared" si="71"/>
        <v>3116</v>
      </c>
      <c r="G269" s="14">
        <v>2.15</v>
      </c>
      <c r="H269" s="14">
        <f t="shared" si="72"/>
        <v>1674.85</v>
      </c>
      <c r="I269" s="14">
        <f t="shared" si="73"/>
        <v>6699.4</v>
      </c>
      <c r="J269" s="13">
        <f t="shared" si="74"/>
        <v>60915.950000000004</v>
      </c>
    </row>
    <row r="270" spans="1:10" x14ac:dyDescent="0.25">
      <c r="B270" s="12">
        <v>46114</v>
      </c>
      <c r="C270" s="13" t="s">
        <v>219</v>
      </c>
      <c r="D270" s="13">
        <v>2</v>
      </c>
      <c r="E270" s="15">
        <v>1579</v>
      </c>
      <c r="F270" s="14">
        <f t="shared" si="71"/>
        <v>3158</v>
      </c>
      <c r="G270" s="14">
        <v>2.15</v>
      </c>
      <c r="H270" s="14">
        <f t="shared" si="72"/>
        <v>3394.85</v>
      </c>
      <c r="I270" s="14">
        <f t="shared" si="73"/>
        <v>6789.7</v>
      </c>
      <c r="J270" s="13">
        <f t="shared" si="74"/>
        <v>67705.650000000009</v>
      </c>
    </row>
    <row r="271" spans="1:10" x14ac:dyDescent="0.25">
      <c r="B271" s="12">
        <v>46113</v>
      </c>
      <c r="C271" s="13" t="s">
        <v>220</v>
      </c>
      <c r="D271" s="13">
        <v>4</v>
      </c>
      <c r="E271" s="15">
        <v>1579</v>
      </c>
      <c r="F271" s="14">
        <f t="shared" si="71"/>
        <v>6316</v>
      </c>
      <c r="G271" s="14">
        <v>2.15</v>
      </c>
      <c r="H271" s="14">
        <f t="shared" si="72"/>
        <v>3394.85</v>
      </c>
      <c r="I271" s="14">
        <f t="shared" si="73"/>
        <v>13579.4</v>
      </c>
      <c r="J271" s="13">
        <f t="shared" si="74"/>
        <v>81285.05</v>
      </c>
    </row>
    <row r="272" spans="1:10" x14ac:dyDescent="0.25">
      <c r="B272" s="12">
        <v>46113</v>
      </c>
      <c r="C272" s="13" t="s">
        <v>216</v>
      </c>
      <c r="D272" s="13">
        <v>3</v>
      </c>
      <c r="E272" s="15">
        <v>1579</v>
      </c>
      <c r="F272" s="14">
        <f t="shared" si="71"/>
        <v>4737</v>
      </c>
      <c r="G272" s="14">
        <v>2.15</v>
      </c>
      <c r="H272" s="14">
        <f t="shared" si="72"/>
        <v>3394.85</v>
      </c>
      <c r="I272" s="14">
        <f t="shared" si="73"/>
        <v>10184.549999999999</v>
      </c>
      <c r="J272" s="13">
        <f t="shared" si="74"/>
        <v>91469.6</v>
      </c>
    </row>
    <row r="273" spans="1:10" x14ac:dyDescent="0.25">
      <c r="B273" s="12">
        <v>46113</v>
      </c>
      <c r="C273" s="13" t="s">
        <v>219</v>
      </c>
      <c r="D273" s="13">
        <v>1</v>
      </c>
      <c r="E273" s="15">
        <v>1579</v>
      </c>
      <c r="F273" s="14">
        <f t="shared" si="71"/>
        <v>1579</v>
      </c>
      <c r="G273" s="14">
        <v>2.15</v>
      </c>
      <c r="H273" s="14">
        <f t="shared" si="72"/>
        <v>3394.85</v>
      </c>
      <c r="I273" s="14">
        <f t="shared" si="73"/>
        <v>3394.85</v>
      </c>
      <c r="J273" s="13">
        <f t="shared" si="74"/>
        <v>94864.450000000012</v>
      </c>
    </row>
    <row r="274" spans="1:10" x14ac:dyDescent="0.25">
      <c r="B274" s="12">
        <v>46114</v>
      </c>
      <c r="C274" s="13" t="s">
        <v>217</v>
      </c>
      <c r="D274" s="13">
        <v>3</v>
      </c>
      <c r="E274" s="15">
        <v>1579</v>
      </c>
      <c r="F274" s="14">
        <f t="shared" si="71"/>
        <v>4737</v>
      </c>
      <c r="G274" s="14">
        <v>2.15</v>
      </c>
      <c r="H274" s="14">
        <f t="shared" si="72"/>
        <v>3394.85</v>
      </c>
      <c r="I274" s="14">
        <f t="shared" si="73"/>
        <v>10184.549999999999</v>
      </c>
      <c r="J274" s="13">
        <f t="shared" si="74"/>
        <v>105049.00000000001</v>
      </c>
    </row>
    <row r="275" spans="1:10" x14ac:dyDescent="0.25">
      <c r="B275" s="12">
        <v>46114</v>
      </c>
      <c r="C275" s="13" t="s">
        <v>216</v>
      </c>
      <c r="D275" s="13">
        <v>3</v>
      </c>
      <c r="E275" s="15">
        <v>1579</v>
      </c>
      <c r="F275" s="14">
        <f>E275*D275</f>
        <v>4737</v>
      </c>
      <c r="G275" s="14">
        <v>2.15</v>
      </c>
      <c r="H275" s="14">
        <f>E275*G275</f>
        <v>3394.85</v>
      </c>
      <c r="I275" s="14">
        <f>H275*D275</f>
        <v>10184.549999999999</v>
      </c>
      <c r="J275" s="13">
        <f>J274+I275</f>
        <v>115233.55000000002</v>
      </c>
    </row>
    <row r="276" spans="1:10" x14ac:dyDescent="0.25">
      <c r="B276" s="17">
        <v>46118</v>
      </c>
      <c r="C276" s="18" t="s">
        <v>221</v>
      </c>
      <c r="D276" s="60">
        <v>10</v>
      </c>
      <c r="E276" s="60">
        <v>470</v>
      </c>
      <c r="F276" s="60">
        <f>E276*D276</f>
        <v>4700</v>
      </c>
      <c r="G276" s="60">
        <v>2.15</v>
      </c>
      <c r="H276" s="60">
        <f>E276*G276</f>
        <v>1010.5</v>
      </c>
      <c r="I276" s="60">
        <f>H276*D276</f>
        <v>10105</v>
      </c>
      <c r="J276" s="18">
        <f>J275+I276</f>
        <v>125338.55000000002</v>
      </c>
    </row>
    <row r="277" spans="1:10" x14ac:dyDescent="0.25">
      <c r="B277" s="4">
        <v>46114</v>
      </c>
      <c r="C277" s="5" t="s">
        <v>222</v>
      </c>
      <c r="D277" s="5">
        <v>1</v>
      </c>
      <c r="E277" s="6">
        <v>2748.46</v>
      </c>
      <c r="F277" s="7">
        <f>E277*D277</f>
        <v>2748.46</v>
      </c>
      <c r="G277" s="7">
        <v>2.15</v>
      </c>
      <c r="H277" s="7">
        <f>E277*G277</f>
        <v>5909.1889999999994</v>
      </c>
      <c r="I277" s="7">
        <f>H277*D277</f>
        <v>5909.1889999999994</v>
      </c>
      <c r="J277" s="18">
        <f>J276+I277</f>
        <v>131247.73900000003</v>
      </c>
    </row>
    <row r="278" spans="1:10" x14ac:dyDescent="0.25">
      <c r="B278" s="1"/>
      <c r="C278" s="1"/>
      <c r="D278" s="1"/>
      <c r="E278" s="1"/>
      <c r="F278" s="1"/>
      <c r="G278" s="1"/>
      <c r="H278" s="1"/>
      <c r="I278" s="1"/>
      <c r="J278" s="2"/>
    </row>
    <row r="279" spans="1:10" x14ac:dyDescent="0.25">
      <c r="B279" s="1"/>
      <c r="C279" s="1"/>
      <c r="D279" s="1"/>
      <c r="E279" s="1"/>
      <c r="F279" s="1"/>
      <c r="G279" s="1"/>
      <c r="H279" s="1"/>
      <c r="I279" s="1"/>
      <c r="J279" s="2"/>
    </row>
    <row r="280" spans="1:10" x14ac:dyDescent="0.25">
      <c r="B280" s="1"/>
      <c r="C280" s="1"/>
      <c r="D280" s="1"/>
      <c r="E280" s="1"/>
      <c r="F280" s="1"/>
      <c r="G280" s="1"/>
      <c r="H280" s="1"/>
      <c r="I280" s="1"/>
      <c r="J280" s="2"/>
    </row>
    <row r="281" spans="1:10" x14ac:dyDescent="0.25">
      <c r="B281" s="1"/>
      <c r="C281" s="1"/>
      <c r="D281" s="1"/>
      <c r="E281" s="1"/>
      <c r="F281" s="1"/>
      <c r="G281" s="1"/>
      <c r="H281" s="1"/>
      <c r="I281" s="1"/>
      <c r="J281" s="2"/>
    </row>
    <row r="282" spans="1:10" x14ac:dyDescent="0.25">
      <c r="B282" s="1"/>
      <c r="C282" s="1"/>
      <c r="D282" s="1"/>
      <c r="E282" s="1"/>
      <c r="F282" s="1"/>
      <c r="G282" s="1"/>
      <c r="H282" s="1"/>
      <c r="I282" s="1"/>
      <c r="J282" s="2"/>
    </row>
    <row r="283" spans="1:10" x14ac:dyDescent="0.25">
      <c r="B283" s="1"/>
      <c r="C283" s="1"/>
      <c r="D283" s="1"/>
      <c r="E283" s="1"/>
      <c r="F283" s="1"/>
      <c r="G283" s="1"/>
      <c r="H283" s="1"/>
      <c r="I283" s="1"/>
      <c r="J283" s="2"/>
    </row>
    <row r="284" spans="1:10" ht="21" x14ac:dyDescent="0.35">
      <c r="A284" t="s">
        <v>0</v>
      </c>
      <c r="B284" s="73" t="s">
        <v>1</v>
      </c>
      <c r="C284" s="73"/>
      <c r="D284" s="73"/>
      <c r="E284" s="73"/>
      <c r="F284" s="73"/>
      <c r="G284" s="73"/>
      <c r="H284" s="73"/>
      <c r="I284" s="73"/>
      <c r="J284" s="73"/>
    </row>
    <row r="285" spans="1:10" ht="18.75" x14ac:dyDescent="0.3">
      <c r="A285" t="s">
        <v>2</v>
      </c>
      <c r="B285" s="3" t="s">
        <v>3</v>
      </c>
      <c r="C285" s="3" t="s">
        <v>4</v>
      </c>
      <c r="D285" s="3" t="s">
        <v>5</v>
      </c>
      <c r="E285" s="3" t="s">
        <v>6</v>
      </c>
      <c r="F285" s="3" t="s">
        <v>7</v>
      </c>
      <c r="G285" s="3" t="s">
        <v>8</v>
      </c>
      <c r="H285" s="3" t="s">
        <v>9</v>
      </c>
      <c r="I285" s="3" t="s">
        <v>10</v>
      </c>
      <c r="J285" s="3"/>
    </row>
    <row r="286" spans="1:10" x14ac:dyDescent="0.25">
      <c r="B286" s="4">
        <v>46127</v>
      </c>
      <c r="C286" s="5" t="s">
        <v>223</v>
      </c>
      <c r="D286" s="5">
        <v>500</v>
      </c>
      <c r="E286" s="6">
        <v>398</v>
      </c>
      <c r="F286" s="7">
        <f t="shared" ref="F286:F295" si="75">E286*D286</f>
        <v>199000</v>
      </c>
      <c r="G286" s="7">
        <v>2.5585</v>
      </c>
      <c r="H286" s="7">
        <f t="shared" ref="H286:H295" si="76">E286*G286</f>
        <v>1018.283</v>
      </c>
      <c r="I286" s="7">
        <f t="shared" ref="I286:I295" si="77">H286*D286</f>
        <v>509141.5</v>
      </c>
      <c r="J286" s="5">
        <f>J285+I286</f>
        <v>509141.5</v>
      </c>
    </row>
    <row r="287" spans="1:10" x14ac:dyDescent="0.25">
      <c r="B287" s="4">
        <v>46129</v>
      </c>
      <c r="C287" s="5" t="s">
        <v>224</v>
      </c>
      <c r="D287" s="5">
        <v>2</v>
      </c>
      <c r="E287" s="6">
        <v>1199</v>
      </c>
      <c r="F287" s="7">
        <f t="shared" si="75"/>
        <v>2398</v>
      </c>
      <c r="G287" s="7">
        <v>2.5585</v>
      </c>
      <c r="H287" s="7">
        <f t="shared" si="76"/>
        <v>3067.6415000000002</v>
      </c>
      <c r="I287" s="7">
        <f t="shared" si="77"/>
        <v>6135.2830000000004</v>
      </c>
      <c r="J287" s="5">
        <f t="shared" ref="J287:J295" si="78">J286+I287</f>
        <v>515276.783</v>
      </c>
    </row>
    <row r="288" spans="1:10" x14ac:dyDescent="0.25">
      <c r="B288" s="4">
        <v>46129</v>
      </c>
      <c r="C288" s="5" t="s">
        <v>225</v>
      </c>
      <c r="D288" s="5">
        <v>2</v>
      </c>
      <c r="E288" s="6">
        <v>1199</v>
      </c>
      <c r="F288" s="7">
        <f t="shared" si="75"/>
        <v>2398</v>
      </c>
      <c r="G288" s="7">
        <v>2.5585</v>
      </c>
      <c r="H288" s="7">
        <f t="shared" si="76"/>
        <v>3067.6415000000002</v>
      </c>
      <c r="I288" s="7">
        <f t="shared" si="77"/>
        <v>6135.2830000000004</v>
      </c>
      <c r="J288" s="5">
        <f t="shared" si="78"/>
        <v>521412.06599999999</v>
      </c>
    </row>
    <row r="289" spans="1:15" x14ac:dyDescent="0.25">
      <c r="B289" s="4">
        <v>46129</v>
      </c>
      <c r="C289" s="5" t="s">
        <v>225</v>
      </c>
      <c r="D289" s="5">
        <v>3</v>
      </c>
      <c r="E289" s="6">
        <v>1199</v>
      </c>
      <c r="F289" s="7">
        <f t="shared" si="75"/>
        <v>3597</v>
      </c>
      <c r="G289" s="7">
        <v>2.5585</v>
      </c>
      <c r="H289" s="7">
        <f t="shared" si="76"/>
        <v>3067.6415000000002</v>
      </c>
      <c r="I289" s="7">
        <f t="shared" si="77"/>
        <v>9202.924500000001</v>
      </c>
      <c r="J289" s="5">
        <f t="shared" si="78"/>
        <v>530614.99049999996</v>
      </c>
    </row>
    <row r="290" spans="1:15" x14ac:dyDescent="0.25">
      <c r="B290" s="61">
        <v>46129</v>
      </c>
      <c r="C290" s="56" t="s">
        <v>225</v>
      </c>
      <c r="D290" s="56">
        <v>1</v>
      </c>
      <c r="E290" s="62">
        <v>750</v>
      </c>
      <c r="F290" s="7">
        <f t="shared" si="75"/>
        <v>750</v>
      </c>
      <c r="G290" s="7">
        <v>2.5585</v>
      </c>
      <c r="H290" s="7">
        <f t="shared" si="76"/>
        <v>1918.875</v>
      </c>
      <c r="I290" s="7">
        <f t="shared" si="77"/>
        <v>1918.875</v>
      </c>
      <c r="J290" s="5">
        <f t="shared" si="78"/>
        <v>532533.86549999996</v>
      </c>
    </row>
    <row r="291" spans="1:15" x14ac:dyDescent="0.25">
      <c r="B291" s="12">
        <v>46130</v>
      </c>
      <c r="C291" s="13" t="s">
        <v>226</v>
      </c>
      <c r="D291" s="13">
        <v>4</v>
      </c>
      <c r="E291" s="15">
        <v>1199</v>
      </c>
      <c r="F291" s="14">
        <f t="shared" si="75"/>
        <v>4796</v>
      </c>
      <c r="G291" s="14">
        <v>2.5585</v>
      </c>
      <c r="H291" s="14">
        <f t="shared" si="76"/>
        <v>3067.6415000000002</v>
      </c>
      <c r="I291" s="14">
        <f t="shared" si="77"/>
        <v>12270.566000000001</v>
      </c>
      <c r="J291" s="13">
        <f t="shared" si="78"/>
        <v>544804.43149999995</v>
      </c>
    </row>
    <row r="292" spans="1:15" x14ac:dyDescent="0.25">
      <c r="B292" s="12">
        <v>46130</v>
      </c>
      <c r="C292" s="13" t="s">
        <v>227</v>
      </c>
      <c r="D292" s="13">
        <v>4</v>
      </c>
      <c r="E292" s="13">
        <v>1199</v>
      </c>
      <c r="F292" s="14">
        <f t="shared" si="75"/>
        <v>4796</v>
      </c>
      <c r="G292" s="14">
        <v>2.5585</v>
      </c>
      <c r="H292" s="14">
        <f t="shared" si="76"/>
        <v>3067.6415000000002</v>
      </c>
      <c r="I292" s="14">
        <f t="shared" si="77"/>
        <v>12270.566000000001</v>
      </c>
      <c r="J292" s="13">
        <f t="shared" si="78"/>
        <v>557074.99749999994</v>
      </c>
    </row>
    <row r="293" spans="1:15" x14ac:dyDescent="0.25">
      <c r="B293" s="8">
        <v>46127</v>
      </c>
      <c r="C293" s="9" t="s">
        <v>228</v>
      </c>
      <c r="D293" s="9">
        <v>1</v>
      </c>
      <c r="E293" s="10">
        <v>200</v>
      </c>
      <c r="F293" s="11">
        <f t="shared" si="75"/>
        <v>200</v>
      </c>
      <c r="G293" s="11">
        <v>2.5585</v>
      </c>
      <c r="H293" s="11">
        <f t="shared" si="76"/>
        <v>511.7</v>
      </c>
      <c r="I293" s="11">
        <f t="shared" si="77"/>
        <v>511.7</v>
      </c>
      <c r="J293" s="9">
        <f t="shared" si="78"/>
        <v>557586.69749999989</v>
      </c>
    </row>
    <row r="294" spans="1:15" x14ac:dyDescent="0.25">
      <c r="B294" s="8">
        <v>46129</v>
      </c>
      <c r="C294" s="9" t="s">
        <v>229</v>
      </c>
      <c r="D294" s="9">
        <v>1</v>
      </c>
      <c r="E294" s="10">
        <v>2350</v>
      </c>
      <c r="F294" s="11">
        <f t="shared" si="75"/>
        <v>2350</v>
      </c>
      <c r="G294" s="11">
        <v>2.5585</v>
      </c>
      <c r="H294" s="11">
        <f t="shared" si="76"/>
        <v>6012.4750000000004</v>
      </c>
      <c r="I294" s="11">
        <f t="shared" si="77"/>
        <v>6012.4750000000004</v>
      </c>
      <c r="J294" s="9">
        <f t="shared" si="78"/>
        <v>563599.17249999987</v>
      </c>
    </row>
    <row r="295" spans="1:15" x14ac:dyDescent="0.25">
      <c r="B295" s="8">
        <v>46120</v>
      </c>
      <c r="C295" s="9" t="s">
        <v>230</v>
      </c>
      <c r="D295" s="9">
        <v>4</v>
      </c>
      <c r="E295" s="10">
        <v>25</v>
      </c>
      <c r="F295" s="11">
        <f t="shared" si="75"/>
        <v>100</v>
      </c>
      <c r="G295" s="11">
        <v>2.5585</v>
      </c>
      <c r="H295" s="11">
        <f t="shared" si="76"/>
        <v>63.962499999999999</v>
      </c>
      <c r="I295" s="11">
        <f t="shared" si="77"/>
        <v>255.85</v>
      </c>
      <c r="J295" s="9">
        <f t="shared" si="78"/>
        <v>563855.02249999985</v>
      </c>
    </row>
    <row r="296" spans="1:15" x14ac:dyDescent="0.25">
      <c r="B296" s="63"/>
      <c r="E296" s="64"/>
      <c r="F296" s="1"/>
      <c r="G296" s="1"/>
      <c r="H296" s="1"/>
      <c r="I296" s="1"/>
    </row>
    <row r="297" spans="1:15" x14ac:dyDescent="0.25">
      <c r="B297" s="63"/>
      <c r="E297" s="64"/>
      <c r="F297" s="1"/>
      <c r="G297" s="1"/>
      <c r="H297" s="1"/>
      <c r="I297" s="1"/>
    </row>
    <row r="298" spans="1:15" x14ac:dyDescent="0.25">
      <c r="B298" s="63"/>
      <c r="E298" s="64"/>
      <c r="F298" s="1"/>
      <c r="G298" s="1"/>
      <c r="H298" s="1"/>
      <c r="I298" s="1"/>
    </row>
    <row r="299" spans="1:15" x14ac:dyDescent="0.25">
      <c r="B299" s="1"/>
      <c r="C299" s="1"/>
      <c r="D299" s="1"/>
      <c r="E299" s="1"/>
      <c r="F299" s="1"/>
      <c r="G299" s="1"/>
      <c r="H299" s="1"/>
      <c r="I299" s="1"/>
      <c r="J299" s="2"/>
    </row>
    <row r="300" spans="1:15" x14ac:dyDescent="0.25">
      <c r="B300" s="1"/>
      <c r="C300" s="1"/>
      <c r="D300" s="1"/>
      <c r="E300" s="1"/>
      <c r="F300" s="1"/>
      <c r="G300" s="1"/>
      <c r="H300" s="1"/>
      <c r="I300" s="1"/>
      <c r="J300" s="2"/>
    </row>
    <row r="301" spans="1:15" x14ac:dyDescent="0.25">
      <c r="B301" s="1"/>
      <c r="C301" s="1"/>
      <c r="D301" s="1"/>
      <c r="E301" s="1"/>
      <c r="F301" s="1"/>
      <c r="G301" s="1"/>
      <c r="H301" s="1"/>
      <c r="I301" s="1"/>
      <c r="J301" s="2"/>
    </row>
    <row r="302" spans="1:15" x14ac:dyDescent="0.25">
      <c r="B302" s="1"/>
      <c r="C302" s="1"/>
      <c r="D302" s="1"/>
      <c r="E302" s="1"/>
      <c r="F302" s="1"/>
      <c r="G302" s="1"/>
      <c r="H302" s="1"/>
      <c r="I302" s="1"/>
      <c r="J302" s="2"/>
    </row>
    <row r="303" spans="1:15" ht="21" x14ac:dyDescent="0.35">
      <c r="A303" t="s">
        <v>0</v>
      </c>
      <c r="B303" s="74" t="s">
        <v>1</v>
      </c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</row>
    <row r="304" spans="1:15" ht="18.75" x14ac:dyDescent="0.3">
      <c r="A304" t="s">
        <v>2</v>
      </c>
      <c r="B304" s="22" t="s">
        <v>3</v>
      </c>
      <c r="C304" s="22" t="s">
        <v>4</v>
      </c>
      <c r="D304" s="22" t="s">
        <v>60</v>
      </c>
      <c r="E304" s="22" t="s">
        <v>61</v>
      </c>
      <c r="F304" s="22" t="s">
        <v>5</v>
      </c>
      <c r="G304" s="22" t="s">
        <v>62</v>
      </c>
      <c r="H304" s="22" t="s">
        <v>63</v>
      </c>
      <c r="I304" s="22" t="s">
        <v>64</v>
      </c>
      <c r="J304" s="22" t="s">
        <v>65</v>
      </c>
      <c r="K304" s="22" t="s">
        <v>66</v>
      </c>
      <c r="L304" s="22" t="s">
        <v>67</v>
      </c>
      <c r="M304" s="22" t="s">
        <v>68</v>
      </c>
      <c r="N304" s="22" t="s">
        <v>10</v>
      </c>
      <c r="O304" s="23"/>
    </row>
    <row r="305" spans="1:15" x14ac:dyDescent="0.25">
      <c r="B305" s="12">
        <v>46120</v>
      </c>
      <c r="C305" s="13" t="s">
        <v>231</v>
      </c>
      <c r="D305" s="5"/>
      <c r="E305" s="7"/>
      <c r="F305" s="5">
        <v>2</v>
      </c>
      <c r="G305" s="6">
        <v>2199</v>
      </c>
      <c r="H305" s="7">
        <v>10</v>
      </c>
      <c r="I305" s="7">
        <f t="shared" ref="I305:I311" si="79">G305*H305%</f>
        <v>219.9</v>
      </c>
      <c r="J305" s="5">
        <f t="shared" ref="J305:J311" si="80">G305-I305</f>
        <v>1979.1</v>
      </c>
      <c r="K305" s="5">
        <f>F305*J305</f>
        <v>3958.2</v>
      </c>
      <c r="L305" s="7">
        <v>2.5585</v>
      </c>
      <c r="M305" s="5">
        <v>5063.5200000000004</v>
      </c>
      <c r="N305" s="5">
        <f>F305*M305</f>
        <v>10127.040000000001</v>
      </c>
      <c r="O305" s="5">
        <f>O304+N305</f>
        <v>10127.040000000001</v>
      </c>
    </row>
    <row r="306" spans="1:15" x14ac:dyDescent="0.25">
      <c r="B306" s="12">
        <v>46120</v>
      </c>
      <c r="C306" s="13" t="s">
        <v>232</v>
      </c>
      <c r="D306" s="5"/>
      <c r="E306" s="7"/>
      <c r="F306" s="5">
        <v>2</v>
      </c>
      <c r="G306" s="6">
        <v>2199</v>
      </c>
      <c r="H306" s="7">
        <v>10</v>
      </c>
      <c r="I306" s="7">
        <f t="shared" si="79"/>
        <v>219.9</v>
      </c>
      <c r="J306" s="5">
        <f t="shared" si="80"/>
        <v>1979.1</v>
      </c>
      <c r="K306" s="5">
        <f t="shared" ref="K306:K311" si="81">F306*J306</f>
        <v>3958.2</v>
      </c>
      <c r="L306" s="7">
        <v>2.5585</v>
      </c>
      <c r="M306" s="5">
        <f t="shared" ref="M306:M311" si="82">J306*L306</f>
        <v>5063.5273499999994</v>
      </c>
      <c r="N306" s="5">
        <f t="shared" ref="N306:N311" si="83">F306*M306</f>
        <v>10127.054699999999</v>
      </c>
      <c r="O306" s="5">
        <f t="shared" ref="O306:O311" si="84">O305+N306</f>
        <v>20254.094700000001</v>
      </c>
    </row>
    <row r="307" spans="1:15" x14ac:dyDescent="0.25">
      <c r="B307" s="4">
        <v>46119</v>
      </c>
      <c r="C307" s="5" t="s">
        <v>233</v>
      </c>
      <c r="D307" s="7"/>
      <c r="E307" s="7"/>
      <c r="F307" s="5">
        <v>40</v>
      </c>
      <c r="G307" s="6">
        <v>2199</v>
      </c>
      <c r="H307" s="7">
        <v>10</v>
      </c>
      <c r="I307" s="7">
        <f t="shared" si="79"/>
        <v>219.9</v>
      </c>
      <c r="J307" s="5">
        <f t="shared" si="80"/>
        <v>1979.1</v>
      </c>
      <c r="K307" s="5">
        <f t="shared" si="81"/>
        <v>79164</v>
      </c>
      <c r="L307" s="7">
        <v>2.5585</v>
      </c>
      <c r="M307" s="5">
        <f t="shared" si="82"/>
        <v>5063.5273499999994</v>
      </c>
      <c r="N307" s="5">
        <f t="shared" si="83"/>
        <v>202541.09399999998</v>
      </c>
      <c r="O307" s="5">
        <f t="shared" si="84"/>
        <v>222795.1887</v>
      </c>
    </row>
    <row r="308" spans="1:15" x14ac:dyDescent="0.25">
      <c r="B308" s="4">
        <v>46119</v>
      </c>
      <c r="C308" s="5" t="s">
        <v>234</v>
      </c>
      <c r="D308" s="7"/>
      <c r="E308" s="7"/>
      <c r="F308" s="5">
        <v>6</v>
      </c>
      <c r="G308" s="6">
        <v>689</v>
      </c>
      <c r="H308" s="7">
        <v>10</v>
      </c>
      <c r="I308" s="7">
        <f t="shared" si="79"/>
        <v>68.900000000000006</v>
      </c>
      <c r="J308" s="5">
        <f t="shared" si="80"/>
        <v>620.1</v>
      </c>
      <c r="K308" s="5">
        <f t="shared" si="81"/>
        <v>3720.6000000000004</v>
      </c>
      <c r="L308" s="7">
        <v>2.5585</v>
      </c>
      <c r="M308" s="5">
        <f t="shared" si="82"/>
        <v>1586.52585</v>
      </c>
      <c r="N308" s="5">
        <f t="shared" si="83"/>
        <v>9519.1550999999999</v>
      </c>
      <c r="O308" s="5">
        <f t="shared" si="84"/>
        <v>232314.3438</v>
      </c>
    </row>
    <row r="309" spans="1:15" x14ac:dyDescent="0.25">
      <c r="B309" s="4">
        <v>46119</v>
      </c>
      <c r="C309" s="5" t="s">
        <v>235</v>
      </c>
      <c r="D309" s="7"/>
      <c r="E309" s="7"/>
      <c r="F309" s="5">
        <v>7</v>
      </c>
      <c r="G309" s="6">
        <v>398</v>
      </c>
      <c r="H309" s="7">
        <v>10</v>
      </c>
      <c r="I309" s="7">
        <f t="shared" si="79"/>
        <v>39.800000000000004</v>
      </c>
      <c r="J309" s="5">
        <f t="shared" si="80"/>
        <v>358.2</v>
      </c>
      <c r="K309" s="5">
        <f t="shared" si="81"/>
        <v>2507.4</v>
      </c>
      <c r="L309" s="7">
        <v>2.5585</v>
      </c>
      <c r="M309" s="5">
        <f t="shared" si="82"/>
        <v>916.4547</v>
      </c>
      <c r="N309" s="5">
        <f t="shared" si="83"/>
        <v>6415.1828999999998</v>
      </c>
      <c r="O309" s="5">
        <f t="shared" si="84"/>
        <v>238729.52669999999</v>
      </c>
    </row>
    <row r="310" spans="1:15" x14ac:dyDescent="0.25">
      <c r="B310" s="4">
        <v>46119</v>
      </c>
      <c r="C310" s="5" t="s">
        <v>236</v>
      </c>
      <c r="D310" s="7"/>
      <c r="E310" s="7"/>
      <c r="F310" s="5">
        <v>60</v>
      </c>
      <c r="G310" s="6">
        <v>398</v>
      </c>
      <c r="H310" s="7">
        <v>10</v>
      </c>
      <c r="I310" s="7">
        <f t="shared" si="79"/>
        <v>39.800000000000004</v>
      </c>
      <c r="J310" s="5">
        <f t="shared" si="80"/>
        <v>358.2</v>
      </c>
      <c r="K310" s="5">
        <f t="shared" si="81"/>
        <v>21492</v>
      </c>
      <c r="L310" s="7">
        <v>2.5585</v>
      </c>
      <c r="M310" s="5">
        <f t="shared" si="82"/>
        <v>916.4547</v>
      </c>
      <c r="N310" s="5">
        <f t="shared" si="83"/>
        <v>54987.281999999999</v>
      </c>
      <c r="O310" s="5">
        <f t="shared" si="84"/>
        <v>293716.80869999999</v>
      </c>
    </row>
    <row r="311" spans="1:15" x14ac:dyDescent="0.25">
      <c r="B311" s="7"/>
      <c r="C311" s="7"/>
      <c r="D311" s="7"/>
      <c r="E311" s="7"/>
      <c r="F311" s="7"/>
      <c r="G311" s="7"/>
      <c r="H311" s="7"/>
      <c r="I311" s="7">
        <f t="shared" si="79"/>
        <v>0</v>
      </c>
      <c r="J311" s="5">
        <f t="shared" si="80"/>
        <v>0</v>
      </c>
      <c r="K311" s="5">
        <f t="shared" si="81"/>
        <v>0</v>
      </c>
      <c r="L311" s="5"/>
      <c r="M311" s="5">
        <f t="shared" si="82"/>
        <v>0</v>
      </c>
      <c r="N311" s="5">
        <f t="shared" si="83"/>
        <v>0</v>
      </c>
      <c r="O311" s="5">
        <f t="shared" si="84"/>
        <v>293716.80869999999</v>
      </c>
    </row>
    <row r="312" spans="1:15" x14ac:dyDescent="0.25">
      <c r="B312" s="1"/>
      <c r="C312" s="1"/>
      <c r="D312" s="1"/>
      <c r="E312" s="1"/>
      <c r="F312" s="1"/>
      <c r="G312" s="1"/>
      <c r="H312" s="1"/>
      <c r="I312" s="1"/>
      <c r="J312" s="2"/>
    </row>
    <row r="313" spans="1:15" x14ac:dyDescent="0.25">
      <c r="B313" s="1"/>
      <c r="C313" s="1"/>
      <c r="D313" s="1"/>
      <c r="E313" s="1"/>
      <c r="F313" s="1"/>
      <c r="G313" s="1"/>
      <c r="H313" s="1"/>
      <c r="I313" s="1"/>
      <c r="J313" s="2"/>
    </row>
    <row r="314" spans="1:15" x14ac:dyDescent="0.25">
      <c r="B314" s="1"/>
      <c r="C314" s="1"/>
      <c r="D314" s="1"/>
      <c r="E314" s="1"/>
      <c r="F314" s="1"/>
      <c r="G314" s="1"/>
      <c r="H314" s="1"/>
      <c r="I314" s="1"/>
      <c r="J314" s="2"/>
    </row>
    <row r="315" spans="1:15" x14ac:dyDescent="0.25">
      <c r="B315" s="1"/>
      <c r="C315" s="1"/>
      <c r="D315" s="1"/>
      <c r="E315" s="1"/>
      <c r="F315" s="1"/>
      <c r="G315" s="1"/>
      <c r="H315" s="1"/>
      <c r="I315" s="1"/>
      <c r="J315" s="2"/>
    </row>
    <row r="316" spans="1:15" x14ac:dyDescent="0.25">
      <c r="B316" s="1"/>
      <c r="C316" s="1"/>
      <c r="D316" s="1"/>
      <c r="E316" s="1"/>
      <c r="F316" s="1"/>
      <c r="G316" s="1"/>
      <c r="H316" s="1"/>
      <c r="I316" s="1"/>
      <c r="J316" s="2"/>
    </row>
    <row r="317" spans="1:15" x14ac:dyDescent="0.25">
      <c r="B317" s="1"/>
      <c r="C317" s="1"/>
      <c r="D317" s="1"/>
      <c r="E317" s="1"/>
      <c r="F317" s="1"/>
      <c r="G317" s="1"/>
      <c r="H317" s="1"/>
      <c r="I317" s="1"/>
      <c r="J317" s="2"/>
    </row>
    <row r="318" spans="1:15" ht="21" x14ac:dyDescent="0.35">
      <c r="A318" t="s">
        <v>0</v>
      </c>
      <c r="B318" s="73" t="s">
        <v>34</v>
      </c>
      <c r="C318" s="73"/>
      <c r="D318" s="73"/>
      <c r="E318" s="73"/>
      <c r="F318" s="73"/>
      <c r="G318" s="73"/>
      <c r="H318" s="73"/>
      <c r="I318" s="73"/>
      <c r="J318" s="73"/>
    </row>
    <row r="319" spans="1:15" ht="18.75" x14ac:dyDescent="0.3">
      <c r="A319" t="s">
        <v>2</v>
      </c>
      <c r="B319" s="3" t="s">
        <v>3</v>
      </c>
      <c r="C319" s="3" t="s">
        <v>4</v>
      </c>
      <c r="D319" s="3" t="s">
        <v>5</v>
      </c>
      <c r="E319" s="3" t="s">
        <v>6</v>
      </c>
      <c r="F319" s="3" t="s">
        <v>7</v>
      </c>
      <c r="G319" s="3" t="s">
        <v>8</v>
      </c>
      <c r="H319" s="3" t="s">
        <v>9</v>
      </c>
      <c r="I319" s="3" t="s">
        <v>10</v>
      </c>
      <c r="J319" s="3"/>
    </row>
    <row r="320" spans="1:15" x14ac:dyDescent="0.25">
      <c r="B320" s="17">
        <v>46132</v>
      </c>
      <c r="C320" s="18" t="s">
        <v>237</v>
      </c>
      <c r="D320" s="18">
        <v>1</v>
      </c>
      <c r="E320" s="18">
        <v>1649</v>
      </c>
      <c r="F320" s="20">
        <f>E320*D320</f>
        <v>1649</v>
      </c>
      <c r="G320" s="20">
        <v>2.15</v>
      </c>
      <c r="H320" s="20">
        <f>E320*G320</f>
        <v>3545.35</v>
      </c>
      <c r="I320" s="20">
        <f>H320*D320</f>
        <v>3545.35</v>
      </c>
      <c r="J320" s="18">
        <f>J319+I320</f>
        <v>3545.35</v>
      </c>
    </row>
    <row r="321" spans="1:15" x14ac:dyDescent="0.25">
      <c r="B321" s="17">
        <v>46132</v>
      </c>
      <c r="C321" s="18" t="s">
        <v>238</v>
      </c>
      <c r="D321" s="18">
        <v>1</v>
      </c>
      <c r="E321" s="18">
        <v>17999</v>
      </c>
      <c r="F321" s="20">
        <f t="shared" ref="F321:F328" si="85">E321*D321</f>
        <v>17999</v>
      </c>
      <c r="G321" s="20">
        <v>2.15</v>
      </c>
      <c r="H321" s="20">
        <f t="shared" ref="H321:H328" si="86">E321*G321</f>
        <v>38697.85</v>
      </c>
      <c r="I321" s="20">
        <f t="shared" ref="I321:I328" si="87">H321*D321</f>
        <v>38697.85</v>
      </c>
      <c r="J321" s="18">
        <f t="shared" ref="J321:J328" si="88">J320+I321</f>
        <v>42243.199999999997</v>
      </c>
    </row>
    <row r="322" spans="1:15" x14ac:dyDescent="0.25">
      <c r="B322" s="17">
        <v>46132</v>
      </c>
      <c r="C322" s="18" t="s">
        <v>239</v>
      </c>
      <c r="D322" s="18">
        <v>5</v>
      </c>
      <c r="E322" s="18">
        <v>786</v>
      </c>
      <c r="F322" s="20">
        <f t="shared" si="85"/>
        <v>3930</v>
      </c>
      <c r="G322" s="20">
        <v>2.15</v>
      </c>
      <c r="H322" s="20">
        <f t="shared" si="86"/>
        <v>1689.8999999999999</v>
      </c>
      <c r="I322" s="20">
        <f t="shared" si="87"/>
        <v>8449.5</v>
      </c>
      <c r="J322" s="18">
        <f t="shared" si="88"/>
        <v>50692.7</v>
      </c>
    </row>
    <row r="323" spans="1:15" x14ac:dyDescent="0.25">
      <c r="B323" s="17">
        <v>46134</v>
      </c>
      <c r="C323" s="18" t="s">
        <v>240</v>
      </c>
      <c r="D323" s="18">
        <v>10</v>
      </c>
      <c r="E323" s="18">
        <v>1579</v>
      </c>
      <c r="F323" s="20">
        <f t="shared" si="85"/>
        <v>15790</v>
      </c>
      <c r="G323" s="20">
        <v>2.15</v>
      </c>
      <c r="H323" s="20">
        <f t="shared" si="86"/>
        <v>3394.85</v>
      </c>
      <c r="I323" s="20">
        <f t="shared" si="87"/>
        <v>33948.5</v>
      </c>
      <c r="J323" s="18">
        <f t="shared" si="88"/>
        <v>84641.2</v>
      </c>
    </row>
    <row r="324" spans="1:15" x14ac:dyDescent="0.25">
      <c r="B324" s="17">
        <v>46136</v>
      </c>
      <c r="C324" s="18" t="s">
        <v>241</v>
      </c>
      <c r="D324" s="18">
        <v>10</v>
      </c>
      <c r="E324" s="18">
        <v>1489</v>
      </c>
      <c r="F324" s="20">
        <f t="shared" si="85"/>
        <v>14890</v>
      </c>
      <c r="G324" s="20">
        <v>2.15</v>
      </c>
      <c r="H324" s="20">
        <f t="shared" si="86"/>
        <v>3201.35</v>
      </c>
      <c r="I324" s="20">
        <f t="shared" si="87"/>
        <v>32013.5</v>
      </c>
      <c r="J324" s="18">
        <f t="shared" si="88"/>
        <v>116654.7</v>
      </c>
    </row>
    <row r="325" spans="1:15" x14ac:dyDescent="0.25">
      <c r="B325" s="17">
        <v>46136</v>
      </c>
      <c r="C325" s="18" t="s">
        <v>241</v>
      </c>
      <c r="D325" s="65">
        <v>10</v>
      </c>
      <c r="E325" s="65">
        <v>1489</v>
      </c>
      <c r="F325" s="20">
        <f t="shared" si="85"/>
        <v>14890</v>
      </c>
      <c r="G325" s="20">
        <v>2.15</v>
      </c>
      <c r="H325" s="20">
        <f t="shared" si="86"/>
        <v>3201.35</v>
      </c>
      <c r="I325" s="20">
        <f t="shared" si="87"/>
        <v>32013.5</v>
      </c>
      <c r="J325" s="18">
        <f t="shared" si="88"/>
        <v>148668.20000000001</v>
      </c>
    </row>
    <row r="326" spans="1:15" x14ac:dyDescent="0.25">
      <c r="B326" s="20"/>
      <c r="C326" s="20"/>
      <c r="D326" s="20"/>
      <c r="E326" s="20"/>
      <c r="F326" s="20">
        <f t="shared" si="85"/>
        <v>0</v>
      </c>
      <c r="G326" s="20"/>
      <c r="H326" s="20">
        <f t="shared" si="86"/>
        <v>0</v>
      </c>
      <c r="I326" s="20">
        <f t="shared" si="87"/>
        <v>0</v>
      </c>
      <c r="J326" s="18">
        <f t="shared" si="88"/>
        <v>148668.20000000001</v>
      </c>
    </row>
    <row r="327" spans="1:15" x14ac:dyDescent="0.25">
      <c r="B327" s="7"/>
      <c r="C327" s="7"/>
      <c r="D327" s="7"/>
      <c r="E327" s="7"/>
      <c r="F327" s="7">
        <f t="shared" si="85"/>
        <v>0</v>
      </c>
      <c r="G327" s="7"/>
      <c r="H327" s="7">
        <f t="shared" si="86"/>
        <v>0</v>
      </c>
      <c r="I327" s="7">
        <f t="shared" si="87"/>
        <v>0</v>
      </c>
      <c r="J327" s="5">
        <f t="shared" si="88"/>
        <v>148668.20000000001</v>
      </c>
    </row>
    <row r="328" spans="1:15" x14ac:dyDescent="0.25">
      <c r="B328" s="7"/>
      <c r="C328" s="7"/>
      <c r="D328" s="7"/>
      <c r="E328" s="7"/>
      <c r="F328" s="7">
        <f t="shared" si="85"/>
        <v>0</v>
      </c>
      <c r="G328" s="7"/>
      <c r="H328" s="7">
        <f t="shared" si="86"/>
        <v>0</v>
      </c>
      <c r="I328" s="7">
        <f t="shared" si="87"/>
        <v>0</v>
      </c>
      <c r="J328" s="5">
        <f t="shared" si="88"/>
        <v>148668.20000000001</v>
      </c>
    </row>
    <row r="329" spans="1:15" x14ac:dyDescent="0.25">
      <c r="B329" s="1"/>
      <c r="C329" s="1"/>
      <c r="D329" s="1"/>
      <c r="E329" s="1"/>
      <c r="F329" s="1"/>
      <c r="G329" s="1"/>
      <c r="H329" s="1"/>
      <c r="I329" s="1"/>
      <c r="J329" s="2"/>
    </row>
    <row r="330" spans="1:15" x14ac:dyDescent="0.25">
      <c r="B330" s="1"/>
      <c r="C330" s="1"/>
      <c r="D330" s="1"/>
      <c r="E330" s="1"/>
      <c r="F330" s="1"/>
      <c r="G330" s="1"/>
      <c r="H330" s="1"/>
      <c r="I330" s="1"/>
      <c r="J330" s="2"/>
    </row>
    <row r="331" spans="1:15" x14ac:dyDescent="0.25">
      <c r="B331" s="1"/>
      <c r="C331" s="1"/>
      <c r="D331" s="1"/>
      <c r="E331" s="1"/>
      <c r="F331" s="1"/>
      <c r="G331" s="1"/>
      <c r="H331" s="1"/>
      <c r="I331" s="1"/>
      <c r="J331" s="2"/>
    </row>
    <row r="332" spans="1:15" x14ac:dyDescent="0.25">
      <c r="B332" s="1"/>
      <c r="C332" s="1"/>
      <c r="D332" s="1"/>
      <c r="E332" s="1"/>
      <c r="F332" s="1"/>
      <c r="G332" s="1"/>
      <c r="H332" s="1"/>
      <c r="I332" s="1"/>
      <c r="J332" s="2"/>
    </row>
    <row r="333" spans="1:15" x14ac:dyDescent="0.25">
      <c r="B333" s="1"/>
      <c r="C333" s="1"/>
      <c r="D333" s="1"/>
      <c r="E333" s="1"/>
      <c r="F333" s="1"/>
      <c r="G333" s="1"/>
      <c r="H333" s="1"/>
      <c r="I333" s="1"/>
      <c r="J333" s="2"/>
    </row>
    <row r="334" spans="1:15" x14ac:dyDescent="0.25">
      <c r="B334" s="1"/>
      <c r="C334" s="1"/>
      <c r="D334" s="1"/>
      <c r="E334" s="1"/>
      <c r="F334" s="1"/>
      <c r="G334" s="1"/>
      <c r="H334" s="1"/>
      <c r="I334" s="1"/>
      <c r="J334" s="2"/>
    </row>
    <row r="335" spans="1:15" ht="21" x14ac:dyDescent="0.35">
      <c r="A335" t="s">
        <v>0</v>
      </c>
      <c r="B335" s="74" t="s">
        <v>1</v>
      </c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</row>
    <row r="336" spans="1:15" ht="18.75" x14ac:dyDescent="0.3">
      <c r="A336" t="s">
        <v>2</v>
      </c>
      <c r="B336" s="22" t="s">
        <v>3</v>
      </c>
      <c r="C336" s="22" t="s">
        <v>4</v>
      </c>
      <c r="D336" s="22" t="s">
        <v>60</v>
      </c>
      <c r="E336" s="22" t="s">
        <v>61</v>
      </c>
      <c r="F336" s="22" t="s">
        <v>5</v>
      </c>
      <c r="G336" s="22" t="s">
        <v>62</v>
      </c>
      <c r="H336" s="22" t="s">
        <v>63</v>
      </c>
      <c r="I336" s="22" t="s">
        <v>64</v>
      </c>
      <c r="J336" s="22" t="s">
        <v>65</v>
      </c>
      <c r="K336" s="22" t="s">
        <v>66</v>
      </c>
      <c r="L336" s="22" t="s">
        <v>67</v>
      </c>
      <c r="M336" s="22" t="s">
        <v>68</v>
      </c>
      <c r="N336" s="22" t="s">
        <v>10</v>
      </c>
      <c r="O336" s="23"/>
    </row>
    <row r="337" spans="2:15" x14ac:dyDescent="0.25">
      <c r="B337" s="17">
        <v>46138</v>
      </c>
      <c r="C337" s="18" t="s">
        <v>242</v>
      </c>
      <c r="D337" s="18" t="s">
        <v>243</v>
      </c>
      <c r="E337" s="18" t="s">
        <v>244</v>
      </c>
      <c r="F337" s="18">
        <v>2</v>
      </c>
      <c r="G337" s="33">
        <v>2199</v>
      </c>
      <c r="H337" s="20">
        <v>10</v>
      </c>
      <c r="I337" s="20">
        <f>G337*H337%</f>
        <v>219.9</v>
      </c>
      <c r="J337" s="18">
        <f>G337-I337</f>
        <v>1979.1</v>
      </c>
      <c r="K337" s="18">
        <f>F337*J337</f>
        <v>3958.2</v>
      </c>
      <c r="L337" s="18">
        <v>2.5994000000000002</v>
      </c>
      <c r="M337" s="18">
        <f>J337*L337</f>
        <v>5144.4725399999998</v>
      </c>
      <c r="N337" s="18">
        <f>F337*M337</f>
        <v>10288.94508</v>
      </c>
      <c r="O337" s="18">
        <f>O336+N337</f>
        <v>10288.94508</v>
      </c>
    </row>
    <row r="338" spans="2:15" x14ac:dyDescent="0.25">
      <c r="B338" s="17">
        <v>46138</v>
      </c>
      <c r="C338" s="18" t="s">
        <v>245</v>
      </c>
      <c r="D338" s="18" t="s">
        <v>243</v>
      </c>
      <c r="E338" s="18" t="s">
        <v>244</v>
      </c>
      <c r="F338" s="18">
        <v>2</v>
      </c>
      <c r="G338" s="33">
        <v>2199</v>
      </c>
      <c r="H338" s="20">
        <v>10</v>
      </c>
      <c r="I338" s="20">
        <f t="shared" ref="I338:I355" si="89">G338*H338%</f>
        <v>219.9</v>
      </c>
      <c r="J338" s="18">
        <f t="shared" ref="J338:J355" si="90">G338-I338</f>
        <v>1979.1</v>
      </c>
      <c r="K338" s="18">
        <f t="shared" ref="K338:K355" si="91">F338*J338</f>
        <v>3958.2</v>
      </c>
      <c r="L338" s="18">
        <v>2.5994000000000002</v>
      </c>
      <c r="M338" s="18">
        <f t="shared" ref="M338:M355" si="92">J338*L338</f>
        <v>5144.4725399999998</v>
      </c>
      <c r="N338" s="18">
        <f t="shared" ref="N338:N355" si="93">F338*M338</f>
        <v>10288.94508</v>
      </c>
      <c r="O338" s="18">
        <f t="shared" ref="O338:O355" si="94">O337+N338</f>
        <v>20577.890159999999</v>
      </c>
    </row>
    <row r="339" spans="2:15" x14ac:dyDescent="0.25">
      <c r="B339" s="17">
        <v>46138</v>
      </c>
      <c r="C339" s="18" t="s">
        <v>213</v>
      </c>
      <c r="D339" s="18" t="s">
        <v>243</v>
      </c>
      <c r="E339" s="18" t="s">
        <v>244</v>
      </c>
      <c r="F339" s="18">
        <v>1</v>
      </c>
      <c r="G339" s="33">
        <v>399</v>
      </c>
      <c r="H339" s="20">
        <v>10</v>
      </c>
      <c r="I339" s="20">
        <f t="shared" si="89"/>
        <v>39.900000000000006</v>
      </c>
      <c r="J339" s="18">
        <f t="shared" si="90"/>
        <v>359.1</v>
      </c>
      <c r="K339" s="18">
        <f t="shared" si="91"/>
        <v>359.1</v>
      </c>
      <c r="L339" s="18">
        <v>2.5994000000000002</v>
      </c>
      <c r="M339" s="18">
        <f t="shared" si="92"/>
        <v>933.44454000000007</v>
      </c>
      <c r="N339" s="18">
        <f t="shared" si="93"/>
        <v>933.44454000000007</v>
      </c>
      <c r="O339" s="18">
        <f t="shared" si="94"/>
        <v>21511.334699999999</v>
      </c>
    </row>
    <row r="340" spans="2:15" x14ac:dyDescent="0.25">
      <c r="B340" s="17">
        <v>46138</v>
      </c>
      <c r="C340" s="18" t="s">
        <v>246</v>
      </c>
      <c r="D340" s="18" t="s">
        <v>243</v>
      </c>
      <c r="E340" s="18" t="s">
        <v>244</v>
      </c>
      <c r="F340" s="18">
        <v>1</v>
      </c>
      <c r="G340" s="33">
        <v>1400</v>
      </c>
      <c r="H340" s="20">
        <v>10</v>
      </c>
      <c r="I340" s="20">
        <f t="shared" si="89"/>
        <v>140</v>
      </c>
      <c r="J340" s="18">
        <f t="shared" si="90"/>
        <v>1260</v>
      </c>
      <c r="K340" s="18">
        <f t="shared" si="91"/>
        <v>1260</v>
      </c>
      <c r="L340" s="18">
        <v>2.5994000000000002</v>
      </c>
      <c r="M340" s="18">
        <f t="shared" si="92"/>
        <v>3275.2440000000001</v>
      </c>
      <c r="N340" s="18">
        <f t="shared" si="93"/>
        <v>3275.2440000000001</v>
      </c>
      <c r="O340" s="18">
        <f t="shared" si="94"/>
        <v>24786.578699999998</v>
      </c>
    </row>
    <row r="341" spans="2:15" x14ac:dyDescent="0.25">
      <c r="B341" s="17">
        <v>46138</v>
      </c>
      <c r="C341" s="18" t="s">
        <v>247</v>
      </c>
      <c r="D341" s="18" t="s">
        <v>243</v>
      </c>
      <c r="E341" s="18" t="s">
        <v>244</v>
      </c>
      <c r="F341" s="18">
        <v>1</v>
      </c>
      <c r="G341" s="33">
        <v>675.79</v>
      </c>
      <c r="H341" s="20">
        <v>10</v>
      </c>
      <c r="I341" s="20">
        <f t="shared" si="89"/>
        <v>67.578999999999994</v>
      </c>
      <c r="J341" s="18">
        <f t="shared" si="90"/>
        <v>608.21100000000001</v>
      </c>
      <c r="K341" s="18">
        <f t="shared" si="91"/>
        <v>608.21100000000001</v>
      </c>
      <c r="L341" s="18">
        <v>2.5994000000000002</v>
      </c>
      <c r="M341" s="18">
        <f t="shared" si="92"/>
        <v>1580.9836734</v>
      </c>
      <c r="N341" s="18">
        <f t="shared" si="93"/>
        <v>1580.9836734</v>
      </c>
      <c r="O341" s="18">
        <f t="shared" si="94"/>
        <v>26367.562373399996</v>
      </c>
    </row>
    <row r="342" spans="2:15" x14ac:dyDescent="0.25">
      <c r="B342" s="17">
        <v>46139</v>
      </c>
      <c r="C342" s="18" t="s">
        <v>245</v>
      </c>
      <c r="D342" s="18" t="s">
        <v>243</v>
      </c>
      <c r="E342" s="18" t="s">
        <v>244</v>
      </c>
      <c r="F342" s="18">
        <v>2</v>
      </c>
      <c r="G342" s="33">
        <v>2199</v>
      </c>
      <c r="H342" s="20">
        <v>10</v>
      </c>
      <c r="I342" s="20">
        <f t="shared" si="89"/>
        <v>219.9</v>
      </c>
      <c r="J342" s="18">
        <f t="shared" si="90"/>
        <v>1979.1</v>
      </c>
      <c r="K342" s="18">
        <f t="shared" si="91"/>
        <v>3958.2</v>
      </c>
      <c r="L342" s="18">
        <v>2.5994000000000002</v>
      </c>
      <c r="M342" s="18">
        <f t="shared" si="92"/>
        <v>5144.4725399999998</v>
      </c>
      <c r="N342" s="18">
        <f t="shared" si="93"/>
        <v>10288.94508</v>
      </c>
      <c r="O342" s="18">
        <f t="shared" si="94"/>
        <v>36656.507453399994</v>
      </c>
    </row>
    <row r="343" spans="2:15" x14ac:dyDescent="0.25">
      <c r="B343" s="17">
        <v>46139</v>
      </c>
      <c r="C343" s="18" t="s">
        <v>247</v>
      </c>
      <c r="D343" s="18" t="s">
        <v>243</v>
      </c>
      <c r="E343" s="18" t="s">
        <v>244</v>
      </c>
      <c r="F343" s="18">
        <v>1</v>
      </c>
      <c r="G343" s="33">
        <v>689</v>
      </c>
      <c r="H343" s="20">
        <v>10</v>
      </c>
      <c r="I343" s="20">
        <f t="shared" si="89"/>
        <v>68.900000000000006</v>
      </c>
      <c r="J343" s="18">
        <f t="shared" si="90"/>
        <v>620.1</v>
      </c>
      <c r="K343" s="18">
        <f t="shared" si="91"/>
        <v>620.1</v>
      </c>
      <c r="L343" s="18">
        <v>2.5994000000000002</v>
      </c>
      <c r="M343" s="18">
        <f t="shared" si="92"/>
        <v>1611.8879400000001</v>
      </c>
      <c r="N343" s="18">
        <f t="shared" si="93"/>
        <v>1611.8879400000001</v>
      </c>
      <c r="O343" s="18">
        <f t="shared" si="94"/>
        <v>38268.395393399995</v>
      </c>
    </row>
    <row r="344" spans="2:15" x14ac:dyDescent="0.25">
      <c r="B344" s="17">
        <v>46139</v>
      </c>
      <c r="C344" s="18" t="s">
        <v>248</v>
      </c>
      <c r="D344" s="18" t="s">
        <v>243</v>
      </c>
      <c r="E344" s="18" t="s">
        <v>244</v>
      </c>
      <c r="F344" s="18">
        <v>1</v>
      </c>
      <c r="G344" s="33">
        <v>4500</v>
      </c>
      <c r="H344" s="20">
        <v>10</v>
      </c>
      <c r="I344" s="20">
        <f t="shared" si="89"/>
        <v>450</v>
      </c>
      <c r="J344" s="18">
        <f t="shared" si="90"/>
        <v>4050</v>
      </c>
      <c r="K344" s="18">
        <f t="shared" si="91"/>
        <v>4050</v>
      </c>
      <c r="L344" s="18">
        <v>2.5994000000000002</v>
      </c>
      <c r="M344" s="18">
        <f t="shared" si="92"/>
        <v>10527.570000000002</v>
      </c>
      <c r="N344" s="18">
        <f t="shared" si="93"/>
        <v>10527.570000000002</v>
      </c>
      <c r="O344" s="18">
        <f t="shared" si="94"/>
        <v>48795.965393399994</v>
      </c>
    </row>
    <row r="345" spans="2:15" x14ac:dyDescent="0.25">
      <c r="B345" s="17">
        <v>46139</v>
      </c>
      <c r="C345" s="18" t="s">
        <v>213</v>
      </c>
      <c r="D345" s="18" t="s">
        <v>243</v>
      </c>
      <c r="E345" s="18" t="s">
        <v>244</v>
      </c>
      <c r="F345" s="18">
        <v>1</v>
      </c>
      <c r="G345" s="33">
        <v>299</v>
      </c>
      <c r="H345" s="20">
        <v>10</v>
      </c>
      <c r="I345" s="20">
        <f t="shared" si="89"/>
        <v>29.900000000000002</v>
      </c>
      <c r="J345" s="18">
        <f t="shared" si="90"/>
        <v>269.10000000000002</v>
      </c>
      <c r="K345" s="18">
        <f t="shared" si="91"/>
        <v>269.10000000000002</v>
      </c>
      <c r="L345" s="18">
        <v>2.5994000000000002</v>
      </c>
      <c r="M345" s="18">
        <f t="shared" si="92"/>
        <v>699.49854000000005</v>
      </c>
      <c r="N345" s="18">
        <f t="shared" si="93"/>
        <v>699.49854000000005</v>
      </c>
      <c r="O345" s="18">
        <f t="shared" si="94"/>
        <v>49495.463933399995</v>
      </c>
    </row>
    <row r="346" spans="2:15" x14ac:dyDescent="0.25">
      <c r="B346" s="17">
        <v>46139</v>
      </c>
      <c r="C346" s="18" t="s">
        <v>151</v>
      </c>
      <c r="D346" s="18" t="s">
        <v>243</v>
      </c>
      <c r="E346" s="18" t="s">
        <v>244</v>
      </c>
      <c r="F346" s="18">
        <v>11</v>
      </c>
      <c r="G346" s="33">
        <v>125</v>
      </c>
      <c r="H346" s="20">
        <v>10</v>
      </c>
      <c r="I346" s="20">
        <f t="shared" si="89"/>
        <v>12.5</v>
      </c>
      <c r="J346" s="18">
        <f t="shared" si="90"/>
        <v>112.5</v>
      </c>
      <c r="K346" s="18">
        <f t="shared" si="91"/>
        <v>1237.5</v>
      </c>
      <c r="L346" s="18">
        <v>2.5994000000000002</v>
      </c>
      <c r="M346" s="18">
        <f t="shared" si="92"/>
        <v>292.4325</v>
      </c>
      <c r="N346" s="18">
        <f t="shared" si="93"/>
        <v>3216.7575000000002</v>
      </c>
      <c r="O346" s="18">
        <f t="shared" si="94"/>
        <v>52712.221433399995</v>
      </c>
    </row>
    <row r="347" spans="2:15" x14ac:dyDescent="0.25">
      <c r="B347" s="17">
        <v>46139</v>
      </c>
      <c r="C347" s="18" t="s">
        <v>249</v>
      </c>
      <c r="D347" s="18" t="s">
        <v>243</v>
      </c>
      <c r="E347" s="18" t="s">
        <v>250</v>
      </c>
      <c r="F347" s="18">
        <v>2</v>
      </c>
      <c r="G347" s="33">
        <v>2199</v>
      </c>
      <c r="H347" s="20">
        <v>10</v>
      </c>
      <c r="I347" s="20">
        <f t="shared" si="89"/>
        <v>219.9</v>
      </c>
      <c r="J347" s="18">
        <f t="shared" si="90"/>
        <v>1979.1</v>
      </c>
      <c r="K347" s="18">
        <f t="shared" si="91"/>
        <v>3958.2</v>
      </c>
      <c r="L347" s="18">
        <v>2.5994000000000002</v>
      </c>
      <c r="M347" s="18">
        <f t="shared" si="92"/>
        <v>5144.4725399999998</v>
      </c>
      <c r="N347" s="18">
        <f t="shared" si="93"/>
        <v>10288.94508</v>
      </c>
      <c r="O347" s="18">
        <f t="shared" si="94"/>
        <v>63001.166513399992</v>
      </c>
    </row>
    <row r="348" spans="2:15" x14ac:dyDescent="0.25">
      <c r="B348" s="17">
        <v>46139</v>
      </c>
      <c r="C348" s="18" t="s">
        <v>251</v>
      </c>
      <c r="D348" s="18" t="s">
        <v>243</v>
      </c>
      <c r="E348" s="18" t="s">
        <v>244</v>
      </c>
      <c r="F348" s="18">
        <v>1</v>
      </c>
      <c r="G348" s="33">
        <v>3440</v>
      </c>
      <c r="H348" s="20">
        <v>10</v>
      </c>
      <c r="I348" s="20">
        <f t="shared" si="89"/>
        <v>344</v>
      </c>
      <c r="J348" s="18">
        <f t="shared" si="90"/>
        <v>3096</v>
      </c>
      <c r="K348" s="18">
        <f t="shared" si="91"/>
        <v>3096</v>
      </c>
      <c r="L348" s="18">
        <v>2.5994000000000002</v>
      </c>
      <c r="M348" s="18">
        <f t="shared" si="92"/>
        <v>8047.7424000000001</v>
      </c>
      <c r="N348" s="18">
        <f t="shared" si="93"/>
        <v>8047.7424000000001</v>
      </c>
      <c r="O348" s="18">
        <f t="shared" si="94"/>
        <v>71048.908913399995</v>
      </c>
    </row>
    <row r="349" spans="2:15" x14ac:dyDescent="0.25">
      <c r="B349" s="17">
        <v>46139</v>
      </c>
      <c r="C349" s="18" t="s">
        <v>247</v>
      </c>
      <c r="D349" s="18" t="s">
        <v>243</v>
      </c>
      <c r="E349" s="18" t="s">
        <v>244</v>
      </c>
      <c r="F349" s="18">
        <v>1</v>
      </c>
      <c r="G349" s="33">
        <v>689</v>
      </c>
      <c r="H349" s="20">
        <v>10</v>
      </c>
      <c r="I349" s="20">
        <f t="shared" si="89"/>
        <v>68.900000000000006</v>
      </c>
      <c r="J349" s="18">
        <f t="shared" si="90"/>
        <v>620.1</v>
      </c>
      <c r="K349" s="18">
        <f t="shared" si="91"/>
        <v>620.1</v>
      </c>
      <c r="L349" s="18">
        <v>2.5994000000000002</v>
      </c>
      <c r="M349" s="18">
        <f t="shared" si="92"/>
        <v>1611.8879400000001</v>
      </c>
      <c r="N349" s="18">
        <f t="shared" si="93"/>
        <v>1611.8879400000001</v>
      </c>
      <c r="O349" s="18">
        <f t="shared" si="94"/>
        <v>72660.796853399996</v>
      </c>
    </row>
    <row r="350" spans="2:15" x14ac:dyDescent="0.25">
      <c r="B350" s="17">
        <v>46139</v>
      </c>
      <c r="C350" s="18" t="s">
        <v>249</v>
      </c>
      <c r="D350" s="18" t="s">
        <v>243</v>
      </c>
      <c r="E350" s="18" t="s">
        <v>252</v>
      </c>
      <c r="F350" s="18">
        <v>2</v>
      </c>
      <c r="G350" s="33">
        <v>2199</v>
      </c>
      <c r="H350" s="20">
        <v>10</v>
      </c>
      <c r="I350" s="20">
        <f t="shared" si="89"/>
        <v>219.9</v>
      </c>
      <c r="J350" s="18">
        <f t="shared" si="90"/>
        <v>1979.1</v>
      </c>
      <c r="K350" s="18">
        <f t="shared" si="91"/>
        <v>3958.2</v>
      </c>
      <c r="L350" s="18">
        <v>2.5994000000000002</v>
      </c>
      <c r="M350" s="18">
        <f t="shared" si="92"/>
        <v>5144.4725399999998</v>
      </c>
      <c r="N350" s="18">
        <f t="shared" si="93"/>
        <v>10288.94508</v>
      </c>
      <c r="O350" s="18">
        <f t="shared" si="94"/>
        <v>82949.741933400001</v>
      </c>
    </row>
    <row r="351" spans="2:15" x14ac:dyDescent="0.25">
      <c r="B351" s="17">
        <v>46139</v>
      </c>
      <c r="C351" s="18" t="s">
        <v>213</v>
      </c>
      <c r="D351" s="18" t="s">
        <v>243</v>
      </c>
      <c r="E351" s="18" t="s">
        <v>252</v>
      </c>
      <c r="F351" s="18">
        <v>1</v>
      </c>
      <c r="G351" s="33">
        <v>299</v>
      </c>
      <c r="H351" s="20">
        <v>10</v>
      </c>
      <c r="I351" s="20">
        <f t="shared" si="89"/>
        <v>29.900000000000002</v>
      </c>
      <c r="J351" s="18">
        <f t="shared" si="90"/>
        <v>269.10000000000002</v>
      </c>
      <c r="K351" s="18">
        <f t="shared" si="91"/>
        <v>269.10000000000002</v>
      </c>
      <c r="L351" s="18">
        <v>2.5994000000000002</v>
      </c>
      <c r="M351" s="18">
        <f t="shared" si="92"/>
        <v>699.49854000000005</v>
      </c>
      <c r="N351" s="18">
        <f t="shared" si="93"/>
        <v>699.49854000000005</v>
      </c>
      <c r="O351" s="5">
        <f t="shared" si="94"/>
        <v>83649.240473400001</v>
      </c>
    </row>
    <row r="352" spans="2:15" x14ac:dyDescent="0.25">
      <c r="B352" s="17">
        <v>46139</v>
      </c>
      <c r="C352" s="18" t="s">
        <v>248</v>
      </c>
      <c r="D352" s="18" t="s">
        <v>243</v>
      </c>
      <c r="E352" s="18" t="s">
        <v>252</v>
      </c>
      <c r="F352" s="18">
        <v>1</v>
      </c>
      <c r="G352" s="33">
        <v>4500</v>
      </c>
      <c r="H352" s="20">
        <v>10</v>
      </c>
      <c r="I352" s="20">
        <f t="shared" si="89"/>
        <v>450</v>
      </c>
      <c r="J352" s="18">
        <f t="shared" si="90"/>
        <v>4050</v>
      </c>
      <c r="K352" s="18">
        <f t="shared" si="91"/>
        <v>4050</v>
      </c>
      <c r="L352" s="18">
        <v>2.5994000000000002</v>
      </c>
      <c r="M352" s="18">
        <f t="shared" si="92"/>
        <v>10527.570000000002</v>
      </c>
      <c r="N352" s="18">
        <f t="shared" si="93"/>
        <v>10527.570000000002</v>
      </c>
      <c r="O352" s="18">
        <f t="shared" si="94"/>
        <v>94176.810473400008</v>
      </c>
    </row>
    <row r="353" spans="1:15" x14ac:dyDescent="0.25">
      <c r="B353" s="17">
        <v>46139</v>
      </c>
      <c r="C353" s="18" t="s">
        <v>249</v>
      </c>
      <c r="D353" s="18" t="s">
        <v>253</v>
      </c>
      <c r="E353" s="18" t="s">
        <v>244</v>
      </c>
      <c r="F353" s="18">
        <v>3</v>
      </c>
      <c r="G353" s="33">
        <v>2199</v>
      </c>
      <c r="H353" s="20">
        <v>10</v>
      </c>
      <c r="I353" s="20">
        <f t="shared" si="89"/>
        <v>219.9</v>
      </c>
      <c r="J353" s="18">
        <f t="shared" si="90"/>
        <v>1979.1</v>
      </c>
      <c r="K353" s="18">
        <f t="shared" si="91"/>
        <v>5937.2999999999993</v>
      </c>
      <c r="L353" s="18">
        <v>2.5994000000000002</v>
      </c>
      <c r="M353" s="18">
        <f t="shared" si="92"/>
        <v>5144.4725399999998</v>
      </c>
      <c r="N353" s="18">
        <f t="shared" si="93"/>
        <v>15433.41762</v>
      </c>
      <c r="O353" s="18">
        <f t="shared" si="94"/>
        <v>109610.22809340002</v>
      </c>
    </row>
    <row r="354" spans="1:15" x14ac:dyDescent="0.25">
      <c r="B354" s="17">
        <v>46139</v>
      </c>
      <c r="C354" s="18" t="s">
        <v>249</v>
      </c>
      <c r="D354" s="18" t="s">
        <v>253</v>
      </c>
      <c r="E354" s="18" t="s">
        <v>244</v>
      </c>
      <c r="F354" s="18">
        <v>3</v>
      </c>
      <c r="G354" s="33">
        <v>2199</v>
      </c>
      <c r="H354" s="20">
        <v>10</v>
      </c>
      <c r="I354" s="20">
        <f t="shared" si="89"/>
        <v>219.9</v>
      </c>
      <c r="J354" s="18">
        <f t="shared" si="90"/>
        <v>1979.1</v>
      </c>
      <c r="K354" s="18">
        <f t="shared" si="91"/>
        <v>5937.2999999999993</v>
      </c>
      <c r="L354" s="18">
        <v>2.5994000000000002</v>
      </c>
      <c r="M354" s="18">
        <f t="shared" si="92"/>
        <v>5144.4725399999998</v>
      </c>
      <c r="N354" s="18">
        <f t="shared" si="93"/>
        <v>15433.41762</v>
      </c>
      <c r="O354" s="18">
        <f t="shared" si="94"/>
        <v>125043.64571340001</v>
      </c>
    </row>
    <row r="355" spans="1:15" x14ac:dyDescent="0.25">
      <c r="B355" s="7"/>
      <c r="C355" s="7"/>
      <c r="D355" s="7"/>
      <c r="E355" s="7"/>
      <c r="F355" s="7"/>
      <c r="G355" s="7"/>
      <c r="H355" s="7"/>
      <c r="I355" s="7">
        <f t="shared" si="89"/>
        <v>0</v>
      </c>
      <c r="J355" s="5">
        <f t="shared" si="90"/>
        <v>0</v>
      </c>
      <c r="K355" s="5">
        <f t="shared" si="91"/>
        <v>0</v>
      </c>
      <c r="L355" s="5"/>
      <c r="M355" s="5">
        <f t="shared" si="92"/>
        <v>0</v>
      </c>
      <c r="N355" s="5">
        <f t="shared" si="93"/>
        <v>0</v>
      </c>
      <c r="O355" s="5">
        <f t="shared" si="94"/>
        <v>125043.64571340001</v>
      </c>
    </row>
    <row r="356" spans="1:15" x14ac:dyDescent="0.25">
      <c r="B356" s="1"/>
      <c r="C356" s="1"/>
      <c r="D356" s="1"/>
      <c r="E356" s="1"/>
      <c r="F356" s="1"/>
      <c r="G356" s="1"/>
      <c r="H356" s="1"/>
      <c r="I356" s="1"/>
      <c r="J356" s="2"/>
    </row>
    <row r="357" spans="1:15" x14ac:dyDescent="0.25">
      <c r="B357" s="1"/>
      <c r="C357" s="1"/>
      <c r="D357" s="1"/>
      <c r="E357" s="1"/>
      <c r="F357" s="1"/>
      <c r="G357" s="1"/>
      <c r="H357" s="1"/>
      <c r="I357" s="1"/>
      <c r="J357" s="2"/>
    </row>
    <row r="358" spans="1:15" x14ac:dyDescent="0.25">
      <c r="B358" s="1"/>
      <c r="C358" s="1"/>
      <c r="D358" s="1"/>
      <c r="E358" s="1"/>
      <c r="F358" s="1"/>
      <c r="G358" s="1"/>
      <c r="H358" s="1"/>
      <c r="I358" s="1"/>
      <c r="J358" s="2"/>
    </row>
    <row r="359" spans="1:15" x14ac:dyDescent="0.25">
      <c r="B359" s="1"/>
      <c r="C359" s="1"/>
      <c r="D359" s="1"/>
      <c r="E359" s="1"/>
      <c r="F359" s="1"/>
      <c r="G359" s="1"/>
      <c r="H359" s="1"/>
      <c r="I359" s="1"/>
      <c r="J359" s="2"/>
    </row>
    <row r="360" spans="1:15" x14ac:dyDescent="0.25">
      <c r="B360" s="1"/>
      <c r="C360" s="1"/>
      <c r="D360" s="1"/>
      <c r="E360" s="1"/>
      <c r="F360" s="1"/>
      <c r="G360" s="1"/>
      <c r="H360" s="1"/>
      <c r="I360" s="1"/>
      <c r="J360" s="2"/>
    </row>
    <row r="361" spans="1:15" x14ac:dyDescent="0.25">
      <c r="B361" s="1"/>
      <c r="C361" s="1"/>
      <c r="D361" s="1"/>
      <c r="E361" s="1"/>
      <c r="F361" s="1"/>
      <c r="G361" s="1"/>
      <c r="H361" s="1"/>
      <c r="I361" s="1"/>
      <c r="J361" s="2"/>
    </row>
    <row r="362" spans="1:15" x14ac:dyDescent="0.25">
      <c r="B362" s="1"/>
      <c r="C362" s="1"/>
      <c r="D362" s="1"/>
      <c r="E362" s="1"/>
      <c r="F362" s="1"/>
      <c r="G362" s="1"/>
      <c r="H362" s="1"/>
      <c r="I362" s="1"/>
      <c r="J362" s="2"/>
    </row>
    <row r="363" spans="1:15" ht="21" x14ac:dyDescent="0.35">
      <c r="A363" t="s">
        <v>0</v>
      </c>
      <c r="B363" s="73" t="s">
        <v>1</v>
      </c>
      <c r="C363" s="73"/>
      <c r="D363" s="73"/>
      <c r="E363" s="73"/>
      <c r="F363" s="73"/>
      <c r="G363" s="73"/>
      <c r="H363" s="73"/>
      <c r="I363" s="73"/>
      <c r="J363" s="73"/>
    </row>
    <row r="364" spans="1:15" ht="18.75" x14ac:dyDescent="0.3">
      <c r="A364" t="s">
        <v>2</v>
      </c>
      <c r="B364" s="3" t="s">
        <v>3</v>
      </c>
      <c r="C364" s="3" t="s">
        <v>4</v>
      </c>
      <c r="D364" s="3" t="s">
        <v>5</v>
      </c>
      <c r="E364" s="3" t="s">
        <v>6</v>
      </c>
      <c r="F364" s="3" t="s">
        <v>7</v>
      </c>
      <c r="G364" s="3" t="s">
        <v>8</v>
      </c>
      <c r="H364" s="3" t="s">
        <v>9</v>
      </c>
      <c r="I364" s="3" t="s">
        <v>10</v>
      </c>
      <c r="J364" s="3"/>
    </row>
    <row r="365" spans="1:15" x14ac:dyDescent="0.25">
      <c r="B365" s="17">
        <v>46132</v>
      </c>
      <c r="C365" s="18" t="s">
        <v>254</v>
      </c>
      <c r="D365" s="18">
        <v>4</v>
      </c>
      <c r="E365" s="33">
        <v>1199</v>
      </c>
      <c r="F365" s="7">
        <f>E365*D365</f>
        <v>4796</v>
      </c>
      <c r="G365" s="7">
        <v>2.5994000000000002</v>
      </c>
      <c r="H365" s="7">
        <f>E365*G365</f>
        <v>3116.6806000000001</v>
      </c>
      <c r="I365" s="7">
        <f>H365*D365</f>
        <v>12466.722400000001</v>
      </c>
      <c r="J365" s="5">
        <f>J364+I365</f>
        <v>12466.722400000001</v>
      </c>
    </row>
    <row r="366" spans="1:15" x14ac:dyDescent="0.25">
      <c r="B366" s="12">
        <v>46132</v>
      </c>
      <c r="C366" s="13" t="s">
        <v>255</v>
      </c>
      <c r="D366" s="13">
        <v>2</v>
      </c>
      <c r="E366" s="31">
        <v>1199</v>
      </c>
      <c r="F366" s="7">
        <f t="shared" ref="F366:F386" si="95">E366*D366</f>
        <v>2398</v>
      </c>
      <c r="G366" s="7">
        <v>2.5994000000000002</v>
      </c>
      <c r="H366" s="7">
        <f t="shared" ref="H366:H386" si="96">E366*G366</f>
        <v>3116.6806000000001</v>
      </c>
      <c r="I366" s="7">
        <f t="shared" ref="I366:I386" si="97">H366*D366</f>
        <v>6233.3612000000003</v>
      </c>
      <c r="J366" s="5">
        <f t="shared" ref="J366:J390" si="98">J365+I366</f>
        <v>18700.083600000002</v>
      </c>
    </row>
    <row r="367" spans="1:15" x14ac:dyDescent="0.25">
      <c r="B367" s="12">
        <v>46132</v>
      </c>
      <c r="C367" s="13" t="s">
        <v>255</v>
      </c>
      <c r="D367" s="13">
        <v>4</v>
      </c>
      <c r="E367" s="31">
        <v>1199</v>
      </c>
      <c r="F367" s="7">
        <f t="shared" si="95"/>
        <v>4796</v>
      </c>
      <c r="G367" s="7">
        <v>2.5994000000000002</v>
      </c>
      <c r="H367" s="7">
        <f t="shared" si="96"/>
        <v>3116.6806000000001</v>
      </c>
      <c r="I367" s="7">
        <f t="shared" si="97"/>
        <v>12466.722400000001</v>
      </c>
      <c r="J367" s="5">
        <f t="shared" si="98"/>
        <v>31166.806000000004</v>
      </c>
    </row>
    <row r="368" spans="1:15" x14ac:dyDescent="0.25">
      <c r="B368" s="66">
        <v>46133</v>
      </c>
      <c r="C368" s="67" t="s">
        <v>256</v>
      </c>
      <c r="D368" s="67">
        <v>1</v>
      </c>
      <c r="E368" s="68">
        <v>0</v>
      </c>
      <c r="F368" s="69">
        <f t="shared" si="95"/>
        <v>0</v>
      </c>
      <c r="G368" s="7">
        <v>2.5994000000000002</v>
      </c>
      <c r="H368" s="69">
        <f t="shared" si="96"/>
        <v>0</v>
      </c>
      <c r="I368" s="69">
        <f t="shared" si="97"/>
        <v>0</v>
      </c>
      <c r="J368" s="5">
        <f t="shared" si="98"/>
        <v>31166.806000000004</v>
      </c>
    </row>
    <row r="369" spans="2:10" x14ac:dyDescent="0.25">
      <c r="B369" s="17">
        <v>46133</v>
      </c>
      <c r="C369" s="18" t="s">
        <v>257</v>
      </c>
      <c r="D369" s="18">
        <v>2</v>
      </c>
      <c r="E369" s="33">
        <v>1249</v>
      </c>
      <c r="F369" s="7">
        <f t="shared" si="95"/>
        <v>2498</v>
      </c>
      <c r="G369" s="7">
        <v>2.5994000000000002</v>
      </c>
      <c r="H369" s="7">
        <f t="shared" si="96"/>
        <v>3246.6506000000004</v>
      </c>
      <c r="I369" s="7">
        <f t="shared" si="97"/>
        <v>6493.3012000000008</v>
      </c>
      <c r="J369" s="5">
        <f t="shared" si="98"/>
        <v>37660.107200000006</v>
      </c>
    </row>
    <row r="370" spans="2:10" x14ac:dyDescent="0.25">
      <c r="B370" s="17">
        <v>46134</v>
      </c>
      <c r="C370" s="18" t="s">
        <v>255</v>
      </c>
      <c r="D370" s="18">
        <v>2</v>
      </c>
      <c r="E370" s="33">
        <v>1199</v>
      </c>
      <c r="F370" s="7">
        <f t="shared" si="95"/>
        <v>2398</v>
      </c>
      <c r="G370" s="7">
        <v>2.5994000000000002</v>
      </c>
      <c r="H370" s="7">
        <f t="shared" si="96"/>
        <v>3116.6806000000001</v>
      </c>
      <c r="I370" s="7">
        <f t="shared" si="97"/>
        <v>6233.3612000000003</v>
      </c>
      <c r="J370" s="5">
        <f t="shared" si="98"/>
        <v>43893.468400000005</v>
      </c>
    </row>
    <row r="371" spans="2:10" x14ac:dyDescent="0.25">
      <c r="B371" s="17">
        <v>46133</v>
      </c>
      <c r="C371" s="18" t="s">
        <v>258</v>
      </c>
      <c r="D371" s="18">
        <v>10</v>
      </c>
      <c r="E371" s="33">
        <v>999</v>
      </c>
      <c r="F371" s="7">
        <f t="shared" si="95"/>
        <v>9990</v>
      </c>
      <c r="G371" s="7">
        <v>2.5994000000000002</v>
      </c>
      <c r="H371" s="7">
        <f t="shared" si="96"/>
        <v>2596.8006</v>
      </c>
      <c r="I371" s="7">
        <f t="shared" si="97"/>
        <v>25968.006000000001</v>
      </c>
      <c r="J371" s="5">
        <f t="shared" si="98"/>
        <v>69861.474400000006</v>
      </c>
    </row>
    <row r="372" spans="2:10" x14ac:dyDescent="0.25">
      <c r="B372" s="17">
        <v>46136</v>
      </c>
      <c r="C372" s="18" t="s">
        <v>259</v>
      </c>
      <c r="D372" s="18">
        <v>32</v>
      </c>
      <c r="E372" s="33">
        <v>398</v>
      </c>
      <c r="F372" s="7">
        <f t="shared" si="95"/>
        <v>12736</v>
      </c>
      <c r="G372" s="7">
        <v>2.5994000000000002</v>
      </c>
      <c r="H372" s="7">
        <f t="shared" si="96"/>
        <v>1034.5612000000001</v>
      </c>
      <c r="I372" s="7">
        <f t="shared" si="97"/>
        <v>33105.958400000003</v>
      </c>
      <c r="J372" s="5">
        <f t="shared" si="98"/>
        <v>102967.43280000001</v>
      </c>
    </row>
    <row r="373" spans="2:10" x14ac:dyDescent="0.25">
      <c r="B373" s="66">
        <v>46136</v>
      </c>
      <c r="C373" s="67" t="s">
        <v>260</v>
      </c>
      <c r="D373" s="67"/>
      <c r="E373" s="68">
        <v>0</v>
      </c>
      <c r="F373" s="69">
        <f t="shared" si="95"/>
        <v>0</v>
      </c>
      <c r="G373" s="7">
        <v>2.5994000000000002</v>
      </c>
      <c r="H373" s="69">
        <f t="shared" si="96"/>
        <v>0</v>
      </c>
      <c r="I373" s="69">
        <f t="shared" si="97"/>
        <v>0</v>
      </c>
      <c r="J373" s="5">
        <f t="shared" si="98"/>
        <v>102967.43280000001</v>
      </c>
    </row>
    <row r="374" spans="2:10" x14ac:dyDescent="0.25">
      <c r="B374" s="17">
        <v>46137</v>
      </c>
      <c r="C374" s="18" t="s">
        <v>261</v>
      </c>
      <c r="D374" s="18">
        <v>4</v>
      </c>
      <c r="E374" s="33">
        <v>398</v>
      </c>
      <c r="F374" s="7">
        <f t="shared" si="95"/>
        <v>1592</v>
      </c>
      <c r="G374" s="7">
        <v>2.5994000000000002</v>
      </c>
      <c r="H374" s="7">
        <f t="shared" si="96"/>
        <v>1034.5612000000001</v>
      </c>
      <c r="I374" s="7">
        <f t="shared" si="97"/>
        <v>4138.2448000000004</v>
      </c>
      <c r="J374" s="5">
        <f t="shared" si="98"/>
        <v>107105.67760000001</v>
      </c>
    </row>
    <row r="375" spans="2:10" x14ac:dyDescent="0.25">
      <c r="B375" s="12">
        <v>46138</v>
      </c>
      <c r="C375" s="13" t="s">
        <v>255</v>
      </c>
      <c r="D375" s="13">
        <v>2</v>
      </c>
      <c r="E375" s="31">
        <v>1199</v>
      </c>
      <c r="F375" s="7">
        <f t="shared" si="95"/>
        <v>2398</v>
      </c>
      <c r="G375" s="7">
        <v>2.5994000000000002</v>
      </c>
      <c r="H375" s="7">
        <f t="shared" si="96"/>
        <v>3116.6806000000001</v>
      </c>
      <c r="I375" s="7">
        <f t="shared" si="97"/>
        <v>6233.3612000000003</v>
      </c>
      <c r="J375" s="5">
        <f t="shared" si="98"/>
        <v>113339.03880000001</v>
      </c>
    </row>
    <row r="376" spans="2:10" x14ac:dyDescent="0.25">
      <c r="B376" s="12">
        <v>46138</v>
      </c>
      <c r="C376" s="13" t="s">
        <v>255</v>
      </c>
      <c r="D376" s="13">
        <v>2</v>
      </c>
      <c r="E376" s="31">
        <v>1199</v>
      </c>
      <c r="F376" s="7">
        <f t="shared" si="95"/>
        <v>2398</v>
      </c>
      <c r="G376" s="7">
        <v>2.5994000000000002</v>
      </c>
      <c r="H376" s="7">
        <f t="shared" si="96"/>
        <v>3116.6806000000001</v>
      </c>
      <c r="I376" s="7">
        <f t="shared" si="97"/>
        <v>6233.3612000000003</v>
      </c>
      <c r="J376" s="5">
        <f t="shared" si="98"/>
        <v>119572.40000000001</v>
      </c>
    </row>
    <row r="377" spans="2:10" x14ac:dyDescent="0.25">
      <c r="B377" s="12">
        <v>46138</v>
      </c>
      <c r="C377" s="13" t="s">
        <v>255</v>
      </c>
      <c r="D377" s="13">
        <v>2</v>
      </c>
      <c r="E377" s="31">
        <v>1199</v>
      </c>
      <c r="F377" s="7">
        <f t="shared" si="95"/>
        <v>2398</v>
      </c>
      <c r="G377" s="7">
        <v>2.5994000000000002</v>
      </c>
      <c r="H377" s="7">
        <f t="shared" si="96"/>
        <v>3116.6806000000001</v>
      </c>
      <c r="I377" s="7">
        <f t="shared" si="97"/>
        <v>6233.3612000000003</v>
      </c>
      <c r="J377" s="5">
        <f t="shared" si="98"/>
        <v>125805.76120000001</v>
      </c>
    </row>
    <row r="378" spans="2:10" x14ac:dyDescent="0.25">
      <c r="B378" s="12">
        <v>46138</v>
      </c>
      <c r="C378" s="13" t="s">
        <v>262</v>
      </c>
      <c r="D378" s="13">
        <v>2</v>
      </c>
      <c r="E378" s="31">
        <v>1199</v>
      </c>
      <c r="F378" s="7">
        <f t="shared" si="95"/>
        <v>2398</v>
      </c>
      <c r="G378" s="7">
        <v>2.5994000000000002</v>
      </c>
      <c r="H378" s="7">
        <f t="shared" si="96"/>
        <v>3116.6806000000001</v>
      </c>
      <c r="I378" s="7">
        <f t="shared" si="97"/>
        <v>6233.3612000000003</v>
      </c>
      <c r="J378" s="5">
        <f t="shared" si="98"/>
        <v>132039.12240000002</v>
      </c>
    </row>
    <row r="379" spans="2:10" x14ac:dyDescent="0.25">
      <c r="B379" s="12">
        <v>46138</v>
      </c>
      <c r="C379" s="13" t="s">
        <v>262</v>
      </c>
      <c r="D379" s="13">
        <v>2</v>
      </c>
      <c r="E379" s="31">
        <v>1199</v>
      </c>
      <c r="F379" s="7">
        <f t="shared" si="95"/>
        <v>2398</v>
      </c>
      <c r="G379" s="7">
        <v>2.5994000000000002</v>
      </c>
      <c r="H379" s="7">
        <f t="shared" si="96"/>
        <v>3116.6806000000001</v>
      </c>
      <c r="I379" s="7">
        <f t="shared" si="97"/>
        <v>6233.3612000000003</v>
      </c>
      <c r="J379" s="5">
        <f t="shared" si="98"/>
        <v>138272.48360000004</v>
      </c>
    </row>
    <row r="380" spans="2:10" x14ac:dyDescent="0.25">
      <c r="B380" s="70">
        <v>46138</v>
      </c>
      <c r="C380" s="71" t="s">
        <v>262</v>
      </c>
      <c r="D380" s="71">
        <v>2</v>
      </c>
      <c r="E380" s="72">
        <v>1199</v>
      </c>
      <c r="F380" s="7">
        <f t="shared" si="95"/>
        <v>2398</v>
      </c>
      <c r="G380" s="7">
        <v>2.5994000000000002</v>
      </c>
      <c r="H380" s="7">
        <f t="shared" si="96"/>
        <v>3116.6806000000001</v>
      </c>
      <c r="I380" s="7">
        <f t="shared" si="97"/>
        <v>6233.3612000000003</v>
      </c>
      <c r="J380" s="5">
        <f t="shared" si="98"/>
        <v>144505.84480000005</v>
      </c>
    </row>
    <row r="381" spans="2:10" x14ac:dyDescent="0.25">
      <c r="B381" s="12">
        <v>46138</v>
      </c>
      <c r="C381" s="13" t="s">
        <v>262</v>
      </c>
      <c r="D381" s="13">
        <v>2</v>
      </c>
      <c r="E381" s="31">
        <v>1199</v>
      </c>
      <c r="F381" s="7">
        <f t="shared" si="95"/>
        <v>2398</v>
      </c>
      <c r="G381" s="7">
        <v>2.5994000000000002</v>
      </c>
      <c r="H381" s="7">
        <f t="shared" si="96"/>
        <v>3116.6806000000001</v>
      </c>
      <c r="I381" s="7">
        <f t="shared" si="97"/>
        <v>6233.3612000000003</v>
      </c>
      <c r="J381" s="5">
        <f t="shared" si="98"/>
        <v>150739.20600000006</v>
      </c>
    </row>
    <row r="382" spans="2:10" x14ac:dyDescent="0.25">
      <c r="B382" s="12">
        <v>46138</v>
      </c>
      <c r="C382" s="13" t="s">
        <v>255</v>
      </c>
      <c r="D382" s="13">
        <v>2</v>
      </c>
      <c r="E382" s="31">
        <v>1199</v>
      </c>
      <c r="F382" s="7">
        <f t="shared" si="95"/>
        <v>2398</v>
      </c>
      <c r="G382" s="7">
        <v>2.5994000000000002</v>
      </c>
      <c r="H382" s="7">
        <f t="shared" si="96"/>
        <v>3116.6806000000001</v>
      </c>
      <c r="I382" s="7">
        <f t="shared" si="97"/>
        <v>6233.3612000000003</v>
      </c>
      <c r="J382" s="5">
        <f t="shared" si="98"/>
        <v>156972.56720000008</v>
      </c>
    </row>
    <row r="383" spans="2:10" x14ac:dyDescent="0.25">
      <c r="B383" s="17">
        <v>46138</v>
      </c>
      <c r="C383" s="18" t="s">
        <v>263</v>
      </c>
      <c r="D383" s="18">
        <v>5</v>
      </c>
      <c r="E383" s="33">
        <v>398</v>
      </c>
      <c r="F383" s="7">
        <f t="shared" si="95"/>
        <v>1990</v>
      </c>
      <c r="G383" s="7">
        <v>2.5994000000000002</v>
      </c>
      <c r="H383" s="7">
        <f t="shared" si="96"/>
        <v>1034.5612000000001</v>
      </c>
      <c r="I383" s="7">
        <f t="shared" si="97"/>
        <v>5172.8060000000005</v>
      </c>
      <c r="J383" s="5">
        <f t="shared" si="98"/>
        <v>162145.37320000009</v>
      </c>
    </row>
    <row r="384" spans="2:10" x14ac:dyDescent="0.25">
      <c r="B384" s="17">
        <v>46139</v>
      </c>
      <c r="C384" s="18" t="s">
        <v>264</v>
      </c>
      <c r="D384" s="18">
        <v>3</v>
      </c>
      <c r="E384" s="33">
        <v>399</v>
      </c>
      <c r="F384" s="7">
        <f t="shared" si="95"/>
        <v>1197</v>
      </c>
      <c r="G384" s="7">
        <v>2.5994000000000002</v>
      </c>
      <c r="H384" s="7">
        <f t="shared" si="96"/>
        <v>1037.1606000000002</v>
      </c>
      <c r="I384" s="7">
        <f t="shared" si="97"/>
        <v>3111.4818000000005</v>
      </c>
      <c r="J384" s="5">
        <f t="shared" si="98"/>
        <v>165256.8550000001</v>
      </c>
    </row>
    <row r="385" spans="1:10" x14ac:dyDescent="0.25">
      <c r="B385" s="12">
        <v>46139</v>
      </c>
      <c r="C385" s="13" t="s">
        <v>265</v>
      </c>
      <c r="D385" s="13">
        <v>1</v>
      </c>
      <c r="E385" s="31">
        <v>695</v>
      </c>
      <c r="F385" s="7">
        <f t="shared" si="95"/>
        <v>695</v>
      </c>
      <c r="G385" s="7">
        <v>2.5994000000000002</v>
      </c>
      <c r="H385" s="7">
        <f t="shared" si="96"/>
        <v>1806.5830000000001</v>
      </c>
      <c r="I385" s="7">
        <f t="shared" si="97"/>
        <v>1806.5830000000001</v>
      </c>
      <c r="J385" s="5">
        <f t="shared" si="98"/>
        <v>167063.43800000011</v>
      </c>
    </row>
    <row r="386" spans="1:10" x14ac:dyDescent="0.25">
      <c r="B386" s="12">
        <v>46139</v>
      </c>
      <c r="C386" s="13" t="s">
        <v>266</v>
      </c>
      <c r="D386" s="13">
        <v>1</v>
      </c>
      <c r="E386" s="31">
        <v>1298</v>
      </c>
      <c r="F386" s="7">
        <f t="shared" si="95"/>
        <v>1298</v>
      </c>
      <c r="G386" s="7">
        <v>2.5994000000000002</v>
      </c>
      <c r="H386" s="7">
        <f t="shared" si="96"/>
        <v>3374.0212000000001</v>
      </c>
      <c r="I386" s="7">
        <f t="shared" si="97"/>
        <v>3374.0212000000001</v>
      </c>
      <c r="J386" s="5">
        <f t="shared" si="98"/>
        <v>170437.4592000001</v>
      </c>
    </row>
    <row r="387" spans="1:10" x14ac:dyDescent="0.25">
      <c r="B387" s="17">
        <v>46139</v>
      </c>
      <c r="C387" s="18" t="s">
        <v>267</v>
      </c>
      <c r="D387" s="18">
        <v>1</v>
      </c>
      <c r="E387" s="33">
        <v>399</v>
      </c>
      <c r="F387" s="7">
        <f>E387*D387</f>
        <v>399</v>
      </c>
      <c r="G387" s="7">
        <v>2.5994000000000002</v>
      </c>
      <c r="H387" s="7">
        <f>E387*G387</f>
        <v>1037.1606000000002</v>
      </c>
      <c r="I387" s="7">
        <f>H387*D387</f>
        <v>1037.1606000000002</v>
      </c>
      <c r="J387" s="5">
        <f t="shared" si="98"/>
        <v>171474.6198000001</v>
      </c>
    </row>
    <row r="388" spans="1:10" x14ac:dyDescent="0.25">
      <c r="B388" s="8">
        <v>46132</v>
      </c>
      <c r="C388" s="9" t="s">
        <v>268</v>
      </c>
      <c r="D388" s="9">
        <v>1</v>
      </c>
      <c r="E388" s="32">
        <v>3561.82</v>
      </c>
      <c r="F388" s="11">
        <f t="shared" ref="F388:F390" si="99">E388*D388</f>
        <v>3561.82</v>
      </c>
      <c r="G388" s="11">
        <v>2.5994000000000002</v>
      </c>
      <c r="H388" s="11">
        <f t="shared" ref="H388:H390" si="100">E388*G388</f>
        <v>9258.5949080000009</v>
      </c>
      <c r="I388" s="11">
        <f t="shared" ref="I388:I390" si="101">H388*D388</f>
        <v>9258.5949080000009</v>
      </c>
      <c r="J388" s="9">
        <f t="shared" si="98"/>
        <v>180733.2147080001</v>
      </c>
    </row>
    <row r="389" spans="1:10" x14ac:dyDescent="0.25">
      <c r="B389" s="8">
        <v>46132</v>
      </c>
      <c r="C389" s="9" t="s">
        <v>268</v>
      </c>
      <c r="D389" s="9">
        <v>1</v>
      </c>
      <c r="E389" s="32">
        <v>6194.93</v>
      </c>
      <c r="F389" s="11">
        <f t="shared" si="99"/>
        <v>6194.93</v>
      </c>
      <c r="G389" s="11">
        <v>2.5994000000000002</v>
      </c>
      <c r="H389" s="11">
        <f t="shared" si="100"/>
        <v>16103.101042000002</v>
      </c>
      <c r="I389" s="11">
        <f t="shared" si="101"/>
        <v>16103.101042000002</v>
      </c>
      <c r="J389" s="9">
        <f t="shared" si="98"/>
        <v>196836.3157500001</v>
      </c>
    </row>
    <row r="390" spans="1:10" x14ac:dyDescent="0.25">
      <c r="B390" s="8">
        <v>46136</v>
      </c>
      <c r="C390" s="9" t="s">
        <v>269</v>
      </c>
      <c r="D390" s="9">
        <v>1</v>
      </c>
      <c r="E390" s="32">
        <v>405</v>
      </c>
      <c r="F390" s="11">
        <f t="shared" si="99"/>
        <v>405</v>
      </c>
      <c r="G390" s="11">
        <v>2.5994000000000002</v>
      </c>
      <c r="H390" s="11">
        <f t="shared" si="100"/>
        <v>1052.7570000000001</v>
      </c>
      <c r="I390" s="11">
        <f t="shared" si="101"/>
        <v>1052.7570000000001</v>
      </c>
      <c r="J390" s="9">
        <f t="shared" si="98"/>
        <v>197889.07275000011</v>
      </c>
    </row>
    <row r="391" spans="1:10" x14ac:dyDescent="0.25">
      <c r="B391" s="1"/>
      <c r="C391" s="1"/>
      <c r="D391" s="1"/>
      <c r="E391" s="1"/>
      <c r="F391" s="1"/>
      <c r="G391" s="1"/>
      <c r="H391" s="1"/>
      <c r="I391" s="1"/>
      <c r="J391" s="2"/>
    </row>
    <row r="392" spans="1:10" x14ac:dyDescent="0.25">
      <c r="B392" s="1"/>
      <c r="C392" s="1"/>
      <c r="D392" s="1"/>
      <c r="E392" s="1"/>
      <c r="F392" s="1"/>
      <c r="G392" s="1"/>
      <c r="H392" s="1"/>
      <c r="I392" s="1"/>
      <c r="J392" s="2"/>
    </row>
    <row r="393" spans="1:10" x14ac:dyDescent="0.25">
      <c r="B393" s="1"/>
      <c r="C393" s="1"/>
      <c r="D393" s="1"/>
      <c r="E393" s="1"/>
      <c r="F393" s="1"/>
      <c r="G393" s="1"/>
      <c r="H393" s="1"/>
      <c r="I393" s="1"/>
      <c r="J393" s="2"/>
    </row>
    <row r="399" spans="1:10" x14ac:dyDescent="0.25">
      <c r="B399" s="1"/>
      <c r="C399" s="1"/>
      <c r="D399" s="1"/>
      <c r="E399" s="1"/>
      <c r="F399" s="1"/>
      <c r="G399" s="1"/>
      <c r="H399" s="1"/>
      <c r="I399" s="1"/>
      <c r="J399" s="2"/>
    </row>
    <row r="400" spans="1:10" ht="21" x14ac:dyDescent="0.35">
      <c r="A400" t="s">
        <v>0</v>
      </c>
      <c r="B400" s="73" t="s">
        <v>34</v>
      </c>
      <c r="C400" s="73"/>
      <c r="D400" s="73"/>
      <c r="E400" s="73"/>
      <c r="F400" s="73"/>
      <c r="G400" s="73"/>
      <c r="H400" s="73"/>
      <c r="I400" s="73"/>
      <c r="J400" s="73"/>
    </row>
    <row r="401" spans="1:10" ht="18.75" x14ac:dyDescent="0.3">
      <c r="A401" t="s">
        <v>2</v>
      </c>
      <c r="B401" s="3" t="s">
        <v>3</v>
      </c>
      <c r="C401" s="3" t="s">
        <v>4</v>
      </c>
      <c r="D401" s="3" t="s">
        <v>5</v>
      </c>
      <c r="E401" s="3" t="s">
        <v>6</v>
      </c>
      <c r="F401" s="3" t="s">
        <v>7</v>
      </c>
      <c r="G401" s="3" t="s">
        <v>8</v>
      </c>
      <c r="H401" s="3" t="s">
        <v>9</v>
      </c>
      <c r="I401" s="3" t="s">
        <v>10</v>
      </c>
      <c r="J401" s="3"/>
    </row>
    <row r="402" spans="1:10" x14ac:dyDescent="0.25">
      <c r="B402" s="17">
        <v>46142</v>
      </c>
      <c r="C402" s="18" t="s">
        <v>270</v>
      </c>
      <c r="D402" s="18">
        <v>4</v>
      </c>
      <c r="E402" s="18">
        <v>1579</v>
      </c>
      <c r="F402" s="7">
        <f>E402*D402</f>
        <v>6316</v>
      </c>
      <c r="G402" s="7">
        <v>2.15</v>
      </c>
      <c r="H402" s="7">
        <f>E402*G402</f>
        <v>3394.85</v>
      </c>
      <c r="I402" s="7">
        <f>H402*D402</f>
        <v>13579.4</v>
      </c>
      <c r="J402" s="5">
        <f>J401+I402</f>
        <v>13579.4</v>
      </c>
    </row>
    <row r="403" spans="1:10" x14ac:dyDescent="0.25">
      <c r="B403" s="17">
        <v>46142</v>
      </c>
      <c r="C403" s="18" t="s">
        <v>271</v>
      </c>
      <c r="D403" s="18">
        <v>4</v>
      </c>
      <c r="E403" s="18">
        <v>1579</v>
      </c>
      <c r="F403" s="7">
        <f>E403*D403</f>
        <v>6316</v>
      </c>
      <c r="G403" s="7">
        <v>2.15</v>
      </c>
      <c r="H403" s="7">
        <f>E403*G403</f>
        <v>3394.85</v>
      </c>
      <c r="I403" s="7">
        <f>H403*D403</f>
        <v>13579.4</v>
      </c>
      <c r="J403" s="5">
        <f t="shared" ref="J403:J406" si="102">J402+I403</f>
        <v>27158.799999999999</v>
      </c>
    </row>
    <row r="404" spans="1:10" x14ac:dyDescent="0.25">
      <c r="B404" s="17">
        <v>46143</v>
      </c>
      <c r="C404" s="18" t="s">
        <v>272</v>
      </c>
      <c r="D404" s="18">
        <v>3</v>
      </c>
      <c r="E404" s="18">
        <v>849</v>
      </c>
      <c r="F404" s="7">
        <f>E404*D404</f>
        <v>2547</v>
      </c>
      <c r="G404" s="7">
        <v>2.15</v>
      </c>
      <c r="H404" s="7">
        <f>E404*G404</f>
        <v>1825.35</v>
      </c>
      <c r="I404" s="7">
        <f>H404*D404</f>
        <v>5476.0499999999993</v>
      </c>
      <c r="J404" s="5">
        <f t="shared" si="102"/>
        <v>32634.85</v>
      </c>
    </row>
    <row r="405" spans="1:10" x14ac:dyDescent="0.25">
      <c r="B405" s="17">
        <v>46143</v>
      </c>
      <c r="C405" s="18" t="s">
        <v>273</v>
      </c>
      <c r="D405" s="18">
        <v>1</v>
      </c>
      <c r="E405" s="18">
        <v>1579</v>
      </c>
      <c r="F405" s="7">
        <f>E405*D405</f>
        <v>1579</v>
      </c>
      <c r="G405" s="7">
        <v>2.15</v>
      </c>
      <c r="H405" s="7">
        <f>E405*G405</f>
        <v>3394.85</v>
      </c>
      <c r="I405" s="7">
        <f>H405*D405</f>
        <v>3394.85</v>
      </c>
      <c r="J405" s="5">
        <f t="shared" si="102"/>
        <v>36029.699999999997</v>
      </c>
    </row>
    <row r="406" spans="1:10" x14ac:dyDescent="0.25">
      <c r="B406" s="7"/>
      <c r="C406" s="7"/>
      <c r="D406" s="7"/>
      <c r="E406" s="7"/>
      <c r="F406" s="7">
        <f>E406*D406</f>
        <v>0</v>
      </c>
      <c r="G406" s="7"/>
      <c r="H406" s="7">
        <f>E406*G406</f>
        <v>0</v>
      </c>
      <c r="I406" s="7">
        <f>H406*D406</f>
        <v>0</v>
      </c>
      <c r="J406" s="5">
        <f t="shared" si="102"/>
        <v>36029.699999999997</v>
      </c>
    </row>
    <row r="407" spans="1:10" x14ac:dyDescent="0.25">
      <c r="B407" s="1"/>
      <c r="C407" s="1"/>
      <c r="D407" s="1"/>
      <c r="E407" s="1"/>
      <c r="F407" s="1"/>
      <c r="G407" s="1"/>
      <c r="H407" s="1"/>
      <c r="I407" s="1"/>
      <c r="J407" s="2"/>
    </row>
    <row r="408" spans="1:10" x14ac:dyDescent="0.25">
      <c r="B408" s="1"/>
      <c r="C408" s="1"/>
      <c r="D408" s="1"/>
      <c r="E408" s="1"/>
      <c r="F408" s="1"/>
      <c r="G408" s="1"/>
      <c r="H408" s="1"/>
      <c r="I408" s="1"/>
      <c r="J408" s="2"/>
    </row>
    <row r="409" spans="1:10" x14ac:dyDescent="0.25">
      <c r="B409" s="1"/>
      <c r="C409" s="1"/>
      <c r="D409" s="1"/>
      <c r="E409" s="1"/>
      <c r="F409" s="1"/>
      <c r="G409" s="1"/>
      <c r="H409" s="1"/>
      <c r="I409" s="1"/>
      <c r="J409" s="2"/>
    </row>
    <row r="410" spans="1:10" x14ac:dyDescent="0.25">
      <c r="B410" s="1"/>
      <c r="C410" s="1"/>
      <c r="D410" s="1"/>
      <c r="E410" s="1"/>
      <c r="F410" s="1"/>
      <c r="G410" s="1"/>
      <c r="H410" s="1"/>
      <c r="I410" s="1"/>
      <c r="J410" s="2"/>
    </row>
    <row r="411" spans="1:10" x14ac:dyDescent="0.25">
      <c r="B411" s="1"/>
      <c r="C411" s="1"/>
      <c r="D411" s="1"/>
      <c r="E411" s="1"/>
      <c r="F411" s="1"/>
      <c r="G411" s="1"/>
      <c r="H411" s="1"/>
      <c r="I411" s="1"/>
      <c r="J411" s="2"/>
    </row>
    <row r="412" spans="1:10" x14ac:dyDescent="0.25">
      <c r="B412" s="1"/>
      <c r="C412" s="1"/>
      <c r="D412" s="1"/>
      <c r="E412" s="1"/>
      <c r="F412" s="1"/>
      <c r="G412" s="1"/>
      <c r="H412" s="1"/>
      <c r="I412" s="1"/>
      <c r="J412" s="2"/>
    </row>
    <row r="413" spans="1:10" ht="21" x14ac:dyDescent="0.35">
      <c r="A413" t="s">
        <v>0</v>
      </c>
      <c r="B413" s="73" t="s">
        <v>1</v>
      </c>
      <c r="C413" s="73"/>
      <c r="D413" s="73"/>
      <c r="E413" s="73"/>
      <c r="F413" s="73"/>
      <c r="G413" s="73"/>
      <c r="H413" s="73"/>
      <c r="I413" s="73"/>
      <c r="J413" s="73"/>
    </row>
    <row r="414" spans="1:10" ht="18.75" x14ac:dyDescent="0.3">
      <c r="A414" t="s">
        <v>2</v>
      </c>
      <c r="B414" s="3" t="s">
        <v>3</v>
      </c>
      <c r="C414" s="3" t="s">
        <v>4</v>
      </c>
      <c r="D414" s="3" t="s">
        <v>5</v>
      </c>
      <c r="E414" s="3" t="s">
        <v>6</v>
      </c>
      <c r="F414" s="3" t="s">
        <v>7</v>
      </c>
      <c r="G414" s="3" t="s">
        <v>8</v>
      </c>
      <c r="H414" s="3" t="s">
        <v>9</v>
      </c>
      <c r="I414" s="3" t="s">
        <v>10</v>
      </c>
      <c r="J414" s="3"/>
    </row>
    <row r="415" spans="1:10" x14ac:dyDescent="0.25">
      <c r="B415" s="12">
        <v>46142</v>
      </c>
      <c r="C415" s="13" t="s">
        <v>274</v>
      </c>
      <c r="D415" s="13">
        <v>2</v>
      </c>
      <c r="E415" s="31">
        <v>1199</v>
      </c>
      <c r="F415" s="7">
        <f>E415*D415</f>
        <v>2398</v>
      </c>
      <c r="G415" s="7">
        <v>2.6082999999999998</v>
      </c>
      <c r="H415" s="7">
        <f>E415*G415</f>
        <v>3127.3516999999997</v>
      </c>
      <c r="I415" s="7">
        <f>H415*D415</f>
        <v>6254.7033999999994</v>
      </c>
      <c r="J415" s="5">
        <f>J414+I415</f>
        <v>6254.7033999999994</v>
      </c>
    </row>
    <row r="416" spans="1:10" x14ac:dyDescent="0.25">
      <c r="B416" s="12">
        <v>46142</v>
      </c>
      <c r="C416" s="13" t="s">
        <v>274</v>
      </c>
      <c r="D416" s="13">
        <v>2</v>
      </c>
      <c r="E416" s="31">
        <v>1199</v>
      </c>
      <c r="F416" s="7">
        <f t="shared" ref="F416:F419" si="103">E416*D416</f>
        <v>2398</v>
      </c>
      <c r="G416" s="7">
        <v>2.6082999999999998</v>
      </c>
      <c r="H416" s="7">
        <f t="shared" ref="H416:H419" si="104">E416*G416</f>
        <v>3127.3516999999997</v>
      </c>
      <c r="I416" s="7">
        <f t="shared" ref="I416:I419" si="105">H416*D416</f>
        <v>6254.7033999999994</v>
      </c>
      <c r="J416" s="5">
        <f t="shared" ref="J416:J419" si="106">J415+I416</f>
        <v>12509.406799999999</v>
      </c>
    </row>
    <row r="417" spans="1:10" x14ac:dyDescent="0.25">
      <c r="B417" s="12">
        <v>46142</v>
      </c>
      <c r="C417" s="13" t="s">
        <v>274</v>
      </c>
      <c r="D417" s="13">
        <v>2</v>
      </c>
      <c r="E417" s="31">
        <v>1199</v>
      </c>
      <c r="F417" s="7">
        <f t="shared" si="103"/>
        <v>2398</v>
      </c>
      <c r="G417" s="7">
        <v>2.6082999999999998</v>
      </c>
      <c r="H417" s="7">
        <f t="shared" si="104"/>
        <v>3127.3516999999997</v>
      </c>
      <c r="I417" s="7">
        <f t="shared" si="105"/>
        <v>6254.7033999999994</v>
      </c>
      <c r="J417" s="5">
        <f t="shared" si="106"/>
        <v>18764.110199999999</v>
      </c>
    </row>
    <row r="418" spans="1:10" x14ac:dyDescent="0.25">
      <c r="B418" s="12">
        <v>46142</v>
      </c>
      <c r="C418" s="13" t="s">
        <v>275</v>
      </c>
      <c r="D418" s="13">
        <v>2</v>
      </c>
      <c r="E418" s="31">
        <v>999</v>
      </c>
      <c r="F418" s="7">
        <f t="shared" si="103"/>
        <v>1998</v>
      </c>
      <c r="G418" s="7">
        <v>2.6082999999999998</v>
      </c>
      <c r="H418" s="7">
        <f t="shared" si="104"/>
        <v>2605.6916999999999</v>
      </c>
      <c r="I418" s="7">
        <f t="shared" si="105"/>
        <v>5211.3833999999997</v>
      </c>
      <c r="J418" s="5">
        <f t="shared" si="106"/>
        <v>23975.493599999998</v>
      </c>
    </row>
    <row r="419" spans="1:10" x14ac:dyDescent="0.25">
      <c r="B419" s="7"/>
      <c r="C419" s="7"/>
      <c r="D419" s="7"/>
      <c r="E419" s="7"/>
      <c r="F419" s="7">
        <f t="shared" si="103"/>
        <v>0</v>
      </c>
      <c r="G419" s="7"/>
      <c r="H419" s="7">
        <f t="shared" si="104"/>
        <v>0</v>
      </c>
      <c r="I419" s="7">
        <f t="shared" si="105"/>
        <v>0</v>
      </c>
      <c r="J419" s="5">
        <f t="shared" si="106"/>
        <v>23975.493599999998</v>
      </c>
    </row>
    <row r="420" spans="1:10" x14ac:dyDescent="0.25">
      <c r="B420" s="1"/>
      <c r="C420" s="1"/>
      <c r="D420" s="1"/>
      <c r="E420" s="1"/>
      <c r="F420" s="1"/>
      <c r="G420" s="1"/>
      <c r="H420" s="1"/>
      <c r="I420" s="1"/>
      <c r="J420" s="2"/>
    </row>
    <row r="421" spans="1:10" x14ac:dyDescent="0.25">
      <c r="B421" s="1"/>
      <c r="C421" s="1"/>
      <c r="D421" s="1"/>
      <c r="E421" s="1"/>
      <c r="F421" s="1"/>
      <c r="G421" s="1"/>
      <c r="H421" s="1"/>
      <c r="I421" s="1"/>
      <c r="J421" s="2"/>
    </row>
    <row r="422" spans="1:10" x14ac:dyDescent="0.25">
      <c r="B422" s="1"/>
      <c r="C422" s="1"/>
      <c r="D422" s="1"/>
      <c r="E422" s="1"/>
      <c r="F422" s="1"/>
      <c r="G422" s="1"/>
      <c r="H422" s="1"/>
      <c r="I422" s="1"/>
      <c r="J422" s="2"/>
    </row>
    <row r="423" spans="1:10" x14ac:dyDescent="0.25">
      <c r="B423" s="1"/>
      <c r="C423" s="1"/>
      <c r="D423" s="1"/>
      <c r="E423" s="1"/>
      <c r="F423" s="1"/>
      <c r="G423" s="1"/>
      <c r="H423" s="1"/>
      <c r="I423" s="1"/>
      <c r="J423" s="2"/>
    </row>
    <row r="424" spans="1:10" x14ac:dyDescent="0.25">
      <c r="B424" s="1"/>
      <c r="C424" s="1"/>
      <c r="D424" s="1"/>
      <c r="E424" s="1"/>
      <c r="F424" s="1"/>
      <c r="G424" s="1"/>
      <c r="H424" s="1"/>
      <c r="I424" s="1"/>
      <c r="J424" s="2"/>
    </row>
    <row r="425" spans="1:10" x14ac:dyDescent="0.25">
      <c r="B425" s="1"/>
      <c r="C425" s="1"/>
      <c r="D425" s="1"/>
      <c r="E425" s="1"/>
      <c r="F425" s="1"/>
      <c r="G425" s="1"/>
      <c r="H425" s="1"/>
      <c r="I425" s="1"/>
      <c r="J425" s="2"/>
    </row>
    <row r="426" spans="1:10" ht="21" x14ac:dyDescent="0.35">
      <c r="A426" t="s">
        <v>0</v>
      </c>
      <c r="B426" s="73" t="s">
        <v>1</v>
      </c>
      <c r="C426" s="73"/>
      <c r="D426" s="73"/>
      <c r="E426" s="73"/>
      <c r="F426" s="73"/>
      <c r="G426" s="73"/>
      <c r="H426" s="73"/>
      <c r="I426" s="73"/>
      <c r="J426" s="73"/>
    </row>
    <row r="427" spans="1:10" ht="18.75" x14ac:dyDescent="0.3">
      <c r="A427" t="s">
        <v>2</v>
      </c>
      <c r="B427" s="3" t="s">
        <v>3</v>
      </c>
      <c r="C427" s="3" t="s">
        <v>4</v>
      </c>
      <c r="D427" s="3" t="s">
        <v>5</v>
      </c>
      <c r="E427" s="3" t="s">
        <v>6</v>
      </c>
      <c r="F427" s="3" t="s">
        <v>7</v>
      </c>
      <c r="G427" s="3" t="s">
        <v>8</v>
      </c>
      <c r="H427" s="3" t="s">
        <v>9</v>
      </c>
      <c r="I427" s="3" t="s">
        <v>10</v>
      </c>
      <c r="J427" s="3"/>
    </row>
    <row r="428" spans="1:10" x14ac:dyDescent="0.25">
      <c r="B428" s="12">
        <v>46143</v>
      </c>
      <c r="C428" s="13" t="s">
        <v>274</v>
      </c>
      <c r="D428" s="13">
        <v>2</v>
      </c>
      <c r="E428" s="31">
        <v>1199</v>
      </c>
      <c r="F428" s="7">
        <f>E428*D428</f>
        <v>2398</v>
      </c>
      <c r="G428" s="7">
        <v>2.6082999999999998</v>
      </c>
      <c r="H428" s="7">
        <f>E428*G428</f>
        <v>3127.3516999999997</v>
      </c>
      <c r="I428" s="7">
        <f>H428*D428</f>
        <v>6254.7033999999994</v>
      </c>
      <c r="J428" s="5">
        <f>J427+I428</f>
        <v>6254.7033999999994</v>
      </c>
    </row>
    <row r="429" spans="1:10" x14ac:dyDescent="0.25">
      <c r="B429" s="12">
        <v>46143</v>
      </c>
      <c r="C429" s="13" t="s">
        <v>274</v>
      </c>
      <c r="D429" s="13">
        <v>2</v>
      </c>
      <c r="E429" s="31">
        <v>1199</v>
      </c>
      <c r="F429" s="7">
        <f t="shared" ref="F429:F442" si="107">E429*D429</f>
        <v>2398</v>
      </c>
      <c r="G429" s="7">
        <v>2.6082999999999998</v>
      </c>
      <c r="H429" s="7">
        <f t="shared" ref="H429:H442" si="108">E429*G429</f>
        <v>3127.3516999999997</v>
      </c>
      <c r="I429" s="7">
        <f t="shared" ref="I429:I442" si="109">H429*D429</f>
        <v>6254.7033999999994</v>
      </c>
      <c r="J429" s="5">
        <f t="shared" ref="J429:J442" si="110">J428+I429</f>
        <v>12509.406799999999</v>
      </c>
    </row>
    <row r="430" spans="1:10" x14ac:dyDescent="0.25">
      <c r="B430" s="12">
        <v>46143</v>
      </c>
      <c r="C430" s="13" t="s">
        <v>274</v>
      </c>
      <c r="D430" s="13">
        <v>2</v>
      </c>
      <c r="E430" s="31">
        <v>1199</v>
      </c>
      <c r="F430" s="7">
        <f t="shared" si="107"/>
        <v>2398</v>
      </c>
      <c r="G430" s="7">
        <v>2.6082999999999998</v>
      </c>
      <c r="H430" s="7">
        <f t="shared" si="108"/>
        <v>3127.3516999999997</v>
      </c>
      <c r="I430" s="7">
        <f t="shared" si="109"/>
        <v>6254.7033999999994</v>
      </c>
      <c r="J430" s="5">
        <f t="shared" si="110"/>
        <v>18764.110199999999</v>
      </c>
    </row>
    <row r="431" spans="1:10" x14ac:dyDescent="0.25">
      <c r="B431" s="12">
        <v>46143</v>
      </c>
      <c r="C431" s="13" t="s">
        <v>274</v>
      </c>
      <c r="D431" s="13">
        <v>2</v>
      </c>
      <c r="E431" s="31">
        <v>1199</v>
      </c>
      <c r="F431" s="7">
        <f t="shared" si="107"/>
        <v>2398</v>
      </c>
      <c r="G431" s="7">
        <v>2.6082999999999998</v>
      </c>
      <c r="H431" s="7">
        <f t="shared" si="108"/>
        <v>3127.3516999999997</v>
      </c>
      <c r="I431" s="7">
        <f t="shared" si="109"/>
        <v>6254.7033999999994</v>
      </c>
      <c r="J431" s="5">
        <f t="shared" si="110"/>
        <v>25018.813599999998</v>
      </c>
    </row>
    <row r="432" spans="1:10" x14ac:dyDescent="0.25">
      <c r="B432" s="17">
        <v>46144</v>
      </c>
      <c r="C432" s="18" t="s">
        <v>276</v>
      </c>
      <c r="D432" s="18">
        <v>5</v>
      </c>
      <c r="E432" s="33">
        <v>1999</v>
      </c>
      <c r="F432" s="7">
        <f t="shared" si="107"/>
        <v>9995</v>
      </c>
      <c r="G432" s="7">
        <v>2.6082999999999998</v>
      </c>
      <c r="H432" s="7">
        <f t="shared" si="108"/>
        <v>5213.9916999999996</v>
      </c>
      <c r="I432" s="7">
        <f t="shared" si="109"/>
        <v>26069.958499999997</v>
      </c>
      <c r="J432" s="5">
        <f t="shared" si="110"/>
        <v>51088.772099999995</v>
      </c>
    </row>
    <row r="433" spans="2:10" x14ac:dyDescent="0.25">
      <c r="B433" s="17">
        <v>46144</v>
      </c>
      <c r="C433" s="18" t="s">
        <v>277</v>
      </c>
      <c r="D433" s="18">
        <v>7</v>
      </c>
      <c r="E433" s="33">
        <v>1982</v>
      </c>
      <c r="F433" s="7">
        <f t="shared" si="107"/>
        <v>13874</v>
      </c>
      <c r="G433" s="7">
        <v>2.6082999999999998</v>
      </c>
      <c r="H433" s="7">
        <f t="shared" si="108"/>
        <v>5169.6505999999999</v>
      </c>
      <c r="I433" s="7">
        <f t="shared" si="109"/>
        <v>36187.554199999999</v>
      </c>
      <c r="J433" s="5">
        <f t="shared" si="110"/>
        <v>87276.326299999986</v>
      </c>
    </row>
    <row r="434" spans="2:10" x14ac:dyDescent="0.25">
      <c r="B434" s="17">
        <v>46145</v>
      </c>
      <c r="C434" s="18" t="s">
        <v>278</v>
      </c>
      <c r="D434" s="18">
        <v>4</v>
      </c>
      <c r="E434" s="33">
        <v>1999</v>
      </c>
      <c r="F434" s="7">
        <f t="shared" si="107"/>
        <v>7996</v>
      </c>
      <c r="G434" s="7">
        <v>2.6082999999999998</v>
      </c>
      <c r="H434" s="7">
        <f t="shared" si="108"/>
        <v>5213.9916999999996</v>
      </c>
      <c r="I434" s="7">
        <f t="shared" si="109"/>
        <v>20855.966799999998</v>
      </c>
      <c r="J434" s="5">
        <f t="shared" si="110"/>
        <v>108132.29309999998</v>
      </c>
    </row>
    <row r="435" spans="2:10" x14ac:dyDescent="0.25">
      <c r="B435" s="17">
        <v>46145</v>
      </c>
      <c r="C435" s="18" t="s">
        <v>279</v>
      </c>
      <c r="D435" s="18">
        <v>10</v>
      </c>
      <c r="E435" s="33">
        <v>1999</v>
      </c>
      <c r="F435" s="7">
        <f t="shared" si="107"/>
        <v>19990</v>
      </c>
      <c r="G435" s="7">
        <v>2.6082999999999998</v>
      </c>
      <c r="H435" s="7">
        <f t="shared" si="108"/>
        <v>5213.9916999999996</v>
      </c>
      <c r="I435" s="7">
        <f t="shared" si="109"/>
        <v>52139.916999999994</v>
      </c>
      <c r="J435" s="5">
        <f t="shared" si="110"/>
        <v>160272.21009999997</v>
      </c>
    </row>
    <row r="436" spans="2:10" x14ac:dyDescent="0.25">
      <c r="B436" s="17">
        <v>46145</v>
      </c>
      <c r="C436" s="18" t="s">
        <v>280</v>
      </c>
      <c r="D436" s="18">
        <v>8</v>
      </c>
      <c r="E436" s="33">
        <v>1950</v>
      </c>
      <c r="F436" s="7">
        <f t="shared" si="107"/>
        <v>15600</v>
      </c>
      <c r="G436" s="7">
        <v>2.6082999999999998</v>
      </c>
      <c r="H436" s="7">
        <f t="shared" si="108"/>
        <v>5086.1849999999995</v>
      </c>
      <c r="I436" s="7">
        <f t="shared" si="109"/>
        <v>40689.479999999996</v>
      </c>
      <c r="J436" s="5">
        <f t="shared" si="110"/>
        <v>200961.69009999995</v>
      </c>
    </row>
    <row r="437" spans="2:10" x14ac:dyDescent="0.25">
      <c r="B437" s="12">
        <v>46146</v>
      </c>
      <c r="C437" s="13" t="s">
        <v>274</v>
      </c>
      <c r="D437" s="13">
        <v>2</v>
      </c>
      <c r="E437" s="31">
        <v>1199</v>
      </c>
      <c r="F437" s="7">
        <f t="shared" si="107"/>
        <v>2398</v>
      </c>
      <c r="G437" s="7">
        <v>2.6082999999999998</v>
      </c>
      <c r="H437" s="7">
        <f t="shared" si="108"/>
        <v>3127.3516999999997</v>
      </c>
      <c r="I437" s="7">
        <f t="shared" si="109"/>
        <v>6254.7033999999994</v>
      </c>
      <c r="J437" s="5">
        <f t="shared" si="110"/>
        <v>207216.39349999995</v>
      </c>
    </row>
    <row r="438" spans="2:10" x14ac:dyDescent="0.25">
      <c r="B438" s="12">
        <v>46146</v>
      </c>
      <c r="C438" s="13" t="s">
        <v>274</v>
      </c>
      <c r="D438" s="13">
        <v>2</v>
      </c>
      <c r="E438" s="31">
        <v>1199</v>
      </c>
      <c r="F438" s="7">
        <f t="shared" si="107"/>
        <v>2398</v>
      </c>
      <c r="G438" s="7">
        <v>2.6082999999999998</v>
      </c>
      <c r="H438" s="7">
        <f t="shared" si="108"/>
        <v>3127.3516999999997</v>
      </c>
      <c r="I438" s="7">
        <f t="shared" si="109"/>
        <v>6254.7033999999994</v>
      </c>
      <c r="J438" s="5">
        <f t="shared" si="110"/>
        <v>213471.09689999995</v>
      </c>
    </row>
    <row r="439" spans="2:10" x14ac:dyDescent="0.25">
      <c r="B439" s="12">
        <v>46146</v>
      </c>
      <c r="C439" s="13" t="s">
        <v>274</v>
      </c>
      <c r="D439" s="13">
        <v>2</v>
      </c>
      <c r="E439" s="31">
        <v>1199</v>
      </c>
      <c r="F439" s="7">
        <f t="shared" si="107"/>
        <v>2398</v>
      </c>
      <c r="G439" s="7">
        <v>2.6082999999999998</v>
      </c>
      <c r="H439" s="7">
        <f t="shared" si="108"/>
        <v>3127.3516999999997</v>
      </c>
      <c r="I439" s="7">
        <f t="shared" si="109"/>
        <v>6254.7033999999994</v>
      </c>
      <c r="J439" s="5">
        <f t="shared" si="110"/>
        <v>219725.80029999994</v>
      </c>
    </row>
    <row r="440" spans="2:10" x14ac:dyDescent="0.25">
      <c r="B440" s="12">
        <v>46146</v>
      </c>
      <c r="C440" s="13" t="s">
        <v>274</v>
      </c>
      <c r="D440" s="13">
        <v>2</v>
      </c>
      <c r="E440" s="31">
        <v>1199</v>
      </c>
      <c r="F440" s="7">
        <f t="shared" si="107"/>
        <v>2398</v>
      </c>
      <c r="G440" s="7">
        <v>2.6082999999999998</v>
      </c>
      <c r="H440" s="7">
        <f t="shared" si="108"/>
        <v>3127.3516999999997</v>
      </c>
      <c r="I440" s="7">
        <f t="shared" si="109"/>
        <v>6254.7033999999994</v>
      </c>
      <c r="J440" s="5">
        <f t="shared" si="110"/>
        <v>225980.50369999994</v>
      </c>
    </row>
    <row r="441" spans="2:10" x14ac:dyDescent="0.25">
      <c r="B441" s="12">
        <v>46146</v>
      </c>
      <c r="C441" s="13" t="s">
        <v>274</v>
      </c>
      <c r="D441" s="13">
        <v>2</v>
      </c>
      <c r="E441" s="31">
        <v>1199</v>
      </c>
      <c r="F441" s="7">
        <f t="shared" si="107"/>
        <v>2398</v>
      </c>
      <c r="G441" s="7">
        <v>2.6082999999999998</v>
      </c>
      <c r="H441" s="7">
        <f t="shared" si="108"/>
        <v>3127.3516999999997</v>
      </c>
      <c r="I441" s="7">
        <f t="shared" si="109"/>
        <v>6254.7033999999994</v>
      </c>
      <c r="J441" s="5">
        <f t="shared" si="110"/>
        <v>232235.20709999994</v>
      </c>
    </row>
    <row r="442" spans="2:10" x14ac:dyDescent="0.25">
      <c r="B442" s="7"/>
      <c r="C442" s="7"/>
      <c r="D442" s="7"/>
      <c r="E442" s="7"/>
      <c r="F442" s="7">
        <f t="shared" si="107"/>
        <v>0</v>
      </c>
      <c r="G442" s="7"/>
      <c r="H442" s="7">
        <f t="shared" si="108"/>
        <v>0</v>
      </c>
      <c r="I442" s="7">
        <f t="shared" si="109"/>
        <v>0</v>
      </c>
      <c r="J442" s="5">
        <f t="shared" si="110"/>
        <v>232235.20709999994</v>
      </c>
    </row>
    <row r="443" spans="2:10" x14ac:dyDescent="0.25">
      <c r="B443" s="1"/>
      <c r="C443" s="1"/>
      <c r="D443" s="1"/>
      <c r="E443" s="1"/>
      <c r="F443" s="1"/>
      <c r="G443" s="1"/>
      <c r="H443" s="1"/>
      <c r="I443" s="1"/>
      <c r="J443" s="2"/>
    </row>
    <row r="444" spans="2:10" x14ac:dyDescent="0.25">
      <c r="B444" s="1"/>
      <c r="C444" s="1"/>
      <c r="D444" s="1"/>
      <c r="E444" s="1"/>
      <c r="F444" s="1"/>
      <c r="G444" s="1"/>
      <c r="H444" s="1"/>
      <c r="I444" s="1"/>
      <c r="J444" s="2"/>
    </row>
    <row r="445" spans="2:10" x14ac:dyDescent="0.25">
      <c r="B445" s="1"/>
      <c r="C445" s="1"/>
      <c r="D445" s="1"/>
      <c r="E445" s="1"/>
      <c r="F445" s="1"/>
      <c r="G445" s="1"/>
      <c r="H445" s="1"/>
      <c r="I445" s="1"/>
      <c r="J445" s="2"/>
    </row>
    <row r="446" spans="2:10" x14ac:dyDescent="0.25">
      <c r="B446" s="1"/>
      <c r="C446" s="1"/>
      <c r="D446" s="1"/>
      <c r="E446" s="1"/>
      <c r="F446" s="1"/>
      <c r="G446" s="1"/>
      <c r="H446" s="1"/>
      <c r="I446" s="1"/>
      <c r="J446" s="2"/>
    </row>
    <row r="447" spans="2:10" x14ac:dyDescent="0.25">
      <c r="B447" s="1"/>
      <c r="C447" s="1"/>
      <c r="D447" s="1"/>
      <c r="E447" s="1"/>
      <c r="F447" s="1"/>
      <c r="G447" s="1"/>
      <c r="H447" s="1"/>
      <c r="I447" s="1"/>
      <c r="J447" s="2"/>
    </row>
    <row r="448" spans="2:10" x14ac:dyDescent="0.25">
      <c r="B448" s="1"/>
      <c r="C448" s="1"/>
      <c r="D448" s="1"/>
      <c r="E448" s="1"/>
      <c r="F448" s="1"/>
      <c r="G448" s="1"/>
      <c r="H448" s="1"/>
      <c r="I448" s="1"/>
      <c r="J448" s="2"/>
    </row>
    <row r="449" spans="1:10" ht="21" x14ac:dyDescent="0.35">
      <c r="A449" t="s">
        <v>0</v>
      </c>
      <c r="B449" s="73" t="s">
        <v>34</v>
      </c>
      <c r="C449" s="73"/>
      <c r="D449" s="73"/>
      <c r="E449" s="73"/>
      <c r="F449" s="73"/>
      <c r="G449" s="73"/>
      <c r="H449" s="73"/>
      <c r="I449" s="73"/>
      <c r="J449" s="73"/>
    </row>
    <row r="450" spans="1:10" ht="18.75" x14ac:dyDescent="0.3">
      <c r="A450" t="s">
        <v>2</v>
      </c>
      <c r="B450" s="3" t="s">
        <v>3</v>
      </c>
      <c r="C450" s="3" t="s">
        <v>4</v>
      </c>
      <c r="D450" s="3" t="s">
        <v>5</v>
      </c>
      <c r="E450" s="3" t="s">
        <v>6</v>
      </c>
      <c r="F450" s="3" t="s">
        <v>7</v>
      </c>
      <c r="G450" s="3" t="s">
        <v>8</v>
      </c>
      <c r="H450" s="3" t="s">
        <v>9</v>
      </c>
      <c r="I450" s="3" t="s">
        <v>10</v>
      </c>
      <c r="J450" s="3"/>
    </row>
    <row r="451" spans="1:10" x14ac:dyDescent="0.25">
      <c r="B451" s="12">
        <v>46149</v>
      </c>
      <c r="C451" s="13" t="s">
        <v>281</v>
      </c>
      <c r="D451" s="13">
        <v>2</v>
      </c>
      <c r="E451" s="13">
        <v>3299</v>
      </c>
      <c r="F451" s="14">
        <f>E451*D451</f>
        <v>6598</v>
      </c>
      <c r="G451" s="14">
        <v>2.15</v>
      </c>
      <c r="H451" s="14">
        <f>E451*G451</f>
        <v>7092.8499999999995</v>
      </c>
      <c r="I451" s="14">
        <f>H451*D451</f>
        <v>14185.699999999999</v>
      </c>
      <c r="J451" s="13">
        <f>J450+I451</f>
        <v>14185.699999999999</v>
      </c>
    </row>
    <row r="452" spans="1:10" x14ac:dyDescent="0.25">
      <c r="B452" s="4">
        <v>46152</v>
      </c>
      <c r="C452" s="5" t="s">
        <v>282</v>
      </c>
      <c r="D452" s="5">
        <v>4</v>
      </c>
      <c r="E452" s="5">
        <v>1579</v>
      </c>
      <c r="F452" s="7">
        <f t="shared" ref="F452:F462" si="111">E452*D452</f>
        <v>6316</v>
      </c>
      <c r="G452" s="7">
        <v>2.15</v>
      </c>
      <c r="H452" s="7">
        <f t="shared" ref="H452:H462" si="112">E452*G452</f>
        <v>3394.85</v>
      </c>
      <c r="I452" s="7">
        <f t="shared" ref="I452:I462" si="113">H452*D452</f>
        <v>13579.4</v>
      </c>
      <c r="J452" s="5">
        <f t="shared" ref="J452:J462" si="114">J451+I452</f>
        <v>27765.1</v>
      </c>
    </row>
    <row r="453" spans="1:10" x14ac:dyDescent="0.25">
      <c r="B453" s="12">
        <v>46152</v>
      </c>
      <c r="C453" s="13" t="s">
        <v>283</v>
      </c>
      <c r="D453" s="13">
        <v>4</v>
      </c>
      <c r="E453" s="13">
        <v>1579</v>
      </c>
      <c r="F453" s="14">
        <f t="shared" si="111"/>
        <v>6316</v>
      </c>
      <c r="G453" s="14">
        <v>2.15</v>
      </c>
      <c r="H453" s="14">
        <f t="shared" si="112"/>
        <v>3394.85</v>
      </c>
      <c r="I453" s="14">
        <f t="shared" si="113"/>
        <v>13579.4</v>
      </c>
      <c r="J453" s="13">
        <f t="shared" si="114"/>
        <v>41344.5</v>
      </c>
    </row>
    <row r="454" spans="1:10" x14ac:dyDescent="0.25">
      <c r="B454" s="12">
        <v>46153</v>
      </c>
      <c r="C454" s="13" t="s">
        <v>284</v>
      </c>
      <c r="D454" s="13">
        <v>8</v>
      </c>
      <c r="E454" s="13">
        <v>143</v>
      </c>
      <c r="F454" s="14">
        <f t="shared" si="111"/>
        <v>1144</v>
      </c>
      <c r="G454" s="14">
        <v>2.15</v>
      </c>
      <c r="H454" s="14">
        <f t="shared" si="112"/>
        <v>307.45</v>
      </c>
      <c r="I454" s="14">
        <f t="shared" si="113"/>
        <v>2459.6</v>
      </c>
      <c r="J454" s="13">
        <f t="shared" si="114"/>
        <v>43804.1</v>
      </c>
    </row>
    <row r="455" spans="1:10" x14ac:dyDescent="0.25">
      <c r="B455" s="12">
        <v>46154</v>
      </c>
      <c r="C455" s="13" t="s">
        <v>285</v>
      </c>
      <c r="D455" s="13">
        <v>4</v>
      </c>
      <c r="E455" s="13">
        <v>1579</v>
      </c>
      <c r="F455" s="14">
        <f t="shared" si="111"/>
        <v>6316</v>
      </c>
      <c r="G455" s="14">
        <v>2.15</v>
      </c>
      <c r="H455" s="14">
        <f t="shared" si="112"/>
        <v>3394.85</v>
      </c>
      <c r="I455" s="14">
        <f t="shared" si="113"/>
        <v>13579.4</v>
      </c>
      <c r="J455" s="13">
        <f t="shared" si="114"/>
        <v>57383.5</v>
      </c>
    </row>
    <row r="456" spans="1:10" x14ac:dyDescent="0.25">
      <c r="B456" s="4">
        <v>46154</v>
      </c>
      <c r="C456" s="5" t="s">
        <v>286</v>
      </c>
      <c r="D456" s="5">
        <v>20</v>
      </c>
      <c r="E456" s="5">
        <v>143</v>
      </c>
      <c r="F456" s="7">
        <f t="shared" si="111"/>
        <v>2860</v>
      </c>
      <c r="G456" s="7">
        <v>2.15</v>
      </c>
      <c r="H456" s="7">
        <f t="shared" si="112"/>
        <v>307.45</v>
      </c>
      <c r="I456" s="7">
        <f t="shared" si="113"/>
        <v>6149</v>
      </c>
      <c r="J456" s="5">
        <f t="shared" si="114"/>
        <v>63532.5</v>
      </c>
    </row>
    <row r="457" spans="1:10" x14ac:dyDescent="0.25">
      <c r="B457" s="12">
        <v>46154</v>
      </c>
      <c r="C457" s="13" t="s">
        <v>287</v>
      </c>
      <c r="D457" s="13">
        <v>1</v>
      </c>
      <c r="E457" s="13">
        <v>17999</v>
      </c>
      <c r="F457" s="14">
        <f t="shared" si="111"/>
        <v>17999</v>
      </c>
      <c r="G457" s="14">
        <v>2.15</v>
      </c>
      <c r="H457" s="14">
        <f t="shared" si="112"/>
        <v>38697.85</v>
      </c>
      <c r="I457" s="14">
        <f t="shared" si="113"/>
        <v>38697.85</v>
      </c>
      <c r="J457" s="13">
        <f t="shared" si="114"/>
        <v>102230.35</v>
      </c>
    </row>
    <row r="458" spans="1:10" x14ac:dyDescent="0.25">
      <c r="B458" s="12">
        <v>46156</v>
      </c>
      <c r="C458" s="13" t="s">
        <v>288</v>
      </c>
      <c r="D458" s="13">
        <v>12</v>
      </c>
      <c r="E458" s="13">
        <v>1600</v>
      </c>
      <c r="F458" s="14">
        <f t="shared" si="111"/>
        <v>19200</v>
      </c>
      <c r="G458" s="14">
        <v>2.15</v>
      </c>
      <c r="H458" s="14">
        <f t="shared" si="112"/>
        <v>3440</v>
      </c>
      <c r="I458" s="14">
        <f t="shared" si="113"/>
        <v>41280</v>
      </c>
      <c r="J458" s="13">
        <f t="shared" si="114"/>
        <v>143510.35</v>
      </c>
    </row>
    <row r="459" spans="1:10" x14ac:dyDescent="0.25">
      <c r="B459" s="12">
        <v>46156</v>
      </c>
      <c r="C459" s="13" t="s">
        <v>289</v>
      </c>
      <c r="D459" s="13">
        <v>4</v>
      </c>
      <c r="E459" s="13">
        <v>1579</v>
      </c>
      <c r="F459" s="14">
        <f t="shared" si="111"/>
        <v>6316</v>
      </c>
      <c r="G459" s="14">
        <v>2.15</v>
      </c>
      <c r="H459" s="14">
        <f t="shared" si="112"/>
        <v>3394.85</v>
      </c>
      <c r="I459" s="14">
        <f t="shared" si="113"/>
        <v>13579.4</v>
      </c>
      <c r="J459" s="13">
        <f t="shared" si="114"/>
        <v>157089.75</v>
      </c>
    </row>
    <row r="460" spans="1:10" x14ac:dyDescent="0.25">
      <c r="B460" s="12">
        <v>46156</v>
      </c>
      <c r="C460" s="13" t="s">
        <v>283</v>
      </c>
      <c r="D460" s="13">
        <v>4</v>
      </c>
      <c r="E460" s="13">
        <v>1579</v>
      </c>
      <c r="F460" s="14">
        <f t="shared" si="111"/>
        <v>6316</v>
      </c>
      <c r="G460" s="14">
        <v>2.15</v>
      </c>
      <c r="H460" s="14">
        <f t="shared" si="112"/>
        <v>3394.85</v>
      </c>
      <c r="I460" s="14">
        <f t="shared" si="113"/>
        <v>13579.4</v>
      </c>
      <c r="J460" s="13">
        <f t="shared" si="114"/>
        <v>170669.15</v>
      </c>
    </row>
    <row r="461" spans="1:10" x14ac:dyDescent="0.25">
      <c r="B461" s="4">
        <v>46154</v>
      </c>
      <c r="C461" s="5" t="s">
        <v>290</v>
      </c>
      <c r="D461" s="60">
        <v>1</v>
      </c>
      <c r="E461" s="60">
        <v>1370</v>
      </c>
      <c r="F461" s="7">
        <f t="shared" si="111"/>
        <v>1370</v>
      </c>
      <c r="G461" s="7">
        <v>2.15</v>
      </c>
      <c r="H461" s="7">
        <f t="shared" si="112"/>
        <v>2945.5</v>
      </c>
      <c r="I461" s="7">
        <f t="shared" si="113"/>
        <v>2945.5</v>
      </c>
      <c r="J461" s="5">
        <f t="shared" si="114"/>
        <v>173614.65</v>
      </c>
    </row>
    <row r="462" spans="1:10" x14ac:dyDescent="0.25">
      <c r="B462" s="7"/>
      <c r="C462" s="7"/>
      <c r="D462" s="7"/>
      <c r="E462" s="7"/>
      <c r="F462" s="7">
        <f t="shared" si="111"/>
        <v>0</v>
      </c>
      <c r="G462" s="7"/>
      <c r="H462" s="7">
        <f t="shared" si="112"/>
        <v>0</v>
      </c>
      <c r="I462" s="7">
        <f t="shared" si="113"/>
        <v>0</v>
      </c>
      <c r="J462" s="5">
        <f t="shared" si="114"/>
        <v>173614.65</v>
      </c>
    </row>
    <row r="463" spans="1:10" x14ac:dyDescent="0.25">
      <c r="B463" s="1"/>
      <c r="C463" s="1"/>
      <c r="D463" s="1"/>
      <c r="E463" s="1"/>
      <c r="F463" s="1"/>
      <c r="G463" s="1"/>
      <c r="H463" s="1"/>
      <c r="I463" s="1"/>
      <c r="J463" s="2"/>
    </row>
    <row r="464" spans="1:10" x14ac:dyDescent="0.25">
      <c r="B464" s="1"/>
      <c r="C464" s="1"/>
      <c r="D464" s="1"/>
      <c r="E464" s="1"/>
      <c r="F464" s="1"/>
      <c r="G464" s="1"/>
      <c r="H464" s="1"/>
      <c r="I464" s="1"/>
      <c r="J464" s="2"/>
    </row>
    <row r="465" spans="1:10" x14ac:dyDescent="0.25">
      <c r="B465" s="1"/>
      <c r="C465" s="1"/>
      <c r="D465" s="1"/>
      <c r="E465" s="1"/>
      <c r="F465" s="1"/>
      <c r="G465" s="1"/>
      <c r="H465" s="1"/>
      <c r="I465" s="1"/>
      <c r="J465" s="2"/>
    </row>
    <row r="466" spans="1:10" x14ac:dyDescent="0.25">
      <c r="B466" s="1"/>
      <c r="C466" s="1"/>
      <c r="D466" s="1"/>
      <c r="E466" s="1"/>
      <c r="F466" s="1"/>
      <c r="G466" s="1"/>
      <c r="H466" s="1"/>
      <c r="I466" s="1"/>
      <c r="J466" s="2"/>
    </row>
    <row r="467" spans="1:10" x14ac:dyDescent="0.25">
      <c r="B467" s="1"/>
      <c r="C467" s="1"/>
      <c r="D467" s="1"/>
      <c r="E467" s="1"/>
      <c r="F467" s="1"/>
      <c r="G467" s="1"/>
      <c r="H467" s="1"/>
      <c r="I467" s="1"/>
      <c r="J467" s="2"/>
    </row>
    <row r="468" spans="1:10" x14ac:dyDescent="0.25">
      <c r="B468" s="1"/>
      <c r="C468" s="1"/>
      <c r="D468" s="1"/>
      <c r="E468" s="1"/>
      <c r="F468" s="1"/>
      <c r="G468" s="1"/>
      <c r="H468" s="1"/>
      <c r="I468" s="1"/>
      <c r="J468" s="2"/>
    </row>
    <row r="469" spans="1:10" ht="21" x14ac:dyDescent="0.35">
      <c r="A469" t="s">
        <v>0</v>
      </c>
      <c r="B469" s="73" t="s">
        <v>1</v>
      </c>
      <c r="C469" s="73"/>
      <c r="D469" s="73"/>
      <c r="E469" s="73"/>
      <c r="F469" s="73"/>
      <c r="G469" s="73"/>
      <c r="H469" s="73"/>
      <c r="I469" s="73"/>
      <c r="J469" s="73"/>
    </row>
    <row r="470" spans="1:10" ht="18.75" x14ac:dyDescent="0.3">
      <c r="A470" t="s">
        <v>2</v>
      </c>
      <c r="B470" s="3" t="s">
        <v>3</v>
      </c>
      <c r="C470" s="3" t="s">
        <v>4</v>
      </c>
      <c r="D470" s="3" t="s">
        <v>5</v>
      </c>
      <c r="E470" s="3" t="s">
        <v>6</v>
      </c>
      <c r="F470" s="3" t="s">
        <v>7</v>
      </c>
      <c r="G470" s="3" t="s">
        <v>8</v>
      </c>
      <c r="H470" s="3" t="s">
        <v>9</v>
      </c>
      <c r="I470" s="3" t="s">
        <v>10</v>
      </c>
      <c r="J470" s="3"/>
    </row>
    <row r="471" spans="1:10" x14ac:dyDescent="0.25">
      <c r="B471" s="12">
        <v>46147</v>
      </c>
      <c r="C471" s="13" t="s">
        <v>274</v>
      </c>
      <c r="D471" s="13">
        <v>2</v>
      </c>
      <c r="E471" s="31">
        <v>1199</v>
      </c>
      <c r="F471" s="14">
        <f>E471*D471</f>
        <v>2398</v>
      </c>
      <c r="G471" s="14">
        <v>2.6267</v>
      </c>
      <c r="H471" s="14">
        <f>E471*G471</f>
        <v>3149.4133000000002</v>
      </c>
      <c r="I471" s="14">
        <f>H471*D471</f>
        <v>6298.8266000000003</v>
      </c>
      <c r="J471" s="13">
        <f>J470+I471</f>
        <v>6298.8266000000003</v>
      </c>
    </row>
    <row r="472" spans="1:10" x14ac:dyDescent="0.25">
      <c r="B472" s="12">
        <v>46147</v>
      </c>
      <c r="C472" s="13" t="s">
        <v>274</v>
      </c>
      <c r="D472" s="13">
        <v>2</v>
      </c>
      <c r="E472" s="31">
        <v>1199</v>
      </c>
      <c r="F472" s="14">
        <f t="shared" ref="F472:F484" si="115">E472*D472</f>
        <v>2398</v>
      </c>
      <c r="G472" s="14">
        <v>2.6267</v>
      </c>
      <c r="H472" s="14">
        <f t="shared" ref="H472:H484" si="116">E472*G472</f>
        <v>3149.4133000000002</v>
      </c>
      <c r="I472" s="14">
        <f t="shared" ref="I472:I484" si="117">H472*D472</f>
        <v>6298.8266000000003</v>
      </c>
      <c r="J472" s="13">
        <f t="shared" ref="J472:J484" si="118">J471+I472</f>
        <v>12597.653200000001</v>
      </c>
    </row>
    <row r="473" spans="1:10" x14ac:dyDescent="0.25">
      <c r="B473" s="12">
        <v>46147</v>
      </c>
      <c r="C473" s="13" t="s">
        <v>274</v>
      </c>
      <c r="D473" s="13">
        <v>2</v>
      </c>
      <c r="E473" s="31">
        <v>1199</v>
      </c>
      <c r="F473" s="14">
        <f t="shared" si="115"/>
        <v>2398</v>
      </c>
      <c r="G473" s="14">
        <v>2.6267</v>
      </c>
      <c r="H473" s="14">
        <f t="shared" si="116"/>
        <v>3149.4133000000002</v>
      </c>
      <c r="I473" s="14">
        <f t="shared" si="117"/>
        <v>6298.8266000000003</v>
      </c>
      <c r="J473" s="13">
        <f t="shared" si="118"/>
        <v>18896.479800000001</v>
      </c>
    </row>
    <row r="474" spans="1:10" x14ac:dyDescent="0.25">
      <c r="B474" s="12">
        <v>46147</v>
      </c>
      <c r="C474" s="13" t="s">
        <v>274</v>
      </c>
      <c r="D474" s="13">
        <v>2</v>
      </c>
      <c r="E474" s="31">
        <v>1199</v>
      </c>
      <c r="F474" s="14">
        <f t="shared" si="115"/>
        <v>2398</v>
      </c>
      <c r="G474" s="14">
        <v>2.6267</v>
      </c>
      <c r="H474" s="14">
        <f t="shared" si="116"/>
        <v>3149.4133000000002</v>
      </c>
      <c r="I474" s="14">
        <f t="shared" si="117"/>
        <v>6298.8266000000003</v>
      </c>
      <c r="J474" s="13">
        <f t="shared" si="118"/>
        <v>25195.306400000001</v>
      </c>
    </row>
    <row r="475" spans="1:10" x14ac:dyDescent="0.25">
      <c r="B475" s="12">
        <v>46147</v>
      </c>
      <c r="C475" s="13" t="s">
        <v>274</v>
      </c>
      <c r="D475" s="13">
        <v>2</v>
      </c>
      <c r="E475" s="31">
        <v>1199</v>
      </c>
      <c r="F475" s="14">
        <f t="shared" si="115"/>
        <v>2398</v>
      </c>
      <c r="G475" s="14">
        <v>2.6267</v>
      </c>
      <c r="H475" s="14">
        <f t="shared" si="116"/>
        <v>3149.4133000000002</v>
      </c>
      <c r="I475" s="14">
        <f t="shared" si="117"/>
        <v>6298.8266000000003</v>
      </c>
      <c r="J475" s="13">
        <f t="shared" si="118"/>
        <v>31494.133000000002</v>
      </c>
    </row>
    <row r="476" spans="1:10" x14ac:dyDescent="0.25">
      <c r="B476" s="4">
        <v>46148</v>
      </c>
      <c r="C476" s="5" t="s">
        <v>291</v>
      </c>
      <c r="D476" s="5">
        <v>10</v>
      </c>
      <c r="E476" s="5">
        <v>1205</v>
      </c>
      <c r="F476" s="7">
        <f t="shared" si="115"/>
        <v>12050</v>
      </c>
      <c r="G476" s="14">
        <v>2.6267</v>
      </c>
      <c r="H476" s="7">
        <f t="shared" si="116"/>
        <v>3165.1734999999999</v>
      </c>
      <c r="I476" s="7">
        <f t="shared" si="117"/>
        <v>31651.735000000001</v>
      </c>
      <c r="J476" s="5">
        <f t="shared" si="118"/>
        <v>63145.868000000002</v>
      </c>
    </row>
    <row r="477" spans="1:10" x14ac:dyDescent="0.25">
      <c r="B477" s="12">
        <v>46150</v>
      </c>
      <c r="C477" s="13" t="s">
        <v>292</v>
      </c>
      <c r="D477" s="13">
        <v>2</v>
      </c>
      <c r="E477" s="13">
        <v>1199</v>
      </c>
      <c r="F477" s="14">
        <f t="shared" si="115"/>
        <v>2398</v>
      </c>
      <c r="G477" s="14">
        <v>2.6267</v>
      </c>
      <c r="H477" s="14">
        <f t="shared" si="116"/>
        <v>3149.4133000000002</v>
      </c>
      <c r="I477" s="14">
        <f t="shared" si="117"/>
        <v>6298.8266000000003</v>
      </c>
      <c r="J477" s="13">
        <f t="shared" si="118"/>
        <v>69444.694600000003</v>
      </c>
    </row>
    <row r="478" spans="1:10" x14ac:dyDescent="0.25">
      <c r="B478" s="12">
        <v>46150</v>
      </c>
      <c r="C478" s="13" t="s">
        <v>292</v>
      </c>
      <c r="D478" s="13">
        <v>2</v>
      </c>
      <c r="E478" s="13">
        <v>1199</v>
      </c>
      <c r="F478" s="14">
        <f t="shared" si="115"/>
        <v>2398</v>
      </c>
      <c r="G478" s="14">
        <v>2.6267</v>
      </c>
      <c r="H478" s="14">
        <f t="shared" si="116"/>
        <v>3149.4133000000002</v>
      </c>
      <c r="I478" s="14">
        <f t="shared" si="117"/>
        <v>6298.8266000000003</v>
      </c>
      <c r="J478" s="13">
        <f t="shared" si="118"/>
        <v>75743.521200000003</v>
      </c>
    </row>
    <row r="479" spans="1:10" x14ac:dyDescent="0.25">
      <c r="B479" s="12">
        <v>46150</v>
      </c>
      <c r="C479" s="13" t="s">
        <v>292</v>
      </c>
      <c r="D479" s="13">
        <v>2</v>
      </c>
      <c r="E479" s="13">
        <v>1199</v>
      </c>
      <c r="F479" s="14">
        <f t="shared" si="115"/>
        <v>2398</v>
      </c>
      <c r="G479" s="14">
        <v>2.6267</v>
      </c>
      <c r="H479" s="14">
        <f t="shared" si="116"/>
        <v>3149.4133000000002</v>
      </c>
      <c r="I479" s="14">
        <f t="shared" si="117"/>
        <v>6298.8266000000003</v>
      </c>
      <c r="J479" s="13">
        <f t="shared" si="118"/>
        <v>82042.347800000003</v>
      </c>
    </row>
    <row r="480" spans="1:10" x14ac:dyDescent="0.25">
      <c r="B480" s="12">
        <v>46150</v>
      </c>
      <c r="C480" s="13" t="s">
        <v>292</v>
      </c>
      <c r="D480" s="13">
        <v>2</v>
      </c>
      <c r="E480" s="13">
        <v>1199</v>
      </c>
      <c r="F480" s="14">
        <f t="shared" si="115"/>
        <v>2398</v>
      </c>
      <c r="G480" s="14">
        <v>2.6267</v>
      </c>
      <c r="H480" s="14">
        <f t="shared" si="116"/>
        <v>3149.4133000000002</v>
      </c>
      <c r="I480" s="14">
        <f t="shared" si="117"/>
        <v>6298.8266000000003</v>
      </c>
      <c r="J480" s="13">
        <f t="shared" si="118"/>
        <v>88341.174400000004</v>
      </c>
    </row>
    <row r="481" spans="1:10" x14ac:dyDescent="0.25">
      <c r="B481" s="4">
        <v>46150</v>
      </c>
      <c r="C481" s="5" t="s">
        <v>276</v>
      </c>
      <c r="D481" s="5">
        <v>10</v>
      </c>
      <c r="E481" s="5">
        <v>1897</v>
      </c>
      <c r="F481" s="7">
        <f t="shared" si="115"/>
        <v>18970</v>
      </c>
      <c r="G481" s="14">
        <v>2.6267</v>
      </c>
      <c r="H481" s="7">
        <f t="shared" si="116"/>
        <v>4982.8499000000002</v>
      </c>
      <c r="I481" s="7">
        <f t="shared" si="117"/>
        <v>49828.499000000003</v>
      </c>
      <c r="J481" s="5">
        <f t="shared" si="118"/>
        <v>138169.6734</v>
      </c>
    </row>
    <row r="482" spans="1:10" x14ac:dyDescent="0.25">
      <c r="B482" s="4">
        <v>46150</v>
      </c>
      <c r="C482" s="5" t="s">
        <v>293</v>
      </c>
      <c r="D482" s="5">
        <v>7</v>
      </c>
      <c r="E482" s="5">
        <v>1897</v>
      </c>
      <c r="F482" s="7">
        <f t="shared" si="115"/>
        <v>13279</v>
      </c>
      <c r="G482" s="14">
        <v>2.6267</v>
      </c>
      <c r="H482" s="7">
        <f t="shared" si="116"/>
        <v>4982.8499000000002</v>
      </c>
      <c r="I482" s="7">
        <f t="shared" si="117"/>
        <v>34879.9493</v>
      </c>
      <c r="J482" s="5">
        <f t="shared" si="118"/>
        <v>173049.62270000001</v>
      </c>
    </row>
    <row r="483" spans="1:10" x14ac:dyDescent="0.25">
      <c r="B483" s="4">
        <v>46150</v>
      </c>
      <c r="C483" s="5" t="s">
        <v>294</v>
      </c>
      <c r="D483" s="5">
        <v>2</v>
      </c>
      <c r="E483" s="5">
        <v>394</v>
      </c>
      <c r="F483" s="7">
        <f t="shared" si="115"/>
        <v>788</v>
      </c>
      <c r="G483" s="14">
        <v>2.6267</v>
      </c>
      <c r="H483" s="7">
        <f t="shared" si="116"/>
        <v>1034.9198000000001</v>
      </c>
      <c r="I483" s="7">
        <f t="shared" si="117"/>
        <v>2069.8396000000002</v>
      </c>
      <c r="J483" s="5">
        <f t="shared" si="118"/>
        <v>175119.46230000001</v>
      </c>
    </row>
    <row r="484" spans="1:10" x14ac:dyDescent="0.25">
      <c r="B484" s="7"/>
      <c r="C484" s="7"/>
      <c r="D484" s="7"/>
      <c r="E484" s="7"/>
      <c r="F484" s="7">
        <f t="shared" si="115"/>
        <v>0</v>
      </c>
      <c r="G484" s="7"/>
      <c r="H484" s="7">
        <f t="shared" si="116"/>
        <v>0</v>
      </c>
      <c r="I484" s="7">
        <f t="shared" si="117"/>
        <v>0</v>
      </c>
      <c r="J484" s="5">
        <f t="shared" si="118"/>
        <v>175119.46230000001</v>
      </c>
    </row>
    <row r="485" spans="1:10" x14ac:dyDescent="0.25">
      <c r="B485" s="1"/>
      <c r="C485" s="1"/>
      <c r="D485" s="1"/>
      <c r="E485" s="1"/>
      <c r="F485" s="1"/>
      <c r="G485" s="1"/>
      <c r="H485" s="1"/>
      <c r="I485" s="1"/>
      <c r="J485" s="2"/>
    </row>
    <row r="486" spans="1:10" x14ac:dyDescent="0.25">
      <c r="B486" s="1"/>
      <c r="C486" s="1"/>
      <c r="D486" s="1"/>
      <c r="E486" s="1"/>
      <c r="F486" s="1"/>
      <c r="G486" s="1"/>
      <c r="H486" s="1"/>
      <c r="I486" s="1"/>
      <c r="J486" s="2"/>
    </row>
    <row r="487" spans="1:10" x14ac:dyDescent="0.25">
      <c r="B487" s="1"/>
      <c r="C487" s="1"/>
      <c r="D487" s="1"/>
      <c r="E487" s="1"/>
      <c r="F487" s="1"/>
      <c r="G487" s="1"/>
      <c r="H487" s="1"/>
      <c r="I487" s="1"/>
      <c r="J487" s="2"/>
    </row>
    <row r="488" spans="1:10" x14ac:dyDescent="0.25">
      <c r="B488" s="1"/>
      <c r="C488" s="1"/>
      <c r="D488" s="1"/>
      <c r="E488" s="1"/>
      <c r="F488" s="1"/>
      <c r="G488" s="1"/>
      <c r="H488" s="1"/>
      <c r="I488" s="1"/>
      <c r="J488" s="2"/>
    </row>
    <row r="489" spans="1:10" x14ac:dyDescent="0.25">
      <c r="B489" s="1"/>
      <c r="C489" s="1"/>
      <c r="D489" s="1"/>
      <c r="E489" s="1"/>
      <c r="F489" s="1"/>
      <c r="G489" s="1"/>
      <c r="H489" s="1"/>
      <c r="I489" s="1"/>
      <c r="J489" s="2"/>
    </row>
    <row r="490" spans="1:10" ht="21" x14ac:dyDescent="0.35">
      <c r="A490" t="s">
        <v>0</v>
      </c>
      <c r="B490" s="73" t="s">
        <v>1</v>
      </c>
      <c r="C490" s="73"/>
      <c r="D490" s="73"/>
      <c r="E490" s="73"/>
      <c r="F490" s="73"/>
      <c r="G490" s="73"/>
      <c r="H490" s="73"/>
      <c r="I490" s="73"/>
      <c r="J490" s="73"/>
    </row>
    <row r="491" spans="1:10" ht="18.75" x14ac:dyDescent="0.3">
      <c r="A491" t="s">
        <v>2</v>
      </c>
      <c r="B491" s="3" t="s">
        <v>3</v>
      </c>
      <c r="C491" s="3" t="s">
        <v>4</v>
      </c>
      <c r="D491" s="3" t="s">
        <v>5</v>
      </c>
      <c r="E491" s="3" t="s">
        <v>6</v>
      </c>
      <c r="F491" s="3" t="s">
        <v>7</v>
      </c>
      <c r="G491" s="3" t="s">
        <v>8</v>
      </c>
      <c r="H491" s="3" t="s">
        <v>9</v>
      </c>
      <c r="I491" s="3" t="s">
        <v>10</v>
      </c>
      <c r="J491" s="3"/>
    </row>
    <row r="492" spans="1:10" x14ac:dyDescent="0.25">
      <c r="B492" s="12">
        <v>46153</v>
      </c>
      <c r="C492" s="13" t="s">
        <v>292</v>
      </c>
      <c r="D492" s="13">
        <v>2</v>
      </c>
      <c r="E492" s="13">
        <v>1199</v>
      </c>
      <c r="F492" s="14">
        <f>E492*D492</f>
        <v>2398</v>
      </c>
      <c r="G492" s="14">
        <v>2.6215000000000002</v>
      </c>
      <c r="H492" s="14">
        <f>E492*G492</f>
        <v>3143.1785</v>
      </c>
      <c r="I492" s="14">
        <f>H492*D492</f>
        <v>6286.357</v>
      </c>
      <c r="J492" s="13">
        <f>J491+I492</f>
        <v>6286.357</v>
      </c>
    </row>
    <row r="493" spans="1:10" x14ac:dyDescent="0.25">
      <c r="B493" s="12">
        <v>46153</v>
      </c>
      <c r="C493" s="13" t="s">
        <v>292</v>
      </c>
      <c r="D493" s="13">
        <v>2</v>
      </c>
      <c r="E493" s="13">
        <v>1199</v>
      </c>
      <c r="F493" s="14">
        <f t="shared" ref="F493:F516" si="119">E493*D493</f>
        <v>2398</v>
      </c>
      <c r="G493" s="14">
        <v>2.6215000000000002</v>
      </c>
      <c r="H493" s="14">
        <f t="shared" ref="H493:H516" si="120">E493*G493</f>
        <v>3143.1785</v>
      </c>
      <c r="I493" s="14">
        <f t="shared" ref="I493:I516" si="121">H493*D493</f>
        <v>6286.357</v>
      </c>
      <c r="J493" s="13">
        <f t="shared" ref="J493:J516" si="122">J492+I493</f>
        <v>12572.714</v>
      </c>
    </row>
    <row r="494" spans="1:10" x14ac:dyDescent="0.25">
      <c r="B494" s="12">
        <v>46153</v>
      </c>
      <c r="C494" s="13" t="s">
        <v>292</v>
      </c>
      <c r="D494" s="13">
        <v>2</v>
      </c>
      <c r="E494" s="13">
        <v>1199</v>
      </c>
      <c r="F494" s="14">
        <f t="shared" si="119"/>
        <v>2398</v>
      </c>
      <c r="G494" s="14">
        <v>2.6215000000000002</v>
      </c>
      <c r="H494" s="14">
        <f t="shared" si="120"/>
        <v>3143.1785</v>
      </c>
      <c r="I494" s="14">
        <f t="shared" si="121"/>
        <v>6286.357</v>
      </c>
      <c r="J494" s="13">
        <f t="shared" si="122"/>
        <v>18859.071</v>
      </c>
    </row>
    <row r="495" spans="1:10" x14ac:dyDescent="0.25">
      <c r="B495" s="12">
        <v>46153</v>
      </c>
      <c r="C495" s="13" t="s">
        <v>292</v>
      </c>
      <c r="D495" s="13">
        <v>2</v>
      </c>
      <c r="E495" s="13">
        <v>1199</v>
      </c>
      <c r="F495" s="14">
        <f t="shared" si="119"/>
        <v>2398</v>
      </c>
      <c r="G495" s="14">
        <v>2.6215000000000002</v>
      </c>
      <c r="H495" s="14">
        <f t="shared" si="120"/>
        <v>3143.1785</v>
      </c>
      <c r="I495" s="14">
        <f t="shared" si="121"/>
        <v>6286.357</v>
      </c>
      <c r="J495" s="13">
        <f t="shared" si="122"/>
        <v>25145.428</v>
      </c>
    </row>
    <row r="496" spans="1:10" x14ac:dyDescent="0.25">
      <c r="B496" s="12">
        <v>46153</v>
      </c>
      <c r="C496" s="13" t="s">
        <v>292</v>
      </c>
      <c r="D496" s="13">
        <v>2</v>
      </c>
      <c r="E496" s="13">
        <v>1199</v>
      </c>
      <c r="F496" s="14">
        <f t="shared" si="119"/>
        <v>2398</v>
      </c>
      <c r="G496" s="14">
        <v>2.6215000000000002</v>
      </c>
      <c r="H496" s="14">
        <f t="shared" si="120"/>
        <v>3143.1785</v>
      </c>
      <c r="I496" s="14">
        <f t="shared" si="121"/>
        <v>6286.357</v>
      </c>
      <c r="J496" s="13">
        <f t="shared" si="122"/>
        <v>31431.785</v>
      </c>
    </row>
    <row r="497" spans="2:10" x14ac:dyDescent="0.25">
      <c r="B497" s="12">
        <v>46154</v>
      </c>
      <c r="C497" s="13" t="s">
        <v>292</v>
      </c>
      <c r="D497" s="13">
        <v>2</v>
      </c>
      <c r="E497" s="13">
        <v>1199</v>
      </c>
      <c r="F497" s="14">
        <f t="shared" si="119"/>
        <v>2398</v>
      </c>
      <c r="G497" s="14">
        <v>2.6215000000000002</v>
      </c>
      <c r="H497" s="14">
        <f t="shared" si="120"/>
        <v>3143.1785</v>
      </c>
      <c r="I497" s="14">
        <f t="shared" si="121"/>
        <v>6286.357</v>
      </c>
      <c r="J497" s="13">
        <f t="shared" si="122"/>
        <v>37718.142</v>
      </c>
    </row>
    <row r="498" spans="2:10" x14ac:dyDescent="0.25">
      <c r="B498" s="12">
        <v>46154</v>
      </c>
      <c r="C498" s="13" t="s">
        <v>292</v>
      </c>
      <c r="D498" s="13">
        <v>2</v>
      </c>
      <c r="E498" s="13">
        <v>1199</v>
      </c>
      <c r="F498" s="14">
        <f t="shared" si="119"/>
        <v>2398</v>
      </c>
      <c r="G498" s="14">
        <v>2.6215000000000002</v>
      </c>
      <c r="H498" s="14">
        <f t="shared" si="120"/>
        <v>3143.1785</v>
      </c>
      <c r="I498" s="14">
        <f t="shared" si="121"/>
        <v>6286.357</v>
      </c>
      <c r="J498" s="13">
        <f t="shared" si="122"/>
        <v>44004.498999999996</v>
      </c>
    </row>
    <row r="499" spans="2:10" x14ac:dyDescent="0.25">
      <c r="B499" s="12">
        <v>46154</v>
      </c>
      <c r="C499" s="13" t="s">
        <v>292</v>
      </c>
      <c r="D499" s="13">
        <v>2</v>
      </c>
      <c r="E499" s="13">
        <v>1199</v>
      </c>
      <c r="F499" s="14">
        <f t="shared" si="119"/>
        <v>2398</v>
      </c>
      <c r="G499" s="14">
        <v>2.6215000000000002</v>
      </c>
      <c r="H499" s="14">
        <f t="shared" si="120"/>
        <v>3143.1785</v>
      </c>
      <c r="I499" s="14">
        <f t="shared" si="121"/>
        <v>6286.357</v>
      </c>
      <c r="J499" s="13">
        <f t="shared" si="122"/>
        <v>50290.856</v>
      </c>
    </row>
    <row r="500" spans="2:10" x14ac:dyDescent="0.25">
      <c r="B500" s="12">
        <v>46154</v>
      </c>
      <c r="C500" s="13" t="s">
        <v>292</v>
      </c>
      <c r="D500" s="13">
        <v>2</v>
      </c>
      <c r="E500" s="13">
        <v>1199</v>
      </c>
      <c r="F500" s="14">
        <f t="shared" si="119"/>
        <v>2398</v>
      </c>
      <c r="G500" s="14">
        <v>2.6215000000000002</v>
      </c>
      <c r="H500" s="14">
        <f t="shared" si="120"/>
        <v>3143.1785</v>
      </c>
      <c r="I500" s="14">
        <f t="shared" si="121"/>
        <v>6286.357</v>
      </c>
      <c r="J500" s="13">
        <f t="shared" si="122"/>
        <v>56577.213000000003</v>
      </c>
    </row>
    <row r="501" spans="2:10" x14ac:dyDescent="0.25">
      <c r="B501" s="70">
        <v>46154</v>
      </c>
      <c r="C501" s="71" t="s">
        <v>292</v>
      </c>
      <c r="D501" s="71">
        <v>2</v>
      </c>
      <c r="E501" s="71">
        <v>1199</v>
      </c>
      <c r="F501" s="14">
        <f t="shared" si="119"/>
        <v>2398</v>
      </c>
      <c r="G501" s="14">
        <v>2.6215000000000002</v>
      </c>
      <c r="H501" s="14">
        <f t="shared" si="120"/>
        <v>3143.1785</v>
      </c>
      <c r="I501" s="14">
        <f t="shared" si="121"/>
        <v>6286.357</v>
      </c>
      <c r="J501" s="13">
        <f t="shared" si="122"/>
        <v>62863.570000000007</v>
      </c>
    </row>
    <row r="502" spans="2:10" x14ac:dyDescent="0.25">
      <c r="B502" s="12">
        <v>46155</v>
      </c>
      <c r="C502" s="13" t="s">
        <v>295</v>
      </c>
      <c r="D502" s="13">
        <v>4</v>
      </c>
      <c r="E502" s="13">
        <v>1199</v>
      </c>
      <c r="F502" s="14">
        <f t="shared" si="119"/>
        <v>4796</v>
      </c>
      <c r="G502" s="14">
        <v>2.6215000000000002</v>
      </c>
      <c r="H502" s="14">
        <f t="shared" si="120"/>
        <v>3143.1785</v>
      </c>
      <c r="I502" s="14">
        <f t="shared" si="121"/>
        <v>12572.714</v>
      </c>
      <c r="J502" s="13">
        <f t="shared" si="122"/>
        <v>75436.284000000014</v>
      </c>
    </row>
    <row r="503" spans="2:10" x14ac:dyDescent="0.25">
      <c r="B503" s="12">
        <v>46155</v>
      </c>
      <c r="C503" s="13" t="s">
        <v>296</v>
      </c>
      <c r="D503" s="13">
        <v>1</v>
      </c>
      <c r="E503" s="13">
        <v>1199</v>
      </c>
      <c r="F503" s="14">
        <f t="shared" si="119"/>
        <v>1199</v>
      </c>
      <c r="G503" s="14">
        <v>2.6215000000000002</v>
      </c>
      <c r="H503" s="14">
        <f t="shared" si="120"/>
        <v>3143.1785</v>
      </c>
      <c r="I503" s="14">
        <f t="shared" si="121"/>
        <v>3143.1785</v>
      </c>
      <c r="J503" s="13">
        <f t="shared" si="122"/>
        <v>78579.462500000009</v>
      </c>
    </row>
    <row r="504" spans="2:10" x14ac:dyDescent="0.25">
      <c r="B504" s="12">
        <v>46155</v>
      </c>
      <c r="C504" s="13" t="s">
        <v>297</v>
      </c>
      <c r="D504" s="13">
        <v>2</v>
      </c>
      <c r="E504" s="13">
        <v>1199</v>
      </c>
      <c r="F504" s="14">
        <f t="shared" si="119"/>
        <v>2398</v>
      </c>
      <c r="G504" s="14">
        <v>2.6215000000000002</v>
      </c>
      <c r="H504" s="14">
        <f t="shared" si="120"/>
        <v>3143.1785</v>
      </c>
      <c r="I504" s="14">
        <f t="shared" si="121"/>
        <v>6286.357</v>
      </c>
      <c r="J504" s="13">
        <f t="shared" si="122"/>
        <v>84865.819500000012</v>
      </c>
    </row>
    <row r="505" spans="2:10" x14ac:dyDescent="0.25">
      <c r="B505" s="12">
        <v>46156</v>
      </c>
      <c r="C505" s="13" t="s">
        <v>292</v>
      </c>
      <c r="D505" s="13">
        <v>2</v>
      </c>
      <c r="E505" s="13">
        <v>1199</v>
      </c>
      <c r="F505" s="14">
        <f t="shared" si="119"/>
        <v>2398</v>
      </c>
      <c r="G505" s="14">
        <v>2.6215000000000002</v>
      </c>
      <c r="H505" s="14">
        <f t="shared" si="120"/>
        <v>3143.1785</v>
      </c>
      <c r="I505" s="14">
        <f t="shared" si="121"/>
        <v>6286.357</v>
      </c>
      <c r="J505" s="13">
        <f t="shared" si="122"/>
        <v>91152.176500000016</v>
      </c>
    </row>
    <row r="506" spans="2:10" x14ac:dyDescent="0.25">
      <c r="B506" s="12">
        <v>46156</v>
      </c>
      <c r="C506" s="13" t="s">
        <v>292</v>
      </c>
      <c r="D506" s="13">
        <v>2</v>
      </c>
      <c r="E506" s="13">
        <v>1199</v>
      </c>
      <c r="F506" s="14">
        <f t="shared" si="119"/>
        <v>2398</v>
      </c>
      <c r="G506" s="14">
        <v>2.6215000000000002</v>
      </c>
      <c r="H506" s="14">
        <f t="shared" si="120"/>
        <v>3143.1785</v>
      </c>
      <c r="I506" s="14">
        <f t="shared" si="121"/>
        <v>6286.357</v>
      </c>
      <c r="J506" s="13">
        <f t="shared" si="122"/>
        <v>97438.53350000002</v>
      </c>
    </row>
    <row r="507" spans="2:10" x14ac:dyDescent="0.25">
      <c r="B507" s="12">
        <v>46156</v>
      </c>
      <c r="C507" s="13" t="s">
        <v>292</v>
      </c>
      <c r="D507" s="13">
        <v>2</v>
      </c>
      <c r="E507" s="13">
        <v>1199</v>
      </c>
      <c r="F507" s="14">
        <f t="shared" si="119"/>
        <v>2398</v>
      </c>
      <c r="G507" s="14">
        <v>2.6215000000000002</v>
      </c>
      <c r="H507" s="14">
        <f t="shared" si="120"/>
        <v>3143.1785</v>
      </c>
      <c r="I507" s="14">
        <f t="shared" si="121"/>
        <v>6286.357</v>
      </c>
      <c r="J507" s="13">
        <f t="shared" si="122"/>
        <v>103724.89050000002</v>
      </c>
    </row>
    <row r="508" spans="2:10" x14ac:dyDescent="0.25">
      <c r="B508" s="12">
        <v>46156</v>
      </c>
      <c r="C508" s="13" t="s">
        <v>292</v>
      </c>
      <c r="D508" s="13">
        <v>2</v>
      </c>
      <c r="E508" s="13">
        <v>1199</v>
      </c>
      <c r="F508" s="14">
        <f t="shared" si="119"/>
        <v>2398</v>
      </c>
      <c r="G508" s="14">
        <v>2.6215000000000002</v>
      </c>
      <c r="H508" s="14">
        <f t="shared" si="120"/>
        <v>3143.1785</v>
      </c>
      <c r="I508" s="14">
        <f t="shared" si="121"/>
        <v>6286.357</v>
      </c>
      <c r="J508" s="13">
        <f t="shared" si="122"/>
        <v>110011.24750000003</v>
      </c>
    </row>
    <row r="509" spans="2:10" x14ac:dyDescent="0.25">
      <c r="B509" s="12">
        <v>46156</v>
      </c>
      <c r="C509" s="13" t="s">
        <v>292</v>
      </c>
      <c r="D509" s="13">
        <v>2</v>
      </c>
      <c r="E509" s="13">
        <v>1199</v>
      </c>
      <c r="F509" s="14">
        <f t="shared" si="119"/>
        <v>2398</v>
      </c>
      <c r="G509" s="14">
        <v>2.6215000000000002</v>
      </c>
      <c r="H509" s="14">
        <f t="shared" si="120"/>
        <v>3143.1785</v>
      </c>
      <c r="I509" s="14">
        <f t="shared" si="121"/>
        <v>6286.357</v>
      </c>
      <c r="J509" s="13">
        <f t="shared" si="122"/>
        <v>116297.60450000003</v>
      </c>
    </row>
    <row r="510" spans="2:10" x14ac:dyDescent="0.25">
      <c r="B510" s="12">
        <v>46156</v>
      </c>
      <c r="C510" s="13" t="s">
        <v>298</v>
      </c>
      <c r="D510" s="13">
        <v>4</v>
      </c>
      <c r="E510" s="13">
        <v>1199</v>
      </c>
      <c r="F510" s="14">
        <f t="shared" si="119"/>
        <v>4796</v>
      </c>
      <c r="G510" s="14">
        <v>2.6215000000000002</v>
      </c>
      <c r="H510" s="14">
        <f t="shared" si="120"/>
        <v>3143.1785</v>
      </c>
      <c r="I510" s="14">
        <f t="shared" si="121"/>
        <v>12572.714</v>
      </c>
      <c r="J510" s="13">
        <f t="shared" si="122"/>
        <v>128870.31850000002</v>
      </c>
    </row>
    <row r="511" spans="2:10" x14ac:dyDescent="0.25">
      <c r="B511" s="12">
        <v>46156</v>
      </c>
      <c r="C511" s="13" t="s">
        <v>299</v>
      </c>
      <c r="D511" s="13">
        <v>2</v>
      </c>
      <c r="E511" s="13">
        <v>1200</v>
      </c>
      <c r="F511" s="14">
        <f t="shared" si="119"/>
        <v>2400</v>
      </c>
      <c r="G511" s="14">
        <v>2.6215000000000002</v>
      </c>
      <c r="H511" s="14">
        <f t="shared" si="120"/>
        <v>3145.8</v>
      </c>
      <c r="I511" s="14">
        <f t="shared" si="121"/>
        <v>6291.6</v>
      </c>
      <c r="J511" s="13">
        <f t="shared" si="122"/>
        <v>135161.91850000003</v>
      </c>
    </row>
    <row r="512" spans="2:10" x14ac:dyDescent="0.25">
      <c r="B512" s="4">
        <v>46152</v>
      </c>
      <c r="C512" s="5" t="s">
        <v>300</v>
      </c>
      <c r="D512" s="60">
        <v>1</v>
      </c>
      <c r="E512" s="60">
        <v>400</v>
      </c>
      <c r="F512" s="7">
        <f t="shared" si="119"/>
        <v>400</v>
      </c>
      <c r="G512" s="14">
        <v>2.6215000000000002</v>
      </c>
      <c r="H512" s="7">
        <f t="shared" si="120"/>
        <v>1048.6000000000001</v>
      </c>
      <c r="I512" s="7">
        <f t="shared" si="121"/>
        <v>1048.6000000000001</v>
      </c>
      <c r="J512" s="5">
        <f t="shared" si="122"/>
        <v>136210.51850000003</v>
      </c>
    </row>
    <row r="513" spans="1:15" x14ac:dyDescent="0.25">
      <c r="B513" s="7"/>
      <c r="C513" s="7"/>
      <c r="D513" s="7"/>
      <c r="E513" s="7"/>
      <c r="F513" s="7">
        <f t="shared" si="119"/>
        <v>0</v>
      </c>
      <c r="G513" s="7"/>
      <c r="H513" s="7">
        <f t="shared" si="120"/>
        <v>0</v>
      </c>
      <c r="I513" s="7">
        <f t="shared" si="121"/>
        <v>0</v>
      </c>
      <c r="J513" s="5">
        <f t="shared" si="122"/>
        <v>136210.51850000003</v>
      </c>
    </row>
    <row r="514" spans="1:15" x14ac:dyDescent="0.25">
      <c r="B514" s="7"/>
      <c r="C514" s="7"/>
      <c r="D514" s="7"/>
      <c r="E514" s="7"/>
      <c r="F514" s="7">
        <f t="shared" si="119"/>
        <v>0</v>
      </c>
      <c r="G514" s="7"/>
      <c r="H514" s="7">
        <f t="shared" si="120"/>
        <v>0</v>
      </c>
      <c r="I514" s="7">
        <f t="shared" si="121"/>
        <v>0</v>
      </c>
      <c r="J514" s="5">
        <f t="shared" si="122"/>
        <v>136210.51850000003</v>
      </c>
    </row>
    <row r="515" spans="1:15" x14ac:dyDescent="0.25">
      <c r="B515" s="7"/>
      <c r="C515" s="7"/>
      <c r="D515" s="7"/>
      <c r="E515" s="7"/>
      <c r="F515" s="7">
        <f t="shared" si="119"/>
        <v>0</v>
      </c>
      <c r="G515" s="7"/>
      <c r="H515" s="7">
        <f t="shared" si="120"/>
        <v>0</v>
      </c>
      <c r="I515" s="7">
        <f t="shared" si="121"/>
        <v>0</v>
      </c>
      <c r="J515" s="5">
        <f t="shared" si="122"/>
        <v>136210.51850000003</v>
      </c>
    </row>
    <row r="516" spans="1:15" x14ac:dyDescent="0.25">
      <c r="B516" s="7"/>
      <c r="C516" s="7"/>
      <c r="D516" s="7"/>
      <c r="E516" s="7"/>
      <c r="F516" s="7">
        <f t="shared" si="119"/>
        <v>0</v>
      </c>
      <c r="G516" s="7"/>
      <c r="H516" s="7">
        <f t="shared" si="120"/>
        <v>0</v>
      </c>
      <c r="I516" s="7">
        <f t="shared" si="121"/>
        <v>0</v>
      </c>
      <c r="J516" s="5">
        <f t="shared" si="122"/>
        <v>136210.51850000003</v>
      </c>
    </row>
    <row r="517" spans="1:15" x14ac:dyDescent="0.25">
      <c r="B517" s="1"/>
      <c r="C517" s="1"/>
      <c r="D517" s="1"/>
      <c r="E517" s="1"/>
      <c r="F517" s="1"/>
      <c r="G517" s="1"/>
      <c r="H517" s="1"/>
      <c r="I517" s="1"/>
      <c r="J517" s="2"/>
    </row>
    <row r="518" spans="1:15" x14ac:dyDescent="0.25">
      <c r="B518" s="1"/>
      <c r="C518" s="1"/>
      <c r="D518" s="1"/>
      <c r="E518" s="1"/>
      <c r="F518" s="1"/>
      <c r="G518" s="1"/>
      <c r="H518" s="1"/>
      <c r="I518" s="1"/>
      <c r="J518" s="2"/>
    </row>
    <row r="519" spans="1:15" x14ac:dyDescent="0.25">
      <c r="B519" s="1"/>
      <c r="C519" s="1"/>
      <c r="D519" s="1"/>
      <c r="E519" s="1"/>
      <c r="F519" s="1"/>
      <c r="G519" s="1"/>
      <c r="H519" s="1"/>
      <c r="I519" s="1"/>
      <c r="J519" s="2"/>
    </row>
    <row r="520" spans="1:15" x14ac:dyDescent="0.25">
      <c r="B520" s="1"/>
      <c r="C520" s="1"/>
      <c r="D520" s="1"/>
      <c r="E520" s="1"/>
      <c r="F520" s="1"/>
      <c r="G520" s="1"/>
      <c r="H520" s="1"/>
      <c r="I520" s="1"/>
      <c r="J520" s="2"/>
    </row>
    <row r="521" spans="1:15" x14ac:dyDescent="0.25">
      <c r="B521" s="1"/>
      <c r="C521" s="1"/>
      <c r="D521" s="1"/>
      <c r="E521" s="1"/>
      <c r="F521" s="1"/>
      <c r="G521" s="1"/>
      <c r="H521" s="1"/>
      <c r="I521" s="1"/>
      <c r="J521" s="2"/>
    </row>
    <row r="522" spans="1:15" x14ac:dyDescent="0.25">
      <c r="B522" s="1"/>
      <c r="C522" s="1"/>
      <c r="D522" s="1"/>
      <c r="E522" s="1"/>
      <c r="F522" s="1"/>
      <c r="G522" s="1"/>
      <c r="H522" s="1"/>
      <c r="I522" s="1"/>
      <c r="J522" s="2"/>
    </row>
    <row r="523" spans="1:15" ht="21" x14ac:dyDescent="0.35">
      <c r="A523" t="s">
        <v>0</v>
      </c>
      <c r="B523" s="74" t="s">
        <v>1</v>
      </c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</row>
    <row r="524" spans="1:15" ht="18.75" x14ac:dyDescent="0.3">
      <c r="A524" t="s">
        <v>2</v>
      </c>
      <c r="B524" s="22" t="s">
        <v>3</v>
      </c>
      <c r="C524" s="22" t="s">
        <v>4</v>
      </c>
      <c r="D524" s="22" t="s">
        <v>60</v>
      </c>
      <c r="E524" s="22" t="s">
        <v>61</v>
      </c>
      <c r="F524" s="22" t="s">
        <v>5</v>
      </c>
      <c r="G524" s="22" t="s">
        <v>62</v>
      </c>
      <c r="H524" s="22" t="s">
        <v>63</v>
      </c>
      <c r="I524" s="22" t="s">
        <v>64</v>
      </c>
      <c r="J524" s="22" t="s">
        <v>65</v>
      </c>
      <c r="K524" s="22" t="s">
        <v>66</v>
      </c>
      <c r="L524" s="22" t="s">
        <v>67</v>
      </c>
      <c r="M524" s="22" t="s">
        <v>68</v>
      </c>
      <c r="N524" s="22" t="s">
        <v>10</v>
      </c>
      <c r="O524" s="23"/>
    </row>
    <row r="525" spans="1:15" x14ac:dyDescent="0.25">
      <c r="B525" s="4">
        <v>46156</v>
      </c>
      <c r="C525" s="5" t="s">
        <v>301</v>
      </c>
      <c r="D525" s="7"/>
      <c r="E525" s="7"/>
      <c r="F525" s="5">
        <v>4</v>
      </c>
      <c r="G525" s="5">
        <v>2199</v>
      </c>
      <c r="H525" s="7">
        <v>10</v>
      </c>
      <c r="I525" s="7">
        <f>G525*H525%</f>
        <v>219.9</v>
      </c>
      <c r="J525" s="5">
        <f>G525-I525</f>
        <v>1979.1</v>
      </c>
      <c r="K525" s="5">
        <f>F525*J525</f>
        <v>7916.4</v>
      </c>
      <c r="L525" s="5">
        <v>2.6215000000000002</v>
      </c>
      <c r="M525" s="5">
        <f>J525*L525</f>
        <v>5188.21065</v>
      </c>
      <c r="N525" s="5">
        <f>F525*M525</f>
        <v>20752.8426</v>
      </c>
      <c r="O525" s="5">
        <f>O524+N525</f>
        <v>20752.8426</v>
      </c>
    </row>
    <row r="526" spans="1:15" x14ac:dyDescent="0.25">
      <c r="B526" s="7"/>
      <c r="C526" s="7"/>
      <c r="D526" s="7"/>
      <c r="E526" s="7"/>
      <c r="F526" s="7"/>
      <c r="G526" s="7"/>
      <c r="H526" s="7"/>
      <c r="I526" s="7">
        <f t="shared" ref="I526" si="123">G526*H526%</f>
        <v>0</v>
      </c>
      <c r="J526" s="5">
        <f t="shared" ref="J526" si="124">G526-I526</f>
        <v>0</v>
      </c>
      <c r="K526" s="5">
        <f t="shared" ref="K526" si="125">F526*J526</f>
        <v>0</v>
      </c>
      <c r="L526" s="5"/>
      <c r="M526" s="5">
        <f t="shared" ref="M526" si="126">J526*L526</f>
        <v>0</v>
      </c>
      <c r="N526" s="5">
        <f t="shared" ref="N526" si="127">F526*M526</f>
        <v>0</v>
      </c>
      <c r="O526" s="5">
        <f t="shared" ref="O526" si="128">O525+N526</f>
        <v>20752.8426</v>
      </c>
    </row>
    <row r="527" spans="1:15" x14ac:dyDescent="0.25">
      <c r="B527" s="1"/>
      <c r="C527" s="1"/>
      <c r="D527" s="1"/>
      <c r="E527" s="1"/>
      <c r="F527" s="1"/>
      <c r="G527" s="1"/>
      <c r="H527" s="1"/>
      <c r="I527" s="1"/>
      <c r="J527" s="2"/>
    </row>
    <row r="528" spans="1:15" x14ac:dyDescent="0.25">
      <c r="B528" s="1"/>
      <c r="C528" s="1"/>
      <c r="D528" s="1"/>
      <c r="E528" s="1"/>
      <c r="F528" s="1"/>
      <c r="G528" s="1"/>
      <c r="H528" s="1"/>
      <c r="I528" s="1"/>
      <c r="J528" s="2"/>
    </row>
    <row r="529" spans="2:10" x14ac:dyDescent="0.25">
      <c r="B529" s="1"/>
      <c r="C529" s="1"/>
      <c r="D529" s="1"/>
      <c r="E529" s="1"/>
      <c r="F529" s="1"/>
      <c r="G529" s="1"/>
      <c r="H529" s="1"/>
      <c r="I529" s="1"/>
      <c r="J529" s="2"/>
    </row>
    <row r="530" spans="2:10" x14ac:dyDescent="0.25">
      <c r="B530" s="1"/>
      <c r="C530" s="1"/>
      <c r="D530" s="1"/>
      <c r="E530" s="1"/>
      <c r="F530" s="1"/>
      <c r="G530" s="1"/>
      <c r="H530" s="1"/>
      <c r="I530" s="1"/>
      <c r="J530" s="2"/>
    </row>
    <row r="531" spans="2:10" x14ac:dyDescent="0.25">
      <c r="B531" s="1"/>
      <c r="C531" s="1"/>
      <c r="D531" s="1"/>
      <c r="E531" s="1"/>
      <c r="F531" s="1"/>
      <c r="G531" s="1"/>
      <c r="H531" s="1"/>
      <c r="I531" s="1"/>
      <c r="J531" s="2"/>
    </row>
    <row r="532" spans="2:10" x14ac:dyDescent="0.25">
      <c r="B532" s="1"/>
      <c r="C532" s="1"/>
      <c r="D532" s="1"/>
      <c r="E532" s="1"/>
      <c r="F532" s="1"/>
      <c r="G532" s="1"/>
      <c r="H532" s="1"/>
      <c r="I532" s="1"/>
      <c r="J532" s="2"/>
    </row>
  </sheetData>
  <mergeCells count="29">
    <mergeCell ref="B490:J490"/>
    <mergeCell ref="B523:O523"/>
    <mergeCell ref="B400:J400"/>
    <mergeCell ref="B413:J413"/>
    <mergeCell ref="B426:J426"/>
    <mergeCell ref="B449:J449"/>
    <mergeCell ref="B469:J469"/>
    <mergeCell ref="B234:J234"/>
    <mergeCell ref="B244:J244"/>
    <mergeCell ref="B186:J186"/>
    <mergeCell ref="B215:J215"/>
    <mergeCell ref="B223:O223"/>
    <mergeCell ref="B176:O176"/>
    <mergeCell ref="B2:J2"/>
    <mergeCell ref="B17:J17"/>
    <mergeCell ref="B34:J34"/>
    <mergeCell ref="B49:J49"/>
    <mergeCell ref="B58:J58"/>
    <mergeCell ref="B144:J144"/>
    <mergeCell ref="B80:J80"/>
    <mergeCell ref="B91:O91"/>
    <mergeCell ref="B117:J117"/>
    <mergeCell ref="B156:J156"/>
    <mergeCell ref="B363:J363"/>
    <mergeCell ref="B264:J264"/>
    <mergeCell ref="B284:J284"/>
    <mergeCell ref="B303:O303"/>
    <mergeCell ref="B318:J318"/>
    <mergeCell ref="B335:O3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EC9C-DF80-4147-991B-3BD7ABB00BDA}">
  <dimension ref="B2:J127"/>
  <sheetViews>
    <sheetView topLeftCell="A25" workbookViewId="0">
      <selection activeCell="E23" sqref="E23"/>
    </sheetView>
  </sheetViews>
  <sheetFormatPr defaultRowHeight="15" x14ac:dyDescent="0.25"/>
  <cols>
    <col min="2" max="2" width="12.28515625" customWidth="1"/>
    <col min="3" max="3" width="40.140625" customWidth="1"/>
    <col min="4" max="4" width="19.42578125" customWidth="1"/>
    <col min="5" max="5" width="21.140625" customWidth="1"/>
    <col min="6" max="6" width="26.7109375" customWidth="1"/>
    <col min="7" max="7" width="12.42578125" customWidth="1"/>
    <col min="8" max="8" width="14.28515625" customWidth="1"/>
  </cols>
  <sheetData>
    <row r="2" spans="2:10" x14ac:dyDescent="0.25">
      <c r="B2" s="12">
        <v>46010</v>
      </c>
      <c r="C2" s="13" t="s">
        <v>51</v>
      </c>
      <c r="D2" s="14">
        <v>20</v>
      </c>
      <c r="E2" s="13">
        <v>765</v>
      </c>
      <c r="F2" s="14">
        <f t="shared" ref="F2:F3" si="0">E2*D2</f>
        <v>15300</v>
      </c>
      <c r="G2" s="14">
        <v>2.3940000000000001</v>
      </c>
      <c r="H2" s="14">
        <f t="shared" ref="H2:H3" si="1">E2*G2</f>
        <v>1831.41</v>
      </c>
      <c r="I2" s="14">
        <f t="shared" ref="I2:I3" si="2">H2*D2</f>
        <v>36628.200000000004</v>
      </c>
      <c r="J2" s="13">
        <f t="shared" ref="J2:J3" si="3">J1+I2</f>
        <v>36628.200000000004</v>
      </c>
    </row>
    <row r="3" spans="2:10" x14ac:dyDescent="0.25">
      <c r="B3" s="17">
        <v>46017</v>
      </c>
      <c r="C3" s="18" t="s">
        <v>52</v>
      </c>
      <c r="D3" s="18">
        <v>3</v>
      </c>
      <c r="E3" s="21">
        <v>779</v>
      </c>
      <c r="F3" s="7">
        <f t="shared" si="0"/>
        <v>2337</v>
      </c>
      <c r="G3" s="7">
        <v>2.4060000000000001</v>
      </c>
      <c r="H3" s="7">
        <f t="shared" si="1"/>
        <v>1874.2740000000001</v>
      </c>
      <c r="I3" s="7">
        <f t="shared" si="2"/>
        <v>5622.8220000000001</v>
      </c>
      <c r="J3" s="5">
        <f t="shared" si="3"/>
        <v>42251.022000000004</v>
      </c>
    </row>
    <row r="4" spans="2:10" x14ac:dyDescent="0.25">
      <c r="B4" s="5"/>
      <c r="C4" s="5" t="s">
        <v>53</v>
      </c>
      <c r="D4" s="5">
        <v>7</v>
      </c>
      <c r="E4" s="5"/>
      <c r="F4" s="5"/>
      <c r="G4" s="5"/>
      <c r="H4" s="5">
        <v>1847.66</v>
      </c>
      <c r="I4" s="5"/>
      <c r="J4" s="5">
        <f>H4*D4</f>
        <v>12933.62</v>
      </c>
    </row>
    <row r="5" spans="2:10" x14ac:dyDescent="0.25">
      <c r="B5" s="5"/>
      <c r="C5" s="5" t="s">
        <v>54</v>
      </c>
      <c r="D5" s="5">
        <v>2</v>
      </c>
      <c r="E5" s="5"/>
      <c r="F5" s="5"/>
      <c r="G5" s="5"/>
      <c r="H5" s="5">
        <v>2339</v>
      </c>
      <c r="I5" s="5"/>
      <c r="J5" s="5">
        <f t="shared" ref="J5:J6" si="4">H5*D5</f>
        <v>4678</v>
      </c>
    </row>
    <row r="6" spans="2:10" x14ac:dyDescent="0.25">
      <c r="B6" s="5"/>
      <c r="C6" s="5" t="s">
        <v>55</v>
      </c>
      <c r="D6" s="5">
        <v>4</v>
      </c>
      <c r="E6" s="5"/>
      <c r="F6" s="5"/>
      <c r="G6" s="5"/>
      <c r="H6" s="5">
        <v>2197</v>
      </c>
      <c r="I6" s="5"/>
      <c r="J6" s="5">
        <f t="shared" si="4"/>
        <v>8788</v>
      </c>
    </row>
    <row r="15" spans="2:10" ht="15.75" thickBot="1" x14ac:dyDescent="0.3"/>
    <row r="16" spans="2:10" ht="15.75" thickBot="1" x14ac:dyDescent="0.3">
      <c r="B16" s="75" t="s">
        <v>3</v>
      </c>
      <c r="C16" s="76"/>
      <c r="D16" s="46" t="s">
        <v>122</v>
      </c>
      <c r="E16" s="47"/>
      <c r="F16" s="47"/>
    </row>
    <row r="17" spans="2:6" ht="15.75" thickBot="1" x14ac:dyDescent="0.3">
      <c r="B17" s="77" t="s">
        <v>105</v>
      </c>
      <c r="C17" s="78"/>
      <c r="D17" s="48" t="s">
        <v>123</v>
      </c>
      <c r="E17" s="49"/>
      <c r="F17" s="49"/>
    </row>
    <row r="18" spans="2:6" ht="15.75" thickBot="1" x14ac:dyDescent="0.3">
      <c r="B18" s="50">
        <v>1</v>
      </c>
      <c r="C18" s="51" t="s">
        <v>124</v>
      </c>
      <c r="D18" s="51" t="s">
        <v>125</v>
      </c>
      <c r="E18" s="51" t="s">
        <v>126</v>
      </c>
      <c r="F18" s="52">
        <v>357311288544547</v>
      </c>
    </row>
    <row r="19" spans="2:6" ht="15.75" thickBot="1" x14ac:dyDescent="0.3">
      <c r="B19" s="50">
        <v>2</v>
      </c>
      <c r="C19" s="51" t="s">
        <v>124</v>
      </c>
      <c r="D19" s="51" t="s">
        <v>125</v>
      </c>
      <c r="E19" s="51" t="s">
        <v>126</v>
      </c>
      <c r="F19" s="52">
        <v>356722731048954</v>
      </c>
    </row>
    <row r="20" spans="2:6" ht="15.75" thickBot="1" x14ac:dyDescent="0.3">
      <c r="B20" s="50">
        <v>3</v>
      </c>
      <c r="C20" s="51" t="s">
        <v>124</v>
      </c>
      <c r="D20" s="51" t="s">
        <v>125</v>
      </c>
      <c r="E20" s="51" t="s">
        <v>126</v>
      </c>
      <c r="F20" s="52">
        <v>356722732436992</v>
      </c>
    </row>
    <row r="21" spans="2:6" ht="15.75" thickBot="1" x14ac:dyDescent="0.3">
      <c r="B21" s="50">
        <v>4</v>
      </c>
      <c r="C21" s="51" t="s">
        <v>124</v>
      </c>
      <c r="D21" s="51" t="s">
        <v>125</v>
      </c>
      <c r="E21" s="51" t="s">
        <v>126</v>
      </c>
      <c r="F21" s="52">
        <v>356722731228671</v>
      </c>
    </row>
    <row r="22" spans="2:6" ht="15.75" thickBot="1" x14ac:dyDescent="0.3">
      <c r="B22" s="50">
        <v>5</v>
      </c>
      <c r="C22" s="51" t="s">
        <v>124</v>
      </c>
      <c r="D22" s="51" t="s">
        <v>125</v>
      </c>
      <c r="E22" s="51" t="s">
        <v>126</v>
      </c>
      <c r="F22" s="52">
        <v>352758408372867</v>
      </c>
    </row>
    <row r="23" spans="2:6" ht="15.75" thickBot="1" x14ac:dyDescent="0.3">
      <c r="B23" s="50">
        <v>6</v>
      </c>
      <c r="C23" s="51" t="s">
        <v>124</v>
      </c>
      <c r="D23" s="51" t="s">
        <v>125</v>
      </c>
      <c r="E23" s="51" t="s">
        <v>126</v>
      </c>
      <c r="F23" s="52">
        <v>356722732318984</v>
      </c>
    </row>
    <row r="24" spans="2:6" ht="15.75" thickBot="1" x14ac:dyDescent="0.3">
      <c r="B24" s="50">
        <v>7</v>
      </c>
      <c r="C24" s="51" t="s">
        <v>124</v>
      </c>
      <c r="D24" s="51" t="s">
        <v>125</v>
      </c>
      <c r="E24" s="51" t="s">
        <v>126</v>
      </c>
      <c r="F24" s="52">
        <v>356722732122964</v>
      </c>
    </row>
    <row r="25" spans="2:6" ht="15.75" thickBot="1" x14ac:dyDescent="0.3">
      <c r="B25" s="50">
        <v>8</v>
      </c>
      <c r="C25" s="51" t="s">
        <v>124</v>
      </c>
      <c r="D25" s="51" t="s">
        <v>125</v>
      </c>
      <c r="E25" s="51" t="s">
        <v>126</v>
      </c>
      <c r="F25" s="52">
        <v>356722732492409</v>
      </c>
    </row>
    <row r="26" spans="2:6" ht="15.75" thickBot="1" x14ac:dyDescent="0.3">
      <c r="B26" s="50">
        <v>9</v>
      </c>
      <c r="C26" s="51" t="s">
        <v>124</v>
      </c>
      <c r="D26" s="51" t="s">
        <v>127</v>
      </c>
      <c r="E26" s="51" t="s">
        <v>126</v>
      </c>
      <c r="F26" s="52">
        <v>357903256189915</v>
      </c>
    </row>
    <row r="27" spans="2:6" ht="15.75" thickBot="1" x14ac:dyDescent="0.3">
      <c r="B27" s="50">
        <v>10</v>
      </c>
      <c r="C27" s="51" t="s">
        <v>124</v>
      </c>
      <c r="D27" s="51" t="s">
        <v>127</v>
      </c>
      <c r="E27" s="51" t="s">
        <v>126</v>
      </c>
      <c r="F27" s="52">
        <v>351784399117633</v>
      </c>
    </row>
    <row r="28" spans="2:6" ht="15.75" thickBot="1" x14ac:dyDescent="0.3">
      <c r="B28" s="50">
        <v>11</v>
      </c>
      <c r="C28" s="51" t="s">
        <v>124</v>
      </c>
      <c r="D28" s="51" t="s">
        <v>127</v>
      </c>
      <c r="E28" s="51" t="s">
        <v>126</v>
      </c>
      <c r="F28" s="52">
        <v>356722738091312</v>
      </c>
    </row>
    <row r="29" spans="2:6" ht="15.75" thickBot="1" x14ac:dyDescent="0.3">
      <c r="B29" s="50">
        <v>12</v>
      </c>
      <c r="C29" s="51" t="s">
        <v>124</v>
      </c>
      <c r="D29" s="51" t="s">
        <v>127</v>
      </c>
      <c r="E29" s="51" t="s">
        <v>126</v>
      </c>
      <c r="F29" s="52">
        <v>356722737664176</v>
      </c>
    </row>
    <row r="30" spans="2:6" ht="15.75" thickBot="1" x14ac:dyDescent="0.3">
      <c r="B30" s="50">
        <v>13</v>
      </c>
      <c r="C30" s="51" t="s">
        <v>124</v>
      </c>
      <c r="D30" s="51" t="s">
        <v>127</v>
      </c>
      <c r="E30" s="51" t="s">
        <v>126</v>
      </c>
      <c r="F30" s="52">
        <v>351784398989180</v>
      </c>
    </row>
    <row r="31" spans="2:6" ht="15.75" thickBot="1" x14ac:dyDescent="0.3">
      <c r="B31" s="50">
        <v>14</v>
      </c>
      <c r="C31" s="51" t="s">
        <v>124</v>
      </c>
      <c r="D31" s="51" t="s">
        <v>127</v>
      </c>
      <c r="E31" s="51" t="s">
        <v>126</v>
      </c>
      <c r="F31" s="52">
        <v>351784398960173</v>
      </c>
    </row>
    <row r="32" spans="2:6" ht="15.75" thickBot="1" x14ac:dyDescent="0.3">
      <c r="B32" s="50">
        <v>15</v>
      </c>
      <c r="C32" s="51" t="s">
        <v>124</v>
      </c>
      <c r="D32" s="51" t="s">
        <v>127</v>
      </c>
      <c r="E32" s="51" t="s">
        <v>126</v>
      </c>
      <c r="F32" s="52">
        <v>356722738052967</v>
      </c>
    </row>
    <row r="33" spans="2:6" ht="15.75" thickBot="1" x14ac:dyDescent="0.3">
      <c r="B33" s="50">
        <v>16</v>
      </c>
      <c r="C33" s="51" t="s">
        <v>124</v>
      </c>
      <c r="D33" s="51" t="s">
        <v>127</v>
      </c>
      <c r="E33" s="51" t="s">
        <v>126</v>
      </c>
      <c r="F33" s="52">
        <v>351784398944524</v>
      </c>
    </row>
    <row r="34" spans="2:6" ht="15.75" thickBot="1" x14ac:dyDescent="0.3">
      <c r="B34" s="50">
        <v>17</v>
      </c>
      <c r="C34" s="51" t="s">
        <v>124</v>
      </c>
      <c r="D34" s="51" t="s">
        <v>127</v>
      </c>
      <c r="E34" s="51" t="s">
        <v>126</v>
      </c>
      <c r="F34" s="52">
        <v>351784399158041</v>
      </c>
    </row>
    <row r="35" spans="2:6" ht="15.75" thickBot="1" x14ac:dyDescent="0.3">
      <c r="B35" s="50">
        <v>18</v>
      </c>
      <c r="C35" s="51" t="s">
        <v>124</v>
      </c>
      <c r="D35" s="51" t="s">
        <v>127</v>
      </c>
      <c r="E35" s="51" t="s">
        <v>126</v>
      </c>
      <c r="F35" s="52">
        <v>351784398758668</v>
      </c>
    </row>
    <row r="36" spans="2:6" ht="15.75" thickBot="1" x14ac:dyDescent="0.3">
      <c r="B36" s="50">
        <v>19</v>
      </c>
      <c r="C36" s="51" t="s">
        <v>124</v>
      </c>
      <c r="D36" s="51" t="s">
        <v>127</v>
      </c>
      <c r="E36" s="51" t="s">
        <v>126</v>
      </c>
      <c r="F36" s="52">
        <v>351784398760383</v>
      </c>
    </row>
    <row r="37" spans="2:6" ht="15.75" thickBot="1" x14ac:dyDescent="0.3">
      <c r="B37" s="50">
        <v>20</v>
      </c>
      <c r="C37" s="51" t="s">
        <v>124</v>
      </c>
      <c r="D37" s="51" t="s">
        <v>127</v>
      </c>
      <c r="E37" s="51" t="s">
        <v>126</v>
      </c>
      <c r="F37" s="52">
        <v>351784399238439</v>
      </c>
    </row>
    <row r="38" spans="2:6" ht="15.75" thickBot="1" x14ac:dyDescent="0.3">
      <c r="B38" s="50">
        <v>21</v>
      </c>
      <c r="C38" s="51" t="s">
        <v>124</v>
      </c>
      <c r="D38" s="51" t="s">
        <v>127</v>
      </c>
      <c r="E38" s="51" t="s">
        <v>126</v>
      </c>
      <c r="F38" s="52">
        <v>351784399025976</v>
      </c>
    </row>
    <row r="39" spans="2:6" ht="15.75" thickBot="1" x14ac:dyDescent="0.3">
      <c r="B39" s="50">
        <v>22</v>
      </c>
      <c r="C39" s="51" t="s">
        <v>124</v>
      </c>
      <c r="D39" s="51" t="s">
        <v>127</v>
      </c>
      <c r="E39" s="51" t="s">
        <v>126</v>
      </c>
      <c r="F39" s="52">
        <v>357903256164868</v>
      </c>
    </row>
    <row r="40" spans="2:6" ht="15.75" thickBot="1" x14ac:dyDescent="0.3">
      <c r="B40" s="50">
        <v>23</v>
      </c>
      <c r="C40" s="51" t="s">
        <v>124</v>
      </c>
      <c r="D40" s="51" t="s">
        <v>127</v>
      </c>
      <c r="E40" s="51" t="s">
        <v>126</v>
      </c>
      <c r="F40" s="52">
        <v>357903255981775</v>
      </c>
    </row>
    <row r="41" spans="2:6" ht="15.75" thickBot="1" x14ac:dyDescent="0.3">
      <c r="B41" s="50">
        <v>24</v>
      </c>
      <c r="C41" s="51" t="s">
        <v>124</v>
      </c>
      <c r="D41" s="51" t="s">
        <v>127</v>
      </c>
      <c r="E41" s="51" t="s">
        <v>126</v>
      </c>
      <c r="F41" s="52">
        <v>356722737327212</v>
      </c>
    </row>
    <row r="42" spans="2:6" ht="15.75" thickBot="1" x14ac:dyDescent="0.3">
      <c r="B42" s="50">
        <v>25</v>
      </c>
      <c r="C42" s="51" t="s">
        <v>124</v>
      </c>
      <c r="D42" s="51" t="s">
        <v>127</v>
      </c>
      <c r="E42" s="51" t="s">
        <v>126</v>
      </c>
      <c r="F42" s="52">
        <v>351784398774574</v>
      </c>
    </row>
    <row r="43" spans="2:6" ht="15.75" thickBot="1" x14ac:dyDescent="0.3">
      <c r="B43" s="50">
        <v>26</v>
      </c>
      <c r="C43" s="51" t="s">
        <v>124</v>
      </c>
      <c r="D43" s="51" t="s">
        <v>127</v>
      </c>
      <c r="E43" s="51" t="s">
        <v>126</v>
      </c>
      <c r="F43" s="52">
        <v>356722737436211</v>
      </c>
    </row>
    <row r="44" spans="2:6" ht="15.75" thickBot="1" x14ac:dyDescent="0.3">
      <c r="B44" s="50">
        <v>27</v>
      </c>
      <c r="C44" s="51" t="s">
        <v>124</v>
      </c>
      <c r="D44" s="51" t="s">
        <v>127</v>
      </c>
      <c r="E44" s="51" t="s">
        <v>126</v>
      </c>
      <c r="F44" s="52">
        <v>356722738049112</v>
      </c>
    </row>
    <row r="45" spans="2:6" ht="15.75" thickBot="1" x14ac:dyDescent="0.3">
      <c r="B45" s="50">
        <v>28</v>
      </c>
      <c r="C45" s="51" t="s">
        <v>124</v>
      </c>
      <c r="D45" s="51" t="s">
        <v>127</v>
      </c>
      <c r="E45" s="51" t="s">
        <v>126</v>
      </c>
      <c r="F45" s="52">
        <v>356908918928668</v>
      </c>
    </row>
    <row r="46" spans="2:6" ht="15.75" thickBot="1" x14ac:dyDescent="0.3">
      <c r="B46" s="50">
        <v>29</v>
      </c>
      <c r="C46" s="51" t="s">
        <v>124</v>
      </c>
      <c r="D46" s="51" t="s">
        <v>127</v>
      </c>
      <c r="E46" s="51" t="s">
        <v>126</v>
      </c>
      <c r="F46" s="52">
        <v>356722738173250</v>
      </c>
    </row>
    <row r="47" spans="2:6" ht="15.75" thickBot="1" x14ac:dyDescent="0.3">
      <c r="B47" s="50">
        <v>30</v>
      </c>
      <c r="C47" s="51" t="s">
        <v>124</v>
      </c>
      <c r="D47" s="51" t="s">
        <v>127</v>
      </c>
      <c r="E47" s="51" t="s">
        <v>126</v>
      </c>
      <c r="F47" s="52">
        <v>356722738462760</v>
      </c>
    </row>
    <row r="48" spans="2:6" ht="15.75" thickBot="1" x14ac:dyDescent="0.3">
      <c r="B48" s="50">
        <v>31</v>
      </c>
      <c r="C48" s="51" t="s">
        <v>124</v>
      </c>
      <c r="D48" s="51" t="s">
        <v>127</v>
      </c>
      <c r="E48" s="51" t="s">
        <v>126</v>
      </c>
      <c r="F48" s="52">
        <v>356722738455111</v>
      </c>
    </row>
    <row r="49" spans="2:6" ht="15.75" thickBot="1" x14ac:dyDescent="0.3">
      <c r="B49" s="50">
        <v>32</v>
      </c>
      <c r="C49" s="51" t="s">
        <v>124</v>
      </c>
      <c r="D49" s="51" t="s">
        <v>127</v>
      </c>
      <c r="E49" s="51" t="s">
        <v>126</v>
      </c>
      <c r="F49" s="52">
        <v>356722737557578</v>
      </c>
    </row>
    <row r="50" spans="2:6" ht="15.75" thickBot="1" x14ac:dyDescent="0.3">
      <c r="B50" s="50">
        <v>33</v>
      </c>
      <c r="C50" s="51" t="s">
        <v>124</v>
      </c>
      <c r="D50" s="51" t="s">
        <v>127</v>
      </c>
      <c r="E50" s="51" t="s">
        <v>126</v>
      </c>
      <c r="F50" s="52">
        <v>356722737348721</v>
      </c>
    </row>
    <row r="51" spans="2:6" ht="15.75" thickBot="1" x14ac:dyDescent="0.3">
      <c r="B51" s="50">
        <v>34</v>
      </c>
      <c r="C51" s="51" t="s">
        <v>124</v>
      </c>
      <c r="D51" s="51" t="s">
        <v>127</v>
      </c>
      <c r="E51" s="51" t="s">
        <v>126</v>
      </c>
      <c r="F51" s="52">
        <v>356908918984257</v>
      </c>
    </row>
    <row r="52" spans="2:6" ht="15.75" thickBot="1" x14ac:dyDescent="0.3">
      <c r="B52" s="50">
        <v>35</v>
      </c>
      <c r="C52" s="51" t="s">
        <v>124</v>
      </c>
      <c r="D52" s="51" t="s">
        <v>127</v>
      </c>
      <c r="E52" s="51" t="s">
        <v>126</v>
      </c>
      <c r="F52" s="52">
        <v>351784398999825</v>
      </c>
    </row>
    <row r="53" spans="2:6" ht="15.75" thickBot="1" x14ac:dyDescent="0.3">
      <c r="B53" s="50">
        <v>36</v>
      </c>
      <c r="C53" s="51" t="s">
        <v>124</v>
      </c>
      <c r="D53" s="51" t="s">
        <v>127</v>
      </c>
      <c r="E53" s="51" t="s">
        <v>126</v>
      </c>
      <c r="F53" s="52">
        <v>357739168928176</v>
      </c>
    </row>
    <row r="54" spans="2:6" ht="15.75" thickBot="1" x14ac:dyDescent="0.3">
      <c r="B54" s="50">
        <v>37</v>
      </c>
      <c r="C54" s="51" t="s">
        <v>124</v>
      </c>
      <c r="D54" s="51" t="s">
        <v>127</v>
      </c>
      <c r="E54" s="51" t="s">
        <v>126</v>
      </c>
      <c r="F54" s="52">
        <v>356722738283067</v>
      </c>
    </row>
    <row r="55" spans="2:6" ht="15.75" thickBot="1" x14ac:dyDescent="0.3">
      <c r="B55" s="50">
        <v>38</v>
      </c>
      <c r="C55" s="51" t="s">
        <v>124</v>
      </c>
      <c r="D55" s="51" t="s">
        <v>127</v>
      </c>
      <c r="E55" s="51" t="s">
        <v>126</v>
      </c>
      <c r="F55" s="52">
        <v>357739168891804</v>
      </c>
    </row>
    <row r="56" spans="2:6" ht="15.75" thickBot="1" x14ac:dyDescent="0.3">
      <c r="B56" s="50">
        <v>39</v>
      </c>
      <c r="C56" s="51" t="s">
        <v>124</v>
      </c>
      <c r="D56" s="51" t="s">
        <v>127</v>
      </c>
      <c r="E56" s="51" t="s">
        <v>126</v>
      </c>
      <c r="F56" s="52">
        <v>356722737714245</v>
      </c>
    </row>
    <row r="57" spans="2:6" ht="15.75" thickBot="1" x14ac:dyDescent="0.3">
      <c r="B57" s="50">
        <v>40</v>
      </c>
      <c r="C57" s="51" t="s">
        <v>128</v>
      </c>
      <c r="D57" s="51" t="s">
        <v>129</v>
      </c>
      <c r="E57" s="51" t="s">
        <v>126</v>
      </c>
      <c r="F57" s="52">
        <v>356523761791970</v>
      </c>
    </row>
    <row r="58" spans="2:6" ht="15.75" thickBot="1" x14ac:dyDescent="0.3">
      <c r="B58" s="50">
        <v>41</v>
      </c>
      <c r="C58" s="51" t="s">
        <v>128</v>
      </c>
      <c r="D58" s="51" t="s">
        <v>129</v>
      </c>
      <c r="E58" s="51" t="s">
        <v>126</v>
      </c>
      <c r="F58" s="52">
        <v>358258282013129</v>
      </c>
    </row>
    <row r="59" spans="2:6" ht="15.75" thickBot="1" x14ac:dyDescent="0.3">
      <c r="B59" s="50">
        <v>42</v>
      </c>
      <c r="C59" s="51" t="s">
        <v>128</v>
      </c>
      <c r="D59" s="51" t="s">
        <v>129</v>
      </c>
      <c r="E59" s="51" t="s">
        <v>126</v>
      </c>
      <c r="F59" s="52">
        <v>356523761667352</v>
      </c>
    </row>
    <row r="60" spans="2:6" ht="15.75" thickBot="1" x14ac:dyDescent="0.3">
      <c r="B60" s="50">
        <v>43</v>
      </c>
      <c r="C60" s="51" t="s">
        <v>128</v>
      </c>
      <c r="D60" s="51" t="s">
        <v>129</v>
      </c>
      <c r="E60" s="51" t="s">
        <v>126</v>
      </c>
      <c r="F60" s="52">
        <v>356523761963934</v>
      </c>
    </row>
    <row r="61" spans="2:6" ht="15.75" thickBot="1" x14ac:dyDescent="0.3">
      <c r="B61" s="50">
        <v>44</v>
      </c>
      <c r="C61" s="51" t="s">
        <v>128</v>
      </c>
      <c r="D61" s="51" t="s">
        <v>130</v>
      </c>
      <c r="E61" s="51" t="s">
        <v>126</v>
      </c>
      <c r="F61" s="52">
        <v>358918502652432</v>
      </c>
    </row>
    <row r="62" spans="2:6" ht="15.75" thickBot="1" x14ac:dyDescent="0.3">
      <c r="B62" s="50">
        <v>45</v>
      </c>
      <c r="C62" s="51" t="s">
        <v>128</v>
      </c>
      <c r="D62" s="51" t="s">
        <v>130</v>
      </c>
      <c r="E62" s="51" t="s">
        <v>126</v>
      </c>
      <c r="F62" s="52">
        <v>353065383441389</v>
      </c>
    </row>
    <row r="63" spans="2:6" ht="15.75" thickBot="1" x14ac:dyDescent="0.3">
      <c r="B63" s="50">
        <v>46</v>
      </c>
      <c r="C63" s="51" t="s">
        <v>128</v>
      </c>
      <c r="D63" s="51" t="s">
        <v>130</v>
      </c>
      <c r="E63" s="51" t="s">
        <v>126</v>
      </c>
      <c r="F63" s="52">
        <v>356523762750090</v>
      </c>
    </row>
    <row r="64" spans="2:6" ht="15.75" thickBot="1" x14ac:dyDescent="0.3">
      <c r="B64" s="50">
        <v>47</v>
      </c>
      <c r="C64" s="51" t="s">
        <v>128</v>
      </c>
      <c r="D64" s="51" t="s">
        <v>130</v>
      </c>
      <c r="E64" s="51" t="s">
        <v>126</v>
      </c>
      <c r="F64" s="52">
        <v>358918503424849</v>
      </c>
    </row>
    <row r="65" spans="2:6" ht="15.75" thickBot="1" x14ac:dyDescent="0.3">
      <c r="B65" s="50">
        <v>48</v>
      </c>
      <c r="C65" s="51" t="s">
        <v>128</v>
      </c>
      <c r="D65" s="51" t="s">
        <v>130</v>
      </c>
      <c r="E65" s="51" t="s">
        <v>126</v>
      </c>
      <c r="F65" s="52">
        <v>353065383522717</v>
      </c>
    </row>
    <row r="66" spans="2:6" ht="15.75" thickBot="1" x14ac:dyDescent="0.3">
      <c r="B66" s="50">
        <v>49</v>
      </c>
      <c r="C66" s="51" t="s">
        <v>128</v>
      </c>
      <c r="D66" s="51" t="s">
        <v>131</v>
      </c>
      <c r="E66" s="51" t="s">
        <v>126</v>
      </c>
      <c r="F66" s="52">
        <v>358378923991010</v>
      </c>
    </row>
    <row r="67" spans="2:6" ht="15.75" thickBot="1" x14ac:dyDescent="0.3">
      <c r="B67" s="50">
        <v>50</v>
      </c>
      <c r="C67" s="51" t="s">
        <v>128</v>
      </c>
      <c r="D67" s="51" t="s">
        <v>131</v>
      </c>
      <c r="E67" s="51" t="s">
        <v>126</v>
      </c>
      <c r="F67" s="52">
        <v>358378921566780</v>
      </c>
    </row>
    <row r="68" spans="2:6" ht="15.75" thickBot="1" x14ac:dyDescent="0.3">
      <c r="B68" s="50">
        <v>51</v>
      </c>
      <c r="C68" s="51" t="s">
        <v>128</v>
      </c>
      <c r="D68" s="51" t="s">
        <v>131</v>
      </c>
      <c r="E68" s="51" t="s">
        <v>126</v>
      </c>
      <c r="F68" s="52">
        <v>356182201321532</v>
      </c>
    </row>
    <row r="69" spans="2:6" ht="15.75" thickBot="1" x14ac:dyDescent="0.3">
      <c r="B69" s="50">
        <v>52</v>
      </c>
      <c r="C69" s="51" t="s">
        <v>128</v>
      </c>
      <c r="D69" s="51" t="s">
        <v>131</v>
      </c>
      <c r="E69" s="51" t="s">
        <v>126</v>
      </c>
      <c r="F69" s="52">
        <v>356182200979447</v>
      </c>
    </row>
    <row r="70" spans="2:6" ht="15.75" thickBot="1" x14ac:dyDescent="0.3">
      <c r="B70" s="50">
        <v>53</v>
      </c>
      <c r="C70" s="51" t="s">
        <v>128</v>
      </c>
      <c r="D70" s="51" t="s">
        <v>131</v>
      </c>
      <c r="E70" s="51" t="s">
        <v>126</v>
      </c>
      <c r="F70" s="52">
        <v>356182203812850</v>
      </c>
    </row>
    <row r="71" spans="2:6" ht="15.75" thickBot="1" x14ac:dyDescent="0.3">
      <c r="B71" s="50">
        <v>54</v>
      </c>
      <c r="C71" s="51" t="s">
        <v>128</v>
      </c>
      <c r="D71" s="51" t="s">
        <v>131</v>
      </c>
      <c r="E71" s="51" t="s">
        <v>126</v>
      </c>
      <c r="F71" s="52">
        <v>358918501178686</v>
      </c>
    </row>
    <row r="72" spans="2:6" ht="15.75" thickBot="1" x14ac:dyDescent="0.3">
      <c r="B72" s="50">
        <v>55</v>
      </c>
      <c r="C72" s="51" t="s">
        <v>128</v>
      </c>
      <c r="D72" s="51" t="s">
        <v>131</v>
      </c>
      <c r="E72" s="51" t="s">
        <v>126</v>
      </c>
      <c r="F72" s="52">
        <v>353065382846091</v>
      </c>
    </row>
    <row r="73" spans="2:6" ht="15.75" thickBot="1" x14ac:dyDescent="0.3">
      <c r="B73" s="50">
        <v>56</v>
      </c>
      <c r="C73" s="51" t="s">
        <v>128</v>
      </c>
      <c r="D73" s="51" t="s">
        <v>131</v>
      </c>
      <c r="E73" s="51" t="s">
        <v>126</v>
      </c>
      <c r="F73" s="52">
        <v>353065382766703</v>
      </c>
    </row>
    <row r="74" spans="2:6" ht="15.75" thickBot="1" x14ac:dyDescent="0.3">
      <c r="B74" s="50">
        <v>57</v>
      </c>
      <c r="C74" s="51" t="s">
        <v>128</v>
      </c>
      <c r="D74" s="51" t="s">
        <v>131</v>
      </c>
      <c r="E74" s="51" t="s">
        <v>126</v>
      </c>
      <c r="F74" s="52">
        <v>351737652283591</v>
      </c>
    </row>
    <row r="75" spans="2:6" ht="15.75" thickBot="1" x14ac:dyDescent="0.3">
      <c r="B75" s="50">
        <v>58</v>
      </c>
      <c r="C75" s="51" t="s">
        <v>128</v>
      </c>
      <c r="D75" s="51" t="s">
        <v>131</v>
      </c>
      <c r="E75" s="51" t="s">
        <v>126</v>
      </c>
      <c r="F75" s="52">
        <v>353065380365300</v>
      </c>
    </row>
    <row r="76" spans="2:6" ht="15.75" thickBot="1" x14ac:dyDescent="0.3">
      <c r="B76" s="50">
        <v>59</v>
      </c>
      <c r="C76" s="51" t="s">
        <v>128</v>
      </c>
      <c r="D76" s="51" t="s">
        <v>131</v>
      </c>
      <c r="E76" s="51" t="s">
        <v>126</v>
      </c>
      <c r="F76" s="52">
        <v>353065383930746</v>
      </c>
    </row>
    <row r="77" spans="2:6" ht="15.75" thickBot="1" x14ac:dyDescent="0.3">
      <c r="B77" s="50">
        <v>60</v>
      </c>
      <c r="C77" s="51" t="s">
        <v>128</v>
      </c>
      <c r="D77" s="51" t="s">
        <v>131</v>
      </c>
      <c r="E77" s="51" t="s">
        <v>126</v>
      </c>
      <c r="F77" s="52">
        <v>356182204104018</v>
      </c>
    </row>
    <row r="78" spans="2:6" ht="15.75" thickBot="1" x14ac:dyDescent="0.3">
      <c r="B78" s="50">
        <v>61</v>
      </c>
      <c r="C78" s="51" t="s">
        <v>128</v>
      </c>
      <c r="D78" s="51" t="s">
        <v>131</v>
      </c>
      <c r="E78" s="51" t="s">
        <v>126</v>
      </c>
      <c r="F78" s="52">
        <v>356182202549131</v>
      </c>
    </row>
    <row r="79" spans="2:6" ht="15.75" thickBot="1" x14ac:dyDescent="0.3">
      <c r="B79" s="50">
        <v>62</v>
      </c>
      <c r="C79" s="51" t="s">
        <v>132</v>
      </c>
      <c r="D79" s="51" t="s">
        <v>106</v>
      </c>
      <c r="E79" s="51" t="s">
        <v>133</v>
      </c>
      <c r="F79" s="52" t="s">
        <v>134</v>
      </c>
    </row>
    <row r="80" spans="2:6" ht="15.75" thickBot="1" x14ac:dyDescent="0.3">
      <c r="B80" s="50">
        <v>63</v>
      </c>
      <c r="C80" s="51" t="s">
        <v>132</v>
      </c>
      <c r="D80" s="51" t="s">
        <v>106</v>
      </c>
      <c r="E80" s="51" t="s">
        <v>133</v>
      </c>
      <c r="F80" s="52" t="s">
        <v>135</v>
      </c>
    </row>
    <row r="81" spans="2:6" ht="15.75" thickBot="1" x14ac:dyDescent="0.3">
      <c r="B81" s="50">
        <v>64</v>
      </c>
      <c r="C81" s="51" t="s">
        <v>132</v>
      </c>
      <c r="D81" s="51" t="s">
        <v>106</v>
      </c>
      <c r="E81" s="51" t="s">
        <v>133</v>
      </c>
      <c r="F81" s="52" t="s">
        <v>136</v>
      </c>
    </row>
    <row r="82" spans="2:6" ht="15.75" thickBot="1" x14ac:dyDescent="0.3">
      <c r="B82" s="50">
        <v>65</v>
      </c>
      <c r="C82" s="51" t="s">
        <v>132</v>
      </c>
      <c r="D82" s="51" t="s">
        <v>106</v>
      </c>
      <c r="E82" s="51" t="s">
        <v>133</v>
      </c>
      <c r="F82" s="52" t="s">
        <v>137</v>
      </c>
    </row>
    <row r="83" spans="2:6" ht="15.75" thickBot="1" x14ac:dyDescent="0.3">
      <c r="B83" s="50">
        <v>66</v>
      </c>
      <c r="C83" s="51" t="s">
        <v>132</v>
      </c>
      <c r="D83" s="51" t="s">
        <v>106</v>
      </c>
      <c r="E83" s="51" t="s">
        <v>133</v>
      </c>
      <c r="F83" s="52" t="s">
        <v>138</v>
      </c>
    </row>
    <row r="84" spans="2:6" ht="15.75" thickBot="1" x14ac:dyDescent="0.3">
      <c r="B84" s="50">
        <v>67</v>
      </c>
      <c r="C84" s="51" t="s">
        <v>132</v>
      </c>
      <c r="D84" s="51" t="s">
        <v>106</v>
      </c>
      <c r="E84" s="51" t="s">
        <v>133</v>
      </c>
      <c r="F84" s="52" t="s">
        <v>139</v>
      </c>
    </row>
    <row r="85" spans="2:6" ht="15.75" thickBot="1" x14ac:dyDescent="0.3">
      <c r="B85" s="50">
        <v>68</v>
      </c>
      <c r="C85" s="51" t="s">
        <v>140</v>
      </c>
      <c r="D85" s="51" t="s">
        <v>106</v>
      </c>
      <c r="E85" s="51" t="s">
        <v>108</v>
      </c>
      <c r="F85" s="52" t="s">
        <v>141</v>
      </c>
    </row>
    <row r="86" spans="2:6" ht="15.75" thickBot="1" x14ac:dyDescent="0.3">
      <c r="B86" s="50">
        <v>69</v>
      </c>
      <c r="C86" s="51" t="s">
        <v>140</v>
      </c>
      <c r="D86" s="51" t="s">
        <v>106</v>
      </c>
      <c r="E86" s="51" t="s">
        <v>108</v>
      </c>
      <c r="F86" s="52" t="s">
        <v>142</v>
      </c>
    </row>
    <row r="87" spans="2:6" ht="15.75" thickBot="1" x14ac:dyDescent="0.3">
      <c r="B87" s="50">
        <v>70</v>
      </c>
      <c r="C87" s="51" t="s">
        <v>140</v>
      </c>
      <c r="D87" s="51" t="s">
        <v>106</v>
      </c>
      <c r="E87" s="51" t="s">
        <v>108</v>
      </c>
      <c r="F87" s="52" t="s">
        <v>143</v>
      </c>
    </row>
    <row r="88" spans="2:6" ht="15.75" thickBot="1" x14ac:dyDescent="0.3">
      <c r="B88" s="50">
        <v>71</v>
      </c>
      <c r="C88" s="51" t="s">
        <v>140</v>
      </c>
      <c r="D88" s="51" t="s">
        <v>106</v>
      </c>
      <c r="E88" s="51" t="s">
        <v>108</v>
      </c>
      <c r="F88" s="52" t="s">
        <v>144</v>
      </c>
    </row>
    <row r="89" spans="2:6" ht="27" thickBot="1" x14ac:dyDescent="0.3">
      <c r="B89" s="50">
        <v>72</v>
      </c>
      <c r="C89" s="51" t="s">
        <v>145</v>
      </c>
      <c r="D89" s="51" t="s">
        <v>146</v>
      </c>
      <c r="E89" s="47"/>
      <c r="F89" s="53"/>
    </row>
    <row r="90" spans="2:6" ht="27" thickBot="1" x14ac:dyDescent="0.3">
      <c r="B90" s="50">
        <v>73</v>
      </c>
      <c r="C90" s="51" t="s">
        <v>145</v>
      </c>
      <c r="D90" s="51" t="s">
        <v>147</v>
      </c>
      <c r="E90" s="47"/>
      <c r="F90" s="53"/>
    </row>
    <row r="91" spans="2:6" ht="27" thickBot="1" x14ac:dyDescent="0.3">
      <c r="B91" s="50">
        <v>74</v>
      </c>
      <c r="C91" s="51" t="s">
        <v>145</v>
      </c>
      <c r="D91" s="51" t="s">
        <v>148</v>
      </c>
      <c r="E91" s="47"/>
      <c r="F91" s="53"/>
    </row>
    <row r="92" spans="2:6" ht="27" thickBot="1" x14ac:dyDescent="0.3">
      <c r="B92" s="50">
        <v>75</v>
      </c>
      <c r="C92" s="51" t="s">
        <v>145</v>
      </c>
      <c r="D92" s="51" t="s">
        <v>149</v>
      </c>
      <c r="E92" s="47"/>
      <c r="F92" s="53"/>
    </row>
    <row r="93" spans="2:6" ht="27" thickBot="1" x14ac:dyDescent="0.3">
      <c r="B93" s="50">
        <v>76</v>
      </c>
      <c r="C93" s="51" t="s">
        <v>145</v>
      </c>
      <c r="D93" s="51" t="s">
        <v>150</v>
      </c>
      <c r="E93" s="49"/>
      <c r="F93" s="53"/>
    </row>
    <row r="94" spans="2:6" ht="15.75" thickBot="1" x14ac:dyDescent="0.3">
      <c r="B94" s="50">
        <v>77</v>
      </c>
      <c r="C94" s="51" t="s">
        <v>151</v>
      </c>
      <c r="D94" s="51" t="s">
        <v>107</v>
      </c>
      <c r="E94" s="51" t="s">
        <v>152</v>
      </c>
      <c r="F94" s="53"/>
    </row>
    <row r="95" spans="2:6" ht="15.75" thickBot="1" x14ac:dyDescent="0.3">
      <c r="B95" s="50">
        <v>78</v>
      </c>
      <c r="C95" s="51" t="s">
        <v>151</v>
      </c>
      <c r="D95" s="51" t="s">
        <v>107</v>
      </c>
      <c r="E95" s="51" t="s">
        <v>153</v>
      </c>
      <c r="F95" s="53"/>
    </row>
    <row r="96" spans="2:6" ht="15.75" thickBot="1" x14ac:dyDescent="0.3">
      <c r="B96" s="50">
        <v>79</v>
      </c>
      <c r="C96" s="51" t="s">
        <v>151</v>
      </c>
      <c r="D96" s="51" t="s">
        <v>107</v>
      </c>
      <c r="E96" s="51" t="s">
        <v>154</v>
      </c>
      <c r="F96" s="53"/>
    </row>
    <row r="97" spans="2:6" ht="15.75" thickBot="1" x14ac:dyDescent="0.3">
      <c r="B97" s="50">
        <v>80</v>
      </c>
      <c r="C97" s="51" t="s">
        <v>151</v>
      </c>
      <c r="D97" s="51" t="s">
        <v>107</v>
      </c>
      <c r="E97" s="51" t="s">
        <v>155</v>
      </c>
      <c r="F97" s="53"/>
    </row>
    <row r="98" spans="2:6" ht="15.75" thickBot="1" x14ac:dyDescent="0.3">
      <c r="B98" s="50">
        <v>81</v>
      </c>
      <c r="C98" s="51" t="s">
        <v>151</v>
      </c>
      <c r="D98" s="51" t="s">
        <v>107</v>
      </c>
      <c r="E98" s="51" t="s">
        <v>156</v>
      </c>
      <c r="F98" s="53"/>
    </row>
    <row r="99" spans="2:6" ht="15.75" thickBot="1" x14ac:dyDescent="0.3">
      <c r="B99" s="50">
        <v>82</v>
      </c>
      <c r="C99" s="51" t="s">
        <v>151</v>
      </c>
      <c r="D99" s="51" t="s">
        <v>107</v>
      </c>
      <c r="E99" s="51" t="s">
        <v>157</v>
      </c>
      <c r="F99" s="53"/>
    </row>
    <row r="100" spans="2:6" ht="15.75" thickBot="1" x14ac:dyDescent="0.3">
      <c r="B100" s="50">
        <v>83</v>
      </c>
      <c r="C100" s="51" t="s">
        <v>151</v>
      </c>
      <c r="D100" s="51" t="s">
        <v>107</v>
      </c>
      <c r="E100" s="51" t="s">
        <v>158</v>
      </c>
      <c r="F100" s="53"/>
    </row>
    <row r="101" spans="2:6" ht="15.75" thickBot="1" x14ac:dyDescent="0.3">
      <c r="B101" s="50">
        <v>84</v>
      </c>
      <c r="C101" s="51" t="s">
        <v>151</v>
      </c>
      <c r="D101" s="51" t="s">
        <v>107</v>
      </c>
      <c r="E101" s="51" t="s">
        <v>159</v>
      </c>
      <c r="F101" s="53"/>
    </row>
    <row r="102" spans="2:6" ht="15.75" thickBot="1" x14ac:dyDescent="0.3">
      <c r="B102" s="50">
        <v>85</v>
      </c>
      <c r="C102" s="51" t="s">
        <v>151</v>
      </c>
      <c r="D102" s="51" t="s">
        <v>107</v>
      </c>
      <c r="E102" s="51" t="s">
        <v>160</v>
      </c>
      <c r="F102" s="53"/>
    </row>
    <row r="103" spans="2:6" ht="15.75" thickBot="1" x14ac:dyDescent="0.3">
      <c r="B103" s="50">
        <v>86</v>
      </c>
      <c r="C103" s="51" t="s">
        <v>151</v>
      </c>
      <c r="D103" s="51" t="s">
        <v>107</v>
      </c>
      <c r="E103" s="51" t="s">
        <v>161</v>
      </c>
      <c r="F103" s="53"/>
    </row>
    <row r="104" spans="2:6" ht="15.75" thickBot="1" x14ac:dyDescent="0.3">
      <c r="B104" s="50">
        <v>87</v>
      </c>
      <c r="C104" s="51" t="s">
        <v>151</v>
      </c>
      <c r="D104" s="51" t="s">
        <v>107</v>
      </c>
      <c r="E104" s="51" t="s">
        <v>162</v>
      </c>
      <c r="F104" s="53"/>
    </row>
    <row r="105" spans="2:6" ht="15.75" thickBot="1" x14ac:dyDescent="0.3">
      <c r="B105" s="50">
        <v>88</v>
      </c>
      <c r="C105" s="51" t="s">
        <v>151</v>
      </c>
      <c r="D105" s="51" t="s">
        <v>107</v>
      </c>
      <c r="E105" s="51" t="s">
        <v>163</v>
      </c>
      <c r="F105" s="53"/>
    </row>
    <row r="106" spans="2:6" ht="15.75" thickBot="1" x14ac:dyDescent="0.3">
      <c r="B106" s="50">
        <v>89</v>
      </c>
      <c r="C106" s="51" t="s">
        <v>151</v>
      </c>
      <c r="D106" s="51" t="s">
        <v>107</v>
      </c>
      <c r="E106" s="51" t="s">
        <v>164</v>
      </c>
      <c r="F106" s="53"/>
    </row>
    <row r="107" spans="2:6" ht="15.75" thickBot="1" x14ac:dyDescent="0.3">
      <c r="B107" s="50">
        <v>90</v>
      </c>
      <c r="C107" s="51" t="s">
        <v>151</v>
      </c>
      <c r="D107" s="51" t="s">
        <v>107</v>
      </c>
      <c r="E107" s="51" t="s">
        <v>165</v>
      </c>
      <c r="F107" s="53"/>
    </row>
    <row r="108" spans="2:6" ht="15.75" thickBot="1" x14ac:dyDescent="0.3">
      <c r="B108" s="50">
        <v>91</v>
      </c>
      <c r="C108" s="51" t="s">
        <v>151</v>
      </c>
      <c r="D108" s="51" t="s">
        <v>107</v>
      </c>
      <c r="E108" s="51" t="s">
        <v>166</v>
      </c>
      <c r="F108" s="53"/>
    </row>
    <row r="109" spans="2:6" ht="15.75" thickBot="1" x14ac:dyDescent="0.3">
      <c r="B109" s="50">
        <v>92</v>
      </c>
      <c r="C109" s="51" t="s">
        <v>151</v>
      </c>
      <c r="D109" s="51" t="s">
        <v>107</v>
      </c>
      <c r="E109" s="51" t="s">
        <v>167</v>
      </c>
      <c r="F109" s="53"/>
    </row>
    <row r="110" spans="2:6" ht="15.75" thickBot="1" x14ac:dyDescent="0.3">
      <c r="B110" s="50">
        <v>93</v>
      </c>
      <c r="C110" s="51" t="s">
        <v>151</v>
      </c>
      <c r="D110" s="51" t="s">
        <v>107</v>
      </c>
      <c r="E110" s="51" t="s">
        <v>168</v>
      </c>
      <c r="F110" s="53"/>
    </row>
    <row r="111" spans="2:6" ht="15.75" thickBot="1" x14ac:dyDescent="0.3">
      <c r="B111" s="50">
        <v>94</v>
      </c>
      <c r="C111" s="51" t="s">
        <v>151</v>
      </c>
      <c r="D111" s="51" t="s">
        <v>107</v>
      </c>
      <c r="E111" s="51" t="s">
        <v>169</v>
      </c>
      <c r="F111" s="53"/>
    </row>
    <row r="112" spans="2:6" ht="15.75" thickBot="1" x14ac:dyDescent="0.3">
      <c r="B112" s="50">
        <v>95</v>
      </c>
      <c r="C112" s="51" t="s">
        <v>151</v>
      </c>
      <c r="D112" s="51" t="s">
        <v>107</v>
      </c>
      <c r="E112" s="51" t="s">
        <v>170</v>
      </c>
      <c r="F112" s="53"/>
    </row>
    <row r="113" spans="2:6" ht="15.75" thickBot="1" x14ac:dyDescent="0.3">
      <c r="B113" s="50">
        <v>96</v>
      </c>
      <c r="C113" s="51" t="s">
        <v>151</v>
      </c>
      <c r="D113" s="51" t="s">
        <v>107</v>
      </c>
      <c r="E113" s="51" t="s">
        <v>171</v>
      </c>
      <c r="F113" s="53"/>
    </row>
    <row r="114" spans="2:6" ht="15.75" thickBot="1" x14ac:dyDescent="0.3">
      <c r="B114" s="50">
        <v>97</v>
      </c>
      <c r="C114" s="51" t="s">
        <v>151</v>
      </c>
      <c r="D114" s="51" t="s">
        <v>107</v>
      </c>
      <c r="E114" s="51" t="s">
        <v>172</v>
      </c>
      <c r="F114" s="53"/>
    </row>
    <row r="115" spans="2:6" ht="15.75" thickBot="1" x14ac:dyDescent="0.3">
      <c r="B115" s="50">
        <v>98</v>
      </c>
      <c r="C115" s="51" t="s">
        <v>151</v>
      </c>
      <c r="D115" s="51" t="s">
        <v>107</v>
      </c>
      <c r="E115" s="51" t="s">
        <v>173</v>
      </c>
      <c r="F115" s="53"/>
    </row>
    <row r="116" spans="2:6" ht="15.75" thickBot="1" x14ac:dyDescent="0.3">
      <c r="B116" s="50">
        <v>99</v>
      </c>
      <c r="C116" s="51" t="s">
        <v>151</v>
      </c>
      <c r="D116" s="51" t="s">
        <v>107</v>
      </c>
      <c r="E116" s="51" t="s">
        <v>174</v>
      </c>
      <c r="F116" s="53"/>
    </row>
    <row r="117" spans="2:6" ht="15.75" thickBot="1" x14ac:dyDescent="0.3">
      <c r="B117" s="50">
        <v>100</v>
      </c>
      <c r="C117" s="51" t="s">
        <v>151</v>
      </c>
      <c r="D117" s="51" t="s">
        <v>107</v>
      </c>
      <c r="E117" s="51" t="s">
        <v>175</v>
      </c>
      <c r="F117" s="53"/>
    </row>
    <row r="118" spans="2:6" ht="15.75" thickBot="1" x14ac:dyDescent="0.3">
      <c r="B118" s="50">
        <v>101</v>
      </c>
      <c r="C118" s="51" t="s">
        <v>151</v>
      </c>
      <c r="D118" s="51" t="s">
        <v>107</v>
      </c>
      <c r="E118" s="51" t="s">
        <v>176</v>
      </c>
      <c r="F118" s="53"/>
    </row>
    <row r="119" spans="2:6" ht="15.75" thickBot="1" x14ac:dyDescent="0.3">
      <c r="B119" s="50">
        <v>102</v>
      </c>
      <c r="C119" s="51" t="s">
        <v>151</v>
      </c>
      <c r="D119" s="51" t="s">
        <v>177</v>
      </c>
      <c r="E119" s="51" t="s">
        <v>178</v>
      </c>
      <c r="F119" s="53"/>
    </row>
    <row r="120" spans="2:6" ht="15.75" thickBot="1" x14ac:dyDescent="0.3">
      <c r="B120" s="50">
        <v>103</v>
      </c>
      <c r="C120" s="51" t="s">
        <v>151</v>
      </c>
      <c r="D120" s="51" t="s">
        <v>177</v>
      </c>
      <c r="E120" s="51" t="s">
        <v>179</v>
      </c>
      <c r="F120" s="53"/>
    </row>
    <row r="121" spans="2:6" ht="15.75" thickBot="1" x14ac:dyDescent="0.3">
      <c r="B121" s="50">
        <v>104</v>
      </c>
      <c r="C121" s="51" t="s">
        <v>151</v>
      </c>
      <c r="D121" s="51" t="s">
        <v>177</v>
      </c>
      <c r="E121" s="51" t="s">
        <v>180</v>
      </c>
      <c r="F121" s="53"/>
    </row>
    <row r="122" spans="2:6" ht="15.75" thickBot="1" x14ac:dyDescent="0.3">
      <c r="B122" s="50">
        <v>105</v>
      </c>
      <c r="C122" s="51" t="s">
        <v>151</v>
      </c>
      <c r="D122" s="51" t="s">
        <v>177</v>
      </c>
      <c r="E122" s="51" t="s">
        <v>181</v>
      </c>
      <c r="F122" s="53"/>
    </row>
    <row r="123" spans="2:6" ht="15.75" thickBot="1" x14ac:dyDescent="0.3">
      <c r="B123" s="50">
        <v>106</v>
      </c>
      <c r="C123" s="51" t="s">
        <v>151</v>
      </c>
      <c r="D123" s="51" t="s">
        <v>182</v>
      </c>
      <c r="E123" s="51" t="s">
        <v>183</v>
      </c>
      <c r="F123" s="53"/>
    </row>
    <row r="124" spans="2:6" ht="15.75" thickBot="1" x14ac:dyDescent="0.3">
      <c r="B124" s="50">
        <v>107</v>
      </c>
      <c r="C124" s="51" t="s">
        <v>151</v>
      </c>
      <c r="D124" s="51" t="s">
        <v>182</v>
      </c>
      <c r="E124" s="51" t="s">
        <v>184</v>
      </c>
      <c r="F124" s="47"/>
    </row>
    <row r="125" spans="2:6" ht="15.75" thickBot="1" x14ac:dyDescent="0.3">
      <c r="B125" s="50">
        <v>108</v>
      </c>
      <c r="C125" s="51" t="s">
        <v>109</v>
      </c>
      <c r="D125" s="51">
        <v>98</v>
      </c>
      <c r="E125" s="47"/>
      <c r="F125" s="47"/>
    </row>
    <row r="126" spans="2:6" ht="15.75" thickBot="1" x14ac:dyDescent="0.3">
      <c r="B126" s="50">
        <v>109</v>
      </c>
      <c r="C126" s="51" t="s">
        <v>185</v>
      </c>
      <c r="D126" s="51">
        <v>1</v>
      </c>
      <c r="E126" s="47"/>
      <c r="F126" s="47"/>
    </row>
    <row r="127" spans="2:6" ht="15.75" thickBot="1" x14ac:dyDescent="0.3">
      <c r="B127" s="50">
        <v>110</v>
      </c>
      <c r="C127" s="51" t="s">
        <v>186</v>
      </c>
      <c r="D127" s="51">
        <v>11</v>
      </c>
      <c r="E127" s="47"/>
      <c r="F127" s="47"/>
    </row>
  </sheetData>
  <mergeCells count="2"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2026-01-19T14:40:22Z</dcterms:created>
  <dcterms:modified xsi:type="dcterms:W3CDTF">2026-05-18T12:05:26Z</dcterms:modified>
</cp:coreProperties>
</file>