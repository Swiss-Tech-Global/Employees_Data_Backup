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isting All Details\02-06-2026\"/>
    </mc:Choice>
  </mc:AlternateContent>
  <xr:revisionPtr revIDLastSave="640" documentId="8_{06451FDD-92AB-4F11-ADC0-5DCA2BA468F2}" xr6:coauthVersionLast="47" xr6:coauthVersionMax="47" xr10:uidLastSave="{5578E2A4-D3A5-4BB2-90D5-4836BC2D6530}"/>
  <bookViews>
    <workbookView xWindow="20370" yWindow="-120" windowWidth="29040" windowHeight="17520" xr2:uid="{71EB1AA8-6482-4BA1-AE11-C94B0398C988}"/>
  </bookViews>
  <sheets>
    <sheet name="Camera" sheetId="1" r:id="rId1"/>
    <sheet name="Lens" sheetId="3" r:id="rId2"/>
  </sheets>
  <definedNames>
    <definedName name="_xlnm._FilterDatabase" localSheetId="0" hidden="1">Camera!$A$1:$J$47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J47" i="1"/>
  <c r="J14" i="3"/>
  <c r="J15" i="3"/>
  <c r="J16" i="3"/>
  <c r="J17" i="3"/>
  <c r="J18" i="3"/>
  <c r="J19" i="3"/>
  <c r="J20" i="3"/>
  <c r="J13" i="3"/>
  <c r="J12" i="3"/>
  <c r="J11" i="3"/>
  <c r="J9" i="3"/>
  <c r="J8" i="3"/>
  <c r="J7" i="3"/>
  <c r="J6" i="3"/>
  <c r="J5" i="3"/>
  <c r="J4" i="3"/>
  <c r="J3" i="3"/>
  <c r="J2" i="3"/>
  <c r="J46" i="1"/>
  <c r="J11" i="1" l="1"/>
  <c r="J44" i="1"/>
  <c r="J43" i="1"/>
  <c r="J42" i="1"/>
  <c r="J41" i="1"/>
  <c r="J39" i="1"/>
  <c r="J38" i="1"/>
  <c r="J14" i="1"/>
  <c r="J13" i="1"/>
  <c r="J45" i="1" l="1"/>
  <c r="J40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 l="1"/>
  <c r="J12" i="1"/>
  <c r="J10" i="1"/>
  <c r="J9" i="1" l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<sst xmlns="http://schemas.openxmlformats.org/spreadsheetml/2006/main" count="281" uniqueCount="118">
  <si>
    <t>Sr No</t>
  </si>
  <si>
    <t>item name</t>
  </si>
  <si>
    <t>Website</t>
  </si>
  <si>
    <t>Sale Prices</t>
  </si>
  <si>
    <t>CANON G7X MARK III</t>
  </si>
  <si>
    <t>rubbermonkey.co.nz, canon.co.nz, photowarehouse.co.nz</t>
  </si>
  <si>
    <t>INSTAX MINI 12</t>
  </si>
  <si>
    <t>jbhifi.co.nz</t>
  </si>
  <si>
    <t>BLINK OUTDOOR 4</t>
  </si>
  <si>
    <t>bunnings.co.nz</t>
  </si>
  <si>
    <t>Canon PowerShot V1 Vlogging Camera</t>
  </si>
  <si>
    <t>harveynorman.co.nz</t>
  </si>
  <si>
    <t>Canon PowerShot V10</t>
  </si>
  <si>
    <t>photowarehouse.co.nz</t>
  </si>
  <si>
    <t>Canon EOS R6 Mark III Mirrorless Camera [Body Only]</t>
  </si>
  <si>
    <t>photogear.co.nz</t>
  </si>
  <si>
    <t>Insta360 GO Ultra Standard Bundle (Arctic White)</t>
  </si>
  <si>
    <t>Insta360 GO Ultra Creator Bundle (Arctic White)</t>
  </si>
  <si>
    <t>rubbermonkey.co.nz</t>
  </si>
  <si>
    <t>CANON IXUS 285 HA</t>
  </si>
  <si>
    <t>einfo.co.nz</t>
  </si>
  <si>
    <t>GO PRO 13</t>
  </si>
  <si>
    <t>noelleeming.co.nz</t>
  </si>
  <si>
    <t>Canon EOS R50 Mirrorless Camera with RFS 18-45mm Lens Kit</t>
  </si>
  <si>
    <t>Canon EOS R7 Mirrorless Camera with RFS 18-150STM Lens</t>
  </si>
  <si>
    <t>Canon EOS R100 Mirrorless Camera with RF-S 18-45mm Lens</t>
  </si>
  <si>
    <t>noelleeming.co.nz, harveynorman.co.nz</t>
  </si>
  <si>
    <t>Canon EOS R10 Mirrorless Camera with RFS 18-45STM Lens</t>
  </si>
  <si>
    <t>Canon EOS 200D DSLR Mark II Camera w/18-55mm Lens Kit</t>
  </si>
  <si>
    <t>Canon EOS R50 V Mirrorless Camera Kit with RF-S 14-30mm IS STM PZ</t>
  </si>
  <si>
    <t>Canon EOS R6 Mark II Mirrorless Camera [Body Only]</t>
  </si>
  <si>
    <t>Canon EOS R5II Mirrorless Camera [Body Only]</t>
  </si>
  <si>
    <t>Canon EOS R8 Mirrorless Camera RF 24-50 STM Lens Kit</t>
  </si>
  <si>
    <t>Canon EOS R8 Mirrorless Camera [Body Only]</t>
  </si>
  <si>
    <t>Canon EOS 5D IV Full Frame DSLR Camera [4K Video] (Body Only)</t>
  </si>
  <si>
    <t>Insta360 GO Ultra Standard Bundle (Midnight Black)</t>
  </si>
  <si>
    <t>digidirect.com.au</t>
  </si>
  <si>
    <t>harveynorman.com.au</t>
  </si>
  <si>
    <t>officeworks.com.au</t>
  </si>
  <si>
    <t>bunnings.com.au</t>
  </si>
  <si>
    <t>thegoodguys.com.au</t>
  </si>
  <si>
    <t>camerapro.com.au</t>
  </si>
  <si>
    <t>georges.com.au</t>
  </si>
  <si>
    <t>camerahouse.com.au</t>
  </si>
  <si>
    <t>bigw.com.au</t>
  </si>
  <si>
    <t>Affter GST To AED (AUD)</t>
  </si>
  <si>
    <t>After GST To AED (NZD)</t>
  </si>
  <si>
    <t>INSTAX MINI EVO</t>
  </si>
  <si>
    <t>Different Amount</t>
  </si>
  <si>
    <t>INSTAX MINI LIPLAY</t>
  </si>
  <si>
    <t>INSTAX WIDE 400 Black</t>
  </si>
  <si>
    <t>Fujifilm Instax Mini13 Instant Camera (Candy Pink)</t>
  </si>
  <si>
    <t>Fujifilm Instax Mini13 Instant Camera (Frost Blue)</t>
  </si>
  <si>
    <t>Fujifilm Instax Mini13 Instant Camera (Dreamy Purple)</t>
  </si>
  <si>
    <t>Fujifilm Instax Mini13 Instant Camera (Lagoon Green)</t>
  </si>
  <si>
    <t>Fujifilm Instax Mini13 Instant Camera (Clay White)</t>
  </si>
  <si>
    <t>Fujifilm instax mini 41 Instant Camera (Black)</t>
  </si>
  <si>
    <t>Fujifilm instax mini EVO C Instant Camera (Black)</t>
  </si>
  <si>
    <t>Fujifilm instax mini EVO C Instant Camera (Brown)</t>
  </si>
  <si>
    <t>Fujifilm instax mini EVO C Instant Camera (Gentle Rose)</t>
  </si>
  <si>
    <t>Fujifilm instax SQUARE SQ1 Instant Camera (Glacier Blue)</t>
  </si>
  <si>
    <t>Fujifilm instax PAL Digital Camera (White)</t>
  </si>
  <si>
    <t>Fujifilm instax mini LiPlay C Instant Camera and Smartphone Printer (Matcha Green)</t>
  </si>
  <si>
    <t>Fujifilm instax mini LiPlay C Instant Camera and Smartphone Printer (Deep Bronze)</t>
  </si>
  <si>
    <t>Fujifilm instax mini LiPlay C Instant Camera and Smartphone Printer (Misty White)</t>
  </si>
  <si>
    <t>Polaroid Now Generation 3 Instant Camera (Black)</t>
  </si>
  <si>
    <t>Polaroid Go Generation 2 Instant Camera (Black)</t>
  </si>
  <si>
    <t>Polaroid Go Generation 2 Instant Camera (Blue)</t>
  </si>
  <si>
    <t>Polaroid Go Generation 2 Instant Camera (Purple)</t>
  </si>
  <si>
    <t>Insta360 GO 3S Standard Edition [64GB] (Arctic White)</t>
  </si>
  <si>
    <t>Insta360 GO 3S Standard Edition [128GB] (Arctic White)</t>
  </si>
  <si>
    <t>Insta360 X4 Air 8K 360 Action Cam Starter Bundle</t>
  </si>
  <si>
    <t>Insta360 Link 2C AI-Powered 4K Webcam (Graphite Black)</t>
  </si>
  <si>
    <t>Insta360 Ace Pro 2 Action Camera Standard Bundle</t>
  </si>
  <si>
    <t>Polaroid Flip Instant Camera (Black)</t>
  </si>
  <si>
    <t>Polaroid Now+ Generation 3 Instant Camera (Black)</t>
  </si>
  <si>
    <t>Insta360 GO Ultra Creator Bundle (Midnight Black)</t>
  </si>
  <si>
    <t>aucklandairport.co.nz</t>
  </si>
  <si>
    <t>pbtech.co.nz</t>
  </si>
  <si>
    <t>jbhifi.com.au</t>
  </si>
  <si>
    <t>rubbermonkey.com.au</t>
  </si>
  <si>
    <t>mobileciti.com.au</t>
  </si>
  <si>
    <t>Not Available AUD</t>
  </si>
  <si>
    <t>bestbuy.com</t>
  </si>
  <si>
    <t>walmart.com</t>
  </si>
  <si>
    <t>target.com</t>
  </si>
  <si>
    <t>dell.com</t>
  </si>
  <si>
    <t>adorama.com</t>
  </si>
  <si>
    <t>doddcamera.com</t>
  </si>
  <si>
    <t>tradeinn.com</t>
  </si>
  <si>
    <t>AED (USD)</t>
  </si>
  <si>
    <t>Not Available USD</t>
  </si>
  <si>
    <t>Canon IXY 650</t>
  </si>
  <si>
    <t>After GST To AED</t>
  </si>
  <si>
    <t>Canon RF 75-300mm f/4-5.6 Lens</t>
  </si>
  <si>
    <t>Canon RF 24-105mm f/4 7.1 IS STM Standard Zoom Lens</t>
  </si>
  <si>
    <t>progear.co.nz</t>
  </si>
  <si>
    <t>Canon RF 100-400mm f/5.6-8 IS USM Lens</t>
  </si>
  <si>
    <t>Canon RF-S 55-210mm f/5-7.1 IS STM Lens</t>
  </si>
  <si>
    <t>Canon RF4512STM RF 45mm f/1.2 STM Mirrorless Camera Lens</t>
  </si>
  <si>
    <t>Canon RF 24-70 f/2.8L IS USM Lens EOS R</t>
  </si>
  <si>
    <t>trademe.co.nz</t>
  </si>
  <si>
    <t>Canon RF 24-240mm f/4-6.3 IS USM Lens</t>
  </si>
  <si>
    <t>pbtech.com</t>
  </si>
  <si>
    <t>Canon RF 24-105 f/4L IS USM Lens</t>
  </si>
  <si>
    <t>Canon RF35mm f/1.8 Macro IS STM Lens</t>
  </si>
  <si>
    <t>photo.co.nz</t>
  </si>
  <si>
    <t>Canon RF 85mm f/2 Macro IS STM Lens</t>
  </si>
  <si>
    <t>Canon RF-S 10-18mm f/4.5-6.3 IS STM Lens</t>
  </si>
  <si>
    <t>Canon RF16-28IS RF16-28mm F2.8 IS STM Camera Lens</t>
  </si>
  <si>
    <t>becextech.com.au</t>
  </si>
  <si>
    <t>specular.com.au</t>
  </si>
  <si>
    <t>Website AUD</t>
  </si>
  <si>
    <t>After GST To AED (AUD)</t>
  </si>
  <si>
    <t>bhphotovideo.com</t>
  </si>
  <si>
    <t>Website USD</t>
  </si>
  <si>
    <t>After Prices AED (USD)</t>
  </si>
  <si>
    <t>GoPro Mission 1 Pro Action Video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</si>
</sst>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2" borderId="3" xfId="0" applyNumberFormat="1" applyFill="1" applyBorder="1"/>
    <xf numFmtId="2" fontId="0" fillId="5" borderId="3" xfId="0" applyNumberFormat="1" applyFill="1" applyBorder="1"/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" fillId="0" borderId="0" xfId="0" applyFont="1"/>
    <xf numFmtId="0" fontId="1" fillId="2" borderId="3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right"/>
    </xf>
    <xf numFmtId="2" fontId="0" fillId="5" borderId="3" xfId="0" applyNumberFormat="1" applyFill="1" applyBorder="1" applyAlignment="1">
      <alignment horizontal="right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85AC-AD75-44B3-B23A-43B1A5388AB6}">
  <dimension ref="A1:K47"/>
  <sheetViews>
    <sheetView tabSelected="1" topLeftCell="C1" workbookViewId="0">
      <selection activeCell="E11" sqref="E11"/>
    </sheetView>
  </sheetViews>
  <sheetFormatPr defaultRowHeight="15" x14ac:dyDescent="0.25"/>
  <cols>
    <col min="1" max="1" width="5.85546875" bestFit="1" customWidth="1"/>
    <col min="2" max="2" width="76.42578125" bestFit="1" customWidth="1"/>
    <col min="3" max="3" width="53.42578125" bestFit="1" customWidth="1"/>
    <col min="4" max="4" width="22.28515625" bestFit="1" customWidth="1"/>
    <col min="5" max="5" width="21.42578125" bestFit="1" customWidth="1"/>
    <col min="6" max="6" width="23" bestFit="1" customWidth="1"/>
    <col min="7" max="7" width="16.85546875" bestFit="1" customWidth="1"/>
    <col min="8" max="8" width="10.42578125" bestFit="1" customWidth="1"/>
    <col min="9" max="9" width="10.85546875" bestFit="1" customWidth="1"/>
    <col min="10" max="10" width="16.85546875" bestFit="1" customWidth="1"/>
    <col min="11" max="11" width="17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46</v>
      </c>
      <c r="E1" s="2" t="s">
        <v>2</v>
      </c>
      <c r="F1" s="2" t="s">
        <v>45</v>
      </c>
      <c r="G1" s="2" t="s">
        <v>2</v>
      </c>
      <c r="H1" s="2" t="s">
        <v>90</v>
      </c>
      <c r="I1" s="2" t="s">
        <v>3</v>
      </c>
      <c r="J1" s="2" t="s">
        <v>48</v>
      </c>
    </row>
    <row r="2" spans="1:10" x14ac:dyDescent="0.25">
      <c r="A2" s="10">
        <v>1</v>
      </c>
      <c r="B2" s="10" t="s">
        <v>4</v>
      </c>
      <c r="C2" s="16" t="s">
        <v>5</v>
      </c>
      <c r="D2" s="6">
        <v>3162.8584615384616</v>
      </c>
      <c r="E2" s="3" t="s">
        <v>36</v>
      </c>
      <c r="F2" s="4">
        <v>3235.8830909090907</v>
      </c>
      <c r="G2" s="4" t="s">
        <v>83</v>
      </c>
      <c r="H2" s="4">
        <v>5945.7775000000001</v>
      </c>
      <c r="I2" s="5">
        <v>4280</v>
      </c>
      <c r="J2" s="8">
        <f>I2-D2</f>
        <v>1117.1415384615384</v>
      </c>
    </row>
    <row r="3" spans="1:10" x14ac:dyDescent="0.25">
      <c r="A3" s="10">
        <v>2</v>
      </c>
      <c r="B3" s="10" t="s">
        <v>19</v>
      </c>
      <c r="C3" s="16" t="s">
        <v>20</v>
      </c>
      <c r="D3" s="4">
        <v>1718.6399999999999</v>
      </c>
      <c r="E3" s="3" t="s">
        <v>37</v>
      </c>
      <c r="F3" s="6">
        <v>1194.5661818181818</v>
      </c>
      <c r="G3" s="3" t="s">
        <v>83</v>
      </c>
      <c r="H3" s="4">
        <v>1615.716375</v>
      </c>
      <c r="I3" s="5">
        <v>1350</v>
      </c>
      <c r="J3" s="8">
        <f>I3-F3</f>
        <v>155.4338181818182</v>
      </c>
    </row>
    <row r="4" spans="1:10" x14ac:dyDescent="0.25">
      <c r="A4" s="10">
        <v>3</v>
      </c>
      <c r="B4" s="10" t="s">
        <v>21</v>
      </c>
      <c r="C4" s="16" t="s">
        <v>22</v>
      </c>
      <c r="D4" s="4">
        <v>1446.2215384615386</v>
      </c>
      <c r="E4" s="3" t="s">
        <v>38</v>
      </c>
      <c r="F4" s="6">
        <v>957.09218181818164</v>
      </c>
      <c r="G4" s="3" t="s">
        <v>83</v>
      </c>
      <c r="H4" s="4">
        <v>1505.541375</v>
      </c>
      <c r="I4" s="5">
        <v>1264</v>
      </c>
      <c r="J4" s="8">
        <f>I4-F4</f>
        <v>306.90781818181836</v>
      </c>
    </row>
    <row r="5" spans="1:10" x14ac:dyDescent="0.25">
      <c r="A5" s="10">
        <v>4</v>
      </c>
      <c r="B5" s="10" t="s">
        <v>6</v>
      </c>
      <c r="C5" s="16" t="s">
        <v>7</v>
      </c>
      <c r="D5" s="6">
        <v>234.35999999999999</v>
      </c>
      <c r="E5" s="3" t="s">
        <v>40</v>
      </c>
      <c r="F5" s="4">
        <v>273.45490909090904</v>
      </c>
      <c r="G5" s="3" t="s">
        <v>84</v>
      </c>
      <c r="H5" s="4">
        <v>330.2312</v>
      </c>
      <c r="I5" s="5">
        <v>350</v>
      </c>
      <c r="J5" s="8">
        <f>I5-D5</f>
        <v>115.64000000000001</v>
      </c>
    </row>
    <row r="6" spans="1:10" x14ac:dyDescent="0.25">
      <c r="A6" s="10">
        <v>5</v>
      </c>
      <c r="B6" s="10" t="s">
        <v>8</v>
      </c>
      <c r="C6" s="16" t="s">
        <v>9</v>
      </c>
      <c r="D6" s="6">
        <v>175.26923076923077</v>
      </c>
      <c r="E6" s="3" t="s">
        <v>39</v>
      </c>
      <c r="F6" s="4">
        <v>237.47399999999996</v>
      </c>
      <c r="G6" s="3" t="s">
        <v>83</v>
      </c>
      <c r="H6" s="4">
        <v>587.4163749999999</v>
      </c>
      <c r="I6" s="5">
        <v>2100</v>
      </c>
      <c r="J6" s="8">
        <f>I6-D6</f>
        <v>1924.7307692307693</v>
      </c>
    </row>
    <row r="7" spans="1:10" x14ac:dyDescent="0.25">
      <c r="A7" s="11">
        <v>6</v>
      </c>
      <c r="B7" s="11" t="s">
        <v>10</v>
      </c>
      <c r="C7" s="16" t="s">
        <v>11</v>
      </c>
      <c r="D7" s="4">
        <v>3038.6676923076921</v>
      </c>
      <c r="E7" s="3" t="s">
        <v>36</v>
      </c>
      <c r="F7" s="6">
        <v>2864.656058181818</v>
      </c>
      <c r="G7" s="3" t="s">
        <v>84</v>
      </c>
      <c r="H7" s="4">
        <v>3415.3882749999998</v>
      </c>
      <c r="I7" s="5">
        <v>3440</v>
      </c>
      <c r="J7" s="8">
        <f>I7-F7</f>
        <v>575.34394181818197</v>
      </c>
    </row>
    <row r="8" spans="1:10" x14ac:dyDescent="0.25">
      <c r="A8" s="11">
        <v>7</v>
      </c>
      <c r="B8" s="11" t="s">
        <v>12</v>
      </c>
      <c r="C8" s="16" t="s">
        <v>13</v>
      </c>
      <c r="D8" s="6">
        <v>1352.0769230769231</v>
      </c>
      <c r="E8" s="3" t="s">
        <v>37</v>
      </c>
      <c r="F8" s="4">
        <v>1676.7103636363636</v>
      </c>
      <c r="G8" s="3" t="s">
        <v>83</v>
      </c>
      <c r="H8" s="4">
        <v>1395.513275</v>
      </c>
      <c r="I8" s="5">
        <v>1554</v>
      </c>
      <c r="J8" s="8">
        <f>I8-D8</f>
        <v>201.92307692307691</v>
      </c>
    </row>
    <row r="9" spans="1:10" x14ac:dyDescent="0.25">
      <c r="A9" s="11">
        <v>8</v>
      </c>
      <c r="B9" s="11" t="s">
        <v>30</v>
      </c>
      <c r="C9" s="17" t="s">
        <v>18</v>
      </c>
      <c r="D9" s="7">
        <v>6708.3046153846153</v>
      </c>
      <c r="E9" s="5" t="s">
        <v>42</v>
      </c>
      <c r="F9" s="7">
        <v>5996.698245454545</v>
      </c>
      <c r="G9" s="3" t="s">
        <v>84</v>
      </c>
      <c r="H9" s="4">
        <v>6426.6913750000003</v>
      </c>
      <c r="I9" s="5">
        <v>5560</v>
      </c>
      <c r="J9" s="9">
        <f>I9-F9</f>
        <v>-436.69824545454503</v>
      </c>
    </row>
    <row r="10" spans="1:10" x14ac:dyDescent="0.25">
      <c r="A10" s="11">
        <v>9</v>
      </c>
      <c r="B10" s="11" t="s">
        <v>14</v>
      </c>
      <c r="C10" s="16" t="s">
        <v>15</v>
      </c>
      <c r="D10" s="4">
        <v>9011.8430769230763</v>
      </c>
      <c r="E10" s="3" t="s">
        <v>42</v>
      </c>
      <c r="F10" s="6">
        <v>8148.476545454545</v>
      </c>
      <c r="G10" s="3" t="s">
        <v>84</v>
      </c>
      <c r="H10" s="4">
        <v>10279.327499999999</v>
      </c>
      <c r="I10" s="5">
        <v>10800</v>
      </c>
      <c r="J10" s="8">
        <f>I10-F10</f>
        <v>2651.523454545455</v>
      </c>
    </row>
    <row r="11" spans="1:10" x14ac:dyDescent="0.25">
      <c r="A11" s="11">
        <v>10</v>
      </c>
      <c r="B11" s="11" t="s">
        <v>31</v>
      </c>
      <c r="C11" s="16" t="s">
        <v>11</v>
      </c>
      <c r="D11" s="4">
        <v>13456.670769230768</v>
      </c>
      <c r="E11" s="3" t="s">
        <v>36</v>
      </c>
      <c r="F11" s="7">
        <v>12915.779089090909</v>
      </c>
      <c r="G11" s="3" t="s">
        <v>84</v>
      </c>
      <c r="H11" s="6">
        <v>12872.075774999999</v>
      </c>
      <c r="I11" s="5">
        <v>13420</v>
      </c>
      <c r="J11" s="8">
        <f>I11-H11</f>
        <v>547.92422500000066</v>
      </c>
    </row>
    <row r="12" spans="1:10" x14ac:dyDescent="0.25">
      <c r="A12" s="11">
        <v>11</v>
      </c>
      <c r="B12" s="11" t="s">
        <v>33</v>
      </c>
      <c r="C12" s="17" t="s">
        <v>15</v>
      </c>
      <c r="D12" s="7">
        <v>4995.6738461538462</v>
      </c>
      <c r="E12" s="5" t="s">
        <v>36</v>
      </c>
      <c r="F12" s="7">
        <v>4239.6784927272729</v>
      </c>
      <c r="G12" s="3" t="s">
        <v>83</v>
      </c>
      <c r="H12" s="4">
        <v>4627.3132749999995</v>
      </c>
      <c r="I12" s="5">
        <v>3800</v>
      </c>
      <c r="J12" s="9">
        <f>I12-F12</f>
        <v>-439.6784927272729</v>
      </c>
    </row>
    <row r="13" spans="1:10" x14ac:dyDescent="0.25">
      <c r="A13" s="11">
        <v>12</v>
      </c>
      <c r="B13" s="11" t="s">
        <v>34</v>
      </c>
      <c r="C13" s="17" t="s">
        <v>15</v>
      </c>
      <c r="D13" s="7">
        <v>7571.6307692307691</v>
      </c>
      <c r="E13" s="5" t="s">
        <v>43</v>
      </c>
      <c r="F13" s="7">
        <v>8393.1467272727277</v>
      </c>
      <c r="G13" s="3" t="s">
        <v>84</v>
      </c>
      <c r="H13" s="4">
        <v>5985.9913749999996</v>
      </c>
      <c r="I13" s="5">
        <v>5900</v>
      </c>
      <c r="J13" s="9">
        <f>I13-H13</f>
        <v>-85.991374999999607</v>
      </c>
    </row>
    <row r="14" spans="1:10" x14ac:dyDescent="0.25">
      <c r="A14" s="11">
        <v>13</v>
      </c>
      <c r="B14" s="11" t="s">
        <v>16</v>
      </c>
      <c r="C14" s="16" t="s">
        <v>15</v>
      </c>
      <c r="D14" s="7">
        <v>1340.0584615384616</v>
      </c>
      <c r="E14" s="3" t="s">
        <v>44</v>
      </c>
      <c r="F14" s="4">
        <v>1820.6339999999998</v>
      </c>
      <c r="G14" s="3" t="s">
        <v>85</v>
      </c>
      <c r="H14" s="6">
        <v>1064.9882749999999</v>
      </c>
      <c r="I14" s="5">
        <v>1650</v>
      </c>
      <c r="J14" s="8">
        <f>I14-H14</f>
        <v>585.01172500000007</v>
      </c>
    </row>
    <row r="15" spans="1:10" x14ac:dyDescent="0.25">
      <c r="A15" s="11">
        <v>14</v>
      </c>
      <c r="B15" s="11" t="s">
        <v>35</v>
      </c>
      <c r="C15" s="16" t="s">
        <v>15</v>
      </c>
      <c r="D15" s="6">
        <v>1340.0584615384616</v>
      </c>
      <c r="E15" s="3" t="s">
        <v>44</v>
      </c>
      <c r="F15" s="4">
        <v>1796.6227399999998</v>
      </c>
      <c r="G15" s="3" t="s">
        <v>84</v>
      </c>
      <c r="H15" s="4">
        <v>1573.0786499999999</v>
      </c>
      <c r="I15" s="5">
        <v>1350</v>
      </c>
      <c r="J15" s="8">
        <f>I15-D15</f>
        <v>9.9415384615383573</v>
      </c>
    </row>
    <row r="16" spans="1:10" x14ac:dyDescent="0.25">
      <c r="A16" s="11">
        <v>15</v>
      </c>
      <c r="B16" s="11" t="s">
        <v>17</v>
      </c>
      <c r="C16" s="16" t="s">
        <v>18</v>
      </c>
      <c r="D16" s="6">
        <v>1520.3353846153846</v>
      </c>
      <c r="E16" s="3" t="s">
        <v>44</v>
      </c>
      <c r="F16" s="4">
        <v>2131.8688636363636</v>
      </c>
      <c r="G16" s="3" t="s">
        <v>86</v>
      </c>
      <c r="H16" s="4">
        <v>1836.2132750000001</v>
      </c>
      <c r="I16" s="5">
        <v>1670</v>
      </c>
      <c r="J16" s="8">
        <f>I16-D16</f>
        <v>149.66461538461544</v>
      </c>
    </row>
    <row r="17" spans="1:11" x14ac:dyDescent="0.25">
      <c r="A17" s="10">
        <v>16</v>
      </c>
      <c r="B17" s="10" t="s">
        <v>47</v>
      </c>
      <c r="C17" s="17" t="s">
        <v>22</v>
      </c>
      <c r="D17" s="7">
        <v>697.0707692307692</v>
      </c>
      <c r="E17" s="5" t="s">
        <v>40</v>
      </c>
      <c r="F17" s="7">
        <v>681.29018181818174</v>
      </c>
      <c r="G17" s="3" t="s">
        <v>83</v>
      </c>
      <c r="H17" s="4">
        <v>863.00077499999998</v>
      </c>
      <c r="I17" s="5">
        <v>650</v>
      </c>
      <c r="J17" s="9">
        <f>I17-F17</f>
        <v>-31.290181818181736</v>
      </c>
    </row>
    <row r="18" spans="1:11" x14ac:dyDescent="0.25">
      <c r="A18" s="5">
        <v>17</v>
      </c>
      <c r="B18" s="3" t="s">
        <v>49</v>
      </c>
      <c r="C18" s="16" t="s">
        <v>13</v>
      </c>
      <c r="D18" s="6">
        <v>536.8246153846153</v>
      </c>
      <c r="E18" s="5" t="s">
        <v>37</v>
      </c>
      <c r="F18" s="7">
        <v>569.05899999999997</v>
      </c>
      <c r="G18" s="3" t="s">
        <v>84</v>
      </c>
      <c r="H18" s="4">
        <v>616.7963749999999</v>
      </c>
      <c r="I18" s="3">
        <v>780</v>
      </c>
      <c r="J18" s="8">
        <f>I18-D18</f>
        <v>243.1753846153847</v>
      </c>
    </row>
    <row r="19" spans="1:11" x14ac:dyDescent="0.25">
      <c r="A19" s="5">
        <v>18</v>
      </c>
      <c r="B19" s="3" t="s">
        <v>50</v>
      </c>
      <c r="C19" s="16" t="s">
        <v>77</v>
      </c>
      <c r="D19" s="6">
        <v>515.13129230769232</v>
      </c>
      <c r="E19" s="5" t="s">
        <v>79</v>
      </c>
      <c r="F19" s="7">
        <v>545.24900000000002</v>
      </c>
      <c r="G19" s="3" t="s">
        <v>84</v>
      </c>
      <c r="H19" s="4">
        <v>642.6875</v>
      </c>
      <c r="I19" s="3">
        <v>740</v>
      </c>
      <c r="J19" s="8">
        <f>I19-D19</f>
        <v>224.86870769230768</v>
      </c>
    </row>
    <row r="20" spans="1:11" x14ac:dyDescent="0.25">
      <c r="A20" s="5">
        <v>19</v>
      </c>
      <c r="B20" s="3" t="s">
        <v>51</v>
      </c>
      <c r="C20" s="16" t="s">
        <v>26</v>
      </c>
      <c r="D20" s="4">
        <v>286.44</v>
      </c>
      <c r="E20" s="5" t="s">
        <v>38</v>
      </c>
      <c r="F20" s="6">
        <v>283.339</v>
      </c>
      <c r="G20" s="3" t="s">
        <v>87</v>
      </c>
      <c r="H20" s="4">
        <v>345.03137500000003</v>
      </c>
      <c r="I20" s="3">
        <v>420</v>
      </c>
      <c r="J20" s="8">
        <f>I20-F20</f>
        <v>136.661</v>
      </c>
    </row>
    <row r="21" spans="1:11" x14ac:dyDescent="0.25">
      <c r="A21" s="5">
        <v>20</v>
      </c>
      <c r="B21" s="3" t="s">
        <v>52</v>
      </c>
      <c r="C21" s="16" t="s">
        <v>26</v>
      </c>
      <c r="D21" s="4">
        <v>286.44</v>
      </c>
      <c r="E21" s="5" t="s">
        <v>38</v>
      </c>
      <c r="F21" s="6">
        <v>283.339</v>
      </c>
      <c r="G21" s="3" t="s">
        <v>87</v>
      </c>
      <c r="H21" s="4">
        <v>345.03137500000003</v>
      </c>
      <c r="I21" s="3">
        <v>400</v>
      </c>
      <c r="J21" s="8">
        <f>I21-F21</f>
        <v>116.661</v>
      </c>
    </row>
    <row r="22" spans="1:11" x14ac:dyDescent="0.25">
      <c r="A22" s="5">
        <v>21</v>
      </c>
      <c r="B22" s="3" t="s">
        <v>53</v>
      </c>
      <c r="C22" s="16" t="s">
        <v>26</v>
      </c>
      <c r="D22" s="4">
        <v>286.44</v>
      </c>
      <c r="E22" s="5" t="s">
        <v>38</v>
      </c>
      <c r="F22" s="6">
        <v>283.339</v>
      </c>
      <c r="G22" s="3" t="s">
        <v>87</v>
      </c>
      <c r="H22" s="4">
        <v>345.03137500000003</v>
      </c>
      <c r="I22" s="3">
        <v>420</v>
      </c>
      <c r="J22" s="8">
        <f>I22-F22</f>
        <v>136.661</v>
      </c>
    </row>
    <row r="23" spans="1:11" x14ac:dyDescent="0.25">
      <c r="A23" s="5">
        <v>22</v>
      </c>
      <c r="B23" s="3" t="s">
        <v>54</v>
      </c>
      <c r="C23" s="16" t="s">
        <v>26</v>
      </c>
      <c r="D23" s="4">
        <v>286.44</v>
      </c>
      <c r="E23" s="5" t="s">
        <v>38</v>
      </c>
      <c r="F23" s="6">
        <v>283.339</v>
      </c>
      <c r="G23" s="3" t="s">
        <v>87</v>
      </c>
      <c r="H23" s="4">
        <v>345.03137500000003</v>
      </c>
      <c r="I23" s="3">
        <v>420</v>
      </c>
      <c r="J23" s="8">
        <f>I23-F23</f>
        <v>136.661</v>
      </c>
    </row>
    <row r="24" spans="1:11" x14ac:dyDescent="0.25">
      <c r="A24" s="5">
        <v>23</v>
      </c>
      <c r="B24" s="3" t="s">
        <v>55</v>
      </c>
      <c r="C24" s="16" t="s">
        <v>26</v>
      </c>
      <c r="D24" s="4">
        <v>286.44</v>
      </c>
      <c r="E24" s="5" t="s">
        <v>38</v>
      </c>
      <c r="F24" s="6">
        <v>283.339</v>
      </c>
      <c r="G24" s="3" t="s">
        <v>87</v>
      </c>
      <c r="H24" s="4">
        <v>345.03137500000003</v>
      </c>
      <c r="I24" s="3">
        <v>420</v>
      </c>
      <c r="J24" s="8">
        <f>I24-F24</f>
        <v>136.661</v>
      </c>
    </row>
    <row r="25" spans="1:11" x14ac:dyDescent="0.25">
      <c r="A25" s="5">
        <v>24</v>
      </c>
      <c r="B25" s="3" t="s">
        <v>56</v>
      </c>
      <c r="C25" s="16" t="s">
        <v>26</v>
      </c>
      <c r="D25" s="6">
        <v>330.50769230769231</v>
      </c>
      <c r="E25" s="5" t="s">
        <v>38</v>
      </c>
      <c r="F25" s="7">
        <v>330.95899999999995</v>
      </c>
      <c r="G25" s="3" t="s">
        <v>84</v>
      </c>
      <c r="H25" s="4">
        <v>454.25152499999996</v>
      </c>
      <c r="I25" s="3">
        <v>380</v>
      </c>
      <c r="J25" s="8">
        <f>I25-D25</f>
        <v>49.492307692307691</v>
      </c>
    </row>
    <row r="26" spans="1:11" x14ac:dyDescent="0.25">
      <c r="A26" s="5">
        <v>25</v>
      </c>
      <c r="B26" s="3" t="s">
        <v>57</v>
      </c>
      <c r="C26" s="16" t="s">
        <v>11</v>
      </c>
      <c r="D26" s="4">
        <v>697.0707692307692</v>
      </c>
      <c r="E26" s="5" t="s">
        <v>40</v>
      </c>
      <c r="F26" s="6">
        <v>676.20399999999995</v>
      </c>
      <c r="G26" s="3" t="s">
        <v>83</v>
      </c>
      <c r="H26" s="4">
        <v>863.00077499999998</v>
      </c>
      <c r="I26" s="3">
        <v>758</v>
      </c>
      <c r="J26" s="8">
        <f>I26-F26</f>
        <v>81.796000000000049</v>
      </c>
      <c r="K26" s="12" t="s">
        <v>82</v>
      </c>
    </row>
    <row r="27" spans="1:11" x14ac:dyDescent="0.25">
      <c r="A27" s="5">
        <v>26</v>
      </c>
      <c r="B27" s="3" t="s">
        <v>58</v>
      </c>
      <c r="C27" s="16" t="s">
        <v>11</v>
      </c>
      <c r="D27" s="6">
        <v>697.0707692307692</v>
      </c>
      <c r="E27" s="5" t="s">
        <v>36</v>
      </c>
      <c r="F27" s="7">
        <v>569.05899999999997</v>
      </c>
      <c r="G27" s="3" t="s">
        <v>83</v>
      </c>
      <c r="H27" s="4">
        <v>863.00077499999998</v>
      </c>
      <c r="I27" s="3">
        <v>760</v>
      </c>
      <c r="J27" s="8">
        <f>I27-F27</f>
        <v>190.94100000000003</v>
      </c>
    </row>
    <row r="28" spans="1:11" x14ac:dyDescent="0.25">
      <c r="A28" s="5">
        <v>27</v>
      </c>
      <c r="B28" s="3" t="s">
        <v>59</v>
      </c>
      <c r="C28" s="16" t="s">
        <v>11</v>
      </c>
      <c r="D28" s="6">
        <v>697.0707692307692</v>
      </c>
      <c r="E28" s="5" t="s">
        <v>37</v>
      </c>
      <c r="F28" s="7">
        <v>709.53800000000001</v>
      </c>
      <c r="G28" s="3" t="s">
        <v>83</v>
      </c>
      <c r="H28" s="4">
        <v>863.00077499999998</v>
      </c>
      <c r="I28" s="3">
        <v>800</v>
      </c>
      <c r="J28" s="8">
        <f>I28-D28</f>
        <v>102.9292307692308</v>
      </c>
    </row>
    <row r="29" spans="1:11" x14ac:dyDescent="0.25">
      <c r="A29" s="5">
        <v>28</v>
      </c>
      <c r="B29" s="3" t="s">
        <v>60</v>
      </c>
      <c r="C29" s="16" t="s">
        <v>18</v>
      </c>
      <c r="D29" s="6">
        <v>398.6123076923077</v>
      </c>
      <c r="E29" s="5" t="s">
        <v>38</v>
      </c>
      <c r="F29" s="7">
        <v>402.38900000000001</v>
      </c>
      <c r="G29" s="3" t="s">
        <v>84</v>
      </c>
      <c r="H29" s="4">
        <v>734.24292500000001</v>
      </c>
      <c r="I29" s="3">
        <v>790</v>
      </c>
      <c r="J29" s="8">
        <f>I29-D29</f>
        <v>391.3876923076923</v>
      </c>
    </row>
    <row r="30" spans="1:11" x14ac:dyDescent="0.25">
      <c r="A30" s="5">
        <v>29</v>
      </c>
      <c r="B30" s="3" t="s">
        <v>61</v>
      </c>
      <c r="C30" s="16" t="s">
        <v>7</v>
      </c>
      <c r="D30" s="6">
        <v>94.144615384615378</v>
      </c>
      <c r="E30" s="5" t="s">
        <v>37</v>
      </c>
      <c r="F30" s="7">
        <v>119.05000000000001</v>
      </c>
      <c r="G30" s="3" t="s">
        <v>84</v>
      </c>
      <c r="H30" s="4">
        <v>128.500775</v>
      </c>
      <c r="I30" s="3">
        <v>255</v>
      </c>
      <c r="J30" s="8">
        <f>I30-D30</f>
        <v>160.85538461538462</v>
      </c>
    </row>
    <row r="31" spans="1:11" x14ac:dyDescent="0.25">
      <c r="A31" s="5">
        <v>30</v>
      </c>
      <c r="B31" s="3" t="s">
        <v>62</v>
      </c>
      <c r="C31" s="16" t="s">
        <v>11</v>
      </c>
      <c r="D31" s="4">
        <v>576.88615384615389</v>
      </c>
      <c r="E31" s="5" t="s">
        <v>36</v>
      </c>
      <c r="F31" s="6">
        <v>450.00900000000001</v>
      </c>
      <c r="G31" s="3" t="s">
        <v>88</v>
      </c>
      <c r="H31" s="4">
        <v>734.31637499999988</v>
      </c>
      <c r="I31" s="3">
        <v>620</v>
      </c>
      <c r="J31" s="8">
        <f>I31-F31</f>
        <v>169.99099999999999</v>
      </c>
    </row>
    <row r="32" spans="1:11" x14ac:dyDescent="0.25">
      <c r="A32" s="5">
        <v>31</v>
      </c>
      <c r="B32" s="3" t="s">
        <v>63</v>
      </c>
      <c r="C32" s="16" t="s">
        <v>11</v>
      </c>
      <c r="D32" s="4">
        <v>576.88615384615389</v>
      </c>
      <c r="E32" s="5" t="s">
        <v>36</v>
      </c>
      <c r="F32" s="6">
        <v>450.00900000000001</v>
      </c>
      <c r="G32" s="3" t="s">
        <v>84</v>
      </c>
      <c r="H32" s="4">
        <v>616.7963749999999</v>
      </c>
      <c r="I32" s="3">
        <v>610</v>
      </c>
      <c r="J32" s="8">
        <f>I32-F32</f>
        <v>159.99099999999999</v>
      </c>
    </row>
    <row r="33" spans="1:11" x14ac:dyDescent="0.25">
      <c r="A33" s="5">
        <v>32</v>
      </c>
      <c r="B33" s="3" t="s">
        <v>64</v>
      </c>
      <c r="C33" s="16" t="s">
        <v>11</v>
      </c>
      <c r="D33" s="4">
        <v>576.88615384615389</v>
      </c>
      <c r="E33" s="5" t="s">
        <v>36</v>
      </c>
      <c r="F33" s="6">
        <v>450.00900000000001</v>
      </c>
      <c r="G33" s="3" t="s">
        <v>83</v>
      </c>
      <c r="H33" s="4">
        <v>587.56327499999998</v>
      </c>
      <c r="I33" s="3">
        <v>630</v>
      </c>
      <c r="J33" s="8">
        <f>I33-F33</f>
        <v>179.99099999999999</v>
      </c>
    </row>
    <row r="34" spans="1:11" x14ac:dyDescent="0.25">
      <c r="A34" s="5">
        <v>33</v>
      </c>
      <c r="B34" s="3" t="s">
        <v>65</v>
      </c>
      <c r="C34" s="16" t="s">
        <v>78</v>
      </c>
      <c r="D34" s="4">
        <v>528.79227692307688</v>
      </c>
      <c r="E34" s="5" t="s">
        <v>36</v>
      </c>
      <c r="F34" s="6">
        <v>503.70055000000002</v>
      </c>
      <c r="G34" s="3" t="s">
        <v>85</v>
      </c>
      <c r="H34" s="4">
        <v>532.475775</v>
      </c>
      <c r="I34" s="3">
        <v>520</v>
      </c>
      <c r="J34" s="8">
        <f>I34-F34</f>
        <v>16.299449999999979</v>
      </c>
    </row>
    <row r="35" spans="1:11" x14ac:dyDescent="0.25">
      <c r="A35" s="5">
        <v>34</v>
      </c>
      <c r="B35" s="3" t="s">
        <v>66</v>
      </c>
      <c r="C35" s="16" t="s">
        <v>78</v>
      </c>
      <c r="D35" s="6">
        <v>296.45538461538456</v>
      </c>
      <c r="E35" s="5" t="s">
        <v>79</v>
      </c>
      <c r="F35" s="7">
        <v>307.149</v>
      </c>
      <c r="G35" s="3" t="s">
        <v>85</v>
      </c>
      <c r="H35" s="4">
        <v>330.48827499999999</v>
      </c>
      <c r="I35" s="3">
        <v>380</v>
      </c>
      <c r="J35" s="8">
        <f>I35-D35</f>
        <v>83.54461538461544</v>
      </c>
    </row>
    <row r="36" spans="1:11" x14ac:dyDescent="0.25">
      <c r="A36" s="5">
        <v>35</v>
      </c>
      <c r="B36" s="3" t="s">
        <v>67</v>
      </c>
      <c r="C36" s="16" t="s">
        <v>78</v>
      </c>
      <c r="D36" s="6">
        <v>296.45538461538456</v>
      </c>
      <c r="E36" s="5" t="s">
        <v>79</v>
      </c>
      <c r="F36" s="7">
        <v>307.149</v>
      </c>
      <c r="G36" s="3" t="s">
        <v>83</v>
      </c>
      <c r="H36" s="4">
        <v>330.48827499999999</v>
      </c>
      <c r="I36" s="3">
        <v>390</v>
      </c>
      <c r="J36" s="8">
        <f>I36-D36</f>
        <v>93.54461538461544</v>
      </c>
    </row>
    <row r="37" spans="1:11" x14ac:dyDescent="0.25">
      <c r="A37" s="5">
        <v>36</v>
      </c>
      <c r="B37" s="3" t="s">
        <v>68</v>
      </c>
      <c r="C37" s="16" t="s">
        <v>78</v>
      </c>
      <c r="D37" s="6">
        <v>296.45538461538456</v>
      </c>
      <c r="E37" s="5" t="s">
        <v>79</v>
      </c>
      <c r="F37" s="7">
        <v>307.149</v>
      </c>
      <c r="G37" s="3" t="s">
        <v>83</v>
      </c>
      <c r="H37" s="4">
        <v>330.48827499999999</v>
      </c>
      <c r="I37" s="3">
        <v>370</v>
      </c>
      <c r="J37" s="8">
        <f>I37-D37</f>
        <v>73.54461538461544</v>
      </c>
      <c r="K37" s="12" t="s">
        <v>91</v>
      </c>
    </row>
    <row r="38" spans="1:11" x14ac:dyDescent="0.25">
      <c r="A38" s="5">
        <v>37</v>
      </c>
      <c r="B38" s="3" t="s">
        <v>69</v>
      </c>
      <c r="C38" s="16" t="s">
        <v>7</v>
      </c>
      <c r="D38" s="4">
        <v>1259.9353846153847</v>
      </c>
      <c r="E38" s="5" t="s">
        <v>80</v>
      </c>
      <c r="F38" s="7">
        <v>1369.075</v>
      </c>
      <c r="G38" s="3" t="s">
        <v>89</v>
      </c>
      <c r="H38" s="4">
        <v>1167.8182750000001</v>
      </c>
      <c r="I38" s="3">
        <v>1050</v>
      </c>
      <c r="J38" s="9">
        <f>I38-H38</f>
        <v>-117.81827500000009</v>
      </c>
    </row>
    <row r="39" spans="1:11" x14ac:dyDescent="0.25">
      <c r="A39" s="5">
        <v>38</v>
      </c>
      <c r="B39" s="3" t="s">
        <v>70</v>
      </c>
      <c r="C39" s="16" t="s">
        <v>15</v>
      </c>
      <c r="D39" s="4">
        <v>1251.9230769230769</v>
      </c>
      <c r="E39" s="5" t="s">
        <v>80</v>
      </c>
      <c r="F39" s="7">
        <v>1369.075</v>
      </c>
      <c r="G39" s="3" t="s">
        <v>89</v>
      </c>
      <c r="H39" s="4">
        <v>1064.9882749999999</v>
      </c>
      <c r="I39" s="3">
        <v>1050</v>
      </c>
      <c r="J39" s="9">
        <f>I39-H39</f>
        <v>-14.988274999999931</v>
      </c>
    </row>
    <row r="40" spans="1:11" x14ac:dyDescent="0.25">
      <c r="A40" s="5">
        <v>39</v>
      </c>
      <c r="B40" s="3" t="s">
        <v>71</v>
      </c>
      <c r="C40" s="16" t="s">
        <v>7</v>
      </c>
      <c r="D40" s="4">
        <v>1540.3661538461538</v>
      </c>
      <c r="E40" s="5" t="s">
        <v>81</v>
      </c>
      <c r="F40" s="7">
        <v>1616.6990000000001</v>
      </c>
      <c r="G40" s="3" t="s">
        <v>83</v>
      </c>
      <c r="H40" s="4">
        <v>1615.8632749999999</v>
      </c>
      <c r="I40" s="3">
        <v>1250</v>
      </c>
      <c r="J40" s="9">
        <f>I40-D40</f>
        <v>-290.36615384615379</v>
      </c>
    </row>
    <row r="41" spans="1:11" x14ac:dyDescent="0.25">
      <c r="A41" s="5">
        <v>40</v>
      </c>
      <c r="B41" s="3" t="s">
        <v>72</v>
      </c>
      <c r="C41" s="16" t="s">
        <v>7</v>
      </c>
      <c r="D41" s="4">
        <v>558.85846153846148</v>
      </c>
      <c r="E41" s="5" t="s">
        <v>81</v>
      </c>
      <c r="F41" s="7">
        <v>595.22619000000009</v>
      </c>
      <c r="G41" s="3" t="s">
        <v>83</v>
      </c>
      <c r="H41" s="6">
        <v>550.83827500000007</v>
      </c>
      <c r="I41" s="3">
        <v>775</v>
      </c>
      <c r="J41" s="8">
        <f>I41-H41</f>
        <v>224.16172499999993</v>
      </c>
    </row>
    <row r="42" spans="1:11" x14ac:dyDescent="0.25">
      <c r="A42" s="5">
        <v>41</v>
      </c>
      <c r="B42" s="3" t="s">
        <v>73</v>
      </c>
      <c r="C42" s="16" t="s">
        <v>15</v>
      </c>
      <c r="D42" s="4">
        <v>1466.2523076923078</v>
      </c>
      <c r="E42" s="5" t="s">
        <v>36</v>
      </c>
      <c r="F42" s="7">
        <v>1496.8394599999997</v>
      </c>
      <c r="G42" s="3" t="s">
        <v>84</v>
      </c>
      <c r="H42" s="4">
        <v>1457.9457749999999</v>
      </c>
      <c r="I42" s="3">
        <v>1300</v>
      </c>
      <c r="J42" s="9">
        <f>I42-H42</f>
        <v>-157.94577499999991</v>
      </c>
    </row>
    <row r="43" spans="1:11" x14ac:dyDescent="0.25">
      <c r="A43" s="5">
        <v>42</v>
      </c>
      <c r="B43" s="3" t="s">
        <v>74</v>
      </c>
      <c r="C43" s="16" t="s">
        <v>7</v>
      </c>
      <c r="D43" s="4">
        <v>949.45846153846151</v>
      </c>
      <c r="E43" s="5" t="s">
        <v>36</v>
      </c>
      <c r="F43" s="7">
        <v>942.75694999999996</v>
      </c>
      <c r="G43" s="3" t="s">
        <v>84</v>
      </c>
      <c r="H43" s="4">
        <v>716.100775</v>
      </c>
      <c r="I43" s="3">
        <v>400</v>
      </c>
      <c r="J43" s="9">
        <f>I43-H43</f>
        <v>-316.100775</v>
      </c>
    </row>
    <row r="44" spans="1:11" x14ac:dyDescent="0.25">
      <c r="A44" s="5">
        <v>43</v>
      </c>
      <c r="B44" s="3" t="s">
        <v>75</v>
      </c>
      <c r="C44" s="16" t="s">
        <v>15</v>
      </c>
      <c r="D44" s="4">
        <v>550.74599999999998</v>
      </c>
      <c r="E44" s="5" t="s">
        <v>36</v>
      </c>
      <c r="F44" s="7">
        <v>591.32135000000005</v>
      </c>
      <c r="G44" s="3" t="s">
        <v>85</v>
      </c>
      <c r="H44" s="4">
        <v>532.475775</v>
      </c>
      <c r="I44" s="3">
        <v>520</v>
      </c>
      <c r="J44" s="9">
        <f>I44-H44</f>
        <v>-12.475774999999999</v>
      </c>
    </row>
    <row r="45" spans="1:11" x14ac:dyDescent="0.25">
      <c r="A45" s="5">
        <v>44</v>
      </c>
      <c r="B45" s="3" t="s">
        <v>76</v>
      </c>
      <c r="C45" s="16" t="s">
        <v>18</v>
      </c>
      <c r="D45" s="6">
        <v>1520.3353846153846</v>
      </c>
      <c r="E45" s="5" t="s">
        <v>36</v>
      </c>
      <c r="F45" s="7">
        <v>1997.6590000000001</v>
      </c>
      <c r="G45" s="3" t="s">
        <v>86</v>
      </c>
      <c r="H45" s="4">
        <v>1836.2132750000001</v>
      </c>
      <c r="I45" s="3">
        <v>1650</v>
      </c>
      <c r="J45" s="8">
        <f>I45-D45</f>
        <v>129.66461538461544</v>
      </c>
    </row>
    <row r="46" spans="1:11" x14ac:dyDescent="0.25">
      <c r="A46" s="5">
        <v>45</v>
      </c>
      <c r="B46" s="3" t="s">
        <v>92</v>
      </c>
      <c r="C46" s="16"/>
      <c r="D46" s="16"/>
      <c r="E46" s="16" t="s">
        <v>44</v>
      </c>
      <c r="F46" s="4">
        <v>1633.8818181818183</v>
      </c>
      <c r="G46" s="3" t="s">
        <v>83</v>
      </c>
      <c r="H46" s="4">
        <v>1601.0263749999999</v>
      </c>
      <c r="I46" s="3">
        <v>1030</v>
      </c>
      <c r="J46" s="9">
        <f>I46-H46</f>
        <v>-571.02637499999992</v>
      </c>
    </row>
    <row r="47" spans="1:11" x14ac:dyDescent="0.25">
      <c r="A47" s="5">
        <v>46</v>
      </c>
      <c r="B47" s="3" t="s">
        <v>117</v>
      </c>
      <c r="C47" s="16" t="s">
        <v>11</v>
      </c>
      <c r="D47" s="18">
        <v>2589.7134104799998</v>
      </c>
      <c r="E47" s="16" t="s">
        <v>37</v>
      </c>
      <c r="F47" s="4">
        <v>2581.3980000000001</v>
      </c>
      <c r="G47" s="3" t="s">
        <v>114</v>
      </c>
      <c r="H47" s="4">
        <v>2570.7132750000001</v>
      </c>
      <c r="I47" s="3">
        <v>2520</v>
      </c>
      <c r="J47" s="9">
        <f>I47-H47</f>
        <v>-50.713275000000067</v>
      </c>
    </row>
  </sheetData>
  <autoFilter ref="A1:J47" xr:uid="{5C2385AC-AD75-44B3-B23A-43B1A5388AB6}"/>
  <conditionalFormatting sqref="B1">
    <cfRule type="duplicateValues" dxfId="18" priority="17"/>
  </conditionalFormatting>
  <conditionalFormatting sqref="B1:B1048576">
    <cfRule type="duplicateValues" dxfId="17" priority="1"/>
  </conditionalFormatting>
  <conditionalFormatting sqref="B2:B3">
    <cfRule type="duplicateValues" dxfId="16" priority="9"/>
  </conditionalFormatting>
  <conditionalFormatting sqref="B4">
    <cfRule type="duplicateValues" dxfId="15" priority="8"/>
  </conditionalFormatting>
  <conditionalFormatting sqref="B5:B6">
    <cfRule type="duplicateValues" dxfId="14" priority="33"/>
  </conditionalFormatting>
  <conditionalFormatting sqref="B7:B13">
    <cfRule type="duplicateValues" dxfId="13" priority="37"/>
  </conditionalFormatting>
  <conditionalFormatting sqref="B14:B16">
    <cfRule type="duplicateValues" dxfId="12" priority="5"/>
  </conditionalFormatting>
  <conditionalFormatting sqref="B17">
    <cfRule type="duplicateValues" dxfId="11" priority="4"/>
  </conditionalFormatting>
  <conditionalFormatting sqref="B18:B47">
    <cfRule type="duplicateValues" dxfId="10" priority="29"/>
  </conditionalFormatting>
  <conditionalFormatting sqref="B48:B1048576 B1:B17">
    <cfRule type="duplicateValues" dxfId="9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6F2B-B2F4-41A0-AE83-98C4EE91C0FD}">
  <dimension ref="A1:J20"/>
  <sheetViews>
    <sheetView topLeftCell="B10" workbookViewId="0">
      <selection activeCell="E24" sqref="E24"/>
    </sheetView>
  </sheetViews>
  <sheetFormatPr defaultRowHeight="15" x14ac:dyDescent="0.25"/>
  <cols>
    <col min="1" max="1" width="5.85546875" bestFit="1" customWidth="1"/>
    <col min="2" max="2" width="62.42578125" bestFit="1" customWidth="1"/>
    <col min="3" max="3" width="37" bestFit="1" customWidth="1"/>
    <col min="4" max="4" width="16.28515625" bestFit="1" customWidth="1"/>
    <col min="5" max="5" width="21.42578125" bestFit="1" customWidth="1"/>
    <col min="6" max="6" width="22.28515625" bestFit="1" customWidth="1"/>
    <col min="7" max="7" width="17.85546875" bestFit="1" customWidth="1"/>
    <col min="8" max="8" width="21.7109375" bestFit="1" customWidth="1"/>
    <col min="9" max="9" width="10.85546875" bestFit="1" customWidth="1"/>
    <col min="10" max="10" width="16.85546875" bestFit="1" customWidth="1"/>
  </cols>
  <sheetData>
    <row r="1" spans="1:10" x14ac:dyDescent="0.25">
      <c r="A1" s="13" t="s">
        <v>0</v>
      </c>
      <c r="B1" s="13" t="s">
        <v>1</v>
      </c>
      <c r="C1" s="2" t="s">
        <v>2</v>
      </c>
      <c r="D1" s="2" t="s">
        <v>93</v>
      </c>
      <c r="E1" s="2" t="s">
        <v>112</v>
      </c>
      <c r="F1" s="2" t="s">
        <v>113</v>
      </c>
      <c r="G1" s="2" t="s">
        <v>115</v>
      </c>
      <c r="H1" s="2" t="s">
        <v>116</v>
      </c>
      <c r="I1" s="13" t="s">
        <v>3</v>
      </c>
      <c r="J1" s="2" t="s">
        <v>48</v>
      </c>
    </row>
    <row r="2" spans="1:10" x14ac:dyDescent="0.25">
      <c r="A2" s="3">
        <v>1</v>
      </c>
      <c r="B2" s="3" t="s">
        <v>94</v>
      </c>
      <c r="C2" s="3" t="s">
        <v>15</v>
      </c>
      <c r="D2" s="4">
        <v>839.28923076923081</v>
      </c>
      <c r="E2" s="3" t="s">
        <v>41</v>
      </c>
      <c r="F2" s="6">
        <v>686.51854545454546</v>
      </c>
      <c r="G2" s="3" t="s">
        <v>114</v>
      </c>
      <c r="H2" s="4">
        <v>804.27749999999992</v>
      </c>
      <c r="I2" s="4">
        <v>720</v>
      </c>
      <c r="J2" s="14">
        <f t="shared" ref="J2:J9" si="0">I2-F2</f>
        <v>33.48145454545454</v>
      </c>
    </row>
    <row r="3" spans="1:10" x14ac:dyDescent="0.25">
      <c r="A3" s="3">
        <v>2</v>
      </c>
      <c r="B3" s="3" t="s">
        <v>95</v>
      </c>
      <c r="C3" s="3" t="s">
        <v>96</v>
      </c>
      <c r="D3" s="4">
        <v>1650.5353846153846</v>
      </c>
      <c r="E3" s="3" t="s">
        <v>110</v>
      </c>
      <c r="F3" s="4">
        <v>1286.0467272727274</v>
      </c>
      <c r="G3" s="3" t="s">
        <v>87</v>
      </c>
      <c r="H3" s="4">
        <v>1685.6775</v>
      </c>
      <c r="I3" s="4">
        <v>1200</v>
      </c>
      <c r="J3" s="15">
        <f t="shared" si="0"/>
        <v>-86.046727272727367</v>
      </c>
    </row>
    <row r="4" spans="1:10" x14ac:dyDescent="0.25">
      <c r="A4" s="3">
        <v>3</v>
      </c>
      <c r="B4" s="3" t="s">
        <v>97</v>
      </c>
      <c r="C4" s="3" t="s">
        <v>96</v>
      </c>
      <c r="D4" s="4">
        <v>2676.1107692307692</v>
      </c>
      <c r="E4" s="3" t="s">
        <v>42</v>
      </c>
      <c r="F4" s="4">
        <v>2409.8681818181817</v>
      </c>
      <c r="G4" s="3" t="s">
        <v>114</v>
      </c>
      <c r="H4" s="4">
        <v>2567.0774999999999</v>
      </c>
      <c r="I4" s="4">
        <v>2150</v>
      </c>
      <c r="J4" s="15">
        <f t="shared" si="0"/>
        <v>-259.86818181818171</v>
      </c>
    </row>
    <row r="5" spans="1:10" x14ac:dyDescent="0.25">
      <c r="A5" s="3">
        <v>4</v>
      </c>
      <c r="B5" s="3" t="s">
        <v>98</v>
      </c>
      <c r="C5" s="3" t="s">
        <v>15</v>
      </c>
      <c r="D5" s="4">
        <v>1368.1015384615384</v>
      </c>
      <c r="E5" s="3" t="s">
        <v>110</v>
      </c>
      <c r="F5" s="4">
        <v>945.13854545454546</v>
      </c>
      <c r="G5" s="3" t="s">
        <v>84</v>
      </c>
      <c r="H5" s="4">
        <v>1502.0525</v>
      </c>
      <c r="I5" s="4">
        <v>800</v>
      </c>
      <c r="J5" s="15">
        <f t="shared" si="0"/>
        <v>-145.13854545454546</v>
      </c>
    </row>
    <row r="6" spans="1:10" x14ac:dyDescent="0.25">
      <c r="A6" s="3">
        <v>5</v>
      </c>
      <c r="B6" s="3" t="s">
        <v>99</v>
      </c>
      <c r="C6" s="3" t="s">
        <v>7</v>
      </c>
      <c r="D6" s="4">
        <v>1600.4584615384615</v>
      </c>
      <c r="E6" s="3" t="s">
        <v>41</v>
      </c>
      <c r="F6" s="6">
        <v>1326.0152727272728</v>
      </c>
      <c r="G6" s="3" t="s">
        <v>84</v>
      </c>
      <c r="H6" s="4">
        <v>1722.4024999999999</v>
      </c>
      <c r="I6" s="4">
        <v>1825</v>
      </c>
      <c r="J6" s="14">
        <f t="shared" si="0"/>
        <v>498.98472727272724</v>
      </c>
    </row>
    <row r="7" spans="1:10" x14ac:dyDescent="0.25">
      <c r="A7" s="3">
        <v>6</v>
      </c>
      <c r="B7" s="3" t="s">
        <v>100</v>
      </c>
      <c r="C7" s="3" t="s">
        <v>101</v>
      </c>
      <c r="D7" s="4">
        <v>7711.8461538461543</v>
      </c>
      <c r="E7" s="3" t="s">
        <v>41</v>
      </c>
      <c r="F7" s="4">
        <v>7304.8394545454539</v>
      </c>
      <c r="G7" s="3" t="s">
        <v>83</v>
      </c>
      <c r="H7" s="4">
        <v>8810.3274999999994</v>
      </c>
      <c r="I7" s="4">
        <v>6800</v>
      </c>
      <c r="J7" s="15">
        <f t="shared" si="0"/>
        <v>-504.83945454545392</v>
      </c>
    </row>
    <row r="8" spans="1:10" x14ac:dyDescent="0.25">
      <c r="A8" s="3">
        <v>7</v>
      </c>
      <c r="B8" s="3" t="s">
        <v>102</v>
      </c>
      <c r="C8" s="3" t="s">
        <v>103</v>
      </c>
      <c r="D8" s="4">
        <v>3293.0584615384614</v>
      </c>
      <c r="E8" s="3" t="s">
        <v>41</v>
      </c>
      <c r="F8" s="6">
        <v>3150.4618181818178</v>
      </c>
      <c r="G8" s="3" t="s">
        <v>83</v>
      </c>
      <c r="H8" s="4">
        <v>3668.8274999999999</v>
      </c>
      <c r="I8" s="4">
        <v>3200</v>
      </c>
      <c r="J8" s="14">
        <f t="shared" si="0"/>
        <v>49.538181818182238</v>
      </c>
    </row>
    <row r="9" spans="1:10" x14ac:dyDescent="0.25">
      <c r="A9" s="3">
        <v>8</v>
      </c>
      <c r="B9" s="3" t="s">
        <v>104</v>
      </c>
      <c r="C9" s="3" t="s">
        <v>11</v>
      </c>
      <c r="D9" s="4">
        <v>4456.8461538461543</v>
      </c>
      <c r="E9" s="3" t="s">
        <v>110</v>
      </c>
      <c r="F9" s="4">
        <v>3792.3096363636359</v>
      </c>
      <c r="G9" s="3" t="s">
        <v>87</v>
      </c>
      <c r="H9" s="4">
        <v>4770.5774999999994</v>
      </c>
      <c r="I9" s="4">
        <v>3420</v>
      </c>
      <c r="J9" s="15">
        <f t="shared" si="0"/>
        <v>-372.30963636363595</v>
      </c>
    </row>
    <row r="10" spans="1:10" x14ac:dyDescent="0.25">
      <c r="A10" s="3">
        <v>9</v>
      </c>
      <c r="B10" s="3" t="s">
        <v>105</v>
      </c>
      <c r="C10" s="3" t="s">
        <v>106</v>
      </c>
      <c r="D10" s="4">
        <v>1796.76</v>
      </c>
      <c r="E10" s="3" t="s">
        <v>111</v>
      </c>
      <c r="F10" s="4">
        <v>1760.9670909090908</v>
      </c>
      <c r="G10" s="3" t="s">
        <v>114</v>
      </c>
      <c r="H10" s="4">
        <v>1832.5774999999999</v>
      </c>
      <c r="I10" s="4">
        <v>1410</v>
      </c>
      <c r="J10" s="15">
        <f>I10-F10</f>
        <v>-350.96709090909076</v>
      </c>
    </row>
    <row r="11" spans="1:10" x14ac:dyDescent="0.25">
      <c r="A11" s="3">
        <v>10</v>
      </c>
      <c r="B11" s="3" t="s">
        <v>107</v>
      </c>
      <c r="C11" s="3" t="s">
        <v>106</v>
      </c>
      <c r="D11" s="4">
        <v>2239.44</v>
      </c>
      <c r="E11" s="3" t="s">
        <v>41</v>
      </c>
      <c r="F11" s="6">
        <v>1923.1923636363636</v>
      </c>
      <c r="G11" s="3" t="s">
        <v>114</v>
      </c>
      <c r="H11" s="4">
        <v>2163.1025</v>
      </c>
      <c r="I11" s="4">
        <v>1950</v>
      </c>
      <c r="J11" s="14">
        <f>I11-F11</f>
        <v>26.807636363636448</v>
      </c>
    </row>
    <row r="12" spans="1:10" x14ac:dyDescent="0.25">
      <c r="A12" s="3">
        <v>11</v>
      </c>
      <c r="B12" s="3" t="s">
        <v>108</v>
      </c>
      <c r="C12" s="3" t="s">
        <v>13</v>
      </c>
      <c r="D12" s="4">
        <v>1368.1015384615384</v>
      </c>
      <c r="E12" s="3" t="s">
        <v>41</v>
      </c>
      <c r="F12" s="4">
        <v>1156.7367272727272</v>
      </c>
      <c r="G12" s="3" t="s">
        <v>114</v>
      </c>
      <c r="H12" s="4">
        <v>1024.6275000000001</v>
      </c>
      <c r="I12" s="4">
        <v>950</v>
      </c>
      <c r="J12" s="15">
        <f>I12-H12</f>
        <v>-74.627500000000055</v>
      </c>
    </row>
    <row r="13" spans="1:10" x14ac:dyDescent="0.25">
      <c r="A13" s="3">
        <v>12</v>
      </c>
      <c r="B13" s="3" t="s">
        <v>109</v>
      </c>
      <c r="C13" s="3" t="s">
        <v>18</v>
      </c>
      <c r="D13" s="4">
        <v>3803.8430769230768</v>
      </c>
      <c r="E13" s="3" t="s">
        <v>41</v>
      </c>
      <c r="F13" s="4">
        <v>3597.1690909090908</v>
      </c>
      <c r="G13" s="3" t="s">
        <v>114</v>
      </c>
      <c r="H13" s="4">
        <v>3852.4524999999999</v>
      </c>
      <c r="I13" s="4">
        <v>2875</v>
      </c>
      <c r="J13" s="15">
        <f>I13-F13</f>
        <v>-722.16909090909076</v>
      </c>
    </row>
    <row r="14" spans="1:10" x14ac:dyDescent="0.25">
      <c r="A14" s="3">
        <v>13</v>
      </c>
      <c r="B14" s="5" t="s">
        <v>23</v>
      </c>
      <c r="C14" s="17" t="s">
        <v>22</v>
      </c>
      <c r="D14" s="7">
        <v>3038.6676923076921</v>
      </c>
      <c r="E14" s="5" t="s">
        <v>37</v>
      </c>
      <c r="F14" s="7">
        <v>3353.4207272727272</v>
      </c>
      <c r="G14" s="3" t="s">
        <v>84</v>
      </c>
      <c r="H14" s="7">
        <v>2971.0524999999998</v>
      </c>
      <c r="I14" s="5">
        <v>2200</v>
      </c>
      <c r="J14" s="15">
        <f>I14-H14</f>
        <v>-771.05249999999978</v>
      </c>
    </row>
    <row r="15" spans="1:10" x14ac:dyDescent="0.25">
      <c r="A15" s="3">
        <v>14</v>
      </c>
      <c r="B15" s="5" t="s">
        <v>24</v>
      </c>
      <c r="C15" s="17" t="s">
        <v>11</v>
      </c>
      <c r="D15" s="7">
        <v>5913.083076923077</v>
      </c>
      <c r="E15" s="5" t="s">
        <v>37</v>
      </c>
      <c r="F15" s="7">
        <v>5373.1490909090908</v>
      </c>
      <c r="G15" s="3" t="s">
        <v>83</v>
      </c>
      <c r="H15" s="4">
        <v>6720.6382750000002</v>
      </c>
      <c r="I15" s="5">
        <v>4800</v>
      </c>
      <c r="J15" s="15">
        <f>I15-F15</f>
        <v>-573.14909090909077</v>
      </c>
    </row>
    <row r="16" spans="1:10" x14ac:dyDescent="0.25">
      <c r="A16" s="3">
        <v>15</v>
      </c>
      <c r="B16" s="5" t="s">
        <v>25</v>
      </c>
      <c r="C16" s="17" t="s">
        <v>26</v>
      </c>
      <c r="D16" s="7">
        <v>1979.04</v>
      </c>
      <c r="E16" s="5" t="s">
        <v>37</v>
      </c>
      <c r="F16" s="7">
        <v>1842.2225454545453</v>
      </c>
      <c r="G16" s="3" t="s">
        <v>84</v>
      </c>
      <c r="H16" s="6">
        <v>1744.4007750000001</v>
      </c>
      <c r="I16" s="5">
        <v>1800</v>
      </c>
      <c r="J16" s="14">
        <f>I16-H16</f>
        <v>55.599224999999933</v>
      </c>
    </row>
    <row r="17" spans="1:10" x14ac:dyDescent="0.25">
      <c r="A17" s="3">
        <v>16</v>
      </c>
      <c r="B17" s="5" t="s">
        <v>27</v>
      </c>
      <c r="C17" s="17" t="s">
        <v>11</v>
      </c>
      <c r="D17" s="7">
        <v>3000.6092307692306</v>
      </c>
      <c r="E17" s="5" t="s">
        <v>41</v>
      </c>
      <c r="F17" s="7">
        <v>3211.895818181818</v>
      </c>
      <c r="G17" s="3" t="s">
        <v>84</v>
      </c>
      <c r="H17" s="4">
        <v>3619.2120249999998</v>
      </c>
      <c r="I17" s="5">
        <v>2850</v>
      </c>
      <c r="J17" s="15">
        <f>I17-D17</f>
        <v>-150.60923076923063</v>
      </c>
    </row>
    <row r="18" spans="1:10" x14ac:dyDescent="0.25">
      <c r="A18" s="3">
        <v>17</v>
      </c>
      <c r="B18" s="5" t="s">
        <v>28</v>
      </c>
      <c r="C18" s="17" t="s">
        <v>7</v>
      </c>
      <c r="D18" s="7">
        <v>2397.6830769230769</v>
      </c>
      <c r="E18" s="5" t="s">
        <v>41</v>
      </c>
      <c r="F18" s="7">
        <v>3646.065454545454</v>
      </c>
      <c r="G18" s="3" t="s">
        <v>84</v>
      </c>
      <c r="H18" s="6">
        <v>1465.3274999999999</v>
      </c>
      <c r="I18" s="5">
        <v>1555</v>
      </c>
      <c r="J18" s="14">
        <f>I18-H18</f>
        <v>89.672500000000127</v>
      </c>
    </row>
    <row r="19" spans="1:10" x14ac:dyDescent="0.25">
      <c r="A19" s="3">
        <v>18</v>
      </c>
      <c r="B19" s="5" t="s">
        <v>29</v>
      </c>
      <c r="C19" s="16" t="s">
        <v>11</v>
      </c>
      <c r="D19" s="4">
        <v>3084.7384615384613</v>
      </c>
      <c r="E19" s="3" t="s">
        <v>36</v>
      </c>
      <c r="F19" s="7">
        <v>2963.5315963636363</v>
      </c>
      <c r="G19" s="3" t="s">
        <v>83</v>
      </c>
      <c r="H19" s="6">
        <v>2791.063275</v>
      </c>
      <c r="I19" s="5">
        <v>3100</v>
      </c>
      <c r="J19" s="14">
        <f>I19-H19</f>
        <v>308.93672500000002</v>
      </c>
    </row>
    <row r="20" spans="1:10" x14ac:dyDescent="0.25">
      <c r="A20" s="3">
        <v>19</v>
      </c>
      <c r="B20" s="5" t="s">
        <v>32</v>
      </c>
      <c r="C20" s="17" t="s">
        <v>15</v>
      </c>
      <c r="D20" s="7">
        <v>5406.3046153846153</v>
      </c>
      <c r="E20" s="5" t="s">
        <v>37</v>
      </c>
      <c r="F20" s="7">
        <v>4831.0367272727262</v>
      </c>
      <c r="G20" s="3" t="s">
        <v>84</v>
      </c>
      <c r="H20" s="4">
        <v>5306.7257749999999</v>
      </c>
      <c r="I20" s="5">
        <v>4500</v>
      </c>
      <c r="J20" s="15">
        <f>I20-F20</f>
        <v>-331.03672727272624</v>
      </c>
    </row>
  </sheetData>
  <conditionalFormatting sqref="B14:B15">
    <cfRule type="duplicateValues" dxfId="8" priority="7"/>
    <cfRule type="duplicateValues" dxfId="7" priority="8"/>
    <cfRule type="duplicateValues" dxfId="6" priority="9"/>
  </conditionalFormatting>
  <conditionalFormatting sqref="B16:B19">
    <cfRule type="duplicateValues" dxfId="5" priority="4"/>
    <cfRule type="duplicateValues" dxfId="4" priority="5"/>
    <cfRule type="duplicateValues" dxfId="3" priority="6"/>
  </conditionalFormatting>
  <conditionalFormatting sqref="B2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</vt:lpstr>
      <vt:lpstr>Lens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2026-06-02T15:06:57Z</dcterms:created>
  <dcterms:modified xsi:type="dcterms:W3CDTF">2026-06-30T17:38:07Z</dcterms:modified>
</cp:coreProperties>
</file>