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4d47be472dfe3/Desktop/Listing All Details/08-06-2026 Final Prices/"/>
    </mc:Choice>
  </mc:AlternateContent>
  <xr:revisionPtr revIDLastSave="637" documentId="8_{D544C993-CDBC-4287-AA51-A5AC5A500188}" xr6:coauthVersionLast="47" xr6:coauthVersionMax="47" xr10:uidLastSave="{9D08D0EE-7404-4F5A-B84D-7D1E2FB8CF05}"/>
  <bookViews>
    <workbookView xWindow="20370" yWindow="-120" windowWidth="29040" windowHeight="17520" xr2:uid="{DB883CA6-B7A9-4BFF-B4EC-090C3A684FC3}"/>
  </bookViews>
  <sheets>
    <sheet name="All" sheetId="1" r:id="rId1"/>
    <sheet name="Speaker JBL" sheetId="8" r:id="rId2"/>
    <sheet name="DJI" sheetId="2" r:id="rId3"/>
    <sheet name="Minelab" sheetId="5" r:id="rId4"/>
    <sheet name="Meta Glasses" sheetId="6" r:id="rId5"/>
    <sheet name="Trimmer" sheetId="9" r:id="rId6"/>
    <sheet name="Instax" sheetId="4" r:id="rId7"/>
    <sheet name="Canon" sheetId="3" r:id="rId8"/>
    <sheet name="Gamming" sheetId="7" r:id="rId9"/>
  </sheets>
  <definedNames>
    <definedName name="_xlnm._FilterDatabase" localSheetId="8" hidden="1">Gamming!$A$1:$L$33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7" l="1"/>
  <c r="K21" i="7"/>
  <c r="K29" i="7"/>
  <c r="K19" i="7"/>
  <c r="K28" i="7"/>
  <c r="K30" i="7"/>
  <c r="K32" i="7"/>
  <c r="K22" i="7"/>
  <c r="K16" i="7"/>
  <c r="K31" i="7"/>
  <c r="K7" i="7"/>
  <c r="K14" i="7"/>
  <c r="K20" i="7"/>
  <c r="K4" i="7"/>
  <c r="K12" i="7"/>
  <c r="K6" i="7"/>
  <c r="K27" i="7"/>
  <c r="K26" i="7"/>
  <c r="K13" i="7"/>
  <c r="K33" i="7"/>
  <c r="K18" i="7"/>
  <c r="K2" i="7"/>
  <c r="K15" i="7"/>
  <c r="K3" i="7"/>
  <c r="K5" i="7"/>
  <c r="K10" i="7"/>
  <c r="K17" i="7"/>
  <c r="K11" i="7"/>
  <c r="K8" i="7"/>
  <c r="K25" i="7"/>
  <c r="K24" i="7"/>
  <c r="K23" i="7"/>
  <c r="K9" i="3"/>
  <c r="K8" i="3"/>
  <c r="K5" i="3"/>
  <c r="K6" i="3"/>
  <c r="K4" i="3"/>
  <c r="K2" i="3"/>
  <c r="K7" i="3"/>
  <c r="K3" i="3"/>
  <c r="K13" i="4"/>
  <c r="K4" i="4"/>
  <c r="K6" i="4"/>
  <c r="K12" i="4"/>
  <c r="K7" i="4"/>
  <c r="K8" i="4"/>
  <c r="K9" i="4"/>
  <c r="K22" i="4"/>
  <c r="K15" i="4"/>
  <c r="K16" i="4"/>
  <c r="K14" i="4"/>
  <c r="K26" i="4"/>
  <c r="K27" i="4"/>
  <c r="K23" i="4"/>
  <c r="K10" i="4"/>
  <c r="K11" i="4"/>
  <c r="K20" i="4"/>
  <c r="K24" i="4"/>
  <c r="K21" i="4"/>
  <c r="K3" i="4"/>
  <c r="K2" i="4"/>
  <c r="K18" i="4"/>
  <c r="K17" i="4"/>
  <c r="K19" i="4"/>
  <c r="K25" i="4"/>
  <c r="K5" i="4"/>
  <c r="K2" i="9"/>
  <c r="K3" i="9"/>
  <c r="K8" i="6"/>
  <c r="K32" i="6"/>
  <c r="K33" i="6"/>
  <c r="K2" i="6"/>
  <c r="K29" i="6"/>
  <c r="K30" i="6"/>
  <c r="K12" i="6"/>
  <c r="K13" i="6"/>
  <c r="K10" i="6"/>
  <c r="K11" i="6"/>
  <c r="K9" i="6"/>
  <c r="K21" i="6"/>
  <c r="K22" i="6"/>
  <c r="K18" i="6"/>
  <c r="K25" i="6"/>
  <c r="K15" i="6"/>
  <c r="K16" i="6"/>
  <c r="K23" i="6"/>
  <c r="K19" i="6"/>
  <c r="K24" i="6"/>
  <c r="K20" i="6"/>
  <c r="K26" i="6"/>
  <c r="K31" i="6"/>
  <c r="K27" i="6"/>
  <c r="K28" i="6"/>
  <c r="K3" i="6"/>
  <c r="K7" i="6"/>
  <c r="K5" i="6"/>
  <c r="K14" i="6"/>
  <c r="K6" i="6"/>
  <c r="K4" i="6"/>
  <c r="K17" i="6"/>
  <c r="K4" i="5"/>
  <c r="K5" i="5"/>
  <c r="K3" i="5"/>
  <c r="K2" i="5"/>
  <c r="K6" i="5"/>
  <c r="K12" i="2"/>
  <c r="K15" i="2"/>
  <c r="K21" i="2"/>
  <c r="K3" i="2"/>
  <c r="K11" i="2"/>
  <c r="K6" i="2"/>
  <c r="K2" i="2"/>
  <c r="K5" i="2"/>
  <c r="K14" i="2"/>
  <c r="K17" i="2"/>
  <c r="K20" i="2"/>
  <c r="K4" i="2"/>
  <c r="K19" i="2"/>
  <c r="K18" i="2"/>
  <c r="K8" i="2"/>
  <c r="K16" i="2"/>
  <c r="K9" i="2"/>
  <c r="K10" i="2"/>
  <c r="K7" i="2"/>
  <c r="K13" i="2"/>
  <c r="K7" i="8"/>
  <c r="K3" i="8"/>
  <c r="K4" i="8"/>
  <c r="K19" i="8"/>
  <c r="K24" i="8"/>
  <c r="K21" i="8"/>
  <c r="K30" i="8"/>
  <c r="K22" i="8"/>
  <c r="K25" i="8"/>
  <c r="K23" i="8"/>
  <c r="K39" i="8"/>
  <c r="K10" i="8"/>
  <c r="K6" i="8"/>
  <c r="K2" i="8"/>
  <c r="K27" i="8"/>
  <c r="K32" i="8"/>
  <c r="K28" i="8"/>
  <c r="K33" i="8"/>
  <c r="K34" i="8"/>
  <c r="K31" i="8"/>
  <c r="K8" i="8"/>
  <c r="K9" i="8"/>
  <c r="K29" i="8"/>
  <c r="K11" i="8"/>
  <c r="K12" i="8"/>
  <c r="K13" i="8"/>
  <c r="K14" i="8"/>
  <c r="K15" i="8"/>
  <c r="K16" i="8"/>
  <c r="K17" i="8"/>
  <c r="K18" i="8"/>
  <c r="K38" i="8"/>
  <c r="K35" i="8"/>
  <c r="K40" i="8"/>
  <c r="K41" i="8"/>
  <c r="K5" i="8"/>
  <c r="K36" i="8"/>
  <c r="K37" i="8"/>
  <c r="K20" i="8"/>
  <c r="K26" i="8"/>
  <c r="H39" i="1"/>
  <c r="H134" i="1"/>
  <c r="J2" i="9"/>
  <c r="J3" i="9"/>
  <c r="H34" i="1"/>
  <c r="J4" i="6"/>
  <c r="H71" i="1"/>
  <c r="H59" i="1"/>
  <c r="H128" i="1"/>
  <c r="H102" i="1"/>
  <c r="H69" i="1"/>
  <c r="H50" i="1"/>
  <c r="H10" i="1"/>
  <c r="H104" i="1"/>
  <c r="H109" i="1"/>
  <c r="H58" i="1"/>
  <c r="H148" i="1"/>
  <c r="H60" i="1"/>
  <c r="H110" i="1"/>
  <c r="H142" i="1"/>
  <c r="H92" i="1"/>
  <c r="H46" i="1"/>
  <c r="H76" i="1"/>
  <c r="H53" i="1"/>
  <c r="H131" i="1"/>
  <c r="H129" i="1"/>
  <c r="H81" i="1"/>
  <c r="H166" i="1"/>
  <c r="H98" i="1"/>
  <c r="H43" i="1"/>
  <c r="H126" i="1"/>
  <c r="H114" i="1"/>
  <c r="H99" i="1"/>
  <c r="H158" i="1"/>
  <c r="H147" i="1"/>
  <c r="H135" i="1"/>
  <c r="H42" i="1"/>
  <c r="H157" i="1"/>
  <c r="H17" i="1"/>
  <c r="H143" i="1"/>
  <c r="H144" i="1"/>
  <c r="H75" i="1"/>
  <c r="H89" i="1"/>
  <c r="H160" i="1"/>
  <c r="H77" i="1"/>
  <c r="H111" i="1"/>
  <c r="H78" i="1"/>
  <c r="H85" i="1"/>
  <c r="H79" i="1"/>
  <c r="H84" i="1"/>
  <c r="H74" i="1"/>
  <c r="H137" i="1"/>
  <c r="H95" i="1"/>
  <c r="H138" i="1"/>
  <c r="H139" i="1"/>
  <c r="H133" i="1"/>
  <c r="H31" i="1"/>
  <c r="H32" i="1"/>
  <c r="H103" i="1"/>
  <c r="H61" i="1"/>
  <c r="H62" i="1"/>
  <c r="H63" i="1"/>
  <c r="H64" i="1"/>
  <c r="H65" i="1"/>
  <c r="H66" i="1"/>
  <c r="H67" i="1"/>
  <c r="H68" i="1"/>
  <c r="H149" i="1"/>
  <c r="H141" i="1"/>
  <c r="H159" i="1"/>
  <c r="H94" i="1"/>
  <c r="H8" i="1"/>
  <c r="H12" i="1"/>
  <c r="H22" i="1"/>
  <c r="H11" i="1"/>
  <c r="H21" i="1"/>
  <c r="H105" i="1"/>
  <c r="H101" i="1"/>
  <c r="G105" i="1"/>
  <c r="G101" i="1"/>
  <c r="H16" i="1"/>
  <c r="H151" i="1"/>
  <c r="H33" i="1"/>
  <c r="H54" i="1"/>
  <c r="H38" i="1"/>
  <c r="H91" i="1"/>
  <c r="H47" i="1"/>
  <c r="H150" i="1"/>
  <c r="J6" i="6"/>
  <c r="J14" i="6"/>
  <c r="J5" i="6"/>
  <c r="J7" i="6"/>
  <c r="J3" i="6"/>
  <c r="J2" i="6"/>
  <c r="J28" i="6"/>
  <c r="J27" i="6"/>
  <c r="H164" i="1"/>
  <c r="H163" i="1"/>
  <c r="H57" i="1"/>
  <c r="H112" i="1"/>
  <c r="H20" i="1"/>
  <c r="H93" i="1"/>
  <c r="H41" i="1"/>
  <c r="H23" i="1"/>
  <c r="H9" i="1"/>
  <c r="H3" i="1"/>
  <c r="H18" i="1"/>
  <c r="H5" i="1"/>
  <c r="H72" i="1"/>
  <c r="H165" i="1"/>
  <c r="H55" i="1"/>
  <c r="H116" i="1"/>
  <c r="H4" i="1"/>
  <c r="H13" i="1"/>
  <c r="H154" i="1"/>
  <c r="H155" i="1"/>
  <c r="H88" i="1"/>
  <c r="H90" i="1"/>
  <c r="H86" i="1"/>
  <c r="H87" i="1"/>
  <c r="H70" i="1"/>
  <c r="H123" i="1"/>
  <c r="H124" i="1"/>
  <c r="H118" i="1"/>
  <c r="H132" i="1"/>
  <c r="H107" i="1"/>
  <c r="H108" i="1"/>
  <c r="H127" i="1"/>
  <c r="H121" i="1"/>
  <c r="H130" i="1"/>
  <c r="H122" i="1"/>
  <c r="H140" i="1"/>
  <c r="H161" i="1"/>
  <c r="H15" i="1"/>
  <c r="H119" i="1"/>
  <c r="H83" i="1"/>
  <c r="H156" i="1"/>
  <c r="H7" i="1"/>
  <c r="H153" i="1"/>
  <c r="H146" i="1"/>
  <c r="H52" i="1"/>
  <c r="H136" i="1"/>
  <c r="H80" i="1"/>
  <c r="H115" i="1"/>
  <c r="H125" i="1"/>
  <c r="H36" i="1"/>
  <c r="H51" i="1"/>
  <c r="H73" i="1"/>
  <c r="H56" i="1"/>
  <c r="H44" i="1"/>
  <c r="H37" i="1"/>
  <c r="H152" i="1"/>
  <c r="H40" i="1"/>
  <c r="H100" i="1"/>
  <c r="H14" i="1"/>
  <c r="H6" i="1"/>
  <c r="H120" i="1"/>
  <c r="H113" i="1"/>
  <c r="H96" i="1"/>
  <c r="H35" i="1"/>
  <c r="H26" i="1"/>
  <c r="H27" i="1"/>
  <c r="H28" i="1"/>
  <c r="H25" i="1"/>
  <c r="H117" i="1"/>
  <c r="H29" i="1"/>
  <c r="H30" i="1"/>
  <c r="H162" i="1"/>
  <c r="H19" i="1"/>
  <c r="H145" i="1"/>
  <c r="H48" i="1"/>
  <c r="H97" i="1"/>
  <c r="H82" i="1"/>
  <c r="H2" i="1"/>
  <c r="H24" i="1"/>
  <c r="H49" i="1"/>
  <c r="H106" i="1"/>
  <c r="H45" i="1"/>
  <c r="J10" i="2"/>
  <c r="J2" i="5"/>
  <c r="J3" i="5"/>
  <c r="J4" i="5"/>
  <c r="J5" i="5"/>
  <c r="J6" i="5"/>
  <c r="G3" i="1" l="1"/>
  <c r="G9" i="1"/>
  <c r="G20" i="1"/>
  <c r="G72" i="1"/>
  <c r="G23" i="1"/>
  <c r="G41" i="1"/>
</calcChain>
</file>

<file path=xl/sharedStrings.xml><?xml version="1.0" encoding="utf-8"?>
<sst xmlns="http://schemas.openxmlformats.org/spreadsheetml/2006/main" count="933" uniqueCount="261">
  <si>
    <t>Sr No</t>
  </si>
  <si>
    <t>item name</t>
  </si>
  <si>
    <t>Website</t>
  </si>
  <si>
    <t>After GST To AED (NZD)</t>
  </si>
  <si>
    <t>Affter GST To AED (AUD)</t>
  </si>
  <si>
    <t>AED (USD)</t>
  </si>
  <si>
    <t>Sale Prices</t>
  </si>
  <si>
    <t>Different Amount</t>
  </si>
  <si>
    <t>CANON G7X MARK III</t>
  </si>
  <si>
    <t>rubbermonkey.co.nz, canon.co.nz, photowarehouse.co.nz</t>
  </si>
  <si>
    <t>digidirect.com.au</t>
  </si>
  <si>
    <t>bestbuy.com</t>
  </si>
  <si>
    <t>CANON IXUS 285 HA</t>
  </si>
  <si>
    <t>einfo.co.nz</t>
  </si>
  <si>
    <t>harveynorman.com.au</t>
  </si>
  <si>
    <t>GO PRO 13</t>
  </si>
  <si>
    <t>noelleeming.co.nz</t>
  </si>
  <si>
    <t>officeworks.com.au</t>
  </si>
  <si>
    <t>INSTAX MINI 12</t>
  </si>
  <si>
    <t>jbhifi.co.nz</t>
  </si>
  <si>
    <t>thegoodguys.com.au</t>
  </si>
  <si>
    <t>walmart.com</t>
  </si>
  <si>
    <t>BLINK OUTDOOR 4</t>
  </si>
  <si>
    <t>bunnings.co.nz</t>
  </si>
  <si>
    <t>bunnings.com.au</t>
  </si>
  <si>
    <t>Canon PowerShot V1 Vlogging Camera</t>
  </si>
  <si>
    <t>harveynorman.co.nz</t>
  </si>
  <si>
    <t>Canon PowerShot V10</t>
  </si>
  <si>
    <t>photowarehouse.co.nz</t>
  </si>
  <si>
    <t>Canon EOS R6 Mark III Mirrorless Camera [Body Only]</t>
  </si>
  <si>
    <t>photogear.co.nz</t>
  </si>
  <si>
    <t>georges.com.au</t>
  </si>
  <si>
    <t>Canon EOS R5II Mirrorless Camera [Body Only]</t>
  </si>
  <si>
    <t>Insta360 GO Ultra Standard Bundle (Arctic White)</t>
  </si>
  <si>
    <t>bigw.com.au</t>
  </si>
  <si>
    <t>target.com</t>
  </si>
  <si>
    <t>Insta360 GO Ultra Standard Bundle (Midnight Black)</t>
  </si>
  <si>
    <t>Insta360 GO Ultra Creator Bundle (Arctic White)</t>
  </si>
  <si>
    <t>rubbermonkey.co.nz</t>
  </si>
  <si>
    <t>dell.com</t>
  </si>
  <si>
    <t>INSTAX MINI LIPLAY</t>
  </si>
  <si>
    <t>INSTAX WIDE 400 Black</t>
  </si>
  <si>
    <t>aucklandairport.co.nz</t>
  </si>
  <si>
    <t>jbhifi.com.au</t>
  </si>
  <si>
    <t>Fujifilm Instax Mini13 Instant Camera (Candy Pink)</t>
  </si>
  <si>
    <t>noelleeming.co.nz, harveynorman.co.nz</t>
  </si>
  <si>
    <t>adorama.com</t>
  </si>
  <si>
    <t>Fujifilm Instax Mini13 Instant Camera (Frost Blue)</t>
  </si>
  <si>
    <t>Fujifilm Instax Mini13 Instant Camera (Dreamy Purple)</t>
  </si>
  <si>
    <t>Fujifilm Instax Mini13 Instant Camera (Lagoon Green)</t>
  </si>
  <si>
    <t>Fujifilm Instax Mini13 Instant Camera (Clay White)</t>
  </si>
  <si>
    <t>Fujifilm instax mini 41 Instant Camera (Black)</t>
  </si>
  <si>
    <t>Fujifilm instax mini EVO C Instant Camera (Black)</t>
  </si>
  <si>
    <t>Not Available AUD</t>
  </si>
  <si>
    <t>Fujifilm instax mini EVO C Instant Camera (Brown)</t>
  </si>
  <si>
    <t>Fujifilm instax mini EVO C Instant Camera (Gentle Rose)</t>
  </si>
  <si>
    <t>Fujifilm instax SQUARE SQ1 Instant Camera (Glacier Blue)</t>
  </si>
  <si>
    <t>Fujifilm instax PAL Digital Camera (White)</t>
  </si>
  <si>
    <t>Fujifilm instax mini LiPlay C Instant Camera and Smartphone Printer (Matcha Green)</t>
  </si>
  <si>
    <t>doddcamera.com</t>
  </si>
  <si>
    <t>Fujifilm instax mini LiPlay C Instant Camera and Smartphone Printer (Deep Bronze)</t>
  </si>
  <si>
    <t>Fujifilm instax mini LiPlay C Instant Camera and Smartphone Printer (Misty White)</t>
  </si>
  <si>
    <t>Polaroid Now Generation 3 Instant Camera (Black)</t>
  </si>
  <si>
    <t>pbtech.co.nz</t>
  </si>
  <si>
    <t>Polaroid Go Generation 2 Instant Camera (Black)</t>
  </si>
  <si>
    <t>Polaroid Go Generation 2 Instant Camera (Blue)</t>
  </si>
  <si>
    <t>Polaroid Go Generation 2 Instant Camera (Purple)</t>
  </si>
  <si>
    <t>Not Available USD</t>
  </si>
  <si>
    <t>Insta360 Link 2C AI-Powered 4K Webcam (Graphite Black)</t>
  </si>
  <si>
    <t>mobileciti.com.au</t>
  </si>
  <si>
    <t>Insta360 GO Ultra Creator Bundle (Midnight Black)</t>
  </si>
  <si>
    <t>DJI MINI 4 PRO STANDARD</t>
  </si>
  <si>
    <t>DJI MINI 4K FLY MORE COMBO</t>
  </si>
  <si>
    <t>DJI MINI 5 PRO FLY MORE COMBO 52 MINS</t>
  </si>
  <si>
    <t>DJI Mic Mini 2 (2 TX+ 1 RX+ Charging Case)</t>
  </si>
  <si>
    <t>camerapro.com.au</t>
  </si>
  <si>
    <t>DJI Osmo Action 4 Standard Combo</t>
  </si>
  <si>
    <t>DJI Mini 4K Drone Fly More Combo</t>
  </si>
  <si>
    <t>DJI Osmo Action 5 Pro Adventure Combo</t>
  </si>
  <si>
    <t>themall.aucklandairport.co.nz</t>
  </si>
  <si>
    <t>DJI Neo 2 4K Drone</t>
  </si>
  <si>
    <t>camerahouse.com.au</t>
  </si>
  <si>
    <t>DJI Osmo 360 Adventure Combo</t>
  </si>
  <si>
    <t>anacondastores.com/en-au</t>
  </si>
  <si>
    <t>DJI Osmo 360 Standard Combo</t>
  </si>
  <si>
    <t>DJI Mic Mini 2 (2 TX + 1 Mobile RX+ Charging Case)</t>
  </si>
  <si>
    <t>DJI Osmo Action 5 Pro Standard Combo</t>
  </si>
  <si>
    <t>DJI Pocket 4 Fill Light</t>
  </si>
  <si>
    <t>DJI Pocket 4 Battery Handle</t>
  </si>
  <si>
    <t>nanobytesolutions.co.nz</t>
  </si>
  <si>
    <t>DJI Osmo Action 3 Standard Combo</t>
  </si>
  <si>
    <t>-</t>
  </si>
  <si>
    <t>robertscamera.com</t>
  </si>
  <si>
    <t>DJI Osmo Mobile 8P Gimbal Advanced Tracking Combo</t>
  </si>
  <si>
    <t>DJI Air 3S Drone with RC-N3</t>
  </si>
  <si>
    <t>priceme.co.nz</t>
  </si>
  <si>
    <t>DJI RS 4</t>
  </si>
  <si>
    <t>kiwiquads.co.nz</t>
  </si>
  <si>
    <t>DJI Ronin RS 4 Pro Combo Stabiliser</t>
  </si>
  <si>
    <t>dronedepot.co.nz</t>
  </si>
  <si>
    <t>DJI RS 4 Mini Combo</t>
  </si>
  <si>
    <t>Minelab Gold Monster 1000 Metal Detector</t>
  </si>
  <si>
    <t>bcf.com.au</t>
  </si>
  <si>
    <t>Minelab GPX 6000 Metal Detector</t>
  </si>
  <si>
    <t>motackle.com.au</t>
  </si>
  <si>
    <t>Minelab GPZ 7000 Universal Metal Detector</t>
  </si>
  <si>
    <t>prospectorspick.com.au</t>
  </si>
  <si>
    <t>Minelab SDC 2300 Metal Detector</t>
  </si>
  <si>
    <t>luckystrikegold.com.au</t>
  </si>
  <si>
    <t>GPZ 8000</t>
  </si>
  <si>
    <t>Minelab GOLD MONSTER 2000 Metal Detector - BACKORDER</t>
  </si>
  <si>
    <t>jacobsdigital.co.nz</t>
  </si>
  <si>
    <t>lmsmetaldetecting.store</t>
  </si>
  <si>
    <t>metaldetectingstuff.com</t>
  </si>
  <si>
    <t>Ray-Ban | Meta Headliner Gen 2 AI Glasses (Matte Black/Clear)</t>
  </si>
  <si>
    <t>rockvillemd.paymore.com</t>
  </si>
  <si>
    <t>Ray-Ban | Meta Skyler Gen 1 AI Glasses (Shiny Black/Amethyst Transitions)</t>
  </si>
  <si>
    <t>Oakley | Meta Vanguard AI Glasses (Black/Prizm 24K)</t>
  </si>
  <si>
    <t>stmonline.com.au</t>
  </si>
  <si>
    <t>Oakley | Meta Vanguard AI Glasses (White/Prizm Black)</t>
  </si>
  <si>
    <t>Ray-Ban | Meta Wayfarer Gen 1 AI Glasses (Matte Black Clear/Graphite Green Transitions)</t>
  </si>
  <si>
    <t>Ray-Ban | Meta Wayfarer Large Gen 1 AI Glasses (Matte Black Gradient Graphite Polarised)</t>
  </si>
  <si>
    <t>Ray-Ban | Meta Wayfarer Large Gen 1 AI Glasses (Shiny Black/Green)</t>
  </si>
  <si>
    <t>Ray-Ban | Meta Wayfarer Gen 1 AI Glasses (Shiny Black/Green)</t>
  </si>
  <si>
    <t>Ray-Ban | Meta Wayfarer Gen 1 AI Glasses (Shiny Black/Clear)</t>
  </si>
  <si>
    <t>Ray-Ban | Meta Wayfarer Gen 2 AI Glasses (Shiny Black/Green)</t>
  </si>
  <si>
    <t>Ray-Ban | Meta Wayfarer Large Gen 2 AI Glasses (Shiny Black/Green)</t>
  </si>
  <si>
    <t>Ray-Ban | Meta Wayfarer Gen 2 AI Glasses (Matte Black/Polarised Gradient Graphite)</t>
  </si>
  <si>
    <t>Ray-Ban | Meta Wayfarer Large Gen 2 AI Glasses (Matte Black/Polarised Gradient Graphite)</t>
  </si>
  <si>
    <t>Ray-Ban | Meta Wayfarer Large Gen 2 AI Glasses (Shiny Black/Transitions Green Graphite)</t>
  </si>
  <si>
    <t>Ray-Ban | Meta Wayfarer Gen 2 AI Glasses (Shiny Cosmic Blue/Transitions Sapphire)</t>
  </si>
  <si>
    <t>Ray-Ban | Meta Wayfarer Gen 2 AI Glasses (Shiny Black/Green Graphite Transition)</t>
  </si>
  <si>
    <t>Ray-Ban | Meta Wayfarer Gen 2 AI Glasses (Shiny Transparent Grey/Transitions Sapphire)</t>
  </si>
  <si>
    <t>Ray-Ban | Meta Wayfarer Gen 2 AI Glasses (Matte Black/Clear)</t>
  </si>
  <si>
    <t>Ray-Ban | Meta Skyler Gen 1 AI Glasses (Shiny Black/Cerulean Blue Transitions )</t>
  </si>
  <si>
    <t>Ray-Ban | Meta Wayfarer Large Gen 2 AI Glasses (Matte Black/Clear)</t>
  </si>
  <si>
    <t>Oakley | Meta HSTN AI Glasses (Black/Prizm Black Polarized)</t>
  </si>
  <si>
    <t>Oakley | Meta HSTN AI Glasses (Clear/Clear to Grey Transitions)</t>
  </si>
  <si>
    <t>Oakley | Meta HSTN AI Glasses (Brown Smoke/Prizm Deep Water Polarized)</t>
  </si>
  <si>
    <t>Not Avalibel USD</t>
  </si>
  <si>
    <t>Percentage %</t>
  </si>
  <si>
    <t>Oakley | Meta Vanguard AI Glasses (Black/Prizm Road)</t>
  </si>
  <si>
    <t>Oakley | Meta Vanguard AI Glasses (White/Prizm Sapphire)</t>
  </si>
  <si>
    <t>Ray-Ban | Meta Skyler Gen 1 AI Glasses (Shiny Chalky Grey/Sapphire Transitions)</t>
  </si>
  <si>
    <t>Oakley | Meta HSTN AI Glasses (Warm Grey/Prizm Ruby)</t>
  </si>
  <si>
    <t>Oakley | Meta HSTN AI Glasses (Black/Clear to Amethyst Transitions)</t>
  </si>
  <si>
    <t>Oakley | Meta HSTN AI Glasses (Black/Clear)</t>
  </si>
  <si>
    <t>Oakley | Meta HSTN AI Glasses (Transparent Curry Clear to Brown Transitions)</t>
  </si>
  <si>
    <t>Oakley | Meta HSTN AI Glasses (Black Prizm Dark Golf)</t>
  </si>
  <si>
    <t>brighteyes.com.au</t>
  </si>
  <si>
    <t>justsunnies.com.au</t>
  </si>
  <si>
    <t>targetoptical.com</t>
  </si>
  <si>
    <t>Asus ProArt GeForce RTX 5080 OC 16G Graphics Card (PROART-RTX5080-O16G)</t>
  </si>
  <si>
    <t>ASUS TUF-RTX5080-O16G-GAMING TUF Gaming GeForce RTX 5080 16GB GDDR7 OC Edition Graphics Card</t>
  </si>
  <si>
    <t>centrecom.com.au</t>
  </si>
  <si>
    <t>cplonline.com.au</t>
  </si>
  <si>
    <t>bhphotovideo.com</t>
  </si>
  <si>
    <t>newegg.com</t>
  </si>
  <si>
    <t>Not Avalibel NZD</t>
  </si>
  <si>
    <t>BEATS PILL SPEAKER Wireless Bluetooth Champagne Gold</t>
  </si>
  <si>
    <t>Beats Pill Wireless Bluetooth Speaker Statement Red</t>
  </si>
  <si>
    <t>BOSE SOUNDLINK MICRO SPEAKER Black</t>
  </si>
  <si>
    <t>coolmobile.net.nz</t>
  </si>
  <si>
    <t>BOSE SOUNDLINK MICRO SPEAKER White Smoke</t>
  </si>
  <si>
    <t>BOSE SOUNDLINK MICRO SPEAKER Stone Blue</t>
  </si>
  <si>
    <t>JBL Charge 6 Portable Bluetooth Speaker (Black)</t>
  </si>
  <si>
    <t>JBL Charge 6 Portable Bluetooth Speaker (Blue)</t>
  </si>
  <si>
    <t>JBL Charge 6 Portable Bluetooth Speaker (Pink)</t>
  </si>
  <si>
    <t>JBL Charge 6 Portable Bluetooth Speaker (Red)</t>
  </si>
  <si>
    <t>JBL Charge 6 Portable Bluetooth Speaker (White)</t>
  </si>
  <si>
    <t>JBL Flip 7 Portable Waterproof Bluetooth Speaker (Black)</t>
  </si>
  <si>
    <t>SONOS ERA 100 SPEAKER BLACK</t>
  </si>
  <si>
    <t>SONOS ERA 100 SPEAKER White</t>
  </si>
  <si>
    <t>JBL PartyBox 720 Party Speaker</t>
  </si>
  <si>
    <t>JBL Grip Compact Portable Speaker with Ambient Light (Black)</t>
  </si>
  <si>
    <t>JBL Grip Compact Portable Speaker with Ambient Light (Squad)</t>
  </si>
  <si>
    <t>JBL Grip Compact Portable Speaker with Ambient Light (Blue)</t>
  </si>
  <si>
    <t>JBL Grip Compact Portable Speaker with Ambient Light (Orange)</t>
  </si>
  <si>
    <t>retravision.com.au</t>
  </si>
  <si>
    <t>JBL Grip Compact Portable Speaker with Ambient Light (Pink)</t>
  </si>
  <si>
    <t>JBL Grip Compact Portable Speaker with Ambient Light (Purple)</t>
  </si>
  <si>
    <t>JBL Grip Compact Portable Speaker with Ambient Light (Red)</t>
  </si>
  <si>
    <t>JBL Grip Compact Portable Speaker with Ambient Light (White)</t>
  </si>
  <si>
    <t>JBL Grip Compact Portable Speaker with Ambient Light (Yellow)</t>
  </si>
  <si>
    <t>JBL PartyBox Stage 320 Party Speaker (Black)</t>
  </si>
  <si>
    <t>appliancecentral.com.au</t>
  </si>
  <si>
    <t>JBL PartyBox Stage 320 Party Speaker (White)</t>
  </si>
  <si>
    <t>peakaudiovisual.com.au</t>
  </si>
  <si>
    <t>JBL PartyBox 520 Portable Party Speaker</t>
  </si>
  <si>
    <t>costco.com.au</t>
  </si>
  <si>
    <t>JBL Go 4 Mini Ultra-portable Bluetooth Speaker (Pink)</t>
  </si>
  <si>
    <t>jbl.co.nz</t>
  </si>
  <si>
    <t>JBL Go 4 Mini Ultra-portable Bluetooth Speaker (Purple)</t>
  </si>
  <si>
    <t>JBL Go 4 Mini Ultra-portable Bluetooth Speaker (Red)</t>
  </si>
  <si>
    <t>JBL Go 4 Mini Ultra-portable Bluetooth Speaker (Blue)</t>
  </si>
  <si>
    <t>JBL Go 4 Mini Ultra-portable Bluetooth Speaker (squad)</t>
  </si>
  <si>
    <t>JBL Go 4 Mini Ultra-portable Bluetooth Speaker (Black)</t>
  </si>
  <si>
    <t>JBL PartyBox Ultimate Wireless Party Speaker</t>
  </si>
  <si>
    <t>Sonos Era 300 Smart Speaker (Black)</t>
  </si>
  <si>
    <t>JBL Clip 5 Ultra-portable Bluetooth Speaker (Black)</t>
  </si>
  <si>
    <t>JBL Clip 5 Ultra-portable Bluetooth Speaker (Blue)</t>
  </si>
  <si>
    <t xml:space="preserve">JBL Boombox 4 Portable Bluetooth Speaker (Black) </t>
  </si>
  <si>
    <t>JBL Xtreme 4 Portable Bluetooth Speaker (Black)</t>
  </si>
  <si>
    <t>jbl partybox on-the-go Essential</t>
  </si>
  <si>
    <t>heathcotes.co.nz</t>
  </si>
  <si>
    <t>betta.com.au</t>
  </si>
  <si>
    <t>jbl partybox on-the-go 2</t>
  </si>
  <si>
    <t>ASUS TUF Gaming Radeon RX 9070 XT OC Edition, 16GB</t>
  </si>
  <si>
    <t>ZOTAC GeForce RTX 5080 SOLID OC White 16GB GDDR7 Graphics Card</t>
  </si>
  <si>
    <t>ZOTAC GeForce RTX 5080 AMP Extreme INFINITY 16G GDDR7</t>
  </si>
  <si>
    <t>ZOTAC Gaming GeForce RTX 5080 Solid Core OC 16GB GDDR7</t>
  </si>
  <si>
    <t>ZOTAC GAMING GeForce RTX 5070 Ti SOLID CORE OC White Edition, 16GB</t>
  </si>
  <si>
    <t>ZOTAC GAMING GeForce RTX 5070 Ti AMP Extreme INFINITY, 16GB</t>
  </si>
  <si>
    <t>ZOTAC GeForce RTX 5070 Ti 16G SOLID SFF OC</t>
  </si>
  <si>
    <t>ZOTAC Gaming GeForce RTX 5070 SOLID OC GDDR7 12GB</t>
  </si>
  <si>
    <t>ZOTAC GAMING GeForce RTX 5070 AMP White Edition, 12GB</t>
  </si>
  <si>
    <t>ZOTAC GeForce RTX 5070 Twin Edge OC 12GB GDDR7</t>
  </si>
  <si>
    <t>ZOTAC GAMING GeForce RTX 5060 Ti 8GB Twin Edge OC White Edition</t>
  </si>
  <si>
    <t>Zotac Gaming GeForce RTX 5060 Ti 16GB Twin Edge OC GDDR7</t>
  </si>
  <si>
    <t>Zotac Gaming GeForce RTX 5060 Ti 8gb Twin Edge GDDR7 128bit</t>
  </si>
  <si>
    <t>Zotac GeForce RTX 5060 Twin Edge OC 8GB GDDR7</t>
  </si>
  <si>
    <t>ZOTAC GAMING GeForce RTX 5060 8GB Twin Edge OC White Edition</t>
  </si>
  <si>
    <t>ZOTAC GAMING GeForce RTX 5050 Twin Edge</t>
  </si>
  <si>
    <t>MSI GeForce RTX 5080 16GB Ventus 3X OC White</t>
  </si>
  <si>
    <t>MSI GeForce RTX 5070 12G SHADOW 2X OC, 12GB</t>
  </si>
  <si>
    <t>Asus GeForce GT 730 2GB GDDR5</t>
  </si>
  <si>
    <t>MSI GeForce RTX 5070 12G VANGUARD SOC , 12GB</t>
  </si>
  <si>
    <t>MSI GeForce RTX 5060 Ti VENTUS 2X OC PLUS 16GB GDDR7 Video Card</t>
  </si>
  <si>
    <t>Gigabyte GeForce RTX 5060 AERO OC 8GB Video Card</t>
  </si>
  <si>
    <t>Gigabyte GeForce RTX 5080 AERO OC 16GB Video Card</t>
  </si>
  <si>
    <t>Asus Prime GeForce RTX 5070 12G Graphics Card (PRIME-RTX5070-12G)</t>
  </si>
  <si>
    <t>ASUS Prime GeForce RTX 5070 Ti 16GB GDDR7 OC Edition Graphics Card</t>
  </si>
  <si>
    <t>Gigabyte GeForce RTX 5070 WindForce OC SFF 12G Graphics Card (GV-N5070WF3OC-12GD)</t>
  </si>
  <si>
    <t>Gigabyte GeForce RTX 5070 Ti EAGLE OC 16GB Video Card</t>
  </si>
  <si>
    <t>Inno3D GeForce RTX 5080 iCHILL X3 V2, 16GB</t>
  </si>
  <si>
    <t>ZOTAC GeForce RTX 5070 GAMING AMP 12GB GDDR7 Graphics Card White</t>
  </si>
  <si>
    <t>ASUS GeForce RTX 5090 TUF Gaming OC 32GB GDDR7</t>
  </si>
  <si>
    <t>Not Avalibel NZD, USD</t>
  </si>
  <si>
    <t>Not Avalibel AUD, NZD, USD</t>
  </si>
  <si>
    <t>Not Avalibel AUD</t>
  </si>
  <si>
    <t>Not Avalibel AUD, NZD</t>
  </si>
  <si>
    <t>Not Avalibel AUD, USD</t>
  </si>
  <si>
    <t>mightyape.co.nz</t>
  </si>
  <si>
    <t>scorptec.com.au</t>
  </si>
  <si>
    <t>computeralliance.com.au</t>
  </si>
  <si>
    <t>bpctech.com.au</t>
  </si>
  <si>
    <t>ple.com.au</t>
  </si>
  <si>
    <t>computerlounge.co.nz</t>
  </si>
  <si>
    <t>tecs.com.au</t>
  </si>
  <si>
    <t>allneeds.com.au</t>
  </si>
  <si>
    <t>shoppingexpress.com.au</t>
  </si>
  <si>
    <t>msy.com.au</t>
  </si>
  <si>
    <t>mwave.com.au</t>
  </si>
  <si>
    <t>justlaptops.co.nz</t>
  </si>
  <si>
    <t>memoryc.com</t>
  </si>
  <si>
    <t>Ray-Ban | Meta Skyler Gen 2 AI Glasses (Shiny Chalky Grey/Transitions Sapphire)</t>
  </si>
  <si>
    <t>BRAUN ALL IN ONE TRIMMER 7</t>
  </si>
  <si>
    <t>myer.com.au</t>
  </si>
  <si>
    <t>BRAUN IPL 5137</t>
  </si>
  <si>
    <t>shavershop.com.au</t>
  </si>
  <si>
    <t>kogan.co.nz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</si>
</sst>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2" fontId="0" fillId="3" borderId="3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2" fontId="0" fillId="2" borderId="3" xfId="0" applyNumberFormat="1" applyFill="1" applyBorder="1"/>
    <xf numFmtId="2" fontId="0" fillId="4" borderId="3" xfId="0" applyNumberFormat="1" applyFill="1" applyBorder="1" applyAlignment="1">
      <alignment horizontal="center" vertical="center"/>
    </xf>
    <xf numFmtId="0" fontId="1" fillId="0" borderId="0" xfId="0" applyFont="1"/>
    <xf numFmtId="0" fontId="0" fillId="4" borderId="3" xfId="0" applyFill="1" applyBorder="1" applyAlignment="1">
      <alignment horizontal="center"/>
    </xf>
    <xf numFmtId="2" fontId="0" fillId="5" borderId="3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2" fontId="0" fillId="2" borderId="3" xfId="0" applyNumberFormat="1" applyFill="1" applyBorder="1" applyAlignment="1">
      <alignment horizontal="right" vertical="center"/>
    </xf>
    <xf numFmtId="10" fontId="0" fillId="0" borderId="0" xfId="0" applyNumberFormat="1"/>
    <xf numFmtId="0" fontId="0" fillId="0" borderId="3" xfId="0" applyBorder="1"/>
    <xf numFmtId="2" fontId="0" fillId="0" borderId="3" xfId="0" applyNumberFormat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2" fontId="0" fillId="2" borderId="3" xfId="0" applyNumberFormat="1" applyFill="1" applyBorder="1" applyAlignment="1">
      <alignment horizontal="right"/>
    </xf>
    <xf numFmtId="2" fontId="0" fillId="4" borderId="4" xfId="0" applyNumberFormat="1" applyFill="1" applyBorder="1" applyAlignment="1">
      <alignment horizontal="center" vertical="center"/>
    </xf>
    <xf numFmtId="2" fontId="0" fillId="3" borderId="4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1" fillId="2" borderId="4" xfId="0" applyNumberFormat="1" applyFont="1" applyFill="1" applyBorder="1" applyAlignment="1">
      <alignment horizontal="center" vertical="center"/>
    </xf>
    <xf numFmtId="10" fontId="0" fillId="0" borderId="4" xfId="0" applyNumberFormat="1" applyBorder="1"/>
    <xf numFmtId="10" fontId="0" fillId="0" borderId="4" xfId="0" applyNumberFormat="1" applyBorder="1" applyAlignment="1">
      <alignment horizontal="right"/>
    </xf>
    <xf numFmtId="0" fontId="1" fillId="0" borderId="3" xfId="0" applyFont="1" applyBorder="1" applyAlignment="1">
      <alignment horizontal="center" vertical="center"/>
    </xf>
    <xf numFmtId="2" fontId="0" fillId="0" borderId="4" xfId="0" applyNumberFormat="1" applyBorder="1" applyAlignment="1">
      <alignment horizontal="center"/>
    </xf>
    <xf numFmtId="2" fontId="0" fillId="0" borderId="4" xfId="0" applyNumberFormat="1" applyBorder="1" applyAlignment="1">
      <alignment horizontal="center" vertical="center"/>
    </xf>
    <xf numFmtId="2" fontId="0" fillId="3" borderId="4" xfId="0" applyNumberFormat="1" applyFill="1" applyBorder="1" applyAlignment="1">
      <alignment horizontal="center"/>
    </xf>
    <xf numFmtId="2" fontId="0" fillId="5" borderId="4" xfId="0" applyNumberFormat="1" applyFill="1" applyBorder="1" applyAlignment="1">
      <alignment horizontal="center" vertical="center"/>
    </xf>
    <xf numFmtId="2" fontId="0" fillId="0" borderId="0" xfId="0" applyNumberFormat="1"/>
    <xf numFmtId="10" fontId="0" fillId="0" borderId="3" xfId="0" applyNumberFormat="1" applyBorder="1"/>
    <xf numFmtId="0" fontId="1" fillId="0" borderId="3" xfId="0" applyFont="1" applyBorder="1"/>
  </cellXfs>
  <cellStyles count="1">
    <cellStyle name="Normal" xfId="0" builtinId="0"/>
  </cellStyles>
  <dxfs count="1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271D6-72FD-468E-AD7D-87E47B8D260A}">
  <dimension ref="A1:I167"/>
  <sheetViews>
    <sheetView tabSelected="1" workbookViewId="0">
      <selection activeCell="B11" sqref="B11"/>
    </sheetView>
  </sheetViews>
  <sheetFormatPr defaultRowHeight="15" x14ac:dyDescent="0.25"/>
  <cols>
    <col min="1" max="1" width="5.85546875" bestFit="1" customWidth="1"/>
    <col min="2" max="2" width="94" bestFit="1" customWidth="1"/>
    <col min="3" max="3" width="22.28515625" bestFit="1" customWidth="1"/>
    <col min="4" max="4" width="27" customWidth="1"/>
    <col min="5" max="5" width="17" customWidth="1"/>
    <col min="6" max="6" width="14" customWidth="1"/>
    <col min="7" max="7" width="16.85546875" bestFit="1" customWidth="1"/>
    <col min="8" max="8" width="19.7109375" style="15" customWidth="1"/>
    <col min="9" max="9" width="30.7109375" style="22" customWidth="1"/>
  </cols>
  <sheetData>
    <row r="1" spans="1:9" x14ac:dyDescent="0.25">
      <c r="A1" s="1" t="s">
        <v>0</v>
      </c>
      <c r="B1" s="1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3" t="s">
        <v>140</v>
      </c>
      <c r="I1" s="5"/>
    </row>
    <row r="2" spans="1:9" x14ac:dyDescent="0.25">
      <c r="A2" s="7">
        <v>1</v>
      </c>
      <c r="B2" s="7" t="s">
        <v>22</v>
      </c>
      <c r="C2" s="4">
        <v>175.26923076923077</v>
      </c>
      <c r="D2" s="6">
        <v>237.47399999999996</v>
      </c>
      <c r="E2" s="6">
        <v>587.4163749999999</v>
      </c>
      <c r="F2" s="7">
        <v>2100</v>
      </c>
      <c r="G2" s="8">
        <v>1924.7307692307693</v>
      </c>
      <c r="H2" s="24">
        <f>(F2-C2)/C2</f>
        <v>10.981566820276498</v>
      </c>
      <c r="I2" s="5"/>
    </row>
    <row r="3" spans="1:9" x14ac:dyDescent="0.25">
      <c r="A3" s="7">
        <v>2</v>
      </c>
      <c r="B3" s="7" t="s">
        <v>110</v>
      </c>
      <c r="C3" s="4">
        <v>6549.6823384615373</v>
      </c>
      <c r="D3" s="6">
        <v>7186.6945454545457</v>
      </c>
      <c r="E3" s="6">
        <v>7341.3274999999994</v>
      </c>
      <c r="F3" s="5">
        <v>22000</v>
      </c>
      <c r="G3" s="14">
        <f>F3-C3</f>
        <v>15450.317661538462</v>
      </c>
      <c r="H3" s="24">
        <f>(F3-C3)/C3</f>
        <v>2.3589415277150074</v>
      </c>
      <c r="I3" s="5"/>
    </row>
    <row r="4" spans="1:9" x14ac:dyDescent="0.25">
      <c r="A4" s="7">
        <v>3</v>
      </c>
      <c r="B4" s="11" t="s">
        <v>87</v>
      </c>
      <c r="C4" s="9">
        <v>70.087661538461546</v>
      </c>
      <c r="D4" s="4">
        <v>68.864454545454549</v>
      </c>
      <c r="E4" s="9">
        <v>150.535775</v>
      </c>
      <c r="F4" s="7">
        <v>190</v>
      </c>
      <c r="G4" s="8">
        <v>121.13554545454545</v>
      </c>
      <c r="H4" s="24">
        <f>(F4-D4)/D4</f>
        <v>1.7590431268803406</v>
      </c>
      <c r="I4" s="5"/>
    </row>
    <row r="5" spans="1:9" x14ac:dyDescent="0.25">
      <c r="A5" s="7">
        <v>4</v>
      </c>
      <c r="B5" s="11" t="s">
        <v>96</v>
      </c>
      <c r="C5" s="9">
        <v>1669.62704328</v>
      </c>
      <c r="D5" s="9">
        <v>1593.9780000000001</v>
      </c>
      <c r="E5" s="4">
        <v>469</v>
      </c>
      <c r="F5" s="7">
        <v>1290</v>
      </c>
      <c r="G5" s="8">
        <v>821</v>
      </c>
      <c r="H5" s="24">
        <f>(F5-E5)/E5</f>
        <v>1.7505330490405118</v>
      </c>
      <c r="I5" s="5"/>
    </row>
    <row r="6" spans="1:9" x14ac:dyDescent="0.25">
      <c r="A6" s="7">
        <v>5</v>
      </c>
      <c r="B6" s="5" t="s">
        <v>57</v>
      </c>
      <c r="C6" s="4">
        <v>94.144615384615378</v>
      </c>
      <c r="D6" s="9">
        <v>119.05000000000001</v>
      </c>
      <c r="E6" s="6">
        <v>128.500775</v>
      </c>
      <c r="F6" s="5">
        <v>255</v>
      </c>
      <c r="G6" s="8">
        <v>160.85538461538462</v>
      </c>
      <c r="H6" s="24">
        <f>(F6-C6)/C6</f>
        <v>1.7085988822433573</v>
      </c>
      <c r="I6" s="5"/>
    </row>
    <row r="7" spans="1:9" x14ac:dyDescent="0.25">
      <c r="A7" s="7">
        <v>6</v>
      </c>
      <c r="B7" s="11" t="s">
        <v>76</v>
      </c>
      <c r="C7" s="4">
        <v>779.1969230769231</v>
      </c>
      <c r="D7" s="9">
        <v>822.0753627272727</v>
      </c>
      <c r="E7" s="9">
        <v>877.72749999999996</v>
      </c>
      <c r="F7" s="9">
        <v>2050</v>
      </c>
      <c r="G7" s="8">
        <v>1270.8030769230768</v>
      </c>
      <c r="H7" s="24">
        <f>(F7-C7)/C7</f>
        <v>1.6309138797736524</v>
      </c>
      <c r="I7" s="5"/>
    </row>
    <row r="8" spans="1:9" x14ac:dyDescent="0.25">
      <c r="A8" s="7">
        <v>7</v>
      </c>
      <c r="B8" s="7" t="s">
        <v>163</v>
      </c>
      <c r="C8" s="4">
        <v>183.81161304</v>
      </c>
      <c r="D8" s="9">
        <v>207.76645454545454</v>
      </c>
      <c r="E8" s="9">
        <v>403.93827499999998</v>
      </c>
      <c r="F8" s="7">
        <v>425</v>
      </c>
      <c r="G8" s="8">
        <v>241.18838696</v>
      </c>
      <c r="H8" s="24">
        <f>(F8-C8)/C8</f>
        <v>1.3121498852605902</v>
      </c>
      <c r="I8" s="5"/>
    </row>
    <row r="9" spans="1:9" x14ac:dyDescent="0.25">
      <c r="A9" s="7">
        <v>8</v>
      </c>
      <c r="B9" s="7" t="s">
        <v>109</v>
      </c>
      <c r="C9" s="4">
        <v>35734.383876923079</v>
      </c>
      <c r="D9" s="6">
        <v>35943.058181818182</v>
      </c>
      <c r="E9" s="6">
        <v>36721.327499999999</v>
      </c>
      <c r="F9" s="5">
        <v>80000</v>
      </c>
      <c r="G9" s="14">
        <f>F9-C9</f>
        <v>44265.616123076921</v>
      </c>
      <c r="H9" s="24">
        <f>(F9-C9)/C9</f>
        <v>1.2387401522169026</v>
      </c>
      <c r="I9" s="5"/>
    </row>
    <row r="10" spans="1:9" x14ac:dyDescent="0.25">
      <c r="A10" s="7">
        <v>9</v>
      </c>
      <c r="B10" s="11" t="s">
        <v>225</v>
      </c>
      <c r="C10" s="17">
        <v>211.31405222399997</v>
      </c>
      <c r="D10" s="18">
        <v>153.16954545454544</v>
      </c>
      <c r="E10" s="17">
        <v>404.56259999999997</v>
      </c>
      <c r="F10" s="3">
        <v>320</v>
      </c>
      <c r="G10" s="8">
        <v>166.83045454545456</v>
      </c>
      <c r="H10" s="24">
        <f>(F10-D10)/D10</f>
        <v>1.0891881545405717</v>
      </c>
      <c r="I10" s="26" t="s">
        <v>158</v>
      </c>
    </row>
    <row r="11" spans="1:9" x14ac:dyDescent="0.25">
      <c r="A11" s="7">
        <v>10</v>
      </c>
      <c r="B11" s="7" t="s">
        <v>161</v>
      </c>
      <c r="C11" s="9">
        <v>239.51210184000001</v>
      </c>
      <c r="D11" s="4">
        <v>207.76645454545454</v>
      </c>
      <c r="E11" s="9">
        <v>365.41374999999999</v>
      </c>
      <c r="F11" s="7">
        <v>425</v>
      </c>
      <c r="G11" s="8">
        <v>217.23354545454546</v>
      </c>
      <c r="H11" s="24">
        <f>(F11-D11)/D11</f>
        <v>1.0455660223388936</v>
      </c>
      <c r="I11" s="5"/>
    </row>
    <row r="12" spans="1:9" x14ac:dyDescent="0.25">
      <c r="A12" s="7">
        <v>11</v>
      </c>
      <c r="B12" s="7" t="s">
        <v>164</v>
      </c>
      <c r="C12" s="9">
        <v>239.51210184000001</v>
      </c>
      <c r="D12" s="4">
        <v>207.76645454545454</v>
      </c>
      <c r="E12" s="9">
        <v>403.93827499999998</v>
      </c>
      <c r="F12" s="7">
        <v>425</v>
      </c>
      <c r="G12" s="8">
        <v>217.23354545454546</v>
      </c>
      <c r="H12" s="24">
        <f>(F12-D12)/D12</f>
        <v>1.0455660223388936</v>
      </c>
      <c r="I12" s="5"/>
    </row>
    <row r="13" spans="1:9" x14ac:dyDescent="0.25">
      <c r="A13" s="7">
        <v>12</v>
      </c>
      <c r="B13" s="11" t="s">
        <v>90</v>
      </c>
      <c r="C13" s="9">
        <v>0</v>
      </c>
      <c r="D13" s="4">
        <v>632.41899999999998</v>
      </c>
      <c r="E13" s="9">
        <v>1208.2525000000001</v>
      </c>
      <c r="F13" s="7">
        <v>1280</v>
      </c>
      <c r="G13" s="8">
        <v>647.58100000000002</v>
      </c>
      <c r="H13" s="24">
        <f>(F13-D13)/D13</f>
        <v>1.0239746117684636</v>
      </c>
      <c r="I13" s="5"/>
    </row>
    <row r="14" spans="1:9" x14ac:dyDescent="0.25">
      <c r="A14" s="7">
        <v>13</v>
      </c>
      <c r="B14" s="5" t="s">
        <v>56</v>
      </c>
      <c r="C14" s="4">
        <v>398.6123076923077</v>
      </c>
      <c r="D14" s="9">
        <v>402.38900000000001</v>
      </c>
      <c r="E14" s="6">
        <v>734.24292500000001</v>
      </c>
      <c r="F14" s="5">
        <v>790</v>
      </c>
      <c r="G14" s="8">
        <v>391.3876923076923</v>
      </c>
      <c r="H14" s="24">
        <f>(F14-C14)/C14</f>
        <v>0.9818755837559533</v>
      </c>
      <c r="I14" s="5"/>
    </row>
    <row r="15" spans="1:9" x14ac:dyDescent="0.25">
      <c r="A15" s="7">
        <v>14</v>
      </c>
      <c r="B15" s="11" t="s">
        <v>85</v>
      </c>
      <c r="C15" s="9">
        <v>258.39692307692309</v>
      </c>
      <c r="D15" s="4">
        <v>206.88799999999998</v>
      </c>
      <c r="E15" s="9">
        <v>455.35327499999994</v>
      </c>
      <c r="F15" s="7">
        <v>380</v>
      </c>
      <c r="G15" s="8">
        <v>173.11200000000002</v>
      </c>
      <c r="H15" s="24">
        <f>(F15-D15)/D15</f>
        <v>0.83674258536019508</v>
      </c>
      <c r="I15" s="5"/>
    </row>
    <row r="16" spans="1:9" x14ac:dyDescent="0.25">
      <c r="A16" s="7">
        <v>15</v>
      </c>
      <c r="B16" s="7" t="s">
        <v>143</v>
      </c>
      <c r="C16" s="16"/>
      <c r="D16" s="6">
        <v>964.05418181818175</v>
      </c>
      <c r="E16" s="12">
        <v>826.27577499999995</v>
      </c>
      <c r="F16" s="5">
        <v>1320</v>
      </c>
      <c r="G16" s="8">
        <v>493.72422500000005</v>
      </c>
      <c r="H16" s="24">
        <f>(F16-E16)/E16</f>
        <v>0.59752958992413896</v>
      </c>
      <c r="I16" s="26" t="s">
        <v>139</v>
      </c>
    </row>
    <row r="17" spans="1:9" x14ac:dyDescent="0.25">
      <c r="A17" s="7">
        <v>16</v>
      </c>
      <c r="B17" s="7" t="s">
        <v>198</v>
      </c>
      <c r="C17" s="4">
        <v>1180.8503625600001</v>
      </c>
      <c r="D17" s="9">
        <v>1293.287818181818</v>
      </c>
      <c r="E17" s="9">
        <v>1391.8775000000001</v>
      </c>
      <c r="F17" s="7">
        <v>1870</v>
      </c>
      <c r="G17" s="8">
        <v>689.14963743999988</v>
      </c>
      <c r="H17" s="24">
        <f>(F17-C17)/C17</f>
        <v>0.58360454405583806</v>
      </c>
      <c r="I17" s="5"/>
    </row>
    <row r="18" spans="1:9" x14ac:dyDescent="0.25">
      <c r="A18" s="7">
        <v>17</v>
      </c>
      <c r="B18" s="11" t="s">
        <v>98</v>
      </c>
      <c r="C18" s="4">
        <v>2041.0679872799997</v>
      </c>
      <c r="D18" s="9">
        <v>3125.284206368</v>
      </c>
      <c r="E18" s="9">
        <v>3705.5524999999998</v>
      </c>
      <c r="F18" s="7">
        <v>3200</v>
      </c>
      <c r="G18" s="8">
        <v>1158.9320127200003</v>
      </c>
      <c r="H18" s="24">
        <f>(F18-C18)/C18</f>
        <v>0.56780666785354594</v>
      </c>
      <c r="I18" s="5"/>
    </row>
    <row r="19" spans="1:9" x14ac:dyDescent="0.25">
      <c r="A19" s="7">
        <v>18</v>
      </c>
      <c r="B19" s="7" t="s">
        <v>33</v>
      </c>
      <c r="C19" s="9">
        <v>1340.0584615384616</v>
      </c>
      <c r="D19" s="6">
        <v>1820.6339999999998</v>
      </c>
      <c r="E19" s="4">
        <v>1064.9882749999999</v>
      </c>
      <c r="F19" s="7">
        <v>1650</v>
      </c>
      <c r="G19" s="8">
        <v>585.01172500000007</v>
      </c>
      <c r="H19" s="24">
        <f>(F19-E19)/E19</f>
        <v>0.54931283163657374</v>
      </c>
      <c r="I19" s="5"/>
    </row>
    <row r="20" spans="1:9" x14ac:dyDescent="0.25">
      <c r="A20" s="7">
        <v>19</v>
      </c>
      <c r="B20" s="7" t="s">
        <v>107</v>
      </c>
      <c r="C20" s="9">
        <v>11235.097561846153</v>
      </c>
      <c r="D20" s="12">
        <v>10975.722545454544</v>
      </c>
      <c r="E20" s="6">
        <v>13584.577499999999</v>
      </c>
      <c r="F20" s="5">
        <v>17000</v>
      </c>
      <c r="G20" s="14">
        <f>F20-D20</f>
        <v>6024.2774545454558</v>
      </c>
      <c r="H20" s="24">
        <f>(F20-D20)/D20</f>
        <v>0.54887297210700114</v>
      </c>
      <c r="I20" s="5"/>
    </row>
    <row r="21" spans="1:9" x14ac:dyDescent="0.25">
      <c r="A21" s="7">
        <v>20</v>
      </c>
      <c r="B21" s="7" t="s">
        <v>159</v>
      </c>
      <c r="C21" s="9">
        <v>391.90863919680004</v>
      </c>
      <c r="D21" s="4">
        <v>226.44209090909089</v>
      </c>
      <c r="E21" s="9">
        <v>367.21327500000001</v>
      </c>
      <c r="F21" s="7">
        <v>345</v>
      </c>
      <c r="G21" s="8">
        <v>118.55790909090911</v>
      </c>
      <c r="H21" s="24">
        <f>(F21-D21)/D21</f>
        <v>0.52356833756011478</v>
      </c>
      <c r="I21" s="5"/>
    </row>
    <row r="22" spans="1:9" x14ac:dyDescent="0.25">
      <c r="A22" s="7">
        <v>21</v>
      </c>
      <c r="B22" s="7" t="s">
        <v>160</v>
      </c>
      <c r="C22" s="9">
        <v>391.90863919680004</v>
      </c>
      <c r="D22" s="4">
        <v>226.44209090909089</v>
      </c>
      <c r="E22" s="9">
        <v>367.21327500000001</v>
      </c>
      <c r="F22" s="7">
        <v>345</v>
      </c>
      <c r="G22" s="8">
        <v>118.55790909090911</v>
      </c>
      <c r="H22" s="24">
        <f>(F22-D22)/D22</f>
        <v>0.52356833756011478</v>
      </c>
      <c r="I22" s="5"/>
    </row>
    <row r="23" spans="1:9" x14ac:dyDescent="0.25">
      <c r="A23" s="7">
        <v>22</v>
      </c>
      <c r="B23" s="7" t="s">
        <v>105</v>
      </c>
      <c r="C23" s="4">
        <v>25152.428023384615</v>
      </c>
      <c r="D23" s="6">
        <v>25878.33090909091</v>
      </c>
      <c r="E23" s="6">
        <v>34885.077499999999</v>
      </c>
      <c r="F23" s="5">
        <v>38000</v>
      </c>
      <c r="G23" s="14">
        <f>F23-C23</f>
        <v>12847.571976615385</v>
      </c>
      <c r="H23" s="24">
        <f>(F23-C23)/C23</f>
        <v>0.51078853956647019</v>
      </c>
      <c r="I23" s="5"/>
    </row>
    <row r="24" spans="1:9" x14ac:dyDescent="0.25">
      <c r="A24" s="7">
        <v>23</v>
      </c>
      <c r="B24" s="7" t="s">
        <v>18</v>
      </c>
      <c r="C24" s="4">
        <v>234.35999999999999</v>
      </c>
      <c r="D24" s="6">
        <v>273.45490909090904</v>
      </c>
      <c r="E24" s="6">
        <v>330.2312</v>
      </c>
      <c r="F24" s="7">
        <v>350</v>
      </c>
      <c r="G24" s="8">
        <v>115.64000000000001</v>
      </c>
      <c r="H24" s="24">
        <f>(F24-C24)/C24</f>
        <v>0.49342891278375156</v>
      </c>
      <c r="I24" s="5"/>
    </row>
    <row r="25" spans="1:9" x14ac:dyDescent="0.25">
      <c r="A25" s="7">
        <v>24</v>
      </c>
      <c r="B25" s="5" t="s">
        <v>44</v>
      </c>
      <c r="C25" s="6">
        <v>286.44</v>
      </c>
      <c r="D25" s="4">
        <v>283.339</v>
      </c>
      <c r="E25" s="6">
        <v>345.03137500000003</v>
      </c>
      <c r="F25" s="5">
        <v>420</v>
      </c>
      <c r="G25" s="8">
        <v>136.661</v>
      </c>
      <c r="H25" s="24">
        <f>(F25-D25)/D25</f>
        <v>0.48232329471057639</v>
      </c>
      <c r="I25" s="5"/>
    </row>
    <row r="26" spans="1:9" x14ac:dyDescent="0.25">
      <c r="A26" s="7">
        <v>25</v>
      </c>
      <c r="B26" s="5" t="s">
        <v>48</v>
      </c>
      <c r="C26" s="6">
        <v>286.44</v>
      </c>
      <c r="D26" s="4">
        <v>283.339</v>
      </c>
      <c r="E26" s="6">
        <v>345.03137500000003</v>
      </c>
      <c r="F26" s="5">
        <v>420</v>
      </c>
      <c r="G26" s="8">
        <v>136.661</v>
      </c>
      <c r="H26" s="24">
        <f>(F26-D26)/D26</f>
        <v>0.48232329471057639</v>
      </c>
      <c r="I26" s="5"/>
    </row>
    <row r="27" spans="1:9" x14ac:dyDescent="0.25">
      <c r="A27" s="7">
        <v>26</v>
      </c>
      <c r="B27" s="5" t="s">
        <v>49</v>
      </c>
      <c r="C27" s="6">
        <v>286.44</v>
      </c>
      <c r="D27" s="4">
        <v>283.339</v>
      </c>
      <c r="E27" s="6">
        <v>345.03137500000003</v>
      </c>
      <c r="F27" s="5">
        <v>420</v>
      </c>
      <c r="G27" s="8">
        <v>136.661</v>
      </c>
      <c r="H27" s="24">
        <f>(F27-D27)/D27</f>
        <v>0.48232329471057639</v>
      </c>
      <c r="I27" s="5"/>
    </row>
    <row r="28" spans="1:9" x14ac:dyDescent="0.25">
      <c r="A28" s="7">
        <v>27</v>
      </c>
      <c r="B28" s="5" t="s">
        <v>50</v>
      </c>
      <c r="C28" s="6">
        <v>286.44</v>
      </c>
      <c r="D28" s="4">
        <v>283.339</v>
      </c>
      <c r="E28" s="6">
        <v>345.03137500000003</v>
      </c>
      <c r="F28" s="5">
        <v>420</v>
      </c>
      <c r="G28" s="8">
        <v>136.661</v>
      </c>
      <c r="H28" s="24">
        <f>(F28-D28)/D28</f>
        <v>0.48232329471057639</v>
      </c>
      <c r="I28" s="5"/>
    </row>
    <row r="29" spans="1:9" x14ac:dyDescent="0.25">
      <c r="A29" s="7">
        <v>28</v>
      </c>
      <c r="B29" s="5" t="s">
        <v>40</v>
      </c>
      <c r="C29" s="4">
        <v>536.8246153846153</v>
      </c>
      <c r="D29" s="9">
        <v>569.05899999999997</v>
      </c>
      <c r="E29" s="6">
        <v>616.7963749999999</v>
      </c>
      <c r="F29" s="5">
        <v>780</v>
      </c>
      <c r="G29" s="8">
        <v>243.1753846153847</v>
      </c>
      <c r="H29" s="24">
        <f>(F29-C29)/C29</f>
        <v>0.45298851365293374</v>
      </c>
      <c r="I29" s="5"/>
    </row>
    <row r="30" spans="1:9" x14ac:dyDescent="0.25">
      <c r="A30" s="7">
        <v>29</v>
      </c>
      <c r="B30" s="5" t="s">
        <v>41</v>
      </c>
      <c r="C30" s="4">
        <v>515.13129230769232</v>
      </c>
      <c r="D30" s="9">
        <v>545.24900000000002</v>
      </c>
      <c r="E30" s="6">
        <v>642.6875</v>
      </c>
      <c r="F30" s="5">
        <v>740</v>
      </c>
      <c r="G30" s="8">
        <v>224.86870769230768</v>
      </c>
      <c r="H30" s="24">
        <f>(F30-C30)/C30</f>
        <v>0.43652698069445117</v>
      </c>
      <c r="I30" s="5"/>
    </row>
    <row r="31" spans="1:9" x14ac:dyDescent="0.25">
      <c r="A31" s="7">
        <v>30</v>
      </c>
      <c r="B31" s="7" t="s">
        <v>171</v>
      </c>
      <c r="C31" s="4">
        <v>608.99201088000007</v>
      </c>
      <c r="D31" s="9">
        <v>674.65736363636358</v>
      </c>
      <c r="E31" s="9">
        <v>694.10249999999996</v>
      </c>
      <c r="F31" s="7">
        <v>870</v>
      </c>
      <c r="G31" s="8">
        <v>261.00798911999993</v>
      </c>
      <c r="H31" s="24">
        <f>(F31-C31)/C31</f>
        <v>0.42859016942248646</v>
      </c>
      <c r="I31" s="5"/>
    </row>
    <row r="32" spans="1:9" x14ac:dyDescent="0.25">
      <c r="A32" s="7">
        <v>31</v>
      </c>
      <c r="B32" s="7" t="s">
        <v>172</v>
      </c>
      <c r="C32" s="4">
        <v>608.99201088000007</v>
      </c>
      <c r="D32" s="9">
        <v>674.65736363636358</v>
      </c>
      <c r="E32" s="9">
        <v>694.10249999999996</v>
      </c>
      <c r="F32" s="7">
        <v>870</v>
      </c>
      <c r="G32" s="8">
        <v>261.00798911999993</v>
      </c>
      <c r="H32" s="24">
        <f>(F32-C32)/C32</f>
        <v>0.42859016942248646</v>
      </c>
      <c r="I32" s="5"/>
    </row>
    <row r="33" spans="1:9" x14ac:dyDescent="0.25">
      <c r="A33" s="7">
        <v>32</v>
      </c>
      <c r="B33" s="7" t="s">
        <v>144</v>
      </c>
      <c r="C33" s="16"/>
      <c r="D33" s="12">
        <v>1197.908909090909</v>
      </c>
      <c r="E33" s="6">
        <v>1465.3274999999999</v>
      </c>
      <c r="F33" s="5">
        <v>1710</v>
      </c>
      <c r="G33" s="8">
        <v>512.09109090909101</v>
      </c>
      <c r="H33" s="24">
        <f>(F33-D33)/D33</f>
        <v>0.42748750512066569</v>
      </c>
      <c r="I33" s="5"/>
    </row>
    <row r="34" spans="1:9" x14ac:dyDescent="0.25">
      <c r="A34" s="7">
        <v>33</v>
      </c>
      <c r="B34" s="7" t="s">
        <v>255</v>
      </c>
      <c r="C34" s="7"/>
      <c r="D34" s="4">
        <v>933.70790909090908</v>
      </c>
      <c r="E34" s="9">
        <v>1685.6775</v>
      </c>
      <c r="F34" s="3">
        <v>1320</v>
      </c>
      <c r="G34" s="8">
        <v>386.29209090909092</v>
      </c>
      <c r="H34" s="24">
        <f>(F34-D34)/D34</f>
        <v>0.41371834504989735</v>
      </c>
      <c r="I34" s="5"/>
    </row>
    <row r="35" spans="1:9" x14ac:dyDescent="0.25">
      <c r="A35" s="7">
        <v>34</v>
      </c>
      <c r="B35" s="5" t="s">
        <v>47</v>
      </c>
      <c r="C35" s="6">
        <v>286.44</v>
      </c>
      <c r="D35" s="4">
        <v>283.339</v>
      </c>
      <c r="E35" s="6">
        <v>345.03137500000003</v>
      </c>
      <c r="F35" s="5">
        <v>400</v>
      </c>
      <c r="G35" s="8">
        <v>116.661</v>
      </c>
      <c r="H35" s="24">
        <f>(F35-D35)/D35</f>
        <v>0.41173647115292988</v>
      </c>
      <c r="I35" s="5"/>
    </row>
    <row r="36" spans="1:9" x14ac:dyDescent="0.25">
      <c r="A36" s="7">
        <v>35</v>
      </c>
      <c r="B36" s="5" t="s">
        <v>68</v>
      </c>
      <c r="C36" s="6">
        <v>558.85846153846148</v>
      </c>
      <c r="D36" s="9">
        <v>595.22619000000009</v>
      </c>
      <c r="E36" s="4">
        <v>550.83827500000007</v>
      </c>
      <c r="F36" s="5">
        <v>775</v>
      </c>
      <c r="G36" s="8">
        <v>224.16172499999993</v>
      </c>
      <c r="H36" s="24">
        <f>(F36-E36)/E36</f>
        <v>0.40694653072174386</v>
      </c>
      <c r="I36" s="5"/>
    </row>
    <row r="37" spans="1:9" x14ac:dyDescent="0.25">
      <c r="A37" s="7">
        <v>36</v>
      </c>
      <c r="B37" s="5" t="s">
        <v>61</v>
      </c>
      <c r="C37" s="6">
        <v>576.88615384615389</v>
      </c>
      <c r="D37" s="4">
        <v>450.00900000000001</v>
      </c>
      <c r="E37" s="6">
        <v>587.56327499999998</v>
      </c>
      <c r="F37" s="5">
        <v>630</v>
      </c>
      <c r="G37" s="8">
        <v>179.99099999999999</v>
      </c>
      <c r="H37" s="24">
        <f>(F37-D37)/D37</f>
        <v>0.39997200055998877</v>
      </c>
      <c r="I37" s="5"/>
    </row>
    <row r="38" spans="1:9" x14ac:dyDescent="0.25">
      <c r="A38" s="7">
        <v>37</v>
      </c>
      <c r="B38" s="7" t="s">
        <v>146</v>
      </c>
      <c r="C38" s="16"/>
      <c r="D38" s="12">
        <v>1200.2951818181816</v>
      </c>
      <c r="E38" s="6">
        <v>1465.3274999999999</v>
      </c>
      <c r="F38" s="5">
        <v>1670</v>
      </c>
      <c r="G38" s="8">
        <v>469.70481818181838</v>
      </c>
      <c r="H38" s="24">
        <f>(F38-D38)/D38</f>
        <v>0.39132442193954281</v>
      </c>
      <c r="I38" s="5"/>
    </row>
    <row r="39" spans="1:9" x14ac:dyDescent="0.25">
      <c r="A39" s="7">
        <v>38</v>
      </c>
      <c r="B39" s="3" t="s">
        <v>258</v>
      </c>
      <c r="C39" s="17">
        <v>1280.1326510840001</v>
      </c>
      <c r="D39" s="18">
        <v>1143.0568181818182</v>
      </c>
      <c r="E39" s="9">
        <v>1285.3382750000001</v>
      </c>
      <c r="F39" s="3">
        <v>1590</v>
      </c>
      <c r="G39" s="8">
        <v>446.94318181818176</v>
      </c>
      <c r="H39" s="24">
        <f>(F39-D39)/D39</f>
        <v>0.39100696895286752</v>
      </c>
      <c r="I39" s="5"/>
    </row>
    <row r="40" spans="1:9" x14ac:dyDescent="0.25">
      <c r="A40" s="7">
        <v>39</v>
      </c>
      <c r="B40" s="5" t="s">
        <v>58</v>
      </c>
      <c r="C40" s="6">
        <v>576.88615384615389</v>
      </c>
      <c r="D40" s="4">
        <v>450.00900000000001</v>
      </c>
      <c r="E40" s="6">
        <v>734.31637499999988</v>
      </c>
      <c r="F40" s="5">
        <v>620</v>
      </c>
      <c r="G40" s="8">
        <v>169.99099999999999</v>
      </c>
      <c r="H40" s="24">
        <f>(F40-D40)/D40</f>
        <v>0.37775022277332226</v>
      </c>
      <c r="I40" s="5"/>
    </row>
    <row r="41" spans="1:9" x14ac:dyDescent="0.25">
      <c r="A41" s="7">
        <v>40</v>
      </c>
      <c r="B41" s="7" t="s">
        <v>103</v>
      </c>
      <c r="C41" s="4">
        <v>20447.139407999995</v>
      </c>
      <c r="D41" s="9">
        <v>22192.486181818182</v>
      </c>
      <c r="E41" s="6">
        <v>25703.827499999999</v>
      </c>
      <c r="F41" s="5">
        <v>28000</v>
      </c>
      <c r="G41" s="14">
        <f>F41-C41</f>
        <v>7552.8605920000045</v>
      </c>
      <c r="H41" s="24">
        <f>(F41-C41)/C41</f>
        <v>0.36938470664727452</v>
      </c>
      <c r="I41" s="5"/>
    </row>
    <row r="42" spans="1:9" x14ac:dyDescent="0.25">
      <c r="A42" s="7">
        <v>41</v>
      </c>
      <c r="B42" s="7" t="s">
        <v>203</v>
      </c>
      <c r="C42" s="9">
        <v>720.39298847999999</v>
      </c>
      <c r="D42" s="4">
        <v>688.66409090909087</v>
      </c>
      <c r="E42" s="9">
        <v>1325.7357749999999</v>
      </c>
      <c r="F42" s="7">
        <v>940</v>
      </c>
      <c r="G42" s="8">
        <v>251.33590909090913</v>
      </c>
      <c r="H42" s="24">
        <f>(F42-D42)/D42</f>
        <v>0.3649615428025671</v>
      </c>
      <c r="I42" s="5"/>
    </row>
    <row r="43" spans="1:9" x14ac:dyDescent="0.25">
      <c r="A43" s="7">
        <v>42</v>
      </c>
      <c r="B43" s="11" t="s">
        <v>227</v>
      </c>
      <c r="C43" s="18">
        <v>1761.41445376</v>
      </c>
      <c r="D43" s="17">
        <v>2212.710818181818</v>
      </c>
      <c r="E43" s="17">
        <v>2219.989525</v>
      </c>
      <c r="F43" s="3">
        <v>2400</v>
      </c>
      <c r="G43" s="8">
        <v>638.58554623999999</v>
      </c>
      <c r="H43" s="24">
        <f>(F43-C43)/C43</f>
        <v>0.36254133425375529</v>
      </c>
      <c r="I43" s="5"/>
    </row>
    <row r="44" spans="1:9" x14ac:dyDescent="0.25">
      <c r="A44" s="7">
        <v>43</v>
      </c>
      <c r="B44" s="5" t="s">
        <v>60</v>
      </c>
      <c r="C44" s="6">
        <v>576.88615384615389</v>
      </c>
      <c r="D44" s="4">
        <v>450.00900000000001</v>
      </c>
      <c r="E44" s="6">
        <v>616.7963749999999</v>
      </c>
      <c r="F44" s="5">
        <v>610</v>
      </c>
      <c r="G44" s="8">
        <v>159.99099999999999</v>
      </c>
      <c r="H44" s="24">
        <f>(F44-D44)/D44</f>
        <v>0.35552844498665576</v>
      </c>
      <c r="I44" s="5"/>
    </row>
    <row r="45" spans="1:9" x14ac:dyDescent="0.25">
      <c r="A45" s="7">
        <v>44</v>
      </c>
      <c r="B45" s="7" t="s">
        <v>8</v>
      </c>
      <c r="C45" s="4">
        <v>3162.8584615384616</v>
      </c>
      <c r="D45" s="6">
        <v>3235.8830909090907</v>
      </c>
      <c r="E45" s="6">
        <v>5945.7775000000001</v>
      </c>
      <c r="F45" s="7">
        <v>4280</v>
      </c>
      <c r="G45" s="8">
        <v>1117.1415384615384</v>
      </c>
      <c r="H45" s="24">
        <f>(F45-C45)/C45</f>
        <v>0.35320630121341062</v>
      </c>
      <c r="I45" s="5"/>
    </row>
    <row r="46" spans="1:9" x14ac:dyDescent="0.25">
      <c r="A46" s="7">
        <v>45</v>
      </c>
      <c r="B46" s="11" t="s">
        <v>217</v>
      </c>
      <c r="C46" s="18">
        <v>1278.5567402239999</v>
      </c>
      <c r="D46" s="17">
        <v>1458.6453636363635</v>
      </c>
      <c r="E46" s="17">
        <v>1402.858275</v>
      </c>
      <c r="F46" s="3">
        <v>1725</v>
      </c>
      <c r="G46" s="8">
        <v>446.4432597760001</v>
      </c>
      <c r="H46" s="24">
        <f>(F46-C46)/C46</f>
        <v>0.34917751064984753</v>
      </c>
      <c r="I46" s="26" t="s">
        <v>239</v>
      </c>
    </row>
    <row r="47" spans="1:9" x14ac:dyDescent="0.25">
      <c r="A47" s="7">
        <v>46</v>
      </c>
      <c r="B47" s="5" t="s">
        <v>148</v>
      </c>
      <c r="C47" s="16"/>
      <c r="D47" s="12">
        <v>1200.2951818181816</v>
      </c>
      <c r="E47" s="6">
        <v>1465.3274999999999</v>
      </c>
      <c r="F47" s="5">
        <v>1595</v>
      </c>
      <c r="G47" s="8">
        <v>394.70481818181838</v>
      </c>
      <c r="H47" s="24">
        <f>(F47-D47)/D47</f>
        <v>0.32883979221171905</v>
      </c>
      <c r="I47" s="5"/>
    </row>
    <row r="48" spans="1:9" x14ac:dyDescent="0.25">
      <c r="A48" s="7">
        <v>47</v>
      </c>
      <c r="B48" s="7" t="s">
        <v>29</v>
      </c>
      <c r="C48" s="6">
        <v>9011.8430769230763</v>
      </c>
      <c r="D48" s="4">
        <v>8148.476545454545</v>
      </c>
      <c r="E48" s="6">
        <v>10279.327499999999</v>
      </c>
      <c r="F48" s="7">
        <v>10800</v>
      </c>
      <c r="G48" s="8">
        <v>2651.523454545455</v>
      </c>
      <c r="H48" s="24">
        <f>(F48-D48)/D48</f>
        <v>0.32540112740761967</v>
      </c>
      <c r="I48" s="5"/>
    </row>
    <row r="49" spans="1:9" x14ac:dyDescent="0.25">
      <c r="A49" s="7">
        <v>48</v>
      </c>
      <c r="B49" s="7" t="s">
        <v>15</v>
      </c>
      <c r="C49" s="6">
        <v>1446.2215384615386</v>
      </c>
      <c r="D49" s="4">
        <v>957.09218181818164</v>
      </c>
      <c r="E49" s="6">
        <v>1505.541375</v>
      </c>
      <c r="F49" s="7">
        <v>1264</v>
      </c>
      <c r="G49" s="8">
        <v>306.90781818181836</v>
      </c>
      <c r="H49" s="24">
        <f>(F49-D49)/D49</f>
        <v>0.32066693680308578</v>
      </c>
      <c r="I49" s="5"/>
    </row>
    <row r="50" spans="1:9" x14ac:dyDescent="0.25">
      <c r="A50" s="7">
        <v>49</v>
      </c>
      <c r="B50" s="3" t="s">
        <v>228</v>
      </c>
      <c r="C50" s="17">
        <v>1278.8351513600001</v>
      </c>
      <c r="D50" s="18">
        <v>1175.8708181818181</v>
      </c>
      <c r="E50" s="17">
        <v>1322.063275</v>
      </c>
      <c r="F50" s="3">
        <v>1550</v>
      </c>
      <c r="G50" s="8">
        <v>374.12918181818191</v>
      </c>
      <c r="H50" s="24">
        <f>(F50-D50)/D50</f>
        <v>0.31817201008243107</v>
      </c>
      <c r="I50" s="26" t="s">
        <v>158</v>
      </c>
    </row>
    <row r="51" spans="1:9" x14ac:dyDescent="0.25">
      <c r="A51" s="7">
        <v>50</v>
      </c>
      <c r="B51" s="5" t="s">
        <v>65</v>
      </c>
      <c r="C51" s="4">
        <v>296.45538461538456</v>
      </c>
      <c r="D51" s="9">
        <v>307.149</v>
      </c>
      <c r="E51" s="6">
        <v>330.48827499999999</v>
      </c>
      <c r="F51" s="5">
        <v>390</v>
      </c>
      <c r="G51" s="8">
        <v>93.54461538461544</v>
      </c>
      <c r="H51" s="24">
        <f>(F51-C51)/C51</f>
        <v>0.31554365425333192</v>
      </c>
      <c r="I51" s="5"/>
    </row>
    <row r="52" spans="1:9" x14ac:dyDescent="0.25">
      <c r="A52" s="7">
        <v>51</v>
      </c>
      <c r="B52" s="11" t="s">
        <v>80</v>
      </c>
      <c r="C52" s="4">
        <v>959.47384615384624</v>
      </c>
      <c r="D52" s="9">
        <v>971.22627272727266</v>
      </c>
      <c r="E52" s="9">
        <v>2199.8274999999999</v>
      </c>
      <c r="F52" s="9">
        <v>1250</v>
      </c>
      <c r="G52" s="8">
        <v>290.52615384615376</v>
      </c>
      <c r="H52" s="24">
        <f>(F52-C52)/C52</f>
        <v>0.30279736650536021</v>
      </c>
      <c r="I52" s="5"/>
    </row>
    <row r="53" spans="1:9" x14ac:dyDescent="0.25">
      <c r="A53" s="7">
        <v>52</v>
      </c>
      <c r="B53" s="11" t="s">
        <v>219</v>
      </c>
      <c r="C53" s="18">
        <v>1278.5567402239999</v>
      </c>
      <c r="D53" s="17">
        <v>1569.3987272727272</v>
      </c>
      <c r="E53" s="17">
        <v>1674.6232749999999</v>
      </c>
      <c r="F53" s="3">
        <v>1665</v>
      </c>
      <c r="G53" s="8">
        <v>386.4432597760001</v>
      </c>
      <c r="H53" s="24">
        <f>(F53-C53)/C53</f>
        <v>0.3022495972359398</v>
      </c>
      <c r="I53" s="5"/>
    </row>
    <row r="54" spans="1:9" x14ac:dyDescent="0.25">
      <c r="A54" s="7">
        <v>53</v>
      </c>
      <c r="B54" s="7" t="s">
        <v>145</v>
      </c>
      <c r="C54" s="16"/>
      <c r="D54" s="12">
        <v>1369.7205454545453</v>
      </c>
      <c r="E54" s="6">
        <v>1759.1274999999998</v>
      </c>
      <c r="F54" s="5">
        <v>1770</v>
      </c>
      <c r="G54" s="8">
        <v>400.27945454545466</v>
      </c>
      <c r="H54" s="24">
        <f>(F54-D54)/D54</f>
        <v>0.29223439472656876</v>
      </c>
      <c r="I54" s="5"/>
    </row>
    <row r="55" spans="1:9" x14ac:dyDescent="0.25">
      <c r="A55" s="7">
        <v>54</v>
      </c>
      <c r="B55" s="11" t="s">
        <v>88</v>
      </c>
      <c r="C55" s="4">
        <v>230.07341538461537</v>
      </c>
      <c r="D55" s="9">
        <v>232.71436363636363</v>
      </c>
      <c r="E55" s="9">
        <v>0</v>
      </c>
      <c r="F55" s="7">
        <v>295</v>
      </c>
      <c r="G55" s="8">
        <v>64.926584615384627</v>
      </c>
      <c r="H55" s="24">
        <f>(F55-C55)/C55</f>
        <v>0.28219942102761586</v>
      </c>
      <c r="I55" s="5"/>
    </row>
    <row r="56" spans="1:9" x14ac:dyDescent="0.25">
      <c r="A56" s="7">
        <v>55</v>
      </c>
      <c r="B56" s="5" t="s">
        <v>64</v>
      </c>
      <c r="C56" s="4">
        <v>296.45538461538456</v>
      </c>
      <c r="D56" s="9">
        <v>307.149</v>
      </c>
      <c r="E56" s="6">
        <v>330.48827499999999</v>
      </c>
      <c r="F56" s="5">
        <v>380</v>
      </c>
      <c r="G56" s="8">
        <v>83.54461538461544</v>
      </c>
      <c r="H56" s="24">
        <f>(F56-C56)/C56</f>
        <v>0.28181176568273364</v>
      </c>
      <c r="I56" s="5"/>
    </row>
    <row r="57" spans="1:9" x14ac:dyDescent="0.25">
      <c r="A57" s="7">
        <v>56</v>
      </c>
      <c r="B57" s="7" t="s">
        <v>116</v>
      </c>
      <c r="C57" s="7"/>
      <c r="D57" s="9">
        <v>949.73654545454542</v>
      </c>
      <c r="E57" s="12">
        <v>822.64</v>
      </c>
      <c r="F57" s="7">
        <v>1050</v>
      </c>
      <c r="G57" s="8">
        <v>227.36</v>
      </c>
      <c r="H57" s="24">
        <f>(F57-E57)/E57</f>
        <v>0.2763784887678693</v>
      </c>
      <c r="I57" s="5"/>
    </row>
    <row r="58" spans="1:9" x14ac:dyDescent="0.25">
      <c r="A58" s="7">
        <v>57</v>
      </c>
      <c r="B58" s="11" t="s">
        <v>214</v>
      </c>
      <c r="C58" s="17">
        <v>2162.2151251455998</v>
      </c>
      <c r="D58" s="18">
        <v>2118.4526363636364</v>
      </c>
      <c r="E58" s="17">
        <v>2530.315775</v>
      </c>
      <c r="F58" s="3">
        <v>2690</v>
      </c>
      <c r="G58" s="8">
        <v>571.54736363636357</v>
      </c>
      <c r="H58" s="24">
        <f>(F58-D58)/D58</f>
        <v>0.26979473311116142</v>
      </c>
      <c r="I58" s="5"/>
    </row>
    <row r="59" spans="1:9" x14ac:dyDescent="0.25">
      <c r="A59" s="7">
        <v>58</v>
      </c>
      <c r="B59" s="3" t="s">
        <v>233</v>
      </c>
      <c r="C59" s="17">
        <v>3469.0027545599996</v>
      </c>
      <c r="D59" s="18">
        <v>3249.5508181818177</v>
      </c>
      <c r="E59" s="17">
        <v>4127.8532749999995</v>
      </c>
      <c r="F59" s="3">
        <v>4125</v>
      </c>
      <c r="G59" s="8">
        <v>875.4491818181823</v>
      </c>
      <c r="H59" s="24">
        <f>(F59-D59)/D59</f>
        <v>0.26940621359724171</v>
      </c>
      <c r="I59" s="5"/>
    </row>
    <row r="60" spans="1:9" x14ac:dyDescent="0.25">
      <c r="A60" s="7">
        <v>59</v>
      </c>
      <c r="B60" s="3" t="s">
        <v>236</v>
      </c>
      <c r="C60" s="17">
        <v>14104.30814976</v>
      </c>
      <c r="D60" s="17">
        <v>15550.243545454545</v>
      </c>
      <c r="E60" s="18">
        <v>13000.613274999998</v>
      </c>
      <c r="F60" s="3">
        <v>16500</v>
      </c>
      <c r="G60" s="8">
        <v>3499.3867250000021</v>
      </c>
      <c r="H60" s="24">
        <f>(F60-E60)/E60</f>
        <v>0.26917089609374623</v>
      </c>
      <c r="I60" s="26"/>
    </row>
    <row r="61" spans="1:9" x14ac:dyDescent="0.25">
      <c r="A61" s="7">
        <v>60</v>
      </c>
      <c r="B61" s="7" t="s">
        <v>174</v>
      </c>
      <c r="C61" s="4">
        <v>181.95493008</v>
      </c>
      <c r="D61" s="9">
        <v>184.42190909090908</v>
      </c>
      <c r="E61" s="9">
        <v>256.89137499999998</v>
      </c>
      <c r="F61" s="7">
        <v>230</v>
      </c>
      <c r="G61" s="8">
        <v>48.045069920000003</v>
      </c>
      <c r="H61" s="24">
        <f>(F61-C61)/C61</f>
        <v>0.26404928901281244</v>
      </c>
      <c r="I61" s="5"/>
    </row>
    <row r="62" spans="1:9" x14ac:dyDescent="0.25">
      <c r="A62" s="7">
        <v>61</v>
      </c>
      <c r="B62" s="7" t="s">
        <v>176</v>
      </c>
      <c r="C62" s="4">
        <v>181.95493008</v>
      </c>
      <c r="D62" s="9">
        <v>184.42190909090908</v>
      </c>
      <c r="E62" s="9">
        <v>256.89137499999998</v>
      </c>
      <c r="F62" s="7">
        <v>230</v>
      </c>
      <c r="G62" s="8">
        <v>48.045069920000003</v>
      </c>
      <c r="H62" s="24">
        <f>(F62-C62)/C62</f>
        <v>0.26404928901281244</v>
      </c>
      <c r="I62" s="5"/>
    </row>
    <row r="63" spans="1:9" x14ac:dyDescent="0.25">
      <c r="A63" s="7">
        <v>62</v>
      </c>
      <c r="B63" s="7" t="s">
        <v>177</v>
      </c>
      <c r="C63" s="4">
        <v>181.95493008</v>
      </c>
      <c r="D63" s="9">
        <v>226.44209090909089</v>
      </c>
      <c r="E63" s="9">
        <v>256.89137499999998</v>
      </c>
      <c r="F63" s="7">
        <v>230</v>
      </c>
      <c r="G63" s="8">
        <v>48.045069920000003</v>
      </c>
      <c r="H63" s="24">
        <f>(F63-C63)/C63</f>
        <v>0.26404928901281244</v>
      </c>
      <c r="I63" s="5"/>
    </row>
    <row r="64" spans="1:9" x14ac:dyDescent="0.25">
      <c r="A64" s="7">
        <v>63</v>
      </c>
      <c r="B64" s="7" t="s">
        <v>179</v>
      </c>
      <c r="C64" s="4">
        <v>181.95493008</v>
      </c>
      <c r="D64" s="9">
        <v>184.42190909090908</v>
      </c>
      <c r="E64" s="9">
        <v>256.89137499999998</v>
      </c>
      <c r="F64" s="7">
        <v>230</v>
      </c>
      <c r="G64" s="8">
        <v>48.045069920000003</v>
      </c>
      <c r="H64" s="24">
        <f>(F64-C64)/C64</f>
        <v>0.26404928901281244</v>
      </c>
      <c r="I64" s="5"/>
    </row>
    <row r="65" spans="1:9" x14ac:dyDescent="0.25">
      <c r="A65" s="7">
        <v>64</v>
      </c>
      <c r="B65" s="7" t="s">
        <v>180</v>
      </c>
      <c r="C65" s="4">
        <v>181.95493008</v>
      </c>
      <c r="D65" s="9">
        <v>186.75636363636363</v>
      </c>
      <c r="E65" s="9">
        <v>256.89137499999998</v>
      </c>
      <c r="F65" s="7">
        <v>230</v>
      </c>
      <c r="G65" s="8">
        <v>48.045069920000003</v>
      </c>
      <c r="H65" s="24">
        <f>(F65-C65)/C65</f>
        <v>0.26404928901281244</v>
      </c>
      <c r="I65" s="5"/>
    </row>
    <row r="66" spans="1:9" x14ac:dyDescent="0.25">
      <c r="A66" s="7">
        <v>65</v>
      </c>
      <c r="B66" s="7" t="s">
        <v>181</v>
      </c>
      <c r="C66" s="4">
        <v>181.95493008</v>
      </c>
      <c r="D66" s="9">
        <v>186.75636363636363</v>
      </c>
      <c r="E66" s="9">
        <v>256.89137499999998</v>
      </c>
      <c r="F66" s="7">
        <v>230</v>
      </c>
      <c r="G66" s="8">
        <v>48.045069920000003</v>
      </c>
      <c r="H66" s="24">
        <f>(F66-C66)/C66</f>
        <v>0.26404928901281244</v>
      </c>
      <c r="I66" s="5"/>
    </row>
    <row r="67" spans="1:9" x14ac:dyDescent="0.25">
      <c r="A67" s="7">
        <v>66</v>
      </c>
      <c r="B67" s="7" t="s">
        <v>182</v>
      </c>
      <c r="C67" s="4">
        <v>181.95493008</v>
      </c>
      <c r="D67" s="9">
        <v>184.42190909090908</v>
      </c>
      <c r="E67" s="9">
        <v>256.89137499999998</v>
      </c>
      <c r="F67" s="7">
        <v>230</v>
      </c>
      <c r="G67" s="8">
        <v>48.045069920000003</v>
      </c>
      <c r="H67" s="24">
        <f>(F67-C67)/C67</f>
        <v>0.26404928901281244</v>
      </c>
      <c r="I67" s="5"/>
    </row>
    <row r="68" spans="1:9" x14ac:dyDescent="0.25">
      <c r="A68" s="7">
        <v>67</v>
      </c>
      <c r="B68" s="7" t="s">
        <v>183</v>
      </c>
      <c r="C68" s="4">
        <v>181.95493008</v>
      </c>
      <c r="D68" s="9">
        <v>226.44209090909089</v>
      </c>
      <c r="E68" s="9">
        <v>256.89137499999998</v>
      </c>
      <c r="F68" s="7">
        <v>230</v>
      </c>
      <c r="G68" s="8">
        <v>48.045069920000003</v>
      </c>
      <c r="H68" s="24">
        <f>(F68-C68)/C68</f>
        <v>0.26404928901281244</v>
      </c>
      <c r="I68" s="5"/>
    </row>
    <row r="69" spans="1:9" x14ac:dyDescent="0.25">
      <c r="A69" s="7">
        <v>68</v>
      </c>
      <c r="B69" s="3" t="s">
        <v>229</v>
      </c>
      <c r="C69" s="17">
        <v>5102.3295250175988</v>
      </c>
      <c r="D69" s="18">
        <v>4474.9071818181819</v>
      </c>
      <c r="E69" s="17">
        <v>5692.3382750000001</v>
      </c>
      <c r="F69" s="3">
        <v>5650</v>
      </c>
      <c r="G69" s="8">
        <v>1175.0928181818181</v>
      </c>
      <c r="H69" s="24">
        <f>(F69-D69)/D69</f>
        <v>0.26259602052893771</v>
      </c>
      <c r="I69" s="26" t="s">
        <v>158</v>
      </c>
    </row>
    <row r="70" spans="1:9" x14ac:dyDescent="0.25">
      <c r="A70" s="7">
        <v>69</v>
      </c>
      <c r="B70" s="13" t="s">
        <v>124</v>
      </c>
      <c r="C70" s="7"/>
      <c r="D70" s="12">
        <v>801.78763636363624</v>
      </c>
      <c r="E70" s="9">
        <v>822.64</v>
      </c>
      <c r="F70" s="7">
        <v>1010</v>
      </c>
      <c r="G70" s="8">
        <v>208.21236363636376</v>
      </c>
      <c r="H70" s="24">
        <f>(F70-D70)/D70</f>
        <v>0.25968517621532994</v>
      </c>
      <c r="I70" s="5"/>
    </row>
    <row r="71" spans="1:9" x14ac:dyDescent="0.25">
      <c r="A71" s="7">
        <v>70</v>
      </c>
      <c r="B71" s="3" t="s">
        <v>232</v>
      </c>
      <c r="C71" s="17">
        <v>2355.3582105599999</v>
      </c>
      <c r="D71" s="18">
        <v>2071.3235454545452</v>
      </c>
      <c r="E71" s="17">
        <v>2335.6732750000001</v>
      </c>
      <c r="F71" s="3">
        <v>2600</v>
      </c>
      <c r="G71" s="8">
        <v>528.67645454545482</v>
      </c>
      <c r="H71" s="24">
        <f>(F71-D71)/D71</f>
        <v>0.25523605701563079</v>
      </c>
      <c r="I71" s="5"/>
    </row>
    <row r="72" spans="1:9" x14ac:dyDescent="0.25">
      <c r="A72" s="7">
        <v>71</v>
      </c>
      <c r="B72" s="11" t="s">
        <v>94</v>
      </c>
      <c r="C72" s="4">
        <v>3712.5522352799999</v>
      </c>
      <c r="D72" s="9">
        <v>3994.3490000000002</v>
      </c>
      <c r="E72" s="9">
        <v>4036.0774999999999</v>
      </c>
      <c r="F72" s="7">
        <v>4650</v>
      </c>
      <c r="G72" s="8">
        <f>F72-C72</f>
        <v>937.44776472000012</v>
      </c>
      <c r="H72" s="24">
        <f>(F72-C72)/C72</f>
        <v>0.25250762960626683</v>
      </c>
      <c r="I72" s="5"/>
    </row>
    <row r="73" spans="1:9" x14ac:dyDescent="0.25">
      <c r="A73" s="7">
        <v>72</v>
      </c>
      <c r="B73" s="5" t="s">
        <v>66</v>
      </c>
      <c r="C73" s="4">
        <v>296.45538461538456</v>
      </c>
      <c r="D73" s="9">
        <v>307.149</v>
      </c>
      <c r="E73" s="6">
        <v>330.48827499999999</v>
      </c>
      <c r="F73" s="5">
        <v>370</v>
      </c>
      <c r="G73" s="8">
        <v>73.54461538461544</v>
      </c>
      <c r="H73" s="24">
        <f>(F73-C73)/C73</f>
        <v>0.24807987711213542</v>
      </c>
      <c r="I73" s="26" t="s">
        <v>67</v>
      </c>
    </row>
    <row r="74" spans="1:9" x14ac:dyDescent="0.25">
      <c r="A74" s="7">
        <v>73</v>
      </c>
      <c r="B74" s="7" t="s">
        <v>175</v>
      </c>
      <c r="C74" s="9">
        <v>0</v>
      </c>
      <c r="D74" s="4">
        <v>186.75636363636363</v>
      </c>
      <c r="E74" s="9">
        <v>256.89137499999998</v>
      </c>
      <c r="F74" s="7">
        <v>230</v>
      </c>
      <c r="G74" s="8">
        <v>43.243636363636369</v>
      </c>
      <c r="H74" s="24">
        <f>(F74-D74)/D74</f>
        <v>0.23155107286109275</v>
      </c>
      <c r="I74" s="5"/>
    </row>
    <row r="75" spans="1:9" x14ac:dyDescent="0.25">
      <c r="A75" s="7">
        <v>74</v>
      </c>
      <c r="B75" s="7" t="s">
        <v>201</v>
      </c>
      <c r="C75" s="4">
        <v>1017.46226208</v>
      </c>
      <c r="D75" s="9">
        <v>1234.9264545454544</v>
      </c>
      <c r="E75" s="9">
        <v>2019.6913750000001</v>
      </c>
      <c r="F75" s="7">
        <v>1250</v>
      </c>
      <c r="G75" s="8">
        <v>232.53773792000004</v>
      </c>
      <c r="H75" s="24">
        <f>(F75-C75)/C75</f>
        <v>0.22854679390724794</v>
      </c>
      <c r="I75" s="5"/>
    </row>
    <row r="76" spans="1:9" x14ac:dyDescent="0.25">
      <c r="A76" s="7">
        <v>75</v>
      </c>
      <c r="B76" s="11" t="s">
        <v>218</v>
      </c>
      <c r="C76" s="18">
        <v>1705.7322265599998</v>
      </c>
      <c r="D76" s="17">
        <v>1717.8553636363636</v>
      </c>
      <c r="E76" s="17">
        <v>1748.073275</v>
      </c>
      <c r="F76" s="3">
        <v>2095</v>
      </c>
      <c r="G76" s="8">
        <v>389.26777344000016</v>
      </c>
      <c r="H76" s="24">
        <f>(F76-C76)/C76</f>
        <v>0.22821153717957707</v>
      </c>
      <c r="I76" s="26" t="s">
        <v>237</v>
      </c>
    </row>
    <row r="77" spans="1:9" x14ac:dyDescent="0.25">
      <c r="A77" s="7">
        <v>76</v>
      </c>
      <c r="B77" s="7" t="s">
        <v>192</v>
      </c>
      <c r="C77" s="9">
        <v>129.85640622239998</v>
      </c>
      <c r="D77" s="4">
        <v>79.37145454545454</v>
      </c>
      <c r="E77" s="9">
        <v>146.716375</v>
      </c>
      <c r="F77" s="7">
        <v>97</v>
      </c>
      <c r="G77" s="8">
        <v>17.62854545454546</v>
      </c>
      <c r="H77" s="24">
        <f>(F77-D77)/D77</f>
        <v>0.22210183189284913</v>
      </c>
      <c r="I77" s="5"/>
    </row>
    <row r="78" spans="1:9" x14ac:dyDescent="0.25">
      <c r="A78" s="7">
        <v>77</v>
      </c>
      <c r="B78" s="7" t="s">
        <v>194</v>
      </c>
      <c r="C78" s="9">
        <v>89.120782080000012</v>
      </c>
      <c r="D78" s="4">
        <v>79.37145454545454</v>
      </c>
      <c r="E78" s="9">
        <v>146.716375</v>
      </c>
      <c r="F78" s="7">
        <v>97</v>
      </c>
      <c r="G78" s="8">
        <v>17.62854545454546</v>
      </c>
      <c r="H78" s="24">
        <f>(F78-D78)/D78</f>
        <v>0.22210183189284913</v>
      </c>
      <c r="I78" s="5"/>
    </row>
    <row r="79" spans="1:9" x14ac:dyDescent="0.25">
      <c r="A79" s="7">
        <v>78</v>
      </c>
      <c r="B79" s="7" t="s">
        <v>196</v>
      </c>
      <c r="C79" s="9">
        <v>89.120782080000012</v>
      </c>
      <c r="D79" s="4">
        <v>79.37145454545454</v>
      </c>
      <c r="E79" s="9">
        <v>146.716375</v>
      </c>
      <c r="F79" s="7">
        <v>97</v>
      </c>
      <c r="G79" s="8">
        <v>17.62854545454546</v>
      </c>
      <c r="H79" s="24">
        <f>(F79-D79)/D79</f>
        <v>0.22210183189284913</v>
      </c>
      <c r="I79" s="5"/>
    </row>
    <row r="80" spans="1:9" x14ac:dyDescent="0.25">
      <c r="A80" s="7">
        <v>79</v>
      </c>
      <c r="B80" s="11" t="s">
        <v>72</v>
      </c>
      <c r="C80" s="9">
        <v>1360.0892307692309</v>
      </c>
      <c r="D80" s="4">
        <v>1158.8225454545454</v>
      </c>
      <c r="E80" s="9">
        <v>2166.591375</v>
      </c>
      <c r="F80" s="9">
        <v>1400</v>
      </c>
      <c r="G80" s="8">
        <v>241.17745454545457</v>
      </c>
      <c r="H80" s="24">
        <f>(F80-D80)/D80</f>
        <v>0.20812285322844945</v>
      </c>
      <c r="I80" s="5"/>
    </row>
    <row r="81" spans="1:9" x14ac:dyDescent="0.25">
      <c r="A81" s="7">
        <v>80</v>
      </c>
      <c r="B81" s="11" t="s">
        <v>222</v>
      </c>
      <c r="C81" s="18">
        <v>963.30253056000004</v>
      </c>
      <c r="D81" s="17">
        <v>1058.0480909090909</v>
      </c>
      <c r="E81" s="17">
        <v>1324.2667749999998</v>
      </c>
      <c r="F81" s="3">
        <v>1160</v>
      </c>
      <c r="G81" s="8">
        <v>196.69746943999996</v>
      </c>
      <c r="H81" s="24">
        <f>(F81-C81)/C81</f>
        <v>0.20419075337179188</v>
      </c>
      <c r="I81" s="26" t="s">
        <v>240</v>
      </c>
    </row>
    <row r="82" spans="1:9" x14ac:dyDescent="0.25">
      <c r="A82" s="7">
        <v>81</v>
      </c>
      <c r="B82" s="7" t="s">
        <v>25</v>
      </c>
      <c r="C82" s="6">
        <v>3038.6676923076921</v>
      </c>
      <c r="D82" s="4">
        <v>2864.656058181818</v>
      </c>
      <c r="E82" s="6">
        <v>3415.3882749999998</v>
      </c>
      <c r="F82" s="7">
        <v>3440</v>
      </c>
      <c r="G82" s="8">
        <v>575.34394181818197</v>
      </c>
      <c r="H82" s="24">
        <f>(F82-D82)/D82</f>
        <v>0.20084224079010368</v>
      </c>
      <c r="I82" s="5"/>
    </row>
    <row r="83" spans="1:9" x14ac:dyDescent="0.25">
      <c r="A83" s="7">
        <v>82</v>
      </c>
      <c r="B83" s="11" t="s">
        <v>82</v>
      </c>
      <c r="C83" s="9">
        <v>2121.2584615384612</v>
      </c>
      <c r="D83" s="9">
        <v>1968.5735454545452</v>
      </c>
      <c r="E83" s="4">
        <v>1795.8525</v>
      </c>
      <c r="F83" s="9">
        <v>2140</v>
      </c>
      <c r="G83" s="8">
        <v>344.14750000000004</v>
      </c>
      <c r="H83" s="24">
        <f>(F83-E83)/E83</f>
        <v>0.19163461364449477</v>
      </c>
      <c r="I83" s="5"/>
    </row>
    <row r="84" spans="1:9" x14ac:dyDescent="0.25">
      <c r="A84" s="7">
        <v>83</v>
      </c>
      <c r="B84" s="7" t="s">
        <v>190</v>
      </c>
      <c r="C84" s="9">
        <v>129.874973052</v>
      </c>
      <c r="D84" s="4">
        <v>81.705909090909088</v>
      </c>
      <c r="E84" s="9">
        <v>146.716375</v>
      </c>
      <c r="F84" s="7">
        <v>97</v>
      </c>
      <c r="G84" s="8">
        <v>15.294090909090912</v>
      </c>
      <c r="H84" s="24">
        <f>(F84-D84)/D84</f>
        <v>0.18718463669591054</v>
      </c>
      <c r="I84" s="5"/>
    </row>
    <row r="85" spans="1:9" x14ac:dyDescent="0.25">
      <c r="A85" s="7">
        <v>84</v>
      </c>
      <c r="B85" s="7" t="s">
        <v>195</v>
      </c>
      <c r="C85" s="9">
        <v>0</v>
      </c>
      <c r="D85" s="4">
        <v>81.705909090909088</v>
      </c>
      <c r="E85" s="9">
        <v>146.716375</v>
      </c>
      <c r="F85" s="7">
        <v>97</v>
      </c>
      <c r="G85" s="8">
        <v>15.294090909090912</v>
      </c>
      <c r="H85" s="24">
        <f>(F85-D85)/D85</f>
        <v>0.18718463669591054</v>
      </c>
      <c r="I85" s="5"/>
    </row>
    <row r="86" spans="1:9" x14ac:dyDescent="0.25">
      <c r="A86" s="7">
        <v>85</v>
      </c>
      <c r="B86" s="7" t="s">
        <v>122</v>
      </c>
      <c r="C86" s="7"/>
      <c r="D86" s="12">
        <v>801.78763636363624</v>
      </c>
      <c r="E86" s="9">
        <v>822.64</v>
      </c>
      <c r="F86" s="7">
        <v>950</v>
      </c>
      <c r="G86" s="8">
        <v>148.21236363636376</v>
      </c>
      <c r="H86" s="24">
        <f>(F86-D86)/D86</f>
        <v>0.18485239346986479</v>
      </c>
      <c r="I86" s="26" t="s">
        <v>139</v>
      </c>
    </row>
    <row r="87" spans="1:9" x14ac:dyDescent="0.25">
      <c r="A87" s="7">
        <v>86</v>
      </c>
      <c r="B87" s="13" t="s">
        <v>123</v>
      </c>
      <c r="C87" s="7"/>
      <c r="D87" s="12">
        <v>801.78763636363624</v>
      </c>
      <c r="E87" s="9">
        <v>822.64</v>
      </c>
      <c r="F87" s="7">
        <v>950</v>
      </c>
      <c r="G87" s="8">
        <v>148.21236363636376</v>
      </c>
      <c r="H87" s="24">
        <f>(F87-D87)/D87</f>
        <v>0.18485239346986479</v>
      </c>
      <c r="I87" s="26" t="s">
        <v>139</v>
      </c>
    </row>
    <row r="88" spans="1:9" x14ac:dyDescent="0.25">
      <c r="A88" s="7">
        <v>87</v>
      </c>
      <c r="B88" s="13" t="s">
        <v>120</v>
      </c>
      <c r="C88" s="7"/>
      <c r="D88" s="12">
        <v>949.73654545454542</v>
      </c>
      <c r="E88" s="9">
        <v>1042.99</v>
      </c>
      <c r="F88" s="7">
        <v>1120</v>
      </c>
      <c r="G88" s="8">
        <v>170.26345454545458</v>
      </c>
      <c r="H88" s="24">
        <f>(F88-D88)/D88</f>
        <v>0.17927440547627471</v>
      </c>
      <c r="I88" s="5"/>
    </row>
    <row r="89" spans="1:9" x14ac:dyDescent="0.25">
      <c r="A89" s="7">
        <v>88</v>
      </c>
      <c r="B89" s="7" t="s">
        <v>206</v>
      </c>
      <c r="C89" s="4">
        <v>831.79396608000002</v>
      </c>
      <c r="D89" s="9">
        <v>910.39058363636354</v>
      </c>
      <c r="E89" s="9">
        <v>1538.7774999999999</v>
      </c>
      <c r="F89" s="7">
        <v>980</v>
      </c>
      <c r="G89" s="8">
        <v>148.20603391999998</v>
      </c>
      <c r="H89" s="24">
        <f>(F89-C89)/C89</f>
        <v>0.17817637535705069</v>
      </c>
      <c r="I89" s="5"/>
    </row>
    <row r="90" spans="1:9" x14ac:dyDescent="0.25">
      <c r="A90" s="7">
        <v>89</v>
      </c>
      <c r="B90" s="7" t="s">
        <v>121</v>
      </c>
      <c r="C90" s="7"/>
      <c r="D90" s="12">
        <v>868.60327272727272</v>
      </c>
      <c r="E90" s="9">
        <v>907.10749999999996</v>
      </c>
      <c r="F90" s="7">
        <v>1020</v>
      </c>
      <c r="G90" s="8">
        <v>151.39672727272728</v>
      </c>
      <c r="H90" s="24">
        <f>(F90-D90)/D90</f>
        <v>0.17429905231345286</v>
      </c>
      <c r="I90" s="5"/>
    </row>
    <row r="91" spans="1:9" x14ac:dyDescent="0.25">
      <c r="A91" s="7">
        <v>90</v>
      </c>
      <c r="B91" s="5" t="s">
        <v>147</v>
      </c>
      <c r="C91" s="16"/>
      <c r="D91" s="12">
        <v>1372.1068181818182</v>
      </c>
      <c r="E91" s="6">
        <v>1759.1274999999998</v>
      </c>
      <c r="F91" s="5">
        <v>1595</v>
      </c>
      <c r="G91" s="8">
        <v>222.8931818181818</v>
      </c>
      <c r="H91" s="24">
        <f>(F91-D91)/D91</f>
        <v>0.16244593996955575</v>
      </c>
      <c r="I91" s="5"/>
    </row>
    <row r="92" spans="1:9" x14ac:dyDescent="0.25">
      <c r="A92" s="7">
        <v>91</v>
      </c>
      <c r="B92" s="11" t="s">
        <v>215</v>
      </c>
      <c r="C92" s="18">
        <v>2122.8663512575999</v>
      </c>
      <c r="D92" s="17">
        <v>2354.0980909090908</v>
      </c>
      <c r="E92" s="17">
        <v>2607.4749999999999</v>
      </c>
      <c r="F92" s="3">
        <v>2460</v>
      </c>
      <c r="G92" s="8">
        <v>337.13364874240006</v>
      </c>
      <c r="H92" s="24">
        <f>(F92-C92)/C92</f>
        <v>0.15881058576423329</v>
      </c>
      <c r="I92" s="26" t="s">
        <v>237</v>
      </c>
    </row>
    <row r="93" spans="1:9" x14ac:dyDescent="0.25">
      <c r="A93" s="7">
        <v>92</v>
      </c>
      <c r="B93" s="11" t="s">
        <v>100</v>
      </c>
      <c r="C93" s="4">
        <v>1017.7481865599999</v>
      </c>
      <c r="D93" s="9">
        <v>1238.9770000000001</v>
      </c>
      <c r="E93" s="9">
        <v>1355.1524999999999</v>
      </c>
      <c r="F93" s="7">
        <v>1175</v>
      </c>
      <c r="G93" s="8">
        <v>157.25181344000009</v>
      </c>
      <c r="H93" s="24">
        <f>(F93-C93)/C93</f>
        <v>0.15450954913662185</v>
      </c>
      <c r="I93" s="5"/>
    </row>
    <row r="94" spans="1:9" x14ac:dyDescent="0.25">
      <c r="A94" s="7">
        <v>93</v>
      </c>
      <c r="B94" s="7" t="s">
        <v>165</v>
      </c>
      <c r="C94" s="4">
        <v>324.91951799999998</v>
      </c>
      <c r="D94" s="9">
        <v>431.87409090909091</v>
      </c>
      <c r="E94" s="9">
        <v>587.56327499999998</v>
      </c>
      <c r="F94" s="7">
        <v>375</v>
      </c>
      <c r="G94" s="8">
        <v>50.080482000000018</v>
      </c>
      <c r="H94" s="24">
        <f>(F94-C94)/C94</f>
        <v>0.1541319595334375</v>
      </c>
      <c r="I94" s="5"/>
    </row>
    <row r="95" spans="1:9" x14ac:dyDescent="0.25">
      <c r="A95" s="7">
        <v>94</v>
      </c>
      <c r="B95" s="13" t="s">
        <v>167</v>
      </c>
      <c r="C95" s="4">
        <v>324.91951799999998</v>
      </c>
      <c r="D95" s="20">
        <v>431.87409090909091</v>
      </c>
      <c r="E95" s="9">
        <v>587.56327499999998</v>
      </c>
      <c r="F95" s="7">
        <v>375</v>
      </c>
      <c r="G95" s="8">
        <v>50.080482000000018</v>
      </c>
      <c r="H95" s="24">
        <f>(F95-C95)/C95</f>
        <v>0.1541319595334375</v>
      </c>
      <c r="I95" s="5"/>
    </row>
    <row r="96" spans="1:9" x14ac:dyDescent="0.25">
      <c r="A96" s="7">
        <v>95</v>
      </c>
      <c r="B96" s="5" t="s">
        <v>51</v>
      </c>
      <c r="C96" s="4">
        <v>330.50769230769231</v>
      </c>
      <c r="D96" s="20">
        <v>330.95899999999995</v>
      </c>
      <c r="E96" s="6">
        <v>454.25152499999996</v>
      </c>
      <c r="F96" s="5">
        <v>380</v>
      </c>
      <c r="G96" s="8">
        <v>49.492307692307691</v>
      </c>
      <c r="H96" s="24">
        <f>(F96-C96)/C96</f>
        <v>0.14974631103663361</v>
      </c>
      <c r="I96" s="5"/>
    </row>
    <row r="97" spans="1:9" x14ac:dyDescent="0.25">
      <c r="A97" s="7">
        <v>96</v>
      </c>
      <c r="B97" s="7" t="s">
        <v>27</v>
      </c>
      <c r="C97" s="4">
        <v>1352.0769230769231</v>
      </c>
      <c r="D97" s="28">
        <v>1676.7103636363636</v>
      </c>
      <c r="E97" s="6">
        <v>1395.513275</v>
      </c>
      <c r="F97" s="7">
        <v>1554</v>
      </c>
      <c r="G97" s="8">
        <v>201.92307692307691</v>
      </c>
      <c r="H97" s="24">
        <f>(F97-C97)/C97</f>
        <v>0.14934289127837513</v>
      </c>
      <c r="I97" s="5"/>
    </row>
    <row r="98" spans="1:9" x14ac:dyDescent="0.25">
      <c r="A98" s="7">
        <v>97</v>
      </c>
      <c r="B98" s="11" t="s">
        <v>226</v>
      </c>
      <c r="C98" s="18">
        <v>2393.4262932223996</v>
      </c>
      <c r="D98" s="27">
        <v>3296.679909090909</v>
      </c>
      <c r="E98" s="17">
        <v>2570.7132750000001</v>
      </c>
      <c r="F98" s="3">
        <v>2750</v>
      </c>
      <c r="G98" s="8">
        <v>356.57370677760036</v>
      </c>
      <c r="H98" s="24">
        <f>(F98-C98)/C98</f>
        <v>0.14898044188255569</v>
      </c>
      <c r="I98" s="26" t="s">
        <v>241</v>
      </c>
    </row>
    <row r="99" spans="1:9" x14ac:dyDescent="0.25">
      <c r="A99" s="7">
        <v>98</v>
      </c>
      <c r="B99" s="11" t="s">
        <v>211</v>
      </c>
      <c r="C99" s="18">
        <v>3242.2832861439997</v>
      </c>
      <c r="D99" s="27">
        <v>3650.1480909090906</v>
      </c>
      <c r="E99" s="17">
        <v>4282.0982750000003</v>
      </c>
      <c r="F99" s="3">
        <v>3725</v>
      </c>
      <c r="G99" s="8">
        <v>482.7167138560003</v>
      </c>
      <c r="H99" s="24">
        <f>(F99-C99)/C99</f>
        <v>0.14888172045882156</v>
      </c>
      <c r="I99" s="5"/>
    </row>
    <row r="100" spans="1:9" x14ac:dyDescent="0.25">
      <c r="A100" s="7">
        <v>99</v>
      </c>
      <c r="B100" s="5" t="s">
        <v>55</v>
      </c>
      <c r="C100" s="4">
        <v>697.0707692307692</v>
      </c>
      <c r="D100" s="20">
        <v>709.53800000000001</v>
      </c>
      <c r="E100" s="6">
        <v>863.00077499999998</v>
      </c>
      <c r="F100" s="5">
        <v>800</v>
      </c>
      <c r="G100" s="8">
        <v>102.9292307692308</v>
      </c>
      <c r="H100" s="24">
        <f>(F100-C100)/C100</f>
        <v>0.1476596571146071</v>
      </c>
      <c r="I100" s="5"/>
    </row>
    <row r="101" spans="1:9" x14ac:dyDescent="0.25">
      <c r="A101" s="7">
        <v>100</v>
      </c>
      <c r="B101" s="3" t="s">
        <v>152</v>
      </c>
      <c r="C101" s="17">
        <v>5381.7397827200002</v>
      </c>
      <c r="D101" s="29">
        <v>5251.8239090909092</v>
      </c>
      <c r="E101" s="17">
        <v>6243.2132750000001</v>
      </c>
      <c r="F101" s="3">
        <v>6000</v>
      </c>
      <c r="G101" s="19">
        <f>F101-D101</f>
        <v>748.17609090909082</v>
      </c>
      <c r="H101" s="25">
        <f>(F101-D101)/D101</f>
        <v>0.14246023931114632</v>
      </c>
      <c r="I101" s="26" t="s">
        <v>158</v>
      </c>
    </row>
    <row r="102" spans="1:9" x14ac:dyDescent="0.25">
      <c r="A102" s="7">
        <v>101</v>
      </c>
      <c r="B102" s="3" t="s">
        <v>231</v>
      </c>
      <c r="C102" s="17">
        <v>3736.1660806655996</v>
      </c>
      <c r="D102" s="29">
        <v>3414.5026363636362</v>
      </c>
      <c r="E102" s="17">
        <v>3709.188275</v>
      </c>
      <c r="F102" s="3">
        <v>3900</v>
      </c>
      <c r="G102" s="8">
        <v>485.49736363636384</v>
      </c>
      <c r="H102" s="24">
        <f>(F102-D102)/D102</f>
        <v>0.1421868469117385</v>
      </c>
      <c r="I102" s="5"/>
    </row>
    <row r="103" spans="1:9" x14ac:dyDescent="0.25">
      <c r="A103" s="7">
        <v>102</v>
      </c>
      <c r="B103" s="7" t="s">
        <v>173</v>
      </c>
      <c r="C103" s="4">
        <v>2075.7715492799998</v>
      </c>
      <c r="D103" s="20">
        <v>2789.6731818181815</v>
      </c>
      <c r="E103" s="9">
        <v>3305.0663749999999</v>
      </c>
      <c r="F103" s="7">
        <v>2360</v>
      </c>
      <c r="G103" s="8">
        <v>284.22845072000018</v>
      </c>
      <c r="H103" s="24">
        <f>(F103-C103)/C103</f>
        <v>0.13692665304069102</v>
      </c>
      <c r="I103" s="5"/>
    </row>
    <row r="104" spans="1:9" x14ac:dyDescent="0.25">
      <c r="A104" s="7">
        <v>103</v>
      </c>
      <c r="B104" s="11" t="s">
        <v>224</v>
      </c>
      <c r="C104" s="17">
        <v>2171.5326178303999</v>
      </c>
      <c r="D104" s="29">
        <v>2118.4526363636364</v>
      </c>
      <c r="E104" s="17">
        <v>2313.6382749999998</v>
      </c>
      <c r="F104" s="3">
        <v>2400</v>
      </c>
      <c r="G104" s="8">
        <v>281.54736363636357</v>
      </c>
      <c r="H104" s="24">
        <f>(F104-D104)/D104</f>
        <v>0.13290236411404735</v>
      </c>
      <c r="I104" s="5"/>
    </row>
    <row r="105" spans="1:9" x14ac:dyDescent="0.25">
      <c r="A105" s="7">
        <v>104</v>
      </c>
      <c r="B105" s="3" t="s">
        <v>153</v>
      </c>
      <c r="C105" s="18">
        <v>5076.9899949552</v>
      </c>
      <c r="D105" s="27">
        <v>5368.5830000000005</v>
      </c>
      <c r="E105" s="17">
        <v>5872.3274999999994</v>
      </c>
      <c r="F105" s="3">
        <v>5750</v>
      </c>
      <c r="G105" s="19">
        <f>F105-C105</f>
        <v>673.01000504479998</v>
      </c>
      <c r="H105" s="25">
        <f>(F105-C105)/C105</f>
        <v>0.13256082949021819</v>
      </c>
      <c r="I105" s="5"/>
    </row>
    <row r="106" spans="1:9" x14ac:dyDescent="0.25">
      <c r="A106" s="7">
        <v>105</v>
      </c>
      <c r="B106" s="7" t="s">
        <v>12</v>
      </c>
      <c r="C106" s="6">
        <v>1718.6399999999999</v>
      </c>
      <c r="D106" s="21">
        <v>1194.5661818181818</v>
      </c>
      <c r="E106" s="6">
        <v>1615.716375</v>
      </c>
      <c r="F106" s="7">
        <v>1350</v>
      </c>
      <c r="G106" s="8">
        <v>155.4338181818182</v>
      </c>
      <c r="H106" s="24">
        <f>(F106-D106)/D106</f>
        <v>0.13011737695875597</v>
      </c>
      <c r="I106" s="5"/>
    </row>
    <row r="107" spans="1:9" x14ac:dyDescent="0.25">
      <c r="A107" s="7">
        <v>106</v>
      </c>
      <c r="B107" s="7" t="s">
        <v>130</v>
      </c>
      <c r="C107" s="7"/>
      <c r="D107" s="30">
        <v>1395.9695454545454</v>
      </c>
      <c r="E107" s="9">
        <v>1685.6775</v>
      </c>
      <c r="F107" s="7">
        <v>1570</v>
      </c>
      <c r="G107" s="8">
        <v>174.03045454545463</v>
      </c>
      <c r="H107" s="24">
        <f>(F107-D107)/D107</f>
        <v>0.12466636905663162</v>
      </c>
      <c r="I107" s="5"/>
    </row>
    <row r="108" spans="1:9" x14ac:dyDescent="0.25">
      <c r="A108" s="7">
        <v>107</v>
      </c>
      <c r="B108" s="13" t="s">
        <v>132</v>
      </c>
      <c r="C108" s="7"/>
      <c r="D108" s="30">
        <v>1395.9695454545454</v>
      </c>
      <c r="E108" s="9">
        <v>1685.6775</v>
      </c>
      <c r="F108" s="7">
        <v>1570</v>
      </c>
      <c r="G108" s="8">
        <v>174.03045454545463</v>
      </c>
      <c r="H108" s="24">
        <f>(F108-D108)/D108</f>
        <v>0.12466636905663162</v>
      </c>
      <c r="I108" s="5"/>
    </row>
    <row r="109" spans="1:9" x14ac:dyDescent="0.25">
      <c r="A109" s="7">
        <v>108</v>
      </c>
      <c r="B109" s="11" t="s">
        <v>216</v>
      </c>
      <c r="C109" s="17">
        <v>2318.0511183359999</v>
      </c>
      <c r="D109" s="29">
        <v>2165.5817272727268</v>
      </c>
      <c r="E109" s="17">
        <v>2768.2203249999998</v>
      </c>
      <c r="F109" s="3">
        <v>2435</v>
      </c>
      <c r="G109" s="8">
        <v>269.41827272727323</v>
      </c>
      <c r="H109" s="24">
        <f>(F109-D109)/D109</f>
        <v>0.1244091919202565</v>
      </c>
      <c r="I109" s="26" t="s">
        <v>239</v>
      </c>
    </row>
    <row r="110" spans="1:9" x14ac:dyDescent="0.25">
      <c r="A110" s="7">
        <v>109</v>
      </c>
      <c r="B110" s="3" t="s">
        <v>230</v>
      </c>
      <c r="C110" s="17">
        <v>2665.9722346239996</v>
      </c>
      <c r="D110" s="27">
        <v>2775.9034545454542</v>
      </c>
      <c r="E110" s="18">
        <v>2357.708275</v>
      </c>
      <c r="F110" s="3">
        <v>2650</v>
      </c>
      <c r="G110" s="8">
        <v>292.29172500000004</v>
      </c>
      <c r="H110" s="24">
        <f>(F110-E110)/E110</f>
        <v>0.12397281211561259</v>
      </c>
      <c r="I110" s="5"/>
    </row>
    <row r="111" spans="1:9" x14ac:dyDescent="0.25">
      <c r="A111" s="7">
        <v>110</v>
      </c>
      <c r="B111" s="7" t="s">
        <v>193</v>
      </c>
      <c r="C111" s="9">
        <v>89.120782080000012</v>
      </c>
      <c r="D111" s="21">
        <v>86.374818181818171</v>
      </c>
      <c r="E111" s="9">
        <v>146.716375</v>
      </c>
      <c r="F111" s="7">
        <v>97</v>
      </c>
      <c r="G111" s="8">
        <v>10.625181818181829</v>
      </c>
      <c r="H111" s="24">
        <f>(F111-D111)/D111</f>
        <v>0.12301249417180737</v>
      </c>
      <c r="I111" s="5"/>
    </row>
    <row r="112" spans="1:9" x14ac:dyDescent="0.25">
      <c r="A112" s="7">
        <v>111</v>
      </c>
      <c r="B112" s="13" t="s">
        <v>114</v>
      </c>
      <c r="C112" s="7"/>
      <c r="D112" s="30">
        <v>1212.2265454545452</v>
      </c>
      <c r="E112" s="9">
        <v>1285.3382750000001</v>
      </c>
      <c r="F112" s="7">
        <v>1360</v>
      </c>
      <c r="G112" s="8">
        <v>147.7734545454548</v>
      </c>
      <c r="H112" s="24">
        <f>(F112-D112)/D112</f>
        <v>0.12190250667217042</v>
      </c>
      <c r="I112" s="5"/>
    </row>
    <row r="113" spans="1:9" x14ac:dyDescent="0.25">
      <c r="A113" s="7">
        <v>112</v>
      </c>
      <c r="B113" s="5" t="s">
        <v>52</v>
      </c>
      <c r="C113" s="6">
        <v>697.0707692307692</v>
      </c>
      <c r="D113" s="21">
        <v>676.20399999999995</v>
      </c>
      <c r="E113" s="6">
        <v>863.00077499999998</v>
      </c>
      <c r="F113" s="5">
        <v>758</v>
      </c>
      <c r="G113" s="8">
        <v>81.796000000000049</v>
      </c>
      <c r="H113" s="24">
        <f>(F113-D113)/D113</f>
        <v>0.12096349622303337</v>
      </c>
      <c r="I113" s="26" t="s">
        <v>53</v>
      </c>
    </row>
    <row r="114" spans="1:9" x14ac:dyDescent="0.25">
      <c r="A114" s="7">
        <v>113</v>
      </c>
      <c r="B114" s="3" t="s">
        <v>210</v>
      </c>
      <c r="C114" s="18">
        <v>4326.3976889855994</v>
      </c>
      <c r="D114" s="27">
        <v>4946.1980909090908</v>
      </c>
      <c r="E114" s="17">
        <v>5255.3107749999999</v>
      </c>
      <c r="F114" s="3">
        <v>4845</v>
      </c>
      <c r="G114" s="8">
        <v>518.60231101440058</v>
      </c>
      <c r="H114" s="24">
        <f>(F114-C114)/C114</f>
        <v>0.11986931121350429</v>
      </c>
      <c r="I114" s="26" t="s">
        <v>139</v>
      </c>
    </row>
    <row r="115" spans="1:9" x14ac:dyDescent="0.25">
      <c r="A115" s="7">
        <v>114</v>
      </c>
      <c r="B115" s="11" t="s">
        <v>71</v>
      </c>
      <c r="C115" s="9">
        <v>0</v>
      </c>
      <c r="D115" s="21">
        <v>2253.5299090909093</v>
      </c>
      <c r="E115" s="9">
        <v>4403.3274999999994</v>
      </c>
      <c r="F115" s="9">
        <v>2500</v>
      </c>
      <c r="G115" s="8">
        <v>246.47009090909069</v>
      </c>
      <c r="H115" s="24">
        <f>(F115-D115)/D115</f>
        <v>0.10937067660598236</v>
      </c>
      <c r="I115" s="5"/>
    </row>
    <row r="116" spans="1:9" x14ac:dyDescent="0.25">
      <c r="A116" s="7">
        <v>115</v>
      </c>
      <c r="B116" s="11" t="s">
        <v>86</v>
      </c>
      <c r="C116" s="9">
        <v>1255.9292307692308</v>
      </c>
      <c r="D116" s="20">
        <v>1275.1797272727272</v>
      </c>
      <c r="E116" s="4">
        <v>1171.5274999999999</v>
      </c>
      <c r="F116" s="7">
        <v>1290</v>
      </c>
      <c r="G116" s="8">
        <v>118.47250000000008</v>
      </c>
      <c r="H116" s="24">
        <f>(F116-E116)/E116</f>
        <v>0.1011265207176102</v>
      </c>
      <c r="I116" s="6"/>
    </row>
    <row r="117" spans="1:9" x14ac:dyDescent="0.25">
      <c r="A117" s="7">
        <v>116</v>
      </c>
      <c r="B117" s="7" t="s">
        <v>37</v>
      </c>
      <c r="C117" s="4">
        <v>1520.3353846153846</v>
      </c>
      <c r="D117" s="28">
        <v>2131.8688636363636</v>
      </c>
      <c r="E117" s="6">
        <v>1836.2132750000001</v>
      </c>
      <c r="F117" s="7">
        <v>1670</v>
      </c>
      <c r="G117" s="8">
        <v>149.66461538461544</v>
      </c>
      <c r="H117" s="24">
        <f>(F117-C117)/C117</f>
        <v>9.8441841779850242E-2</v>
      </c>
      <c r="I117" s="5"/>
    </row>
    <row r="118" spans="1:9" x14ac:dyDescent="0.25">
      <c r="A118" s="7">
        <v>117</v>
      </c>
      <c r="B118" s="7" t="s">
        <v>127</v>
      </c>
      <c r="C118" s="7"/>
      <c r="D118" s="30">
        <v>1293.3598181818181</v>
      </c>
      <c r="E118" s="9">
        <v>1502.0525</v>
      </c>
      <c r="F118" s="7">
        <v>1420</v>
      </c>
      <c r="G118" s="8">
        <v>126.64018181818187</v>
      </c>
      <c r="H118" s="24">
        <f>(F118-D118)/D118</f>
        <v>9.7915661239739424E-2</v>
      </c>
      <c r="I118" s="5"/>
    </row>
    <row r="119" spans="1:9" x14ac:dyDescent="0.25">
      <c r="A119" s="7">
        <v>118</v>
      </c>
      <c r="B119" s="11" t="s">
        <v>84</v>
      </c>
      <c r="C119" s="4">
        <v>1600.4584615384615</v>
      </c>
      <c r="D119" s="20">
        <v>1797.5997272727273</v>
      </c>
      <c r="E119" s="9">
        <v>1744.4375</v>
      </c>
      <c r="F119" s="9">
        <v>1750</v>
      </c>
      <c r="G119" s="8">
        <v>149.54153846153849</v>
      </c>
      <c r="H119" s="24">
        <f>(F119-C119)/C119</f>
        <v>9.3436688333535217E-2</v>
      </c>
      <c r="I119" s="5"/>
    </row>
    <row r="120" spans="1:9" x14ac:dyDescent="0.25">
      <c r="A120" s="7">
        <v>119</v>
      </c>
      <c r="B120" s="5" t="s">
        <v>54</v>
      </c>
      <c r="C120" s="4">
        <v>697.0707692307692</v>
      </c>
      <c r="D120" s="20">
        <v>569.05899999999997</v>
      </c>
      <c r="E120" s="6">
        <v>863.00077499999998</v>
      </c>
      <c r="F120" s="5">
        <v>760</v>
      </c>
      <c r="G120" s="8">
        <v>190.94100000000003</v>
      </c>
      <c r="H120" s="24">
        <f>(F120-C120)/C120</f>
        <v>9.0276674258876755E-2</v>
      </c>
      <c r="I120" s="5"/>
    </row>
    <row r="121" spans="1:9" x14ac:dyDescent="0.25">
      <c r="A121" s="7">
        <v>120</v>
      </c>
      <c r="B121" s="7" t="s">
        <v>134</v>
      </c>
      <c r="C121" s="7"/>
      <c r="D121" s="30">
        <v>964.05418181818175</v>
      </c>
      <c r="E121" s="9">
        <v>1042.99</v>
      </c>
      <c r="F121" s="7">
        <v>1050</v>
      </c>
      <c r="G121" s="8">
        <v>85.945818181818254</v>
      </c>
      <c r="H121" s="24">
        <f>(F121-D121)/D121</f>
        <v>8.9150402334987666E-2</v>
      </c>
      <c r="I121" s="5"/>
    </row>
    <row r="122" spans="1:9" x14ac:dyDescent="0.25">
      <c r="A122" s="7">
        <v>121</v>
      </c>
      <c r="B122" s="7" t="s">
        <v>136</v>
      </c>
      <c r="C122" s="7"/>
      <c r="D122" s="30">
        <v>1331.5401818181817</v>
      </c>
      <c r="E122" s="9">
        <v>1648.9524999999999</v>
      </c>
      <c r="F122" s="7">
        <v>1450</v>
      </c>
      <c r="G122" s="8">
        <v>118.45981818181826</v>
      </c>
      <c r="H122" s="24">
        <f>(F122-D122)/D122</f>
        <v>8.8964508769134268E-2</v>
      </c>
      <c r="I122" s="5"/>
    </row>
    <row r="123" spans="1:9" x14ac:dyDescent="0.25">
      <c r="A123" s="7">
        <v>122</v>
      </c>
      <c r="B123" s="13" t="s">
        <v>125</v>
      </c>
      <c r="C123" s="7"/>
      <c r="D123" s="30">
        <v>1212.2265454545452</v>
      </c>
      <c r="E123" s="9">
        <v>1391.8775000000001</v>
      </c>
      <c r="F123" s="7">
        <v>1320</v>
      </c>
      <c r="G123" s="8">
        <v>107.7734545454548</v>
      </c>
      <c r="H123" s="24">
        <f>(F123-D123)/D123</f>
        <v>8.8905374122988934E-2</v>
      </c>
      <c r="I123" s="5"/>
    </row>
    <row r="124" spans="1:9" x14ac:dyDescent="0.25">
      <c r="A124" s="7">
        <v>123</v>
      </c>
      <c r="B124" s="7" t="s">
        <v>126</v>
      </c>
      <c r="C124" s="7"/>
      <c r="D124" s="30">
        <v>1212.2265454545452</v>
      </c>
      <c r="E124" s="9">
        <v>1391.8775000000001</v>
      </c>
      <c r="F124" s="7">
        <v>1320</v>
      </c>
      <c r="G124" s="8">
        <v>107.7734545454548</v>
      </c>
      <c r="H124" s="24">
        <f>(F124-D124)/D124</f>
        <v>8.8905374122988934E-2</v>
      </c>
      <c r="I124" s="5"/>
    </row>
    <row r="125" spans="1:9" x14ac:dyDescent="0.25">
      <c r="A125" s="7">
        <v>124</v>
      </c>
      <c r="B125" s="5" t="s">
        <v>70</v>
      </c>
      <c r="C125" s="4">
        <v>1520.3353846153846</v>
      </c>
      <c r="D125" s="20">
        <v>1997.6590000000001</v>
      </c>
      <c r="E125" s="6">
        <v>1836.2132750000001</v>
      </c>
      <c r="F125" s="5">
        <v>1650</v>
      </c>
      <c r="G125" s="8">
        <v>129.66461538461544</v>
      </c>
      <c r="H125" s="24">
        <f>(F125-C125)/C125</f>
        <v>8.5286849662726288E-2</v>
      </c>
      <c r="I125" s="5"/>
    </row>
    <row r="126" spans="1:9" x14ac:dyDescent="0.25">
      <c r="A126" s="7">
        <v>125</v>
      </c>
      <c r="B126" s="3" t="s">
        <v>235</v>
      </c>
      <c r="C126" s="18">
        <v>2303.1097207039998</v>
      </c>
      <c r="D126" s="27">
        <v>2354.0980909090908</v>
      </c>
      <c r="E126" s="17">
        <v>2460.5382749999999</v>
      </c>
      <c r="F126" s="3">
        <v>2490</v>
      </c>
      <c r="G126" s="8">
        <v>186.89027929600024</v>
      </c>
      <c r="H126" s="24">
        <f>(F126-C126)/C126</f>
        <v>8.1146928266566831E-2</v>
      </c>
      <c r="I126" s="26" t="s">
        <v>237</v>
      </c>
    </row>
    <row r="127" spans="1:9" x14ac:dyDescent="0.25">
      <c r="A127" s="7">
        <v>126</v>
      </c>
      <c r="B127" s="13" t="s">
        <v>133</v>
      </c>
      <c r="C127" s="7"/>
      <c r="D127" s="30">
        <v>1212.2265454545452</v>
      </c>
      <c r="E127" s="9">
        <v>1391.8775000000001</v>
      </c>
      <c r="F127" s="7">
        <v>1310</v>
      </c>
      <c r="G127" s="8">
        <v>97.773454545454797</v>
      </c>
      <c r="H127" s="24">
        <f>(F127-D127)/D127</f>
        <v>8.0656090985693568E-2</v>
      </c>
      <c r="I127" s="5"/>
    </row>
    <row r="128" spans="1:9" x14ac:dyDescent="0.25">
      <c r="A128" s="7">
        <v>127</v>
      </c>
      <c r="B128" s="3" t="s">
        <v>234</v>
      </c>
      <c r="C128" s="17">
        <v>6566.4380070143998</v>
      </c>
      <c r="D128" s="29">
        <v>4474.9071818181819</v>
      </c>
      <c r="E128" s="17">
        <v>5726.3456249999999</v>
      </c>
      <c r="F128" s="3">
        <v>4830</v>
      </c>
      <c r="G128" s="8">
        <v>355.09281818181807</v>
      </c>
      <c r="H128" s="24">
        <f>(F128-D128)/D128</f>
        <v>7.9351996310578599E-2</v>
      </c>
      <c r="I128" s="5"/>
    </row>
    <row r="129" spans="1:9" x14ac:dyDescent="0.25">
      <c r="A129" s="7">
        <v>128</v>
      </c>
      <c r="B129" s="11" t="s">
        <v>221</v>
      </c>
      <c r="C129" s="18">
        <v>1297.3958937599998</v>
      </c>
      <c r="D129" s="27">
        <v>1595.0605172727271</v>
      </c>
      <c r="E129" s="17">
        <v>1479.980775</v>
      </c>
      <c r="F129" s="3">
        <v>1400</v>
      </c>
      <c r="G129" s="8">
        <v>102.60410624000019</v>
      </c>
      <c r="H129" s="24">
        <f>(F129-C129)/C129</f>
        <v>7.9084654679029323E-2</v>
      </c>
      <c r="I129" s="5"/>
    </row>
    <row r="130" spans="1:9" x14ac:dyDescent="0.25">
      <c r="A130" s="7">
        <v>129</v>
      </c>
      <c r="B130" s="7" t="s">
        <v>135</v>
      </c>
      <c r="C130" s="7"/>
      <c r="D130" s="30">
        <v>1214.6128181818181</v>
      </c>
      <c r="E130" s="9">
        <v>1391.8775000000001</v>
      </c>
      <c r="F130" s="7">
        <v>1310</v>
      </c>
      <c r="G130" s="8">
        <v>95.387181818181944</v>
      </c>
      <c r="H130" s="24">
        <f>(F130-D130)/D130</f>
        <v>7.8532994539749074E-2</v>
      </c>
      <c r="I130" s="5"/>
    </row>
    <row r="131" spans="1:9" x14ac:dyDescent="0.25">
      <c r="A131" s="7">
        <v>130</v>
      </c>
      <c r="B131" s="11" t="s">
        <v>220</v>
      </c>
      <c r="C131" s="18">
        <v>1278.5567402239999</v>
      </c>
      <c r="D131" s="27">
        <v>1293.6935454545453</v>
      </c>
      <c r="E131" s="17">
        <v>1395.513275</v>
      </c>
      <c r="F131" s="3">
        <v>1375</v>
      </c>
      <c r="G131" s="8">
        <v>96.443259776000104</v>
      </c>
      <c r="H131" s="24">
        <f>(F131-C131)/C131</f>
        <v>7.5431349068719067E-2</v>
      </c>
      <c r="I131" s="5"/>
    </row>
    <row r="132" spans="1:9" x14ac:dyDescent="0.25">
      <c r="A132" s="7">
        <v>131</v>
      </c>
      <c r="B132" s="7" t="s">
        <v>128</v>
      </c>
      <c r="C132" s="7"/>
      <c r="D132" s="30">
        <v>1295.746090909091</v>
      </c>
      <c r="E132" s="9">
        <v>1502.0525</v>
      </c>
      <c r="F132" s="7">
        <v>1390</v>
      </c>
      <c r="G132" s="8">
        <v>94.253909090909019</v>
      </c>
      <c r="H132" s="24">
        <f>(F132-D132)/D132</f>
        <v>7.2741032947883172E-2</v>
      </c>
      <c r="I132" s="5"/>
    </row>
    <row r="133" spans="1:9" x14ac:dyDescent="0.25">
      <c r="A133" s="7">
        <v>132</v>
      </c>
      <c r="B133" s="7" t="s">
        <v>170</v>
      </c>
      <c r="C133" s="4">
        <v>256.7049860496</v>
      </c>
      <c r="D133" s="20">
        <v>340.83036363636359</v>
      </c>
      <c r="E133" s="20">
        <v>367.21327499999995</v>
      </c>
      <c r="F133" s="7">
        <v>275</v>
      </c>
      <c r="G133" s="8">
        <v>18.295013950400005</v>
      </c>
      <c r="H133" s="24">
        <f>(F133-C133)/C133</f>
        <v>7.1268634988122442E-2</v>
      </c>
      <c r="I133" s="5"/>
    </row>
    <row r="134" spans="1:9" x14ac:dyDescent="0.25">
      <c r="A134" s="7">
        <v>133</v>
      </c>
      <c r="B134" s="3" t="s">
        <v>256</v>
      </c>
      <c r="C134" s="17">
        <v>517.62635640000008</v>
      </c>
      <c r="D134" s="27">
        <v>351.16590909090905</v>
      </c>
      <c r="E134" s="21">
        <v>257.038275</v>
      </c>
      <c r="F134" s="3">
        <v>275</v>
      </c>
      <c r="G134" s="8">
        <v>17.961725000000001</v>
      </c>
      <c r="H134" s="24">
        <f>(F134-E134)/E134</f>
        <v>6.987957338260227E-2</v>
      </c>
      <c r="I134" s="5"/>
    </row>
    <row r="135" spans="1:9" x14ac:dyDescent="0.25">
      <c r="A135" s="7">
        <v>134</v>
      </c>
      <c r="B135" s="3" t="s">
        <v>207</v>
      </c>
      <c r="C135" s="17">
        <v>5393.4362088191992</v>
      </c>
      <c r="D135" s="18">
        <v>2589.7435454545453</v>
      </c>
      <c r="E135" s="17">
        <v>3918.1168000000002</v>
      </c>
      <c r="F135" s="3">
        <v>2770</v>
      </c>
      <c r="G135" s="8">
        <v>180.25645454545474</v>
      </c>
      <c r="H135" s="24">
        <f>(F135-D135)/D135</f>
        <v>6.9603978688096924E-2</v>
      </c>
      <c r="I135" s="5"/>
    </row>
    <row r="136" spans="1:9" x14ac:dyDescent="0.25">
      <c r="A136" s="7">
        <v>135</v>
      </c>
      <c r="B136" s="11" t="s">
        <v>73</v>
      </c>
      <c r="C136" s="4">
        <v>3242.9815384615385</v>
      </c>
      <c r="D136" s="9">
        <v>3369.6089999999999</v>
      </c>
      <c r="E136" s="9">
        <v>3999.3525</v>
      </c>
      <c r="F136" s="9">
        <v>3450</v>
      </c>
      <c r="G136" s="8">
        <v>207.01846153846145</v>
      </c>
      <c r="H136" s="24">
        <f>(F136-C136)/C136</f>
        <v>6.3835843369207224E-2</v>
      </c>
      <c r="I136" s="5"/>
    </row>
    <row r="137" spans="1:9" x14ac:dyDescent="0.25">
      <c r="A137" s="7">
        <v>136</v>
      </c>
      <c r="B137" s="7" t="s">
        <v>166</v>
      </c>
      <c r="C137" s="4">
        <v>354.62644535999999</v>
      </c>
      <c r="D137" s="9">
        <v>431.87409090909091</v>
      </c>
      <c r="E137" s="9">
        <v>587.56327499999998</v>
      </c>
      <c r="F137" s="7">
        <v>375</v>
      </c>
      <c r="G137" s="8">
        <v>20.373554640000009</v>
      </c>
      <c r="H137" s="24">
        <f>(F137-C137)/C137</f>
        <v>5.7450748263620725E-2</v>
      </c>
      <c r="I137" s="5"/>
    </row>
    <row r="138" spans="1:9" x14ac:dyDescent="0.25">
      <c r="A138" s="7">
        <v>137</v>
      </c>
      <c r="B138" s="13" t="s">
        <v>168</v>
      </c>
      <c r="C138" s="4">
        <v>354.62644535999999</v>
      </c>
      <c r="D138" s="9">
        <v>431.87409090909091</v>
      </c>
      <c r="E138" s="9">
        <v>587.56327499999998</v>
      </c>
      <c r="F138" s="7">
        <v>375</v>
      </c>
      <c r="G138" s="8">
        <v>20.373554640000009</v>
      </c>
      <c r="H138" s="24">
        <f>(F138-C138)/C138</f>
        <v>5.7450748263620725E-2</v>
      </c>
      <c r="I138" s="5"/>
    </row>
    <row r="139" spans="1:9" x14ac:dyDescent="0.25">
      <c r="A139" s="7">
        <v>138</v>
      </c>
      <c r="B139" s="7" t="s">
        <v>169</v>
      </c>
      <c r="C139" s="4">
        <v>354.62644535999999</v>
      </c>
      <c r="D139" s="9">
        <v>431.87409090909091</v>
      </c>
      <c r="E139" s="9">
        <v>587.56327499999998</v>
      </c>
      <c r="F139" s="7">
        <v>375</v>
      </c>
      <c r="G139" s="8">
        <v>20.373554640000009</v>
      </c>
      <c r="H139" s="24">
        <f>(F139-C139)/C139</f>
        <v>5.7450748263620725E-2</v>
      </c>
      <c r="I139" s="5"/>
    </row>
    <row r="140" spans="1:9" x14ac:dyDescent="0.25">
      <c r="A140" s="7">
        <v>139</v>
      </c>
      <c r="B140" s="7" t="s">
        <v>137</v>
      </c>
      <c r="C140" s="7"/>
      <c r="D140" s="12">
        <v>1372.1068181818182</v>
      </c>
      <c r="E140" s="9">
        <v>1759.1274999999998</v>
      </c>
      <c r="F140" s="7">
        <v>1450</v>
      </c>
      <c r="G140" s="8">
        <v>77.893181818181802</v>
      </c>
      <c r="H140" s="24">
        <f>(F140-D140)/D140</f>
        <v>5.6769036335959783E-2</v>
      </c>
      <c r="I140" s="5"/>
    </row>
    <row r="141" spans="1:9" x14ac:dyDescent="0.25">
      <c r="A141" s="7">
        <v>140</v>
      </c>
      <c r="B141" s="7" t="s">
        <v>186</v>
      </c>
      <c r="C141" s="4">
        <v>1177.13699664</v>
      </c>
      <c r="D141" s="9">
        <v>1468.371909090909</v>
      </c>
      <c r="E141" s="9">
        <v>2019.6913750000001</v>
      </c>
      <c r="F141" s="7">
        <v>1240</v>
      </c>
      <c r="G141" s="8">
        <v>62.863003359999993</v>
      </c>
      <c r="H141" s="24">
        <f>(F141-C141)/C141</f>
        <v>5.340330270770105E-2</v>
      </c>
      <c r="I141" s="5"/>
    </row>
    <row r="142" spans="1:9" x14ac:dyDescent="0.25">
      <c r="A142" s="7">
        <v>141</v>
      </c>
      <c r="B142" s="11" t="s">
        <v>212</v>
      </c>
      <c r="C142" s="17">
        <v>3839.9391914239995</v>
      </c>
      <c r="D142" s="17">
        <v>3697.2771818181818</v>
      </c>
      <c r="E142" s="18">
        <v>3573.9668249999995</v>
      </c>
      <c r="F142" s="3">
        <v>3750</v>
      </c>
      <c r="G142" s="8">
        <v>176.03317500000048</v>
      </c>
      <c r="H142" s="24">
        <f>(F142-E142)/E142</f>
        <v>4.9254283438962952E-2</v>
      </c>
      <c r="I142" s="26" t="s">
        <v>238</v>
      </c>
    </row>
    <row r="143" spans="1:9" x14ac:dyDescent="0.25">
      <c r="A143" s="7">
        <v>142</v>
      </c>
      <c r="B143" s="7" t="s">
        <v>199</v>
      </c>
      <c r="C143" s="4">
        <v>133.49550482400002</v>
      </c>
      <c r="D143" s="9">
        <v>165.74627272727272</v>
      </c>
      <c r="E143" s="9">
        <v>293.61637500000001</v>
      </c>
      <c r="F143" s="7">
        <v>140</v>
      </c>
      <c r="G143" s="8">
        <v>6.5044951759999776</v>
      </c>
      <c r="H143" s="24">
        <f>(F143-C143)/C143</f>
        <v>4.8724450943688928E-2</v>
      </c>
      <c r="I143" s="5"/>
    </row>
    <row r="144" spans="1:9" x14ac:dyDescent="0.25">
      <c r="A144" s="7">
        <v>143</v>
      </c>
      <c r="B144" s="7" t="s">
        <v>200</v>
      </c>
      <c r="C144" s="4">
        <v>133.49550482400002</v>
      </c>
      <c r="D144" s="9">
        <v>165.74627272727272</v>
      </c>
      <c r="E144" s="9">
        <v>293.61637500000001</v>
      </c>
      <c r="F144" s="7">
        <v>140</v>
      </c>
      <c r="G144" s="8">
        <v>6.5044951759999776</v>
      </c>
      <c r="H144" s="24">
        <f>(F144-C144)/C144</f>
        <v>4.8724450943688928E-2</v>
      </c>
      <c r="I144" s="5"/>
    </row>
    <row r="145" spans="1:9" x14ac:dyDescent="0.25">
      <c r="A145" s="7">
        <v>144</v>
      </c>
      <c r="B145" s="7" t="s">
        <v>32</v>
      </c>
      <c r="C145" s="6">
        <v>13456.670769230768</v>
      </c>
      <c r="D145" s="9">
        <v>12915.779089090909</v>
      </c>
      <c r="E145" s="4">
        <v>12872.075774999999</v>
      </c>
      <c r="F145" s="7">
        <v>13420</v>
      </c>
      <c r="G145" s="8">
        <v>547.92422500000066</v>
      </c>
      <c r="H145" s="24">
        <f>(F145-E145)/E145</f>
        <v>4.2566889332967796E-2</v>
      </c>
      <c r="I145" s="5"/>
    </row>
    <row r="146" spans="1:9" x14ac:dyDescent="0.25">
      <c r="A146" s="7">
        <v>145</v>
      </c>
      <c r="B146" s="11" t="s">
        <v>78</v>
      </c>
      <c r="C146" s="4">
        <v>1530.5911384615385</v>
      </c>
      <c r="D146" s="9">
        <v>1602.8795454545455</v>
      </c>
      <c r="E146" s="9">
        <v>1538.7774999999999</v>
      </c>
      <c r="F146" s="9">
        <v>1590</v>
      </c>
      <c r="G146" s="8">
        <v>59.408861538461451</v>
      </c>
      <c r="H146" s="24">
        <f>(F146-C146)/C146</f>
        <v>3.8814324770085756E-2</v>
      </c>
      <c r="I146" s="5"/>
    </row>
    <row r="147" spans="1:9" x14ac:dyDescent="0.25">
      <c r="A147" s="7">
        <v>146</v>
      </c>
      <c r="B147" s="3" t="s">
        <v>208</v>
      </c>
      <c r="C147" s="17">
        <v>4992.8397056000003</v>
      </c>
      <c r="D147" s="18">
        <v>4710.5526363636363</v>
      </c>
      <c r="E147" s="17">
        <v>5060.668275</v>
      </c>
      <c r="F147" s="3">
        <v>4890</v>
      </c>
      <c r="G147" s="8">
        <v>179.44736363636366</v>
      </c>
      <c r="H147" s="24">
        <f>(F147-D147)/D147</f>
        <v>3.8094758192722386E-2</v>
      </c>
      <c r="I147" s="26" t="s">
        <v>237</v>
      </c>
    </row>
    <row r="148" spans="1:9" x14ac:dyDescent="0.25">
      <c r="A148" s="7">
        <v>147</v>
      </c>
      <c r="B148" s="11" t="s">
        <v>213</v>
      </c>
      <c r="C148" s="17">
        <v>3710.2924057599994</v>
      </c>
      <c r="D148" s="18">
        <v>3390.938090909091</v>
      </c>
      <c r="E148" s="17">
        <v>4319.3741500000006</v>
      </c>
      <c r="F148" s="3">
        <v>3520</v>
      </c>
      <c r="G148" s="8">
        <v>129.06190909090901</v>
      </c>
      <c r="H148" s="24">
        <f>(F148-D148)/D148</f>
        <v>3.8060827308206105E-2</v>
      </c>
      <c r="I148" s="5"/>
    </row>
    <row r="149" spans="1:9" x14ac:dyDescent="0.25">
      <c r="A149" s="7">
        <v>148</v>
      </c>
      <c r="B149" s="7" t="s">
        <v>184</v>
      </c>
      <c r="C149" s="4">
        <v>1177.13699664</v>
      </c>
      <c r="D149" s="9">
        <v>1389.0004545454544</v>
      </c>
      <c r="E149" s="9">
        <v>2019.6913750000001</v>
      </c>
      <c r="F149" s="7">
        <v>1220</v>
      </c>
      <c r="G149" s="8">
        <v>42.863003359999993</v>
      </c>
      <c r="H149" s="24">
        <f>(F149-C149)/C149</f>
        <v>3.6412926857576841E-2</v>
      </c>
      <c r="I149" s="5"/>
    </row>
    <row r="150" spans="1:9" x14ac:dyDescent="0.25">
      <c r="A150" s="7">
        <v>149</v>
      </c>
      <c r="B150" s="7" t="s">
        <v>141</v>
      </c>
      <c r="C150" s="16"/>
      <c r="D150" s="12">
        <v>1788.6307227272723</v>
      </c>
      <c r="E150" s="6">
        <v>1832.5774999999999</v>
      </c>
      <c r="F150" s="5">
        <v>1850</v>
      </c>
      <c r="G150" s="8">
        <v>61.369277272727686</v>
      </c>
      <c r="H150" s="24">
        <f>(F150-D150)/D150</f>
        <v>3.4310758779292856E-2</v>
      </c>
      <c r="I150" s="5"/>
    </row>
    <row r="151" spans="1:9" x14ac:dyDescent="0.25">
      <c r="A151" s="7">
        <v>150</v>
      </c>
      <c r="B151" s="7" t="s">
        <v>142</v>
      </c>
      <c r="C151" s="16"/>
      <c r="D151" s="12">
        <v>1788.6307227272723</v>
      </c>
      <c r="E151" s="6">
        <v>1832.5774999999999</v>
      </c>
      <c r="F151" s="5">
        <v>1850</v>
      </c>
      <c r="G151" s="8">
        <v>61.369277272727686</v>
      </c>
      <c r="H151" s="24">
        <f>(F151-D151)/D151</f>
        <v>3.4310758779292856E-2</v>
      </c>
      <c r="I151" s="5"/>
    </row>
    <row r="152" spans="1:9" x14ac:dyDescent="0.25">
      <c r="A152" s="7">
        <v>151</v>
      </c>
      <c r="B152" s="5" t="s">
        <v>62</v>
      </c>
      <c r="C152" s="6">
        <v>528.79227692307688</v>
      </c>
      <c r="D152" s="4">
        <v>503.70055000000002</v>
      </c>
      <c r="E152" s="6">
        <v>532.475775</v>
      </c>
      <c r="F152" s="5">
        <v>520</v>
      </c>
      <c r="G152" s="8">
        <v>16.299449999999979</v>
      </c>
      <c r="H152" s="24">
        <f>(F152-D152)/D152</f>
        <v>3.2359404809067564E-2</v>
      </c>
      <c r="I152" s="5"/>
    </row>
    <row r="153" spans="1:9" x14ac:dyDescent="0.25">
      <c r="A153" s="7">
        <v>152</v>
      </c>
      <c r="B153" s="11" t="s">
        <v>77</v>
      </c>
      <c r="C153" s="4">
        <v>1360.0692000000001</v>
      </c>
      <c r="D153" s="9">
        <v>1469.899909090909</v>
      </c>
      <c r="E153" s="9">
        <v>2166.591375</v>
      </c>
      <c r="F153" s="9">
        <v>1400</v>
      </c>
      <c r="G153" s="8">
        <v>39.930799999999863</v>
      </c>
      <c r="H153" s="24">
        <f>(F153-C153)/C153</f>
        <v>2.9359388478174389E-2</v>
      </c>
      <c r="I153" s="5"/>
    </row>
    <row r="154" spans="1:9" x14ac:dyDescent="0.25">
      <c r="A154" s="7">
        <v>153</v>
      </c>
      <c r="B154" s="7" t="s">
        <v>117</v>
      </c>
      <c r="C154" s="7"/>
      <c r="D154" s="12">
        <v>1706.1611372727273</v>
      </c>
      <c r="E154" s="9">
        <v>1832.5774999999999</v>
      </c>
      <c r="F154" s="7">
        <v>1750</v>
      </c>
      <c r="G154" s="8">
        <v>43.838862727272726</v>
      </c>
      <c r="H154" s="24">
        <f>(F154-D154)/D154</f>
        <v>2.5694444545459806E-2</v>
      </c>
      <c r="I154" s="5"/>
    </row>
    <row r="155" spans="1:9" x14ac:dyDescent="0.25">
      <c r="A155" s="7">
        <v>154</v>
      </c>
      <c r="B155" s="7" t="s">
        <v>119</v>
      </c>
      <c r="C155" s="7"/>
      <c r="D155" s="12">
        <v>1706.1611372727273</v>
      </c>
      <c r="E155" s="9">
        <v>1832.5774999999999</v>
      </c>
      <c r="F155" s="7">
        <v>1750</v>
      </c>
      <c r="G155" s="8">
        <v>43.838862727272726</v>
      </c>
      <c r="H155" s="24">
        <f>(F155-D155)/D155</f>
        <v>2.5694444545459806E-2</v>
      </c>
      <c r="I155" s="5"/>
    </row>
    <row r="156" spans="1:9" x14ac:dyDescent="0.25">
      <c r="A156" s="7">
        <v>155</v>
      </c>
      <c r="B156" s="11" t="s">
        <v>74</v>
      </c>
      <c r="C156" s="4">
        <v>258.39692307692309</v>
      </c>
      <c r="D156" s="9">
        <v>301.57881818181818</v>
      </c>
      <c r="E156" s="9">
        <v>609.59827500000006</v>
      </c>
      <c r="F156" s="9">
        <v>265</v>
      </c>
      <c r="G156" s="8">
        <v>6.6030769230769124</v>
      </c>
      <c r="H156" s="24">
        <f>(F156-C156)/C156</f>
        <v>2.5554007549506381E-2</v>
      </c>
      <c r="I156" s="5"/>
    </row>
    <row r="157" spans="1:9" x14ac:dyDescent="0.25">
      <c r="A157" s="7">
        <v>156</v>
      </c>
      <c r="B157" s="7" t="s">
        <v>202</v>
      </c>
      <c r="C157" s="9">
        <v>692.54274408000003</v>
      </c>
      <c r="D157" s="4">
        <v>660.65063636363629</v>
      </c>
      <c r="E157" s="9">
        <v>1395.3663749999998</v>
      </c>
      <c r="F157" s="7">
        <v>675</v>
      </c>
      <c r="G157" s="8">
        <v>14.349363636363705</v>
      </c>
      <c r="H157" s="24">
        <f>(F157-D157)/D157</f>
        <v>2.1720048156383683E-2</v>
      </c>
      <c r="I157" s="5"/>
    </row>
    <row r="158" spans="1:9" x14ac:dyDescent="0.25">
      <c r="A158" s="7">
        <v>157</v>
      </c>
      <c r="B158" s="3" t="s">
        <v>209</v>
      </c>
      <c r="C158" s="18">
        <v>4907.1818794239989</v>
      </c>
      <c r="D158" s="17">
        <v>5181.8435454545452</v>
      </c>
      <c r="E158" s="17">
        <v>5449.9532749999998</v>
      </c>
      <c r="F158" s="3">
        <v>4990</v>
      </c>
      <c r="G158" s="8">
        <v>82.818120576001093</v>
      </c>
      <c r="H158" s="24">
        <f>(F158-C158)/C158</f>
        <v>1.6876920931596328E-2</v>
      </c>
      <c r="I158" s="26" t="s">
        <v>237</v>
      </c>
    </row>
    <row r="159" spans="1:9" x14ac:dyDescent="0.25">
      <c r="A159" s="7">
        <v>158</v>
      </c>
      <c r="B159" s="7" t="s">
        <v>188</v>
      </c>
      <c r="C159" s="4">
        <v>1524.3367101599999</v>
      </c>
      <c r="D159" s="9">
        <v>1750.8175645454544</v>
      </c>
      <c r="E159" s="9">
        <v>2754.1913749999999</v>
      </c>
      <c r="F159" s="7">
        <v>1550</v>
      </c>
      <c r="G159" s="8">
        <v>25.663289840000061</v>
      </c>
      <c r="H159" s="24">
        <f>(F159-C159)/C159</f>
        <v>1.6835709373755323E-2</v>
      </c>
      <c r="I159" s="5"/>
    </row>
    <row r="160" spans="1:9" x14ac:dyDescent="0.25">
      <c r="A160" s="7">
        <v>159</v>
      </c>
      <c r="B160" s="7" t="s">
        <v>197</v>
      </c>
      <c r="C160" s="4">
        <v>3152.6476660800004</v>
      </c>
      <c r="D160" s="9">
        <v>3940.5592727272729</v>
      </c>
      <c r="E160" s="9">
        <v>6977.5663750000003</v>
      </c>
      <c r="F160" s="7">
        <v>3200</v>
      </c>
      <c r="G160" s="8">
        <v>47.352333919999637</v>
      </c>
      <c r="H160" s="24">
        <f>(F160-C160)/C160</f>
        <v>1.5019862330152957E-2</v>
      </c>
      <c r="I160" s="5"/>
    </row>
    <row r="161" spans="1:9" x14ac:dyDescent="0.25">
      <c r="A161" s="7">
        <v>160</v>
      </c>
      <c r="B161" s="7" t="s">
        <v>138</v>
      </c>
      <c r="C161" s="7"/>
      <c r="D161" s="12">
        <v>1333.9264545454544</v>
      </c>
      <c r="E161" s="9">
        <v>1648.9524999999999</v>
      </c>
      <c r="F161" s="7">
        <v>1350</v>
      </c>
      <c r="G161" s="8">
        <v>16.073545454545638</v>
      </c>
      <c r="H161" s="24">
        <f>(F161-D161)/D161</f>
        <v>1.2049798847435574E-2</v>
      </c>
      <c r="I161" s="5"/>
    </row>
    <row r="162" spans="1:9" x14ac:dyDescent="0.25">
      <c r="A162" s="7">
        <v>161</v>
      </c>
      <c r="B162" s="7" t="s">
        <v>36</v>
      </c>
      <c r="C162" s="4">
        <v>1340.0584615384616</v>
      </c>
      <c r="D162" s="6">
        <v>1796.6227399999998</v>
      </c>
      <c r="E162" s="6">
        <v>1573.0786499999999</v>
      </c>
      <c r="F162" s="7">
        <v>1350</v>
      </c>
      <c r="G162" s="8">
        <v>9.9415384615383573</v>
      </c>
      <c r="H162" s="24">
        <f>(F162-C162)/C162</f>
        <v>7.4187348887188986E-3</v>
      </c>
      <c r="I162" s="5"/>
    </row>
    <row r="163" spans="1:9" x14ac:dyDescent="0.25">
      <c r="A163" s="7">
        <v>162</v>
      </c>
      <c r="B163" s="13" t="s">
        <v>129</v>
      </c>
      <c r="C163" s="7"/>
      <c r="D163" s="9">
        <v>1395.9695454545454</v>
      </c>
      <c r="E163" s="12">
        <v>1391.8775000000001</v>
      </c>
      <c r="F163" s="7">
        <v>1400</v>
      </c>
      <c r="G163" s="8">
        <v>8.1224999999999454</v>
      </c>
      <c r="H163" s="24">
        <f>(F163-E163)/E163</f>
        <v>5.8356428636858809E-3</v>
      </c>
      <c r="I163" s="5"/>
    </row>
    <row r="164" spans="1:9" x14ac:dyDescent="0.25">
      <c r="A164" s="7">
        <v>163</v>
      </c>
      <c r="B164" s="7" t="s">
        <v>131</v>
      </c>
      <c r="C164" s="7"/>
      <c r="D164" s="9">
        <v>1395.9695454545454</v>
      </c>
      <c r="E164" s="12">
        <v>1391.8775000000001</v>
      </c>
      <c r="F164" s="7">
        <v>1400</v>
      </c>
      <c r="G164" s="8">
        <v>8.1224999999999454</v>
      </c>
      <c r="H164" s="24">
        <f>(F164-E164)/E164</f>
        <v>5.8356428636858809E-3</v>
      </c>
      <c r="I164" s="5"/>
    </row>
    <row r="165" spans="1:9" x14ac:dyDescent="0.25">
      <c r="A165" s="7">
        <v>164</v>
      </c>
      <c r="B165" s="11" t="s">
        <v>93</v>
      </c>
      <c r="C165" s="9">
        <v>611.02035288000002</v>
      </c>
      <c r="D165" s="9">
        <v>630.06799999999998</v>
      </c>
      <c r="E165" s="4">
        <v>547.20249999999999</v>
      </c>
      <c r="F165" s="7">
        <v>550</v>
      </c>
      <c r="G165" s="8">
        <v>2.7975000000000136</v>
      </c>
      <c r="H165" s="24">
        <f>(F165-E165)/E165</f>
        <v>5.11236699393737E-3</v>
      </c>
      <c r="I165" s="5"/>
    </row>
    <row r="166" spans="1:9" x14ac:dyDescent="0.25">
      <c r="A166" s="7">
        <v>165</v>
      </c>
      <c r="B166" s="11" t="s">
        <v>223</v>
      </c>
      <c r="C166" s="18">
        <v>4731.1332377599992</v>
      </c>
      <c r="D166" s="17">
        <v>4828.3753636363635</v>
      </c>
      <c r="E166" s="17">
        <v>4998.2357750000001</v>
      </c>
      <c r="F166" s="3">
        <v>4750</v>
      </c>
      <c r="G166" s="8">
        <v>18.866762240000753</v>
      </c>
      <c r="H166" s="24">
        <f>(F166-C166)/C166</f>
        <v>3.9877892445348683E-3</v>
      </c>
      <c r="I166" s="26" t="s">
        <v>139</v>
      </c>
    </row>
    <row r="167" spans="1:9" x14ac:dyDescent="0.25">
      <c r="A167" s="7">
        <v>166</v>
      </c>
      <c r="B167" s="7" t="s">
        <v>101</v>
      </c>
      <c r="C167" s="9">
        <v>3273.8484923076921</v>
      </c>
      <c r="D167" s="6">
        <v>2863.43</v>
      </c>
      <c r="E167" s="6">
        <v>3301.5774999999999</v>
      </c>
      <c r="F167" s="5"/>
      <c r="G167" s="5"/>
      <c r="H167" s="24"/>
      <c r="I167" s="5"/>
    </row>
  </sheetData>
  <sortState xmlns:xlrd2="http://schemas.microsoft.com/office/spreadsheetml/2017/richdata2" ref="A2:I167">
    <sortCondition descending="1" ref="H2:H167"/>
  </sortState>
  <conditionalFormatting sqref="B1">
    <cfRule type="duplicateValues" dxfId="132" priority="91"/>
    <cfRule type="duplicateValues" dxfId="131" priority="92"/>
    <cfRule type="duplicateValues" dxfId="130" priority="93"/>
  </conditionalFormatting>
  <conditionalFormatting sqref="B1:B134 B168:B1048576">
    <cfRule type="duplicateValues" dxfId="129" priority="7"/>
  </conditionalFormatting>
  <conditionalFormatting sqref="B2:B3">
    <cfRule type="duplicateValues" dxfId="128" priority="88"/>
  </conditionalFormatting>
  <conditionalFormatting sqref="B2:B13">
    <cfRule type="duplicateValues" dxfId="127" priority="86"/>
  </conditionalFormatting>
  <conditionalFormatting sqref="B2:B35">
    <cfRule type="duplicateValues" dxfId="126" priority="85"/>
  </conditionalFormatting>
  <conditionalFormatting sqref="B4">
    <cfRule type="duplicateValues" dxfId="125" priority="87"/>
  </conditionalFormatting>
  <conditionalFormatting sqref="B5:B6">
    <cfRule type="duplicateValues" dxfId="124" priority="89"/>
  </conditionalFormatting>
  <conditionalFormatting sqref="B7:B10">
    <cfRule type="duplicateValues" dxfId="123" priority="90"/>
  </conditionalFormatting>
  <conditionalFormatting sqref="B11:B13">
    <cfRule type="duplicateValues" dxfId="122" priority="84"/>
  </conditionalFormatting>
  <conditionalFormatting sqref="B14:B35">
    <cfRule type="duplicateValues" dxfId="121" priority="83"/>
  </conditionalFormatting>
  <conditionalFormatting sqref="B36:B55">
    <cfRule type="duplicateValues" dxfId="120" priority="81"/>
    <cfRule type="duplicateValues" dxfId="119" priority="82"/>
  </conditionalFormatting>
  <conditionalFormatting sqref="B56">
    <cfRule type="duplicateValues" dxfId="118" priority="80"/>
  </conditionalFormatting>
  <conditionalFormatting sqref="B57:B58">
    <cfRule type="duplicateValues" dxfId="117" priority="79"/>
  </conditionalFormatting>
  <conditionalFormatting sqref="B59:B60">
    <cfRule type="duplicateValues" dxfId="116" priority="78"/>
  </conditionalFormatting>
  <conditionalFormatting sqref="B61">
    <cfRule type="duplicateValues" dxfId="115" priority="77"/>
  </conditionalFormatting>
  <conditionalFormatting sqref="B62:B90">
    <cfRule type="duplicateValues" dxfId="114" priority="74"/>
    <cfRule type="duplicateValues" dxfId="113" priority="75"/>
    <cfRule type="duplicateValues" dxfId="112" priority="76"/>
  </conditionalFormatting>
  <conditionalFormatting sqref="B91:B92">
    <cfRule type="duplicateValues" dxfId="111" priority="20"/>
    <cfRule type="duplicateValues" dxfId="110" priority="21"/>
    <cfRule type="duplicateValues" dxfId="109" priority="22"/>
    <cfRule type="duplicateValues" dxfId="108" priority="23"/>
  </conditionalFormatting>
  <conditionalFormatting sqref="B93:B94">
    <cfRule type="duplicateValues" dxfId="107" priority="18"/>
    <cfRule type="duplicateValues" dxfId="106" priority="19"/>
  </conditionalFormatting>
  <conditionalFormatting sqref="B95:B134">
    <cfRule type="duplicateValues" dxfId="105" priority="15"/>
    <cfRule type="duplicateValues" dxfId="104" priority="16"/>
    <cfRule type="duplicateValues" dxfId="103" priority="17"/>
  </conditionalFormatting>
  <conditionalFormatting sqref="B135:B164">
    <cfRule type="duplicateValues" dxfId="102" priority="5"/>
    <cfRule type="duplicateValues" dxfId="101" priority="6"/>
  </conditionalFormatting>
  <conditionalFormatting sqref="B165">
    <cfRule type="duplicateValues" dxfId="100" priority="1"/>
    <cfRule type="duplicateValues" dxfId="99" priority="2"/>
    <cfRule type="duplicateValues" dxfId="98" priority="3"/>
    <cfRule type="duplicateValues" dxfId="97" priority="4"/>
  </conditionalFormatting>
  <conditionalFormatting sqref="B171:B1048576 B1:B90">
    <cfRule type="duplicateValues" dxfId="96" priority="32"/>
    <cfRule type="duplicateValues" dxfId="95" priority="64"/>
    <cfRule type="duplicateValues" dxfId="94" priority="7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BC6DA-D473-445C-8ABD-04B6B0A64A2B}">
  <dimension ref="A1:L41"/>
  <sheetViews>
    <sheetView workbookViewId="0">
      <selection activeCell="C11" sqref="C11"/>
    </sheetView>
  </sheetViews>
  <sheetFormatPr defaultRowHeight="15" x14ac:dyDescent="0.25"/>
  <cols>
    <col min="1" max="1" width="5.85546875" bestFit="1" customWidth="1"/>
    <col min="2" max="2" width="57.7109375" bestFit="1" customWidth="1"/>
    <col min="3" max="3" width="28.42578125" bestFit="1" customWidth="1"/>
    <col min="4" max="4" width="22.28515625" bestFit="1" customWidth="1"/>
    <col min="5" max="5" width="23.7109375" bestFit="1" customWidth="1"/>
    <col min="6" max="6" width="23" bestFit="1" customWidth="1"/>
    <col min="7" max="7" width="12.7109375" bestFit="1" customWidth="1"/>
    <col min="8" max="8" width="10.42578125" bestFit="1" customWidth="1"/>
    <col min="9" max="9" width="18.42578125" customWidth="1"/>
    <col min="10" max="10" width="16.85546875" bestFit="1" customWidth="1"/>
    <col min="11" max="11" width="13.28515625" bestFit="1" customWidth="1"/>
  </cols>
  <sheetData>
    <row r="1" spans="1:12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2</v>
      </c>
      <c r="F1" s="2" t="s">
        <v>4</v>
      </c>
      <c r="G1" s="2" t="s">
        <v>2</v>
      </c>
      <c r="H1" s="2" t="s">
        <v>5</v>
      </c>
      <c r="I1" s="2" t="s">
        <v>6</v>
      </c>
      <c r="J1" s="2" t="s">
        <v>7</v>
      </c>
      <c r="K1" s="23" t="s">
        <v>140</v>
      </c>
    </row>
    <row r="2" spans="1:12" x14ac:dyDescent="0.25">
      <c r="A2" s="5">
        <v>1</v>
      </c>
      <c r="B2" s="7" t="s">
        <v>163</v>
      </c>
      <c r="C2" s="7" t="s">
        <v>162</v>
      </c>
      <c r="D2" s="4">
        <v>183.81161304</v>
      </c>
      <c r="E2" s="7" t="s">
        <v>43</v>
      </c>
      <c r="F2" s="20">
        <v>207.76645454545454</v>
      </c>
      <c r="G2" s="7" t="s">
        <v>11</v>
      </c>
      <c r="H2" s="9">
        <v>403.93827499999998</v>
      </c>
      <c r="I2" s="7">
        <v>425</v>
      </c>
      <c r="J2" s="8">
        <v>241.18838696</v>
      </c>
      <c r="K2" s="32">
        <f>(I2-D2)/D2</f>
        <v>1.3121498852605902</v>
      </c>
    </row>
    <row r="3" spans="1:12" x14ac:dyDescent="0.25">
      <c r="A3" s="5">
        <v>2</v>
      </c>
      <c r="B3" s="7" t="s">
        <v>161</v>
      </c>
      <c r="C3" s="7" t="s">
        <v>162</v>
      </c>
      <c r="D3" s="9">
        <v>239.51210184000001</v>
      </c>
      <c r="E3" s="7" t="s">
        <v>43</v>
      </c>
      <c r="F3" s="21">
        <v>207.76645454545454</v>
      </c>
      <c r="G3" s="7" t="s">
        <v>11</v>
      </c>
      <c r="H3" s="9">
        <v>365.41374999999999</v>
      </c>
      <c r="I3" s="7">
        <v>425</v>
      </c>
      <c r="J3" s="8">
        <v>217.23354545454546</v>
      </c>
      <c r="K3" s="32">
        <f>(I3-F3)/F3</f>
        <v>1.0455660223388936</v>
      </c>
    </row>
    <row r="4" spans="1:12" x14ac:dyDescent="0.25">
      <c r="A4" s="5">
        <v>3</v>
      </c>
      <c r="B4" s="7" t="s">
        <v>164</v>
      </c>
      <c r="C4" s="7" t="s">
        <v>162</v>
      </c>
      <c r="D4" s="9">
        <v>239.51210184000001</v>
      </c>
      <c r="E4" s="7" t="s">
        <v>43</v>
      </c>
      <c r="F4" s="21">
        <v>207.76645454545454</v>
      </c>
      <c r="G4" s="7" t="s">
        <v>11</v>
      </c>
      <c r="H4" s="9">
        <v>403.93827499999998</v>
      </c>
      <c r="I4" s="7">
        <v>425</v>
      </c>
      <c r="J4" s="8">
        <v>217.23354545454546</v>
      </c>
      <c r="K4" s="32">
        <f>(I4-F4)/F4</f>
        <v>1.0455660223388936</v>
      </c>
    </row>
    <row r="5" spans="1:12" x14ac:dyDescent="0.25">
      <c r="A5" s="5">
        <v>4</v>
      </c>
      <c r="B5" s="7" t="s">
        <v>198</v>
      </c>
      <c r="C5" s="7" t="s">
        <v>16</v>
      </c>
      <c r="D5" s="4">
        <v>1180.8503625600001</v>
      </c>
      <c r="E5" s="7" t="s">
        <v>14</v>
      </c>
      <c r="F5" s="20">
        <v>1293.287818181818</v>
      </c>
      <c r="G5" s="7" t="s">
        <v>11</v>
      </c>
      <c r="H5" s="9">
        <v>1391.8775000000001</v>
      </c>
      <c r="I5" s="7">
        <v>1870</v>
      </c>
      <c r="J5" s="8">
        <v>689.14963743999988</v>
      </c>
      <c r="K5" s="32">
        <f>(I5-D5)/D5</f>
        <v>0.58360454405583806</v>
      </c>
      <c r="L5" s="31"/>
    </row>
    <row r="6" spans="1:12" x14ac:dyDescent="0.25">
      <c r="A6" s="5">
        <v>5</v>
      </c>
      <c r="B6" s="7" t="s">
        <v>159</v>
      </c>
      <c r="C6" s="7" t="s">
        <v>79</v>
      </c>
      <c r="D6" s="9">
        <v>391.90863919680004</v>
      </c>
      <c r="E6" s="7" t="s">
        <v>17</v>
      </c>
      <c r="F6" s="21">
        <v>226.44209090909089</v>
      </c>
      <c r="G6" s="7" t="s">
        <v>11</v>
      </c>
      <c r="H6" s="9">
        <v>367.21327500000001</v>
      </c>
      <c r="I6" s="7">
        <v>345</v>
      </c>
      <c r="J6" s="8">
        <v>118.55790909090911</v>
      </c>
      <c r="K6" s="32">
        <f>(I6-F6)/F6</f>
        <v>0.52356833756011478</v>
      </c>
    </row>
    <row r="7" spans="1:12" x14ac:dyDescent="0.25">
      <c r="A7" s="5">
        <v>6</v>
      </c>
      <c r="B7" s="7" t="s">
        <v>160</v>
      </c>
      <c r="C7" s="7" t="s">
        <v>79</v>
      </c>
      <c r="D7" s="9">
        <v>391.90863919680004</v>
      </c>
      <c r="E7" s="7" t="s">
        <v>17</v>
      </c>
      <c r="F7" s="21">
        <v>226.44209090909089</v>
      </c>
      <c r="G7" s="7" t="s">
        <v>11</v>
      </c>
      <c r="H7" s="9">
        <v>367.21327500000001</v>
      </c>
      <c r="I7" s="7">
        <v>345</v>
      </c>
      <c r="J7" s="8">
        <v>118.55790909090911</v>
      </c>
      <c r="K7" s="32">
        <f>(I7-F7)/F7</f>
        <v>0.52356833756011478</v>
      </c>
      <c r="L7" s="31"/>
    </row>
    <row r="8" spans="1:12" x14ac:dyDescent="0.25">
      <c r="A8" s="5">
        <v>7</v>
      </c>
      <c r="B8" s="7" t="s">
        <v>171</v>
      </c>
      <c r="C8" s="7" t="s">
        <v>16</v>
      </c>
      <c r="D8" s="4">
        <v>608.99201088000007</v>
      </c>
      <c r="E8" s="7" t="s">
        <v>14</v>
      </c>
      <c r="F8" s="20">
        <v>674.65736363636358</v>
      </c>
      <c r="G8" s="7" t="s">
        <v>11</v>
      </c>
      <c r="H8" s="9">
        <v>694.10249999999996</v>
      </c>
      <c r="I8" s="7">
        <v>870</v>
      </c>
      <c r="J8" s="8">
        <v>261.00798911999993</v>
      </c>
      <c r="K8" s="32">
        <f>(I8-D8)/D8</f>
        <v>0.42859016942248646</v>
      </c>
      <c r="L8" s="31"/>
    </row>
    <row r="9" spans="1:12" x14ac:dyDescent="0.25">
      <c r="A9" s="5">
        <v>8</v>
      </c>
      <c r="B9" s="7" t="s">
        <v>172</v>
      </c>
      <c r="C9" s="7" t="s">
        <v>16</v>
      </c>
      <c r="D9" s="4">
        <v>608.99201088000007</v>
      </c>
      <c r="E9" s="7" t="s">
        <v>14</v>
      </c>
      <c r="F9" s="20">
        <v>674.65736363636358</v>
      </c>
      <c r="G9" s="7" t="s">
        <v>11</v>
      </c>
      <c r="H9" s="9">
        <v>694.10249999999996</v>
      </c>
      <c r="I9" s="7">
        <v>870</v>
      </c>
      <c r="J9" s="8">
        <v>261.00798911999993</v>
      </c>
      <c r="K9" s="32">
        <f>(I9-D9)/D9</f>
        <v>0.42859016942248646</v>
      </c>
      <c r="L9" s="31"/>
    </row>
    <row r="10" spans="1:12" x14ac:dyDescent="0.25">
      <c r="A10" s="5">
        <v>9</v>
      </c>
      <c r="B10" s="7" t="s">
        <v>203</v>
      </c>
      <c r="C10" s="7" t="s">
        <v>204</v>
      </c>
      <c r="D10" s="9">
        <v>720.39298847999999</v>
      </c>
      <c r="E10" s="7" t="s">
        <v>205</v>
      </c>
      <c r="F10" s="21">
        <v>688.66409090909087</v>
      </c>
      <c r="G10" s="7" t="s">
        <v>11</v>
      </c>
      <c r="H10" s="9">
        <v>1325.7357749999999</v>
      </c>
      <c r="I10" s="7">
        <v>940</v>
      </c>
      <c r="J10" s="8">
        <v>251.33590909090913</v>
      </c>
      <c r="K10" s="32">
        <f>(I10-F10)/F10</f>
        <v>0.3649615428025671</v>
      </c>
      <c r="L10" s="31"/>
    </row>
    <row r="11" spans="1:12" x14ac:dyDescent="0.25">
      <c r="A11" s="5">
        <v>10</v>
      </c>
      <c r="B11" s="7" t="s">
        <v>174</v>
      </c>
      <c r="C11" s="7" t="s">
        <v>19</v>
      </c>
      <c r="D11" s="4">
        <v>181.95493008</v>
      </c>
      <c r="E11" s="7" t="s">
        <v>17</v>
      </c>
      <c r="F11" s="20">
        <v>184.42190909090908</v>
      </c>
      <c r="G11" s="7" t="s">
        <v>21</v>
      </c>
      <c r="H11" s="9">
        <v>256.89137499999998</v>
      </c>
      <c r="I11" s="7">
        <v>230</v>
      </c>
      <c r="J11" s="8">
        <v>48.045069920000003</v>
      </c>
      <c r="K11" s="32">
        <f>(I11-D11)/D11</f>
        <v>0.26404928901281244</v>
      </c>
      <c r="L11" s="31"/>
    </row>
    <row r="12" spans="1:12" x14ac:dyDescent="0.25">
      <c r="A12" s="5">
        <v>11</v>
      </c>
      <c r="B12" s="7" t="s">
        <v>176</v>
      </c>
      <c r="C12" s="7" t="s">
        <v>19</v>
      </c>
      <c r="D12" s="4">
        <v>181.95493008</v>
      </c>
      <c r="E12" s="7" t="s">
        <v>17</v>
      </c>
      <c r="F12" s="20">
        <v>184.42190909090908</v>
      </c>
      <c r="G12" s="7" t="s">
        <v>21</v>
      </c>
      <c r="H12" s="9">
        <v>256.89137499999998</v>
      </c>
      <c r="I12" s="7">
        <v>230</v>
      </c>
      <c r="J12" s="8">
        <v>48.045069920000003</v>
      </c>
      <c r="K12" s="32">
        <f>(I12-D12)/D12</f>
        <v>0.26404928901281244</v>
      </c>
      <c r="L12" s="31"/>
    </row>
    <row r="13" spans="1:12" x14ac:dyDescent="0.25">
      <c r="A13" s="5">
        <v>12</v>
      </c>
      <c r="B13" s="7" t="s">
        <v>177</v>
      </c>
      <c r="C13" s="7" t="s">
        <v>19</v>
      </c>
      <c r="D13" s="4">
        <v>181.95493008</v>
      </c>
      <c r="E13" s="7" t="s">
        <v>178</v>
      </c>
      <c r="F13" s="20">
        <v>226.44209090909089</v>
      </c>
      <c r="G13" s="7" t="s">
        <v>21</v>
      </c>
      <c r="H13" s="9">
        <v>256.89137499999998</v>
      </c>
      <c r="I13" s="7">
        <v>230</v>
      </c>
      <c r="J13" s="8">
        <v>48.045069920000003</v>
      </c>
      <c r="K13" s="32">
        <f>(I13-D13)/D13</f>
        <v>0.26404928901281244</v>
      </c>
      <c r="L13" s="31"/>
    </row>
    <row r="14" spans="1:12" x14ac:dyDescent="0.25">
      <c r="A14" s="5">
        <v>13</v>
      </c>
      <c r="B14" s="7" t="s">
        <v>179</v>
      </c>
      <c r="C14" s="7" t="s">
        <v>19</v>
      </c>
      <c r="D14" s="4">
        <v>181.95493008</v>
      </c>
      <c r="E14" s="7" t="s">
        <v>17</v>
      </c>
      <c r="F14" s="20">
        <v>184.42190909090908</v>
      </c>
      <c r="G14" s="7" t="s">
        <v>21</v>
      </c>
      <c r="H14" s="9">
        <v>256.89137499999998</v>
      </c>
      <c r="I14" s="7">
        <v>230</v>
      </c>
      <c r="J14" s="8">
        <v>48.045069920000003</v>
      </c>
      <c r="K14" s="32">
        <f>(I14-D14)/D14</f>
        <v>0.26404928901281244</v>
      </c>
      <c r="L14" s="31"/>
    </row>
    <row r="15" spans="1:12" x14ac:dyDescent="0.25">
      <c r="A15" s="5">
        <v>14</v>
      </c>
      <c r="B15" s="7" t="s">
        <v>180</v>
      </c>
      <c r="C15" s="7" t="s">
        <v>19</v>
      </c>
      <c r="D15" s="4">
        <v>181.95493008</v>
      </c>
      <c r="E15" s="7" t="s">
        <v>14</v>
      </c>
      <c r="F15" s="20">
        <v>186.75636363636363</v>
      </c>
      <c r="G15" s="7" t="s">
        <v>21</v>
      </c>
      <c r="H15" s="9">
        <v>256.89137499999998</v>
      </c>
      <c r="I15" s="7">
        <v>230</v>
      </c>
      <c r="J15" s="8">
        <v>48.045069920000003</v>
      </c>
      <c r="K15" s="32">
        <f>(I15-D15)/D15</f>
        <v>0.26404928901281244</v>
      </c>
      <c r="L15" s="31"/>
    </row>
    <row r="16" spans="1:12" x14ac:dyDescent="0.25">
      <c r="A16" s="5">
        <v>15</v>
      </c>
      <c r="B16" s="7" t="s">
        <v>181</v>
      </c>
      <c r="C16" s="7" t="s">
        <v>19</v>
      </c>
      <c r="D16" s="4">
        <v>181.95493008</v>
      </c>
      <c r="E16" s="7" t="s">
        <v>43</v>
      </c>
      <c r="F16" s="20">
        <v>186.75636363636363</v>
      </c>
      <c r="G16" s="7" t="s">
        <v>21</v>
      </c>
      <c r="H16" s="9">
        <v>256.89137499999998</v>
      </c>
      <c r="I16" s="7">
        <v>230</v>
      </c>
      <c r="J16" s="8">
        <v>48.045069920000003</v>
      </c>
      <c r="K16" s="32">
        <f>(I16-D16)/D16</f>
        <v>0.26404928901281244</v>
      </c>
      <c r="L16" s="31"/>
    </row>
    <row r="17" spans="1:12" x14ac:dyDescent="0.25">
      <c r="A17" s="5">
        <v>16</v>
      </c>
      <c r="B17" s="7" t="s">
        <v>182</v>
      </c>
      <c r="C17" s="7" t="s">
        <v>19</v>
      </c>
      <c r="D17" s="4">
        <v>181.95493008</v>
      </c>
      <c r="E17" s="7" t="s">
        <v>17</v>
      </c>
      <c r="F17" s="20">
        <v>184.42190909090908</v>
      </c>
      <c r="G17" s="7" t="s">
        <v>21</v>
      </c>
      <c r="H17" s="9">
        <v>256.89137499999998</v>
      </c>
      <c r="I17" s="7">
        <v>230</v>
      </c>
      <c r="J17" s="8">
        <v>48.045069920000003</v>
      </c>
      <c r="K17" s="32">
        <f>(I17-D17)/D17</f>
        <v>0.26404928901281244</v>
      </c>
    </row>
    <row r="18" spans="1:12" x14ac:dyDescent="0.25">
      <c r="A18" s="5">
        <v>17</v>
      </c>
      <c r="B18" s="7" t="s">
        <v>183</v>
      </c>
      <c r="C18" s="7" t="s">
        <v>19</v>
      </c>
      <c r="D18" s="4">
        <v>181.95493008</v>
      </c>
      <c r="E18" s="7" t="s">
        <v>178</v>
      </c>
      <c r="F18" s="20">
        <v>226.44209090909089</v>
      </c>
      <c r="G18" s="7" t="s">
        <v>21</v>
      </c>
      <c r="H18" s="9">
        <v>256.89137499999998</v>
      </c>
      <c r="I18" s="7">
        <v>230</v>
      </c>
      <c r="J18" s="8">
        <v>48.045069920000003</v>
      </c>
      <c r="K18" s="32">
        <f>(I18-D18)/D18</f>
        <v>0.26404928901281244</v>
      </c>
      <c r="L18" s="31"/>
    </row>
    <row r="19" spans="1:12" x14ac:dyDescent="0.25">
      <c r="A19" s="5">
        <v>18</v>
      </c>
      <c r="B19" s="7" t="s">
        <v>175</v>
      </c>
      <c r="C19" s="7" t="s">
        <v>91</v>
      </c>
      <c r="D19" s="9">
        <v>0</v>
      </c>
      <c r="E19" s="7" t="s">
        <v>43</v>
      </c>
      <c r="F19" s="21">
        <v>186.75636363636363</v>
      </c>
      <c r="G19" s="7" t="s">
        <v>11</v>
      </c>
      <c r="H19" s="9">
        <v>256.89137499999998</v>
      </c>
      <c r="I19" s="7">
        <v>230</v>
      </c>
      <c r="J19" s="8">
        <v>43.243636363636369</v>
      </c>
      <c r="K19" s="32">
        <f>(I19-F19)/F19</f>
        <v>0.23155107286109275</v>
      </c>
      <c r="L19" s="31"/>
    </row>
    <row r="20" spans="1:12" x14ac:dyDescent="0.25">
      <c r="A20" s="5">
        <v>19</v>
      </c>
      <c r="B20" s="7" t="s">
        <v>201</v>
      </c>
      <c r="C20" s="7" t="s">
        <v>26</v>
      </c>
      <c r="D20" s="4">
        <v>1017.46226208</v>
      </c>
      <c r="E20" s="7" t="s">
        <v>14</v>
      </c>
      <c r="F20" s="20">
        <v>1234.9264545454544</v>
      </c>
      <c r="G20" s="7" t="s">
        <v>11</v>
      </c>
      <c r="H20" s="9">
        <v>2019.6913750000001</v>
      </c>
      <c r="I20" s="7">
        <v>1250</v>
      </c>
      <c r="J20" s="8">
        <v>232.53773792000004</v>
      </c>
      <c r="K20" s="32">
        <f>(I20-D20)/D20</f>
        <v>0.22854679390724794</v>
      </c>
      <c r="L20" s="31"/>
    </row>
    <row r="21" spans="1:12" x14ac:dyDescent="0.25">
      <c r="A21" s="5">
        <v>20</v>
      </c>
      <c r="B21" s="7" t="s">
        <v>192</v>
      </c>
      <c r="C21" s="7" t="s">
        <v>63</v>
      </c>
      <c r="D21" s="9">
        <v>129.85640622239998</v>
      </c>
      <c r="E21" s="7" t="s">
        <v>20</v>
      </c>
      <c r="F21" s="21">
        <v>79.37145454545454</v>
      </c>
      <c r="G21" s="7" t="s">
        <v>11</v>
      </c>
      <c r="H21" s="9">
        <v>146.716375</v>
      </c>
      <c r="I21" s="7">
        <v>97</v>
      </c>
      <c r="J21" s="8">
        <v>17.62854545454546</v>
      </c>
      <c r="K21" s="32">
        <f>(I21-F21)/F21</f>
        <v>0.22210183189284913</v>
      </c>
      <c r="L21" s="31"/>
    </row>
    <row r="22" spans="1:12" x14ac:dyDescent="0.25">
      <c r="A22" s="5">
        <v>21</v>
      </c>
      <c r="B22" s="7" t="s">
        <v>194</v>
      </c>
      <c r="C22" s="7" t="s">
        <v>19</v>
      </c>
      <c r="D22" s="9">
        <v>89.120782080000012</v>
      </c>
      <c r="E22" s="7" t="s">
        <v>20</v>
      </c>
      <c r="F22" s="21">
        <v>79.37145454545454</v>
      </c>
      <c r="G22" s="7" t="s">
        <v>11</v>
      </c>
      <c r="H22" s="9">
        <v>146.716375</v>
      </c>
      <c r="I22" s="7">
        <v>97</v>
      </c>
      <c r="J22" s="8">
        <v>17.62854545454546</v>
      </c>
      <c r="K22" s="32">
        <f>(I22-F22)/F22</f>
        <v>0.22210183189284913</v>
      </c>
      <c r="L22" s="31"/>
    </row>
    <row r="23" spans="1:12" x14ac:dyDescent="0.25">
      <c r="A23" s="5">
        <v>22</v>
      </c>
      <c r="B23" s="7" t="s">
        <v>196</v>
      </c>
      <c r="C23" s="7" t="s">
        <v>19</v>
      </c>
      <c r="D23" s="9">
        <v>89.120782080000012</v>
      </c>
      <c r="E23" s="7" t="s">
        <v>20</v>
      </c>
      <c r="F23" s="21">
        <v>79.37145454545454</v>
      </c>
      <c r="G23" s="7" t="s">
        <v>11</v>
      </c>
      <c r="H23" s="9">
        <v>146.716375</v>
      </c>
      <c r="I23" s="7">
        <v>97</v>
      </c>
      <c r="J23" s="8">
        <v>17.62854545454546</v>
      </c>
      <c r="K23" s="32">
        <f>(I23-F23)/F23</f>
        <v>0.22210183189284913</v>
      </c>
      <c r="L23" s="31"/>
    </row>
    <row r="24" spans="1:12" x14ac:dyDescent="0.25">
      <c r="A24" s="5">
        <v>23</v>
      </c>
      <c r="B24" s="7" t="s">
        <v>190</v>
      </c>
      <c r="C24" s="7" t="s">
        <v>191</v>
      </c>
      <c r="D24" s="9">
        <v>129.874973052</v>
      </c>
      <c r="E24" s="7" t="s">
        <v>43</v>
      </c>
      <c r="F24" s="21">
        <v>81.705909090909088</v>
      </c>
      <c r="G24" s="7" t="s">
        <v>11</v>
      </c>
      <c r="H24" s="9">
        <v>146.716375</v>
      </c>
      <c r="I24" s="7">
        <v>97</v>
      </c>
      <c r="J24" s="8">
        <v>15.294090909090912</v>
      </c>
      <c r="K24" s="32">
        <f>(I24-F24)/F24</f>
        <v>0.18718463669591054</v>
      </c>
      <c r="L24" s="31"/>
    </row>
    <row r="25" spans="1:12" x14ac:dyDescent="0.25">
      <c r="A25" s="5">
        <v>24</v>
      </c>
      <c r="B25" s="7" t="s">
        <v>195</v>
      </c>
      <c r="C25" s="7" t="s">
        <v>91</v>
      </c>
      <c r="D25" s="9">
        <v>0</v>
      </c>
      <c r="E25" s="7" t="s">
        <v>43</v>
      </c>
      <c r="F25" s="21">
        <v>81.705909090909088</v>
      </c>
      <c r="G25" s="7" t="s">
        <v>11</v>
      </c>
      <c r="H25" s="9">
        <v>146.716375</v>
      </c>
      <c r="I25" s="7">
        <v>97</v>
      </c>
      <c r="J25" s="8">
        <v>15.294090909090912</v>
      </c>
      <c r="K25" s="32">
        <f>(I25-F25)/F25</f>
        <v>0.18718463669591054</v>
      </c>
      <c r="L25" s="31"/>
    </row>
    <row r="26" spans="1:12" x14ac:dyDescent="0.25">
      <c r="A26" s="5">
        <v>25</v>
      </c>
      <c r="B26" s="7" t="s">
        <v>206</v>
      </c>
      <c r="C26" s="7" t="s">
        <v>19</v>
      </c>
      <c r="D26" s="4">
        <v>831.79396608000002</v>
      </c>
      <c r="E26" s="7" t="s">
        <v>189</v>
      </c>
      <c r="F26" s="20">
        <v>910.39058363636354</v>
      </c>
      <c r="G26" s="7" t="s">
        <v>11</v>
      </c>
      <c r="H26" s="9">
        <v>1538.7774999999999</v>
      </c>
      <c r="I26" s="7">
        <v>980</v>
      </c>
      <c r="J26" s="8">
        <v>148.20603391999998</v>
      </c>
      <c r="K26" s="32">
        <f>(I26-D26)/D26</f>
        <v>0.17817637535705069</v>
      </c>
      <c r="L26" s="31"/>
    </row>
    <row r="27" spans="1:12" x14ac:dyDescent="0.25">
      <c r="A27" s="5">
        <v>26</v>
      </c>
      <c r="B27" s="7" t="s">
        <v>165</v>
      </c>
      <c r="C27" s="7" t="s">
        <v>79</v>
      </c>
      <c r="D27" s="4">
        <v>324.91951799999998</v>
      </c>
      <c r="E27" s="7" t="s">
        <v>43</v>
      </c>
      <c r="F27" s="20">
        <v>431.87409090909091</v>
      </c>
      <c r="G27" s="7" t="s">
        <v>11</v>
      </c>
      <c r="H27" s="9">
        <v>587.56327499999998</v>
      </c>
      <c r="I27" s="7">
        <v>375</v>
      </c>
      <c r="J27" s="8">
        <v>50.080482000000018</v>
      </c>
      <c r="K27" s="32">
        <f>(I27-D27)/D27</f>
        <v>0.1541319595334375</v>
      </c>
      <c r="L27" s="31"/>
    </row>
    <row r="28" spans="1:12" x14ac:dyDescent="0.25">
      <c r="A28" s="5">
        <v>27</v>
      </c>
      <c r="B28" s="13" t="s">
        <v>167</v>
      </c>
      <c r="C28" s="7" t="s">
        <v>79</v>
      </c>
      <c r="D28" s="4">
        <v>324.91951799999998</v>
      </c>
      <c r="E28" s="7" t="s">
        <v>43</v>
      </c>
      <c r="F28" s="20">
        <v>431.87409090909091</v>
      </c>
      <c r="G28" s="7" t="s">
        <v>11</v>
      </c>
      <c r="H28" s="9">
        <v>587.56327499999998</v>
      </c>
      <c r="I28" s="7">
        <v>375</v>
      </c>
      <c r="J28" s="8">
        <v>50.080482000000018</v>
      </c>
      <c r="K28" s="32">
        <f>(I28-D28)/D28</f>
        <v>0.1541319595334375</v>
      </c>
    </row>
    <row r="29" spans="1:12" x14ac:dyDescent="0.25">
      <c r="A29" s="5">
        <v>28</v>
      </c>
      <c r="B29" s="7" t="s">
        <v>173</v>
      </c>
      <c r="C29" s="7" t="s">
        <v>19</v>
      </c>
      <c r="D29" s="4">
        <v>2075.7715492799998</v>
      </c>
      <c r="E29" s="7" t="s">
        <v>20</v>
      </c>
      <c r="F29" s="20">
        <v>2789.6731818181815</v>
      </c>
      <c r="G29" s="7" t="s">
        <v>11</v>
      </c>
      <c r="H29" s="9">
        <v>3305.0663749999999</v>
      </c>
      <c r="I29" s="7">
        <v>2360</v>
      </c>
      <c r="J29" s="8">
        <v>284.22845072000018</v>
      </c>
      <c r="K29" s="32">
        <f>(I29-D29)/D29</f>
        <v>0.13692665304069102</v>
      </c>
    </row>
    <row r="30" spans="1:12" x14ac:dyDescent="0.25">
      <c r="A30" s="5">
        <v>29</v>
      </c>
      <c r="B30" s="7" t="s">
        <v>193</v>
      </c>
      <c r="C30" s="7" t="s">
        <v>19</v>
      </c>
      <c r="D30" s="9">
        <v>89.120782080000012</v>
      </c>
      <c r="E30" s="7" t="s">
        <v>178</v>
      </c>
      <c r="F30" s="21">
        <v>86.374818181818171</v>
      </c>
      <c r="G30" s="7" t="s">
        <v>11</v>
      </c>
      <c r="H30" s="9">
        <v>146.716375</v>
      </c>
      <c r="I30" s="7">
        <v>97</v>
      </c>
      <c r="J30" s="8">
        <v>10.625181818181829</v>
      </c>
      <c r="K30" s="32">
        <f>(I30-F30)/F30</f>
        <v>0.12301249417180737</v>
      </c>
    </row>
    <row r="31" spans="1:12" x14ac:dyDescent="0.25">
      <c r="A31" s="5">
        <v>30</v>
      </c>
      <c r="B31" s="7" t="s">
        <v>170</v>
      </c>
      <c r="C31" s="7" t="s">
        <v>79</v>
      </c>
      <c r="D31" s="4">
        <v>256.7049860496</v>
      </c>
      <c r="E31" s="7" t="s">
        <v>43</v>
      </c>
      <c r="F31" s="20">
        <v>340.83036363636359</v>
      </c>
      <c r="G31" s="7" t="s">
        <v>11</v>
      </c>
      <c r="H31" s="9">
        <v>367.21327499999995</v>
      </c>
      <c r="I31" s="7">
        <v>275</v>
      </c>
      <c r="J31" s="8">
        <v>18.295013950400005</v>
      </c>
      <c r="K31" s="32">
        <f>(I31-D31)/D31</f>
        <v>7.1268634988122442E-2</v>
      </c>
    </row>
    <row r="32" spans="1:12" x14ac:dyDescent="0.25">
      <c r="A32" s="5">
        <v>31</v>
      </c>
      <c r="B32" s="7" t="s">
        <v>166</v>
      </c>
      <c r="C32" s="7" t="s">
        <v>26</v>
      </c>
      <c r="D32" s="4">
        <v>354.62644535999999</v>
      </c>
      <c r="E32" s="7" t="s">
        <v>43</v>
      </c>
      <c r="F32" s="20">
        <v>431.87409090909091</v>
      </c>
      <c r="G32" s="7" t="s">
        <v>11</v>
      </c>
      <c r="H32" s="9">
        <v>587.56327499999998</v>
      </c>
      <c r="I32" s="7">
        <v>375</v>
      </c>
      <c r="J32" s="8">
        <v>20.373554640000009</v>
      </c>
      <c r="K32" s="32">
        <f>(I32-D32)/D32</f>
        <v>5.7450748263620725E-2</v>
      </c>
    </row>
    <row r="33" spans="1:12" x14ac:dyDescent="0.25">
      <c r="A33" s="5">
        <v>32</v>
      </c>
      <c r="B33" s="13" t="s">
        <v>168</v>
      </c>
      <c r="C33" s="7" t="s">
        <v>26</v>
      </c>
      <c r="D33" s="4">
        <v>354.62644535999999</v>
      </c>
      <c r="E33" s="7" t="s">
        <v>43</v>
      </c>
      <c r="F33" s="20">
        <v>431.87409090909091</v>
      </c>
      <c r="G33" s="7" t="s">
        <v>11</v>
      </c>
      <c r="H33" s="9">
        <v>587.56327499999998</v>
      </c>
      <c r="I33" s="7">
        <v>375</v>
      </c>
      <c r="J33" s="8">
        <v>20.373554640000009</v>
      </c>
      <c r="K33" s="32">
        <f>(I33-D33)/D33</f>
        <v>5.7450748263620725E-2</v>
      </c>
    </row>
    <row r="34" spans="1:12" x14ac:dyDescent="0.25">
      <c r="A34" s="5">
        <v>33</v>
      </c>
      <c r="B34" s="7" t="s">
        <v>169</v>
      </c>
      <c r="C34" s="7" t="s">
        <v>26</v>
      </c>
      <c r="D34" s="4">
        <v>354.62644535999999</v>
      </c>
      <c r="E34" s="7" t="s">
        <v>43</v>
      </c>
      <c r="F34" s="20">
        <v>431.87409090909091</v>
      </c>
      <c r="G34" s="7" t="s">
        <v>11</v>
      </c>
      <c r="H34" s="9">
        <v>587.56327499999998</v>
      </c>
      <c r="I34" s="7">
        <v>375</v>
      </c>
      <c r="J34" s="8">
        <v>20.373554640000009</v>
      </c>
      <c r="K34" s="32">
        <f>(I34-D34)/D34</f>
        <v>5.7450748263620725E-2</v>
      </c>
      <c r="L34" s="31"/>
    </row>
    <row r="35" spans="1:12" x14ac:dyDescent="0.25">
      <c r="A35" s="5">
        <v>34</v>
      </c>
      <c r="B35" s="7" t="s">
        <v>186</v>
      </c>
      <c r="C35" s="7" t="s">
        <v>19</v>
      </c>
      <c r="D35" s="4">
        <v>1177.13699664</v>
      </c>
      <c r="E35" s="7" t="s">
        <v>187</v>
      </c>
      <c r="F35" s="20">
        <v>1468.371909090909</v>
      </c>
      <c r="G35" s="7" t="s">
        <v>11</v>
      </c>
      <c r="H35" s="9">
        <v>2019.6913750000001</v>
      </c>
      <c r="I35" s="7">
        <v>1240</v>
      </c>
      <c r="J35" s="8">
        <v>62.863003359999993</v>
      </c>
      <c r="K35" s="32">
        <f>(I35-D35)/D35</f>
        <v>5.340330270770105E-2</v>
      </c>
      <c r="L35" s="31"/>
    </row>
    <row r="36" spans="1:12" x14ac:dyDescent="0.25">
      <c r="A36" s="5">
        <v>35</v>
      </c>
      <c r="B36" s="7" t="s">
        <v>199</v>
      </c>
      <c r="C36" s="7" t="s">
        <v>79</v>
      </c>
      <c r="D36" s="4">
        <v>133.49550482400002</v>
      </c>
      <c r="E36" s="7" t="s">
        <v>14</v>
      </c>
      <c r="F36" s="20">
        <v>165.74627272727272</v>
      </c>
      <c r="G36" s="7" t="s">
        <v>11</v>
      </c>
      <c r="H36" s="9">
        <v>293.61637500000001</v>
      </c>
      <c r="I36" s="7">
        <v>140</v>
      </c>
      <c r="J36" s="8">
        <v>6.5044951759999776</v>
      </c>
      <c r="K36" s="32">
        <f>(I36-D36)/D36</f>
        <v>4.8724450943688928E-2</v>
      </c>
      <c r="L36" s="31"/>
    </row>
    <row r="37" spans="1:12" x14ac:dyDescent="0.25">
      <c r="A37" s="5">
        <v>36</v>
      </c>
      <c r="B37" s="7" t="s">
        <v>200</v>
      </c>
      <c r="C37" s="7" t="s">
        <v>79</v>
      </c>
      <c r="D37" s="4">
        <v>133.49550482400002</v>
      </c>
      <c r="E37" s="7" t="s">
        <v>14</v>
      </c>
      <c r="F37" s="20">
        <v>165.74627272727272</v>
      </c>
      <c r="G37" s="7" t="s">
        <v>11</v>
      </c>
      <c r="H37" s="9">
        <v>293.61637500000001</v>
      </c>
      <c r="I37" s="7">
        <v>140</v>
      </c>
      <c r="J37" s="8">
        <v>6.5044951759999776</v>
      </c>
      <c r="K37" s="32">
        <f>(I37-D37)/D37</f>
        <v>4.8724450943688928E-2</v>
      </c>
      <c r="L37" s="31"/>
    </row>
    <row r="38" spans="1:12" x14ac:dyDescent="0.25">
      <c r="A38" s="5">
        <v>37</v>
      </c>
      <c r="B38" s="7" t="s">
        <v>184</v>
      </c>
      <c r="C38" s="7" t="s">
        <v>19</v>
      </c>
      <c r="D38" s="4">
        <v>1177.13699664</v>
      </c>
      <c r="E38" s="7" t="s">
        <v>185</v>
      </c>
      <c r="F38" s="20">
        <v>1389.0004545454544</v>
      </c>
      <c r="G38" s="7" t="s">
        <v>11</v>
      </c>
      <c r="H38" s="9">
        <v>2019.6913750000001</v>
      </c>
      <c r="I38" s="7">
        <v>1220</v>
      </c>
      <c r="J38" s="8">
        <v>42.863003359999993</v>
      </c>
      <c r="K38" s="32">
        <f>(I38-D38)/D38</f>
        <v>3.6412926857576841E-2</v>
      </c>
      <c r="L38" s="31"/>
    </row>
    <row r="39" spans="1:12" x14ac:dyDescent="0.25">
      <c r="A39" s="5">
        <v>38</v>
      </c>
      <c r="B39" s="7" t="s">
        <v>202</v>
      </c>
      <c r="C39" s="7" t="s">
        <v>19</v>
      </c>
      <c r="D39" s="9">
        <v>692.54274408000003</v>
      </c>
      <c r="E39" s="7" t="s">
        <v>43</v>
      </c>
      <c r="F39" s="21">
        <v>660.65063636363629</v>
      </c>
      <c r="G39" s="7" t="s">
        <v>11</v>
      </c>
      <c r="H39" s="9">
        <v>1395.3663749999998</v>
      </c>
      <c r="I39" s="7">
        <v>675</v>
      </c>
      <c r="J39" s="8">
        <v>14.349363636363705</v>
      </c>
      <c r="K39" s="32">
        <f>(I39-F39)/F39</f>
        <v>2.1720048156383683E-2</v>
      </c>
    </row>
    <row r="40" spans="1:12" x14ac:dyDescent="0.25">
      <c r="A40" s="5">
        <v>39</v>
      </c>
      <c r="B40" s="7" t="s">
        <v>188</v>
      </c>
      <c r="C40" s="7" t="s">
        <v>19</v>
      </c>
      <c r="D40" s="4">
        <v>1524.3367101599999</v>
      </c>
      <c r="E40" s="7" t="s">
        <v>189</v>
      </c>
      <c r="F40" s="20">
        <v>1750.8175645454544</v>
      </c>
      <c r="G40" s="7" t="s">
        <v>11</v>
      </c>
      <c r="H40" s="20">
        <v>2754.1913749999999</v>
      </c>
      <c r="I40" s="7">
        <v>1550</v>
      </c>
      <c r="J40" s="8">
        <v>25.663289840000061</v>
      </c>
      <c r="K40" s="32">
        <f>(I40-D40)/D40</f>
        <v>1.6835709373755323E-2</v>
      </c>
    </row>
    <row r="41" spans="1:12" x14ac:dyDescent="0.25">
      <c r="A41" s="5">
        <v>40</v>
      </c>
      <c r="B41" s="7" t="s">
        <v>197</v>
      </c>
      <c r="C41" s="7" t="s">
        <v>16</v>
      </c>
      <c r="D41" s="4">
        <v>3152.6476660800004</v>
      </c>
      <c r="E41" s="7" t="s">
        <v>185</v>
      </c>
      <c r="F41" s="20">
        <v>3940.5592727272729</v>
      </c>
      <c r="G41" s="7" t="s">
        <v>21</v>
      </c>
      <c r="H41" s="20">
        <v>6977.5663750000003</v>
      </c>
      <c r="I41" s="7">
        <v>3200</v>
      </c>
      <c r="J41" s="8">
        <v>47.352333919999637</v>
      </c>
      <c r="K41" s="32">
        <f>(I41-D41)/D41</f>
        <v>1.5019862330152957E-2</v>
      </c>
      <c r="L41" s="31"/>
    </row>
  </sheetData>
  <sortState xmlns:xlrd2="http://schemas.microsoft.com/office/spreadsheetml/2017/richdata2" ref="A2:K41">
    <sortCondition descending="1" ref="K2:K41"/>
  </sortState>
  <conditionalFormatting sqref="B1">
    <cfRule type="duplicateValues" dxfId="93" priority="7"/>
    <cfRule type="duplicateValues" dxfId="92" priority="8"/>
    <cfRule type="duplicateValues" dxfId="91" priority="9"/>
    <cfRule type="duplicateValues" dxfId="90" priority="10"/>
  </conditionalFormatting>
  <conditionalFormatting sqref="B2:B41">
    <cfRule type="duplicateValues" dxfId="89" priority="1"/>
    <cfRule type="duplicateValues" dxfId="88" priority="2"/>
    <cfRule type="duplicateValues" dxfId="87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5D7F5-B708-44AB-AF79-7F32A2B35A6F}">
  <dimension ref="A1:M21"/>
  <sheetViews>
    <sheetView workbookViewId="0">
      <selection activeCell="A2" sqref="A2:A21"/>
    </sheetView>
  </sheetViews>
  <sheetFormatPr defaultRowHeight="15" x14ac:dyDescent="0.25"/>
  <cols>
    <col min="1" max="1" width="5.85546875" bestFit="1" customWidth="1"/>
    <col min="2" max="2" width="45.42578125" bestFit="1" customWidth="1"/>
    <col min="3" max="3" width="28.42578125" bestFit="1" customWidth="1"/>
    <col min="4" max="4" width="22.28515625" bestFit="1" customWidth="1"/>
    <col min="5" max="5" width="26.28515625" bestFit="1" customWidth="1"/>
    <col min="6" max="6" width="23" bestFit="1" customWidth="1"/>
    <col min="7" max="7" width="12.7109375" bestFit="1" customWidth="1"/>
    <col min="8" max="8" width="10.42578125" bestFit="1" customWidth="1"/>
    <col min="9" max="9" width="10.85546875" bestFit="1" customWidth="1"/>
    <col min="10" max="10" width="16.85546875" bestFit="1" customWidth="1"/>
    <col min="11" max="11" width="13.28515625" bestFit="1" customWidth="1"/>
  </cols>
  <sheetData>
    <row r="1" spans="1:1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2</v>
      </c>
      <c r="F1" s="2" t="s">
        <v>4</v>
      </c>
      <c r="G1" s="2" t="s">
        <v>2</v>
      </c>
      <c r="H1" s="2" t="s">
        <v>5</v>
      </c>
      <c r="I1" s="2" t="s">
        <v>6</v>
      </c>
      <c r="J1" s="2" t="s">
        <v>7</v>
      </c>
      <c r="K1" s="23" t="s">
        <v>140</v>
      </c>
    </row>
    <row r="2" spans="1:13" x14ac:dyDescent="0.25">
      <c r="A2" s="7">
        <v>1</v>
      </c>
      <c r="B2" s="11" t="s">
        <v>87</v>
      </c>
      <c r="C2" s="11" t="s">
        <v>63</v>
      </c>
      <c r="D2" s="9">
        <v>70.087661538461546</v>
      </c>
      <c r="E2" s="7" t="s">
        <v>75</v>
      </c>
      <c r="F2" s="4">
        <v>68.864454545454549</v>
      </c>
      <c r="G2" s="7" t="s">
        <v>21</v>
      </c>
      <c r="H2" s="9">
        <v>150.535775</v>
      </c>
      <c r="I2" s="7">
        <v>190</v>
      </c>
      <c r="J2" s="8">
        <v>121.13554545454545</v>
      </c>
      <c r="K2" s="32">
        <f>(I2-F2)/F2</f>
        <v>1.7590431268803406</v>
      </c>
      <c r="M2" s="31"/>
    </row>
    <row r="3" spans="1:13" x14ac:dyDescent="0.25">
      <c r="A3" s="7">
        <v>2</v>
      </c>
      <c r="B3" s="11" t="s">
        <v>96</v>
      </c>
      <c r="C3" s="11" t="s">
        <v>97</v>
      </c>
      <c r="D3" s="9">
        <v>1669.62704328</v>
      </c>
      <c r="E3" s="7" t="s">
        <v>14</v>
      </c>
      <c r="F3" s="9">
        <v>1593.9780000000001</v>
      </c>
      <c r="G3" s="7" t="s">
        <v>46</v>
      </c>
      <c r="H3" s="4">
        <v>469</v>
      </c>
      <c r="I3" s="7">
        <v>1290</v>
      </c>
      <c r="J3" s="8">
        <v>821</v>
      </c>
      <c r="K3" s="32">
        <f>(I3-H3)/H3</f>
        <v>1.7505330490405118</v>
      </c>
      <c r="M3" s="31"/>
    </row>
    <row r="4" spans="1:13" x14ac:dyDescent="0.25">
      <c r="A4" s="7">
        <v>3</v>
      </c>
      <c r="B4" s="11" t="s">
        <v>76</v>
      </c>
      <c r="C4" s="11" t="s">
        <v>30</v>
      </c>
      <c r="D4" s="4">
        <v>779.1969230769231</v>
      </c>
      <c r="E4" s="7" t="s">
        <v>10</v>
      </c>
      <c r="F4" s="9">
        <v>822.0753627272727</v>
      </c>
      <c r="G4" s="7" t="s">
        <v>11</v>
      </c>
      <c r="H4" s="9">
        <v>877.72749999999996</v>
      </c>
      <c r="I4" s="9">
        <v>2050</v>
      </c>
      <c r="J4" s="8">
        <v>1270.8030769230768</v>
      </c>
      <c r="K4" s="32">
        <f>(I4-D4)/D4</f>
        <v>1.6309138797736524</v>
      </c>
      <c r="M4" s="31"/>
    </row>
    <row r="5" spans="1:13" x14ac:dyDescent="0.25">
      <c r="A5" s="7">
        <v>4</v>
      </c>
      <c r="B5" s="11" t="s">
        <v>90</v>
      </c>
      <c r="C5" s="11" t="s">
        <v>91</v>
      </c>
      <c r="D5" s="9">
        <v>0</v>
      </c>
      <c r="E5" s="7" t="s">
        <v>14</v>
      </c>
      <c r="F5" s="4">
        <v>632.41899999999998</v>
      </c>
      <c r="G5" s="7" t="s">
        <v>92</v>
      </c>
      <c r="H5" s="9">
        <v>1208.2525000000001</v>
      </c>
      <c r="I5" s="7">
        <v>1280</v>
      </c>
      <c r="J5" s="8">
        <v>647.58100000000002</v>
      </c>
      <c r="K5" s="32">
        <f>(I5-F5)/F5</f>
        <v>1.0239746117684636</v>
      </c>
      <c r="M5" s="31"/>
    </row>
    <row r="6" spans="1:13" x14ac:dyDescent="0.25">
      <c r="A6" s="7">
        <v>5</v>
      </c>
      <c r="B6" s="11" t="s">
        <v>85</v>
      </c>
      <c r="C6" s="11" t="s">
        <v>19</v>
      </c>
      <c r="D6" s="9">
        <v>258.39692307692309</v>
      </c>
      <c r="E6" s="7" t="s">
        <v>69</v>
      </c>
      <c r="F6" s="4">
        <v>206.88799999999998</v>
      </c>
      <c r="G6" s="7" t="s">
        <v>21</v>
      </c>
      <c r="H6" s="9">
        <v>455.35327499999994</v>
      </c>
      <c r="I6" s="7">
        <v>380</v>
      </c>
      <c r="J6" s="8">
        <v>173.11200000000002</v>
      </c>
      <c r="K6" s="32">
        <f>(I6-F6)/F6</f>
        <v>0.83674258536019508</v>
      </c>
      <c r="M6" s="31"/>
    </row>
    <row r="7" spans="1:13" x14ac:dyDescent="0.25">
      <c r="A7" s="7">
        <v>6</v>
      </c>
      <c r="B7" s="11" t="s">
        <v>98</v>
      </c>
      <c r="C7" s="11" t="s">
        <v>97</v>
      </c>
      <c r="D7" s="4">
        <v>2041.0679872799997</v>
      </c>
      <c r="E7" s="7" t="s">
        <v>99</v>
      </c>
      <c r="F7" s="9">
        <v>3125.284206368</v>
      </c>
      <c r="G7" s="7" t="s">
        <v>46</v>
      </c>
      <c r="H7" s="9">
        <v>3705.5524999999998</v>
      </c>
      <c r="I7" s="7">
        <v>3200</v>
      </c>
      <c r="J7" s="8">
        <v>1158.9320127200003</v>
      </c>
      <c r="K7" s="32">
        <f>(I7-D7)/D7</f>
        <v>0.56780666785354594</v>
      </c>
      <c r="M7" s="31"/>
    </row>
    <row r="8" spans="1:13" x14ac:dyDescent="0.25">
      <c r="A8" s="7">
        <v>7</v>
      </c>
      <c r="B8" s="11" t="s">
        <v>80</v>
      </c>
      <c r="C8" s="11" t="s">
        <v>19</v>
      </c>
      <c r="D8" s="4">
        <v>959.47384615384624</v>
      </c>
      <c r="E8" s="7" t="s">
        <v>81</v>
      </c>
      <c r="F8" s="9">
        <v>971.22627272727266</v>
      </c>
      <c r="G8" s="7" t="s">
        <v>21</v>
      </c>
      <c r="H8" s="9">
        <v>2199.8274999999999</v>
      </c>
      <c r="I8" s="9">
        <v>1250</v>
      </c>
      <c r="J8" s="8">
        <v>290.52615384615376</v>
      </c>
      <c r="K8" s="32">
        <f>(I8-D8)/D8</f>
        <v>0.30279736650536021</v>
      </c>
      <c r="M8" s="31"/>
    </row>
    <row r="9" spans="1:13" x14ac:dyDescent="0.25">
      <c r="A9" s="7">
        <v>8</v>
      </c>
      <c r="B9" s="11" t="s">
        <v>88</v>
      </c>
      <c r="C9" s="11" t="s">
        <v>89</v>
      </c>
      <c r="D9" s="4">
        <v>230.07341538461537</v>
      </c>
      <c r="E9" s="7" t="s">
        <v>69</v>
      </c>
      <c r="F9" s="9">
        <v>232.71436363636363</v>
      </c>
      <c r="G9" s="7"/>
      <c r="H9" s="9">
        <v>0</v>
      </c>
      <c r="I9" s="7">
        <v>295</v>
      </c>
      <c r="J9" s="8">
        <v>64.926584615384627</v>
      </c>
      <c r="K9" s="32">
        <f>(I9-D9)/D9</f>
        <v>0.28219942102761586</v>
      </c>
      <c r="M9" s="31"/>
    </row>
    <row r="10" spans="1:13" x14ac:dyDescent="0.25">
      <c r="A10" s="7">
        <v>9</v>
      </c>
      <c r="B10" s="11" t="s">
        <v>94</v>
      </c>
      <c r="C10" s="11" t="s">
        <v>95</v>
      </c>
      <c r="D10" s="4">
        <v>3712.5522352799999</v>
      </c>
      <c r="E10" s="7" t="s">
        <v>75</v>
      </c>
      <c r="F10" s="9">
        <v>3994.3490000000002</v>
      </c>
      <c r="G10" s="7" t="s">
        <v>46</v>
      </c>
      <c r="H10" s="9">
        <v>4036.0774999999999</v>
      </c>
      <c r="I10" s="7">
        <v>4650</v>
      </c>
      <c r="J10" s="8">
        <f>I10-D10</f>
        <v>937.44776472000012</v>
      </c>
      <c r="K10" s="32">
        <f>(I10-D10)/D10</f>
        <v>0.25250762960626683</v>
      </c>
    </row>
    <row r="11" spans="1:13" x14ac:dyDescent="0.25">
      <c r="A11" s="7">
        <v>10</v>
      </c>
      <c r="B11" s="11" t="s">
        <v>72</v>
      </c>
      <c r="C11" s="11" t="s">
        <v>19</v>
      </c>
      <c r="D11" s="9">
        <v>1360.0892307692309</v>
      </c>
      <c r="E11" s="7" t="s">
        <v>14</v>
      </c>
      <c r="F11" s="4">
        <v>1158.8225454545454</v>
      </c>
      <c r="G11" s="7" t="s">
        <v>21</v>
      </c>
      <c r="H11" s="9">
        <v>2166.591375</v>
      </c>
      <c r="I11" s="9">
        <v>1400</v>
      </c>
      <c r="J11" s="8">
        <v>241.17745454545457</v>
      </c>
      <c r="K11" s="32">
        <f>(I11-F11)/F11</f>
        <v>0.20812285322844945</v>
      </c>
      <c r="M11" s="31"/>
    </row>
    <row r="12" spans="1:13" x14ac:dyDescent="0.25">
      <c r="A12" s="7">
        <v>11</v>
      </c>
      <c r="B12" s="11" t="s">
        <v>82</v>
      </c>
      <c r="C12" s="11" t="s">
        <v>38</v>
      </c>
      <c r="D12" s="9">
        <v>2121.2584615384612</v>
      </c>
      <c r="E12" s="7" t="s">
        <v>83</v>
      </c>
      <c r="F12" s="9">
        <v>1968.5735454545452</v>
      </c>
      <c r="G12" s="7" t="s">
        <v>11</v>
      </c>
      <c r="H12" s="4">
        <v>1795.8525</v>
      </c>
      <c r="I12" s="9">
        <v>2140</v>
      </c>
      <c r="J12" s="8">
        <v>344.14750000000004</v>
      </c>
      <c r="K12" s="32">
        <f>(I12-H12)/H12</f>
        <v>0.19163461364449477</v>
      </c>
      <c r="M12" s="31"/>
    </row>
    <row r="13" spans="1:13" x14ac:dyDescent="0.25">
      <c r="A13" s="7">
        <v>12</v>
      </c>
      <c r="B13" s="11" t="s">
        <v>100</v>
      </c>
      <c r="C13" s="11" t="s">
        <v>16</v>
      </c>
      <c r="D13" s="4">
        <v>1017.7481865599999</v>
      </c>
      <c r="E13" s="7" t="s">
        <v>10</v>
      </c>
      <c r="F13" s="9">
        <v>1238.9770000000001</v>
      </c>
      <c r="G13" s="7" t="s">
        <v>46</v>
      </c>
      <c r="H13" s="9">
        <v>1355.1524999999999</v>
      </c>
      <c r="I13" s="7">
        <v>1175</v>
      </c>
      <c r="J13" s="8">
        <v>157.25181344000009</v>
      </c>
      <c r="K13" s="32">
        <f>(I13-D13)/D13</f>
        <v>0.15450954913662185</v>
      </c>
    </row>
    <row r="14" spans="1:13" x14ac:dyDescent="0.25">
      <c r="A14" s="7">
        <v>13</v>
      </c>
      <c r="B14" s="11" t="s">
        <v>71</v>
      </c>
      <c r="C14" s="11"/>
      <c r="D14" s="9">
        <v>0</v>
      </c>
      <c r="E14" s="7" t="s">
        <v>10</v>
      </c>
      <c r="F14" s="4">
        <v>2253.5299090909093</v>
      </c>
      <c r="G14" s="7" t="s">
        <v>21</v>
      </c>
      <c r="H14" s="9">
        <v>4403.3274999999994</v>
      </c>
      <c r="I14" s="9">
        <v>2500</v>
      </c>
      <c r="J14" s="8">
        <v>246.47009090909069</v>
      </c>
      <c r="K14" s="32">
        <f>(I14-F14)/F14</f>
        <v>0.10937067660598236</v>
      </c>
      <c r="M14" s="31"/>
    </row>
    <row r="15" spans="1:13" x14ac:dyDescent="0.25">
      <c r="A15" s="7">
        <v>14</v>
      </c>
      <c r="B15" s="11" t="s">
        <v>86</v>
      </c>
      <c r="C15" s="11" t="s">
        <v>38</v>
      </c>
      <c r="D15" s="9">
        <v>1255.9292307692308</v>
      </c>
      <c r="E15" s="7" t="s">
        <v>69</v>
      </c>
      <c r="F15" s="9">
        <v>1275.1797272727272</v>
      </c>
      <c r="G15" s="7" t="s">
        <v>11</v>
      </c>
      <c r="H15" s="4">
        <v>1171.5274999999999</v>
      </c>
      <c r="I15" s="7">
        <v>1290</v>
      </c>
      <c r="J15" s="8">
        <v>118.47250000000008</v>
      </c>
      <c r="K15" s="32">
        <f>(I15-H15)/H15</f>
        <v>0.1011265207176102</v>
      </c>
      <c r="M15" s="31"/>
    </row>
    <row r="16" spans="1:13" x14ac:dyDescent="0.25">
      <c r="A16" s="7">
        <v>15</v>
      </c>
      <c r="B16" s="11" t="s">
        <v>84</v>
      </c>
      <c r="C16" s="11" t="s">
        <v>38</v>
      </c>
      <c r="D16" s="4">
        <v>1600.4584615384615</v>
      </c>
      <c r="E16" s="7" t="s">
        <v>69</v>
      </c>
      <c r="F16" s="9">
        <v>1797.5997272727273</v>
      </c>
      <c r="G16" s="7" t="s">
        <v>21</v>
      </c>
      <c r="H16" s="9">
        <v>1744.4375</v>
      </c>
      <c r="I16" s="9">
        <v>1750</v>
      </c>
      <c r="J16" s="8">
        <v>149.54153846153849</v>
      </c>
      <c r="K16" s="32">
        <f>(I16-D16)/D16</f>
        <v>9.3436688333535217E-2</v>
      </c>
      <c r="M16" s="31"/>
    </row>
    <row r="17" spans="1:13" x14ac:dyDescent="0.25">
      <c r="A17" s="7">
        <v>16</v>
      </c>
      <c r="B17" s="11" t="s">
        <v>73</v>
      </c>
      <c r="C17" s="11" t="s">
        <v>63</v>
      </c>
      <c r="D17" s="4">
        <v>3242.9815384615385</v>
      </c>
      <c r="E17" s="7" t="s">
        <v>10</v>
      </c>
      <c r="F17" s="9">
        <v>3369.6089999999999</v>
      </c>
      <c r="G17" s="7" t="s">
        <v>21</v>
      </c>
      <c r="H17" s="9">
        <v>3999.3525</v>
      </c>
      <c r="I17" s="9">
        <v>3450</v>
      </c>
      <c r="J17" s="8">
        <v>207.01846153846145</v>
      </c>
      <c r="K17" s="32">
        <f>(I17-D17)/D17</f>
        <v>6.3835843369207224E-2</v>
      </c>
    </row>
    <row r="18" spans="1:13" x14ac:dyDescent="0.25">
      <c r="A18" s="7">
        <v>17</v>
      </c>
      <c r="B18" s="11" t="s">
        <v>78</v>
      </c>
      <c r="C18" s="11" t="s">
        <v>79</v>
      </c>
      <c r="D18" s="4">
        <v>1530.5911384615385</v>
      </c>
      <c r="E18" s="7" t="s">
        <v>75</v>
      </c>
      <c r="F18" s="9">
        <v>1602.8795454545455</v>
      </c>
      <c r="G18" s="7" t="s">
        <v>11</v>
      </c>
      <c r="H18" s="9">
        <v>1538.7774999999999</v>
      </c>
      <c r="I18" s="9">
        <v>1590</v>
      </c>
      <c r="J18" s="8">
        <v>59.408861538461451</v>
      </c>
      <c r="K18" s="32">
        <f>(I18-D18)/D18</f>
        <v>3.8814324770085756E-2</v>
      </c>
      <c r="M18" s="31"/>
    </row>
    <row r="19" spans="1:13" x14ac:dyDescent="0.25">
      <c r="A19" s="7">
        <v>18</v>
      </c>
      <c r="B19" s="11" t="s">
        <v>77</v>
      </c>
      <c r="C19" s="11" t="s">
        <v>38</v>
      </c>
      <c r="D19" s="4">
        <v>1360.0692000000001</v>
      </c>
      <c r="E19" s="7" t="s">
        <v>75</v>
      </c>
      <c r="F19" s="9">
        <v>1469.899909090909</v>
      </c>
      <c r="G19" s="7" t="s">
        <v>21</v>
      </c>
      <c r="H19" s="9">
        <v>2166.591375</v>
      </c>
      <c r="I19" s="9">
        <v>1400</v>
      </c>
      <c r="J19" s="8">
        <v>39.930799999999863</v>
      </c>
      <c r="K19" s="32">
        <f>(I19-D19)/D19</f>
        <v>2.9359388478174389E-2</v>
      </c>
    </row>
    <row r="20" spans="1:13" x14ac:dyDescent="0.25">
      <c r="A20" s="7">
        <v>19</v>
      </c>
      <c r="B20" s="11" t="s">
        <v>74</v>
      </c>
      <c r="C20" s="11" t="s">
        <v>16</v>
      </c>
      <c r="D20" s="4">
        <v>258.39692307692309</v>
      </c>
      <c r="E20" s="7" t="s">
        <v>75</v>
      </c>
      <c r="F20" s="9">
        <v>301.57881818181818</v>
      </c>
      <c r="G20" s="7" t="s">
        <v>21</v>
      </c>
      <c r="H20" s="9">
        <v>609.59827500000006</v>
      </c>
      <c r="I20" s="9">
        <v>265</v>
      </c>
      <c r="J20" s="8">
        <v>6.6030769230769124</v>
      </c>
      <c r="K20" s="32">
        <f>(I20-D20)/D20</f>
        <v>2.5554007549506381E-2</v>
      </c>
      <c r="M20" s="31"/>
    </row>
    <row r="21" spans="1:13" x14ac:dyDescent="0.25">
      <c r="A21" s="7">
        <v>20</v>
      </c>
      <c r="B21" s="11" t="s">
        <v>93</v>
      </c>
      <c r="C21" s="11" t="s">
        <v>26</v>
      </c>
      <c r="D21" s="9">
        <v>611.02035288000002</v>
      </c>
      <c r="E21" s="7" t="s">
        <v>10</v>
      </c>
      <c r="F21" s="9">
        <v>630.06799999999998</v>
      </c>
      <c r="G21" s="7" t="s">
        <v>11</v>
      </c>
      <c r="H21" s="4">
        <v>547.20249999999999</v>
      </c>
      <c r="I21" s="7">
        <v>550</v>
      </c>
      <c r="J21" s="8">
        <v>2.7975000000000136</v>
      </c>
      <c r="K21" s="32">
        <f>(I21-H21)/H21</f>
        <v>5.11236699393737E-3</v>
      </c>
      <c r="M21" s="31"/>
    </row>
  </sheetData>
  <sortState xmlns:xlrd2="http://schemas.microsoft.com/office/spreadsheetml/2017/richdata2" ref="A2:K21">
    <sortCondition descending="1" ref="K2:K21"/>
  </sortState>
  <conditionalFormatting sqref="B1">
    <cfRule type="duplicateValues" dxfId="86" priority="9"/>
    <cfRule type="duplicateValues" dxfId="85" priority="10"/>
    <cfRule type="duplicateValues" dxfId="84" priority="11"/>
    <cfRule type="duplicateValues" dxfId="83" priority="12"/>
  </conditionalFormatting>
  <conditionalFormatting sqref="B2:B15">
    <cfRule type="duplicateValues" dxfId="82" priority="6"/>
    <cfRule type="duplicateValues" dxfId="81" priority="7"/>
    <cfRule type="duplicateValues" dxfId="80" priority="8"/>
  </conditionalFormatting>
  <conditionalFormatting sqref="B16:B21">
    <cfRule type="duplicateValues" dxfId="79" priority="1"/>
    <cfRule type="duplicateValues" dxfId="78" priority="2"/>
    <cfRule type="duplicateValues" dxfId="77" priority="3"/>
    <cfRule type="duplicateValues" dxfId="76" priority="4"/>
    <cfRule type="duplicateValues" dxfId="75" priority="5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6B2A7-648B-4D47-83C2-A7028F7DBFC2}">
  <dimension ref="A1:K7"/>
  <sheetViews>
    <sheetView workbookViewId="0">
      <selection activeCell="A2" sqref="A2:A7"/>
    </sheetView>
  </sheetViews>
  <sheetFormatPr defaultRowHeight="15" x14ac:dyDescent="0.25"/>
  <cols>
    <col min="1" max="1" width="5.85546875" bestFit="1" customWidth="1"/>
    <col min="2" max="2" width="53.42578125" bestFit="1" customWidth="1"/>
    <col min="3" max="3" width="18.140625" bestFit="1" customWidth="1"/>
    <col min="4" max="4" width="22.28515625" bestFit="1" customWidth="1"/>
    <col min="5" max="6" width="23" bestFit="1" customWidth="1"/>
    <col min="7" max="7" width="22.7109375" bestFit="1" customWidth="1"/>
    <col min="8" max="8" width="10.42578125" bestFit="1" customWidth="1"/>
    <col min="9" max="9" width="10.85546875" bestFit="1" customWidth="1"/>
    <col min="10" max="10" width="16.85546875" bestFit="1" customWidth="1"/>
    <col min="11" max="11" width="13.28515625" bestFit="1" customWidth="1"/>
  </cols>
  <sheetData>
    <row r="1" spans="1:1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2</v>
      </c>
      <c r="F1" s="2" t="s">
        <v>4</v>
      </c>
      <c r="G1" s="2" t="s">
        <v>2</v>
      </c>
      <c r="H1" s="2" t="s">
        <v>5</v>
      </c>
      <c r="I1" s="2" t="s">
        <v>6</v>
      </c>
      <c r="J1" s="2" t="s">
        <v>7</v>
      </c>
      <c r="K1" s="23" t="s">
        <v>140</v>
      </c>
    </row>
    <row r="2" spans="1:11" x14ac:dyDescent="0.25">
      <c r="A2" s="7">
        <v>1</v>
      </c>
      <c r="B2" s="7" t="s">
        <v>110</v>
      </c>
      <c r="C2" s="7" t="s">
        <v>111</v>
      </c>
      <c r="D2" s="4">
        <v>6549.6823384615373</v>
      </c>
      <c r="E2" s="3" t="s">
        <v>108</v>
      </c>
      <c r="F2" s="6">
        <v>7186.6945454545457</v>
      </c>
      <c r="G2" s="5" t="s">
        <v>113</v>
      </c>
      <c r="H2" s="6">
        <v>7341.3274999999994</v>
      </c>
      <c r="I2" s="5">
        <v>22000</v>
      </c>
      <c r="J2" s="14">
        <f>I2-D2</f>
        <v>15450.317661538462</v>
      </c>
      <c r="K2" s="32">
        <f>(I2-D2)/D2</f>
        <v>2.3589415277150074</v>
      </c>
    </row>
    <row r="3" spans="1:11" x14ac:dyDescent="0.25">
      <c r="A3" s="7">
        <v>2</v>
      </c>
      <c r="B3" s="7" t="s">
        <v>109</v>
      </c>
      <c r="C3" s="7" t="s">
        <v>111</v>
      </c>
      <c r="D3" s="4">
        <v>35734.383876923079</v>
      </c>
      <c r="E3" s="3" t="s">
        <v>108</v>
      </c>
      <c r="F3" s="6">
        <v>35943.058181818182</v>
      </c>
      <c r="G3" s="5" t="s">
        <v>113</v>
      </c>
      <c r="H3" s="6">
        <v>36721.327499999999</v>
      </c>
      <c r="I3" s="5">
        <v>80000</v>
      </c>
      <c r="J3" s="14">
        <f>I3-D3</f>
        <v>44265.616123076921</v>
      </c>
      <c r="K3" s="32">
        <f>(I3-D3)/D3</f>
        <v>1.2387401522169026</v>
      </c>
    </row>
    <row r="4" spans="1:11" x14ac:dyDescent="0.25">
      <c r="A4" s="7">
        <v>3</v>
      </c>
      <c r="B4" s="7" t="s">
        <v>107</v>
      </c>
      <c r="C4" s="7" t="s">
        <v>111</v>
      </c>
      <c r="D4" s="9">
        <v>11235.097561846153</v>
      </c>
      <c r="E4" s="5" t="s">
        <v>108</v>
      </c>
      <c r="F4" s="12">
        <v>10975.722545454544</v>
      </c>
      <c r="G4" s="5" t="s">
        <v>112</v>
      </c>
      <c r="H4" s="6">
        <v>13584.577499999999</v>
      </c>
      <c r="I4" s="5">
        <v>17000</v>
      </c>
      <c r="J4" s="14">
        <f>I4-F4</f>
        <v>6024.2774545454558</v>
      </c>
      <c r="K4" s="32">
        <f>(I4-F4)/F4</f>
        <v>0.54887297210700114</v>
      </c>
    </row>
    <row r="5" spans="1:11" x14ac:dyDescent="0.25">
      <c r="A5" s="7">
        <v>4</v>
      </c>
      <c r="B5" s="7" t="s">
        <v>105</v>
      </c>
      <c r="C5" s="7" t="s">
        <v>111</v>
      </c>
      <c r="D5" s="4">
        <v>25152.428023384615</v>
      </c>
      <c r="E5" s="3" t="s">
        <v>106</v>
      </c>
      <c r="F5" s="6">
        <v>25878.33090909091</v>
      </c>
      <c r="G5" s="5" t="s">
        <v>112</v>
      </c>
      <c r="H5" s="6">
        <v>34885.077499999999</v>
      </c>
      <c r="I5" s="5">
        <v>38000</v>
      </c>
      <c r="J5" s="14">
        <f>I5-D5</f>
        <v>12847.571976615385</v>
      </c>
      <c r="K5" s="32">
        <f>(I5-D5)/D5</f>
        <v>0.51078853956647019</v>
      </c>
    </row>
    <row r="6" spans="1:11" x14ac:dyDescent="0.25">
      <c r="A6" s="7">
        <v>5</v>
      </c>
      <c r="B6" s="7" t="s">
        <v>103</v>
      </c>
      <c r="C6" s="7" t="s">
        <v>111</v>
      </c>
      <c r="D6" s="4">
        <v>20447.139407999995</v>
      </c>
      <c r="E6" s="5" t="s">
        <v>104</v>
      </c>
      <c r="F6" s="9">
        <v>22192.486181818182</v>
      </c>
      <c r="G6" s="5" t="s">
        <v>112</v>
      </c>
      <c r="H6" s="6">
        <v>25703.827499999999</v>
      </c>
      <c r="I6" s="5">
        <v>28000</v>
      </c>
      <c r="J6" s="14">
        <f>I6-D6</f>
        <v>7552.8605920000045</v>
      </c>
      <c r="K6" s="32">
        <f>(I6-D6)/D6</f>
        <v>0.36938470664727452</v>
      </c>
    </row>
    <row r="7" spans="1:11" x14ac:dyDescent="0.25">
      <c r="A7" s="7">
        <v>6</v>
      </c>
      <c r="B7" s="7" t="s">
        <v>101</v>
      </c>
      <c r="C7" s="7" t="s">
        <v>111</v>
      </c>
      <c r="D7" s="9">
        <v>3273.8484923076921</v>
      </c>
      <c r="E7" s="3" t="s">
        <v>102</v>
      </c>
      <c r="F7" s="6">
        <v>2863.43</v>
      </c>
      <c r="G7" s="5" t="s">
        <v>112</v>
      </c>
      <c r="H7" s="6">
        <v>3301.5774999999999</v>
      </c>
      <c r="I7" s="5"/>
      <c r="J7" s="5"/>
      <c r="K7" s="16"/>
    </row>
  </sheetData>
  <sortState xmlns:xlrd2="http://schemas.microsoft.com/office/spreadsheetml/2017/richdata2" ref="A2:K7">
    <sortCondition descending="1" ref="K2:K7"/>
  </sortState>
  <conditionalFormatting sqref="B1">
    <cfRule type="duplicateValues" dxfId="74" priority="8"/>
    <cfRule type="duplicateValues" dxfId="73" priority="9"/>
    <cfRule type="duplicateValues" dxfId="72" priority="10"/>
    <cfRule type="duplicateValues" dxfId="71" priority="11"/>
  </conditionalFormatting>
  <conditionalFormatting sqref="B2">
    <cfRule type="duplicateValues" dxfId="70" priority="7"/>
  </conditionalFormatting>
  <conditionalFormatting sqref="B2:B7">
    <cfRule type="duplicateValues" dxfId="69" priority="1"/>
    <cfRule type="duplicateValues" dxfId="68" priority="2"/>
    <cfRule type="duplicateValues" dxfId="67" priority="3"/>
  </conditionalFormatting>
  <conditionalFormatting sqref="B3:B4">
    <cfRule type="duplicateValues" dxfId="66" priority="6"/>
  </conditionalFormatting>
  <conditionalFormatting sqref="B5:B6">
    <cfRule type="duplicateValues" dxfId="65" priority="5"/>
  </conditionalFormatting>
  <conditionalFormatting sqref="B7">
    <cfRule type="duplicateValues" dxfId="64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70BEC-B4DD-44DD-9B7F-9212F42B57D2}">
  <dimension ref="A1:L33"/>
  <sheetViews>
    <sheetView workbookViewId="0">
      <selection activeCell="A2" sqref="A2:A33"/>
    </sheetView>
  </sheetViews>
  <sheetFormatPr defaultRowHeight="15" x14ac:dyDescent="0.25"/>
  <cols>
    <col min="1" max="1" width="5.85546875" bestFit="1" customWidth="1"/>
    <col min="2" max="2" width="82.28515625" bestFit="1" customWidth="1"/>
    <col min="3" max="3" width="8.5703125" bestFit="1" customWidth="1"/>
    <col min="4" max="4" width="22.28515625" bestFit="1" customWidth="1"/>
    <col min="5" max="5" width="21.42578125" bestFit="1" customWidth="1"/>
    <col min="6" max="6" width="23" bestFit="1" customWidth="1"/>
    <col min="7" max="7" width="24.42578125" bestFit="1" customWidth="1"/>
    <col min="8" max="8" width="10.42578125" bestFit="1" customWidth="1"/>
    <col min="9" max="9" width="10.85546875" bestFit="1" customWidth="1"/>
    <col min="10" max="10" width="16.85546875" bestFit="1" customWidth="1"/>
    <col min="11" max="11" width="12.85546875" customWidth="1"/>
    <col min="12" max="12" width="16.28515625" bestFit="1" customWidth="1"/>
  </cols>
  <sheetData>
    <row r="1" spans="1:12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2</v>
      </c>
      <c r="F1" s="2" t="s">
        <v>4</v>
      </c>
      <c r="G1" s="2" t="s">
        <v>2</v>
      </c>
      <c r="H1" s="2" t="s">
        <v>5</v>
      </c>
      <c r="I1" s="2" t="s">
        <v>6</v>
      </c>
      <c r="J1" s="2" t="s">
        <v>7</v>
      </c>
      <c r="K1" s="23" t="s">
        <v>140</v>
      </c>
    </row>
    <row r="2" spans="1:12" x14ac:dyDescent="0.25">
      <c r="A2" s="7">
        <v>1</v>
      </c>
      <c r="B2" s="7" t="s">
        <v>143</v>
      </c>
      <c r="C2" s="16"/>
      <c r="D2" s="16"/>
      <c r="E2" s="5" t="s">
        <v>150</v>
      </c>
      <c r="F2" s="6">
        <v>964.05418181818175</v>
      </c>
      <c r="G2" s="5" t="s">
        <v>35</v>
      </c>
      <c r="H2" s="12">
        <v>826.27577499999995</v>
      </c>
      <c r="I2" s="3">
        <v>1320</v>
      </c>
      <c r="J2" s="8">
        <f>I2-H2</f>
        <v>493.72422500000005</v>
      </c>
      <c r="K2" s="32">
        <f>(I2-H2)/H2</f>
        <v>0.59752958992413896</v>
      </c>
      <c r="L2" s="10" t="s">
        <v>139</v>
      </c>
    </row>
    <row r="3" spans="1:12" x14ac:dyDescent="0.25">
      <c r="A3" s="7">
        <v>2</v>
      </c>
      <c r="B3" s="7" t="s">
        <v>144</v>
      </c>
      <c r="C3" s="16"/>
      <c r="D3" s="16"/>
      <c r="E3" s="5" t="s">
        <v>14</v>
      </c>
      <c r="F3" s="12">
        <v>1197.908909090909</v>
      </c>
      <c r="G3" s="5" t="s">
        <v>11</v>
      </c>
      <c r="H3" s="6">
        <v>1465.3274999999999</v>
      </c>
      <c r="I3" s="3">
        <v>1710</v>
      </c>
      <c r="J3" s="8">
        <f>I3-F3</f>
        <v>512.09109090909101</v>
      </c>
      <c r="K3" s="32">
        <f>(I3-F3)/F3</f>
        <v>0.42748750512066569</v>
      </c>
    </row>
    <row r="4" spans="1:12" x14ac:dyDescent="0.25">
      <c r="A4" s="7">
        <v>3</v>
      </c>
      <c r="B4" s="7" t="s">
        <v>255</v>
      </c>
      <c r="C4" s="7"/>
      <c r="D4" s="7"/>
      <c r="E4" s="7" t="s">
        <v>14</v>
      </c>
      <c r="F4" s="4">
        <v>933.70790909090908</v>
      </c>
      <c r="G4" s="9" t="s">
        <v>11</v>
      </c>
      <c r="H4" s="9">
        <v>1685.6775</v>
      </c>
      <c r="I4" s="11">
        <v>1320</v>
      </c>
      <c r="J4" s="8">
        <f>I4-F4</f>
        <v>386.29209090909092</v>
      </c>
      <c r="K4" s="32">
        <f>(I4-F4)/F4</f>
        <v>0.41371834504989735</v>
      </c>
    </row>
    <row r="5" spans="1:12" x14ac:dyDescent="0.25">
      <c r="A5" s="7">
        <v>4</v>
      </c>
      <c r="B5" s="7" t="s">
        <v>146</v>
      </c>
      <c r="C5" s="16"/>
      <c r="D5" s="16"/>
      <c r="E5" s="5" t="s">
        <v>43</v>
      </c>
      <c r="F5" s="12">
        <v>1200.2951818181816</v>
      </c>
      <c r="G5" s="5" t="s">
        <v>151</v>
      </c>
      <c r="H5" s="6">
        <v>1465.3274999999999</v>
      </c>
      <c r="I5" s="3">
        <v>1670</v>
      </c>
      <c r="J5" s="8">
        <f>I5-F5</f>
        <v>469.70481818181838</v>
      </c>
      <c r="K5" s="32">
        <f>(I5-F5)/F5</f>
        <v>0.39132442193954281</v>
      </c>
    </row>
    <row r="6" spans="1:12" x14ac:dyDescent="0.25">
      <c r="A6" s="7">
        <v>5</v>
      </c>
      <c r="B6" s="5" t="s">
        <v>148</v>
      </c>
      <c r="C6" s="16"/>
      <c r="D6" s="16"/>
      <c r="E6" s="5" t="s">
        <v>43</v>
      </c>
      <c r="F6" s="12">
        <v>1200.2951818181816</v>
      </c>
      <c r="G6" s="5" t="s">
        <v>11</v>
      </c>
      <c r="H6" s="6">
        <v>1465.3274999999999</v>
      </c>
      <c r="I6" s="3">
        <v>1595</v>
      </c>
      <c r="J6" s="8">
        <f>I6-F6</f>
        <v>394.70481818181838</v>
      </c>
      <c r="K6" s="32">
        <f>(I6-F6)/F6</f>
        <v>0.32883979221171905</v>
      </c>
    </row>
    <row r="7" spans="1:12" x14ac:dyDescent="0.25">
      <c r="A7" s="7">
        <v>6</v>
      </c>
      <c r="B7" s="7" t="s">
        <v>145</v>
      </c>
      <c r="C7" s="16"/>
      <c r="D7" s="16"/>
      <c r="E7" s="5" t="s">
        <v>14</v>
      </c>
      <c r="F7" s="12">
        <v>1369.7205454545453</v>
      </c>
      <c r="G7" s="5" t="s">
        <v>11</v>
      </c>
      <c r="H7" s="6">
        <v>1759.1274999999998</v>
      </c>
      <c r="I7" s="3">
        <v>1770</v>
      </c>
      <c r="J7" s="8">
        <f>I7-F7</f>
        <v>400.27945454545466</v>
      </c>
      <c r="K7" s="32">
        <f>(I7-F7)/F7</f>
        <v>0.29223439472656876</v>
      </c>
    </row>
    <row r="8" spans="1:12" x14ac:dyDescent="0.25">
      <c r="A8" s="7">
        <v>7</v>
      </c>
      <c r="B8" s="7" t="s">
        <v>116</v>
      </c>
      <c r="C8" s="7"/>
      <c r="D8" s="7"/>
      <c r="E8" s="7" t="s">
        <v>14</v>
      </c>
      <c r="F8" s="9">
        <v>949.73654545454542</v>
      </c>
      <c r="G8" s="9" t="s">
        <v>11</v>
      </c>
      <c r="H8" s="12">
        <v>822.64</v>
      </c>
      <c r="I8" s="7">
        <v>1050</v>
      </c>
      <c r="J8" s="8">
        <v>227.36</v>
      </c>
      <c r="K8" s="32">
        <f>(I8-H8)/H8</f>
        <v>0.2763784887678693</v>
      </c>
    </row>
    <row r="9" spans="1:12" x14ac:dyDescent="0.25">
      <c r="A9" s="7">
        <v>8</v>
      </c>
      <c r="B9" s="13" t="s">
        <v>124</v>
      </c>
      <c r="C9" s="7"/>
      <c r="D9" s="7"/>
      <c r="E9" s="7" t="s">
        <v>43</v>
      </c>
      <c r="F9" s="12">
        <v>801.78763636363624</v>
      </c>
      <c r="G9" s="9" t="s">
        <v>11</v>
      </c>
      <c r="H9" s="9">
        <v>822.64</v>
      </c>
      <c r="I9" s="7">
        <v>1010</v>
      </c>
      <c r="J9" s="8">
        <v>208.21236363636376</v>
      </c>
      <c r="K9" s="32">
        <f>(I9-F9)/F9</f>
        <v>0.25968517621532994</v>
      </c>
    </row>
    <row r="10" spans="1:12" x14ac:dyDescent="0.25">
      <c r="A10" s="7">
        <v>9</v>
      </c>
      <c r="B10" s="7" t="s">
        <v>122</v>
      </c>
      <c r="C10" s="7"/>
      <c r="D10" s="7"/>
      <c r="E10" s="7" t="s">
        <v>43</v>
      </c>
      <c r="F10" s="12">
        <v>801.78763636363624</v>
      </c>
      <c r="G10" s="9" t="s">
        <v>21</v>
      </c>
      <c r="H10" s="9">
        <v>822.64</v>
      </c>
      <c r="I10" s="7">
        <v>950</v>
      </c>
      <c r="J10" s="8">
        <v>148.21236363636376</v>
      </c>
      <c r="K10" s="32">
        <f>(I10-F10)/F10</f>
        <v>0.18485239346986479</v>
      </c>
      <c r="L10" s="10" t="s">
        <v>139</v>
      </c>
    </row>
    <row r="11" spans="1:12" x14ac:dyDescent="0.25">
      <c r="A11" s="7">
        <v>10</v>
      </c>
      <c r="B11" s="13" t="s">
        <v>123</v>
      </c>
      <c r="C11" s="7"/>
      <c r="D11" s="7"/>
      <c r="E11" s="7" t="s">
        <v>43</v>
      </c>
      <c r="F11" s="12">
        <v>801.78763636363624</v>
      </c>
      <c r="G11" s="9" t="s">
        <v>21</v>
      </c>
      <c r="H11" s="9">
        <v>822.64</v>
      </c>
      <c r="I11" s="7">
        <v>950</v>
      </c>
      <c r="J11" s="8">
        <v>148.21236363636376</v>
      </c>
      <c r="K11" s="32">
        <f>(I11-F11)/F11</f>
        <v>0.18485239346986479</v>
      </c>
      <c r="L11" s="10" t="s">
        <v>139</v>
      </c>
    </row>
    <row r="12" spans="1:12" x14ac:dyDescent="0.25">
      <c r="A12" s="7">
        <v>11</v>
      </c>
      <c r="B12" s="13" t="s">
        <v>120</v>
      </c>
      <c r="C12" s="7"/>
      <c r="D12" s="7"/>
      <c r="E12" s="7" t="s">
        <v>14</v>
      </c>
      <c r="F12" s="12">
        <v>949.73654545454542</v>
      </c>
      <c r="G12" s="9" t="s">
        <v>11</v>
      </c>
      <c r="H12" s="9">
        <v>1042.99</v>
      </c>
      <c r="I12" s="7">
        <v>1120</v>
      </c>
      <c r="J12" s="8">
        <v>170.26345454545458</v>
      </c>
      <c r="K12" s="32">
        <f>(I12-F12)/F12</f>
        <v>0.17927440547627471</v>
      </c>
    </row>
    <row r="13" spans="1:12" x14ac:dyDescent="0.25">
      <c r="A13" s="7">
        <v>12</v>
      </c>
      <c r="B13" s="7" t="s">
        <v>121</v>
      </c>
      <c r="C13" s="7"/>
      <c r="D13" s="7"/>
      <c r="E13" s="7" t="s">
        <v>14</v>
      </c>
      <c r="F13" s="12">
        <v>868.60327272727272</v>
      </c>
      <c r="G13" s="9" t="s">
        <v>11</v>
      </c>
      <c r="H13" s="9">
        <v>907.10749999999996</v>
      </c>
      <c r="I13" s="7">
        <v>1020</v>
      </c>
      <c r="J13" s="8">
        <v>151.39672727272728</v>
      </c>
      <c r="K13" s="32">
        <f>(I13-F13)/F13</f>
        <v>0.17429905231345286</v>
      </c>
    </row>
    <row r="14" spans="1:12" x14ac:dyDescent="0.25">
      <c r="A14" s="7">
        <v>13</v>
      </c>
      <c r="B14" s="5" t="s">
        <v>147</v>
      </c>
      <c r="C14" s="16"/>
      <c r="D14" s="16"/>
      <c r="E14" s="5" t="s">
        <v>43</v>
      </c>
      <c r="F14" s="12">
        <v>1372.1068181818182</v>
      </c>
      <c r="G14" s="5" t="s">
        <v>11</v>
      </c>
      <c r="H14" s="6">
        <v>1759.1274999999998</v>
      </c>
      <c r="I14" s="3">
        <v>1595</v>
      </c>
      <c r="J14" s="8">
        <f>I14-F14</f>
        <v>222.8931818181818</v>
      </c>
      <c r="K14" s="32">
        <f>(I14-F14)/F14</f>
        <v>0.16244593996955575</v>
      </c>
    </row>
    <row r="15" spans="1:12" x14ac:dyDescent="0.25">
      <c r="A15" s="7">
        <v>14</v>
      </c>
      <c r="B15" s="7" t="s">
        <v>130</v>
      </c>
      <c r="C15" s="7"/>
      <c r="D15" s="7"/>
      <c r="E15" s="7" t="s">
        <v>43</v>
      </c>
      <c r="F15" s="12">
        <v>1395.9695454545454</v>
      </c>
      <c r="G15" s="9" t="s">
        <v>11</v>
      </c>
      <c r="H15" s="9">
        <v>1685.6775</v>
      </c>
      <c r="I15" s="7">
        <v>1570</v>
      </c>
      <c r="J15" s="8">
        <v>174.03045454545463</v>
      </c>
      <c r="K15" s="32">
        <f>(I15-F15)/F15</f>
        <v>0.12466636905663162</v>
      </c>
    </row>
    <row r="16" spans="1:12" x14ac:dyDescent="0.25">
      <c r="A16" s="7">
        <v>15</v>
      </c>
      <c r="B16" s="13" t="s">
        <v>132</v>
      </c>
      <c r="C16" s="7"/>
      <c r="D16" s="7"/>
      <c r="E16" s="7" t="s">
        <v>43</v>
      </c>
      <c r="F16" s="12">
        <v>1395.9695454545454</v>
      </c>
      <c r="G16" s="9" t="s">
        <v>11</v>
      </c>
      <c r="H16" s="9">
        <v>1685.6775</v>
      </c>
      <c r="I16" s="7">
        <v>1570</v>
      </c>
      <c r="J16" s="8">
        <v>174.03045454545463</v>
      </c>
      <c r="K16" s="32">
        <f>(I16-F16)/F16</f>
        <v>0.12466636905663162</v>
      </c>
    </row>
    <row r="17" spans="1:11" x14ac:dyDescent="0.25">
      <c r="A17" s="7">
        <v>16</v>
      </c>
      <c r="B17" s="13" t="s">
        <v>114</v>
      </c>
      <c r="C17" s="7"/>
      <c r="D17" s="7"/>
      <c r="E17" s="7" t="s">
        <v>14</v>
      </c>
      <c r="F17" s="12">
        <v>1212.2265454545452</v>
      </c>
      <c r="G17" s="9" t="s">
        <v>115</v>
      </c>
      <c r="H17" s="9">
        <v>1285.3382750000001</v>
      </c>
      <c r="I17" s="7">
        <v>1360</v>
      </c>
      <c r="J17" s="8">
        <v>147.7734545454548</v>
      </c>
      <c r="K17" s="32">
        <f>(I17-F17)/F17</f>
        <v>0.12190250667217042</v>
      </c>
    </row>
    <row r="18" spans="1:11" x14ac:dyDescent="0.25">
      <c r="A18" s="7">
        <v>17</v>
      </c>
      <c r="B18" s="7" t="s">
        <v>127</v>
      </c>
      <c r="C18" s="7"/>
      <c r="D18" s="7"/>
      <c r="E18" s="7" t="s">
        <v>14</v>
      </c>
      <c r="F18" s="12">
        <v>1293.3598181818181</v>
      </c>
      <c r="G18" s="9" t="s">
        <v>11</v>
      </c>
      <c r="H18" s="9">
        <v>1502.0525</v>
      </c>
      <c r="I18" s="7">
        <v>1420</v>
      </c>
      <c r="J18" s="8">
        <v>126.64018181818187</v>
      </c>
      <c r="K18" s="32">
        <f>(I18-F18)/F18</f>
        <v>9.7915661239739424E-2</v>
      </c>
    </row>
    <row r="19" spans="1:11" x14ac:dyDescent="0.25">
      <c r="A19" s="7">
        <v>18</v>
      </c>
      <c r="B19" s="7" t="s">
        <v>134</v>
      </c>
      <c r="C19" s="7"/>
      <c r="D19" s="7"/>
      <c r="E19" s="7" t="s">
        <v>43</v>
      </c>
      <c r="F19" s="12">
        <v>964.05418181818175</v>
      </c>
      <c r="G19" s="9" t="s">
        <v>11</v>
      </c>
      <c r="H19" s="9">
        <v>1042.99</v>
      </c>
      <c r="I19" s="7">
        <v>1050</v>
      </c>
      <c r="J19" s="8">
        <v>85.945818181818254</v>
      </c>
      <c r="K19" s="32">
        <f>(I19-F19)/F19</f>
        <v>8.9150402334987666E-2</v>
      </c>
    </row>
    <row r="20" spans="1:11" x14ac:dyDescent="0.25">
      <c r="A20" s="7">
        <v>19</v>
      </c>
      <c r="B20" s="7" t="s">
        <v>136</v>
      </c>
      <c r="C20" s="7"/>
      <c r="D20" s="7"/>
      <c r="E20" s="7" t="s">
        <v>14</v>
      </c>
      <c r="F20" s="12">
        <v>1331.5401818181817</v>
      </c>
      <c r="G20" s="9" t="s">
        <v>11</v>
      </c>
      <c r="H20" s="9">
        <v>1648.9524999999999</v>
      </c>
      <c r="I20" s="7">
        <v>1450</v>
      </c>
      <c r="J20" s="8">
        <v>118.45981818181826</v>
      </c>
      <c r="K20" s="32">
        <f>(I20-F20)/F20</f>
        <v>8.8964508769134268E-2</v>
      </c>
    </row>
    <row r="21" spans="1:11" x14ac:dyDescent="0.25">
      <c r="A21" s="7">
        <v>20</v>
      </c>
      <c r="B21" s="13" t="s">
        <v>125</v>
      </c>
      <c r="C21" s="7"/>
      <c r="D21" s="7"/>
      <c r="E21" s="7" t="s">
        <v>14</v>
      </c>
      <c r="F21" s="12">
        <v>1212.2265454545452</v>
      </c>
      <c r="G21" s="9" t="s">
        <v>11</v>
      </c>
      <c r="H21" s="9">
        <v>1391.8775000000001</v>
      </c>
      <c r="I21" s="7">
        <v>1320</v>
      </c>
      <c r="J21" s="8">
        <v>107.7734545454548</v>
      </c>
      <c r="K21" s="32">
        <f>(I21-F21)/F21</f>
        <v>8.8905374122988934E-2</v>
      </c>
    </row>
    <row r="22" spans="1:11" x14ac:dyDescent="0.25">
      <c r="A22" s="7">
        <v>21</v>
      </c>
      <c r="B22" s="7" t="s">
        <v>126</v>
      </c>
      <c r="C22" s="7"/>
      <c r="D22" s="7"/>
      <c r="E22" s="7" t="s">
        <v>14</v>
      </c>
      <c r="F22" s="12">
        <v>1212.2265454545452</v>
      </c>
      <c r="G22" s="9" t="s">
        <v>11</v>
      </c>
      <c r="H22" s="9">
        <v>1391.8775000000001</v>
      </c>
      <c r="I22" s="7">
        <v>1320</v>
      </c>
      <c r="J22" s="8">
        <v>107.7734545454548</v>
      </c>
      <c r="K22" s="32">
        <f>(I22-F22)/F22</f>
        <v>8.8905374122988934E-2</v>
      </c>
    </row>
    <row r="23" spans="1:11" x14ac:dyDescent="0.25">
      <c r="A23" s="7">
        <v>22</v>
      </c>
      <c r="B23" s="13" t="s">
        <v>133</v>
      </c>
      <c r="C23" s="7"/>
      <c r="D23" s="7"/>
      <c r="E23" s="7" t="s">
        <v>17</v>
      </c>
      <c r="F23" s="12">
        <v>1212.2265454545452</v>
      </c>
      <c r="G23" s="9" t="s">
        <v>11</v>
      </c>
      <c r="H23" s="9">
        <v>1391.8775000000001</v>
      </c>
      <c r="I23" s="7">
        <v>1310</v>
      </c>
      <c r="J23" s="8">
        <v>97.773454545454797</v>
      </c>
      <c r="K23" s="32">
        <f>(I23-F23)/F23</f>
        <v>8.0656090985693568E-2</v>
      </c>
    </row>
    <row r="24" spans="1:11" x14ac:dyDescent="0.25">
      <c r="A24" s="7">
        <v>23</v>
      </c>
      <c r="B24" s="7" t="s">
        <v>135</v>
      </c>
      <c r="C24" s="7"/>
      <c r="D24" s="7"/>
      <c r="E24" s="7" t="s">
        <v>43</v>
      </c>
      <c r="F24" s="12">
        <v>1214.6128181818181</v>
      </c>
      <c r="G24" s="9" t="s">
        <v>11</v>
      </c>
      <c r="H24" s="9">
        <v>1391.8775000000001</v>
      </c>
      <c r="I24" s="7">
        <v>1310</v>
      </c>
      <c r="J24" s="8">
        <v>95.387181818181944</v>
      </c>
      <c r="K24" s="32">
        <f>(I24-F24)/F24</f>
        <v>7.8532994539749074E-2</v>
      </c>
    </row>
    <row r="25" spans="1:11" x14ac:dyDescent="0.25">
      <c r="A25" s="7">
        <v>24</v>
      </c>
      <c r="B25" s="7" t="s">
        <v>128</v>
      </c>
      <c r="C25" s="7"/>
      <c r="D25" s="7"/>
      <c r="E25" s="7" t="s">
        <v>43</v>
      </c>
      <c r="F25" s="12">
        <v>1295.746090909091</v>
      </c>
      <c r="G25" s="9" t="s">
        <v>11</v>
      </c>
      <c r="H25" s="9">
        <v>1502.0525</v>
      </c>
      <c r="I25" s="7">
        <v>1390</v>
      </c>
      <c r="J25" s="8">
        <v>94.253909090909019</v>
      </c>
      <c r="K25" s="32">
        <f>(I25-F25)/F25</f>
        <v>7.2741032947883172E-2</v>
      </c>
    </row>
    <row r="26" spans="1:11" x14ac:dyDescent="0.25">
      <c r="A26" s="7">
        <v>25</v>
      </c>
      <c r="B26" s="7" t="s">
        <v>137</v>
      </c>
      <c r="C26" s="7"/>
      <c r="D26" s="7"/>
      <c r="E26" s="7" t="s">
        <v>43</v>
      </c>
      <c r="F26" s="12">
        <v>1372.1068181818182</v>
      </c>
      <c r="G26" s="9" t="s">
        <v>11</v>
      </c>
      <c r="H26" s="9">
        <v>1759.1274999999998</v>
      </c>
      <c r="I26" s="7">
        <v>1450</v>
      </c>
      <c r="J26" s="8">
        <v>77.893181818181802</v>
      </c>
      <c r="K26" s="32">
        <f>(I26-F26)/F26</f>
        <v>5.6769036335959783E-2</v>
      </c>
    </row>
    <row r="27" spans="1:11" x14ac:dyDescent="0.25">
      <c r="A27" s="7">
        <v>26</v>
      </c>
      <c r="B27" s="7" t="s">
        <v>141</v>
      </c>
      <c r="C27" s="7"/>
      <c r="D27" s="7"/>
      <c r="E27" s="7" t="s">
        <v>149</v>
      </c>
      <c r="F27" s="12">
        <v>1788.6307227272723</v>
      </c>
      <c r="G27" s="9" t="s">
        <v>11</v>
      </c>
      <c r="H27" s="9">
        <v>1832.5774999999999</v>
      </c>
      <c r="I27" s="3">
        <v>1850</v>
      </c>
      <c r="J27" s="8">
        <f>I27-F27</f>
        <v>61.369277272727686</v>
      </c>
      <c r="K27" s="32">
        <f>(I27-F27)/F27</f>
        <v>3.4310758779292856E-2</v>
      </c>
    </row>
    <row r="28" spans="1:11" x14ac:dyDescent="0.25">
      <c r="A28" s="7">
        <v>27</v>
      </c>
      <c r="B28" s="7" t="s">
        <v>142</v>
      </c>
      <c r="C28" s="7"/>
      <c r="D28" s="7"/>
      <c r="E28" s="7" t="s">
        <v>149</v>
      </c>
      <c r="F28" s="12">
        <v>1788.6307227272723</v>
      </c>
      <c r="G28" s="9" t="s">
        <v>11</v>
      </c>
      <c r="H28" s="9">
        <v>1832.5774999999999</v>
      </c>
      <c r="I28" s="3">
        <v>1850</v>
      </c>
      <c r="J28" s="8">
        <f>I28-F28</f>
        <v>61.369277272727686</v>
      </c>
      <c r="K28" s="32">
        <f>(I28-F28)/F28</f>
        <v>3.4310758779292856E-2</v>
      </c>
    </row>
    <row r="29" spans="1:11" x14ac:dyDescent="0.25">
      <c r="A29" s="7">
        <v>28</v>
      </c>
      <c r="B29" s="7" t="s">
        <v>117</v>
      </c>
      <c r="C29" s="7"/>
      <c r="D29" s="7"/>
      <c r="E29" s="7" t="s">
        <v>118</v>
      </c>
      <c r="F29" s="12">
        <v>1706.1611372727273</v>
      </c>
      <c r="G29" s="9" t="s">
        <v>11</v>
      </c>
      <c r="H29" s="9">
        <v>1832.5774999999999</v>
      </c>
      <c r="I29" s="7">
        <v>1750</v>
      </c>
      <c r="J29" s="8">
        <v>43.838862727272726</v>
      </c>
      <c r="K29" s="32">
        <f>(I29-F29)/F29</f>
        <v>2.5694444545459806E-2</v>
      </c>
    </row>
    <row r="30" spans="1:11" x14ac:dyDescent="0.25">
      <c r="A30" s="7">
        <v>29</v>
      </c>
      <c r="B30" s="7" t="s">
        <v>119</v>
      </c>
      <c r="C30" s="7"/>
      <c r="D30" s="7"/>
      <c r="E30" s="7" t="s">
        <v>118</v>
      </c>
      <c r="F30" s="12">
        <v>1706.1611372727273</v>
      </c>
      <c r="G30" s="9" t="s">
        <v>11</v>
      </c>
      <c r="H30" s="9">
        <v>1832.5774999999999</v>
      </c>
      <c r="I30" s="7">
        <v>1750</v>
      </c>
      <c r="J30" s="8">
        <v>43.838862727272726</v>
      </c>
      <c r="K30" s="32">
        <f>(I30-F30)/F30</f>
        <v>2.5694444545459806E-2</v>
      </c>
    </row>
    <row r="31" spans="1:11" x14ac:dyDescent="0.25">
      <c r="A31" s="7">
        <v>30</v>
      </c>
      <c r="B31" s="7" t="s">
        <v>138</v>
      </c>
      <c r="C31" s="7"/>
      <c r="D31" s="7"/>
      <c r="E31" s="7" t="s">
        <v>43</v>
      </c>
      <c r="F31" s="12">
        <v>1333.9264545454544</v>
      </c>
      <c r="G31" s="9" t="s">
        <v>11</v>
      </c>
      <c r="H31" s="9">
        <v>1648.9524999999999</v>
      </c>
      <c r="I31" s="7">
        <v>1350</v>
      </c>
      <c r="J31" s="8">
        <v>16.073545454545638</v>
      </c>
      <c r="K31" s="32">
        <f>(I31-F31)/F31</f>
        <v>1.2049798847435574E-2</v>
      </c>
    </row>
    <row r="32" spans="1:11" x14ac:dyDescent="0.25">
      <c r="A32" s="7">
        <v>31</v>
      </c>
      <c r="B32" s="13" t="s">
        <v>129</v>
      </c>
      <c r="C32" s="7"/>
      <c r="D32" s="7"/>
      <c r="E32" s="7" t="s">
        <v>43</v>
      </c>
      <c r="F32" s="9">
        <v>1395.9695454545454</v>
      </c>
      <c r="G32" s="9" t="s">
        <v>11</v>
      </c>
      <c r="H32" s="12">
        <v>1391.8775000000001</v>
      </c>
      <c r="I32" s="7">
        <v>1400</v>
      </c>
      <c r="J32" s="8">
        <v>8.1224999999999454</v>
      </c>
      <c r="K32" s="32">
        <f>(I32-H32)/H32</f>
        <v>5.8356428636858809E-3</v>
      </c>
    </row>
    <row r="33" spans="1:11" x14ac:dyDescent="0.25">
      <c r="A33" s="7">
        <v>32</v>
      </c>
      <c r="B33" s="7" t="s">
        <v>131</v>
      </c>
      <c r="C33" s="7"/>
      <c r="D33" s="7"/>
      <c r="E33" s="7" t="s">
        <v>43</v>
      </c>
      <c r="F33" s="9">
        <v>1395.9695454545454</v>
      </c>
      <c r="G33" s="9" t="s">
        <v>11</v>
      </c>
      <c r="H33" s="12">
        <v>1391.8775000000001</v>
      </c>
      <c r="I33" s="7">
        <v>1400</v>
      </c>
      <c r="J33" s="8">
        <v>8.1224999999999454</v>
      </c>
      <c r="K33" s="32">
        <f>(I33-H33)/H33</f>
        <v>5.8356428636858809E-3</v>
      </c>
    </row>
  </sheetData>
  <sortState xmlns:xlrd2="http://schemas.microsoft.com/office/spreadsheetml/2017/richdata2" ref="A2:L33">
    <sortCondition descending="1" ref="K2:K33"/>
  </sortState>
  <conditionalFormatting sqref="B1">
    <cfRule type="duplicateValues" dxfId="63" priority="30"/>
    <cfRule type="duplicateValues" dxfId="62" priority="31"/>
    <cfRule type="duplicateValues" dxfId="61" priority="32"/>
    <cfRule type="duplicateValues" dxfId="60" priority="33"/>
  </conditionalFormatting>
  <conditionalFormatting sqref="B1:B24 B62:B1048576">
    <cfRule type="duplicateValues" dxfId="59" priority="17"/>
  </conditionalFormatting>
  <conditionalFormatting sqref="B2:B24">
    <cfRule type="duplicateValues" dxfId="58" priority="25"/>
    <cfRule type="duplicateValues" dxfId="57" priority="26"/>
    <cfRule type="duplicateValues" dxfId="56" priority="27"/>
    <cfRule type="duplicateValues" dxfId="55" priority="28"/>
    <cfRule type="duplicateValues" dxfId="54" priority="29"/>
  </conditionalFormatting>
  <conditionalFormatting sqref="B25">
    <cfRule type="duplicateValues" dxfId="53" priority="13"/>
    <cfRule type="duplicateValues" dxfId="52" priority="14"/>
    <cfRule type="duplicateValues" dxfId="51" priority="15"/>
    <cfRule type="duplicateValues" dxfId="50" priority="16"/>
  </conditionalFormatting>
  <conditionalFormatting sqref="B26">
    <cfRule type="duplicateValues" dxfId="49" priority="9"/>
    <cfRule type="duplicateValues" dxfId="48" priority="10"/>
    <cfRule type="duplicateValues" dxfId="47" priority="11"/>
    <cfRule type="duplicateValues" dxfId="46" priority="12"/>
  </conditionalFormatting>
  <conditionalFormatting sqref="B27:B32">
    <cfRule type="duplicateValues" dxfId="45" priority="5"/>
    <cfRule type="duplicateValues" dxfId="44" priority="6"/>
    <cfRule type="duplicateValues" dxfId="43" priority="7"/>
    <cfRule type="duplicateValues" dxfId="42" priority="8"/>
  </conditionalFormatting>
  <conditionalFormatting sqref="B33">
    <cfRule type="duplicateValues" dxfId="41" priority="1"/>
    <cfRule type="duplicateValues" dxfId="40" priority="2"/>
    <cfRule type="duplicateValues" dxfId="39" priority="3"/>
    <cfRule type="duplicateValues" dxfId="38" priority="4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30834-60E7-4BC6-9B20-92DFCDBE80E5}">
  <dimension ref="A1:K3"/>
  <sheetViews>
    <sheetView workbookViewId="0">
      <selection activeCell="A4" sqref="A4"/>
    </sheetView>
  </sheetViews>
  <sheetFormatPr defaultRowHeight="15" x14ac:dyDescent="0.25"/>
  <cols>
    <col min="1" max="1" width="5.85546875" bestFit="1" customWidth="1"/>
    <col min="2" max="2" width="32.42578125" customWidth="1"/>
    <col min="3" max="3" width="18.85546875" bestFit="1" customWidth="1"/>
    <col min="4" max="4" width="22.28515625" bestFit="1" customWidth="1"/>
    <col min="5" max="5" width="18.85546875" bestFit="1" customWidth="1"/>
    <col min="6" max="6" width="23" bestFit="1" customWidth="1"/>
    <col min="7" max="7" width="12.28515625" bestFit="1" customWidth="1"/>
    <col min="8" max="8" width="10.42578125" bestFit="1" customWidth="1"/>
    <col min="9" max="9" width="10.85546875" bestFit="1" customWidth="1"/>
    <col min="10" max="10" width="16.85546875" bestFit="1" customWidth="1"/>
    <col min="11" max="11" width="13.28515625" bestFit="1" customWidth="1"/>
  </cols>
  <sheetData>
    <row r="1" spans="1:1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2</v>
      </c>
      <c r="F1" s="2" t="s">
        <v>4</v>
      </c>
      <c r="G1" s="2" t="s">
        <v>2</v>
      </c>
      <c r="H1" s="2" t="s">
        <v>5</v>
      </c>
      <c r="I1" s="2" t="s">
        <v>6</v>
      </c>
      <c r="J1" s="2" t="s">
        <v>7</v>
      </c>
      <c r="K1" s="23" t="s">
        <v>140</v>
      </c>
    </row>
    <row r="2" spans="1:11" x14ac:dyDescent="0.25">
      <c r="A2" s="3">
        <v>1</v>
      </c>
      <c r="B2" s="3" t="s">
        <v>258</v>
      </c>
      <c r="C2" s="3" t="s">
        <v>260</v>
      </c>
      <c r="D2" s="17">
        <v>1280.1326510840001</v>
      </c>
      <c r="E2" s="3" t="s">
        <v>259</v>
      </c>
      <c r="F2" s="18">
        <v>1143.0568181818182</v>
      </c>
      <c r="G2" s="3" t="s">
        <v>11</v>
      </c>
      <c r="H2" s="17">
        <v>1285.3382750000001</v>
      </c>
      <c r="I2" s="3">
        <v>1590</v>
      </c>
      <c r="J2" s="8">
        <f>I2-F2</f>
        <v>446.94318181818176</v>
      </c>
      <c r="K2" s="32">
        <f>(I2-F2)/F2</f>
        <v>0.39100696895286752</v>
      </c>
    </row>
    <row r="3" spans="1:11" x14ac:dyDescent="0.25">
      <c r="A3" s="3">
        <v>2</v>
      </c>
      <c r="B3" s="3" t="s">
        <v>256</v>
      </c>
      <c r="C3" s="3" t="s">
        <v>204</v>
      </c>
      <c r="D3" s="17">
        <v>517.62635640000008</v>
      </c>
      <c r="E3" s="3" t="s">
        <v>257</v>
      </c>
      <c r="F3" s="17">
        <v>351.16590909090905</v>
      </c>
      <c r="G3" s="3" t="s">
        <v>11</v>
      </c>
      <c r="H3" s="18">
        <v>257.038275</v>
      </c>
      <c r="I3" s="3">
        <v>275</v>
      </c>
      <c r="J3" s="8">
        <f>I3-H3</f>
        <v>17.961725000000001</v>
      </c>
      <c r="K3" s="32">
        <f>(I3-H3)/H3</f>
        <v>6.987957338260227E-2</v>
      </c>
    </row>
  </sheetData>
  <sortState xmlns:xlrd2="http://schemas.microsoft.com/office/spreadsheetml/2017/richdata2" ref="A2:K3">
    <sortCondition descending="1" ref="K2:K3"/>
  </sortState>
  <conditionalFormatting sqref="B1">
    <cfRule type="duplicateValues" dxfId="37" priority="1"/>
    <cfRule type="duplicateValues" dxfId="36" priority="2"/>
    <cfRule type="duplicateValues" dxfId="35" priority="3"/>
    <cfRule type="duplicateValues" dxfId="34" priority="4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9A59F-3129-457D-AC96-6B741CAEC0EB}">
  <dimension ref="A1:L27"/>
  <sheetViews>
    <sheetView workbookViewId="0">
      <selection activeCell="A2" sqref="A2:A27"/>
    </sheetView>
  </sheetViews>
  <sheetFormatPr defaultRowHeight="15" x14ac:dyDescent="0.25"/>
  <cols>
    <col min="1" max="1" width="5.85546875" bestFit="1" customWidth="1"/>
    <col min="2" max="2" width="76.42578125" bestFit="1" customWidth="1"/>
    <col min="3" max="3" width="37" bestFit="1" customWidth="1"/>
    <col min="4" max="4" width="22.28515625" bestFit="1" customWidth="1"/>
    <col min="5" max="5" width="21.42578125" bestFit="1" customWidth="1"/>
    <col min="6" max="6" width="23" bestFit="1" customWidth="1"/>
    <col min="7" max="7" width="16.85546875" bestFit="1" customWidth="1"/>
    <col min="8" max="8" width="10.42578125" bestFit="1" customWidth="1"/>
    <col min="9" max="9" width="10.85546875" bestFit="1" customWidth="1"/>
    <col min="10" max="10" width="16.85546875" bestFit="1" customWidth="1"/>
    <col min="11" max="11" width="13.28515625" bestFit="1" customWidth="1"/>
    <col min="12" max="12" width="17.42578125" bestFit="1" customWidth="1"/>
  </cols>
  <sheetData>
    <row r="1" spans="1:1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2</v>
      </c>
      <c r="F1" s="2" t="s">
        <v>4</v>
      </c>
      <c r="G1" s="2" t="s">
        <v>2</v>
      </c>
      <c r="H1" s="2" t="s">
        <v>5</v>
      </c>
      <c r="I1" s="2" t="s">
        <v>6</v>
      </c>
      <c r="J1" s="2" t="s">
        <v>7</v>
      </c>
      <c r="K1" s="23" t="s">
        <v>140</v>
      </c>
    </row>
    <row r="2" spans="1:11" x14ac:dyDescent="0.25">
      <c r="A2" s="7">
        <v>1</v>
      </c>
      <c r="B2" s="5" t="s">
        <v>57</v>
      </c>
      <c r="C2" s="3" t="s">
        <v>19</v>
      </c>
      <c r="D2" s="4">
        <v>94.144615384615378</v>
      </c>
      <c r="E2" s="7" t="s">
        <v>14</v>
      </c>
      <c r="F2" s="9">
        <v>119.05000000000001</v>
      </c>
      <c r="G2" s="5" t="s">
        <v>21</v>
      </c>
      <c r="H2" s="6">
        <v>128.500775</v>
      </c>
      <c r="I2" s="5">
        <v>255</v>
      </c>
      <c r="J2" s="8">
        <v>160.85538461538462</v>
      </c>
      <c r="K2" s="32">
        <f>(I2-D2)/D2</f>
        <v>1.7085988822433573</v>
      </c>
    </row>
    <row r="3" spans="1:11" x14ac:dyDescent="0.25">
      <c r="A3" s="7">
        <v>2</v>
      </c>
      <c r="B3" s="5" t="s">
        <v>56</v>
      </c>
      <c r="C3" s="3" t="s">
        <v>38</v>
      </c>
      <c r="D3" s="4">
        <v>398.6123076923077</v>
      </c>
      <c r="E3" s="7" t="s">
        <v>17</v>
      </c>
      <c r="F3" s="9">
        <v>402.38900000000001</v>
      </c>
      <c r="G3" s="5" t="s">
        <v>21</v>
      </c>
      <c r="H3" s="6">
        <v>734.24292500000001</v>
      </c>
      <c r="I3" s="5">
        <v>790</v>
      </c>
      <c r="J3" s="8">
        <v>391.3876923076923</v>
      </c>
      <c r="K3" s="32">
        <f>(I3-D3)/D3</f>
        <v>0.9818755837559533</v>
      </c>
    </row>
    <row r="4" spans="1:11" x14ac:dyDescent="0.25">
      <c r="A4" s="7">
        <v>3</v>
      </c>
      <c r="B4" s="7" t="s">
        <v>33</v>
      </c>
      <c r="C4" s="3" t="s">
        <v>30</v>
      </c>
      <c r="D4" s="9">
        <v>1340.0584615384616</v>
      </c>
      <c r="E4" s="5" t="s">
        <v>34</v>
      </c>
      <c r="F4" s="6">
        <v>1820.6339999999998</v>
      </c>
      <c r="G4" s="5" t="s">
        <v>35</v>
      </c>
      <c r="H4" s="4">
        <v>1064.9882749999999</v>
      </c>
      <c r="I4" s="7">
        <v>1650</v>
      </c>
      <c r="J4" s="8">
        <v>585.01172500000007</v>
      </c>
      <c r="K4" s="32">
        <f>(I4-H4)/H4</f>
        <v>0.54931283163657374</v>
      </c>
    </row>
    <row r="5" spans="1:11" x14ac:dyDescent="0.25">
      <c r="A5" s="7">
        <v>4</v>
      </c>
      <c r="B5" s="7" t="s">
        <v>18</v>
      </c>
      <c r="C5" s="3" t="s">
        <v>19</v>
      </c>
      <c r="D5" s="4">
        <v>234.35999999999999</v>
      </c>
      <c r="E5" s="5" t="s">
        <v>20</v>
      </c>
      <c r="F5" s="6">
        <v>273.45490909090904</v>
      </c>
      <c r="G5" s="5" t="s">
        <v>21</v>
      </c>
      <c r="H5" s="6">
        <v>330.2312</v>
      </c>
      <c r="I5" s="7">
        <v>350</v>
      </c>
      <c r="J5" s="8">
        <v>115.64000000000001</v>
      </c>
      <c r="K5" s="32">
        <f>(I5-D5)/D5</f>
        <v>0.49342891278375156</v>
      </c>
    </row>
    <row r="6" spans="1:11" x14ac:dyDescent="0.25">
      <c r="A6" s="7">
        <v>5</v>
      </c>
      <c r="B6" s="5" t="s">
        <v>44</v>
      </c>
      <c r="C6" s="3" t="s">
        <v>45</v>
      </c>
      <c r="D6" s="6">
        <v>286.44</v>
      </c>
      <c r="E6" s="7" t="s">
        <v>17</v>
      </c>
      <c r="F6" s="4">
        <v>283.339</v>
      </c>
      <c r="G6" s="5" t="s">
        <v>46</v>
      </c>
      <c r="H6" s="6">
        <v>345.03137500000003</v>
      </c>
      <c r="I6" s="5">
        <v>420</v>
      </c>
      <c r="J6" s="8">
        <v>136.661</v>
      </c>
      <c r="K6" s="32">
        <f>(I6-F6)/F6</f>
        <v>0.48232329471057639</v>
      </c>
    </row>
    <row r="7" spans="1:11" x14ac:dyDescent="0.25">
      <c r="A7" s="7">
        <v>6</v>
      </c>
      <c r="B7" s="5" t="s">
        <v>48</v>
      </c>
      <c r="C7" s="3" t="s">
        <v>45</v>
      </c>
      <c r="D7" s="6">
        <v>286.44</v>
      </c>
      <c r="E7" s="7" t="s">
        <v>17</v>
      </c>
      <c r="F7" s="4">
        <v>283.339</v>
      </c>
      <c r="G7" s="5" t="s">
        <v>46</v>
      </c>
      <c r="H7" s="6">
        <v>345.03137500000003</v>
      </c>
      <c r="I7" s="5">
        <v>420</v>
      </c>
      <c r="J7" s="8">
        <v>136.661</v>
      </c>
      <c r="K7" s="32">
        <f>(I7-F7)/F7</f>
        <v>0.48232329471057639</v>
      </c>
    </row>
    <row r="8" spans="1:11" x14ac:dyDescent="0.25">
      <c r="A8" s="7">
        <v>7</v>
      </c>
      <c r="B8" s="5" t="s">
        <v>49</v>
      </c>
      <c r="C8" s="3" t="s">
        <v>45</v>
      </c>
      <c r="D8" s="6">
        <v>286.44</v>
      </c>
      <c r="E8" s="7" t="s">
        <v>17</v>
      </c>
      <c r="F8" s="4">
        <v>283.339</v>
      </c>
      <c r="G8" s="5" t="s">
        <v>46</v>
      </c>
      <c r="H8" s="6">
        <v>345.03137500000003</v>
      </c>
      <c r="I8" s="5">
        <v>420</v>
      </c>
      <c r="J8" s="8">
        <v>136.661</v>
      </c>
      <c r="K8" s="32">
        <f>(I8-F8)/F8</f>
        <v>0.48232329471057639</v>
      </c>
    </row>
    <row r="9" spans="1:11" x14ac:dyDescent="0.25">
      <c r="A9" s="7">
        <v>8</v>
      </c>
      <c r="B9" s="5" t="s">
        <v>50</v>
      </c>
      <c r="C9" s="3" t="s">
        <v>45</v>
      </c>
      <c r="D9" s="6">
        <v>286.44</v>
      </c>
      <c r="E9" s="7" t="s">
        <v>17</v>
      </c>
      <c r="F9" s="4">
        <v>283.339</v>
      </c>
      <c r="G9" s="5" t="s">
        <v>46</v>
      </c>
      <c r="H9" s="6">
        <v>345.03137500000003</v>
      </c>
      <c r="I9" s="5">
        <v>420</v>
      </c>
      <c r="J9" s="8">
        <v>136.661</v>
      </c>
      <c r="K9" s="32">
        <f>(I9-F9)/F9</f>
        <v>0.48232329471057639</v>
      </c>
    </row>
    <row r="10" spans="1:11" x14ac:dyDescent="0.25">
      <c r="A10" s="7">
        <v>9</v>
      </c>
      <c r="B10" s="5" t="s">
        <v>40</v>
      </c>
      <c r="C10" s="3" t="s">
        <v>28</v>
      </c>
      <c r="D10" s="4">
        <v>536.8246153846153</v>
      </c>
      <c r="E10" s="7" t="s">
        <v>14</v>
      </c>
      <c r="F10" s="9">
        <v>569.05899999999997</v>
      </c>
      <c r="G10" s="5" t="s">
        <v>21</v>
      </c>
      <c r="H10" s="6">
        <v>616.7963749999999</v>
      </c>
      <c r="I10" s="5">
        <v>780</v>
      </c>
      <c r="J10" s="8">
        <v>243.1753846153847</v>
      </c>
      <c r="K10" s="32">
        <f>(I10-D10)/D10</f>
        <v>0.45298851365293374</v>
      </c>
    </row>
    <row r="11" spans="1:11" x14ac:dyDescent="0.25">
      <c r="A11" s="7">
        <v>10</v>
      </c>
      <c r="B11" s="5" t="s">
        <v>41</v>
      </c>
      <c r="C11" s="3" t="s">
        <v>42</v>
      </c>
      <c r="D11" s="4">
        <v>515.13129230769232</v>
      </c>
      <c r="E11" s="7" t="s">
        <v>43</v>
      </c>
      <c r="F11" s="9">
        <v>545.24900000000002</v>
      </c>
      <c r="G11" s="5" t="s">
        <v>21</v>
      </c>
      <c r="H11" s="6">
        <v>642.6875</v>
      </c>
      <c r="I11" s="5">
        <v>740</v>
      </c>
      <c r="J11" s="8">
        <v>224.86870769230768</v>
      </c>
      <c r="K11" s="32">
        <f>(I11-D11)/D11</f>
        <v>0.43652698069445117</v>
      </c>
    </row>
    <row r="12" spans="1:11" x14ac:dyDescent="0.25">
      <c r="A12" s="7">
        <v>11</v>
      </c>
      <c r="B12" s="5" t="s">
        <v>47</v>
      </c>
      <c r="C12" s="3" t="s">
        <v>45</v>
      </c>
      <c r="D12" s="6">
        <v>286.44</v>
      </c>
      <c r="E12" s="7" t="s">
        <v>17</v>
      </c>
      <c r="F12" s="4">
        <v>283.339</v>
      </c>
      <c r="G12" s="5" t="s">
        <v>46</v>
      </c>
      <c r="H12" s="6">
        <v>345.03137500000003</v>
      </c>
      <c r="I12" s="5">
        <v>400</v>
      </c>
      <c r="J12" s="8">
        <v>116.661</v>
      </c>
      <c r="K12" s="32">
        <f>(I12-F12)/F12</f>
        <v>0.41173647115292988</v>
      </c>
    </row>
    <row r="13" spans="1:11" x14ac:dyDescent="0.25">
      <c r="A13" s="7">
        <v>12</v>
      </c>
      <c r="B13" s="5" t="s">
        <v>68</v>
      </c>
      <c r="C13" s="3" t="s">
        <v>19</v>
      </c>
      <c r="D13" s="6">
        <v>558.85846153846148</v>
      </c>
      <c r="E13" s="7" t="s">
        <v>69</v>
      </c>
      <c r="F13" s="9">
        <v>595.22619000000009</v>
      </c>
      <c r="G13" s="5" t="s">
        <v>11</v>
      </c>
      <c r="H13" s="4">
        <v>550.83827500000007</v>
      </c>
      <c r="I13" s="5">
        <v>775</v>
      </c>
      <c r="J13" s="8">
        <v>224.16172499999993</v>
      </c>
      <c r="K13" s="32">
        <f>(I13-H13)/H13</f>
        <v>0.40694653072174386</v>
      </c>
    </row>
    <row r="14" spans="1:11" x14ac:dyDescent="0.25">
      <c r="A14" s="7">
        <v>13</v>
      </c>
      <c r="B14" s="5" t="s">
        <v>61</v>
      </c>
      <c r="C14" s="3" t="s">
        <v>26</v>
      </c>
      <c r="D14" s="6">
        <v>576.88615384615389</v>
      </c>
      <c r="E14" s="7" t="s">
        <v>10</v>
      </c>
      <c r="F14" s="4">
        <v>450.00900000000001</v>
      </c>
      <c r="G14" s="5" t="s">
        <v>11</v>
      </c>
      <c r="H14" s="6">
        <v>587.56327499999998</v>
      </c>
      <c r="I14" s="5">
        <v>630</v>
      </c>
      <c r="J14" s="8">
        <v>179.99099999999999</v>
      </c>
      <c r="K14" s="32">
        <f>(I14-F14)/F14</f>
        <v>0.39997200055998877</v>
      </c>
    </row>
    <row r="15" spans="1:11" x14ac:dyDescent="0.25">
      <c r="A15" s="7">
        <v>14</v>
      </c>
      <c r="B15" s="5" t="s">
        <v>58</v>
      </c>
      <c r="C15" s="3" t="s">
        <v>26</v>
      </c>
      <c r="D15" s="6">
        <v>576.88615384615389</v>
      </c>
      <c r="E15" s="7" t="s">
        <v>10</v>
      </c>
      <c r="F15" s="4">
        <v>450.00900000000001</v>
      </c>
      <c r="G15" s="5" t="s">
        <v>59</v>
      </c>
      <c r="H15" s="6">
        <v>734.31637499999988</v>
      </c>
      <c r="I15" s="5">
        <v>620</v>
      </c>
      <c r="J15" s="8">
        <v>169.99099999999999</v>
      </c>
      <c r="K15" s="32">
        <f>(I15-F15)/F15</f>
        <v>0.37775022277332226</v>
      </c>
    </row>
    <row r="16" spans="1:11" x14ac:dyDescent="0.25">
      <c r="A16" s="7">
        <v>15</v>
      </c>
      <c r="B16" s="5" t="s">
        <v>60</v>
      </c>
      <c r="C16" s="3" t="s">
        <v>26</v>
      </c>
      <c r="D16" s="6">
        <v>576.88615384615389</v>
      </c>
      <c r="E16" s="7" t="s">
        <v>10</v>
      </c>
      <c r="F16" s="4">
        <v>450.00900000000001</v>
      </c>
      <c r="G16" s="5" t="s">
        <v>21</v>
      </c>
      <c r="H16" s="6">
        <v>616.7963749999999</v>
      </c>
      <c r="I16" s="5">
        <v>610</v>
      </c>
      <c r="J16" s="8">
        <v>159.99099999999999</v>
      </c>
      <c r="K16" s="32">
        <f>(I16-F16)/F16</f>
        <v>0.35552844498665576</v>
      </c>
    </row>
    <row r="17" spans="1:12" x14ac:dyDescent="0.25">
      <c r="A17" s="7">
        <v>16</v>
      </c>
      <c r="B17" s="5" t="s">
        <v>65</v>
      </c>
      <c r="C17" s="3" t="s">
        <v>63</v>
      </c>
      <c r="D17" s="4">
        <v>296.45538461538456</v>
      </c>
      <c r="E17" s="7" t="s">
        <v>43</v>
      </c>
      <c r="F17" s="9">
        <v>307.149</v>
      </c>
      <c r="G17" s="5" t="s">
        <v>11</v>
      </c>
      <c r="H17" s="6">
        <v>330.48827499999999</v>
      </c>
      <c r="I17" s="5">
        <v>390</v>
      </c>
      <c r="J17" s="8">
        <v>93.54461538461544</v>
      </c>
      <c r="K17" s="32">
        <f>(I17-D17)/D17</f>
        <v>0.31554365425333192</v>
      </c>
    </row>
    <row r="18" spans="1:12" x14ac:dyDescent="0.25">
      <c r="A18" s="7">
        <v>17</v>
      </c>
      <c r="B18" s="5" t="s">
        <v>64</v>
      </c>
      <c r="C18" s="3" t="s">
        <v>63</v>
      </c>
      <c r="D18" s="4">
        <v>296.45538461538456</v>
      </c>
      <c r="E18" s="7" t="s">
        <v>43</v>
      </c>
      <c r="F18" s="9">
        <v>307.149</v>
      </c>
      <c r="G18" s="5" t="s">
        <v>35</v>
      </c>
      <c r="H18" s="6">
        <v>330.48827499999999</v>
      </c>
      <c r="I18" s="5">
        <v>380</v>
      </c>
      <c r="J18" s="8">
        <v>83.54461538461544</v>
      </c>
      <c r="K18" s="32">
        <f>(I18-D18)/D18</f>
        <v>0.28181176568273364</v>
      </c>
    </row>
    <row r="19" spans="1:12" x14ac:dyDescent="0.25">
      <c r="A19" s="7">
        <v>18</v>
      </c>
      <c r="B19" s="5" t="s">
        <v>66</v>
      </c>
      <c r="C19" s="3" t="s">
        <v>63</v>
      </c>
      <c r="D19" s="4">
        <v>296.45538461538456</v>
      </c>
      <c r="E19" s="7" t="s">
        <v>43</v>
      </c>
      <c r="F19" s="9">
        <v>307.149</v>
      </c>
      <c r="G19" s="5" t="s">
        <v>11</v>
      </c>
      <c r="H19" s="6">
        <v>330.48827499999999</v>
      </c>
      <c r="I19" s="5">
        <v>370</v>
      </c>
      <c r="J19" s="8">
        <v>73.54461538461544</v>
      </c>
      <c r="K19" s="32">
        <f>(I19-D19)/D19</f>
        <v>0.24807987711213542</v>
      </c>
      <c r="L19" s="10" t="s">
        <v>67</v>
      </c>
    </row>
    <row r="20" spans="1:12" x14ac:dyDescent="0.25">
      <c r="A20" s="7">
        <v>19</v>
      </c>
      <c r="B20" s="5" t="s">
        <v>51</v>
      </c>
      <c r="C20" s="3" t="s">
        <v>45</v>
      </c>
      <c r="D20" s="4">
        <v>330.50769230769231</v>
      </c>
      <c r="E20" s="7" t="s">
        <v>17</v>
      </c>
      <c r="F20" s="9">
        <v>330.95899999999995</v>
      </c>
      <c r="G20" s="5" t="s">
        <v>21</v>
      </c>
      <c r="H20" s="6">
        <v>454.25152499999996</v>
      </c>
      <c r="I20" s="5">
        <v>380</v>
      </c>
      <c r="J20" s="8">
        <v>49.492307692307691</v>
      </c>
      <c r="K20" s="32">
        <f>(I20-D20)/D20</f>
        <v>0.14974631103663361</v>
      </c>
    </row>
    <row r="21" spans="1:12" x14ac:dyDescent="0.25">
      <c r="A21" s="7">
        <v>20</v>
      </c>
      <c r="B21" s="5" t="s">
        <v>55</v>
      </c>
      <c r="C21" s="3" t="s">
        <v>26</v>
      </c>
      <c r="D21" s="4">
        <v>697.0707692307692</v>
      </c>
      <c r="E21" s="7" t="s">
        <v>14</v>
      </c>
      <c r="F21" s="9">
        <v>709.53800000000001</v>
      </c>
      <c r="G21" s="5" t="s">
        <v>11</v>
      </c>
      <c r="H21" s="6">
        <v>863.00077499999998</v>
      </c>
      <c r="I21" s="5">
        <v>800</v>
      </c>
      <c r="J21" s="8">
        <v>102.9292307692308</v>
      </c>
      <c r="K21" s="32">
        <f>(I21-D21)/D21</f>
        <v>0.1476596571146071</v>
      </c>
    </row>
    <row r="22" spans="1:12" x14ac:dyDescent="0.25">
      <c r="A22" s="7">
        <v>21</v>
      </c>
      <c r="B22" s="5" t="s">
        <v>52</v>
      </c>
      <c r="C22" s="3" t="s">
        <v>26</v>
      </c>
      <c r="D22" s="6">
        <v>697.0707692307692</v>
      </c>
      <c r="E22" s="7" t="s">
        <v>20</v>
      </c>
      <c r="F22" s="4">
        <v>676.20399999999995</v>
      </c>
      <c r="G22" s="5" t="s">
        <v>11</v>
      </c>
      <c r="H22" s="6">
        <v>863.00077499999998</v>
      </c>
      <c r="I22" s="5">
        <v>758</v>
      </c>
      <c r="J22" s="8">
        <v>81.796000000000049</v>
      </c>
      <c r="K22" s="32">
        <f>(I22-F22)/F22</f>
        <v>0.12096349622303337</v>
      </c>
      <c r="L22" s="10" t="s">
        <v>53</v>
      </c>
    </row>
    <row r="23" spans="1:12" x14ac:dyDescent="0.25">
      <c r="A23" s="7">
        <v>22</v>
      </c>
      <c r="B23" s="7" t="s">
        <v>37</v>
      </c>
      <c r="C23" s="3" t="s">
        <v>38</v>
      </c>
      <c r="D23" s="4">
        <v>1520.3353846153846</v>
      </c>
      <c r="E23" s="5" t="s">
        <v>34</v>
      </c>
      <c r="F23" s="6">
        <v>2131.8688636363636</v>
      </c>
      <c r="G23" s="5" t="s">
        <v>39</v>
      </c>
      <c r="H23" s="6">
        <v>1836.2132750000001</v>
      </c>
      <c r="I23" s="7">
        <v>1670</v>
      </c>
      <c r="J23" s="8">
        <v>149.66461538461544</v>
      </c>
      <c r="K23" s="32">
        <f>(I23-D23)/D23</f>
        <v>9.8441841779850242E-2</v>
      </c>
    </row>
    <row r="24" spans="1:12" x14ac:dyDescent="0.25">
      <c r="A24" s="7">
        <v>23</v>
      </c>
      <c r="B24" s="5" t="s">
        <v>54</v>
      </c>
      <c r="C24" s="3" t="s">
        <v>26</v>
      </c>
      <c r="D24" s="4">
        <v>697.0707692307692</v>
      </c>
      <c r="E24" s="7" t="s">
        <v>10</v>
      </c>
      <c r="F24" s="9">
        <v>569.05899999999997</v>
      </c>
      <c r="G24" s="5" t="s">
        <v>11</v>
      </c>
      <c r="H24" s="6">
        <v>863.00077499999998</v>
      </c>
      <c r="I24" s="5">
        <v>760</v>
      </c>
      <c r="J24" s="8">
        <v>190.94100000000003</v>
      </c>
      <c r="K24" s="32">
        <f>(I24-D24)/D24</f>
        <v>9.0276674258876755E-2</v>
      </c>
    </row>
    <row r="25" spans="1:12" x14ac:dyDescent="0.25">
      <c r="A25" s="7">
        <v>24</v>
      </c>
      <c r="B25" s="5" t="s">
        <v>70</v>
      </c>
      <c r="C25" s="3" t="s">
        <v>38</v>
      </c>
      <c r="D25" s="4">
        <v>1520.3353846153846</v>
      </c>
      <c r="E25" s="7" t="s">
        <v>10</v>
      </c>
      <c r="F25" s="9">
        <v>1997.6590000000001</v>
      </c>
      <c r="G25" s="5" t="s">
        <v>39</v>
      </c>
      <c r="H25" s="6">
        <v>1836.2132750000001</v>
      </c>
      <c r="I25" s="5">
        <v>1650</v>
      </c>
      <c r="J25" s="8">
        <v>129.66461538461544</v>
      </c>
      <c r="K25" s="32">
        <f>(I25-D25)/D25</f>
        <v>8.5286849662726288E-2</v>
      </c>
    </row>
    <row r="26" spans="1:12" x14ac:dyDescent="0.25">
      <c r="A26" s="7">
        <v>25</v>
      </c>
      <c r="B26" s="5" t="s">
        <v>62</v>
      </c>
      <c r="C26" s="3" t="s">
        <v>63</v>
      </c>
      <c r="D26" s="6">
        <v>528.79227692307688</v>
      </c>
      <c r="E26" s="7" t="s">
        <v>10</v>
      </c>
      <c r="F26" s="4">
        <v>503.70055000000002</v>
      </c>
      <c r="G26" s="5" t="s">
        <v>35</v>
      </c>
      <c r="H26" s="6">
        <v>532.475775</v>
      </c>
      <c r="I26" s="5">
        <v>520</v>
      </c>
      <c r="J26" s="8">
        <v>16.299449999999979</v>
      </c>
      <c r="K26" s="32">
        <f>(I26-F26)/F26</f>
        <v>3.2359404809067564E-2</v>
      </c>
    </row>
    <row r="27" spans="1:12" x14ac:dyDescent="0.25">
      <c r="A27" s="7">
        <v>26</v>
      </c>
      <c r="B27" s="7" t="s">
        <v>36</v>
      </c>
      <c r="C27" s="3" t="s">
        <v>30</v>
      </c>
      <c r="D27" s="4">
        <v>1340.0584615384616</v>
      </c>
      <c r="E27" s="5" t="s">
        <v>34</v>
      </c>
      <c r="F27" s="6">
        <v>1796.6227399999998</v>
      </c>
      <c r="G27" s="5" t="s">
        <v>21</v>
      </c>
      <c r="H27" s="6">
        <v>1573.0786499999999</v>
      </c>
      <c r="I27" s="7">
        <v>1350</v>
      </c>
      <c r="J27" s="8">
        <v>9.9415384615383573</v>
      </c>
      <c r="K27" s="32">
        <f>(I27-D27)/D27</f>
        <v>7.4187348887188986E-3</v>
      </c>
    </row>
  </sheetData>
  <sortState xmlns:xlrd2="http://schemas.microsoft.com/office/spreadsheetml/2017/richdata2" ref="A2:L27">
    <sortCondition descending="1" ref="K2:K27"/>
  </sortState>
  <conditionalFormatting sqref="B1">
    <cfRule type="duplicateValues" dxfId="33" priority="1"/>
    <cfRule type="duplicateValues" dxfId="32" priority="2"/>
    <cfRule type="duplicateValues" dxfId="31" priority="3"/>
    <cfRule type="duplicateValues" dxfId="30" priority="4"/>
    <cfRule type="duplicateValues" dxfId="29" priority="5"/>
    <cfRule type="duplicateValues" dxfId="28" priority="6"/>
  </conditionalFormatting>
  <conditionalFormatting sqref="B2">
    <cfRule type="duplicateValues" dxfId="27" priority="14"/>
  </conditionalFormatting>
  <conditionalFormatting sqref="B2:B5">
    <cfRule type="duplicateValues" dxfId="26" priority="13"/>
  </conditionalFormatting>
  <conditionalFormatting sqref="B2:B27">
    <cfRule type="duplicateValues" dxfId="25" priority="9"/>
    <cfRule type="duplicateValues" dxfId="24" priority="10"/>
    <cfRule type="duplicateValues" dxfId="23" priority="11"/>
    <cfRule type="duplicateValues" dxfId="22" priority="12"/>
  </conditionalFormatting>
  <conditionalFormatting sqref="B3:B5">
    <cfRule type="duplicateValues" dxfId="21" priority="8"/>
  </conditionalFormatting>
  <conditionalFormatting sqref="B6:B27">
    <cfRule type="duplicateValues" dxfId="20" priority="7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AE9C4-1BD4-476E-A773-308027CA7176}">
  <dimension ref="A1:K9"/>
  <sheetViews>
    <sheetView workbookViewId="0">
      <selection activeCell="A2" sqref="A2:A9"/>
    </sheetView>
  </sheetViews>
  <sheetFormatPr defaultRowHeight="15" x14ac:dyDescent="0.25"/>
  <cols>
    <col min="1" max="1" width="5.85546875" bestFit="1" customWidth="1"/>
    <col min="2" max="2" width="48.42578125" bestFit="1" customWidth="1"/>
    <col min="3" max="3" width="53.42578125" bestFit="1" customWidth="1"/>
    <col min="4" max="4" width="22.28515625" bestFit="1" customWidth="1"/>
    <col min="5" max="5" width="21.42578125" bestFit="1" customWidth="1"/>
    <col min="6" max="6" width="23" bestFit="1" customWidth="1"/>
    <col min="7" max="7" width="12.7109375" bestFit="1" customWidth="1"/>
    <col min="8" max="8" width="10.42578125" bestFit="1" customWidth="1"/>
    <col min="9" max="9" width="10.85546875" bestFit="1" customWidth="1"/>
    <col min="10" max="10" width="16.85546875" bestFit="1" customWidth="1"/>
    <col min="11" max="11" width="13.28515625" bestFit="1" customWidth="1"/>
  </cols>
  <sheetData>
    <row r="1" spans="1:1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2</v>
      </c>
      <c r="F1" s="2" t="s">
        <v>4</v>
      </c>
      <c r="G1" s="2" t="s">
        <v>2</v>
      </c>
      <c r="H1" s="2" t="s">
        <v>5</v>
      </c>
      <c r="I1" s="2" t="s">
        <v>6</v>
      </c>
      <c r="J1" s="2" t="s">
        <v>7</v>
      </c>
      <c r="K1" s="23" t="s">
        <v>140</v>
      </c>
    </row>
    <row r="2" spans="1:11" x14ac:dyDescent="0.25">
      <c r="A2" s="7">
        <v>1</v>
      </c>
      <c r="B2" s="7" t="s">
        <v>22</v>
      </c>
      <c r="C2" s="3" t="s">
        <v>23</v>
      </c>
      <c r="D2" s="4">
        <v>175.26923076923077</v>
      </c>
      <c r="E2" s="5" t="s">
        <v>24</v>
      </c>
      <c r="F2" s="6">
        <v>237.47399999999996</v>
      </c>
      <c r="G2" s="5" t="s">
        <v>11</v>
      </c>
      <c r="H2" s="6">
        <v>587.4163749999999</v>
      </c>
      <c r="I2" s="7">
        <v>2100</v>
      </c>
      <c r="J2" s="8">
        <v>1924.7307692307693</v>
      </c>
      <c r="K2" s="32">
        <f>(I2-D2)/D2</f>
        <v>10.981566820276498</v>
      </c>
    </row>
    <row r="3" spans="1:11" x14ac:dyDescent="0.25">
      <c r="A3" s="7">
        <v>2</v>
      </c>
      <c r="B3" s="7" t="s">
        <v>8</v>
      </c>
      <c r="C3" s="3" t="s">
        <v>9</v>
      </c>
      <c r="D3" s="4">
        <v>3162.8584615384616</v>
      </c>
      <c r="E3" s="5" t="s">
        <v>10</v>
      </c>
      <c r="F3" s="6">
        <v>3235.8830909090907</v>
      </c>
      <c r="G3" s="6" t="s">
        <v>11</v>
      </c>
      <c r="H3" s="6">
        <v>5945.7775000000001</v>
      </c>
      <c r="I3" s="7">
        <v>4280</v>
      </c>
      <c r="J3" s="8">
        <v>1117.1415384615384</v>
      </c>
      <c r="K3" s="32">
        <f>(I3-D3)/D3</f>
        <v>0.35320630121341062</v>
      </c>
    </row>
    <row r="4" spans="1:11" x14ac:dyDescent="0.25">
      <c r="A4" s="7">
        <v>3</v>
      </c>
      <c r="B4" s="7" t="s">
        <v>29</v>
      </c>
      <c r="C4" s="3" t="s">
        <v>30</v>
      </c>
      <c r="D4" s="6">
        <v>9011.8430769230763</v>
      </c>
      <c r="E4" s="5" t="s">
        <v>31</v>
      </c>
      <c r="F4" s="4">
        <v>8148.476545454545</v>
      </c>
      <c r="G4" s="5" t="s">
        <v>21</v>
      </c>
      <c r="H4" s="6">
        <v>10279.327499999999</v>
      </c>
      <c r="I4" s="7">
        <v>10800</v>
      </c>
      <c r="J4" s="8">
        <v>2651.523454545455</v>
      </c>
      <c r="K4" s="32">
        <f>(I4-F4)/F4</f>
        <v>0.32540112740761967</v>
      </c>
    </row>
    <row r="5" spans="1:11" x14ac:dyDescent="0.25">
      <c r="A5" s="7">
        <v>4</v>
      </c>
      <c r="B5" s="7" t="s">
        <v>15</v>
      </c>
      <c r="C5" s="3" t="s">
        <v>16</v>
      </c>
      <c r="D5" s="6">
        <v>1446.2215384615386</v>
      </c>
      <c r="E5" s="5" t="s">
        <v>17</v>
      </c>
      <c r="F5" s="4">
        <v>957.09218181818164</v>
      </c>
      <c r="G5" s="5" t="s">
        <v>11</v>
      </c>
      <c r="H5" s="6">
        <v>1505.541375</v>
      </c>
      <c r="I5" s="7">
        <v>1264</v>
      </c>
      <c r="J5" s="8">
        <v>306.90781818181836</v>
      </c>
      <c r="K5" s="32">
        <f>(I5-F5)/F5</f>
        <v>0.32066693680308578</v>
      </c>
    </row>
    <row r="6" spans="1:11" x14ac:dyDescent="0.25">
      <c r="A6" s="7">
        <v>5</v>
      </c>
      <c r="B6" s="7" t="s">
        <v>25</v>
      </c>
      <c r="C6" s="3" t="s">
        <v>26</v>
      </c>
      <c r="D6" s="6">
        <v>3038.6676923076921</v>
      </c>
      <c r="E6" s="5" t="s">
        <v>10</v>
      </c>
      <c r="F6" s="4">
        <v>2864.656058181818</v>
      </c>
      <c r="G6" s="5" t="s">
        <v>21</v>
      </c>
      <c r="H6" s="6">
        <v>3415.3882749999998</v>
      </c>
      <c r="I6" s="7">
        <v>3440</v>
      </c>
      <c r="J6" s="8">
        <v>575.34394181818197</v>
      </c>
      <c r="K6" s="32">
        <f>(I6-F6)/F6</f>
        <v>0.20084224079010368</v>
      </c>
    </row>
    <row r="7" spans="1:11" x14ac:dyDescent="0.25">
      <c r="A7" s="7">
        <v>6</v>
      </c>
      <c r="B7" s="7" t="s">
        <v>27</v>
      </c>
      <c r="C7" s="3" t="s">
        <v>28</v>
      </c>
      <c r="D7" s="4">
        <v>1352.0769230769231</v>
      </c>
      <c r="E7" s="5" t="s">
        <v>14</v>
      </c>
      <c r="F7" s="6">
        <v>1676.7103636363636</v>
      </c>
      <c r="G7" s="5" t="s">
        <v>11</v>
      </c>
      <c r="H7" s="6">
        <v>1395.513275</v>
      </c>
      <c r="I7" s="7">
        <v>1554</v>
      </c>
      <c r="J7" s="8">
        <v>201.92307692307691</v>
      </c>
      <c r="K7" s="32">
        <f>(I7-D7)/D7</f>
        <v>0.14934289127837513</v>
      </c>
    </row>
    <row r="8" spans="1:11" x14ac:dyDescent="0.25">
      <c r="A8" s="7">
        <v>7</v>
      </c>
      <c r="B8" s="7" t="s">
        <v>12</v>
      </c>
      <c r="C8" s="3" t="s">
        <v>13</v>
      </c>
      <c r="D8" s="6">
        <v>1718.6399999999999</v>
      </c>
      <c r="E8" s="5" t="s">
        <v>14</v>
      </c>
      <c r="F8" s="4">
        <v>1194.5661818181818</v>
      </c>
      <c r="G8" s="5" t="s">
        <v>11</v>
      </c>
      <c r="H8" s="6">
        <v>1615.716375</v>
      </c>
      <c r="I8" s="7">
        <v>1350</v>
      </c>
      <c r="J8" s="8">
        <v>155.4338181818182</v>
      </c>
      <c r="K8" s="32">
        <f>(I8-F8)/F8</f>
        <v>0.13011737695875597</v>
      </c>
    </row>
    <row r="9" spans="1:11" x14ac:dyDescent="0.25">
      <c r="A9" s="7">
        <v>8</v>
      </c>
      <c r="B9" s="7" t="s">
        <v>32</v>
      </c>
      <c r="C9" s="3" t="s">
        <v>26</v>
      </c>
      <c r="D9" s="6">
        <v>13456.670769230768</v>
      </c>
      <c r="E9" s="5" t="s">
        <v>10</v>
      </c>
      <c r="F9" s="9">
        <v>12915.779089090909</v>
      </c>
      <c r="G9" s="5" t="s">
        <v>21</v>
      </c>
      <c r="H9" s="4">
        <v>12872.075774999999</v>
      </c>
      <c r="I9" s="7">
        <v>13420</v>
      </c>
      <c r="J9" s="8">
        <v>547.92422500000066</v>
      </c>
      <c r="K9" s="32">
        <f>(I9-H9)/H9</f>
        <v>4.2566889332967796E-2</v>
      </c>
    </row>
  </sheetData>
  <sortState xmlns:xlrd2="http://schemas.microsoft.com/office/spreadsheetml/2017/richdata2" ref="A2:K9">
    <sortCondition descending="1" ref="K2:K9"/>
  </sortState>
  <conditionalFormatting sqref="B1">
    <cfRule type="duplicateValues" dxfId="19" priority="9"/>
    <cfRule type="duplicateValues" dxfId="18" priority="10"/>
    <cfRule type="duplicateValues" dxfId="17" priority="11"/>
    <cfRule type="duplicateValues" dxfId="16" priority="12"/>
  </conditionalFormatting>
  <conditionalFormatting sqref="B2:B3">
    <cfRule type="duplicateValues" dxfId="15" priority="8"/>
  </conditionalFormatting>
  <conditionalFormatting sqref="B2:B9">
    <cfRule type="duplicateValues" dxfId="14" priority="3"/>
    <cfRule type="duplicateValues" dxfId="13" priority="4"/>
    <cfRule type="duplicateValues" dxfId="12" priority="5"/>
    <cfRule type="duplicateValues" dxfId="11" priority="6"/>
  </conditionalFormatting>
  <conditionalFormatting sqref="B4">
    <cfRule type="duplicateValues" dxfId="10" priority="7"/>
  </conditionalFormatting>
  <conditionalFormatting sqref="B5">
    <cfRule type="duplicateValues" dxfId="9" priority="1"/>
  </conditionalFormatting>
  <conditionalFormatting sqref="B6:B9">
    <cfRule type="duplicateValues" dxfId="8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16742-7872-43AC-9026-E2524619B511}">
  <dimension ref="A1:L33"/>
  <sheetViews>
    <sheetView workbookViewId="0">
      <selection activeCell="A2" sqref="A2:A33"/>
    </sheetView>
  </sheetViews>
  <sheetFormatPr defaultRowHeight="15" x14ac:dyDescent="0.25"/>
  <cols>
    <col min="1" max="1" width="5.85546875" bestFit="1" customWidth="1"/>
    <col min="2" max="2" width="94" bestFit="1" customWidth="1"/>
    <col min="3" max="3" width="12.28515625" bestFit="1" customWidth="1"/>
    <col min="4" max="4" width="22.28515625" bestFit="1" customWidth="1"/>
    <col min="5" max="5" width="17.85546875" bestFit="1" customWidth="1"/>
    <col min="6" max="6" width="23" bestFit="1" customWidth="1"/>
    <col min="7" max="7" width="17.85546875" bestFit="1" customWidth="1"/>
    <col min="8" max="8" width="10.42578125" bestFit="1" customWidth="1"/>
    <col min="9" max="9" width="10.85546875" bestFit="1" customWidth="1"/>
    <col min="10" max="10" width="16.85546875" bestFit="1" customWidth="1"/>
    <col min="11" max="11" width="13.28515625" bestFit="1" customWidth="1"/>
    <col min="12" max="12" width="26.42578125" bestFit="1" customWidth="1"/>
  </cols>
  <sheetData>
    <row r="1" spans="1:12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2</v>
      </c>
      <c r="F1" s="2" t="s">
        <v>4</v>
      </c>
      <c r="G1" s="2" t="s">
        <v>2</v>
      </c>
      <c r="H1" s="2" t="s">
        <v>5</v>
      </c>
      <c r="I1" s="2" t="s">
        <v>6</v>
      </c>
      <c r="J1" s="2" t="s">
        <v>7</v>
      </c>
      <c r="K1" s="23" t="s">
        <v>140</v>
      </c>
      <c r="L1" s="16"/>
    </row>
    <row r="2" spans="1:12" x14ac:dyDescent="0.25">
      <c r="A2" s="5">
        <v>1</v>
      </c>
      <c r="B2" s="11" t="s">
        <v>225</v>
      </c>
      <c r="C2" s="3" t="s">
        <v>63</v>
      </c>
      <c r="D2" s="17">
        <v>211.31405222399997</v>
      </c>
      <c r="E2" s="3" t="s">
        <v>154</v>
      </c>
      <c r="F2" s="18">
        <v>153.16954545454544</v>
      </c>
      <c r="G2" s="3" t="s">
        <v>11</v>
      </c>
      <c r="H2" s="17">
        <v>404.56259999999997</v>
      </c>
      <c r="I2" s="3">
        <v>320</v>
      </c>
      <c r="J2" s="8">
        <v>166.83045454545456</v>
      </c>
      <c r="K2" s="24">
        <f>(I2-F2)/F2</f>
        <v>1.0891881545405717</v>
      </c>
      <c r="L2" s="33" t="s">
        <v>158</v>
      </c>
    </row>
    <row r="3" spans="1:12" x14ac:dyDescent="0.25">
      <c r="A3" s="5">
        <v>2</v>
      </c>
      <c r="B3" s="11" t="s">
        <v>227</v>
      </c>
      <c r="C3" s="3" t="s">
        <v>253</v>
      </c>
      <c r="D3" s="18">
        <v>1761.41445376</v>
      </c>
      <c r="E3" s="3" t="s">
        <v>252</v>
      </c>
      <c r="F3" s="17">
        <v>2212.710818181818</v>
      </c>
      <c r="G3" s="3" t="s">
        <v>11</v>
      </c>
      <c r="H3" s="17">
        <v>2219.989525</v>
      </c>
      <c r="I3" s="3">
        <v>2400</v>
      </c>
      <c r="J3" s="8">
        <v>638.58554623999999</v>
      </c>
      <c r="K3" s="24">
        <f>(I3-D3)/D3</f>
        <v>0.36254133425375529</v>
      </c>
      <c r="L3" s="16"/>
    </row>
    <row r="4" spans="1:12" x14ac:dyDescent="0.25">
      <c r="A4" s="5">
        <v>3</v>
      </c>
      <c r="B4" s="11" t="s">
        <v>217</v>
      </c>
      <c r="C4" s="3" t="s">
        <v>63</v>
      </c>
      <c r="D4" s="18">
        <v>1278.5567402239999</v>
      </c>
      <c r="E4" s="3" t="s">
        <v>243</v>
      </c>
      <c r="F4" s="17">
        <v>1458.6453636363635</v>
      </c>
      <c r="G4" s="3" t="s">
        <v>11</v>
      </c>
      <c r="H4" s="17">
        <v>1402.858275</v>
      </c>
      <c r="I4" s="3">
        <v>1725</v>
      </c>
      <c r="J4" s="8">
        <v>446.4432597760001</v>
      </c>
      <c r="K4" s="24">
        <f>(I4-D4)/D4</f>
        <v>0.34917751064984753</v>
      </c>
      <c r="L4" s="33" t="s">
        <v>239</v>
      </c>
    </row>
    <row r="5" spans="1:12" x14ac:dyDescent="0.25">
      <c r="A5" s="5">
        <v>4</v>
      </c>
      <c r="B5" s="3" t="s">
        <v>228</v>
      </c>
      <c r="C5" s="3" t="s">
        <v>63</v>
      </c>
      <c r="D5" s="17">
        <v>1278.8351513600001</v>
      </c>
      <c r="E5" s="3" t="s">
        <v>252</v>
      </c>
      <c r="F5" s="18">
        <v>1175.8708181818181</v>
      </c>
      <c r="G5" s="3" t="s">
        <v>21</v>
      </c>
      <c r="H5" s="17">
        <v>1322.063275</v>
      </c>
      <c r="I5" s="3">
        <v>1550</v>
      </c>
      <c r="J5" s="8">
        <v>374.12918181818191</v>
      </c>
      <c r="K5" s="24">
        <f>(I5-F5)/F5</f>
        <v>0.31817201008243107</v>
      </c>
      <c r="L5" s="33" t="s">
        <v>158</v>
      </c>
    </row>
    <row r="6" spans="1:12" x14ac:dyDescent="0.25">
      <c r="A6" s="5">
        <v>5</v>
      </c>
      <c r="B6" s="11" t="s">
        <v>219</v>
      </c>
      <c r="C6" s="3" t="s">
        <v>63</v>
      </c>
      <c r="D6" s="18">
        <v>1278.5567402239999</v>
      </c>
      <c r="E6" s="3" t="s">
        <v>249</v>
      </c>
      <c r="F6" s="17">
        <v>1569.3987272727272</v>
      </c>
      <c r="G6" s="3" t="s">
        <v>11</v>
      </c>
      <c r="H6" s="17">
        <v>1674.6232749999999</v>
      </c>
      <c r="I6" s="3">
        <v>1665</v>
      </c>
      <c r="J6" s="8">
        <v>386.4432597760001</v>
      </c>
      <c r="K6" s="24">
        <f>(I6-D6)/D6</f>
        <v>0.3022495972359398</v>
      </c>
      <c r="L6" s="16"/>
    </row>
    <row r="7" spans="1:12" x14ac:dyDescent="0.25">
      <c r="A7" s="5">
        <v>6</v>
      </c>
      <c r="B7" s="11" t="s">
        <v>214</v>
      </c>
      <c r="C7" s="3" t="s">
        <v>79</v>
      </c>
      <c r="D7" s="17">
        <v>2162.2151251455998</v>
      </c>
      <c r="E7" s="3" t="s">
        <v>249</v>
      </c>
      <c r="F7" s="18">
        <v>2118.4526363636364</v>
      </c>
      <c r="G7" s="3" t="s">
        <v>11</v>
      </c>
      <c r="H7" s="17">
        <v>2530.315775</v>
      </c>
      <c r="I7" s="3">
        <v>2690</v>
      </c>
      <c r="J7" s="8">
        <v>571.54736363636357</v>
      </c>
      <c r="K7" s="24">
        <f>(I7-F7)/F7</f>
        <v>0.26979473311116142</v>
      </c>
      <c r="L7" s="16"/>
    </row>
    <row r="8" spans="1:12" x14ac:dyDescent="0.25">
      <c r="A8" s="5">
        <v>7</v>
      </c>
      <c r="B8" s="3" t="s">
        <v>233</v>
      </c>
      <c r="C8" s="3" t="s">
        <v>63</v>
      </c>
      <c r="D8" s="17">
        <v>3469.0027545599996</v>
      </c>
      <c r="E8" s="3" t="s">
        <v>252</v>
      </c>
      <c r="F8" s="18">
        <v>3249.5508181818177</v>
      </c>
      <c r="G8" s="3" t="s">
        <v>11</v>
      </c>
      <c r="H8" s="17">
        <v>4127.8532749999995</v>
      </c>
      <c r="I8" s="3">
        <v>4125</v>
      </c>
      <c r="J8" s="8">
        <v>875.4491818181823</v>
      </c>
      <c r="K8" s="24">
        <f>(I8-F8)/F8</f>
        <v>0.26940621359724171</v>
      </c>
      <c r="L8" s="16"/>
    </row>
    <row r="9" spans="1:12" x14ac:dyDescent="0.25">
      <c r="A9" s="5">
        <v>8</v>
      </c>
      <c r="B9" s="3" t="s">
        <v>236</v>
      </c>
      <c r="C9" s="3" t="s">
        <v>63</v>
      </c>
      <c r="D9" s="17">
        <v>14104.30814976</v>
      </c>
      <c r="E9" s="3" t="s">
        <v>246</v>
      </c>
      <c r="F9" s="17">
        <v>15550.243545454545</v>
      </c>
      <c r="G9" s="3" t="s">
        <v>156</v>
      </c>
      <c r="H9" s="18">
        <v>13000.613274999998</v>
      </c>
      <c r="I9" s="3">
        <v>16500</v>
      </c>
      <c r="J9" s="8">
        <v>3499.3867250000021</v>
      </c>
      <c r="K9" s="24">
        <f>(I9-H9)/H9</f>
        <v>0.26917089609374623</v>
      </c>
      <c r="L9" s="33"/>
    </row>
    <row r="10" spans="1:12" x14ac:dyDescent="0.25">
      <c r="A10" s="5">
        <v>9</v>
      </c>
      <c r="B10" s="3" t="s">
        <v>229</v>
      </c>
      <c r="C10" s="3" t="s">
        <v>63</v>
      </c>
      <c r="D10" s="17">
        <v>5102.3295250175988</v>
      </c>
      <c r="E10" s="3" t="s">
        <v>252</v>
      </c>
      <c r="F10" s="18">
        <v>4474.9071818181819</v>
      </c>
      <c r="G10" s="3" t="s">
        <v>11</v>
      </c>
      <c r="H10" s="17">
        <v>5692.3382750000001</v>
      </c>
      <c r="I10" s="3">
        <v>5650</v>
      </c>
      <c r="J10" s="8">
        <v>1175.0928181818181</v>
      </c>
      <c r="K10" s="24">
        <f>(I10-F10)/F10</f>
        <v>0.26259602052893771</v>
      </c>
      <c r="L10" s="33" t="s">
        <v>158</v>
      </c>
    </row>
    <row r="11" spans="1:12" x14ac:dyDescent="0.25">
      <c r="A11" s="5">
        <v>10</v>
      </c>
      <c r="B11" s="3" t="s">
        <v>232</v>
      </c>
      <c r="C11" s="3" t="s">
        <v>63</v>
      </c>
      <c r="D11" s="17">
        <v>2355.3582105599999</v>
      </c>
      <c r="E11" s="3" t="s">
        <v>251</v>
      </c>
      <c r="F11" s="18">
        <v>2071.3235454545452</v>
      </c>
      <c r="G11" s="3" t="s">
        <v>11</v>
      </c>
      <c r="H11" s="17">
        <v>2335.6732750000001</v>
      </c>
      <c r="I11" s="3">
        <v>2600</v>
      </c>
      <c r="J11" s="8">
        <v>528.67645454545482</v>
      </c>
      <c r="K11" s="24">
        <f>(I11-F11)/F11</f>
        <v>0.25523605701563079</v>
      </c>
      <c r="L11" s="16"/>
    </row>
    <row r="12" spans="1:12" x14ac:dyDescent="0.25">
      <c r="A12" s="5">
        <v>11</v>
      </c>
      <c r="B12" s="11" t="s">
        <v>218</v>
      </c>
      <c r="C12" s="3" t="s">
        <v>63</v>
      </c>
      <c r="D12" s="18">
        <v>1705.7322265599998</v>
      </c>
      <c r="E12" s="3" t="s">
        <v>251</v>
      </c>
      <c r="F12" s="17">
        <v>1717.8553636363636</v>
      </c>
      <c r="G12" s="3" t="s">
        <v>11</v>
      </c>
      <c r="H12" s="17">
        <v>1748.073275</v>
      </c>
      <c r="I12" s="3">
        <v>2095</v>
      </c>
      <c r="J12" s="8">
        <v>389.26777344000016</v>
      </c>
      <c r="K12" s="24">
        <f>(I12-D12)/D12</f>
        <v>0.22821153717957707</v>
      </c>
      <c r="L12" s="33" t="s">
        <v>237</v>
      </c>
    </row>
    <row r="13" spans="1:12" x14ac:dyDescent="0.25">
      <c r="A13" s="5">
        <v>12</v>
      </c>
      <c r="B13" s="11" t="s">
        <v>222</v>
      </c>
      <c r="C13" s="3" t="s">
        <v>63</v>
      </c>
      <c r="D13" s="18">
        <v>963.30253056000004</v>
      </c>
      <c r="E13" s="3" t="s">
        <v>252</v>
      </c>
      <c r="F13" s="17">
        <v>1058.0480909090909</v>
      </c>
      <c r="G13" s="3" t="s">
        <v>11</v>
      </c>
      <c r="H13" s="17">
        <v>1324.2667749999998</v>
      </c>
      <c r="I13" s="3">
        <v>1160</v>
      </c>
      <c r="J13" s="8">
        <v>196.69746943999996</v>
      </c>
      <c r="K13" s="24">
        <f>(I13-D13)/D13</f>
        <v>0.20419075337179188</v>
      </c>
      <c r="L13" s="33" t="s">
        <v>240</v>
      </c>
    </row>
    <row r="14" spans="1:12" x14ac:dyDescent="0.25">
      <c r="A14" s="5">
        <v>13</v>
      </c>
      <c r="B14" s="11" t="s">
        <v>215</v>
      </c>
      <c r="C14" s="3" t="s">
        <v>79</v>
      </c>
      <c r="D14" s="18">
        <v>2122.8663512575999</v>
      </c>
      <c r="E14" s="3" t="s">
        <v>243</v>
      </c>
      <c r="F14" s="17">
        <v>2354.0980909090908</v>
      </c>
      <c r="G14" s="3" t="s">
        <v>11</v>
      </c>
      <c r="H14" s="17">
        <v>2607.4749999999999</v>
      </c>
      <c r="I14" s="3">
        <v>2460</v>
      </c>
      <c r="J14" s="8">
        <v>337.13364874240006</v>
      </c>
      <c r="K14" s="24">
        <f>(I14-D14)/D14</f>
        <v>0.15881058576423329</v>
      </c>
      <c r="L14" s="33" t="s">
        <v>237</v>
      </c>
    </row>
    <row r="15" spans="1:12" x14ac:dyDescent="0.25">
      <c r="A15" s="5">
        <v>14</v>
      </c>
      <c r="B15" s="11" t="s">
        <v>226</v>
      </c>
      <c r="C15" s="3" t="s">
        <v>79</v>
      </c>
      <c r="D15" s="18">
        <v>2393.4262932223996</v>
      </c>
      <c r="E15" s="3" t="s">
        <v>245</v>
      </c>
      <c r="F15" s="17">
        <v>3296.679909090909</v>
      </c>
      <c r="G15" s="3" t="s">
        <v>21</v>
      </c>
      <c r="H15" s="17">
        <v>2570.7132750000001</v>
      </c>
      <c r="I15" s="3">
        <v>2750</v>
      </c>
      <c r="J15" s="8">
        <v>356.57370677760036</v>
      </c>
      <c r="K15" s="24">
        <f>(I15-D15)/D15</f>
        <v>0.14898044188255569</v>
      </c>
      <c r="L15" s="33" t="s">
        <v>241</v>
      </c>
    </row>
    <row r="16" spans="1:12" x14ac:dyDescent="0.25">
      <c r="A16" s="5">
        <v>15</v>
      </c>
      <c r="B16" s="11" t="s">
        <v>211</v>
      </c>
      <c r="C16" s="3" t="s">
        <v>63</v>
      </c>
      <c r="D16" s="18">
        <v>3242.2832861439997</v>
      </c>
      <c r="E16" s="3" t="s">
        <v>243</v>
      </c>
      <c r="F16" s="17">
        <v>3650.1480909090906</v>
      </c>
      <c r="G16" s="3" t="s">
        <v>11</v>
      </c>
      <c r="H16" s="17">
        <v>4282.0982750000003</v>
      </c>
      <c r="I16" s="3">
        <v>3725</v>
      </c>
      <c r="J16" s="8">
        <v>482.7167138560003</v>
      </c>
      <c r="K16" s="24">
        <f>(I16-D16)/D16</f>
        <v>0.14888172045882156</v>
      </c>
      <c r="L16" s="16"/>
    </row>
    <row r="17" spans="1:12" x14ac:dyDescent="0.25">
      <c r="A17" s="5">
        <v>16</v>
      </c>
      <c r="B17" s="3" t="s">
        <v>231</v>
      </c>
      <c r="C17" s="3" t="s">
        <v>79</v>
      </c>
      <c r="D17" s="17">
        <v>3736.1660806655996</v>
      </c>
      <c r="E17" s="3" t="s">
        <v>154</v>
      </c>
      <c r="F17" s="18">
        <v>3414.5026363636362</v>
      </c>
      <c r="G17" s="3" t="s">
        <v>11</v>
      </c>
      <c r="H17" s="17">
        <v>3709.188275</v>
      </c>
      <c r="I17" s="3">
        <v>3900</v>
      </c>
      <c r="J17" s="8">
        <v>485.49736363636384</v>
      </c>
      <c r="K17" s="24">
        <f>(I17-F17)/F17</f>
        <v>0.1421868469117385</v>
      </c>
      <c r="L17" s="16"/>
    </row>
    <row r="18" spans="1:12" x14ac:dyDescent="0.25">
      <c r="A18" s="5">
        <v>17</v>
      </c>
      <c r="B18" s="11" t="s">
        <v>224</v>
      </c>
      <c r="C18" s="3" t="s">
        <v>79</v>
      </c>
      <c r="D18" s="17">
        <v>2171.5326178303999</v>
      </c>
      <c r="E18" s="3" t="s">
        <v>243</v>
      </c>
      <c r="F18" s="18">
        <v>2118.4526363636364</v>
      </c>
      <c r="G18" s="3" t="s">
        <v>11</v>
      </c>
      <c r="H18" s="17">
        <v>2313.6382749999998</v>
      </c>
      <c r="I18" s="3">
        <v>2400</v>
      </c>
      <c r="J18" s="8">
        <v>281.54736363636357</v>
      </c>
      <c r="K18" s="24">
        <f>(I18-F18)/F18</f>
        <v>0.13290236411404735</v>
      </c>
      <c r="L18" s="16"/>
    </row>
    <row r="19" spans="1:12" x14ac:dyDescent="0.25">
      <c r="A19" s="5">
        <v>18</v>
      </c>
      <c r="B19" s="5" t="s">
        <v>153</v>
      </c>
      <c r="C19" s="5" t="s">
        <v>63</v>
      </c>
      <c r="D19" s="4">
        <v>5076.9899949552</v>
      </c>
      <c r="E19" s="5" t="s">
        <v>155</v>
      </c>
      <c r="F19" s="6">
        <v>5368.5830000000005</v>
      </c>
      <c r="G19" s="6" t="s">
        <v>157</v>
      </c>
      <c r="H19" s="6">
        <v>5872.3274999999994</v>
      </c>
      <c r="I19" s="5">
        <v>5750</v>
      </c>
      <c r="J19" s="8">
        <v>673.01000504479998</v>
      </c>
      <c r="K19" s="24">
        <f>(I19-D19)/D19</f>
        <v>0.13256082949021819</v>
      </c>
      <c r="L19" s="16"/>
    </row>
    <row r="20" spans="1:12" x14ac:dyDescent="0.25">
      <c r="A20" s="5">
        <v>19</v>
      </c>
      <c r="B20" s="11" t="s">
        <v>216</v>
      </c>
      <c r="C20" s="3" t="s">
        <v>63</v>
      </c>
      <c r="D20" s="17">
        <v>2318.0511183359999</v>
      </c>
      <c r="E20" s="3" t="s">
        <v>250</v>
      </c>
      <c r="F20" s="18">
        <v>2165.5817272727268</v>
      </c>
      <c r="G20" s="3" t="s">
        <v>11</v>
      </c>
      <c r="H20" s="17">
        <v>2768.2203249999998</v>
      </c>
      <c r="I20" s="3">
        <v>2435</v>
      </c>
      <c r="J20" s="8">
        <v>269.41827272727323</v>
      </c>
      <c r="K20" s="24">
        <f>(I20-F20)/F20</f>
        <v>0.1244091919202565</v>
      </c>
      <c r="L20" s="33" t="s">
        <v>239</v>
      </c>
    </row>
    <row r="21" spans="1:12" x14ac:dyDescent="0.25">
      <c r="A21" s="5">
        <v>20</v>
      </c>
      <c r="B21" s="3" t="s">
        <v>230</v>
      </c>
      <c r="C21" s="3" t="s">
        <v>63</v>
      </c>
      <c r="D21" s="17">
        <v>2665.9722346239996</v>
      </c>
      <c r="E21" s="3" t="s">
        <v>43</v>
      </c>
      <c r="F21" s="17">
        <v>2775.9034545454542</v>
      </c>
      <c r="G21" s="3" t="s">
        <v>11</v>
      </c>
      <c r="H21" s="18">
        <v>2357.708275</v>
      </c>
      <c r="I21" s="3">
        <v>2650</v>
      </c>
      <c r="J21" s="8">
        <v>292.29172500000004</v>
      </c>
      <c r="K21" s="24">
        <f>(I21-H21)/H21</f>
        <v>0.12397281211561259</v>
      </c>
      <c r="L21" s="16"/>
    </row>
    <row r="22" spans="1:12" x14ac:dyDescent="0.25">
      <c r="A22" s="5">
        <v>21</v>
      </c>
      <c r="B22" s="3" t="s">
        <v>210</v>
      </c>
      <c r="C22" s="3" t="s">
        <v>79</v>
      </c>
      <c r="D22" s="18">
        <v>4326.3976889855994</v>
      </c>
      <c r="E22" s="3" t="s">
        <v>246</v>
      </c>
      <c r="F22" s="17">
        <v>4946.1980909090908</v>
      </c>
      <c r="G22" s="3" t="s">
        <v>11</v>
      </c>
      <c r="H22" s="17">
        <v>5255.3107749999999</v>
      </c>
      <c r="I22" s="3">
        <v>4845</v>
      </c>
      <c r="J22" s="8">
        <v>518.60231101440058</v>
      </c>
      <c r="K22" s="24">
        <f>(I22-D22)/D22</f>
        <v>0.11986931121350429</v>
      </c>
      <c r="L22" s="33" t="s">
        <v>139</v>
      </c>
    </row>
    <row r="23" spans="1:12" x14ac:dyDescent="0.25">
      <c r="A23" s="5">
        <v>22</v>
      </c>
      <c r="B23" s="5" t="s">
        <v>152</v>
      </c>
      <c r="C23" s="5" t="s">
        <v>63</v>
      </c>
      <c r="D23" s="6">
        <v>5381.7397827200002</v>
      </c>
      <c r="E23" s="5" t="s">
        <v>154</v>
      </c>
      <c r="F23" s="4">
        <v>5251.8239090909092</v>
      </c>
      <c r="G23" s="6" t="s">
        <v>156</v>
      </c>
      <c r="H23" s="6">
        <v>6243.2132750000001</v>
      </c>
      <c r="I23" s="5">
        <v>6000</v>
      </c>
      <c r="J23" s="8">
        <v>748.17609090909082</v>
      </c>
      <c r="K23" s="24">
        <f>(I23-D23)/D23</f>
        <v>0.11488110578388522</v>
      </c>
      <c r="L23" s="16"/>
    </row>
    <row r="24" spans="1:12" x14ac:dyDescent="0.25">
      <c r="A24" s="5">
        <v>23</v>
      </c>
      <c r="B24" s="3" t="s">
        <v>235</v>
      </c>
      <c r="C24" s="3" t="s">
        <v>63</v>
      </c>
      <c r="D24" s="18">
        <v>2303.1097207039998</v>
      </c>
      <c r="E24" s="3" t="s">
        <v>244</v>
      </c>
      <c r="F24" s="17">
        <v>2354.0980909090908</v>
      </c>
      <c r="G24" s="3" t="s">
        <v>21</v>
      </c>
      <c r="H24" s="17">
        <v>2460.5382749999999</v>
      </c>
      <c r="I24" s="3">
        <v>2490</v>
      </c>
      <c r="J24" s="8">
        <v>186.89027929600024</v>
      </c>
      <c r="K24" s="24">
        <f>(I24-D24)/D24</f>
        <v>8.1146928266566831E-2</v>
      </c>
      <c r="L24" s="33" t="s">
        <v>237</v>
      </c>
    </row>
    <row r="25" spans="1:12" x14ac:dyDescent="0.25">
      <c r="A25" s="5">
        <v>24</v>
      </c>
      <c r="B25" s="3" t="s">
        <v>234</v>
      </c>
      <c r="C25" s="3" t="s">
        <v>242</v>
      </c>
      <c r="D25" s="17">
        <v>6566.4380070143998</v>
      </c>
      <c r="E25" s="3" t="s">
        <v>243</v>
      </c>
      <c r="F25" s="18">
        <v>4474.9071818181819</v>
      </c>
      <c r="G25" s="3" t="s">
        <v>254</v>
      </c>
      <c r="H25" s="17">
        <v>5726.3456249999999</v>
      </c>
      <c r="I25" s="3">
        <v>4830</v>
      </c>
      <c r="J25" s="8">
        <v>355.09281818181807</v>
      </c>
      <c r="K25" s="24">
        <f>(I25-F25)/F25</f>
        <v>7.9351996310578599E-2</v>
      </c>
      <c r="L25" s="16"/>
    </row>
    <row r="26" spans="1:12" x14ac:dyDescent="0.25">
      <c r="A26" s="5">
        <v>25</v>
      </c>
      <c r="B26" s="11" t="s">
        <v>221</v>
      </c>
      <c r="C26" s="3" t="s">
        <v>247</v>
      </c>
      <c r="D26" s="18">
        <v>1297.3958937599998</v>
      </c>
      <c r="E26" s="3" t="s">
        <v>34</v>
      </c>
      <c r="F26" s="17">
        <v>1595.0605172727271</v>
      </c>
      <c r="G26" s="3" t="s">
        <v>11</v>
      </c>
      <c r="H26" s="17">
        <v>1479.980775</v>
      </c>
      <c r="I26" s="3">
        <v>1400</v>
      </c>
      <c r="J26" s="8">
        <v>102.60410624000019</v>
      </c>
      <c r="K26" s="24">
        <f>(I26-D26)/D26</f>
        <v>7.9084654679029323E-2</v>
      </c>
      <c r="L26" s="16"/>
    </row>
    <row r="27" spans="1:12" x14ac:dyDescent="0.25">
      <c r="A27" s="5">
        <v>26</v>
      </c>
      <c r="B27" s="11" t="s">
        <v>220</v>
      </c>
      <c r="C27" s="3" t="s">
        <v>63</v>
      </c>
      <c r="D27" s="18">
        <v>1278.5567402239999</v>
      </c>
      <c r="E27" s="3" t="s">
        <v>244</v>
      </c>
      <c r="F27" s="17">
        <v>1293.6935454545453</v>
      </c>
      <c r="G27" s="3" t="s">
        <v>21</v>
      </c>
      <c r="H27" s="17">
        <v>1395.513275</v>
      </c>
      <c r="I27" s="3">
        <v>1375</v>
      </c>
      <c r="J27" s="8">
        <v>96.443259776000104</v>
      </c>
      <c r="K27" s="24">
        <f>(I27-D27)/D27</f>
        <v>7.5431349068719067E-2</v>
      </c>
      <c r="L27" s="16"/>
    </row>
    <row r="28" spans="1:12" x14ac:dyDescent="0.25">
      <c r="A28" s="5">
        <v>27</v>
      </c>
      <c r="B28" s="3" t="s">
        <v>207</v>
      </c>
      <c r="C28" s="3" t="s">
        <v>242</v>
      </c>
      <c r="D28" s="17">
        <v>5393.4362088191992</v>
      </c>
      <c r="E28" s="3" t="s">
        <v>243</v>
      </c>
      <c r="F28" s="18">
        <v>2589.7435454545453</v>
      </c>
      <c r="G28" s="3" t="s">
        <v>11</v>
      </c>
      <c r="H28" s="17">
        <v>3918.1168000000002</v>
      </c>
      <c r="I28" s="3">
        <v>2770</v>
      </c>
      <c r="J28" s="8">
        <v>180.25645454545474</v>
      </c>
      <c r="K28" s="24">
        <f>(I28-F28)/F28</f>
        <v>6.9603978688096924E-2</v>
      </c>
      <c r="L28" s="16"/>
    </row>
    <row r="29" spans="1:12" x14ac:dyDescent="0.25">
      <c r="A29" s="5">
        <v>28</v>
      </c>
      <c r="B29" s="11" t="s">
        <v>212</v>
      </c>
      <c r="C29" s="3" t="s">
        <v>63</v>
      </c>
      <c r="D29" s="17">
        <v>3839.9391914239995</v>
      </c>
      <c r="E29" s="3" t="s">
        <v>243</v>
      </c>
      <c r="F29" s="17">
        <v>3697.2771818181818</v>
      </c>
      <c r="G29" s="3" t="s">
        <v>21</v>
      </c>
      <c r="H29" s="18">
        <v>3573.9668249999995</v>
      </c>
      <c r="I29" s="3">
        <v>3750</v>
      </c>
      <c r="J29" s="8">
        <v>176.03317500000048</v>
      </c>
      <c r="K29" s="24">
        <f>(I29-H29)/H29</f>
        <v>4.9254283438962952E-2</v>
      </c>
      <c r="L29" s="33" t="s">
        <v>238</v>
      </c>
    </row>
    <row r="30" spans="1:12" x14ac:dyDescent="0.25">
      <c r="A30" s="5">
        <v>29</v>
      </c>
      <c r="B30" s="3" t="s">
        <v>208</v>
      </c>
      <c r="C30" s="3" t="s">
        <v>63</v>
      </c>
      <c r="D30" s="17">
        <v>4992.8397056000003</v>
      </c>
      <c r="E30" s="3" t="s">
        <v>244</v>
      </c>
      <c r="F30" s="18">
        <v>4710.5526363636363</v>
      </c>
      <c r="G30" s="3" t="s">
        <v>11</v>
      </c>
      <c r="H30" s="17">
        <v>5060.668275</v>
      </c>
      <c r="I30" s="3">
        <v>4890</v>
      </c>
      <c r="J30" s="8">
        <v>179.44736363636366</v>
      </c>
      <c r="K30" s="24">
        <f>(I30-F30)/F30</f>
        <v>3.8094758192722386E-2</v>
      </c>
      <c r="L30" s="33" t="s">
        <v>237</v>
      </c>
    </row>
    <row r="31" spans="1:12" x14ac:dyDescent="0.25">
      <c r="A31" s="5">
        <v>30</v>
      </c>
      <c r="B31" s="11" t="s">
        <v>213</v>
      </c>
      <c r="C31" s="3" t="s">
        <v>247</v>
      </c>
      <c r="D31" s="17">
        <v>3710.2924057599994</v>
      </c>
      <c r="E31" s="3" t="s">
        <v>248</v>
      </c>
      <c r="F31" s="18">
        <v>3390.938090909091</v>
      </c>
      <c r="G31" s="3" t="s">
        <v>11</v>
      </c>
      <c r="H31" s="17">
        <v>4319.3741500000006</v>
      </c>
      <c r="I31" s="3">
        <v>3520</v>
      </c>
      <c r="J31" s="8">
        <v>129.06190909090901</v>
      </c>
      <c r="K31" s="24">
        <f>(I31-F31)/F31</f>
        <v>3.8060827308206105E-2</v>
      </c>
      <c r="L31" s="16"/>
    </row>
    <row r="32" spans="1:12" x14ac:dyDescent="0.25">
      <c r="A32" s="5">
        <v>31</v>
      </c>
      <c r="B32" s="3" t="s">
        <v>209</v>
      </c>
      <c r="C32" s="3" t="s">
        <v>63</v>
      </c>
      <c r="D32" s="18">
        <v>4907.1818794239989</v>
      </c>
      <c r="E32" s="3" t="s">
        <v>245</v>
      </c>
      <c r="F32" s="17">
        <v>5181.8435454545452</v>
      </c>
      <c r="G32" s="3" t="s">
        <v>11</v>
      </c>
      <c r="H32" s="17">
        <v>5449.9532749999998</v>
      </c>
      <c r="I32" s="3">
        <v>4990</v>
      </c>
      <c r="J32" s="8">
        <v>82.818120576001093</v>
      </c>
      <c r="K32" s="24">
        <f>(I32-D32)/D32</f>
        <v>1.6876920931596328E-2</v>
      </c>
      <c r="L32" s="33" t="s">
        <v>237</v>
      </c>
    </row>
    <row r="33" spans="1:12" x14ac:dyDescent="0.25">
      <c r="A33" s="5">
        <v>32</v>
      </c>
      <c r="B33" s="11" t="s">
        <v>223</v>
      </c>
      <c r="C33" s="3" t="s">
        <v>63</v>
      </c>
      <c r="D33" s="18">
        <v>4731.1332377599992</v>
      </c>
      <c r="E33" s="3" t="s">
        <v>154</v>
      </c>
      <c r="F33" s="17">
        <v>4828.3753636363635</v>
      </c>
      <c r="G33" s="3" t="s">
        <v>11</v>
      </c>
      <c r="H33" s="17">
        <v>4998.2357750000001</v>
      </c>
      <c r="I33" s="3">
        <v>4750</v>
      </c>
      <c r="J33" s="8">
        <v>18.866762240000753</v>
      </c>
      <c r="K33" s="24">
        <f>(I33-D33)/D33</f>
        <v>3.9877892445348683E-3</v>
      </c>
      <c r="L33" s="33" t="s">
        <v>139</v>
      </c>
    </row>
  </sheetData>
  <sortState xmlns:xlrd2="http://schemas.microsoft.com/office/spreadsheetml/2017/richdata2" ref="A2:L33">
    <sortCondition descending="1" ref="K2:K33"/>
  </sortState>
  <conditionalFormatting sqref="B1">
    <cfRule type="duplicateValues" dxfId="7" priority="5"/>
    <cfRule type="duplicateValues" dxfId="6" priority="6"/>
    <cfRule type="duplicateValues" dxfId="5" priority="7"/>
    <cfRule type="duplicateValues" dxfId="4" priority="8"/>
  </conditionalFormatting>
  <conditionalFormatting sqref="B2:B3">
    <cfRule type="duplicateValues" dxfId="3" priority="3"/>
    <cfRule type="duplicateValues" dxfId="2" priority="4"/>
  </conditionalFormatting>
  <conditionalFormatting sqref="B4:B33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</vt:lpstr>
      <vt:lpstr>Speaker JBL</vt:lpstr>
      <vt:lpstr>DJI</vt:lpstr>
      <vt:lpstr>Minelab</vt:lpstr>
      <vt:lpstr>Meta Glasses</vt:lpstr>
      <vt:lpstr>Trimmer</vt:lpstr>
      <vt:lpstr>Instax</vt:lpstr>
      <vt:lpstr>Canon</vt:lpstr>
      <vt:lpstr>Gamming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2026-06-08T13:35:50Z</dcterms:created>
  <dcterms:modified xsi:type="dcterms:W3CDTF">2026-06-19T11:25:49Z</dcterms:modified>
</cp:coreProperties>
</file>