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dd4d47be472dfe3/Desktop/Listing All Details/03-06-2026/"/>
    </mc:Choice>
  </mc:AlternateContent>
  <xr:revisionPtr revIDLastSave="508" documentId="8_{1B4BA137-B3DA-4A54-AB15-5701E7DD1665}" xr6:coauthVersionLast="47" xr6:coauthVersionMax="47" xr10:uidLastSave="{BB531000-60D7-4BFF-AC90-3A3ABFF56C1B}"/>
  <bookViews>
    <workbookView xWindow="20370" yWindow="-120" windowWidth="29040" windowHeight="17520" xr2:uid="{C88BCAEA-428F-4CF5-97F4-9AA02550A76F}"/>
  </bookViews>
  <sheets>
    <sheet name="Sheet1" sheetId="1" r:id="rId1"/>
    <sheet name="Sheet2" sheetId="2" r:id="rId2"/>
  </sheets>
  <definedNames>
    <definedName name="_xlnm._FilterDatabase" localSheetId="0" hidden="1">Sheet1!$A$1:$J$112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10" i="1" l="1"/>
  <c r="J111" i="1"/>
  <c r="J112" i="1"/>
  <c r="J109" i="1"/>
  <c r="J108" i="1"/>
  <c r="J107" i="1"/>
  <c r="J106" i="1"/>
  <c r="J105" i="1"/>
  <c r="J104" i="1"/>
  <c r="J103" i="1"/>
  <c r="J102" i="1"/>
  <c r="J101" i="1"/>
  <c r="J100" i="1"/>
  <c r="J56" i="1"/>
  <c r="J55" i="1"/>
  <c r="J47" i="1"/>
  <c r="J44" i="1"/>
  <c r="J43" i="1"/>
  <c r="J38" i="1"/>
  <c r="J35" i="1"/>
  <c r="J34" i="1"/>
  <c r="J33" i="1"/>
  <c r="J30" i="1"/>
  <c r="J29" i="1"/>
  <c r="J28" i="1"/>
  <c r="J27" i="1"/>
  <c r="J26" i="1"/>
  <c r="J23" i="1"/>
  <c r="J22" i="1"/>
  <c r="J20" i="1"/>
  <c r="J19" i="1"/>
  <c r="J18" i="1"/>
  <c r="J16" i="1"/>
  <c r="J15" i="1"/>
  <c r="J14" i="1"/>
  <c r="J13" i="1"/>
  <c r="J11" i="1"/>
  <c r="J10" i="1"/>
  <c r="J9" i="1"/>
  <c r="J4" i="1"/>
  <c r="J5" i="1"/>
  <c r="J6" i="1"/>
  <c r="J7" i="1"/>
  <c r="J8" i="1"/>
  <c r="J3" i="1"/>
  <c r="J2" i="1"/>
  <c r="D1" i="2"/>
  <c r="C1" i="2"/>
  <c r="B1" i="2"/>
</calcChain>
</file>

<file path=xl/sharedStrings.xml><?xml version="1.0" encoding="utf-8"?>
<sst xmlns="http://schemas.openxmlformats.org/spreadsheetml/2006/main" count="443" uniqueCount="164">
  <si>
    <t>Sr No</t>
  </si>
  <si>
    <t>item name</t>
  </si>
  <si>
    <t>DJI MAVIC 4 PRO CREATOR COMBO</t>
  </si>
  <si>
    <t>DJI MAVIC 4 PRO FLY MORE COMBO</t>
  </si>
  <si>
    <t>DJI MAVIC 4 PRO STANDARD</t>
  </si>
  <si>
    <t>DJI MINI 4 PRO 34 MINS</t>
  </si>
  <si>
    <t>DJI MINI 4 PRO 45 MINS</t>
  </si>
  <si>
    <t>DJI MINI 4 PRO STANDARD</t>
  </si>
  <si>
    <t>DJI MINI 4K FLY MORE COMBO</t>
  </si>
  <si>
    <t>DJI MINI 5 PRO FLY MORE COMBO 52 MINS</t>
  </si>
  <si>
    <t>DJI OSMO POCKET 3</t>
  </si>
  <si>
    <t>DJI OSMO POCKET 3 CREATOR COMBO</t>
  </si>
  <si>
    <t>DJI Mini 5 Pro Drone Fly More Combo Plus (DJI RC 2)</t>
  </si>
  <si>
    <t>DJI Mic Mini 2 (2 TX+ 1 RX+ Charging Case)</t>
  </si>
  <si>
    <t>DJI Osmo Action 6 Adventure Combo</t>
  </si>
  <si>
    <t>DJI Osmo Action 4 Standard Combo</t>
  </si>
  <si>
    <t>DJI Osmo Pocket 4 Creator Combo</t>
  </si>
  <si>
    <t>DJI Osmo Pocket 4 Standard Combo</t>
  </si>
  <si>
    <t>DJI Mini 4K Drone Fly More Combo</t>
  </si>
  <si>
    <t>DJI Osmo Nano Action Camera Standard Combo (128GB)</t>
  </si>
  <si>
    <t>DJI Osmo Action 5 Pro Adventure Combo</t>
  </si>
  <si>
    <t>DJI Lito X1 4K Drone</t>
  </si>
  <si>
    <t>DJI Osmo Action 6 Standard Combo</t>
  </si>
  <si>
    <t>DJI Osmo Mobile 7 Gimbal</t>
  </si>
  <si>
    <t>DJI Neo Drone</t>
  </si>
  <si>
    <t>DJI Lito X1 4K Drone Fly More Combo (DJI RC 2)</t>
  </si>
  <si>
    <t>DJI Neo 2 4K Drone</t>
  </si>
  <si>
    <t>DJI Osmo Mobile 8 Gimbal</t>
  </si>
  <si>
    <t>DJI Osmo 360 Adventure Combo</t>
  </si>
  <si>
    <t>DJI Osmo 360 Standard Combo</t>
  </si>
  <si>
    <t>DJI Mic 3 (2TX + 1 RX) &amp; Charging Case</t>
  </si>
  <si>
    <t>DJI Mini 4K Drone</t>
  </si>
  <si>
    <t>DJI Avata 360 8K Drone (DJI RC 2)</t>
  </si>
  <si>
    <t>DJI Mic Mini 2 (2 TX + 1 Mobile RX+ Charging Case)</t>
  </si>
  <si>
    <t>DJI Osmo Action 4 Adventure Combo</t>
  </si>
  <si>
    <t>DJI Osmo Mobile 8P Gimbal Standard Combo</t>
  </si>
  <si>
    <t>DJI Mic Mini 2 (1 TX + Mobile RX + Charging Case)</t>
  </si>
  <si>
    <t>DJI Lito 1 4K Drone</t>
  </si>
  <si>
    <t>DJI Neo 2 4K Drone Fly More Combo</t>
  </si>
  <si>
    <t>DJI Mic Mini Mobile Phone Adapter (Lightning)</t>
  </si>
  <si>
    <t>DJI Avata 360 8K Drone Fly More Combo (DJI RC 2)</t>
  </si>
  <si>
    <t>DJI Neo 2 4K Drone Fly More Combo (Drone Only)</t>
  </si>
  <si>
    <t>DJI Mic 3 (1TX + 1RX)</t>
  </si>
  <si>
    <t>DJI Air 3S Dual Camera Drone Fly More Combo (DJI RC 2)</t>
  </si>
  <si>
    <t>DJI Osmo Action 5 Pro Standard Combo</t>
  </si>
  <si>
    <t>DJI Osmo Action Multifunctional Charging Handle</t>
  </si>
  <si>
    <t>DJI Mic Mini 2 Transmitter</t>
  </si>
  <si>
    <t>DJI Pocket 4 Fill Light</t>
  </si>
  <si>
    <t>DJI Mic 3 Mobile Phone Adapter (Lightning)</t>
  </si>
  <si>
    <t>DJI Osmo Nano ND Filters (8/16/32)</t>
  </si>
  <si>
    <t>DJI Mic 3 Charging Case</t>
  </si>
  <si>
    <t>DJI RS 4 Mini Gimbal Combo</t>
  </si>
  <si>
    <t>DJI Osmo Pocket 3 Wide Angle Lens</t>
  </si>
  <si>
    <t>DJI Mic Mini 2 Multi-Colour Magnetic Front Covers</t>
  </si>
  <si>
    <t>DJI Mic Mini 2 Charging Case (1 TX + 1 Mobile RX)</t>
  </si>
  <si>
    <t>DJI Pocket 4 Battery Handle</t>
  </si>
  <si>
    <t>DJI RS 5 Gimbal</t>
  </si>
  <si>
    <t>DJI Osmo Nano Bi-directional Magnetic Ball Head Assembly</t>
  </si>
  <si>
    <t>DJI Osmo Nano Glass Lens Protector Cover</t>
  </si>
  <si>
    <t>DJI Osmo Pocket 3 Battery Handle</t>
  </si>
  <si>
    <t>DJI Mic Mini 2 Time Series Magnetic Cover</t>
  </si>
  <si>
    <t>DJI Mic 1 Mobile Phone Adapter (USB-C)</t>
  </si>
  <si>
    <t>DJI Mic 3 Multi-Colour Windscreens</t>
  </si>
  <si>
    <t>DJI Mic 3 Receiver</t>
  </si>
  <si>
    <t>DJI Mic Mini 2 Multi-Colour Windscreens</t>
  </si>
  <si>
    <t>DJI Mic Mini 2 Charging Case</t>
  </si>
  <si>
    <t>DJI Neo 2 Motion 4K Drone Fly More Combo</t>
  </si>
  <si>
    <t>DJI Lito 1 4K Drone Fly More Combo (DJI RC-N3)</t>
  </si>
  <si>
    <t>DJI Neo Two-Way Charging Hub</t>
  </si>
  <si>
    <t>DJI Lito Intelligent Flight Battery Plus</t>
  </si>
  <si>
    <t>DJI Avata 360 Two-Way Charging Hub</t>
  </si>
  <si>
    <t>DJI Avata 360 Replacement Lens Kit with Tools</t>
  </si>
  <si>
    <t>DJI Neo 2 Intelligent Flight Battery</t>
  </si>
  <si>
    <t>DJI Mini 5 Pro Intelligent Flight Battery Plus</t>
  </si>
  <si>
    <t>DJI Mini 4 Pro Intelligent Flight Battery</t>
  </si>
  <si>
    <t>DJI Propellers for Mini 4 Pro/Mini 3 Pro</t>
  </si>
  <si>
    <t>DJI Mini 3 Pro Intelligent Flight Battery</t>
  </si>
  <si>
    <t>DJI Neo Propellers</t>
  </si>
  <si>
    <t>DJI Neo Propeller Guard</t>
  </si>
  <si>
    <t>DJI Lito X1 2-Way Charge Hub</t>
  </si>
  <si>
    <t>DJI Lito X1 Intelligent Flight Battery</t>
  </si>
  <si>
    <t>DJI Lito Series 360° Propeller Guard</t>
  </si>
  <si>
    <t>DJI Lito 1 2-Way Charge Hub</t>
  </si>
  <si>
    <t>DJI Lito 1 Intelligent Flight Battery</t>
  </si>
  <si>
    <t>DJI Avata 360 Propellers</t>
  </si>
  <si>
    <t>DJI Avata 360 Intelligent Flight Battery</t>
  </si>
  <si>
    <t>DJI Avata 360 Replacement Lens Kit</t>
  </si>
  <si>
    <t>DJI Neo 2 Two-Way Charging Hub</t>
  </si>
  <si>
    <t>DJI Neo 2 Propellers</t>
  </si>
  <si>
    <t>DJI Neo 2 Propeller Guard</t>
  </si>
  <si>
    <t>DJI Mini 5 Pro ND Filters Set(ND8/32/128)</t>
  </si>
  <si>
    <t>DJI Mini 5 Pro Propellers</t>
  </si>
  <si>
    <t>DJI Mini 5 Pro Two-Way Charging Hub</t>
  </si>
  <si>
    <t>DJI Mini 5 Pro Intelligent Flight Battery</t>
  </si>
  <si>
    <t>DJI Air 3S ND Filter Set (ND8/32/128)</t>
  </si>
  <si>
    <t>DJI Air 3S Intelligent Flight Battery</t>
  </si>
  <si>
    <t>DJI Air 3 Series Propeller Guard</t>
  </si>
  <si>
    <t>DJI Air 3S Wide-angle Lens</t>
  </si>
  <si>
    <t>DJI Mini 3 Pro Intelligent Flight Battery Plus</t>
  </si>
  <si>
    <t>DJI Avata 360 8K Drone Motion Fly More Combo (DJI Goggles N3)</t>
  </si>
  <si>
    <t>DJI Neo 2 Fly More Combo</t>
  </si>
  <si>
    <t>After GST To AED (AUD Me)</t>
  </si>
  <si>
    <t>rubbermonkey.co.nz</t>
  </si>
  <si>
    <t>retravision.com.au</t>
  </si>
  <si>
    <t>photogear.co.nz</t>
  </si>
  <si>
    <t>digidirect.com.au</t>
  </si>
  <si>
    <t>jbhifi.co.nz</t>
  </si>
  <si>
    <t>harveynorman.com.au</t>
  </si>
  <si>
    <t>pbtech.co.nz</t>
  </si>
  <si>
    <t>anacondastores.com/en-au</t>
  </si>
  <si>
    <t>dronedepot.co.nz</t>
  </si>
  <si>
    <t>noelleeming.co.nz</t>
  </si>
  <si>
    <t>camerapro.com.au</t>
  </si>
  <si>
    <t>harveynorman.co.nz</t>
  </si>
  <si>
    <t>bigw.com.au</t>
  </si>
  <si>
    <t>mobileciti.com.au</t>
  </si>
  <si>
    <t>jbhifi.com.au</t>
  </si>
  <si>
    <t>themall.aucklandairport.co.nz</t>
  </si>
  <si>
    <t>cameraelectronic.com.au</t>
  </si>
  <si>
    <t>camerahouse.com.au</t>
  </si>
  <si>
    <t>superoffice.com.au</t>
  </si>
  <si>
    <t>lottedutyfree.com.au</t>
  </si>
  <si>
    <t>rubbermonkey.com.au</t>
  </si>
  <si>
    <t>camzilla.com.au</t>
  </si>
  <si>
    <t>heathcotes.co.nz</t>
  </si>
  <si>
    <t>nanobytesolutions.co.nz</t>
  </si>
  <si>
    <t>bunnings.com.au</t>
  </si>
  <si>
    <t>anacondastores.com/en-au (CLEARANCE)</t>
  </si>
  <si>
    <t>store.elkfishrobotics.com.au</t>
  </si>
  <si>
    <t>camera-warehouse.com.au</t>
  </si>
  <si>
    <t>kiwiquads.co.nz</t>
  </si>
  <si>
    <t>thewarehouse.co.nz</t>
  </si>
  <si>
    <t>mwave.com.au</t>
  </si>
  <si>
    <t>dicksmith.com.au</t>
  </si>
  <si>
    <t>thegoodguys.com.au</t>
  </si>
  <si>
    <t>US TO AED</t>
  </si>
  <si>
    <t>walmart.com</t>
  </si>
  <si>
    <t>bestbuy.com</t>
  </si>
  <si>
    <t>Sale Prices</t>
  </si>
  <si>
    <t>Old</t>
  </si>
  <si>
    <t>Insta360 X5 8K 360 Action Camera</t>
  </si>
  <si>
    <t>buymobile.com.au</t>
  </si>
  <si>
    <t>DJI Osmo Action 3 Standard Combo</t>
  </si>
  <si>
    <t>DJI SDR Transmission Combo</t>
  </si>
  <si>
    <t>DJI Osmo Mobile 7P Gimbal</t>
  </si>
  <si>
    <t>DJI Osmo Mobile 8P Gimbal Advanced Tracking Combo</t>
  </si>
  <si>
    <t>DJI Mini 4 Pro Fly More Combo Plus (DJI RC 2)</t>
  </si>
  <si>
    <t>DJI Air 3S Drone with RC-N3</t>
  </si>
  <si>
    <t>DJI RS 4</t>
  </si>
  <si>
    <t>DJI RS 4 Combo Gimbal</t>
  </si>
  <si>
    <t>DJI RS 4 Pro</t>
  </si>
  <si>
    <t>DJI RS 4 Mini Combo</t>
  </si>
  <si>
    <t>videopro.com.au</t>
  </si>
  <si>
    <t>priceme.co.nz</t>
  </si>
  <si>
    <t>-</t>
  </si>
  <si>
    <t>robertscamera.com</t>
  </si>
  <si>
    <t>bhphotovideo.com</t>
  </si>
  <si>
    <t>dronenerds.com</t>
  </si>
  <si>
    <t>adorama.com</t>
  </si>
  <si>
    <t>DJI Ronin RS 4 Pro Combo Stabiliser</t>
  </si>
  <si>
    <t>After GST To AED (NZD)</t>
  </si>
  <si>
    <t>Website (NZD)</t>
  </si>
  <si>
    <t>Website (AUD)</t>
  </si>
  <si>
    <t xml:space="preserve">Website (USD)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</si>
</sst>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00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2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2" fontId="0" fillId="3" borderId="1" xfId="0" applyNumberForma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/>
    </xf>
    <xf numFmtId="2" fontId="0" fillId="4" borderId="1" xfId="0" applyNumberFormat="1" applyFill="1" applyBorder="1" applyAlignment="1">
      <alignment horizontal="center" vertical="center"/>
    </xf>
    <xf numFmtId="2" fontId="0" fillId="5" borderId="1" xfId="0" applyNumberFormat="1" applyFill="1" applyBorder="1"/>
    <xf numFmtId="2" fontId="0" fillId="2" borderId="1" xfId="0" applyNumberFormat="1" applyFill="1" applyBorder="1"/>
    <xf numFmtId="0" fontId="0" fillId="0" borderId="1" xfId="0" applyBorder="1"/>
  </cellXfs>
  <cellStyles count="1">
    <cellStyle name="Normal" xfId="0" builtinId="0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56B844-2512-4EC1-950E-1D5F59AC3C08}">
  <dimension ref="A1:J112"/>
  <sheetViews>
    <sheetView tabSelected="1" zoomScaleNormal="100" workbookViewId="0">
      <selection activeCell="E18" sqref="E18"/>
    </sheetView>
  </sheetViews>
  <sheetFormatPr defaultRowHeight="15" x14ac:dyDescent="0.25"/>
  <cols>
    <col min="1" max="1" width="10.42578125" bestFit="1" customWidth="1"/>
    <col min="2" max="2" width="57.85546875" bestFit="1" customWidth="1"/>
    <col min="3" max="3" width="28.42578125" bestFit="1" customWidth="1"/>
    <col min="4" max="4" width="20.85546875" bestFit="1" customWidth="1"/>
    <col min="5" max="5" width="38.5703125" bestFit="1" customWidth="1"/>
    <col min="6" max="6" width="30.140625" bestFit="1" customWidth="1"/>
    <col min="7" max="7" width="18.7109375" bestFit="1" customWidth="1"/>
    <col min="8" max="8" width="15" bestFit="1" customWidth="1"/>
    <col min="9" max="9" width="15.42578125" bestFit="1" customWidth="1"/>
    <col min="10" max="10" width="15.140625" customWidth="1"/>
  </cols>
  <sheetData>
    <row r="1" spans="1:10" x14ac:dyDescent="0.25">
      <c r="A1" s="1" t="s">
        <v>0</v>
      </c>
      <c r="B1" s="1" t="s">
        <v>1</v>
      </c>
      <c r="C1" s="1" t="s">
        <v>161</v>
      </c>
      <c r="D1" s="1" t="s">
        <v>160</v>
      </c>
      <c r="E1" s="3" t="s">
        <v>162</v>
      </c>
      <c r="F1" s="3" t="s">
        <v>101</v>
      </c>
      <c r="G1" s="1" t="s">
        <v>163</v>
      </c>
      <c r="H1" s="1" t="s">
        <v>135</v>
      </c>
      <c r="I1" s="3" t="s">
        <v>138</v>
      </c>
      <c r="J1" s="3" t="s">
        <v>138</v>
      </c>
    </row>
    <row r="2" spans="1:10" x14ac:dyDescent="0.25">
      <c r="A2" s="8">
        <v>1</v>
      </c>
      <c r="B2" s="8" t="s">
        <v>2</v>
      </c>
      <c r="C2" s="8" t="s">
        <v>102</v>
      </c>
      <c r="D2" s="6">
        <v>12657.443076923077</v>
      </c>
      <c r="E2" s="7" t="s">
        <v>103</v>
      </c>
      <c r="F2" s="9">
        <v>12105.896181818182</v>
      </c>
      <c r="G2" s="7" t="s">
        <v>136</v>
      </c>
      <c r="H2" s="6">
        <v>13551.525</v>
      </c>
      <c r="I2" s="6">
        <v>11200</v>
      </c>
      <c r="J2" s="10">
        <f>I2-F2</f>
        <v>-905.8961818181815</v>
      </c>
    </row>
    <row r="3" spans="1:10" x14ac:dyDescent="0.25">
      <c r="A3" s="8">
        <v>2</v>
      </c>
      <c r="B3" s="8" t="s">
        <v>3</v>
      </c>
      <c r="C3" s="8" t="s">
        <v>104</v>
      </c>
      <c r="D3" s="6">
        <v>9492.581538461538</v>
      </c>
      <c r="E3" s="7" t="s">
        <v>103</v>
      </c>
      <c r="F3" s="9">
        <v>9223.0876363636362</v>
      </c>
      <c r="G3" s="7" t="s">
        <v>136</v>
      </c>
      <c r="H3" s="6">
        <v>10462.952499999999</v>
      </c>
      <c r="I3" s="6">
        <v>8200</v>
      </c>
      <c r="J3" s="10">
        <f>I3-F3</f>
        <v>-1023.0876363636362</v>
      </c>
    </row>
    <row r="4" spans="1:10" x14ac:dyDescent="0.25">
      <c r="A4" s="8">
        <v>3</v>
      </c>
      <c r="B4" s="8" t="s">
        <v>4</v>
      </c>
      <c r="C4" s="8" t="s">
        <v>104</v>
      </c>
      <c r="D4" s="6">
        <v>7439.4276923076923</v>
      </c>
      <c r="E4" s="7" t="s">
        <v>103</v>
      </c>
      <c r="F4" s="9">
        <v>6881.6961818181817</v>
      </c>
      <c r="G4" s="7" t="s">
        <v>136</v>
      </c>
      <c r="H4" s="6">
        <v>8075.8274999999994</v>
      </c>
      <c r="I4" s="6">
        <v>6260</v>
      </c>
      <c r="J4" s="10">
        <f t="shared" ref="J4:J8" si="0">I4-F4</f>
        <v>-621.69618181818169</v>
      </c>
    </row>
    <row r="5" spans="1:10" x14ac:dyDescent="0.25">
      <c r="A5" s="8">
        <v>4</v>
      </c>
      <c r="B5" s="8" t="s">
        <v>5</v>
      </c>
      <c r="C5" s="8"/>
      <c r="D5" s="6">
        <v>0</v>
      </c>
      <c r="E5" s="7" t="s">
        <v>105</v>
      </c>
      <c r="F5" s="9">
        <v>2870.9353636363635</v>
      </c>
      <c r="G5" s="7" t="s">
        <v>136</v>
      </c>
      <c r="H5" s="6">
        <v>4036.0774999999999</v>
      </c>
      <c r="I5" s="6">
        <v>2650</v>
      </c>
      <c r="J5" s="10">
        <f t="shared" si="0"/>
        <v>-220.93536363636349</v>
      </c>
    </row>
    <row r="6" spans="1:10" x14ac:dyDescent="0.25">
      <c r="A6" s="8">
        <v>5</v>
      </c>
      <c r="B6" s="8" t="s">
        <v>6</v>
      </c>
      <c r="C6" s="8"/>
      <c r="D6" s="6">
        <v>0</v>
      </c>
      <c r="E6" s="7" t="s">
        <v>105</v>
      </c>
      <c r="F6" s="9">
        <v>2870.9353636363635</v>
      </c>
      <c r="G6" s="7" t="s">
        <v>136</v>
      </c>
      <c r="H6" s="6">
        <v>4403.3274999999994</v>
      </c>
      <c r="I6" s="6">
        <v>2850</v>
      </c>
      <c r="J6" s="10">
        <f t="shared" si="0"/>
        <v>-20.935363636363491</v>
      </c>
    </row>
    <row r="7" spans="1:10" x14ac:dyDescent="0.25">
      <c r="A7" s="8">
        <v>6</v>
      </c>
      <c r="B7" s="8" t="s">
        <v>7</v>
      </c>
      <c r="C7" s="8"/>
      <c r="D7" s="6">
        <v>0</v>
      </c>
      <c r="E7" s="7" t="s">
        <v>105</v>
      </c>
      <c r="F7" s="9">
        <v>2253.5299090909093</v>
      </c>
      <c r="G7" s="7" t="s">
        <v>136</v>
      </c>
      <c r="H7" s="6">
        <v>4403.3274999999994</v>
      </c>
      <c r="I7" s="6">
        <v>2500</v>
      </c>
      <c r="J7" s="11">
        <f t="shared" si="0"/>
        <v>246.47009090909069</v>
      </c>
    </row>
    <row r="8" spans="1:10" x14ac:dyDescent="0.25">
      <c r="A8" s="8">
        <v>7</v>
      </c>
      <c r="B8" s="8" t="s">
        <v>8</v>
      </c>
      <c r="C8" s="8" t="s">
        <v>106</v>
      </c>
      <c r="D8" s="6">
        <v>1360.0892307692309</v>
      </c>
      <c r="E8" s="7" t="s">
        <v>107</v>
      </c>
      <c r="F8" s="9">
        <v>1158.8225454545454</v>
      </c>
      <c r="G8" s="7" t="s">
        <v>136</v>
      </c>
      <c r="H8" s="6">
        <v>2166.591375</v>
      </c>
      <c r="I8" s="6">
        <v>1400</v>
      </c>
      <c r="J8" s="11">
        <f t="shared" si="0"/>
        <v>241.17745454545457</v>
      </c>
    </row>
    <row r="9" spans="1:10" x14ac:dyDescent="0.25">
      <c r="A9" s="8">
        <v>8</v>
      </c>
      <c r="B9" s="8" t="s">
        <v>9</v>
      </c>
      <c r="C9" s="8" t="s">
        <v>108</v>
      </c>
      <c r="D9" s="9">
        <v>3242.9815384615385</v>
      </c>
      <c r="E9" s="7" t="s">
        <v>105</v>
      </c>
      <c r="F9" s="6">
        <v>3369.6089999999999</v>
      </c>
      <c r="G9" s="7" t="s">
        <v>136</v>
      </c>
      <c r="H9" s="6">
        <v>3999.3525</v>
      </c>
      <c r="I9" s="6">
        <v>3450</v>
      </c>
      <c r="J9" s="11">
        <f>I9-D9</f>
        <v>207.01846153846145</v>
      </c>
    </row>
    <row r="10" spans="1:10" x14ac:dyDescent="0.25">
      <c r="A10" s="8">
        <v>9</v>
      </c>
      <c r="B10" s="8" t="s">
        <v>10</v>
      </c>
      <c r="C10" s="8" t="s">
        <v>106</v>
      </c>
      <c r="D10" s="6">
        <v>1620.4892307692307</v>
      </c>
      <c r="E10" s="7" t="s">
        <v>107</v>
      </c>
      <c r="F10" s="9">
        <v>1610.0034545454546</v>
      </c>
      <c r="G10" s="7" t="s">
        <v>136</v>
      </c>
      <c r="H10" s="6">
        <v>1659.6027499999998</v>
      </c>
      <c r="I10" s="6">
        <v>1260</v>
      </c>
      <c r="J10" s="10">
        <f>I10-F10</f>
        <v>-350.00345454545459</v>
      </c>
    </row>
    <row r="11" spans="1:10" x14ac:dyDescent="0.25">
      <c r="A11" s="8">
        <v>10</v>
      </c>
      <c r="B11" s="8" t="s">
        <v>11</v>
      </c>
      <c r="C11" s="8" t="s">
        <v>104</v>
      </c>
      <c r="D11" s="9">
        <v>1840.8276923076924</v>
      </c>
      <c r="E11" s="7" t="s">
        <v>109</v>
      </c>
      <c r="F11" s="6">
        <v>2013.691636363636</v>
      </c>
      <c r="G11" s="7" t="s">
        <v>136</v>
      </c>
      <c r="H11" s="6">
        <v>2144.7399999999998</v>
      </c>
      <c r="I11" s="6">
        <v>1680</v>
      </c>
      <c r="J11" s="10">
        <f>I11-D11</f>
        <v>-160.82769230769236</v>
      </c>
    </row>
    <row r="12" spans="1:10" x14ac:dyDescent="0.25">
      <c r="A12" s="2">
        <v>11</v>
      </c>
      <c r="B12" s="2" t="s">
        <v>12</v>
      </c>
      <c r="C12" s="2" t="s">
        <v>110</v>
      </c>
      <c r="D12" s="9">
        <v>3996.1384615384613</v>
      </c>
      <c r="E12" s="7" t="s">
        <v>107</v>
      </c>
      <c r="F12" s="6">
        <v>4269.5961818181822</v>
      </c>
      <c r="G12" s="5" t="s">
        <v>136</v>
      </c>
      <c r="H12" s="4">
        <v>4660.4025000000001</v>
      </c>
      <c r="I12" s="4"/>
      <c r="J12" s="12"/>
    </row>
    <row r="13" spans="1:10" x14ac:dyDescent="0.25">
      <c r="A13" s="8">
        <v>12</v>
      </c>
      <c r="B13" s="8" t="s">
        <v>13</v>
      </c>
      <c r="C13" s="8" t="s">
        <v>111</v>
      </c>
      <c r="D13" s="9">
        <v>258.39692307692309</v>
      </c>
      <c r="E13" s="7" t="s">
        <v>112</v>
      </c>
      <c r="F13" s="6">
        <v>301.57881818181818</v>
      </c>
      <c r="G13" s="7" t="s">
        <v>136</v>
      </c>
      <c r="H13" s="6">
        <v>609.59827500000006</v>
      </c>
      <c r="I13" s="6">
        <v>265</v>
      </c>
      <c r="J13" s="11">
        <f>I13-D13</f>
        <v>6.6030769230769124</v>
      </c>
    </row>
    <row r="14" spans="1:10" x14ac:dyDescent="0.25">
      <c r="A14" s="8">
        <v>13</v>
      </c>
      <c r="B14" s="8" t="s">
        <v>14</v>
      </c>
      <c r="C14" s="8" t="s">
        <v>113</v>
      </c>
      <c r="D14" s="9">
        <v>1920.9507692307691</v>
      </c>
      <c r="E14" s="7" t="s">
        <v>114</v>
      </c>
      <c r="F14" s="6">
        <v>1992.3199090909091</v>
      </c>
      <c r="G14" s="7" t="s">
        <v>137</v>
      </c>
      <c r="H14" s="6">
        <v>1968.46</v>
      </c>
      <c r="I14" s="6">
        <v>1650</v>
      </c>
      <c r="J14" s="10">
        <f>I14-D14</f>
        <v>-270.95076923076908</v>
      </c>
    </row>
    <row r="15" spans="1:10" x14ac:dyDescent="0.25">
      <c r="A15" s="8">
        <v>14</v>
      </c>
      <c r="B15" s="8" t="s">
        <v>15</v>
      </c>
      <c r="C15" s="8" t="s">
        <v>104</v>
      </c>
      <c r="D15" s="9">
        <v>779.1969230769231</v>
      </c>
      <c r="E15" s="7" t="s">
        <v>105</v>
      </c>
      <c r="F15" s="6">
        <v>822.0753627272727</v>
      </c>
      <c r="G15" s="7" t="s">
        <v>137</v>
      </c>
      <c r="H15" s="6">
        <v>877.72749999999996</v>
      </c>
      <c r="I15" s="6">
        <v>2050</v>
      </c>
      <c r="J15" s="11">
        <f>I15-D15</f>
        <v>1270.8030769230768</v>
      </c>
    </row>
    <row r="16" spans="1:10" x14ac:dyDescent="0.25">
      <c r="A16" s="8">
        <v>15</v>
      </c>
      <c r="B16" s="8" t="s">
        <v>16</v>
      </c>
      <c r="C16" s="8" t="s">
        <v>106</v>
      </c>
      <c r="D16" s="6">
        <v>2301.5353846153844</v>
      </c>
      <c r="E16" s="7" t="s">
        <v>115</v>
      </c>
      <c r="F16" s="9">
        <v>2274.901636363636</v>
      </c>
      <c r="G16" s="7" t="s">
        <v>136</v>
      </c>
      <c r="H16" s="6">
        <v>3301.5774999999999</v>
      </c>
      <c r="I16" s="6">
        <v>2050</v>
      </c>
      <c r="J16" s="10">
        <f>I16-F16</f>
        <v>-224.90163636363604</v>
      </c>
    </row>
    <row r="17" spans="1:10" x14ac:dyDescent="0.25">
      <c r="A17" s="2">
        <v>16</v>
      </c>
      <c r="B17" s="2" t="s">
        <v>17</v>
      </c>
      <c r="C17" s="2" t="s">
        <v>106</v>
      </c>
      <c r="D17" s="6">
        <v>1860.8584615384614</v>
      </c>
      <c r="E17" s="7" t="s">
        <v>116</v>
      </c>
      <c r="F17" s="9">
        <v>1826.0953636363636</v>
      </c>
      <c r="G17" s="5" t="s">
        <v>136</v>
      </c>
      <c r="H17" s="4">
        <v>2934.3274999999999</v>
      </c>
      <c r="I17" s="4"/>
      <c r="J17" s="12"/>
    </row>
    <row r="18" spans="1:10" x14ac:dyDescent="0.25">
      <c r="A18" s="8">
        <v>17</v>
      </c>
      <c r="B18" s="8" t="s">
        <v>18</v>
      </c>
      <c r="C18" s="8" t="s">
        <v>102</v>
      </c>
      <c r="D18" s="9">
        <v>1360.0692000000001</v>
      </c>
      <c r="E18" s="7" t="s">
        <v>112</v>
      </c>
      <c r="F18" s="6">
        <v>1469.899909090909</v>
      </c>
      <c r="G18" s="7" t="s">
        <v>136</v>
      </c>
      <c r="H18" s="6">
        <v>2166.591375</v>
      </c>
      <c r="I18" s="6">
        <v>1400</v>
      </c>
      <c r="J18" s="11">
        <f>I18-D18</f>
        <v>39.930799999999863</v>
      </c>
    </row>
    <row r="19" spans="1:10" x14ac:dyDescent="0.25">
      <c r="A19" s="8">
        <v>18</v>
      </c>
      <c r="B19" s="8" t="s">
        <v>19</v>
      </c>
      <c r="C19" s="8" t="s">
        <v>111</v>
      </c>
      <c r="D19" s="9">
        <v>1340.0584615384616</v>
      </c>
      <c r="E19" s="7" t="s">
        <v>116</v>
      </c>
      <c r="F19" s="6">
        <v>1398.6608181818181</v>
      </c>
      <c r="G19" s="7" t="s">
        <v>136</v>
      </c>
      <c r="H19" s="6">
        <v>1502.0525</v>
      </c>
      <c r="I19" s="6">
        <v>1150</v>
      </c>
      <c r="J19" s="10">
        <f>I19-D19</f>
        <v>-190.05846153846164</v>
      </c>
    </row>
    <row r="20" spans="1:10" x14ac:dyDescent="0.25">
      <c r="A20" s="8">
        <v>19</v>
      </c>
      <c r="B20" s="8" t="s">
        <v>20</v>
      </c>
      <c r="C20" s="8" t="s">
        <v>117</v>
      </c>
      <c r="D20" s="9">
        <v>1530.5911384615385</v>
      </c>
      <c r="E20" s="7" t="s">
        <v>112</v>
      </c>
      <c r="F20" s="6">
        <v>1602.8795454545455</v>
      </c>
      <c r="G20" s="7" t="s">
        <v>137</v>
      </c>
      <c r="H20" s="6">
        <v>1538.7774999999999</v>
      </c>
      <c r="I20" s="6">
        <v>1590</v>
      </c>
      <c r="J20" s="11">
        <f>I20-D20</f>
        <v>59.408861538461451</v>
      </c>
    </row>
    <row r="21" spans="1:10" x14ac:dyDescent="0.25">
      <c r="A21" s="8">
        <v>20</v>
      </c>
      <c r="B21" s="8" t="s">
        <v>21</v>
      </c>
      <c r="C21" s="8" t="s">
        <v>106</v>
      </c>
      <c r="D21" s="6">
        <v>1560.396923076923</v>
      </c>
      <c r="E21" s="7" t="s">
        <v>115</v>
      </c>
      <c r="F21" s="9">
        <v>1467.5252727272725</v>
      </c>
      <c r="G21" s="7" t="s">
        <v>136</v>
      </c>
      <c r="H21" s="6">
        <v>2203.4632750000001</v>
      </c>
      <c r="I21" s="6" t="s">
        <v>139</v>
      </c>
      <c r="J21" s="12"/>
    </row>
    <row r="22" spans="1:10" x14ac:dyDescent="0.25">
      <c r="A22" s="8">
        <v>21</v>
      </c>
      <c r="B22" s="8" t="s">
        <v>22</v>
      </c>
      <c r="C22" s="8" t="s">
        <v>106</v>
      </c>
      <c r="D22" s="9">
        <v>1540.3661538461538</v>
      </c>
      <c r="E22" s="7" t="s">
        <v>107</v>
      </c>
      <c r="F22" s="6">
        <v>1586.2570909090907</v>
      </c>
      <c r="G22" s="7" t="s">
        <v>137</v>
      </c>
      <c r="H22" s="6">
        <v>1601.21</v>
      </c>
      <c r="I22" s="6">
        <v>1350</v>
      </c>
      <c r="J22" s="10">
        <f>I22-D22</f>
        <v>-190.36615384615379</v>
      </c>
    </row>
    <row r="23" spans="1:10" x14ac:dyDescent="0.25">
      <c r="A23" s="8">
        <v>22</v>
      </c>
      <c r="B23" s="8" t="s">
        <v>23</v>
      </c>
      <c r="C23" s="8" t="s">
        <v>111</v>
      </c>
      <c r="D23" s="6">
        <v>268.41230769230765</v>
      </c>
      <c r="E23" s="7" t="s">
        <v>118</v>
      </c>
      <c r="F23" s="9">
        <v>235.089</v>
      </c>
      <c r="G23" s="7" t="s">
        <v>137</v>
      </c>
      <c r="H23" s="6">
        <v>275.4375</v>
      </c>
      <c r="I23" s="6">
        <v>220</v>
      </c>
      <c r="J23" s="10">
        <f>I23-F23</f>
        <v>-15.088999999999999</v>
      </c>
    </row>
    <row r="24" spans="1:10" x14ac:dyDescent="0.25">
      <c r="A24" s="8">
        <v>23</v>
      </c>
      <c r="B24" s="8" t="s">
        <v>24</v>
      </c>
      <c r="C24" s="8" t="s">
        <v>111</v>
      </c>
      <c r="D24" s="9">
        <v>588.90461538461545</v>
      </c>
      <c r="E24" s="7" t="s">
        <v>116</v>
      </c>
      <c r="F24" s="6">
        <v>710.01627272727274</v>
      </c>
      <c r="G24" s="7" t="s">
        <v>136</v>
      </c>
      <c r="H24" s="6">
        <v>730.82749999999999</v>
      </c>
      <c r="I24" s="6" t="s">
        <v>139</v>
      </c>
      <c r="J24" s="12"/>
    </row>
    <row r="25" spans="1:10" x14ac:dyDescent="0.25">
      <c r="A25" s="8">
        <v>24</v>
      </c>
      <c r="B25" s="8" t="s">
        <v>25</v>
      </c>
      <c r="C25" s="8" t="s">
        <v>111</v>
      </c>
      <c r="D25" s="6">
        <v>2662.0892307692307</v>
      </c>
      <c r="E25" s="7" t="s">
        <v>115</v>
      </c>
      <c r="F25" s="9">
        <v>2536.1116363636365</v>
      </c>
      <c r="G25" s="7" t="s">
        <v>136</v>
      </c>
      <c r="H25" s="6">
        <v>3856.125</v>
      </c>
      <c r="I25" s="6"/>
      <c r="J25" s="12"/>
    </row>
    <row r="26" spans="1:10" x14ac:dyDescent="0.25">
      <c r="A26" s="8">
        <v>25</v>
      </c>
      <c r="B26" s="8" t="s">
        <v>26</v>
      </c>
      <c r="C26" s="8" t="s">
        <v>106</v>
      </c>
      <c r="D26" s="9">
        <v>959.47384615384624</v>
      </c>
      <c r="E26" s="7" t="s">
        <v>119</v>
      </c>
      <c r="F26" s="6">
        <v>971.22627272727266</v>
      </c>
      <c r="G26" s="7" t="s">
        <v>136</v>
      </c>
      <c r="H26" s="6">
        <v>2199.8274999999999</v>
      </c>
      <c r="I26" s="6">
        <v>1250</v>
      </c>
      <c r="J26" s="11">
        <f>I26-D26</f>
        <v>290.52615384615376</v>
      </c>
    </row>
    <row r="27" spans="1:10" x14ac:dyDescent="0.25">
      <c r="A27" s="8">
        <v>26</v>
      </c>
      <c r="B27" s="8" t="s">
        <v>27</v>
      </c>
      <c r="C27" s="8" t="s">
        <v>106</v>
      </c>
      <c r="D27" s="6">
        <v>458.70461538461541</v>
      </c>
      <c r="E27" s="7" t="s">
        <v>105</v>
      </c>
      <c r="F27" s="9">
        <v>422.68527272727272</v>
      </c>
      <c r="G27" s="7" t="s">
        <v>136</v>
      </c>
      <c r="H27" s="6">
        <v>547.20249999999999</v>
      </c>
      <c r="I27" s="6">
        <v>365</v>
      </c>
      <c r="J27" s="10">
        <f>I27-F27</f>
        <v>-57.685272727272718</v>
      </c>
    </row>
    <row r="28" spans="1:10" x14ac:dyDescent="0.25">
      <c r="A28" s="8">
        <v>27</v>
      </c>
      <c r="B28" s="8" t="s">
        <v>28</v>
      </c>
      <c r="C28" s="8" t="s">
        <v>102</v>
      </c>
      <c r="D28" s="6">
        <v>2121.2584615384612</v>
      </c>
      <c r="E28" s="7" t="s">
        <v>109</v>
      </c>
      <c r="F28" s="6">
        <v>1968.5735454545452</v>
      </c>
      <c r="G28" s="7" t="s">
        <v>137</v>
      </c>
      <c r="H28" s="9">
        <v>1795.8525</v>
      </c>
      <c r="I28" s="6">
        <v>2140</v>
      </c>
      <c r="J28" s="11">
        <f>I28-H28</f>
        <v>344.14750000000004</v>
      </c>
    </row>
    <row r="29" spans="1:10" x14ac:dyDescent="0.25">
      <c r="A29" s="8">
        <v>28</v>
      </c>
      <c r="B29" s="8" t="s">
        <v>29</v>
      </c>
      <c r="C29" s="8" t="s">
        <v>102</v>
      </c>
      <c r="D29" s="9">
        <v>1600.4584615384615</v>
      </c>
      <c r="E29" s="7" t="s">
        <v>115</v>
      </c>
      <c r="F29" s="6">
        <v>1797.5997272727273</v>
      </c>
      <c r="G29" s="7" t="s">
        <v>136</v>
      </c>
      <c r="H29" s="6">
        <v>1744.4375</v>
      </c>
      <c r="I29" s="6">
        <v>1750</v>
      </c>
      <c r="J29" s="11">
        <f>I29-D29</f>
        <v>149.54153846153849</v>
      </c>
    </row>
    <row r="30" spans="1:10" x14ac:dyDescent="0.25">
      <c r="A30" s="8">
        <v>29</v>
      </c>
      <c r="B30" s="8" t="s">
        <v>30</v>
      </c>
      <c r="C30" s="8" t="s">
        <v>108</v>
      </c>
      <c r="D30" s="6">
        <v>1139.7507692307693</v>
      </c>
      <c r="E30" s="7" t="s">
        <v>152</v>
      </c>
      <c r="F30" s="9">
        <v>935.69800000000009</v>
      </c>
      <c r="G30" s="7" t="s">
        <v>137</v>
      </c>
      <c r="H30" s="6">
        <v>951.17750000000001</v>
      </c>
      <c r="I30" s="6">
        <v>860</v>
      </c>
      <c r="J30" s="10">
        <f>I30-F30</f>
        <v>-75.698000000000093</v>
      </c>
    </row>
    <row r="31" spans="1:10" x14ac:dyDescent="0.25">
      <c r="A31" s="8">
        <v>30</v>
      </c>
      <c r="B31" s="8" t="s">
        <v>31</v>
      </c>
      <c r="C31" s="8" t="s">
        <v>106</v>
      </c>
      <c r="D31" s="6">
        <v>989.52</v>
      </c>
      <c r="E31" s="7" t="s">
        <v>116</v>
      </c>
      <c r="F31" s="9">
        <v>828.74809090909093</v>
      </c>
      <c r="G31" s="7" t="s">
        <v>136</v>
      </c>
      <c r="H31" s="6">
        <v>1098.0774999999999</v>
      </c>
      <c r="I31" s="7"/>
      <c r="J31" s="12"/>
    </row>
    <row r="32" spans="1:10" x14ac:dyDescent="0.25">
      <c r="A32" s="8">
        <v>31</v>
      </c>
      <c r="B32" s="8" t="s">
        <v>32</v>
      </c>
      <c r="C32" s="8" t="s">
        <v>106</v>
      </c>
      <c r="D32" s="6">
        <v>2802.3046153846153</v>
      </c>
      <c r="E32" s="7" t="s">
        <v>116</v>
      </c>
      <c r="F32" s="6">
        <v>2752.2035454545453</v>
      </c>
      <c r="G32" s="7" t="s">
        <v>136</v>
      </c>
      <c r="H32" s="9">
        <v>2640.5274999999997</v>
      </c>
      <c r="I32" s="7"/>
      <c r="J32" s="12"/>
    </row>
    <row r="33" spans="1:10" x14ac:dyDescent="0.25">
      <c r="A33" s="8">
        <v>32</v>
      </c>
      <c r="B33" s="8" t="s">
        <v>33</v>
      </c>
      <c r="C33" s="8" t="s">
        <v>106</v>
      </c>
      <c r="D33" s="6">
        <v>258.39692307692309</v>
      </c>
      <c r="E33" s="7" t="s">
        <v>115</v>
      </c>
      <c r="F33" s="9">
        <v>206.88799999999998</v>
      </c>
      <c r="G33" s="7" t="s">
        <v>136</v>
      </c>
      <c r="H33" s="6">
        <v>455.35327499999994</v>
      </c>
      <c r="I33" s="7">
        <v>380</v>
      </c>
      <c r="J33" s="11">
        <f>I33-F33</f>
        <v>173.11200000000002</v>
      </c>
    </row>
    <row r="34" spans="1:10" x14ac:dyDescent="0.25">
      <c r="A34" s="8">
        <v>33</v>
      </c>
      <c r="B34" s="8" t="s">
        <v>34</v>
      </c>
      <c r="C34" s="8" t="s">
        <v>104</v>
      </c>
      <c r="D34" s="9">
        <v>1199.8430769230768</v>
      </c>
      <c r="E34" s="7" t="s">
        <v>114</v>
      </c>
      <c r="F34" s="6">
        <v>1298.9260909090908</v>
      </c>
      <c r="G34" s="7" t="s">
        <v>136</v>
      </c>
      <c r="H34" s="6">
        <v>1468.9632750000001</v>
      </c>
      <c r="I34" s="7">
        <v>1070</v>
      </c>
      <c r="J34" s="10">
        <f>I34-D34</f>
        <v>-129.84307692307675</v>
      </c>
    </row>
    <row r="35" spans="1:10" x14ac:dyDescent="0.25">
      <c r="A35" s="8">
        <v>34</v>
      </c>
      <c r="B35" s="8" t="s">
        <v>35</v>
      </c>
      <c r="C35" s="8" t="s">
        <v>111</v>
      </c>
      <c r="D35" s="6">
        <v>538.82769230769236</v>
      </c>
      <c r="E35" s="7" t="s">
        <v>115</v>
      </c>
      <c r="F35" s="9">
        <v>520.04536363636362</v>
      </c>
      <c r="G35" s="7" t="s">
        <v>136</v>
      </c>
      <c r="H35" s="6">
        <v>547.20249999999999</v>
      </c>
      <c r="I35" s="7">
        <v>400</v>
      </c>
      <c r="J35" s="10">
        <f>I35-F35</f>
        <v>-120.04536363636362</v>
      </c>
    </row>
    <row r="36" spans="1:10" x14ac:dyDescent="0.25">
      <c r="A36" s="8">
        <v>35</v>
      </c>
      <c r="B36" s="8" t="s">
        <v>36</v>
      </c>
      <c r="C36" s="8" t="s">
        <v>106</v>
      </c>
      <c r="D36" s="9">
        <v>198.30461538461537</v>
      </c>
      <c r="E36" s="7" t="s">
        <v>120</v>
      </c>
      <c r="F36" s="6">
        <v>211.34263636363636</v>
      </c>
      <c r="G36" s="7"/>
      <c r="H36" s="6">
        <v>0</v>
      </c>
      <c r="I36" s="7"/>
      <c r="J36" s="12"/>
    </row>
    <row r="37" spans="1:10" x14ac:dyDescent="0.25">
      <c r="A37" s="8">
        <v>36</v>
      </c>
      <c r="B37" s="8" t="s">
        <v>37</v>
      </c>
      <c r="C37" s="8" t="s">
        <v>106</v>
      </c>
      <c r="D37" s="6">
        <v>1360.0892307692309</v>
      </c>
      <c r="E37" s="7" t="s">
        <v>116</v>
      </c>
      <c r="F37" s="9">
        <v>1279.9289999999999</v>
      </c>
      <c r="G37" s="7" t="s">
        <v>136</v>
      </c>
      <c r="H37" s="6">
        <v>1836.2132750000001</v>
      </c>
      <c r="I37" s="7"/>
      <c r="J37" s="12"/>
    </row>
    <row r="38" spans="1:10" x14ac:dyDescent="0.25">
      <c r="A38" s="8">
        <v>37</v>
      </c>
      <c r="B38" s="8" t="s">
        <v>38</v>
      </c>
      <c r="C38" s="8" t="s">
        <v>102</v>
      </c>
      <c r="D38" s="6">
        <v>1600.4584615384615</v>
      </c>
      <c r="E38" s="7" t="s">
        <v>121</v>
      </c>
      <c r="F38" s="6">
        <v>1588.6317272727272</v>
      </c>
      <c r="G38" s="7" t="s">
        <v>136</v>
      </c>
      <c r="H38" s="9">
        <v>1575.5025000000001</v>
      </c>
      <c r="I38" s="7">
        <v>1190</v>
      </c>
      <c r="J38" s="10">
        <f>I38-H38</f>
        <v>-385.50250000000005</v>
      </c>
    </row>
    <row r="39" spans="1:10" x14ac:dyDescent="0.25">
      <c r="A39" s="8">
        <v>38</v>
      </c>
      <c r="B39" s="8" t="s">
        <v>39</v>
      </c>
      <c r="C39" s="8" t="s">
        <v>106</v>
      </c>
      <c r="D39" s="9">
        <v>78.11999999999999</v>
      </c>
      <c r="E39" s="7" t="s">
        <v>116</v>
      </c>
      <c r="F39" s="6">
        <v>92.610818181818175</v>
      </c>
      <c r="G39" s="7" t="s">
        <v>136</v>
      </c>
      <c r="H39" s="6">
        <v>128.500775</v>
      </c>
      <c r="I39" s="7"/>
      <c r="J39" s="12"/>
    </row>
    <row r="40" spans="1:10" x14ac:dyDescent="0.25">
      <c r="A40" s="8">
        <v>39</v>
      </c>
      <c r="B40" s="8" t="s">
        <v>40</v>
      </c>
      <c r="C40" s="8" t="s">
        <v>106</v>
      </c>
      <c r="D40" s="6">
        <v>3924.0276923076922</v>
      </c>
      <c r="E40" s="7" t="s">
        <v>115</v>
      </c>
      <c r="F40" s="6">
        <v>3842.1616363636367</v>
      </c>
      <c r="G40" s="7" t="s">
        <v>136</v>
      </c>
      <c r="H40" s="9">
        <v>3595.3775000000001</v>
      </c>
      <c r="I40" s="7"/>
      <c r="J40" s="12"/>
    </row>
    <row r="41" spans="1:10" x14ac:dyDescent="0.25">
      <c r="A41" s="8">
        <v>40</v>
      </c>
      <c r="B41" s="8" t="s">
        <v>41</v>
      </c>
      <c r="C41" s="8" t="s">
        <v>106</v>
      </c>
      <c r="D41" s="6">
        <v>1279.9661538461537</v>
      </c>
      <c r="E41" s="7" t="s">
        <v>107</v>
      </c>
      <c r="F41" s="6">
        <v>1301.3007272727273</v>
      </c>
      <c r="G41" s="7" t="s">
        <v>136</v>
      </c>
      <c r="H41" s="9">
        <v>1226.615</v>
      </c>
      <c r="I41" s="7"/>
      <c r="J41" s="12"/>
    </row>
    <row r="42" spans="1:10" x14ac:dyDescent="0.25">
      <c r="A42" s="8">
        <v>41</v>
      </c>
      <c r="B42" s="8" t="s">
        <v>42</v>
      </c>
      <c r="C42" s="8" t="s">
        <v>106</v>
      </c>
      <c r="D42" s="6">
        <v>759.16615384615375</v>
      </c>
      <c r="E42" s="7" t="s">
        <v>122</v>
      </c>
      <c r="F42" s="6">
        <v>733.76263636363626</v>
      </c>
      <c r="G42" s="7" t="s">
        <v>137</v>
      </c>
      <c r="H42" s="9">
        <v>620.65250000000003</v>
      </c>
      <c r="I42" s="7" t="s">
        <v>139</v>
      </c>
      <c r="J42" s="12"/>
    </row>
    <row r="43" spans="1:10" x14ac:dyDescent="0.25">
      <c r="A43" s="8">
        <v>42</v>
      </c>
      <c r="B43" s="8" t="s">
        <v>43</v>
      </c>
      <c r="C43" s="8" t="s">
        <v>111</v>
      </c>
      <c r="D43" s="9">
        <v>5183.9630769230771</v>
      </c>
      <c r="E43" s="7" t="s">
        <v>122</v>
      </c>
      <c r="F43" s="6">
        <v>5720.4989999999998</v>
      </c>
      <c r="G43" s="7" t="s">
        <v>136</v>
      </c>
      <c r="H43" s="6">
        <v>5762.1525000000001</v>
      </c>
      <c r="I43" s="7">
        <v>4800</v>
      </c>
      <c r="J43" s="10">
        <f>I43-D43</f>
        <v>-383.9630769230771</v>
      </c>
    </row>
    <row r="44" spans="1:10" x14ac:dyDescent="0.25">
      <c r="A44" s="8">
        <v>43</v>
      </c>
      <c r="B44" s="8" t="s">
        <v>44</v>
      </c>
      <c r="C44" s="8" t="s">
        <v>102</v>
      </c>
      <c r="D44" s="6">
        <v>1255.9292307692308</v>
      </c>
      <c r="E44" s="7" t="s">
        <v>115</v>
      </c>
      <c r="F44" s="6">
        <v>1275.1797272727272</v>
      </c>
      <c r="G44" s="7" t="s">
        <v>137</v>
      </c>
      <c r="H44" s="9">
        <v>1171.5274999999999</v>
      </c>
      <c r="I44" s="7">
        <v>1290</v>
      </c>
      <c r="J44" s="11">
        <f>I44-H44</f>
        <v>118.47250000000008</v>
      </c>
    </row>
    <row r="45" spans="1:10" x14ac:dyDescent="0.25">
      <c r="A45" s="8">
        <v>44</v>
      </c>
      <c r="B45" s="8" t="s">
        <v>45</v>
      </c>
      <c r="C45" s="8" t="s">
        <v>106</v>
      </c>
      <c r="D45" s="6">
        <v>378.58153846153846</v>
      </c>
      <c r="E45" s="7" t="s">
        <v>123</v>
      </c>
      <c r="F45" s="6">
        <v>401.31354545454542</v>
      </c>
      <c r="G45" s="7" t="s">
        <v>136</v>
      </c>
      <c r="H45" s="9">
        <v>183.58827500000001</v>
      </c>
      <c r="I45" s="7"/>
      <c r="J45" s="12"/>
    </row>
    <row r="46" spans="1:10" x14ac:dyDescent="0.25">
      <c r="A46" s="8">
        <v>45</v>
      </c>
      <c r="B46" s="8" t="s">
        <v>46</v>
      </c>
      <c r="C46" s="8" t="s">
        <v>106</v>
      </c>
      <c r="D46" s="9">
        <v>110.16923076923077</v>
      </c>
      <c r="E46" s="7" t="s">
        <v>116</v>
      </c>
      <c r="F46" s="6">
        <v>116.35718181818181</v>
      </c>
      <c r="G46" s="7" t="s">
        <v>137</v>
      </c>
      <c r="H46" s="6">
        <v>290.1275</v>
      </c>
      <c r="I46" s="7"/>
      <c r="J46" s="12"/>
    </row>
    <row r="47" spans="1:10" x14ac:dyDescent="0.25">
      <c r="A47" s="8">
        <v>46</v>
      </c>
      <c r="B47" s="8" t="s">
        <v>47</v>
      </c>
      <c r="C47" s="8" t="s">
        <v>108</v>
      </c>
      <c r="D47" s="6">
        <v>70.087661538461546</v>
      </c>
      <c r="E47" s="7" t="s">
        <v>112</v>
      </c>
      <c r="F47" s="9">
        <v>68.864454545454549</v>
      </c>
      <c r="G47" s="7" t="s">
        <v>136</v>
      </c>
      <c r="H47" s="6">
        <v>150.535775</v>
      </c>
      <c r="I47" s="7">
        <v>190</v>
      </c>
      <c r="J47" s="11">
        <f>I47-F47</f>
        <v>121.13554545454545</v>
      </c>
    </row>
    <row r="48" spans="1:10" x14ac:dyDescent="0.25">
      <c r="A48" s="8">
        <v>47</v>
      </c>
      <c r="B48" s="8" t="s">
        <v>48</v>
      </c>
      <c r="C48" s="8" t="s">
        <v>124</v>
      </c>
      <c r="D48" s="9">
        <v>78.11999999999999</v>
      </c>
      <c r="E48" s="7" t="s">
        <v>116</v>
      </c>
      <c r="F48" s="6">
        <v>92.610818181818175</v>
      </c>
      <c r="G48" s="7" t="s">
        <v>136</v>
      </c>
      <c r="H48" s="6">
        <v>121.15577500000001</v>
      </c>
      <c r="I48" s="7"/>
      <c r="J48" s="12"/>
    </row>
    <row r="49" spans="1:10" x14ac:dyDescent="0.25">
      <c r="A49" s="8">
        <v>48</v>
      </c>
      <c r="B49" s="8" t="s">
        <v>49</v>
      </c>
      <c r="C49" s="8" t="s">
        <v>106</v>
      </c>
      <c r="D49" s="6">
        <v>298.45846153846151</v>
      </c>
      <c r="E49" s="7" t="s">
        <v>115</v>
      </c>
      <c r="F49" s="6">
        <v>294.4549090909091</v>
      </c>
      <c r="G49" s="7" t="s">
        <v>136</v>
      </c>
      <c r="H49" s="9">
        <v>117.48327499999999</v>
      </c>
      <c r="I49" s="7"/>
      <c r="J49" s="12"/>
    </row>
    <row r="50" spans="1:10" x14ac:dyDescent="0.25">
      <c r="A50" s="8">
        <v>49</v>
      </c>
      <c r="B50" s="8" t="s">
        <v>50</v>
      </c>
      <c r="C50" s="8" t="s">
        <v>106</v>
      </c>
      <c r="D50" s="6">
        <v>558.85846153846148</v>
      </c>
      <c r="E50" s="7" t="s">
        <v>115</v>
      </c>
      <c r="F50" s="6">
        <v>303.95345454545452</v>
      </c>
      <c r="G50" s="7"/>
      <c r="H50" s="6">
        <v>0</v>
      </c>
      <c r="I50" s="7"/>
      <c r="J50" s="12"/>
    </row>
    <row r="51" spans="1:10" x14ac:dyDescent="0.25">
      <c r="A51" s="8">
        <v>50</v>
      </c>
      <c r="B51" s="8" t="s">
        <v>51</v>
      </c>
      <c r="C51" s="8" t="s">
        <v>106</v>
      </c>
      <c r="D51" s="9">
        <v>1219.8738461538462</v>
      </c>
      <c r="E51" s="7" t="s">
        <v>105</v>
      </c>
      <c r="F51" s="6">
        <v>1251.4333636363635</v>
      </c>
      <c r="G51" s="7" t="s">
        <v>136</v>
      </c>
      <c r="H51" s="6">
        <v>1358.825</v>
      </c>
      <c r="I51" s="7"/>
      <c r="J51" s="12"/>
    </row>
    <row r="52" spans="1:10" x14ac:dyDescent="0.25">
      <c r="A52" s="8">
        <v>51</v>
      </c>
      <c r="B52" s="8" t="s">
        <v>52</v>
      </c>
      <c r="C52" s="8" t="s">
        <v>106</v>
      </c>
      <c r="D52" s="9">
        <v>158.24307692307693</v>
      </c>
      <c r="E52" s="7" t="s">
        <v>116</v>
      </c>
      <c r="F52" s="6">
        <v>178.09772727272727</v>
      </c>
      <c r="G52" s="7" t="s">
        <v>136</v>
      </c>
      <c r="H52" s="6">
        <v>164.12402499999999</v>
      </c>
      <c r="I52" s="7"/>
      <c r="J52" s="12"/>
    </row>
    <row r="53" spans="1:10" x14ac:dyDescent="0.25">
      <c r="A53" s="8">
        <v>52</v>
      </c>
      <c r="B53" s="8" t="s">
        <v>53</v>
      </c>
      <c r="C53" s="8" t="s">
        <v>106</v>
      </c>
      <c r="D53" s="9">
        <v>78.11999999999999</v>
      </c>
      <c r="E53" s="7" t="s">
        <v>116</v>
      </c>
      <c r="F53" s="6">
        <v>83.11227272727271</v>
      </c>
      <c r="G53" s="7"/>
      <c r="H53" s="6">
        <v>0</v>
      </c>
      <c r="I53" s="7"/>
      <c r="J53" s="12"/>
    </row>
    <row r="54" spans="1:10" x14ac:dyDescent="0.25">
      <c r="A54" s="8">
        <v>53</v>
      </c>
      <c r="B54" s="8" t="s">
        <v>54</v>
      </c>
      <c r="C54" s="8" t="s">
        <v>102</v>
      </c>
      <c r="D54" s="9">
        <v>158.24307692307693</v>
      </c>
      <c r="E54" s="7" t="s">
        <v>116</v>
      </c>
      <c r="F54" s="6">
        <v>163.84990909090908</v>
      </c>
      <c r="G54" s="7"/>
      <c r="H54" s="6">
        <v>0</v>
      </c>
      <c r="I54" s="7"/>
      <c r="J54" s="12"/>
    </row>
    <row r="55" spans="1:10" x14ac:dyDescent="0.25">
      <c r="A55" s="8">
        <v>54</v>
      </c>
      <c r="B55" s="8" t="s">
        <v>55</v>
      </c>
      <c r="C55" s="8" t="s">
        <v>125</v>
      </c>
      <c r="D55" s="9">
        <v>230.07341538461537</v>
      </c>
      <c r="E55" s="7" t="s">
        <v>115</v>
      </c>
      <c r="F55" s="6">
        <v>232.71436363636363</v>
      </c>
      <c r="G55" s="7"/>
      <c r="H55" s="6">
        <v>0</v>
      </c>
      <c r="I55" s="7">
        <v>295</v>
      </c>
      <c r="J55" s="11">
        <f>I55-D55</f>
        <v>64.926584615384627</v>
      </c>
    </row>
    <row r="56" spans="1:10" x14ac:dyDescent="0.25">
      <c r="A56" s="8">
        <v>55</v>
      </c>
      <c r="B56" s="8" t="s">
        <v>56</v>
      </c>
      <c r="C56" s="8" t="s">
        <v>106</v>
      </c>
      <c r="D56" s="9">
        <v>1880.8892307692306</v>
      </c>
      <c r="E56" s="7" t="s">
        <v>126</v>
      </c>
      <c r="F56" s="6">
        <v>1992.3199090909091</v>
      </c>
      <c r="G56" s="7" t="s">
        <v>136</v>
      </c>
      <c r="H56" s="6">
        <v>1961.115</v>
      </c>
      <c r="I56" s="7">
        <v>1530</v>
      </c>
      <c r="J56" s="10">
        <f>I56-D56</f>
        <v>-350.88923076923061</v>
      </c>
    </row>
    <row r="57" spans="1:10" x14ac:dyDescent="0.25">
      <c r="A57" s="8">
        <v>56</v>
      </c>
      <c r="B57" s="8" t="s">
        <v>57</v>
      </c>
      <c r="C57" s="8" t="s">
        <v>117</v>
      </c>
      <c r="D57" s="6">
        <v>182.80080000000001</v>
      </c>
      <c r="E57" s="7" t="s">
        <v>119</v>
      </c>
      <c r="F57" s="6">
        <v>187.59627272727272</v>
      </c>
      <c r="G57" s="7" t="s">
        <v>136</v>
      </c>
      <c r="H57" s="9">
        <v>58.723275000000001</v>
      </c>
      <c r="I57" s="7"/>
      <c r="J57" s="12"/>
    </row>
    <row r="58" spans="1:10" x14ac:dyDescent="0.25">
      <c r="A58" s="8">
        <v>57</v>
      </c>
      <c r="B58" s="8" t="s">
        <v>58</v>
      </c>
      <c r="C58" s="8" t="s">
        <v>106</v>
      </c>
      <c r="D58" s="6">
        <v>138.21230769230769</v>
      </c>
      <c r="E58" s="7" t="s">
        <v>127</v>
      </c>
      <c r="F58" s="6">
        <v>97.3600909090909</v>
      </c>
      <c r="G58" s="7" t="s">
        <v>136</v>
      </c>
      <c r="H58" s="9">
        <v>41.499250000000004</v>
      </c>
      <c r="I58" s="7"/>
      <c r="J58" s="12"/>
    </row>
    <row r="59" spans="1:10" x14ac:dyDescent="0.25">
      <c r="A59" s="8">
        <v>58</v>
      </c>
      <c r="B59" s="8" t="s">
        <v>59</v>
      </c>
      <c r="C59" s="8" t="s">
        <v>108</v>
      </c>
      <c r="D59" s="9">
        <v>230.35384615384615</v>
      </c>
      <c r="E59" s="7" t="s">
        <v>116</v>
      </c>
      <c r="F59" s="6">
        <v>235.089</v>
      </c>
      <c r="G59" s="7" t="s">
        <v>136</v>
      </c>
      <c r="H59" s="6">
        <v>326.41179999999997</v>
      </c>
      <c r="I59" s="7"/>
      <c r="J59" s="12"/>
    </row>
    <row r="60" spans="1:10" x14ac:dyDescent="0.25">
      <c r="A60" s="8">
        <v>59</v>
      </c>
      <c r="B60" s="8" t="s">
        <v>60</v>
      </c>
      <c r="C60" s="8" t="s">
        <v>106</v>
      </c>
      <c r="D60" s="9">
        <v>150.23076923076923</v>
      </c>
      <c r="E60" s="7" t="s">
        <v>105</v>
      </c>
      <c r="F60" s="6">
        <v>163.84990909090908</v>
      </c>
      <c r="G60" s="7"/>
      <c r="H60" s="6">
        <v>0</v>
      </c>
      <c r="I60" s="7"/>
      <c r="J60" s="12"/>
    </row>
    <row r="61" spans="1:10" x14ac:dyDescent="0.25">
      <c r="A61" s="8">
        <v>60</v>
      </c>
      <c r="B61" s="8" t="s">
        <v>61</v>
      </c>
      <c r="C61" s="8" t="s">
        <v>110</v>
      </c>
      <c r="D61" s="6">
        <v>90.138461538461527</v>
      </c>
      <c r="E61" s="7"/>
      <c r="F61" s="6">
        <v>0</v>
      </c>
      <c r="G61" s="7" t="s">
        <v>136</v>
      </c>
      <c r="H61" s="9">
        <v>40.360774999999997</v>
      </c>
      <c r="I61" s="7"/>
      <c r="J61" s="12"/>
    </row>
    <row r="62" spans="1:10" x14ac:dyDescent="0.25">
      <c r="A62" s="8">
        <v>61</v>
      </c>
      <c r="B62" s="8" t="s">
        <v>62</v>
      </c>
      <c r="C62" s="8" t="s">
        <v>106</v>
      </c>
      <c r="D62" s="6">
        <v>118.18153846153847</v>
      </c>
      <c r="E62" s="7" t="s">
        <v>122</v>
      </c>
      <c r="F62" s="9">
        <v>87.86154545454545</v>
      </c>
      <c r="G62" s="7"/>
      <c r="H62" s="6">
        <v>0</v>
      </c>
      <c r="I62" s="7"/>
      <c r="J62" s="12"/>
    </row>
    <row r="63" spans="1:10" x14ac:dyDescent="0.25">
      <c r="A63" s="8">
        <v>62</v>
      </c>
      <c r="B63" s="8" t="s">
        <v>63</v>
      </c>
      <c r="C63" s="8" t="s">
        <v>106</v>
      </c>
      <c r="D63" s="6">
        <v>468.71999999999997</v>
      </c>
      <c r="E63" s="7" t="s">
        <v>116</v>
      </c>
      <c r="F63" s="9">
        <v>448.8062727272727</v>
      </c>
      <c r="G63" s="7"/>
      <c r="H63" s="6">
        <v>0</v>
      </c>
      <c r="I63" s="7"/>
      <c r="J63" s="12"/>
    </row>
    <row r="64" spans="1:10" x14ac:dyDescent="0.25">
      <c r="A64" s="8">
        <v>63</v>
      </c>
      <c r="B64" s="8" t="s">
        <v>64</v>
      </c>
      <c r="C64" s="8" t="s">
        <v>106</v>
      </c>
      <c r="D64" s="6">
        <v>118.18153846153847</v>
      </c>
      <c r="E64" s="7" t="s">
        <v>116</v>
      </c>
      <c r="F64" s="6">
        <v>130.60499999999999</v>
      </c>
      <c r="G64" s="7" t="s">
        <v>136</v>
      </c>
      <c r="H64" s="9">
        <v>25.193349999999999</v>
      </c>
      <c r="I64" s="7"/>
      <c r="J64" s="12"/>
    </row>
    <row r="65" spans="1:10" x14ac:dyDescent="0.25">
      <c r="A65" s="8">
        <v>64</v>
      </c>
      <c r="B65" s="8" t="s">
        <v>65</v>
      </c>
      <c r="C65" s="8" t="s">
        <v>106</v>
      </c>
      <c r="D65" s="9">
        <v>178.27384615384614</v>
      </c>
      <c r="E65" s="7"/>
      <c r="F65" s="6">
        <v>0</v>
      </c>
      <c r="G65" s="7" t="s">
        <v>136</v>
      </c>
      <c r="H65" s="6">
        <v>455.35327499999994</v>
      </c>
      <c r="I65" s="7"/>
      <c r="J65" s="12"/>
    </row>
    <row r="66" spans="1:10" x14ac:dyDescent="0.25">
      <c r="A66" s="8">
        <v>65</v>
      </c>
      <c r="B66" s="8" t="s">
        <v>66</v>
      </c>
      <c r="C66" s="8" t="s">
        <v>106</v>
      </c>
      <c r="D66" s="6">
        <v>2321.5661538461536</v>
      </c>
      <c r="E66" s="7" t="s">
        <v>115</v>
      </c>
      <c r="F66" s="6">
        <v>2346.140727272727</v>
      </c>
      <c r="G66" s="7" t="s">
        <v>136</v>
      </c>
      <c r="H66" s="9">
        <v>2199.8274999999999</v>
      </c>
      <c r="I66" s="7"/>
      <c r="J66" s="12"/>
    </row>
    <row r="67" spans="1:10" x14ac:dyDescent="0.25">
      <c r="A67" s="8">
        <v>66</v>
      </c>
      <c r="B67" s="8" t="s">
        <v>67</v>
      </c>
      <c r="C67" s="8" t="s">
        <v>106</v>
      </c>
      <c r="D67" s="6">
        <v>1961.0123076923076</v>
      </c>
      <c r="E67" s="7" t="s">
        <v>116</v>
      </c>
      <c r="F67" s="6">
        <v>2134.7980909090911</v>
      </c>
      <c r="G67" s="7" t="s">
        <v>136</v>
      </c>
      <c r="H67" s="9">
        <v>1836.2132750000001</v>
      </c>
      <c r="I67" s="7"/>
      <c r="J67" s="12"/>
    </row>
    <row r="68" spans="1:10" x14ac:dyDescent="0.25">
      <c r="A68" s="8">
        <v>67</v>
      </c>
      <c r="B68" s="8" t="s">
        <v>68</v>
      </c>
      <c r="C68" s="8" t="s">
        <v>106</v>
      </c>
      <c r="D68" s="6">
        <v>118.18153846153847</v>
      </c>
      <c r="E68" s="7" t="s">
        <v>116</v>
      </c>
      <c r="F68" s="9">
        <v>116.35718181818181</v>
      </c>
      <c r="G68" s="7" t="s">
        <v>136</v>
      </c>
      <c r="H68" s="6">
        <v>178.85075000000001</v>
      </c>
      <c r="I68" s="7"/>
      <c r="J68" s="12"/>
    </row>
    <row r="69" spans="1:10" x14ac:dyDescent="0.25">
      <c r="A69" s="8">
        <v>68</v>
      </c>
      <c r="B69" s="8" t="s">
        <v>69</v>
      </c>
      <c r="C69" s="8" t="s">
        <v>111</v>
      </c>
      <c r="D69" s="6">
        <v>378.58153846153846</v>
      </c>
      <c r="E69" s="7" t="s">
        <v>115</v>
      </c>
      <c r="F69" s="9">
        <v>375.19254545454544</v>
      </c>
      <c r="G69" s="7" t="s">
        <v>136</v>
      </c>
      <c r="H69" s="6">
        <v>657.37749999999994</v>
      </c>
      <c r="I69" s="7"/>
      <c r="J69" s="12"/>
    </row>
    <row r="70" spans="1:10" x14ac:dyDescent="0.25">
      <c r="A70" s="8">
        <v>69</v>
      </c>
      <c r="B70" s="8" t="s">
        <v>70</v>
      </c>
      <c r="C70" s="8" t="s">
        <v>106</v>
      </c>
      <c r="D70" s="6">
        <v>178.27384615384614</v>
      </c>
      <c r="E70" s="7" t="s">
        <v>128</v>
      </c>
      <c r="F70" s="6">
        <v>187.59627272727272</v>
      </c>
      <c r="G70" s="7" t="s">
        <v>136</v>
      </c>
      <c r="H70" s="9">
        <v>128.500775</v>
      </c>
      <c r="I70" s="7"/>
      <c r="J70" s="12"/>
    </row>
    <row r="71" spans="1:10" x14ac:dyDescent="0.25">
      <c r="A71" s="8">
        <v>70</v>
      </c>
      <c r="B71" s="8" t="s">
        <v>71</v>
      </c>
      <c r="C71" s="8" t="s">
        <v>104</v>
      </c>
      <c r="D71" s="9">
        <v>198.30461538461537</v>
      </c>
      <c r="E71" s="7" t="s">
        <v>129</v>
      </c>
      <c r="F71" s="6">
        <v>211.34263636363636</v>
      </c>
      <c r="G71" s="7" t="s">
        <v>136</v>
      </c>
      <c r="H71" s="6">
        <v>198.64552499999999</v>
      </c>
      <c r="I71" s="7"/>
      <c r="J71" s="12"/>
    </row>
    <row r="72" spans="1:10" x14ac:dyDescent="0.25">
      <c r="A72" s="8">
        <v>71</v>
      </c>
      <c r="B72" s="8" t="s">
        <v>72</v>
      </c>
      <c r="C72" s="8" t="s">
        <v>106</v>
      </c>
      <c r="D72" s="6">
        <v>398.6123076923077</v>
      </c>
      <c r="E72" s="7" t="s">
        <v>115</v>
      </c>
      <c r="F72" s="6">
        <v>303.95345454545452</v>
      </c>
      <c r="G72" s="7" t="s">
        <v>136</v>
      </c>
      <c r="H72" s="9">
        <v>290.1275</v>
      </c>
      <c r="I72" s="7"/>
      <c r="J72" s="12"/>
    </row>
    <row r="73" spans="1:10" x14ac:dyDescent="0.25">
      <c r="A73" s="8">
        <v>72</v>
      </c>
      <c r="B73" s="8" t="s">
        <v>73</v>
      </c>
      <c r="C73" s="8" t="s">
        <v>130</v>
      </c>
      <c r="D73" s="9">
        <v>312.45996923076927</v>
      </c>
      <c r="E73" s="7" t="s">
        <v>115</v>
      </c>
      <c r="F73" s="6">
        <v>351.4461818181818</v>
      </c>
      <c r="G73" s="7" t="s">
        <v>136</v>
      </c>
      <c r="H73" s="6">
        <v>569.23749999999995</v>
      </c>
      <c r="I73" s="7"/>
      <c r="J73" s="12"/>
    </row>
    <row r="74" spans="1:10" x14ac:dyDescent="0.25">
      <c r="A74" s="8">
        <v>73</v>
      </c>
      <c r="B74" s="8" t="s">
        <v>74</v>
      </c>
      <c r="C74" s="8" t="s">
        <v>111</v>
      </c>
      <c r="D74" s="6">
        <v>218.33538461538461</v>
      </c>
      <c r="E74" s="7" t="s">
        <v>123</v>
      </c>
      <c r="F74" s="9">
        <v>211.34263636363636</v>
      </c>
      <c r="G74" s="7" t="s">
        <v>136</v>
      </c>
      <c r="H74" s="6">
        <v>363.57749999999999</v>
      </c>
      <c r="I74" s="7"/>
      <c r="J74" s="12"/>
    </row>
    <row r="75" spans="1:10" x14ac:dyDescent="0.25">
      <c r="A75" s="8">
        <v>74</v>
      </c>
      <c r="B75" s="8" t="s">
        <v>75</v>
      </c>
      <c r="C75" s="8" t="s">
        <v>131</v>
      </c>
      <c r="D75" s="9">
        <v>27.02150769230769</v>
      </c>
      <c r="E75" s="7" t="s">
        <v>123</v>
      </c>
      <c r="F75" s="6">
        <v>45.11809090909091</v>
      </c>
      <c r="G75" s="7" t="s">
        <v>136</v>
      </c>
      <c r="H75" s="6">
        <v>51.378275000000002</v>
      </c>
      <c r="I75" s="7"/>
      <c r="J75" s="12"/>
    </row>
    <row r="76" spans="1:10" x14ac:dyDescent="0.25">
      <c r="A76" s="8">
        <v>75</v>
      </c>
      <c r="B76" s="8" t="s">
        <v>76</v>
      </c>
      <c r="C76" s="8" t="s">
        <v>110</v>
      </c>
      <c r="D76" s="9">
        <v>216.33230769230767</v>
      </c>
      <c r="E76" s="7" t="s">
        <v>116</v>
      </c>
      <c r="F76" s="6">
        <v>235.089</v>
      </c>
      <c r="G76" s="7" t="s">
        <v>136</v>
      </c>
      <c r="H76" s="6">
        <v>238.71250000000001</v>
      </c>
      <c r="I76" s="7"/>
      <c r="J76" s="12"/>
    </row>
    <row r="77" spans="1:10" x14ac:dyDescent="0.25">
      <c r="A77" s="8">
        <v>76</v>
      </c>
      <c r="B77" s="8" t="s">
        <v>77</v>
      </c>
      <c r="C77" s="8" t="s">
        <v>106</v>
      </c>
      <c r="D77" s="6">
        <v>30.046153846153842</v>
      </c>
      <c r="E77" s="7" t="s">
        <v>116</v>
      </c>
      <c r="F77" s="9">
        <v>18.997090909090907</v>
      </c>
      <c r="G77" s="7" t="s">
        <v>137</v>
      </c>
      <c r="H77" s="6">
        <v>21.998275</v>
      </c>
      <c r="I77" s="7"/>
      <c r="J77" s="12"/>
    </row>
    <row r="78" spans="1:10" x14ac:dyDescent="0.25">
      <c r="A78" s="8">
        <v>77</v>
      </c>
      <c r="B78" s="8" t="s">
        <v>78</v>
      </c>
      <c r="C78" s="8" t="s">
        <v>130</v>
      </c>
      <c r="D78" s="6">
        <v>36.035353846153839</v>
      </c>
      <c r="E78" s="7" t="s">
        <v>116</v>
      </c>
      <c r="F78" s="6">
        <v>35.619545454545452</v>
      </c>
      <c r="G78" s="7" t="s">
        <v>137</v>
      </c>
      <c r="H78" s="9">
        <v>31.179524999999998</v>
      </c>
      <c r="I78" s="7"/>
      <c r="J78" s="12"/>
    </row>
    <row r="79" spans="1:10" x14ac:dyDescent="0.25">
      <c r="A79" s="8">
        <v>78</v>
      </c>
      <c r="B79" s="8" t="s">
        <v>79</v>
      </c>
      <c r="C79" s="8" t="s">
        <v>102</v>
      </c>
      <c r="D79" s="9">
        <v>158.24307692307693</v>
      </c>
      <c r="E79" s="7" t="s">
        <v>116</v>
      </c>
      <c r="F79" s="6">
        <v>163.84990909090908</v>
      </c>
      <c r="G79" s="7" t="s">
        <v>136</v>
      </c>
      <c r="H79" s="6">
        <v>178.85075000000001</v>
      </c>
      <c r="I79" s="7"/>
      <c r="J79" s="12"/>
    </row>
    <row r="80" spans="1:10" x14ac:dyDescent="0.25">
      <c r="A80" s="8">
        <v>79</v>
      </c>
      <c r="B80" s="8" t="s">
        <v>80</v>
      </c>
      <c r="C80" s="8" t="s">
        <v>106</v>
      </c>
      <c r="D80" s="6">
        <v>278.42769230769233</v>
      </c>
      <c r="E80" s="7" t="s">
        <v>116</v>
      </c>
      <c r="F80" s="9">
        <v>235.089</v>
      </c>
      <c r="G80" s="7" t="s">
        <v>136</v>
      </c>
      <c r="H80" s="6">
        <v>363.57749999999999</v>
      </c>
      <c r="I80" s="7"/>
      <c r="J80" s="12"/>
    </row>
    <row r="81" spans="1:10" x14ac:dyDescent="0.25">
      <c r="A81" s="8">
        <v>80</v>
      </c>
      <c r="B81" s="8" t="s">
        <v>81</v>
      </c>
      <c r="C81" s="8" t="s">
        <v>111</v>
      </c>
      <c r="D81" s="6">
        <v>118.18153846153847</v>
      </c>
      <c r="E81" s="7" t="s">
        <v>116</v>
      </c>
      <c r="F81" s="9">
        <v>116.35718181818181</v>
      </c>
      <c r="G81" s="7"/>
      <c r="H81" s="6"/>
      <c r="I81" s="7"/>
      <c r="J81" s="12"/>
    </row>
    <row r="82" spans="1:10" x14ac:dyDescent="0.25">
      <c r="A82" s="8">
        <v>81</v>
      </c>
      <c r="B82" s="8" t="s">
        <v>82</v>
      </c>
      <c r="C82" s="8" t="s">
        <v>106</v>
      </c>
      <c r="D82" s="6">
        <v>158.24307692307693</v>
      </c>
      <c r="E82" s="7" t="s">
        <v>116</v>
      </c>
      <c r="F82" s="6">
        <v>163.84990909090908</v>
      </c>
      <c r="G82" s="7" t="s">
        <v>136</v>
      </c>
      <c r="H82" s="9">
        <v>134.56039999999999</v>
      </c>
      <c r="I82" s="7"/>
      <c r="J82" s="12"/>
    </row>
    <row r="83" spans="1:10" x14ac:dyDescent="0.25">
      <c r="A83" s="8">
        <v>82</v>
      </c>
      <c r="B83" s="8" t="s">
        <v>83</v>
      </c>
      <c r="C83" s="8" t="s">
        <v>106</v>
      </c>
      <c r="D83" s="6">
        <v>258.39692307692309</v>
      </c>
      <c r="E83" s="7" t="s">
        <v>115</v>
      </c>
      <c r="F83" s="9">
        <v>185.22163636363635</v>
      </c>
      <c r="G83" s="7" t="s">
        <v>136</v>
      </c>
      <c r="H83" s="6">
        <v>290.1275</v>
      </c>
      <c r="I83" s="7"/>
      <c r="J83" s="12"/>
    </row>
    <row r="84" spans="1:10" x14ac:dyDescent="0.25">
      <c r="A84" s="8">
        <v>83</v>
      </c>
      <c r="B84" s="8" t="s">
        <v>84</v>
      </c>
      <c r="C84" s="8" t="s">
        <v>106</v>
      </c>
      <c r="D84" s="6">
        <v>50.07692307692308</v>
      </c>
      <c r="E84" s="7" t="s">
        <v>132</v>
      </c>
      <c r="F84" s="9">
        <v>45.11809090909091</v>
      </c>
      <c r="G84" s="7" t="s">
        <v>136</v>
      </c>
      <c r="H84" s="6">
        <v>50.239799999999995</v>
      </c>
      <c r="I84" s="7"/>
      <c r="J84" s="12"/>
    </row>
    <row r="85" spans="1:10" x14ac:dyDescent="0.25">
      <c r="A85" s="8">
        <v>84</v>
      </c>
      <c r="B85" s="8" t="s">
        <v>85</v>
      </c>
      <c r="C85" s="8" t="s">
        <v>106</v>
      </c>
      <c r="D85" s="9">
        <v>278.42769230769233</v>
      </c>
      <c r="E85" s="7" t="s">
        <v>133</v>
      </c>
      <c r="F85" s="6">
        <v>282.58172727272728</v>
      </c>
      <c r="G85" s="7" t="s">
        <v>136</v>
      </c>
      <c r="H85" s="6">
        <v>620.65250000000003</v>
      </c>
      <c r="I85" s="7"/>
      <c r="J85" s="12"/>
    </row>
    <row r="86" spans="1:10" x14ac:dyDescent="0.25">
      <c r="A86" s="8">
        <v>85</v>
      </c>
      <c r="B86" s="8" t="s">
        <v>86</v>
      </c>
      <c r="C86" s="8" t="s">
        <v>106</v>
      </c>
      <c r="D86" s="6">
        <v>190.2923076923077</v>
      </c>
      <c r="E86" s="7" t="s">
        <v>123</v>
      </c>
      <c r="F86" s="9">
        <v>187.59627272727272</v>
      </c>
      <c r="G86" s="7" t="s">
        <v>136</v>
      </c>
      <c r="H86" s="6">
        <v>198.64552499999999</v>
      </c>
      <c r="I86" s="7"/>
      <c r="J86" s="12"/>
    </row>
    <row r="87" spans="1:10" x14ac:dyDescent="0.25">
      <c r="A87" s="8">
        <v>86</v>
      </c>
      <c r="B87" s="8" t="s">
        <v>87</v>
      </c>
      <c r="C87" s="8" t="s">
        <v>106</v>
      </c>
      <c r="D87" s="6">
        <v>218.33538461538461</v>
      </c>
      <c r="E87" s="7" t="s">
        <v>115</v>
      </c>
      <c r="F87" s="6">
        <v>151.97672727272726</v>
      </c>
      <c r="G87" s="7" t="s">
        <v>136</v>
      </c>
      <c r="H87" s="9">
        <v>121.15577500000001</v>
      </c>
      <c r="I87" s="7"/>
      <c r="J87" s="12"/>
    </row>
    <row r="88" spans="1:10" x14ac:dyDescent="0.25">
      <c r="A88" s="8">
        <v>87</v>
      </c>
      <c r="B88" s="8" t="s">
        <v>88</v>
      </c>
      <c r="C88" s="8" t="s">
        <v>130</v>
      </c>
      <c r="D88" s="6">
        <v>100.13381538461539</v>
      </c>
      <c r="E88" s="7" t="s">
        <v>116</v>
      </c>
      <c r="F88" s="6">
        <v>56.991272727272722</v>
      </c>
      <c r="G88" s="7" t="s">
        <v>136</v>
      </c>
      <c r="H88" s="9">
        <v>38.891774999999996</v>
      </c>
      <c r="I88" s="7"/>
      <c r="J88" s="12"/>
    </row>
    <row r="89" spans="1:10" x14ac:dyDescent="0.25">
      <c r="A89" s="8">
        <v>88</v>
      </c>
      <c r="B89" s="8" t="s">
        <v>89</v>
      </c>
      <c r="C89" s="8" t="s">
        <v>106</v>
      </c>
      <c r="D89" s="6">
        <v>138.21230769230769</v>
      </c>
      <c r="E89" s="7" t="s">
        <v>115</v>
      </c>
      <c r="F89" s="6">
        <v>113.98254545454544</v>
      </c>
      <c r="G89" s="7" t="s">
        <v>136</v>
      </c>
      <c r="H89" s="9">
        <v>91.775774999999996</v>
      </c>
      <c r="I89" s="7"/>
      <c r="J89" s="12"/>
    </row>
    <row r="90" spans="1:10" x14ac:dyDescent="0.25">
      <c r="A90" s="8">
        <v>89</v>
      </c>
      <c r="B90" s="8" t="s">
        <v>90</v>
      </c>
      <c r="C90" s="8" t="s">
        <v>130</v>
      </c>
      <c r="D90" s="6">
        <v>160.22612307692307</v>
      </c>
      <c r="E90" s="7" t="s">
        <v>116</v>
      </c>
      <c r="F90" s="6">
        <v>187.59627272727272</v>
      </c>
      <c r="G90" s="7" t="s">
        <v>136</v>
      </c>
      <c r="H90" s="9">
        <v>106.83302499999999</v>
      </c>
      <c r="I90" s="7"/>
      <c r="J90" s="12"/>
    </row>
    <row r="91" spans="1:10" x14ac:dyDescent="0.25">
      <c r="A91" s="8">
        <v>90</v>
      </c>
      <c r="B91" s="8" t="s">
        <v>91</v>
      </c>
      <c r="C91" s="8" t="s">
        <v>130</v>
      </c>
      <c r="D91" s="6">
        <v>50.056892307692308</v>
      </c>
      <c r="E91" s="7" t="s">
        <v>119</v>
      </c>
      <c r="F91" s="9">
        <v>45.11809090909091</v>
      </c>
      <c r="G91" s="7" t="s">
        <v>136</v>
      </c>
      <c r="H91" s="6">
        <v>58.723275000000001</v>
      </c>
      <c r="I91" s="7"/>
      <c r="J91" s="12"/>
    </row>
    <row r="92" spans="1:10" x14ac:dyDescent="0.25">
      <c r="A92" s="8">
        <v>91</v>
      </c>
      <c r="B92" s="8" t="s">
        <v>92</v>
      </c>
      <c r="C92" s="8" t="s">
        <v>130</v>
      </c>
      <c r="D92" s="9">
        <v>146.20458461538459</v>
      </c>
      <c r="E92" s="7" t="s">
        <v>116</v>
      </c>
      <c r="F92" s="6">
        <v>163.84990909090908</v>
      </c>
      <c r="G92" s="7" t="s">
        <v>136</v>
      </c>
      <c r="H92" s="6">
        <v>220.313275</v>
      </c>
      <c r="I92" s="7"/>
      <c r="J92" s="12"/>
    </row>
    <row r="93" spans="1:10" x14ac:dyDescent="0.25">
      <c r="A93" s="8">
        <v>92</v>
      </c>
      <c r="B93" s="8" t="s">
        <v>93</v>
      </c>
      <c r="C93" s="8" t="s">
        <v>130</v>
      </c>
      <c r="D93" s="9">
        <v>212.30612307692306</v>
      </c>
      <c r="E93" s="7" t="s">
        <v>116</v>
      </c>
      <c r="F93" s="6">
        <v>235.089</v>
      </c>
      <c r="G93" s="7" t="s">
        <v>136</v>
      </c>
      <c r="H93" s="6">
        <v>569.23749999999995</v>
      </c>
      <c r="I93" s="7"/>
      <c r="J93" s="12"/>
    </row>
    <row r="94" spans="1:10" x14ac:dyDescent="0.25">
      <c r="A94" s="8">
        <v>93</v>
      </c>
      <c r="B94" s="8" t="s">
        <v>94</v>
      </c>
      <c r="C94" s="8" t="s">
        <v>130</v>
      </c>
      <c r="D94" s="9">
        <v>318.4692</v>
      </c>
      <c r="E94" s="7" t="s">
        <v>122</v>
      </c>
      <c r="F94" s="6">
        <v>368.06863636363636</v>
      </c>
      <c r="G94" s="7" t="s">
        <v>136</v>
      </c>
      <c r="H94" s="6">
        <v>196.442025</v>
      </c>
      <c r="I94" s="7"/>
      <c r="J94" s="12"/>
    </row>
    <row r="95" spans="1:10" x14ac:dyDescent="0.25">
      <c r="A95" s="8">
        <v>94</v>
      </c>
      <c r="B95" s="8" t="s">
        <v>95</v>
      </c>
      <c r="C95" s="8" t="s">
        <v>104</v>
      </c>
      <c r="D95" s="9">
        <v>448.68923076923073</v>
      </c>
      <c r="E95" s="7" t="s">
        <v>105</v>
      </c>
      <c r="F95" s="6">
        <v>510.54681818181814</v>
      </c>
      <c r="G95" s="7" t="s">
        <v>136</v>
      </c>
      <c r="H95" s="6">
        <v>694.10249999999996</v>
      </c>
      <c r="I95" s="7"/>
      <c r="J95" s="12"/>
    </row>
    <row r="96" spans="1:10" x14ac:dyDescent="0.25">
      <c r="A96" s="8">
        <v>95</v>
      </c>
      <c r="B96" s="8" t="s">
        <v>96</v>
      </c>
      <c r="C96" s="8" t="s">
        <v>102</v>
      </c>
      <c r="D96" s="6">
        <v>63.998307692307684</v>
      </c>
      <c r="E96" s="7" t="s">
        <v>107</v>
      </c>
      <c r="F96" s="6">
        <v>78.363</v>
      </c>
      <c r="G96" s="7" t="s">
        <v>136</v>
      </c>
      <c r="H96" s="9">
        <v>51.378275000000002</v>
      </c>
      <c r="I96" s="7"/>
      <c r="J96" s="12"/>
    </row>
    <row r="97" spans="1:10" x14ac:dyDescent="0.25">
      <c r="A97" s="8">
        <v>96</v>
      </c>
      <c r="B97" s="8" t="s">
        <v>97</v>
      </c>
      <c r="C97" s="8" t="s">
        <v>106</v>
      </c>
      <c r="D97" s="6">
        <v>278.42769230769233</v>
      </c>
      <c r="E97" s="7" t="s">
        <v>122</v>
      </c>
      <c r="F97" s="9">
        <v>223.90446272727272</v>
      </c>
      <c r="G97" s="7" t="s">
        <v>136</v>
      </c>
      <c r="H97" s="6">
        <v>282.74577499999998</v>
      </c>
      <c r="I97" s="7"/>
      <c r="J97" s="12"/>
    </row>
    <row r="98" spans="1:10" x14ac:dyDescent="0.25">
      <c r="A98" s="8">
        <v>97</v>
      </c>
      <c r="B98" s="8" t="s">
        <v>98</v>
      </c>
      <c r="C98" s="8" t="s">
        <v>110</v>
      </c>
      <c r="D98" s="6">
        <v>316.48615384615385</v>
      </c>
      <c r="E98" s="7" t="s">
        <v>116</v>
      </c>
      <c r="F98" s="6">
        <v>353.8208181818182</v>
      </c>
      <c r="G98" s="7" t="s">
        <v>136</v>
      </c>
      <c r="H98" s="9">
        <v>238.71250000000001</v>
      </c>
      <c r="I98" s="7"/>
      <c r="J98" s="12"/>
    </row>
    <row r="99" spans="1:10" x14ac:dyDescent="0.25">
      <c r="A99" s="8">
        <v>98</v>
      </c>
      <c r="B99" s="8" t="s">
        <v>99</v>
      </c>
      <c r="C99" s="8" t="s">
        <v>106</v>
      </c>
      <c r="D99" s="6">
        <v>3924.0276923076922</v>
      </c>
      <c r="E99" s="7" t="s">
        <v>134</v>
      </c>
      <c r="F99" s="6">
        <v>3844.5362727272723</v>
      </c>
      <c r="G99" s="7" t="s">
        <v>136</v>
      </c>
      <c r="H99" s="9">
        <v>3595.3775000000001</v>
      </c>
      <c r="I99" s="7"/>
      <c r="J99" s="12"/>
    </row>
    <row r="100" spans="1:10" x14ac:dyDescent="0.25">
      <c r="A100" s="8">
        <v>99</v>
      </c>
      <c r="B100" s="8" t="s">
        <v>100</v>
      </c>
      <c r="C100" s="8" t="s">
        <v>108</v>
      </c>
      <c r="D100" s="6">
        <v>1660.550769230769</v>
      </c>
      <c r="E100" s="7" t="s">
        <v>105</v>
      </c>
      <c r="F100" s="9">
        <v>1303.6753636363635</v>
      </c>
      <c r="G100" s="7" t="s">
        <v>136</v>
      </c>
      <c r="H100" s="6">
        <v>1575.5025000000001</v>
      </c>
      <c r="I100" s="7">
        <v>1190</v>
      </c>
      <c r="J100" s="10">
        <f>I100-F100</f>
        <v>-113.6753636363635</v>
      </c>
    </row>
    <row r="101" spans="1:10" x14ac:dyDescent="0.25">
      <c r="A101" s="8">
        <v>100</v>
      </c>
      <c r="B101" s="8" t="s">
        <v>140</v>
      </c>
      <c r="C101" s="8" t="s">
        <v>104</v>
      </c>
      <c r="D101" s="6">
        <v>1762.4872792799999</v>
      </c>
      <c r="E101" s="7" t="s">
        <v>141</v>
      </c>
      <c r="F101" s="9">
        <v>1596.21145</v>
      </c>
      <c r="G101" s="7" t="s">
        <v>137</v>
      </c>
      <c r="H101" s="6">
        <v>2019.8382750000001</v>
      </c>
      <c r="I101" s="7">
        <v>1460</v>
      </c>
      <c r="J101" s="10">
        <f>I101-F101</f>
        <v>-136.21145000000001</v>
      </c>
    </row>
    <row r="102" spans="1:10" x14ac:dyDescent="0.25">
      <c r="A102" s="8">
        <v>101</v>
      </c>
      <c r="B102" s="8" t="s">
        <v>142</v>
      </c>
      <c r="C102" s="8" t="s">
        <v>154</v>
      </c>
      <c r="D102" s="6">
        <v>0</v>
      </c>
      <c r="E102" s="7" t="s">
        <v>107</v>
      </c>
      <c r="F102" s="9">
        <v>632.41899999999998</v>
      </c>
      <c r="G102" s="7" t="s">
        <v>155</v>
      </c>
      <c r="H102" s="6">
        <v>1208.2525000000001</v>
      </c>
      <c r="I102" s="7">
        <v>1280</v>
      </c>
      <c r="J102" s="11">
        <f>I102-F102</f>
        <v>647.58100000000002</v>
      </c>
    </row>
    <row r="103" spans="1:10" x14ac:dyDescent="0.25">
      <c r="A103" s="8">
        <v>102</v>
      </c>
      <c r="B103" s="8" t="s">
        <v>143</v>
      </c>
      <c r="C103" s="8" t="s">
        <v>104</v>
      </c>
      <c r="D103" s="6">
        <v>2059.6400344800004</v>
      </c>
      <c r="E103" s="7" t="s">
        <v>105</v>
      </c>
      <c r="F103" s="6">
        <v>1925.4689999999998</v>
      </c>
      <c r="G103" s="7" t="s">
        <v>156</v>
      </c>
      <c r="H103" s="9">
        <v>1648.9524999999999</v>
      </c>
      <c r="I103" s="7">
        <v>1500</v>
      </c>
      <c r="J103" s="10">
        <f>I103-H103</f>
        <v>-148.95249999999987</v>
      </c>
    </row>
    <row r="104" spans="1:10" x14ac:dyDescent="0.25">
      <c r="A104" s="8">
        <v>103</v>
      </c>
      <c r="B104" s="8" t="s">
        <v>144</v>
      </c>
      <c r="C104" s="8" t="s">
        <v>108</v>
      </c>
      <c r="D104" s="9">
        <v>332.43964488</v>
      </c>
      <c r="E104" s="7" t="s">
        <v>116</v>
      </c>
      <c r="F104" s="6">
        <v>350.29900000000004</v>
      </c>
      <c r="G104" s="7" t="s">
        <v>137</v>
      </c>
      <c r="H104" s="6">
        <v>363.57749999999999</v>
      </c>
      <c r="I104" s="7">
        <v>320</v>
      </c>
      <c r="J104" s="10">
        <f>I104-D104</f>
        <v>-12.439644880000003</v>
      </c>
    </row>
    <row r="105" spans="1:10" x14ac:dyDescent="0.25">
      <c r="A105" s="8">
        <v>104</v>
      </c>
      <c r="B105" s="8" t="s">
        <v>145</v>
      </c>
      <c r="C105" s="8" t="s">
        <v>113</v>
      </c>
      <c r="D105" s="6">
        <v>611.02035288000002</v>
      </c>
      <c r="E105" s="7" t="s">
        <v>105</v>
      </c>
      <c r="F105" s="6">
        <v>630.06799999999998</v>
      </c>
      <c r="G105" s="7" t="s">
        <v>137</v>
      </c>
      <c r="H105" s="9">
        <v>547.20249999999999</v>
      </c>
      <c r="I105" s="7">
        <v>550</v>
      </c>
      <c r="J105" s="11">
        <f>I105-H105</f>
        <v>2.7975000000000136</v>
      </c>
    </row>
    <row r="106" spans="1:10" x14ac:dyDescent="0.25">
      <c r="A106" s="8">
        <v>105</v>
      </c>
      <c r="B106" s="8" t="s">
        <v>146</v>
      </c>
      <c r="C106" s="8" t="s">
        <v>153</v>
      </c>
      <c r="D106" s="6">
        <v>3186.7590070008005</v>
      </c>
      <c r="E106" s="7" t="s">
        <v>115</v>
      </c>
      <c r="F106" s="9">
        <v>3166.797</v>
      </c>
      <c r="G106" s="7" t="s">
        <v>157</v>
      </c>
      <c r="H106" s="6">
        <v>4256.4274999999998</v>
      </c>
      <c r="I106" s="7">
        <v>2875</v>
      </c>
      <c r="J106" s="10">
        <f>I106-F106</f>
        <v>-291.79700000000003</v>
      </c>
    </row>
    <row r="107" spans="1:10" x14ac:dyDescent="0.25">
      <c r="A107" s="8">
        <v>106</v>
      </c>
      <c r="B107" s="8" t="s">
        <v>147</v>
      </c>
      <c r="C107" s="8" t="s">
        <v>153</v>
      </c>
      <c r="D107" s="9">
        <v>3712.5522352799999</v>
      </c>
      <c r="E107" s="7" t="s">
        <v>112</v>
      </c>
      <c r="F107" s="6">
        <v>3994.3490000000002</v>
      </c>
      <c r="G107" s="7" t="s">
        <v>158</v>
      </c>
      <c r="H107" s="6">
        <v>4036.0774999999999</v>
      </c>
      <c r="I107" s="7">
        <v>4650</v>
      </c>
      <c r="J107" s="11">
        <f>I107-D107</f>
        <v>937.44776472000012</v>
      </c>
    </row>
    <row r="108" spans="1:10" x14ac:dyDescent="0.25">
      <c r="A108" s="8">
        <v>107</v>
      </c>
      <c r="B108" s="8" t="s">
        <v>148</v>
      </c>
      <c r="C108" s="8" t="s">
        <v>130</v>
      </c>
      <c r="D108" s="6">
        <v>1669.62704328</v>
      </c>
      <c r="E108" s="7" t="s">
        <v>107</v>
      </c>
      <c r="F108" s="6">
        <v>1593.9780000000001</v>
      </c>
      <c r="G108" s="7" t="s">
        <v>158</v>
      </c>
      <c r="H108" s="9">
        <v>469</v>
      </c>
      <c r="I108" s="7">
        <v>1290</v>
      </c>
      <c r="J108" s="11">
        <f>I108-H108</f>
        <v>821</v>
      </c>
    </row>
    <row r="109" spans="1:10" x14ac:dyDescent="0.25">
      <c r="A109" s="8">
        <v>108</v>
      </c>
      <c r="B109" s="8" t="s">
        <v>149</v>
      </c>
      <c r="C109" s="8" t="s">
        <v>130</v>
      </c>
      <c r="D109" s="9">
        <v>1979.7802315199999</v>
      </c>
      <c r="E109" s="7" t="s">
        <v>105</v>
      </c>
      <c r="F109" s="6">
        <v>1995.999</v>
      </c>
      <c r="G109" s="7" t="s">
        <v>158</v>
      </c>
      <c r="H109" s="6">
        <v>2236.5524999999998</v>
      </c>
      <c r="I109" s="7">
        <v>1600</v>
      </c>
      <c r="J109" s="10">
        <f>I109-D109</f>
        <v>-379.78023151999992</v>
      </c>
    </row>
    <row r="110" spans="1:10" x14ac:dyDescent="0.25">
      <c r="A110" s="8">
        <v>109</v>
      </c>
      <c r="B110" s="8" t="s">
        <v>150</v>
      </c>
      <c r="C110" s="8" t="s">
        <v>110</v>
      </c>
      <c r="D110" s="9">
        <v>2561.08530888</v>
      </c>
      <c r="E110" s="7" t="s">
        <v>105</v>
      </c>
      <c r="F110" s="6">
        <v>2926.9949999999999</v>
      </c>
      <c r="G110" s="7" t="s">
        <v>158</v>
      </c>
      <c r="H110" s="6">
        <v>3191.4024999999997</v>
      </c>
      <c r="I110" s="7">
        <v>2500</v>
      </c>
      <c r="J110" s="10">
        <f t="shared" ref="J110:J112" si="1">I110-D110</f>
        <v>-61.085308879999957</v>
      </c>
    </row>
    <row r="111" spans="1:10" x14ac:dyDescent="0.25">
      <c r="A111" s="8">
        <v>110</v>
      </c>
      <c r="B111" s="8" t="s">
        <v>159</v>
      </c>
      <c r="C111" s="8" t="s">
        <v>130</v>
      </c>
      <c r="D111" s="9">
        <v>2041.0679872799997</v>
      </c>
      <c r="E111" s="7" t="s">
        <v>110</v>
      </c>
      <c r="F111" s="6">
        <v>3125.284206368</v>
      </c>
      <c r="G111" s="7" t="s">
        <v>158</v>
      </c>
      <c r="H111" s="6">
        <v>3705.5524999999998</v>
      </c>
      <c r="I111" s="7">
        <v>3200</v>
      </c>
      <c r="J111" s="11">
        <f t="shared" si="1"/>
        <v>1158.9320127200003</v>
      </c>
    </row>
    <row r="112" spans="1:10" x14ac:dyDescent="0.25">
      <c r="A112" s="8">
        <v>111</v>
      </c>
      <c r="B112" s="8" t="s">
        <v>151</v>
      </c>
      <c r="C112" s="8" t="s">
        <v>111</v>
      </c>
      <c r="D112" s="9">
        <v>1017.7481865599999</v>
      </c>
      <c r="E112" s="7" t="s">
        <v>105</v>
      </c>
      <c r="F112" s="6">
        <v>1238.9770000000001</v>
      </c>
      <c r="G112" s="7" t="s">
        <v>158</v>
      </c>
      <c r="H112" s="6">
        <v>1355.1524999999999</v>
      </c>
      <c r="I112" s="7">
        <v>1175</v>
      </c>
      <c r="J112" s="11">
        <f t="shared" si="1"/>
        <v>157.25181344000009</v>
      </c>
    </row>
  </sheetData>
  <autoFilter ref="A1:J112" xr:uid="{7556B844-2512-4EC1-950E-1D5F59AC3C08}"/>
  <conditionalFormatting sqref="B1:B1048576">
    <cfRule type="duplicateValues" dxfId="3" priority="3"/>
    <cfRule type="duplicateValues" dxfId="2" priority="4"/>
  </conditionalFormatting>
  <conditionalFormatting sqref="G1">
    <cfRule type="duplicateValues" dxfId="1" priority="1"/>
    <cfRule type="duplicateValues" dxfId="0" priority="2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AFAC58-0BD3-4BA5-B289-9E4F58734CF4}">
  <dimension ref="A1:D1"/>
  <sheetViews>
    <sheetView workbookViewId="0">
      <selection activeCell="D1" sqref="D1"/>
    </sheetView>
  </sheetViews>
  <sheetFormatPr defaultRowHeight="15" x14ac:dyDescent="0.25"/>
  <sheetData>
    <row r="1" spans="1:4" x14ac:dyDescent="0.25">
      <c r="A1">
        <v>1679</v>
      </c>
      <c r="B1">
        <f>A1*2.14052</f>
        <v>3593.9330799999998</v>
      </c>
      <c r="C1">
        <f>B1*0.1304</f>
        <v>468.64887363199995</v>
      </c>
      <c r="D1">
        <f>B1-C1</f>
        <v>3125.284206368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swiss tech</dc:creator>
  <cp:lastModifiedBy>swiss tech</cp:lastModifiedBy>
  <dcterms:created xsi:type="dcterms:W3CDTF">2026-06-03T08:52:09Z</dcterms:created>
  <dcterms:modified xsi:type="dcterms:W3CDTF">2026-06-08T13:48:07Z</dcterms:modified>
</cp:coreProperties>
</file>