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P:\Downloads\"/>
    </mc:Choice>
  </mc:AlternateContent>
  <xr:revisionPtr revIDLastSave="0" documentId="8_{D023C2D8-64F1-49AD-BCB3-7A119F35BBCA}" xr6:coauthVersionLast="47" xr6:coauthVersionMax="47" xr10:uidLastSave="{00000000-0000-0000-0000-000000000000}"/>
  <bookViews>
    <workbookView xWindow="20370" yWindow="-120" windowWidth="29040" windowHeight="17520" xr2:uid="{3AEDB767-15E9-4086-A958-C835553E6587}"/>
  </bookViews>
  <sheets>
    <sheet name="Sheet1" sheetId="1" r:id="rId1"/>
    <sheet name="Sheet2" sheetId="2" r:id="rId2"/>
  </sheets>
  <definedNames>
    <definedName name="_xlnm._FilterDatabase" localSheetId="0" hidden="1">Sheet1!$A$1:$L$99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92" i="1" l="1"/>
  <c r="L89" i="1"/>
  <c r="L88" i="1"/>
  <c r="L80" i="1"/>
  <c r="L81" i="1"/>
  <c r="L79" i="1"/>
  <c r="L37" i="1"/>
  <c r="L27" i="1"/>
  <c r="L19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20" i="1"/>
  <c r="L21" i="1"/>
  <c r="L22" i="1"/>
  <c r="L23" i="1"/>
  <c r="L24" i="1"/>
  <c r="L25" i="1"/>
  <c r="L26" i="1"/>
  <c r="L28" i="1"/>
  <c r="L29" i="1"/>
  <c r="L30" i="1"/>
  <c r="L31" i="1"/>
  <c r="L32" i="1"/>
  <c r="L33" i="1"/>
  <c r="L34" i="1"/>
  <c r="L35" i="1"/>
  <c r="L36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82" i="1"/>
  <c r="L83" i="1"/>
  <c r="L84" i="1"/>
  <c r="L85" i="1"/>
  <c r="L86" i="1"/>
  <c r="L87" i="1"/>
  <c r="L90" i="1"/>
  <c r="L91" i="1"/>
  <c r="L93" i="1"/>
  <c r="L94" i="1"/>
  <c r="L95" i="1"/>
  <c r="L96" i="1"/>
  <c r="L97" i="1"/>
  <c r="L98" i="1"/>
  <c r="L99" i="1"/>
  <c r="L2" i="1"/>
  <c r="B2" i="2"/>
  <c r="C2" i="2" s="1"/>
  <c r="D2" i="2" s="1"/>
  <c r="B3" i="2"/>
  <c r="C3" i="2" s="1"/>
  <c r="D3" i="2" s="1"/>
  <c r="B4" i="2"/>
  <c r="C4" i="2"/>
  <c r="D4" i="2"/>
  <c r="B5" i="2"/>
  <c r="C5" i="2"/>
  <c r="D5" i="2"/>
  <c r="B6" i="2"/>
  <c r="C6" i="2"/>
  <c r="D6" i="2"/>
  <c r="B7" i="2"/>
  <c r="C7" i="2"/>
  <c r="D7" i="2"/>
  <c r="B8" i="2"/>
  <c r="C8" i="2"/>
  <c r="D8" i="2"/>
  <c r="B9" i="2"/>
  <c r="C9" i="2"/>
  <c r="D9" i="2"/>
  <c r="B10" i="2"/>
  <c r="C10" i="2"/>
  <c r="D10" i="2"/>
  <c r="B11" i="2"/>
  <c r="C11" i="2"/>
  <c r="D11" i="2"/>
  <c r="B12" i="2"/>
  <c r="C12" i="2"/>
  <c r="D12" i="2"/>
  <c r="B13" i="2"/>
  <c r="C13" i="2"/>
  <c r="D13" i="2"/>
  <c r="B14" i="2"/>
  <c r="C14" i="2"/>
  <c r="D14" i="2"/>
  <c r="B15" i="2"/>
  <c r="C15" i="2"/>
  <c r="D15" i="2"/>
  <c r="B16" i="2"/>
  <c r="C16" i="2"/>
  <c r="D16" i="2"/>
  <c r="B17" i="2"/>
  <c r="C17" i="2"/>
  <c r="D17" i="2"/>
  <c r="B18" i="2"/>
  <c r="C18" i="2"/>
  <c r="D18" i="2"/>
  <c r="B19" i="2"/>
  <c r="C19" i="2"/>
  <c r="D19" i="2"/>
  <c r="B20" i="2"/>
  <c r="C20" i="2"/>
  <c r="D20" i="2"/>
  <c r="B21" i="2"/>
  <c r="C21" i="2"/>
  <c r="D21" i="2"/>
  <c r="B22" i="2"/>
  <c r="C22" i="2"/>
  <c r="D22" i="2"/>
  <c r="B23" i="2"/>
  <c r="C23" i="2"/>
  <c r="D23" i="2"/>
  <c r="B24" i="2"/>
  <c r="C24" i="2"/>
  <c r="D24" i="2"/>
  <c r="B25" i="2"/>
  <c r="C25" i="2"/>
  <c r="D25" i="2"/>
  <c r="B26" i="2"/>
  <c r="C26" i="2"/>
  <c r="D26" i="2"/>
  <c r="B27" i="2"/>
  <c r="C27" i="2"/>
  <c r="D27" i="2"/>
  <c r="B28" i="2"/>
  <c r="C28" i="2"/>
  <c r="D28" i="2"/>
  <c r="B29" i="2"/>
  <c r="C29" i="2"/>
  <c r="D29" i="2"/>
  <c r="B30" i="2"/>
  <c r="C30" i="2"/>
  <c r="D30" i="2"/>
  <c r="B31" i="2"/>
  <c r="C31" i="2"/>
  <c r="D31" i="2"/>
  <c r="B32" i="2"/>
  <c r="C32" i="2"/>
  <c r="D32" i="2"/>
  <c r="B33" i="2"/>
  <c r="C33" i="2"/>
  <c r="D33" i="2"/>
  <c r="B34" i="2"/>
  <c r="C34" i="2"/>
  <c r="D34" i="2"/>
  <c r="B35" i="2"/>
  <c r="C35" i="2"/>
  <c r="D35" i="2"/>
  <c r="B36" i="2"/>
  <c r="C36" i="2"/>
  <c r="D36" i="2"/>
  <c r="B37" i="2"/>
  <c r="C37" i="2"/>
  <c r="D37" i="2"/>
  <c r="B38" i="2"/>
  <c r="C38" i="2"/>
  <c r="D38" i="2"/>
  <c r="B39" i="2"/>
  <c r="C39" i="2"/>
  <c r="D39" i="2"/>
  <c r="B40" i="2"/>
  <c r="C40" i="2"/>
  <c r="D40" i="2"/>
  <c r="B41" i="2"/>
  <c r="C41" i="2"/>
  <c r="D41" i="2"/>
  <c r="B42" i="2"/>
  <c r="C42" i="2"/>
  <c r="D42" i="2"/>
  <c r="B43" i="2"/>
  <c r="C43" i="2"/>
  <c r="D43" i="2"/>
  <c r="B44" i="2"/>
  <c r="C44" i="2"/>
  <c r="D44" i="2"/>
  <c r="B45" i="2"/>
  <c r="C45" i="2"/>
  <c r="D45" i="2"/>
  <c r="B46" i="2"/>
  <c r="C46" i="2"/>
  <c r="D46" i="2"/>
  <c r="B47" i="2"/>
  <c r="C47" i="2"/>
  <c r="D47" i="2"/>
  <c r="B48" i="2"/>
  <c r="C48" i="2"/>
  <c r="D48" i="2"/>
  <c r="B49" i="2"/>
  <c r="C49" i="2"/>
  <c r="D49" i="2"/>
  <c r="B50" i="2"/>
  <c r="C50" i="2"/>
  <c r="D50" i="2"/>
  <c r="B51" i="2"/>
  <c r="C51" i="2"/>
  <c r="D51" i="2"/>
  <c r="B52" i="2"/>
  <c r="C52" i="2"/>
  <c r="D52" i="2"/>
  <c r="B53" i="2"/>
  <c r="C53" i="2"/>
  <c r="D53" i="2"/>
  <c r="B54" i="2"/>
  <c r="C54" i="2"/>
  <c r="D54" i="2"/>
  <c r="B55" i="2"/>
  <c r="C55" i="2"/>
  <c r="D55" i="2"/>
  <c r="B56" i="2"/>
  <c r="C56" i="2"/>
  <c r="D56" i="2"/>
  <c r="B57" i="2"/>
  <c r="C57" i="2"/>
  <c r="D57" i="2"/>
  <c r="B58" i="2"/>
  <c r="C58" i="2"/>
  <c r="D58" i="2"/>
  <c r="B59" i="2"/>
  <c r="C59" i="2"/>
  <c r="D59" i="2"/>
  <c r="B60" i="2"/>
  <c r="C60" i="2"/>
  <c r="D60" i="2"/>
  <c r="B61" i="2"/>
  <c r="C61" i="2"/>
  <c r="D61" i="2"/>
  <c r="B62" i="2"/>
  <c r="C62" i="2"/>
  <c r="D62" i="2"/>
  <c r="B63" i="2"/>
  <c r="C63" i="2"/>
  <c r="D63" i="2"/>
  <c r="B64" i="2"/>
  <c r="C64" i="2"/>
  <c r="D64" i="2"/>
  <c r="B65" i="2"/>
  <c r="C65" i="2"/>
  <c r="D65" i="2"/>
  <c r="B66" i="2"/>
  <c r="C66" i="2"/>
  <c r="D66" i="2"/>
  <c r="B67" i="2"/>
  <c r="C67" i="2"/>
  <c r="D67" i="2"/>
  <c r="B68" i="2"/>
  <c r="C68" i="2"/>
  <c r="D68" i="2"/>
  <c r="B69" i="2"/>
  <c r="C69" i="2"/>
  <c r="D69" i="2"/>
  <c r="B70" i="2"/>
  <c r="C70" i="2"/>
  <c r="D70" i="2"/>
  <c r="B71" i="2"/>
  <c r="C71" i="2"/>
  <c r="D71" i="2"/>
  <c r="B72" i="2"/>
  <c r="C72" i="2"/>
  <c r="D72" i="2"/>
  <c r="B73" i="2"/>
  <c r="C73" i="2"/>
  <c r="D73" i="2"/>
  <c r="B74" i="2"/>
  <c r="C74" i="2"/>
  <c r="D74" i="2"/>
  <c r="B75" i="2"/>
  <c r="C75" i="2"/>
  <c r="D75" i="2"/>
  <c r="B76" i="2"/>
  <c r="C76" i="2"/>
  <c r="D76" i="2"/>
  <c r="B77" i="2"/>
  <c r="C77" i="2"/>
  <c r="D77" i="2"/>
  <c r="B78" i="2"/>
  <c r="C78" i="2"/>
  <c r="D78" i="2"/>
  <c r="B79" i="2"/>
  <c r="C79" i="2"/>
  <c r="D79" i="2"/>
  <c r="B80" i="2"/>
  <c r="C80" i="2"/>
  <c r="D80" i="2"/>
  <c r="B81" i="2"/>
  <c r="C81" i="2"/>
  <c r="D81" i="2"/>
  <c r="B82" i="2"/>
  <c r="C82" i="2"/>
  <c r="D82" i="2"/>
  <c r="B83" i="2"/>
  <c r="C83" i="2"/>
  <c r="D83" i="2"/>
  <c r="B84" i="2"/>
  <c r="C84" i="2"/>
  <c r="D84" i="2"/>
  <c r="B85" i="2"/>
  <c r="C85" i="2"/>
  <c r="D85" i="2"/>
  <c r="B86" i="2"/>
  <c r="C86" i="2"/>
  <c r="D86" i="2"/>
  <c r="B87" i="2"/>
  <c r="C87" i="2"/>
  <c r="D87" i="2"/>
  <c r="B88" i="2"/>
  <c r="C88" i="2"/>
  <c r="D88" i="2"/>
  <c r="B89" i="2"/>
  <c r="C89" i="2"/>
  <c r="D89" i="2"/>
  <c r="B90" i="2"/>
  <c r="C90" i="2"/>
  <c r="D90" i="2"/>
  <c r="B91" i="2"/>
  <c r="C91" i="2"/>
  <c r="D91" i="2"/>
  <c r="B92" i="2"/>
  <c r="C92" i="2"/>
  <c r="D92" i="2"/>
  <c r="B93" i="2"/>
  <c r="C93" i="2"/>
  <c r="D93" i="2"/>
  <c r="B94" i="2"/>
  <c r="C94" i="2"/>
  <c r="D94" i="2"/>
  <c r="B95" i="2"/>
  <c r="C95" i="2"/>
  <c r="D95" i="2"/>
  <c r="B96" i="2"/>
  <c r="C96" i="2"/>
  <c r="D96" i="2"/>
  <c r="B97" i="2"/>
  <c r="C97" i="2"/>
  <c r="D97" i="2"/>
  <c r="B98" i="2"/>
  <c r="C98" i="2"/>
  <c r="D98" i="2"/>
  <c r="B99" i="2"/>
  <c r="C99" i="2"/>
  <c r="D99" i="2"/>
  <c r="B100" i="2"/>
  <c r="C100" i="2"/>
  <c r="D100" i="2"/>
  <c r="D1" i="2"/>
  <c r="C1" i="2"/>
  <c r="B1" i="2"/>
</calcChain>
</file>

<file path=xl/sharedStrings.xml><?xml version="1.0" encoding="utf-8"?>
<sst xmlns="http://schemas.openxmlformats.org/spreadsheetml/2006/main" count="647" uniqueCount="155">
  <si>
    <t>Sr No</t>
  </si>
  <si>
    <t>Model</t>
  </si>
  <si>
    <t>Storage</t>
  </si>
  <si>
    <t>Colour</t>
  </si>
  <si>
    <t>Status</t>
  </si>
  <si>
    <t>Website (AUD)</t>
  </si>
  <si>
    <t>Website (NZD)</t>
  </si>
  <si>
    <t>Macbook Air M4 13 8GPU/10CPU (MC6T4)</t>
  </si>
  <si>
    <t>16 GB, 256 GB</t>
  </si>
  <si>
    <t>Sky Blue</t>
  </si>
  <si>
    <t>Non Active</t>
  </si>
  <si>
    <t>officeworks.com.au</t>
  </si>
  <si>
    <t>elive.co.nz</t>
  </si>
  <si>
    <t>Not Avalabile AUD, NZD</t>
  </si>
  <si>
    <t>Macbook Air M4 13 8GPU/10CPU (MW0W3)</t>
  </si>
  <si>
    <t xml:space="preserve">Silver </t>
  </si>
  <si>
    <t>Macbook Air M4 13 8GPU/10CPU (MW123)</t>
  </si>
  <si>
    <t xml:space="preserve">Midnight </t>
  </si>
  <si>
    <t>Macbook Air M4 13 8GPU/10CPU (MW0Y3)</t>
  </si>
  <si>
    <t xml:space="preserve">Starlight </t>
  </si>
  <si>
    <t>Macbook Air M4  13 10GPU/10CPU (MC6U4)</t>
  </si>
  <si>
    <t>16 GB, 512 GB</t>
  </si>
  <si>
    <t>Macbook Air M4  13 10GPU/10CPU (MW0X3)</t>
  </si>
  <si>
    <t>Macbook Air M4  13 10GPU/10CPU (MW133)</t>
  </si>
  <si>
    <t>rubbermonkey.co.nz</t>
  </si>
  <si>
    <t>Macbook Air M4  13 10GPU/10CPU (MW103)</t>
  </si>
  <si>
    <t>Not Avalabile AUD</t>
  </si>
  <si>
    <t>Macbook Air M4  13 10GPU/10CPU (MC6V4)</t>
  </si>
  <si>
    <t>24 GB, 512 GB</t>
  </si>
  <si>
    <t>noelleeming.co.nz</t>
  </si>
  <si>
    <t>Macbook Air M4  13 10GPU/10CPU (MC654)</t>
  </si>
  <si>
    <t>themall.aucklandairport.co.nz</t>
  </si>
  <si>
    <t>Macbook Air M4  13 10GPU/10CPU (MC6C4)</t>
  </si>
  <si>
    <t>Macbook Air M4  13 10GPU/10CPU (MC6A4)</t>
  </si>
  <si>
    <t>Macbook Air M4 15 10GPU/10CPU (MC7A4)</t>
  </si>
  <si>
    <t>Not Avalabile NZD</t>
  </si>
  <si>
    <t>Macbook Air M4 15 10GPU/10CPU (MW1G3)</t>
  </si>
  <si>
    <t>Macbook Air M4 15 10GPU/10CPU (MW1L3)</t>
  </si>
  <si>
    <t>Macbook Air M4 15 10GPU/10CPU (MW1J3)</t>
  </si>
  <si>
    <t>Macbook Air M4 15 10GPU/10CPU (MC7C4)</t>
  </si>
  <si>
    <t>Macbook Air M4 15 10GPU/10CPU (MW1H3)</t>
  </si>
  <si>
    <t>Macbook Air M4 15 10GPU/10CPU (MW1M3)</t>
  </si>
  <si>
    <t>Macbook Air M4 15 10GPU/10CPU (MW1K3)</t>
  </si>
  <si>
    <t>Macbook Air M4 15 10GPU/10CPU (MC7D4)</t>
  </si>
  <si>
    <t>Macbook Air M4 15 10GPU/10CPU (MC6J4)</t>
  </si>
  <si>
    <t>Macbook Air M4 15 10GPU/10CPU (MC6L4)</t>
  </si>
  <si>
    <t>Macbook Air M4 15 10GPU/10CPU (MC6K4)</t>
  </si>
  <si>
    <t>Macbook Pro M5 14 (MDE04)</t>
  </si>
  <si>
    <t>Space Blck</t>
  </si>
  <si>
    <t>pbtech.co.nz</t>
  </si>
  <si>
    <t>Macbook Pro M5 14 (MDE44)</t>
  </si>
  <si>
    <t>jbhifi.com.au</t>
  </si>
  <si>
    <t>Macbook Pro M5 14 (MDE14)</t>
  </si>
  <si>
    <t>16 GB,  1 TB</t>
  </si>
  <si>
    <t>emporiumelectronics.com.au</t>
  </si>
  <si>
    <t>einfo.co.nz</t>
  </si>
  <si>
    <t>Macbook Pro M5 14 (MDE54)</t>
  </si>
  <si>
    <t>Macbook Pro M5 14 (MDE34)</t>
  </si>
  <si>
    <t>24 GB,  1 TB</t>
  </si>
  <si>
    <t>thegoodguys.com.au</t>
  </si>
  <si>
    <t>Macbook Pro M5 14 (MDE64)</t>
  </si>
  <si>
    <t>Macbook Pro M4 14 (MW2U3)</t>
  </si>
  <si>
    <t>harveynorman.com.au</t>
  </si>
  <si>
    <t>Macbook Pro M4 14 (MW2W3)</t>
  </si>
  <si>
    <t>Macbook Pro M4 14 (MW2V3)</t>
  </si>
  <si>
    <t>Macbook Pro M4 14 (MW2X3)</t>
  </si>
  <si>
    <t>Macbook Pro M4 14 (MCX04)</t>
  </si>
  <si>
    <t>mobileciti.com.au</t>
  </si>
  <si>
    <t>Macbook Pro M4 14 (MCX14)</t>
  </si>
  <si>
    <t>Macbook Pro M4 14 (MX2H3)</t>
  </si>
  <si>
    <t>Macbook Pro M4 14 (MX2E3)</t>
  </si>
  <si>
    <t>-</t>
  </si>
  <si>
    <t>Macbook Pro M4 Max 14 (MX2K3)</t>
  </si>
  <si>
    <t>36 GB, 1 TB</t>
  </si>
  <si>
    <t>Macbook Pro M4 Max 14 (MX2G3)</t>
  </si>
  <si>
    <t>Macbook Pro M4 16 (MX2X3)</t>
  </si>
  <si>
    <t>Macbook Pro M4 16 (MX2T3)</t>
  </si>
  <si>
    <t>Macbook Pro M4 16 (MX2Y3)</t>
  </si>
  <si>
    <t>48 GB, 512 GB</t>
  </si>
  <si>
    <t>Macbook Pro M4 16 (MX2U3)</t>
  </si>
  <si>
    <t>Macbook Pro M4 Max 16 (MX303)</t>
  </si>
  <si>
    <t>Macbook Pro M4 Max 16 (MX2V3)</t>
  </si>
  <si>
    <t>Macbook Pro M4 Max 16 (MX313)</t>
  </si>
  <si>
    <t>48 GB, 1 TB</t>
  </si>
  <si>
    <t>Macbook Pro M4 Max 16 (MX2W3)</t>
  </si>
  <si>
    <t>Macbook New A18 13 (MHFA4)</t>
  </si>
  <si>
    <t>8 GB, 256 GB</t>
  </si>
  <si>
    <t>costco.com.au</t>
  </si>
  <si>
    <t>Macbook New A18 13 (MHFH4)</t>
  </si>
  <si>
    <t xml:space="preserve">Blush </t>
  </si>
  <si>
    <t>Macbook New A18 13 (MHFD4)</t>
  </si>
  <si>
    <t xml:space="preserve">Citrus </t>
  </si>
  <si>
    <t>Macbook New A18 13 (MHFFA)</t>
  </si>
  <si>
    <t xml:space="preserve">Indigo </t>
  </si>
  <si>
    <t>Macbook New A18 13 (MHFC4)</t>
  </si>
  <si>
    <t>8 GB, 512 GB</t>
  </si>
  <si>
    <t>Macbook New A18 13 (MHFJ4)</t>
  </si>
  <si>
    <t>Macbook New A18 13 (MHFE4)</t>
  </si>
  <si>
    <t>Macbook New A18 13 (MHFG4)</t>
  </si>
  <si>
    <t>Macbook Air M5 13 10C-8C (MDH74)</t>
  </si>
  <si>
    <t>Macbook Air M5 13 10C-8C (MDHA4)</t>
  </si>
  <si>
    <t>Macbook Air M5 13 10C-8C (MDHE4)</t>
  </si>
  <si>
    <t>Macbook Air M5 13 10C-8C (MDHH4)</t>
  </si>
  <si>
    <t>Macbook Air M5 13 10C-10C (MDH84)</t>
  </si>
  <si>
    <t>16 GB, 1 TB</t>
  </si>
  <si>
    <t>Macbook Air M5 13 10C-10C (MDHC4)</t>
  </si>
  <si>
    <t>Macbook Air M5 13 10C-10C (MDHF4)</t>
  </si>
  <si>
    <t>Macbook Air M5 13 10C-10C (MDHJ4)</t>
  </si>
  <si>
    <t>Macbook Air M5 13 10C-10C (MDH94)</t>
  </si>
  <si>
    <t>24 GB, 1 TB</t>
  </si>
  <si>
    <t>Macbook Air M5 13 10C-10C (MDHD4)</t>
  </si>
  <si>
    <t>Macbook Air M5 13 10C-10C (MDHG4)</t>
  </si>
  <si>
    <t>Macbook Air M5 13 10C-10C (MDHK4)</t>
  </si>
  <si>
    <t xml:space="preserve">Macbook Air M5 15 10C-10C (MDV94) </t>
  </si>
  <si>
    <t xml:space="preserve">Macbook Air M5 15 10C-10C (MDVD4) </t>
  </si>
  <si>
    <t xml:space="preserve">Macbook Air M5 15 10C-10C (MDVH4) </t>
  </si>
  <si>
    <t xml:space="preserve">Macbook Air M5 15 10C-10C (MDVQ4) </t>
  </si>
  <si>
    <t>Macbook Air M5 15 10C-10C (MDVA4)</t>
  </si>
  <si>
    <t>Macbook Air M5 15 10C-10C (MDVE4)</t>
  </si>
  <si>
    <t>Macbook Air M5 15 10C-10C (MDVK4)</t>
  </si>
  <si>
    <t>Macbook Air M5 15 10C-10C (MDVT4)</t>
  </si>
  <si>
    <t>Macbook Air M5 15 10C-10C (MDVC4)</t>
  </si>
  <si>
    <t>Macbook Air M5 15 10C-10C (MDVF4)</t>
  </si>
  <si>
    <t>Macbook Air M5 15 10C-10C (MDVN4)</t>
  </si>
  <si>
    <t>Macbook Air M5 15 10C-10C (MDVU4)</t>
  </si>
  <si>
    <t>Macbook Pro M5 14 (MJ3D4)</t>
  </si>
  <si>
    <t>32 GB, 1 TB</t>
  </si>
  <si>
    <t>Space Black</t>
  </si>
  <si>
    <t>Macbook Pro M5 14 (MJ3E4)</t>
  </si>
  <si>
    <t>Macbook Pro M5 14 15C-16C (MGDR4)</t>
  </si>
  <si>
    <t>Macbook Pro M5 14 15C-16C (MGDN4)</t>
  </si>
  <si>
    <t>Macbook Pro M5 14 15C-16C (MJLW4)</t>
  </si>
  <si>
    <t>24 GB, 2 TB</t>
  </si>
  <si>
    <t>digidirect.com.au</t>
  </si>
  <si>
    <t>heathcotes.co.nz</t>
  </si>
  <si>
    <t>Macbook Pro M5 14 15C-16C (MJLV4)</t>
  </si>
  <si>
    <t>Macbook Pro M5 14 18C-20C (MGDT4)</t>
  </si>
  <si>
    <t>Macbook Pro M5 14 18C-20C (MGDP4)</t>
  </si>
  <si>
    <t>Macbook Pro M5 Max 14 18C-32C (MGDU4)</t>
  </si>
  <si>
    <t>36 GB, 2 TB</t>
  </si>
  <si>
    <t>Macbook Pro M5 Max 14 18C-32C (MGDQ4)</t>
  </si>
  <si>
    <t>Macbook Pro M5 16 18C-20C (MGEA4)</t>
  </si>
  <si>
    <t>Macbook Pro M5 16 18C-20C (MGE44)</t>
  </si>
  <si>
    <t>Macbook Pro M5 16 18C-20C (MGEC4)</t>
  </si>
  <si>
    <t>Macbook Pro M5 16 18C-20C (MGE64)</t>
  </si>
  <si>
    <t>Macbook Pro M5 Max 16 18C-32C (MGED4)</t>
  </si>
  <si>
    <t>Macbook Pro M5 Max 16 18C-32C (MGE74)</t>
  </si>
  <si>
    <t>Macbook Pro M5 Max 16 18C-40C (MGEE4)</t>
  </si>
  <si>
    <t>48 GB, 2 TB</t>
  </si>
  <si>
    <t>Macbook Pro M5 Max 16 18C-40C (MGE94)</t>
  </si>
  <si>
    <t>Stock</t>
  </si>
  <si>
    <t>Prices After GST To AED (AUD)</t>
  </si>
  <si>
    <t>Prices After GST To AED (NZD)</t>
  </si>
  <si>
    <t>Prices USD - 3%</t>
  </si>
  <si>
    <t>Different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</si>
</sst>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00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3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2" fontId="0" fillId="3" borderId="1" xfId="0" applyNumberFormat="1" applyFill="1" applyBorder="1" applyAlignment="1">
      <alignment horizontal="center" vertical="center"/>
    </xf>
    <xf numFmtId="2" fontId="0" fillId="2" borderId="1" xfId="0" applyNumberFormat="1" applyFill="1" applyBorder="1" applyAlignment="1">
      <alignment horizontal="center" vertical="center"/>
    </xf>
    <xf numFmtId="2" fontId="0" fillId="5" borderId="1" xfId="0" applyNumberFormat="1" applyFill="1" applyBorder="1"/>
    <xf numFmtId="2" fontId="0" fillId="6" borderId="1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BA1246-EE42-420D-B906-894E91E9E002}">
  <dimension ref="A1:L99"/>
  <sheetViews>
    <sheetView tabSelected="1" workbookViewId="0">
      <selection activeCell="D9" sqref="D9"/>
    </sheetView>
  </sheetViews>
  <sheetFormatPr defaultRowHeight="15" x14ac:dyDescent="0.25"/>
  <cols>
    <col min="1" max="1" width="5.85546875" bestFit="1" customWidth="1"/>
    <col min="2" max="2" width="39.5703125" bestFit="1" customWidth="1"/>
    <col min="3" max="3" width="12.7109375" bestFit="1" customWidth="1"/>
    <col min="4" max="4" width="11.5703125" bestFit="1" customWidth="1"/>
    <col min="5" max="5" width="10.28515625" bestFit="1" customWidth="1"/>
    <col min="6" max="6" width="21.28515625" customWidth="1"/>
    <col min="7" max="7" width="27.7109375" bestFit="1" customWidth="1"/>
    <col min="8" max="10" width="28.42578125" bestFit="1" customWidth="1"/>
    <col min="11" max="11" width="22.42578125" bestFit="1" customWidth="1"/>
    <col min="12" max="12" width="22.85546875" customWidth="1"/>
  </cols>
  <sheetData>
    <row r="1" spans="1:12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153</v>
      </c>
      <c r="G1" s="4" t="s">
        <v>5</v>
      </c>
      <c r="H1" s="4" t="s">
        <v>151</v>
      </c>
      <c r="I1" s="4" t="s">
        <v>6</v>
      </c>
      <c r="J1" s="4" t="s">
        <v>152</v>
      </c>
      <c r="K1" s="4" t="s">
        <v>150</v>
      </c>
      <c r="L1" s="4" t="s">
        <v>154</v>
      </c>
    </row>
    <row r="2" spans="1:12" x14ac:dyDescent="0.25">
      <c r="A2" s="1">
        <v>1</v>
      </c>
      <c r="B2" s="1" t="s">
        <v>7</v>
      </c>
      <c r="C2" s="1" t="s">
        <v>8</v>
      </c>
      <c r="D2" s="1" t="s">
        <v>9</v>
      </c>
      <c r="E2" s="1" t="s">
        <v>10</v>
      </c>
      <c r="F2" s="6">
        <v>2758.9225000000001</v>
      </c>
      <c r="G2" s="1" t="s">
        <v>11</v>
      </c>
      <c r="H2" s="7">
        <v>3093.6436363636362</v>
      </c>
      <c r="I2" s="1" t="s">
        <v>12</v>
      </c>
      <c r="J2" s="6">
        <v>3296.4910439328005</v>
      </c>
      <c r="K2" s="5" t="s">
        <v>13</v>
      </c>
      <c r="L2" s="9">
        <f>F2-H2</f>
        <v>-334.72113636363611</v>
      </c>
    </row>
    <row r="3" spans="1:12" x14ac:dyDescent="0.25">
      <c r="A3" s="1">
        <v>2</v>
      </c>
      <c r="B3" s="1" t="s">
        <v>14</v>
      </c>
      <c r="C3" s="1" t="s">
        <v>8</v>
      </c>
      <c r="D3" s="1" t="s">
        <v>15</v>
      </c>
      <c r="E3" s="1" t="s">
        <v>10</v>
      </c>
      <c r="F3" s="6">
        <v>2758.9225000000001</v>
      </c>
      <c r="G3" s="1" t="s">
        <v>11</v>
      </c>
      <c r="H3" s="7">
        <v>3093.6436363636362</v>
      </c>
      <c r="I3" s="1" t="s">
        <v>12</v>
      </c>
      <c r="J3" s="6">
        <v>3296.4910439328005</v>
      </c>
      <c r="K3" s="5" t="s">
        <v>13</v>
      </c>
      <c r="L3" s="9">
        <f t="shared" ref="L3:L66" si="0">F3-H3</f>
        <v>-334.72113636363611</v>
      </c>
    </row>
    <row r="4" spans="1:12" x14ac:dyDescent="0.25">
      <c r="A4" s="1">
        <v>3</v>
      </c>
      <c r="B4" s="1" t="s">
        <v>16</v>
      </c>
      <c r="C4" s="1" t="s">
        <v>8</v>
      </c>
      <c r="D4" s="1" t="s">
        <v>17</v>
      </c>
      <c r="E4" s="1" t="s">
        <v>10</v>
      </c>
      <c r="F4" s="6">
        <v>2758.9225000000001</v>
      </c>
      <c r="G4" s="1" t="s">
        <v>11</v>
      </c>
      <c r="H4" s="7">
        <v>3093.6436363636362</v>
      </c>
      <c r="I4" s="1" t="s">
        <v>12</v>
      </c>
      <c r="J4" s="6">
        <v>3296.4910439328005</v>
      </c>
      <c r="K4" s="5" t="s">
        <v>13</v>
      </c>
      <c r="L4" s="9">
        <f t="shared" si="0"/>
        <v>-334.72113636363611</v>
      </c>
    </row>
    <row r="5" spans="1:12" x14ac:dyDescent="0.25">
      <c r="A5" s="1">
        <v>4</v>
      </c>
      <c r="B5" s="1" t="s">
        <v>18</v>
      </c>
      <c r="C5" s="1" t="s">
        <v>8</v>
      </c>
      <c r="D5" s="1" t="s">
        <v>19</v>
      </c>
      <c r="E5" s="1" t="s">
        <v>10</v>
      </c>
      <c r="F5" s="6">
        <v>2758.9225000000001</v>
      </c>
      <c r="G5" s="1" t="s">
        <v>11</v>
      </c>
      <c r="H5" s="7">
        <v>3093.6436363636362</v>
      </c>
      <c r="I5" s="1" t="s">
        <v>12</v>
      </c>
      <c r="J5" s="6">
        <v>3550.5908353440009</v>
      </c>
      <c r="K5" s="5" t="s">
        <v>13</v>
      </c>
      <c r="L5" s="9">
        <f t="shared" si="0"/>
        <v>-334.72113636363611</v>
      </c>
    </row>
    <row r="6" spans="1:12" x14ac:dyDescent="0.25">
      <c r="A6" s="1">
        <v>5</v>
      </c>
      <c r="B6" s="1" t="s">
        <v>20</v>
      </c>
      <c r="C6" s="1" t="s">
        <v>21</v>
      </c>
      <c r="D6" s="1" t="s">
        <v>9</v>
      </c>
      <c r="E6" s="1" t="s">
        <v>10</v>
      </c>
      <c r="F6" s="6">
        <v>3203.91</v>
      </c>
      <c r="G6" s="1" t="s">
        <v>11</v>
      </c>
      <c r="H6" s="7">
        <v>3323.8254545454547</v>
      </c>
      <c r="I6" s="1" t="s">
        <v>12</v>
      </c>
      <c r="J6" s="6">
        <v>3660.7151497056002</v>
      </c>
      <c r="K6" s="5" t="s">
        <v>13</v>
      </c>
      <c r="L6" s="9">
        <f t="shared" si="0"/>
        <v>-119.91545454545485</v>
      </c>
    </row>
    <row r="7" spans="1:12" x14ac:dyDescent="0.25">
      <c r="A7" s="1">
        <v>6</v>
      </c>
      <c r="B7" s="1" t="s">
        <v>22</v>
      </c>
      <c r="C7" s="1" t="s">
        <v>21</v>
      </c>
      <c r="D7" s="1" t="s">
        <v>15</v>
      </c>
      <c r="E7" s="1" t="s">
        <v>10</v>
      </c>
      <c r="F7" s="6">
        <v>3203.91</v>
      </c>
      <c r="G7" s="1" t="s">
        <v>11</v>
      </c>
      <c r="H7" s="7">
        <v>3323.8254545454547</v>
      </c>
      <c r="I7" s="1" t="s">
        <v>12</v>
      </c>
      <c r="J7" s="6">
        <v>3578.8241455008001</v>
      </c>
      <c r="K7" s="5" t="s">
        <v>13</v>
      </c>
      <c r="L7" s="9">
        <f t="shared" si="0"/>
        <v>-119.91545454545485</v>
      </c>
    </row>
    <row r="8" spans="1:12" x14ac:dyDescent="0.25">
      <c r="A8" s="1">
        <v>7</v>
      </c>
      <c r="B8" s="1" t="s">
        <v>23</v>
      </c>
      <c r="C8" s="1" t="s">
        <v>21</v>
      </c>
      <c r="D8" s="1" t="s">
        <v>17</v>
      </c>
      <c r="E8" s="1" t="s">
        <v>10</v>
      </c>
      <c r="F8" s="6">
        <v>3203.91</v>
      </c>
      <c r="G8" s="1" t="s">
        <v>11</v>
      </c>
      <c r="H8" s="7">
        <v>3323.8254545454547</v>
      </c>
      <c r="I8" s="1" t="s">
        <v>24</v>
      </c>
      <c r="J8" s="6">
        <v>3761.4403646400001</v>
      </c>
      <c r="K8" s="5" t="s">
        <v>13</v>
      </c>
      <c r="L8" s="9">
        <f t="shared" si="0"/>
        <v>-119.91545454545485</v>
      </c>
    </row>
    <row r="9" spans="1:12" x14ac:dyDescent="0.25">
      <c r="A9" s="1">
        <v>8</v>
      </c>
      <c r="B9" s="1" t="s">
        <v>25</v>
      </c>
      <c r="C9" s="1" t="s">
        <v>21</v>
      </c>
      <c r="D9" s="1" t="s">
        <v>19</v>
      </c>
      <c r="E9" s="1" t="s">
        <v>10</v>
      </c>
      <c r="F9" s="6">
        <v>3203.91</v>
      </c>
      <c r="G9" s="1" t="s">
        <v>11</v>
      </c>
      <c r="H9" s="7">
        <v>3323.8254545454547</v>
      </c>
      <c r="I9" s="1" t="s">
        <v>12</v>
      </c>
      <c r="J9" s="6">
        <v>4272.4668796656006</v>
      </c>
      <c r="K9" s="5" t="s">
        <v>26</v>
      </c>
      <c r="L9" s="9">
        <f t="shared" si="0"/>
        <v>-119.91545454545485</v>
      </c>
    </row>
    <row r="10" spans="1:12" x14ac:dyDescent="0.25">
      <c r="A10" s="1">
        <v>9</v>
      </c>
      <c r="B10" s="1" t="s">
        <v>27</v>
      </c>
      <c r="C10" s="1" t="s">
        <v>28</v>
      </c>
      <c r="D10" s="1" t="s">
        <v>9</v>
      </c>
      <c r="E10" s="1" t="s">
        <v>10</v>
      </c>
      <c r="F10" s="6">
        <v>3844.6919999999996</v>
      </c>
      <c r="G10" s="1" t="s">
        <v>11</v>
      </c>
      <c r="H10" s="7">
        <v>3899.2799999999997</v>
      </c>
      <c r="I10" s="1" t="s">
        <v>29</v>
      </c>
      <c r="J10" s="6">
        <v>4461.8173194671999</v>
      </c>
      <c r="K10" s="5" t="s">
        <v>26</v>
      </c>
      <c r="L10" s="9">
        <f t="shared" si="0"/>
        <v>-54.588000000000193</v>
      </c>
    </row>
    <row r="11" spans="1:12" x14ac:dyDescent="0.25">
      <c r="A11" s="1">
        <v>10</v>
      </c>
      <c r="B11" s="1" t="s">
        <v>30</v>
      </c>
      <c r="C11" s="1" t="s">
        <v>28</v>
      </c>
      <c r="D11" s="1" t="s">
        <v>15</v>
      </c>
      <c r="E11" s="1" t="s">
        <v>10</v>
      </c>
      <c r="F11" s="6">
        <v>3844.6919999999996</v>
      </c>
      <c r="G11" s="1" t="s">
        <v>11</v>
      </c>
      <c r="H11" s="7">
        <v>3899.2799999999997</v>
      </c>
      <c r="I11" s="1" t="s">
        <v>31</v>
      </c>
      <c r="J11" s="6">
        <v>3925.2223730496003</v>
      </c>
      <c r="K11" s="5" t="s">
        <v>26</v>
      </c>
      <c r="L11" s="9">
        <f t="shared" si="0"/>
        <v>-54.588000000000193</v>
      </c>
    </row>
    <row r="12" spans="1:12" x14ac:dyDescent="0.25">
      <c r="A12" s="1">
        <v>11</v>
      </c>
      <c r="B12" s="1" t="s">
        <v>32</v>
      </c>
      <c r="C12" s="1" t="s">
        <v>28</v>
      </c>
      <c r="D12" s="1" t="s">
        <v>17</v>
      </c>
      <c r="E12" s="1" t="s">
        <v>10</v>
      </c>
      <c r="F12" s="6">
        <v>3844.6919999999996</v>
      </c>
      <c r="G12" s="1" t="s">
        <v>11</v>
      </c>
      <c r="H12" s="7">
        <v>3899.2799999999997</v>
      </c>
      <c r="I12" s="1" t="s">
        <v>12</v>
      </c>
      <c r="J12" s="6">
        <v>4391.5221390768002</v>
      </c>
      <c r="K12" s="5" t="s">
        <v>13</v>
      </c>
      <c r="L12" s="9">
        <f t="shared" si="0"/>
        <v>-54.588000000000193</v>
      </c>
    </row>
    <row r="13" spans="1:12" x14ac:dyDescent="0.25">
      <c r="A13" s="1">
        <v>12</v>
      </c>
      <c r="B13" s="1" t="s">
        <v>33</v>
      </c>
      <c r="C13" s="1" t="s">
        <v>28</v>
      </c>
      <c r="D13" s="1" t="s">
        <v>19</v>
      </c>
      <c r="E13" s="1" t="s">
        <v>10</v>
      </c>
      <c r="F13" s="6">
        <v>3844.6919999999996</v>
      </c>
      <c r="G13" s="1" t="s">
        <v>11</v>
      </c>
      <c r="H13" s="7">
        <v>3899.2799999999997</v>
      </c>
      <c r="I13" s="1" t="s">
        <v>29</v>
      </c>
      <c r="J13" s="6">
        <v>4461.8173194671999</v>
      </c>
      <c r="K13" s="5" t="s">
        <v>26</v>
      </c>
      <c r="L13" s="9">
        <f t="shared" si="0"/>
        <v>-54.588000000000193</v>
      </c>
    </row>
    <row r="14" spans="1:12" x14ac:dyDescent="0.25">
      <c r="A14" s="1">
        <v>13</v>
      </c>
      <c r="B14" s="1" t="s">
        <v>34</v>
      </c>
      <c r="C14" s="1" t="s">
        <v>8</v>
      </c>
      <c r="D14" s="1" t="s">
        <v>9</v>
      </c>
      <c r="E14" s="1" t="s">
        <v>10</v>
      </c>
      <c r="F14" s="6">
        <v>3292.9074999999998</v>
      </c>
      <c r="G14" s="1" t="s">
        <v>11</v>
      </c>
      <c r="H14" s="7">
        <v>3899.2799999999997</v>
      </c>
      <c r="I14" s="1" t="s">
        <v>12</v>
      </c>
      <c r="J14" s="6">
        <v>4027.2800273664006</v>
      </c>
      <c r="K14" s="5" t="s">
        <v>35</v>
      </c>
      <c r="L14" s="9">
        <f t="shared" si="0"/>
        <v>-606.37249999999995</v>
      </c>
    </row>
    <row r="15" spans="1:12" x14ac:dyDescent="0.25">
      <c r="A15" s="1">
        <v>14</v>
      </c>
      <c r="B15" s="1" t="s">
        <v>36</v>
      </c>
      <c r="C15" s="1" t="s">
        <v>8</v>
      </c>
      <c r="D15" s="1" t="s">
        <v>15</v>
      </c>
      <c r="E15" s="1" t="s">
        <v>10</v>
      </c>
      <c r="F15" s="6">
        <v>3292.9074999999998</v>
      </c>
      <c r="G15" s="1" t="s">
        <v>11</v>
      </c>
      <c r="H15" s="7">
        <v>3899.2799999999997</v>
      </c>
      <c r="I15" s="1" t="s">
        <v>12</v>
      </c>
      <c r="J15" s="6">
        <v>3927.3110618112005</v>
      </c>
      <c r="K15" s="5" t="s">
        <v>13</v>
      </c>
      <c r="L15" s="9">
        <f t="shared" si="0"/>
        <v>-606.37249999999995</v>
      </c>
    </row>
    <row r="16" spans="1:12" x14ac:dyDescent="0.25">
      <c r="A16" s="1">
        <v>15</v>
      </c>
      <c r="B16" s="1" t="s">
        <v>37</v>
      </c>
      <c r="C16" s="1" t="s">
        <v>8</v>
      </c>
      <c r="D16" s="1" t="s">
        <v>17</v>
      </c>
      <c r="E16" s="1" t="s">
        <v>10</v>
      </c>
      <c r="F16" s="6">
        <v>3292.9074999999998</v>
      </c>
      <c r="G16" s="1" t="s">
        <v>11</v>
      </c>
      <c r="H16" s="7">
        <v>3899.2799999999997</v>
      </c>
      <c r="I16" s="1" t="s">
        <v>12</v>
      </c>
      <c r="J16" s="6">
        <v>3927.3110618112005</v>
      </c>
      <c r="K16" s="5" t="s">
        <v>13</v>
      </c>
      <c r="L16" s="9">
        <f t="shared" si="0"/>
        <v>-606.37249999999995</v>
      </c>
    </row>
    <row r="17" spans="1:12" x14ac:dyDescent="0.25">
      <c r="A17" s="1">
        <v>16</v>
      </c>
      <c r="B17" s="1" t="s">
        <v>38</v>
      </c>
      <c r="C17" s="1" t="s">
        <v>8</v>
      </c>
      <c r="D17" s="1" t="s">
        <v>19</v>
      </c>
      <c r="E17" s="1" t="s">
        <v>10</v>
      </c>
      <c r="F17" s="6">
        <v>3292.9074999999998</v>
      </c>
      <c r="G17" s="1" t="s">
        <v>11</v>
      </c>
      <c r="H17" s="7">
        <v>3899.2799999999997</v>
      </c>
      <c r="I17" s="1" t="s">
        <v>12</v>
      </c>
      <c r="J17" s="6">
        <v>3927.3110618112005</v>
      </c>
      <c r="K17" s="5" t="s">
        <v>13</v>
      </c>
      <c r="L17" s="9">
        <f t="shared" si="0"/>
        <v>-606.37249999999995</v>
      </c>
    </row>
    <row r="18" spans="1:12" x14ac:dyDescent="0.25">
      <c r="A18" s="1">
        <v>17</v>
      </c>
      <c r="B18" s="1" t="s">
        <v>39</v>
      </c>
      <c r="C18" s="1" t="s">
        <v>21</v>
      </c>
      <c r="D18" s="1" t="s">
        <v>9</v>
      </c>
      <c r="E18" s="1" t="s">
        <v>10</v>
      </c>
      <c r="F18" s="6">
        <v>3737.895</v>
      </c>
      <c r="G18" s="1" t="s">
        <v>11</v>
      </c>
      <c r="H18" s="7">
        <v>4136.3672727272724</v>
      </c>
      <c r="I18" s="1" t="s">
        <v>12</v>
      </c>
      <c r="J18" s="6">
        <v>4294.7402244768</v>
      </c>
      <c r="K18" s="5" t="s">
        <v>13</v>
      </c>
      <c r="L18" s="9">
        <f t="shared" si="0"/>
        <v>-398.47227272727241</v>
      </c>
    </row>
    <row r="19" spans="1:12" x14ac:dyDescent="0.25">
      <c r="A19" s="1">
        <v>18</v>
      </c>
      <c r="B19" s="1" t="s">
        <v>40</v>
      </c>
      <c r="C19" s="1" t="s">
        <v>21</v>
      </c>
      <c r="D19" s="1" t="s">
        <v>15</v>
      </c>
      <c r="E19" s="1" t="s">
        <v>10</v>
      </c>
      <c r="F19" s="6">
        <v>3737.895</v>
      </c>
      <c r="G19" s="1" t="s">
        <v>11</v>
      </c>
      <c r="H19" s="6">
        <v>4136.3672727272724</v>
      </c>
      <c r="I19" s="1" t="s">
        <v>12</v>
      </c>
      <c r="J19" s="7">
        <v>3922.5935061600007</v>
      </c>
      <c r="K19" s="5" t="s">
        <v>13</v>
      </c>
      <c r="L19" s="9">
        <f>F19-J19</f>
        <v>-184.69850616000076</v>
      </c>
    </row>
    <row r="20" spans="1:12" x14ac:dyDescent="0.25">
      <c r="A20" s="1">
        <v>19</v>
      </c>
      <c r="B20" s="1" t="s">
        <v>41</v>
      </c>
      <c r="C20" s="1" t="s">
        <v>21</v>
      </c>
      <c r="D20" s="1" t="s">
        <v>17</v>
      </c>
      <c r="E20" s="1" t="s">
        <v>10</v>
      </c>
      <c r="F20" s="6">
        <v>3737.895</v>
      </c>
      <c r="G20" s="1" t="s">
        <v>11</v>
      </c>
      <c r="H20" s="7">
        <v>4136.3672727272724</v>
      </c>
      <c r="I20" s="1" t="s">
        <v>12</v>
      </c>
      <c r="J20" s="6">
        <v>4391.5221390768002</v>
      </c>
      <c r="K20" s="5" t="s">
        <v>13</v>
      </c>
      <c r="L20" s="9">
        <f t="shared" si="0"/>
        <v>-398.47227272727241</v>
      </c>
    </row>
    <row r="21" spans="1:12" x14ac:dyDescent="0.25">
      <c r="A21" s="1">
        <v>20</v>
      </c>
      <c r="B21" s="1" t="s">
        <v>42</v>
      </c>
      <c r="C21" s="1" t="s">
        <v>21</v>
      </c>
      <c r="D21" s="1" t="s">
        <v>19</v>
      </c>
      <c r="E21" s="1" t="s">
        <v>10</v>
      </c>
      <c r="F21" s="6">
        <v>3737.895</v>
      </c>
      <c r="G21" s="1" t="s">
        <v>11</v>
      </c>
      <c r="H21" s="7">
        <v>2870.3672727272728</v>
      </c>
      <c r="I21" s="1" t="s">
        <v>12</v>
      </c>
      <c r="J21" s="6">
        <v>5147.0332748352002</v>
      </c>
      <c r="K21" s="5" t="s">
        <v>13</v>
      </c>
      <c r="L21" s="8">
        <f t="shared" si="0"/>
        <v>867.52772727272713</v>
      </c>
    </row>
    <row r="22" spans="1:12" x14ac:dyDescent="0.25">
      <c r="A22" s="1">
        <v>21</v>
      </c>
      <c r="B22" s="1" t="s">
        <v>43</v>
      </c>
      <c r="C22" s="1" t="s">
        <v>28</v>
      </c>
      <c r="D22" s="1" t="s">
        <v>9</v>
      </c>
      <c r="E22" s="1" t="s">
        <v>10</v>
      </c>
      <c r="F22" s="6">
        <v>4271.88</v>
      </c>
      <c r="G22" s="1" t="s">
        <v>11</v>
      </c>
      <c r="H22" s="7">
        <v>4474.7345454545448</v>
      </c>
      <c r="I22" s="1" t="s">
        <v>12</v>
      </c>
      <c r="J22" s="6">
        <v>5124.6699003360009</v>
      </c>
      <c r="K22" s="5" t="s">
        <v>13</v>
      </c>
      <c r="L22" s="9">
        <f t="shared" si="0"/>
        <v>-202.85454545454468</v>
      </c>
    </row>
    <row r="23" spans="1:12" x14ac:dyDescent="0.25">
      <c r="A23" s="1">
        <v>22</v>
      </c>
      <c r="B23" s="1" t="s">
        <v>44</v>
      </c>
      <c r="C23" s="1" t="s">
        <v>28</v>
      </c>
      <c r="D23" s="1" t="s">
        <v>15</v>
      </c>
      <c r="E23" s="1" t="s">
        <v>10</v>
      </c>
      <c r="F23" s="6">
        <v>4271.88</v>
      </c>
      <c r="G23" s="1" t="s">
        <v>11</v>
      </c>
      <c r="H23" s="7">
        <v>3215.6400000000003</v>
      </c>
      <c r="I23" s="1" t="s">
        <v>29</v>
      </c>
      <c r="J23" s="6">
        <v>4910.1651657072007</v>
      </c>
      <c r="K23" s="5" t="s">
        <v>26</v>
      </c>
      <c r="L23" s="8">
        <f t="shared" si="0"/>
        <v>1056.2399999999998</v>
      </c>
    </row>
    <row r="24" spans="1:12" x14ac:dyDescent="0.25">
      <c r="A24" s="1">
        <v>23</v>
      </c>
      <c r="B24" s="1" t="s">
        <v>45</v>
      </c>
      <c r="C24" s="1" t="s">
        <v>28</v>
      </c>
      <c r="D24" s="1" t="s">
        <v>17</v>
      </c>
      <c r="E24" s="1" t="s">
        <v>10</v>
      </c>
      <c r="F24" s="6">
        <v>4271.88</v>
      </c>
      <c r="G24" s="1" t="s">
        <v>11</v>
      </c>
      <c r="H24" s="7">
        <v>4474.7345454545448</v>
      </c>
      <c r="I24" s="1" t="s">
        <v>29</v>
      </c>
      <c r="J24" s="6">
        <v>4910.1651657072007</v>
      </c>
      <c r="K24" s="5" t="s">
        <v>26</v>
      </c>
      <c r="L24" s="9">
        <f t="shared" si="0"/>
        <v>-202.85454545454468</v>
      </c>
    </row>
    <row r="25" spans="1:12" x14ac:dyDescent="0.25">
      <c r="A25" s="1">
        <v>24</v>
      </c>
      <c r="B25" s="1" t="s">
        <v>46</v>
      </c>
      <c r="C25" s="1" t="s">
        <v>28</v>
      </c>
      <c r="D25" s="1" t="s">
        <v>19</v>
      </c>
      <c r="E25" s="1" t="s">
        <v>10</v>
      </c>
      <c r="F25" s="6">
        <v>4271.88</v>
      </c>
      <c r="G25" s="1" t="s">
        <v>11</v>
      </c>
      <c r="H25" s="7">
        <v>4136.3672727272724</v>
      </c>
      <c r="I25" s="1" t="s">
        <v>29</v>
      </c>
      <c r="J25" s="6">
        <v>4910.1651657072007</v>
      </c>
      <c r="K25" s="5" t="s">
        <v>26</v>
      </c>
      <c r="L25" s="8">
        <f t="shared" si="0"/>
        <v>135.51272727272772</v>
      </c>
    </row>
    <row r="26" spans="1:12" x14ac:dyDescent="0.25">
      <c r="A26" s="1">
        <v>25</v>
      </c>
      <c r="B26" s="1" t="s">
        <v>47</v>
      </c>
      <c r="C26" s="1" t="s">
        <v>21</v>
      </c>
      <c r="D26" s="1" t="s">
        <v>48</v>
      </c>
      <c r="E26" s="1" t="s">
        <v>10</v>
      </c>
      <c r="F26" s="6">
        <v>4930.4615000000003</v>
      </c>
      <c r="G26" s="1" t="s">
        <v>11</v>
      </c>
      <c r="H26" s="7">
        <v>4366.5490909090904</v>
      </c>
      <c r="I26" s="1" t="s">
        <v>49</v>
      </c>
      <c r="J26" s="6">
        <v>5129.8916222400012</v>
      </c>
      <c r="K26" s="5" t="s">
        <v>13</v>
      </c>
      <c r="L26" s="8">
        <f t="shared" si="0"/>
        <v>563.91240909090993</v>
      </c>
    </row>
    <row r="27" spans="1:12" x14ac:dyDescent="0.25">
      <c r="A27" s="1">
        <v>26</v>
      </c>
      <c r="B27" s="1" t="s">
        <v>50</v>
      </c>
      <c r="C27" s="1" t="s">
        <v>21</v>
      </c>
      <c r="D27" s="1" t="s">
        <v>15</v>
      </c>
      <c r="E27" s="1" t="s">
        <v>10</v>
      </c>
      <c r="F27" s="6">
        <v>4930.4615000000003</v>
      </c>
      <c r="G27" s="1" t="s">
        <v>51</v>
      </c>
      <c r="H27" s="6">
        <v>5061.6981818181821</v>
      </c>
      <c r="I27" s="1" t="s">
        <v>49</v>
      </c>
      <c r="J27" s="7">
        <v>4859.8025582400005</v>
      </c>
      <c r="K27" s="5" t="s">
        <v>35</v>
      </c>
      <c r="L27" s="8">
        <f>F27-J27</f>
        <v>70.658941759999834</v>
      </c>
    </row>
    <row r="28" spans="1:12" x14ac:dyDescent="0.25">
      <c r="A28" s="1">
        <v>27</v>
      </c>
      <c r="B28" s="1" t="s">
        <v>52</v>
      </c>
      <c r="C28" s="1" t="s">
        <v>53</v>
      </c>
      <c r="D28" s="1" t="s">
        <v>48</v>
      </c>
      <c r="E28" s="1" t="s">
        <v>10</v>
      </c>
      <c r="F28" s="6">
        <v>5268.6519999999991</v>
      </c>
      <c r="G28" s="1" t="s">
        <v>54</v>
      </c>
      <c r="H28" s="7">
        <v>5522.0618181818181</v>
      </c>
      <c r="I28" s="1" t="s">
        <v>55</v>
      </c>
      <c r="J28" s="6">
        <v>6802.6432252800014</v>
      </c>
      <c r="K28" s="2"/>
      <c r="L28" s="9">
        <f t="shared" si="0"/>
        <v>-253.40981818181899</v>
      </c>
    </row>
    <row r="29" spans="1:12" x14ac:dyDescent="0.25">
      <c r="A29" s="1">
        <v>28</v>
      </c>
      <c r="B29" s="1" t="s">
        <v>56</v>
      </c>
      <c r="C29" s="1" t="s">
        <v>53</v>
      </c>
      <c r="D29" s="1" t="s">
        <v>15</v>
      </c>
      <c r="E29" s="1" t="s">
        <v>10</v>
      </c>
      <c r="F29" s="6">
        <v>5268.6519999999991</v>
      </c>
      <c r="G29" s="1" t="s">
        <v>54</v>
      </c>
      <c r="H29" s="7">
        <v>5522.0618181818181</v>
      </c>
      <c r="I29" s="1" t="s">
        <v>55</v>
      </c>
      <c r="J29" s="6">
        <v>6802.6432252800014</v>
      </c>
      <c r="K29" s="2"/>
      <c r="L29" s="9">
        <f t="shared" si="0"/>
        <v>-253.40981818181899</v>
      </c>
    </row>
    <row r="30" spans="1:12" x14ac:dyDescent="0.25">
      <c r="A30" s="1">
        <v>29</v>
      </c>
      <c r="B30" s="1" t="s">
        <v>57</v>
      </c>
      <c r="C30" s="1" t="s">
        <v>58</v>
      </c>
      <c r="D30" s="1" t="s">
        <v>48</v>
      </c>
      <c r="E30" s="1" t="s">
        <v>10</v>
      </c>
      <c r="F30" s="6">
        <v>5962.8324999999995</v>
      </c>
      <c r="G30" s="1" t="s">
        <v>59</v>
      </c>
      <c r="H30" s="7">
        <v>6438.1854545454544</v>
      </c>
      <c r="I30" s="1" t="s">
        <v>29</v>
      </c>
      <c r="J30" s="6">
        <v>7740.7525742400012</v>
      </c>
      <c r="K30" s="2"/>
      <c r="L30" s="9">
        <f t="shared" si="0"/>
        <v>-475.35295454545485</v>
      </c>
    </row>
    <row r="31" spans="1:12" x14ac:dyDescent="0.25">
      <c r="A31" s="1">
        <v>30</v>
      </c>
      <c r="B31" s="1" t="s">
        <v>60</v>
      </c>
      <c r="C31" s="1" t="s">
        <v>58</v>
      </c>
      <c r="D31" s="1" t="s">
        <v>15</v>
      </c>
      <c r="E31" s="1" t="s">
        <v>10</v>
      </c>
      <c r="F31" s="6">
        <v>5962.8324999999995</v>
      </c>
      <c r="G31" s="1" t="s">
        <v>59</v>
      </c>
      <c r="H31" s="7">
        <v>6438.1854545454544</v>
      </c>
      <c r="I31" s="1" t="s">
        <v>29</v>
      </c>
      <c r="J31" s="6">
        <v>7740.7525742400012</v>
      </c>
      <c r="K31" s="2"/>
      <c r="L31" s="9">
        <f t="shared" si="0"/>
        <v>-475.35295454545485</v>
      </c>
    </row>
    <row r="32" spans="1:12" x14ac:dyDescent="0.25">
      <c r="A32" s="1">
        <v>31</v>
      </c>
      <c r="B32" s="1" t="s">
        <v>61</v>
      </c>
      <c r="C32" s="1" t="s">
        <v>21</v>
      </c>
      <c r="D32" s="1" t="s">
        <v>48</v>
      </c>
      <c r="E32" s="1" t="s">
        <v>10</v>
      </c>
      <c r="F32" s="6">
        <v>4271.88</v>
      </c>
      <c r="G32" s="1" t="s">
        <v>62</v>
      </c>
      <c r="H32" s="7">
        <v>4366.5490909090904</v>
      </c>
      <c r="I32" s="1" t="s">
        <v>12</v>
      </c>
      <c r="J32" s="6">
        <v>4869.921895171201</v>
      </c>
      <c r="K32" s="5" t="s">
        <v>35</v>
      </c>
      <c r="L32" s="9">
        <f t="shared" si="0"/>
        <v>-94.669090909090301</v>
      </c>
    </row>
    <row r="33" spans="1:12" x14ac:dyDescent="0.25">
      <c r="A33" s="1">
        <v>32</v>
      </c>
      <c r="B33" s="1" t="s">
        <v>63</v>
      </c>
      <c r="C33" s="1" t="s">
        <v>21</v>
      </c>
      <c r="D33" s="1" t="s">
        <v>15</v>
      </c>
      <c r="E33" s="1" t="s">
        <v>10</v>
      </c>
      <c r="F33" s="6">
        <v>4271.88</v>
      </c>
      <c r="G33" s="1" t="s">
        <v>59</v>
      </c>
      <c r="H33" s="7">
        <v>4589.8254545454547</v>
      </c>
      <c r="I33" s="1" t="s">
        <v>12</v>
      </c>
      <c r="J33" s="6">
        <v>4869.921895171201</v>
      </c>
      <c r="K33" s="5" t="s">
        <v>35</v>
      </c>
      <c r="L33" s="9">
        <f t="shared" si="0"/>
        <v>-317.9454545454546</v>
      </c>
    </row>
    <row r="34" spans="1:12" x14ac:dyDescent="0.25">
      <c r="A34" s="1">
        <v>33</v>
      </c>
      <c r="B34" s="1" t="s">
        <v>64</v>
      </c>
      <c r="C34" s="1" t="s">
        <v>53</v>
      </c>
      <c r="D34" s="1" t="s">
        <v>48</v>
      </c>
      <c r="E34" s="1" t="s">
        <v>10</v>
      </c>
      <c r="F34" s="6">
        <v>4627.87</v>
      </c>
      <c r="G34" s="1" t="s">
        <v>62</v>
      </c>
      <c r="H34" s="7">
        <v>6442.7890909090911</v>
      </c>
      <c r="I34" s="1" t="s">
        <v>55</v>
      </c>
      <c r="J34" s="6">
        <v>6802.6432252800014</v>
      </c>
      <c r="K34" s="2"/>
      <c r="L34" s="9">
        <f t="shared" si="0"/>
        <v>-1814.9190909090912</v>
      </c>
    </row>
    <row r="35" spans="1:12" x14ac:dyDescent="0.25">
      <c r="A35" s="1">
        <v>34</v>
      </c>
      <c r="B35" s="1" t="s">
        <v>65</v>
      </c>
      <c r="C35" s="1" t="s">
        <v>53</v>
      </c>
      <c r="D35" s="1" t="s">
        <v>15</v>
      </c>
      <c r="E35" s="1" t="s">
        <v>10</v>
      </c>
      <c r="F35" s="6">
        <v>4627.87</v>
      </c>
      <c r="G35" s="1" t="s">
        <v>59</v>
      </c>
      <c r="H35" s="7">
        <v>5050.1890909090907</v>
      </c>
      <c r="I35" s="1" t="s">
        <v>55</v>
      </c>
      <c r="J35" s="6">
        <v>6802.6432252800014</v>
      </c>
      <c r="K35" s="5" t="s">
        <v>26</v>
      </c>
      <c r="L35" s="9">
        <f t="shared" si="0"/>
        <v>-422.31909090909085</v>
      </c>
    </row>
    <row r="36" spans="1:12" x14ac:dyDescent="0.25">
      <c r="A36" s="1">
        <v>35</v>
      </c>
      <c r="B36" s="1" t="s">
        <v>66</v>
      </c>
      <c r="C36" s="1" t="s">
        <v>58</v>
      </c>
      <c r="D36" s="1" t="s">
        <v>48</v>
      </c>
      <c r="E36" s="1" t="s">
        <v>10</v>
      </c>
      <c r="F36" s="6">
        <v>4983.8599999999997</v>
      </c>
      <c r="G36" s="1" t="s">
        <v>67</v>
      </c>
      <c r="H36" s="7">
        <v>6903.1527272727271</v>
      </c>
      <c r="I36" s="1" t="s">
        <v>55</v>
      </c>
      <c r="J36" s="6">
        <v>7193.3720712000004</v>
      </c>
      <c r="K36" s="5" t="s">
        <v>26</v>
      </c>
      <c r="L36" s="9">
        <f t="shared" si="0"/>
        <v>-1919.2927272727275</v>
      </c>
    </row>
    <row r="37" spans="1:12" x14ac:dyDescent="0.25">
      <c r="A37" s="1">
        <v>36</v>
      </c>
      <c r="B37" s="1" t="s">
        <v>68</v>
      </c>
      <c r="C37" s="1" t="s">
        <v>58</v>
      </c>
      <c r="D37" s="1" t="s">
        <v>15</v>
      </c>
      <c r="E37" s="1" t="s">
        <v>10</v>
      </c>
      <c r="F37" s="6">
        <v>4983.8599999999997</v>
      </c>
      <c r="G37" s="1" t="s">
        <v>51</v>
      </c>
      <c r="H37" s="6">
        <v>7363.5163636363641</v>
      </c>
      <c r="I37" s="1" t="s">
        <v>49</v>
      </c>
      <c r="J37" s="7">
        <v>6460.530410880001</v>
      </c>
      <c r="K37" s="5" t="s">
        <v>35</v>
      </c>
      <c r="L37" s="9">
        <f>F37-J37</f>
        <v>-1476.6704108800013</v>
      </c>
    </row>
    <row r="38" spans="1:12" x14ac:dyDescent="0.25">
      <c r="A38" s="1">
        <v>37</v>
      </c>
      <c r="B38" s="1" t="s">
        <v>69</v>
      </c>
      <c r="C38" s="1" t="s">
        <v>28</v>
      </c>
      <c r="D38" s="1" t="s">
        <v>48</v>
      </c>
      <c r="E38" s="1" t="s">
        <v>10</v>
      </c>
      <c r="F38" s="6">
        <v>5695.84</v>
      </c>
      <c r="G38" s="1" t="s">
        <v>62</v>
      </c>
      <c r="H38" s="7">
        <v>5747.64</v>
      </c>
      <c r="I38" s="1" t="s">
        <v>24</v>
      </c>
      <c r="J38" s="6">
        <v>6588.3725678400006</v>
      </c>
      <c r="K38" s="2"/>
      <c r="L38" s="9">
        <f t="shared" si="0"/>
        <v>-51.800000000000182</v>
      </c>
    </row>
    <row r="39" spans="1:12" x14ac:dyDescent="0.25">
      <c r="A39" s="1">
        <v>38</v>
      </c>
      <c r="B39" s="1" t="s">
        <v>70</v>
      </c>
      <c r="C39" s="1" t="s">
        <v>28</v>
      </c>
      <c r="D39" s="1" t="s">
        <v>15</v>
      </c>
      <c r="E39" s="1" t="s">
        <v>10</v>
      </c>
      <c r="F39" s="6">
        <v>5695.84</v>
      </c>
      <c r="G39" s="1" t="s">
        <v>11</v>
      </c>
      <c r="H39" s="7">
        <v>5747.64</v>
      </c>
      <c r="I39" s="1" t="s">
        <v>24</v>
      </c>
      <c r="J39" s="6">
        <v>7182.5685086400008</v>
      </c>
      <c r="K39" s="2"/>
      <c r="L39" s="9">
        <f t="shared" si="0"/>
        <v>-51.800000000000182</v>
      </c>
    </row>
    <row r="40" spans="1:12" x14ac:dyDescent="0.25">
      <c r="A40" s="1">
        <v>39</v>
      </c>
      <c r="B40" s="1" t="s">
        <v>72</v>
      </c>
      <c r="C40" s="1" t="s">
        <v>73</v>
      </c>
      <c r="D40" s="1" t="s">
        <v>48</v>
      </c>
      <c r="E40" s="1" t="s">
        <v>10</v>
      </c>
      <c r="F40" s="6">
        <v>8187.7699999999995</v>
      </c>
      <c r="G40" s="1" t="s">
        <v>51</v>
      </c>
      <c r="H40" s="7">
        <v>9204.9709090909091</v>
      </c>
      <c r="I40" s="1" t="s">
        <v>71</v>
      </c>
      <c r="J40" s="6">
        <v>0</v>
      </c>
      <c r="K40" s="2"/>
      <c r="L40" s="9">
        <f t="shared" si="0"/>
        <v>-1017.2009090909096</v>
      </c>
    </row>
    <row r="41" spans="1:12" x14ac:dyDescent="0.25">
      <c r="A41" s="1">
        <v>40</v>
      </c>
      <c r="B41" s="1" t="s">
        <v>74</v>
      </c>
      <c r="C41" s="1" t="s">
        <v>73</v>
      </c>
      <c r="D41" s="1" t="s">
        <v>15</v>
      </c>
      <c r="E41" s="1" t="s">
        <v>10</v>
      </c>
      <c r="F41" s="6">
        <v>8187.7699999999995</v>
      </c>
      <c r="G41" s="1" t="s">
        <v>59</v>
      </c>
      <c r="H41" s="7">
        <v>10965.861818181818</v>
      </c>
      <c r="I41" s="1" t="s">
        <v>71</v>
      </c>
      <c r="J41" s="6">
        <v>0</v>
      </c>
      <c r="K41" s="5" t="s">
        <v>26</v>
      </c>
      <c r="L41" s="9">
        <f t="shared" si="0"/>
        <v>-2778.0918181818188</v>
      </c>
    </row>
    <row r="42" spans="1:12" x14ac:dyDescent="0.25">
      <c r="A42" s="1">
        <v>41</v>
      </c>
      <c r="B42" s="1" t="s">
        <v>75</v>
      </c>
      <c r="C42" s="1" t="s">
        <v>28</v>
      </c>
      <c r="D42" s="1" t="s">
        <v>48</v>
      </c>
      <c r="E42" s="1" t="s">
        <v>10</v>
      </c>
      <c r="F42" s="6">
        <v>6585.8149999999996</v>
      </c>
      <c r="G42" s="1" t="s">
        <v>11</v>
      </c>
      <c r="H42" s="7">
        <v>6898.5490909090913</v>
      </c>
      <c r="I42" s="1" t="s">
        <v>49</v>
      </c>
      <c r="J42" s="6">
        <v>8280.9307022400008</v>
      </c>
      <c r="K42" s="5" t="s">
        <v>26</v>
      </c>
      <c r="L42" s="9">
        <f t="shared" si="0"/>
        <v>-312.73409090909172</v>
      </c>
    </row>
    <row r="43" spans="1:12" x14ac:dyDescent="0.25">
      <c r="A43" s="1">
        <v>42</v>
      </c>
      <c r="B43" s="1" t="s">
        <v>76</v>
      </c>
      <c r="C43" s="1" t="s">
        <v>28</v>
      </c>
      <c r="D43" s="1" t="s">
        <v>15</v>
      </c>
      <c r="E43" s="1" t="s">
        <v>10</v>
      </c>
      <c r="F43" s="6">
        <v>6585.8149999999996</v>
      </c>
      <c r="G43" s="1" t="s">
        <v>11</v>
      </c>
      <c r="H43" s="7">
        <v>6898.5490909090913</v>
      </c>
      <c r="I43" s="1" t="s">
        <v>49</v>
      </c>
      <c r="J43" s="6">
        <v>8280.9307022400008</v>
      </c>
      <c r="K43" s="5" t="s">
        <v>26</v>
      </c>
      <c r="L43" s="9">
        <f t="shared" si="0"/>
        <v>-312.73409090909172</v>
      </c>
    </row>
    <row r="44" spans="1:12" x14ac:dyDescent="0.25">
      <c r="A44" s="1">
        <v>43</v>
      </c>
      <c r="B44" s="1" t="s">
        <v>77</v>
      </c>
      <c r="C44" s="1" t="s">
        <v>78</v>
      </c>
      <c r="D44" s="1" t="s">
        <v>48</v>
      </c>
      <c r="E44" s="1" t="s">
        <v>10</v>
      </c>
      <c r="F44" s="6">
        <v>7831.78</v>
      </c>
      <c r="G44" s="1" t="s">
        <v>11</v>
      </c>
      <c r="H44" s="7">
        <v>8279.64</v>
      </c>
      <c r="I44" s="1" t="s">
        <v>24</v>
      </c>
      <c r="J44" s="6">
        <v>10621.702590240002</v>
      </c>
      <c r="K44" s="2"/>
      <c r="L44" s="9">
        <f t="shared" si="0"/>
        <v>-447.85999999999967</v>
      </c>
    </row>
    <row r="45" spans="1:12" x14ac:dyDescent="0.25">
      <c r="A45" s="1">
        <v>44</v>
      </c>
      <c r="B45" s="1" t="s">
        <v>79</v>
      </c>
      <c r="C45" s="1" t="s">
        <v>78</v>
      </c>
      <c r="D45" s="1" t="s">
        <v>15</v>
      </c>
      <c r="E45" s="1" t="s">
        <v>10</v>
      </c>
      <c r="F45" s="6">
        <v>7831.78</v>
      </c>
      <c r="G45" s="1" t="s">
        <v>51</v>
      </c>
      <c r="H45" s="7">
        <v>8468.3890909090915</v>
      </c>
      <c r="I45" s="1" t="s">
        <v>71</v>
      </c>
      <c r="J45" s="6">
        <v>0</v>
      </c>
      <c r="K45" s="2"/>
      <c r="L45" s="9">
        <f t="shared" si="0"/>
        <v>-636.60909090909172</v>
      </c>
    </row>
    <row r="46" spans="1:12" x14ac:dyDescent="0.25">
      <c r="A46" s="1">
        <v>45</v>
      </c>
      <c r="B46" s="1" t="s">
        <v>80</v>
      </c>
      <c r="C46" s="1" t="s">
        <v>73</v>
      </c>
      <c r="D46" s="1" t="s">
        <v>48</v>
      </c>
      <c r="E46" s="1" t="s">
        <v>10</v>
      </c>
      <c r="F46" s="6">
        <v>9077.744999999999</v>
      </c>
      <c r="G46" s="1" t="s">
        <v>51</v>
      </c>
      <c r="H46" s="7">
        <v>10493.989090909092</v>
      </c>
      <c r="I46" s="1" t="s">
        <v>71</v>
      </c>
      <c r="J46" s="6">
        <v>0</v>
      </c>
      <c r="K46" s="2"/>
      <c r="L46" s="9">
        <f t="shared" si="0"/>
        <v>-1416.2440909090928</v>
      </c>
    </row>
    <row r="47" spans="1:12" x14ac:dyDescent="0.25">
      <c r="A47" s="1">
        <v>46</v>
      </c>
      <c r="B47" s="1" t="s">
        <v>81</v>
      </c>
      <c r="C47" s="1" t="s">
        <v>73</v>
      </c>
      <c r="D47" s="1" t="s">
        <v>15</v>
      </c>
      <c r="E47" s="1" t="s">
        <v>10</v>
      </c>
      <c r="F47" s="6">
        <v>9077.744999999999</v>
      </c>
      <c r="G47" s="1" t="s">
        <v>51</v>
      </c>
      <c r="H47" s="7">
        <v>10493.989090909092</v>
      </c>
      <c r="I47" s="1" t="s">
        <v>24</v>
      </c>
      <c r="J47" s="6">
        <v>11781.302977617603</v>
      </c>
      <c r="K47" s="2"/>
      <c r="L47" s="9">
        <f t="shared" si="0"/>
        <v>-1416.2440909090928</v>
      </c>
    </row>
    <row r="48" spans="1:12" x14ac:dyDescent="0.25">
      <c r="A48" s="1">
        <v>47</v>
      </c>
      <c r="B48" s="1" t="s">
        <v>82</v>
      </c>
      <c r="C48" s="1" t="s">
        <v>83</v>
      </c>
      <c r="D48" s="1" t="s">
        <v>48</v>
      </c>
      <c r="E48" s="1" t="s">
        <v>10</v>
      </c>
      <c r="F48" s="6">
        <v>9789.7250000000004</v>
      </c>
      <c r="G48" s="1" t="s">
        <v>51</v>
      </c>
      <c r="H48" s="7">
        <v>11967.152727272727</v>
      </c>
      <c r="I48" s="1" t="s">
        <v>24</v>
      </c>
      <c r="J48" s="6">
        <v>14222.890110240001</v>
      </c>
      <c r="K48" s="2"/>
      <c r="L48" s="9">
        <f t="shared" si="0"/>
        <v>-2177.4277272727268</v>
      </c>
    </row>
    <row r="49" spans="1:12" x14ac:dyDescent="0.25">
      <c r="A49" s="1">
        <v>48</v>
      </c>
      <c r="B49" s="1" t="s">
        <v>84</v>
      </c>
      <c r="C49" s="1" t="s">
        <v>83</v>
      </c>
      <c r="D49" s="1" t="s">
        <v>15</v>
      </c>
      <c r="E49" s="1" t="s">
        <v>10</v>
      </c>
      <c r="F49" s="6">
        <v>9789.7250000000004</v>
      </c>
      <c r="G49" s="1" t="s">
        <v>59</v>
      </c>
      <c r="H49" s="7">
        <v>13451.825454545455</v>
      </c>
      <c r="I49" s="1" t="s">
        <v>71</v>
      </c>
      <c r="J49" s="6">
        <v>0</v>
      </c>
      <c r="K49" s="5" t="s">
        <v>26</v>
      </c>
      <c r="L49" s="9">
        <f t="shared" si="0"/>
        <v>-3662.1004545454543</v>
      </c>
    </row>
    <row r="50" spans="1:12" x14ac:dyDescent="0.25">
      <c r="A50" s="1">
        <v>49</v>
      </c>
      <c r="B50" s="1" t="s">
        <v>85</v>
      </c>
      <c r="C50" s="1" t="s">
        <v>86</v>
      </c>
      <c r="D50" s="1" t="s">
        <v>15</v>
      </c>
      <c r="E50" s="1" t="s">
        <v>10</v>
      </c>
      <c r="F50" s="6">
        <v>1815.549</v>
      </c>
      <c r="G50" s="1" t="s">
        <v>87</v>
      </c>
      <c r="H50" s="7">
        <v>1956.5224363636364</v>
      </c>
      <c r="I50" s="1" t="s">
        <v>24</v>
      </c>
      <c r="J50" s="6">
        <v>2429.0009822400002</v>
      </c>
      <c r="K50" s="5" t="s">
        <v>35</v>
      </c>
      <c r="L50" s="9">
        <f t="shared" si="0"/>
        <v>-140.97343636363644</v>
      </c>
    </row>
    <row r="51" spans="1:12" x14ac:dyDescent="0.25">
      <c r="A51" s="1">
        <v>50</v>
      </c>
      <c r="B51" s="1" t="s">
        <v>88</v>
      </c>
      <c r="C51" s="1" t="s">
        <v>86</v>
      </c>
      <c r="D51" s="1" t="s">
        <v>89</v>
      </c>
      <c r="E51" s="1" t="s">
        <v>10</v>
      </c>
      <c r="F51" s="6">
        <v>1851.1479999999999</v>
      </c>
      <c r="G51" s="1" t="s">
        <v>87</v>
      </c>
      <c r="H51" s="7">
        <v>1956.5224363636364</v>
      </c>
      <c r="I51" s="1" t="s">
        <v>24</v>
      </c>
      <c r="J51" s="6">
        <v>2429.0009822400002</v>
      </c>
      <c r="K51" s="2"/>
      <c r="L51" s="9">
        <f t="shared" si="0"/>
        <v>-105.37443636363651</v>
      </c>
    </row>
    <row r="52" spans="1:12" x14ac:dyDescent="0.25">
      <c r="A52" s="1">
        <v>51</v>
      </c>
      <c r="B52" s="1" t="s">
        <v>90</v>
      </c>
      <c r="C52" s="1" t="s">
        <v>86</v>
      </c>
      <c r="D52" s="1" t="s">
        <v>91</v>
      </c>
      <c r="E52" s="1" t="s">
        <v>10</v>
      </c>
      <c r="F52" s="6">
        <v>1851.1479999999999</v>
      </c>
      <c r="G52" s="1" t="s">
        <v>87</v>
      </c>
      <c r="H52" s="7">
        <v>1956.5224363636364</v>
      </c>
      <c r="I52" s="1" t="s">
        <v>24</v>
      </c>
      <c r="J52" s="6">
        <v>2429.0009822400002</v>
      </c>
      <c r="K52" s="2"/>
      <c r="L52" s="9">
        <f t="shared" si="0"/>
        <v>-105.37443636363651</v>
      </c>
    </row>
    <row r="53" spans="1:12" x14ac:dyDescent="0.25">
      <c r="A53" s="1">
        <v>52</v>
      </c>
      <c r="B53" s="1" t="s">
        <v>92</v>
      </c>
      <c r="C53" s="1" t="s">
        <v>86</v>
      </c>
      <c r="D53" s="1" t="s">
        <v>93</v>
      </c>
      <c r="E53" s="1" t="s">
        <v>10</v>
      </c>
      <c r="F53" s="6">
        <v>1815.549</v>
      </c>
      <c r="G53" s="1" t="s">
        <v>87</v>
      </c>
      <c r="H53" s="7">
        <v>1956.5224363636364</v>
      </c>
      <c r="I53" s="1" t="s">
        <v>55</v>
      </c>
      <c r="J53" s="6">
        <v>2301.1588252800002</v>
      </c>
      <c r="K53" s="2"/>
      <c r="L53" s="9">
        <f t="shared" si="0"/>
        <v>-140.97343636363644</v>
      </c>
    </row>
    <row r="54" spans="1:12" x14ac:dyDescent="0.25">
      <c r="A54" s="1">
        <v>53</v>
      </c>
      <c r="B54" s="1" t="s">
        <v>94</v>
      </c>
      <c r="C54" s="1" t="s">
        <v>95</v>
      </c>
      <c r="D54" s="1" t="s">
        <v>15</v>
      </c>
      <c r="E54" s="1" t="s">
        <v>10</v>
      </c>
      <c r="F54" s="6">
        <v>2135.94</v>
      </c>
      <c r="G54" s="1" t="s">
        <v>87</v>
      </c>
      <c r="H54" s="7">
        <v>2416.8860727272727</v>
      </c>
      <c r="I54" s="1" t="s">
        <v>24</v>
      </c>
      <c r="J54" s="6">
        <v>2771.1137966400001</v>
      </c>
      <c r="K54" s="2"/>
      <c r="L54" s="9">
        <f t="shared" si="0"/>
        <v>-280.94607272727262</v>
      </c>
    </row>
    <row r="55" spans="1:12" x14ac:dyDescent="0.25">
      <c r="A55" s="1">
        <v>54</v>
      </c>
      <c r="B55" s="1" t="s">
        <v>96</v>
      </c>
      <c r="C55" s="1" t="s">
        <v>95</v>
      </c>
      <c r="D55" s="1" t="s">
        <v>89</v>
      </c>
      <c r="E55" s="1" t="s">
        <v>10</v>
      </c>
      <c r="F55" s="6">
        <v>2242.7370000000001</v>
      </c>
      <c r="G55" s="1" t="s">
        <v>87</v>
      </c>
      <c r="H55" s="7">
        <v>2416.8860727272727</v>
      </c>
      <c r="I55" s="1" t="s">
        <v>24</v>
      </c>
      <c r="J55" s="6">
        <v>2771.1137966400001</v>
      </c>
      <c r="K55" s="2"/>
      <c r="L55" s="9">
        <f t="shared" si="0"/>
        <v>-174.1490727272726</v>
      </c>
    </row>
    <row r="56" spans="1:12" x14ac:dyDescent="0.25">
      <c r="A56" s="1">
        <v>55</v>
      </c>
      <c r="B56" s="1" t="s">
        <v>97</v>
      </c>
      <c r="C56" s="1" t="s">
        <v>95</v>
      </c>
      <c r="D56" s="1" t="s">
        <v>91</v>
      </c>
      <c r="E56" s="1" t="s">
        <v>10</v>
      </c>
      <c r="F56" s="6">
        <v>2242.7370000000001</v>
      </c>
      <c r="G56" s="1" t="s">
        <v>87</v>
      </c>
      <c r="H56" s="7">
        <v>2416.8860727272727</v>
      </c>
      <c r="I56" s="1" t="s">
        <v>55</v>
      </c>
      <c r="J56" s="6">
        <v>2598.2567956800003</v>
      </c>
      <c r="K56" s="2"/>
      <c r="L56" s="9">
        <f t="shared" si="0"/>
        <v>-174.1490727272726</v>
      </c>
    </row>
    <row r="57" spans="1:12" x14ac:dyDescent="0.25">
      <c r="A57" s="1">
        <v>56</v>
      </c>
      <c r="B57" s="1" t="s">
        <v>98</v>
      </c>
      <c r="C57" s="1" t="s">
        <v>95</v>
      </c>
      <c r="D57" s="1" t="s">
        <v>93</v>
      </c>
      <c r="E57" s="1" t="s">
        <v>10</v>
      </c>
      <c r="F57" s="6">
        <v>2135.94</v>
      </c>
      <c r="G57" s="1" t="s">
        <v>87</v>
      </c>
      <c r="H57" s="7">
        <v>2416.8860727272727</v>
      </c>
      <c r="I57" s="1" t="s">
        <v>55</v>
      </c>
      <c r="J57" s="6">
        <v>2598.2567956800003</v>
      </c>
      <c r="K57" s="2"/>
      <c r="L57" s="9">
        <f t="shared" si="0"/>
        <v>-280.94607272727262</v>
      </c>
    </row>
    <row r="58" spans="1:12" x14ac:dyDescent="0.25">
      <c r="A58" s="1">
        <v>57</v>
      </c>
      <c r="B58" s="1" t="s">
        <v>99</v>
      </c>
      <c r="C58" s="1" t="s">
        <v>21</v>
      </c>
      <c r="D58" s="1" t="s">
        <v>15</v>
      </c>
      <c r="E58" s="1" t="s">
        <v>10</v>
      </c>
      <c r="F58" s="6">
        <v>3275.1079999999997</v>
      </c>
      <c r="G58" s="1" t="s">
        <v>51</v>
      </c>
      <c r="H58" s="7">
        <v>3676.0036363636364</v>
      </c>
      <c r="I58" s="1" t="s">
        <v>55</v>
      </c>
      <c r="J58" s="6">
        <v>4231.3953360000005</v>
      </c>
      <c r="K58" s="2"/>
      <c r="L58" s="9">
        <f t="shared" si="0"/>
        <v>-400.89563636363664</v>
      </c>
    </row>
    <row r="59" spans="1:12" x14ac:dyDescent="0.25">
      <c r="A59" s="1">
        <v>58</v>
      </c>
      <c r="B59" s="1" t="s">
        <v>100</v>
      </c>
      <c r="C59" s="1" t="s">
        <v>21</v>
      </c>
      <c r="D59" s="1" t="s">
        <v>19</v>
      </c>
      <c r="E59" s="1" t="s">
        <v>10</v>
      </c>
      <c r="F59" s="6">
        <v>3275.1079999999997</v>
      </c>
      <c r="G59" s="1" t="s">
        <v>51</v>
      </c>
      <c r="H59" s="7">
        <v>3676.0036363636364</v>
      </c>
      <c r="I59" s="1" t="s">
        <v>55</v>
      </c>
      <c r="J59" s="6">
        <v>3790.2498648000001</v>
      </c>
      <c r="K59" s="2"/>
      <c r="L59" s="9">
        <f t="shared" si="0"/>
        <v>-400.89563636363664</v>
      </c>
    </row>
    <row r="60" spans="1:12" x14ac:dyDescent="0.25">
      <c r="A60" s="1">
        <v>59</v>
      </c>
      <c r="B60" s="1" t="s">
        <v>101</v>
      </c>
      <c r="C60" s="1" t="s">
        <v>21</v>
      </c>
      <c r="D60" s="1" t="s">
        <v>17</v>
      </c>
      <c r="E60" s="1" t="s">
        <v>10</v>
      </c>
      <c r="F60" s="6">
        <v>3275.1079999999997</v>
      </c>
      <c r="G60" s="1" t="s">
        <v>51</v>
      </c>
      <c r="H60" s="7">
        <v>3676.0036363636364</v>
      </c>
      <c r="I60" s="1" t="s">
        <v>55</v>
      </c>
      <c r="J60" s="6">
        <v>3790.2498648000001</v>
      </c>
      <c r="K60" s="2"/>
      <c r="L60" s="9">
        <f t="shared" si="0"/>
        <v>-400.89563636363664</v>
      </c>
    </row>
    <row r="61" spans="1:12" x14ac:dyDescent="0.25">
      <c r="A61" s="1">
        <v>60</v>
      </c>
      <c r="B61" s="1" t="s">
        <v>102</v>
      </c>
      <c r="C61" s="1" t="s">
        <v>21</v>
      </c>
      <c r="D61" s="1" t="s">
        <v>9</v>
      </c>
      <c r="E61" s="1" t="s">
        <v>10</v>
      </c>
      <c r="F61" s="6">
        <v>3275.1079999999997</v>
      </c>
      <c r="G61" s="1" t="s">
        <v>51</v>
      </c>
      <c r="H61" s="7">
        <v>3676.0036363636364</v>
      </c>
      <c r="I61" s="1" t="s">
        <v>55</v>
      </c>
      <c r="J61" s="6">
        <v>4231.3953360000005</v>
      </c>
      <c r="K61" s="2"/>
      <c r="L61" s="9">
        <f t="shared" si="0"/>
        <v>-400.89563636363664</v>
      </c>
    </row>
    <row r="62" spans="1:12" x14ac:dyDescent="0.25">
      <c r="A62" s="1">
        <v>61</v>
      </c>
      <c r="B62" s="1" t="s">
        <v>103</v>
      </c>
      <c r="C62" s="1" t="s">
        <v>104</v>
      </c>
      <c r="D62" s="1" t="s">
        <v>15</v>
      </c>
      <c r="E62" s="1" t="s">
        <v>10</v>
      </c>
      <c r="F62" s="6">
        <v>3915.89</v>
      </c>
      <c r="G62" s="1" t="s">
        <v>51</v>
      </c>
      <c r="H62" s="7">
        <v>4366.5490909090904</v>
      </c>
      <c r="I62" s="1" t="s">
        <v>55</v>
      </c>
      <c r="J62" s="6">
        <v>4474.4754936000008</v>
      </c>
      <c r="K62" s="2"/>
      <c r="L62" s="9">
        <f t="shared" si="0"/>
        <v>-450.65909090909054</v>
      </c>
    </row>
    <row r="63" spans="1:12" x14ac:dyDescent="0.25">
      <c r="A63" s="1">
        <v>62</v>
      </c>
      <c r="B63" s="1" t="s">
        <v>105</v>
      </c>
      <c r="C63" s="1" t="s">
        <v>104</v>
      </c>
      <c r="D63" s="1" t="s">
        <v>19</v>
      </c>
      <c r="E63" s="1" t="s">
        <v>10</v>
      </c>
      <c r="F63" s="6">
        <v>3880.2909999999997</v>
      </c>
      <c r="G63" s="1" t="s">
        <v>51</v>
      </c>
      <c r="H63" s="7">
        <v>4366.5490909090904</v>
      </c>
      <c r="I63" s="1" t="s">
        <v>55</v>
      </c>
      <c r="J63" s="6">
        <v>4921.0227460800006</v>
      </c>
      <c r="K63" s="2"/>
      <c r="L63" s="9">
        <f t="shared" si="0"/>
        <v>-486.2580909090907</v>
      </c>
    </row>
    <row r="64" spans="1:12" x14ac:dyDescent="0.25">
      <c r="A64" s="1">
        <v>63</v>
      </c>
      <c r="B64" s="1" t="s">
        <v>106</v>
      </c>
      <c r="C64" s="1" t="s">
        <v>104</v>
      </c>
      <c r="D64" s="1" t="s">
        <v>17</v>
      </c>
      <c r="E64" s="1" t="s">
        <v>10</v>
      </c>
      <c r="F64" s="6">
        <v>3915.89</v>
      </c>
      <c r="G64" s="1" t="s">
        <v>51</v>
      </c>
      <c r="H64" s="7">
        <v>4366.5490909090904</v>
      </c>
      <c r="I64" s="1" t="s">
        <v>55</v>
      </c>
      <c r="J64" s="6">
        <v>4474.4754936000008</v>
      </c>
      <c r="K64" s="2"/>
      <c r="L64" s="9">
        <f t="shared" si="0"/>
        <v>-450.65909090909054</v>
      </c>
    </row>
    <row r="65" spans="1:12" x14ac:dyDescent="0.25">
      <c r="A65" s="1">
        <v>64</v>
      </c>
      <c r="B65" s="1" t="s">
        <v>107</v>
      </c>
      <c r="C65" s="1" t="s">
        <v>104</v>
      </c>
      <c r="D65" s="1" t="s">
        <v>9</v>
      </c>
      <c r="E65" s="1" t="s">
        <v>10</v>
      </c>
      <c r="F65" s="6">
        <v>3915.89</v>
      </c>
      <c r="G65" s="1" t="s">
        <v>51</v>
      </c>
      <c r="H65" s="7">
        <v>4366.5490909090904</v>
      </c>
      <c r="I65" s="1" t="s">
        <v>55</v>
      </c>
      <c r="J65" s="6">
        <v>4474.4754936000008</v>
      </c>
      <c r="K65" s="2"/>
      <c r="L65" s="9">
        <f t="shared" si="0"/>
        <v>-450.65909090909054</v>
      </c>
    </row>
    <row r="66" spans="1:12" x14ac:dyDescent="0.25">
      <c r="A66" s="1">
        <v>65</v>
      </c>
      <c r="B66" s="1" t="s">
        <v>108</v>
      </c>
      <c r="C66" s="1" t="s">
        <v>109</v>
      </c>
      <c r="D66" s="1" t="s">
        <v>15</v>
      </c>
      <c r="E66" s="1" t="s">
        <v>10</v>
      </c>
      <c r="F66" s="6">
        <v>4449.875</v>
      </c>
      <c r="G66" s="1" t="s">
        <v>59</v>
      </c>
      <c r="H66" s="7">
        <v>5057.0945454545454</v>
      </c>
      <c r="I66" s="1" t="s">
        <v>55</v>
      </c>
      <c r="J66" s="6">
        <v>5607.0489686400006</v>
      </c>
      <c r="K66" s="2"/>
      <c r="L66" s="9">
        <f t="shared" si="0"/>
        <v>-607.21954545454537</v>
      </c>
    </row>
    <row r="67" spans="1:12" x14ac:dyDescent="0.25">
      <c r="A67" s="1">
        <v>66</v>
      </c>
      <c r="B67" s="1" t="s">
        <v>110</v>
      </c>
      <c r="C67" s="1" t="s">
        <v>109</v>
      </c>
      <c r="D67" s="1" t="s">
        <v>19</v>
      </c>
      <c r="E67" s="1" t="s">
        <v>10</v>
      </c>
      <c r="F67" s="6">
        <v>4449.875</v>
      </c>
      <c r="G67" s="1" t="s">
        <v>59</v>
      </c>
      <c r="H67" s="7">
        <v>5057.0945454545454</v>
      </c>
      <c r="I67" s="1" t="s">
        <v>55</v>
      </c>
      <c r="J67" s="6">
        <v>5607.0489686400006</v>
      </c>
      <c r="K67" s="2"/>
      <c r="L67" s="9">
        <f t="shared" ref="L67:L99" si="1">F67-H67</f>
        <v>-607.21954545454537</v>
      </c>
    </row>
    <row r="68" spans="1:12" x14ac:dyDescent="0.25">
      <c r="A68" s="1">
        <v>67</v>
      </c>
      <c r="B68" s="1" t="s">
        <v>111</v>
      </c>
      <c r="C68" s="1" t="s">
        <v>109</v>
      </c>
      <c r="D68" s="1" t="s">
        <v>17</v>
      </c>
      <c r="E68" s="1" t="s">
        <v>10</v>
      </c>
      <c r="F68" s="6">
        <v>4449.875</v>
      </c>
      <c r="G68" s="1" t="s">
        <v>59</v>
      </c>
      <c r="H68" s="7">
        <v>5057.0945454545454</v>
      </c>
      <c r="I68" s="1" t="s">
        <v>55</v>
      </c>
      <c r="J68" s="6">
        <v>5607.0489686400006</v>
      </c>
      <c r="K68" s="2"/>
      <c r="L68" s="9">
        <f t="shared" si="1"/>
        <v>-607.21954545454537</v>
      </c>
    </row>
    <row r="69" spans="1:12" x14ac:dyDescent="0.25">
      <c r="A69" s="1">
        <v>68</v>
      </c>
      <c r="B69" s="1" t="s">
        <v>112</v>
      </c>
      <c r="C69" s="1" t="s">
        <v>109</v>
      </c>
      <c r="D69" s="1" t="s">
        <v>9</v>
      </c>
      <c r="E69" s="1" t="s">
        <v>10</v>
      </c>
      <c r="F69" s="6">
        <v>4449.875</v>
      </c>
      <c r="G69" s="1" t="s">
        <v>59</v>
      </c>
      <c r="H69" s="7">
        <v>5057.0945454545454</v>
      </c>
      <c r="I69" s="1" t="s">
        <v>55</v>
      </c>
      <c r="J69" s="6">
        <v>5607.0489686400006</v>
      </c>
      <c r="K69" s="2"/>
      <c r="L69" s="9">
        <f t="shared" si="1"/>
        <v>-607.21954545454537</v>
      </c>
    </row>
    <row r="70" spans="1:12" x14ac:dyDescent="0.25">
      <c r="A70" s="1">
        <v>69</v>
      </c>
      <c r="B70" s="1" t="s">
        <v>113</v>
      </c>
      <c r="C70" s="1" t="s">
        <v>21</v>
      </c>
      <c r="D70" s="1" t="s">
        <v>15</v>
      </c>
      <c r="E70" s="1" t="s">
        <v>10</v>
      </c>
      <c r="F70" s="6">
        <v>3915.89</v>
      </c>
      <c r="G70" s="1" t="s">
        <v>51</v>
      </c>
      <c r="H70" s="7">
        <v>4596.7309090909093</v>
      </c>
      <c r="I70" s="1" t="s">
        <v>55</v>
      </c>
      <c r="J70" s="6">
        <v>4744.5645576000006</v>
      </c>
      <c r="K70" s="2"/>
      <c r="L70" s="9">
        <f t="shared" si="1"/>
        <v>-680.84090909090946</v>
      </c>
    </row>
    <row r="71" spans="1:12" x14ac:dyDescent="0.25">
      <c r="A71" s="1">
        <v>70</v>
      </c>
      <c r="B71" s="1" t="s">
        <v>114</v>
      </c>
      <c r="C71" s="1" t="s">
        <v>21</v>
      </c>
      <c r="D71" s="1" t="s">
        <v>19</v>
      </c>
      <c r="E71" s="1" t="s">
        <v>10</v>
      </c>
      <c r="F71" s="6">
        <v>3915.89</v>
      </c>
      <c r="G71" s="1" t="s">
        <v>11</v>
      </c>
      <c r="H71" s="7">
        <v>4596.7309090909093</v>
      </c>
      <c r="I71" s="1" t="s">
        <v>55</v>
      </c>
      <c r="J71" s="6">
        <v>4744.5645576000006</v>
      </c>
      <c r="K71" s="5" t="s">
        <v>26</v>
      </c>
      <c r="L71" s="9">
        <f t="shared" si="1"/>
        <v>-680.84090909090946</v>
      </c>
    </row>
    <row r="72" spans="1:12" x14ac:dyDescent="0.25">
      <c r="A72" s="1">
        <v>71</v>
      </c>
      <c r="B72" s="1" t="s">
        <v>115</v>
      </c>
      <c r="C72" s="1" t="s">
        <v>21</v>
      </c>
      <c r="D72" s="1" t="s">
        <v>17</v>
      </c>
      <c r="E72" s="1" t="s">
        <v>10</v>
      </c>
      <c r="F72" s="6">
        <v>3915.89</v>
      </c>
      <c r="G72" s="1" t="s">
        <v>51</v>
      </c>
      <c r="H72" s="7">
        <v>4596.7309090909093</v>
      </c>
      <c r="I72" s="1" t="s">
        <v>55</v>
      </c>
      <c r="J72" s="6">
        <v>4744.5645576000006</v>
      </c>
      <c r="K72" s="2"/>
      <c r="L72" s="9">
        <f t="shared" si="1"/>
        <v>-680.84090909090946</v>
      </c>
    </row>
    <row r="73" spans="1:12" x14ac:dyDescent="0.25">
      <c r="A73" s="1">
        <v>72</v>
      </c>
      <c r="B73" s="1" t="s">
        <v>116</v>
      </c>
      <c r="C73" s="1" t="s">
        <v>21</v>
      </c>
      <c r="D73" s="1" t="s">
        <v>9</v>
      </c>
      <c r="E73" s="1" t="s">
        <v>10</v>
      </c>
      <c r="F73" s="6">
        <v>3915.89</v>
      </c>
      <c r="G73" s="1" t="s">
        <v>11</v>
      </c>
      <c r="H73" s="7">
        <v>4596.7309090909093</v>
      </c>
      <c r="I73" s="1" t="s">
        <v>55</v>
      </c>
      <c r="J73" s="6">
        <v>4744.5645576000006</v>
      </c>
      <c r="K73" s="5" t="s">
        <v>26</v>
      </c>
      <c r="L73" s="9">
        <f t="shared" si="1"/>
        <v>-680.84090909090946</v>
      </c>
    </row>
    <row r="74" spans="1:12" x14ac:dyDescent="0.25">
      <c r="A74" s="1">
        <v>73</v>
      </c>
      <c r="B74" s="1" t="s">
        <v>117</v>
      </c>
      <c r="C74" s="1" t="s">
        <v>104</v>
      </c>
      <c r="D74" s="1" t="s">
        <v>15</v>
      </c>
      <c r="E74" s="1" t="s">
        <v>10</v>
      </c>
      <c r="F74" s="6">
        <v>4449.875</v>
      </c>
      <c r="G74" s="1" t="s">
        <v>59</v>
      </c>
      <c r="H74" s="7">
        <v>5287.2763636363634</v>
      </c>
      <c r="I74" s="1" t="s">
        <v>55</v>
      </c>
      <c r="J74" s="6">
        <v>5399.980686240001</v>
      </c>
      <c r="K74" s="2"/>
      <c r="L74" s="9">
        <f t="shared" si="1"/>
        <v>-837.40136363636339</v>
      </c>
    </row>
    <row r="75" spans="1:12" x14ac:dyDescent="0.25">
      <c r="A75" s="1">
        <v>74</v>
      </c>
      <c r="B75" s="1" t="s">
        <v>118</v>
      </c>
      <c r="C75" s="1" t="s">
        <v>104</v>
      </c>
      <c r="D75" s="1" t="s">
        <v>19</v>
      </c>
      <c r="E75" s="1" t="s">
        <v>10</v>
      </c>
      <c r="F75" s="6">
        <v>4449.875</v>
      </c>
      <c r="G75" s="1" t="s">
        <v>59</v>
      </c>
      <c r="H75" s="7">
        <v>5287.2763636363634</v>
      </c>
      <c r="I75" s="1" t="s">
        <v>55</v>
      </c>
      <c r="J75" s="6">
        <v>5399.980686240001</v>
      </c>
      <c r="K75" s="2"/>
      <c r="L75" s="9">
        <f t="shared" si="1"/>
        <v>-837.40136363636339</v>
      </c>
    </row>
    <row r="76" spans="1:12" x14ac:dyDescent="0.25">
      <c r="A76" s="1">
        <v>75</v>
      </c>
      <c r="B76" s="1" t="s">
        <v>119</v>
      </c>
      <c r="C76" s="1" t="s">
        <v>104</v>
      </c>
      <c r="D76" s="1" t="s">
        <v>17</v>
      </c>
      <c r="E76" s="1" t="s">
        <v>10</v>
      </c>
      <c r="F76" s="6">
        <v>4449.875</v>
      </c>
      <c r="G76" s="1" t="s">
        <v>59</v>
      </c>
      <c r="H76" s="7">
        <v>5287.2763636363634</v>
      </c>
      <c r="I76" s="1" t="s">
        <v>55</v>
      </c>
      <c r="J76" s="6">
        <v>5399.980686240001</v>
      </c>
      <c r="K76" s="2"/>
      <c r="L76" s="9">
        <f t="shared" si="1"/>
        <v>-837.40136363636339</v>
      </c>
    </row>
    <row r="77" spans="1:12" x14ac:dyDescent="0.25">
      <c r="A77" s="1">
        <v>76</v>
      </c>
      <c r="B77" s="1" t="s">
        <v>120</v>
      </c>
      <c r="C77" s="1" t="s">
        <v>104</v>
      </c>
      <c r="D77" s="1" t="s">
        <v>9</v>
      </c>
      <c r="E77" s="1" t="s">
        <v>10</v>
      </c>
      <c r="F77" s="6">
        <v>4449.875</v>
      </c>
      <c r="G77" s="1" t="s">
        <v>59</v>
      </c>
      <c r="H77" s="7">
        <v>5287.2763636363634</v>
      </c>
      <c r="I77" s="1" t="s">
        <v>55</v>
      </c>
      <c r="J77" s="6">
        <v>5399.980686240001</v>
      </c>
      <c r="K77" s="2"/>
      <c r="L77" s="9">
        <f t="shared" si="1"/>
        <v>-837.40136363636339</v>
      </c>
    </row>
    <row r="78" spans="1:12" x14ac:dyDescent="0.25">
      <c r="A78" s="1">
        <v>77</v>
      </c>
      <c r="B78" s="1" t="s">
        <v>121</v>
      </c>
      <c r="C78" s="1" t="s">
        <v>109</v>
      </c>
      <c r="D78" s="1" t="s">
        <v>15</v>
      </c>
      <c r="E78" s="1" t="s">
        <v>10</v>
      </c>
      <c r="F78" s="6">
        <v>4877.0630000000001</v>
      </c>
      <c r="G78" s="1" t="s">
        <v>51</v>
      </c>
      <c r="H78" s="7">
        <v>6208.0036363636364</v>
      </c>
      <c r="I78" s="1" t="s">
        <v>55</v>
      </c>
      <c r="J78" s="6">
        <v>6102.2122526400008</v>
      </c>
      <c r="K78" s="2"/>
      <c r="L78" s="9">
        <f t="shared" si="1"/>
        <v>-1330.9406363636363</v>
      </c>
    </row>
    <row r="79" spans="1:12" x14ac:dyDescent="0.25">
      <c r="A79" s="1">
        <v>78</v>
      </c>
      <c r="B79" s="1" t="s">
        <v>122</v>
      </c>
      <c r="C79" s="1" t="s">
        <v>109</v>
      </c>
      <c r="D79" s="1" t="s">
        <v>19</v>
      </c>
      <c r="E79" s="1" t="s">
        <v>10</v>
      </c>
      <c r="F79" s="6">
        <v>4877.0630000000001</v>
      </c>
      <c r="G79" s="1" t="s">
        <v>59</v>
      </c>
      <c r="H79" s="6">
        <v>6208.0036363636364</v>
      </c>
      <c r="I79" s="1" t="s">
        <v>55</v>
      </c>
      <c r="J79" s="7">
        <v>6102.2122526400008</v>
      </c>
      <c r="K79" s="2"/>
      <c r="L79" s="9">
        <f>F79-J79</f>
        <v>-1225.1492526400007</v>
      </c>
    </row>
    <row r="80" spans="1:12" x14ac:dyDescent="0.25">
      <c r="A80" s="1">
        <v>79</v>
      </c>
      <c r="B80" s="1" t="s">
        <v>123</v>
      </c>
      <c r="C80" s="1" t="s">
        <v>109</v>
      </c>
      <c r="D80" s="1" t="s">
        <v>17</v>
      </c>
      <c r="E80" s="1" t="s">
        <v>10</v>
      </c>
      <c r="F80" s="6">
        <v>4877.0630000000001</v>
      </c>
      <c r="G80" s="1" t="s">
        <v>59</v>
      </c>
      <c r="H80" s="6">
        <v>6208.0036363636364</v>
      </c>
      <c r="I80" s="1" t="s">
        <v>55</v>
      </c>
      <c r="J80" s="7">
        <v>6102.2122526400008</v>
      </c>
      <c r="K80" s="2"/>
      <c r="L80" s="9">
        <f t="shared" ref="L80:L81" si="2">F80-J80</f>
        <v>-1225.1492526400007</v>
      </c>
    </row>
    <row r="81" spans="1:12" x14ac:dyDescent="0.25">
      <c r="A81" s="1">
        <v>80</v>
      </c>
      <c r="B81" s="1" t="s">
        <v>124</v>
      </c>
      <c r="C81" s="1" t="s">
        <v>109</v>
      </c>
      <c r="D81" s="1" t="s">
        <v>9</v>
      </c>
      <c r="E81" s="1" t="s">
        <v>10</v>
      </c>
      <c r="F81" s="6">
        <v>4877.0630000000001</v>
      </c>
      <c r="G81" s="1" t="s">
        <v>51</v>
      </c>
      <c r="H81" s="6">
        <v>6208.0036363636364</v>
      </c>
      <c r="I81" s="1" t="s">
        <v>55</v>
      </c>
      <c r="J81" s="7">
        <v>6102.2122526400008</v>
      </c>
      <c r="K81" s="2"/>
      <c r="L81" s="9">
        <f t="shared" si="2"/>
        <v>-1225.1492526400007</v>
      </c>
    </row>
    <row r="82" spans="1:12" x14ac:dyDescent="0.25">
      <c r="A82" s="1">
        <v>81</v>
      </c>
      <c r="B82" s="1" t="s">
        <v>125</v>
      </c>
      <c r="C82" s="1" t="s">
        <v>126</v>
      </c>
      <c r="D82" s="1" t="s">
        <v>127</v>
      </c>
      <c r="E82" s="1" t="s">
        <v>10</v>
      </c>
      <c r="F82" s="6">
        <v>6229.8249999999998</v>
      </c>
      <c r="G82" s="1" t="s">
        <v>11</v>
      </c>
      <c r="H82" s="7">
        <v>7589.0945454545463</v>
      </c>
      <c r="I82" s="1" t="s">
        <v>55</v>
      </c>
      <c r="J82" s="6">
        <v>8039.6511384000014</v>
      </c>
      <c r="K82" s="5" t="s">
        <v>26</v>
      </c>
      <c r="L82" s="9">
        <f t="shared" si="1"/>
        <v>-1359.2695454545465</v>
      </c>
    </row>
    <row r="83" spans="1:12" x14ac:dyDescent="0.25">
      <c r="A83" s="1">
        <v>82</v>
      </c>
      <c r="B83" s="1" t="s">
        <v>128</v>
      </c>
      <c r="C83" s="1" t="s">
        <v>126</v>
      </c>
      <c r="D83" s="1" t="s">
        <v>15</v>
      </c>
      <c r="E83" s="1" t="s">
        <v>10</v>
      </c>
      <c r="F83" s="6">
        <v>6229.8249999999998</v>
      </c>
      <c r="G83" s="1" t="s">
        <v>11</v>
      </c>
      <c r="H83" s="7">
        <v>7589.0945454545463</v>
      </c>
      <c r="I83" s="1" t="s">
        <v>55</v>
      </c>
      <c r="J83" s="6">
        <v>8039.6511384000014</v>
      </c>
      <c r="K83" s="5" t="s">
        <v>26</v>
      </c>
      <c r="L83" s="9">
        <f t="shared" si="1"/>
        <v>-1359.2695454545465</v>
      </c>
    </row>
    <row r="84" spans="1:12" x14ac:dyDescent="0.25">
      <c r="A84" s="1">
        <v>83</v>
      </c>
      <c r="B84" s="1" t="s">
        <v>129</v>
      </c>
      <c r="C84" s="1" t="s">
        <v>109</v>
      </c>
      <c r="D84" s="1" t="s">
        <v>127</v>
      </c>
      <c r="E84" s="1" t="s">
        <v>10</v>
      </c>
      <c r="F84" s="6">
        <v>6585.8149999999996</v>
      </c>
      <c r="G84" s="1" t="s">
        <v>11</v>
      </c>
      <c r="H84" s="7">
        <v>7589.0945454545463</v>
      </c>
      <c r="I84" s="1" t="s">
        <v>24</v>
      </c>
      <c r="J84" s="6">
        <v>8641.0494542400011</v>
      </c>
      <c r="K84" s="5" t="s">
        <v>26</v>
      </c>
      <c r="L84" s="9">
        <f t="shared" si="1"/>
        <v>-1003.2795454545467</v>
      </c>
    </row>
    <row r="85" spans="1:12" x14ac:dyDescent="0.25">
      <c r="A85" s="1">
        <v>84</v>
      </c>
      <c r="B85" s="1" t="s">
        <v>130</v>
      </c>
      <c r="C85" s="1" t="s">
        <v>109</v>
      </c>
      <c r="D85" s="1" t="s">
        <v>15</v>
      </c>
      <c r="E85" s="1" t="s">
        <v>10</v>
      </c>
      <c r="F85" s="6">
        <v>6585.8149999999996</v>
      </c>
      <c r="G85" s="1" t="s">
        <v>11</v>
      </c>
      <c r="H85" s="7">
        <v>7589.0945454545463</v>
      </c>
      <c r="I85" s="1" t="s">
        <v>24</v>
      </c>
      <c r="J85" s="6">
        <v>8641.0494542400011</v>
      </c>
      <c r="K85" s="5" t="s">
        <v>26</v>
      </c>
      <c r="L85" s="9">
        <f t="shared" si="1"/>
        <v>-1003.2795454545467</v>
      </c>
    </row>
    <row r="86" spans="1:12" x14ac:dyDescent="0.25">
      <c r="A86" s="1">
        <v>85</v>
      </c>
      <c r="B86" s="1" t="s">
        <v>131</v>
      </c>
      <c r="C86" s="1" t="s">
        <v>132</v>
      </c>
      <c r="D86" s="1" t="s">
        <v>127</v>
      </c>
      <c r="E86" s="1" t="s">
        <v>10</v>
      </c>
      <c r="F86" s="6">
        <v>7475.79</v>
      </c>
      <c r="G86" s="1" t="s">
        <v>133</v>
      </c>
      <c r="H86" s="7">
        <v>8972.8325454545447</v>
      </c>
      <c r="I86" s="1" t="s">
        <v>134</v>
      </c>
      <c r="J86" s="6">
        <v>10798.160778720001</v>
      </c>
      <c r="K86" s="2"/>
      <c r="L86" s="9">
        <f t="shared" si="1"/>
        <v>-1497.0425454545448</v>
      </c>
    </row>
    <row r="87" spans="1:12" x14ac:dyDescent="0.25">
      <c r="A87" s="1">
        <v>86</v>
      </c>
      <c r="B87" s="1" t="s">
        <v>135</v>
      </c>
      <c r="C87" s="1" t="s">
        <v>132</v>
      </c>
      <c r="D87" s="1" t="s">
        <v>15</v>
      </c>
      <c r="E87" s="1" t="s">
        <v>10</v>
      </c>
      <c r="F87" s="6">
        <v>7475.79</v>
      </c>
      <c r="G87" s="1" t="s">
        <v>133</v>
      </c>
      <c r="H87" s="7">
        <v>8972.8325454545447</v>
      </c>
      <c r="I87" s="1" t="s">
        <v>134</v>
      </c>
      <c r="J87" s="6">
        <v>10798.160778720001</v>
      </c>
      <c r="K87" s="2"/>
      <c r="L87" s="9">
        <f t="shared" si="1"/>
        <v>-1497.0425454545448</v>
      </c>
    </row>
    <row r="88" spans="1:12" x14ac:dyDescent="0.25">
      <c r="A88" s="1">
        <v>87</v>
      </c>
      <c r="B88" s="1" t="s">
        <v>136</v>
      </c>
      <c r="C88" s="1" t="s">
        <v>132</v>
      </c>
      <c r="D88" s="1" t="s">
        <v>127</v>
      </c>
      <c r="E88" s="1" t="s">
        <v>10</v>
      </c>
      <c r="F88" s="6">
        <v>8187.7699999999995</v>
      </c>
      <c r="G88" s="1" t="s">
        <v>11</v>
      </c>
      <c r="H88" s="6">
        <v>9660.7309090909093</v>
      </c>
      <c r="I88" s="1" t="s">
        <v>24</v>
      </c>
      <c r="J88" s="7">
        <v>9091.1798883024003</v>
      </c>
      <c r="K88" s="2"/>
      <c r="L88" s="9">
        <f>F88-J88</f>
        <v>-903.40988830240076</v>
      </c>
    </row>
    <row r="89" spans="1:12" x14ac:dyDescent="0.25">
      <c r="A89" s="1">
        <v>88</v>
      </c>
      <c r="B89" s="1" t="s">
        <v>137</v>
      </c>
      <c r="C89" s="1" t="s">
        <v>132</v>
      </c>
      <c r="D89" s="1" t="s">
        <v>15</v>
      </c>
      <c r="E89" s="1" t="s">
        <v>10</v>
      </c>
      <c r="F89" s="6">
        <v>8187.7699999999995</v>
      </c>
      <c r="G89" s="1" t="s">
        <v>11</v>
      </c>
      <c r="H89" s="6">
        <v>9660.7309090909093</v>
      </c>
      <c r="I89" s="1" t="s">
        <v>24</v>
      </c>
      <c r="J89" s="7">
        <v>9091.1798883024003</v>
      </c>
      <c r="K89" s="5" t="s">
        <v>26</v>
      </c>
      <c r="L89" s="9">
        <f>F89-J89</f>
        <v>-903.40988830240076</v>
      </c>
    </row>
    <row r="90" spans="1:12" x14ac:dyDescent="0.25">
      <c r="A90" s="1">
        <v>89</v>
      </c>
      <c r="B90" s="1" t="s">
        <v>138</v>
      </c>
      <c r="C90" s="1" t="s">
        <v>139</v>
      </c>
      <c r="D90" s="1" t="s">
        <v>127</v>
      </c>
      <c r="E90" s="1" t="s">
        <v>10</v>
      </c>
      <c r="F90" s="6">
        <v>10679.699999999999</v>
      </c>
      <c r="G90" s="1" t="s">
        <v>11</v>
      </c>
      <c r="H90" s="7">
        <v>12192.730909090909</v>
      </c>
      <c r="I90" s="1" t="s">
        <v>24</v>
      </c>
      <c r="J90" s="6">
        <v>12602.355726240001</v>
      </c>
      <c r="K90" s="2"/>
      <c r="L90" s="9">
        <f t="shared" si="1"/>
        <v>-1513.0309090909104</v>
      </c>
    </row>
    <row r="91" spans="1:12" x14ac:dyDescent="0.25">
      <c r="A91" s="1">
        <v>90</v>
      </c>
      <c r="B91" s="1" t="s">
        <v>140</v>
      </c>
      <c r="C91" s="1" t="s">
        <v>139</v>
      </c>
      <c r="D91" s="1" t="s">
        <v>15</v>
      </c>
      <c r="E91" s="1" t="s">
        <v>10</v>
      </c>
      <c r="F91" s="6">
        <v>10679.699999999999</v>
      </c>
      <c r="G91" s="1" t="s">
        <v>11</v>
      </c>
      <c r="H91" s="7">
        <v>12192.730909090909</v>
      </c>
      <c r="I91" s="1" t="s">
        <v>24</v>
      </c>
      <c r="J91" s="6">
        <v>12602.355726240001</v>
      </c>
      <c r="K91" s="2"/>
      <c r="L91" s="9">
        <f t="shared" si="1"/>
        <v>-1513.0309090909104</v>
      </c>
    </row>
    <row r="92" spans="1:12" x14ac:dyDescent="0.25">
      <c r="A92" s="1">
        <v>91</v>
      </c>
      <c r="B92" s="1" t="s">
        <v>141</v>
      </c>
      <c r="C92" s="1" t="s">
        <v>109</v>
      </c>
      <c r="D92" s="1" t="s">
        <v>127</v>
      </c>
      <c r="E92" s="1" t="s">
        <v>10</v>
      </c>
      <c r="F92" s="6">
        <v>8009.7749999999996</v>
      </c>
      <c r="G92" s="1" t="s">
        <v>11</v>
      </c>
      <c r="H92" s="6">
        <v>9200.3672727272733</v>
      </c>
      <c r="I92" s="1" t="s">
        <v>24</v>
      </c>
      <c r="J92" s="7">
        <v>9181.2275822400006</v>
      </c>
      <c r="K92" s="2"/>
      <c r="L92" s="9">
        <f>F92-J92</f>
        <v>-1171.452582240001</v>
      </c>
    </row>
    <row r="93" spans="1:12" x14ac:dyDescent="0.25">
      <c r="A93" s="1">
        <v>92</v>
      </c>
      <c r="B93" s="1" t="s">
        <v>142</v>
      </c>
      <c r="C93" s="1" t="s">
        <v>109</v>
      </c>
      <c r="D93" s="1" t="s">
        <v>15</v>
      </c>
      <c r="E93" s="1" t="s">
        <v>10</v>
      </c>
      <c r="F93" s="6">
        <v>8009.7749999999996</v>
      </c>
      <c r="G93" s="1" t="s">
        <v>11</v>
      </c>
      <c r="H93" s="7">
        <v>9200.3672727272733</v>
      </c>
      <c r="I93" s="1" t="s">
        <v>24</v>
      </c>
      <c r="J93" s="6">
        <v>10441.643214240001</v>
      </c>
      <c r="K93" s="2"/>
      <c r="L93" s="9">
        <f t="shared" si="1"/>
        <v>-1190.5922727272737</v>
      </c>
    </row>
    <row r="94" spans="1:12" x14ac:dyDescent="0.25">
      <c r="A94" s="1">
        <v>93</v>
      </c>
      <c r="B94" s="1" t="s">
        <v>143</v>
      </c>
      <c r="C94" s="1" t="s">
        <v>83</v>
      </c>
      <c r="D94" s="1" t="s">
        <v>127</v>
      </c>
      <c r="E94" s="1" t="s">
        <v>10</v>
      </c>
      <c r="F94" s="6">
        <v>9077.744999999999</v>
      </c>
      <c r="G94" s="1" t="s">
        <v>11</v>
      </c>
      <c r="H94" s="7">
        <v>10351.276363636363</v>
      </c>
      <c r="I94" s="1" t="s">
        <v>24</v>
      </c>
      <c r="J94" s="6">
        <v>12512.32603824</v>
      </c>
      <c r="K94" s="2"/>
      <c r="L94" s="9">
        <f t="shared" si="1"/>
        <v>-1273.5313636363644</v>
      </c>
    </row>
    <row r="95" spans="1:12" x14ac:dyDescent="0.25">
      <c r="A95" s="1">
        <v>94</v>
      </c>
      <c r="B95" s="1" t="s">
        <v>144</v>
      </c>
      <c r="C95" s="1" t="s">
        <v>83</v>
      </c>
      <c r="D95" s="1" t="s">
        <v>15</v>
      </c>
      <c r="E95" s="1" t="s">
        <v>10</v>
      </c>
      <c r="F95" s="6">
        <v>9077.744999999999</v>
      </c>
      <c r="G95" s="1" t="s">
        <v>11</v>
      </c>
      <c r="H95" s="7">
        <v>10351.276363636363</v>
      </c>
      <c r="I95" s="1" t="s">
        <v>24</v>
      </c>
      <c r="J95" s="6">
        <v>12512.32603824</v>
      </c>
      <c r="K95" s="2"/>
      <c r="L95" s="9">
        <f t="shared" si="1"/>
        <v>-1273.5313636363644</v>
      </c>
    </row>
    <row r="96" spans="1:12" x14ac:dyDescent="0.25">
      <c r="A96" s="1">
        <v>95</v>
      </c>
      <c r="B96" s="1" t="s">
        <v>145</v>
      </c>
      <c r="C96" s="1" t="s">
        <v>139</v>
      </c>
      <c r="D96" s="1" t="s">
        <v>127</v>
      </c>
      <c r="E96" s="1" t="s">
        <v>10</v>
      </c>
      <c r="F96" s="6">
        <v>11391.68</v>
      </c>
      <c r="G96" s="1" t="s">
        <v>11</v>
      </c>
      <c r="H96" s="7">
        <v>13113.458181818181</v>
      </c>
      <c r="I96" s="1" t="s">
        <v>24</v>
      </c>
      <c r="J96" s="6">
        <v>13412.622918240002</v>
      </c>
      <c r="K96" s="5" t="s">
        <v>26</v>
      </c>
      <c r="L96" s="9">
        <f t="shared" si="1"/>
        <v>-1721.7781818181811</v>
      </c>
    </row>
    <row r="97" spans="1:12" x14ac:dyDescent="0.25">
      <c r="A97" s="1">
        <v>96</v>
      </c>
      <c r="B97" s="1" t="s">
        <v>146</v>
      </c>
      <c r="C97" s="1" t="s">
        <v>139</v>
      </c>
      <c r="D97" s="1" t="s">
        <v>15</v>
      </c>
      <c r="E97" s="1" t="s">
        <v>10</v>
      </c>
      <c r="F97" s="6">
        <v>11391.68</v>
      </c>
      <c r="G97" s="1" t="s">
        <v>11</v>
      </c>
      <c r="H97" s="7">
        <v>13113.458181818181</v>
      </c>
      <c r="I97" s="1" t="s">
        <v>24</v>
      </c>
      <c r="J97" s="6">
        <v>13412.622918240002</v>
      </c>
      <c r="K97" s="5" t="s">
        <v>26</v>
      </c>
      <c r="L97" s="9">
        <f t="shared" si="1"/>
        <v>-1721.7781818181811</v>
      </c>
    </row>
    <row r="98" spans="1:12" x14ac:dyDescent="0.25">
      <c r="A98" s="1">
        <v>97</v>
      </c>
      <c r="B98" s="1" t="s">
        <v>147</v>
      </c>
      <c r="C98" s="1" t="s">
        <v>148</v>
      </c>
      <c r="D98" s="1" t="s">
        <v>127</v>
      </c>
      <c r="E98" s="1" t="s">
        <v>10</v>
      </c>
      <c r="F98" s="6">
        <v>13171.63</v>
      </c>
      <c r="G98" s="1" t="s">
        <v>11</v>
      </c>
      <c r="H98" s="7">
        <v>14494.549090909091</v>
      </c>
      <c r="I98" s="1" t="s">
        <v>49</v>
      </c>
      <c r="J98" s="6">
        <v>17805.6035382624</v>
      </c>
      <c r="K98" s="5" t="s">
        <v>26</v>
      </c>
      <c r="L98" s="9">
        <f t="shared" si="1"/>
        <v>-1322.9190909090921</v>
      </c>
    </row>
    <row r="99" spans="1:12" x14ac:dyDescent="0.25">
      <c r="A99" s="1">
        <v>98</v>
      </c>
      <c r="B99" s="1" t="s">
        <v>149</v>
      </c>
      <c r="C99" s="1" t="s">
        <v>148</v>
      </c>
      <c r="D99" s="1" t="s">
        <v>15</v>
      </c>
      <c r="E99" s="1" t="s">
        <v>10</v>
      </c>
      <c r="F99" s="6">
        <v>13171.63</v>
      </c>
      <c r="G99" s="1" t="s">
        <v>11</v>
      </c>
      <c r="H99" s="7">
        <v>14494.549090909091</v>
      </c>
      <c r="I99" s="1" t="s">
        <v>49</v>
      </c>
      <c r="J99" s="6">
        <v>17805.6035382624</v>
      </c>
      <c r="K99" s="5" t="s">
        <v>26</v>
      </c>
      <c r="L99" s="9">
        <f t="shared" si="1"/>
        <v>-1322.9190909090921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07FEF3-D278-4571-A22F-E9F688C9952B}">
  <dimension ref="A1:D100"/>
  <sheetViews>
    <sheetView topLeftCell="A61" workbookViewId="0">
      <selection activeCell="D1" sqref="D1:D100"/>
    </sheetView>
  </sheetViews>
  <sheetFormatPr defaultRowHeight="15" x14ac:dyDescent="0.25"/>
  <sheetData>
    <row r="1" spans="1:4" x14ac:dyDescent="0.25">
      <c r="A1" s="1">
        <v>1830.78</v>
      </c>
      <c r="B1">
        <f>A1*2.0706</f>
        <v>3790.8130680000004</v>
      </c>
      <c r="C1">
        <f>B1*0.1304</f>
        <v>494.3220240672</v>
      </c>
      <c r="D1">
        <f>B1-C1</f>
        <v>3296.4910439328005</v>
      </c>
    </row>
    <row r="2" spans="1:4" x14ac:dyDescent="0.25">
      <c r="A2" s="1">
        <v>1830.78</v>
      </c>
      <c r="B2">
        <f t="shared" ref="B2:B65" si="0">A2*2.0706</f>
        <v>3790.8130680000004</v>
      </c>
      <c r="C2">
        <f t="shared" ref="C2:C65" si="1">B2*0.1304</f>
        <v>494.3220240672</v>
      </c>
      <c r="D2">
        <f t="shared" ref="D2:D65" si="2">B2-C2</f>
        <v>3296.4910439328005</v>
      </c>
    </row>
    <row r="3" spans="1:4" x14ac:dyDescent="0.25">
      <c r="A3" s="1">
        <v>1830.78</v>
      </c>
      <c r="B3">
        <f t="shared" si="0"/>
        <v>3790.8130680000004</v>
      </c>
      <c r="C3">
        <f t="shared" si="1"/>
        <v>494.3220240672</v>
      </c>
      <c r="D3">
        <f t="shared" si="2"/>
        <v>3296.4910439328005</v>
      </c>
    </row>
    <row r="4" spans="1:4" x14ac:dyDescent="0.25">
      <c r="A4" s="1">
        <v>1971.9</v>
      </c>
      <c r="B4">
        <f t="shared" si="0"/>
        <v>4083.0161400000006</v>
      </c>
      <c r="C4">
        <f t="shared" si="1"/>
        <v>532.42530465599998</v>
      </c>
      <c r="D4">
        <f t="shared" si="2"/>
        <v>3550.5908353440009</v>
      </c>
    </row>
    <row r="5" spans="1:4" x14ac:dyDescent="0.25">
      <c r="A5" s="1">
        <v>2033.06</v>
      </c>
      <c r="B5">
        <f t="shared" si="0"/>
        <v>4209.6540359999999</v>
      </c>
      <c r="C5">
        <f t="shared" si="1"/>
        <v>548.93888629439994</v>
      </c>
      <c r="D5">
        <f t="shared" si="2"/>
        <v>3660.7151497056002</v>
      </c>
    </row>
    <row r="6" spans="1:4" x14ac:dyDescent="0.25">
      <c r="A6" s="1">
        <v>1987.58</v>
      </c>
      <c r="B6">
        <f t="shared" si="0"/>
        <v>4115.4831480000003</v>
      </c>
      <c r="C6">
        <f t="shared" si="1"/>
        <v>536.65900249920003</v>
      </c>
      <c r="D6">
        <f t="shared" si="2"/>
        <v>3578.8241455008001</v>
      </c>
    </row>
    <row r="7" spans="1:4" x14ac:dyDescent="0.25">
      <c r="A7" s="1">
        <v>2089</v>
      </c>
      <c r="B7">
        <f t="shared" si="0"/>
        <v>4325.4834000000001</v>
      </c>
      <c r="C7">
        <f t="shared" si="1"/>
        <v>564.04303535999998</v>
      </c>
      <c r="D7">
        <f t="shared" si="2"/>
        <v>3761.4403646400001</v>
      </c>
    </row>
    <row r="8" spans="1:4" x14ac:dyDescent="0.25">
      <c r="A8" s="1">
        <v>2372.81</v>
      </c>
      <c r="B8">
        <f t="shared" si="0"/>
        <v>4913.140386</v>
      </c>
      <c r="C8">
        <f t="shared" si="1"/>
        <v>640.67350633439992</v>
      </c>
      <c r="D8">
        <f t="shared" si="2"/>
        <v>4272.4668796656006</v>
      </c>
    </row>
    <row r="9" spans="1:4" x14ac:dyDescent="0.25">
      <c r="A9" s="1">
        <v>2477.9699999999998</v>
      </c>
      <c r="B9">
        <f t="shared" si="0"/>
        <v>5130.8846819999999</v>
      </c>
      <c r="C9">
        <f t="shared" si="1"/>
        <v>669.06736253279996</v>
      </c>
      <c r="D9">
        <f t="shared" si="2"/>
        <v>4461.8173194671999</v>
      </c>
    </row>
    <row r="10" spans="1:4" x14ac:dyDescent="0.25">
      <c r="A10" s="1">
        <v>2179.96</v>
      </c>
      <c r="B10">
        <f t="shared" si="0"/>
        <v>4513.8251760000003</v>
      </c>
      <c r="C10">
        <f t="shared" si="1"/>
        <v>588.60280295040002</v>
      </c>
      <c r="D10">
        <f t="shared" si="2"/>
        <v>3925.2223730496003</v>
      </c>
    </row>
    <row r="11" spans="1:4" x14ac:dyDescent="0.25">
      <c r="A11" s="1">
        <v>2438.9299999999998</v>
      </c>
      <c r="B11">
        <f t="shared" si="0"/>
        <v>5050.0484580000002</v>
      </c>
      <c r="C11">
        <f t="shared" si="1"/>
        <v>658.52631892319994</v>
      </c>
      <c r="D11">
        <f t="shared" si="2"/>
        <v>4391.5221390768002</v>
      </c>
    </row>
    <row r="12" spans="1:4" x14ac:dyDescent="0.25">
      <c r="A12" s="1">
        <v>2477.9699999999998</v>
      </c>
      <c r="B12">
        <f t="shared" si="0"/>
        <v>5130.8846819999999</v>
      </c>
      <c r="C12">
        <f t="shared" si="1"/>
        <v>669.06736253279996</v>
      </c>
      <c r="D12">
        <f t="shared" si="2"/>
        <v>4461.8173194671999</v>
      </c>
    </row>
    <row r="13" spans="1:4" x14ac:dyDescent="0.25">
      <c r="A13" s="1">
        <v>2236.64</v>
      </c>
      <c r="B13">
        <f t="shared" si="0"/>
        <v>4631.1867840000004</v>
      </c>
      <c r="C13">
        <f t="shared" si="1"/>
        <v>603.90675663360003</v>
      </c>
      <c r="D13">
        <f t="shared" si="2"/>
        <v>4027.2800273664006</v>
      </c>
    </row>
    <row r="14" spans="1:4" x14ac:dyDescent="0.25">
      <c r="A14" s="1">
        <v>2181.12</v>
      </c>
      <c r="B14">
        <f t="shared" si="0"/>
        <v>4516.2270720000006</v>
      </c>
      <c r="C14">
        <f t="shared" si="1"/>
        <v>588.91601018879999</v>
      </c>
      <c r="D14">
        <f t="shared" si="2"/>
        <v>3927.3110618112005</v>
      </c>
    </row>
    <row r="15" spans="1:4" x14ac:dyDescent="0.25">
      <c r="A15" s="1">
        <v>2181.12</v>
      </c>
      <c r="B15">
        <f t="shared" si="0"/>
        <v>4516.2270720000006</v>
      </c>
      <c r="C15">
        <f t="shared" si="1"/>
        <v>588.91601018879999</v>
      </c>
      <c r="D15">
        <f t="shared" si="2"/>
        <v>3927.3110618112005</v>
      </c>
    </row>
    <row r="16" spans="1:4" x14ac:dyDescent="0.25">
      <c r="A16" s="1">
        <v>2181.12</v>
      </c>
      <c r="B16">
        <f t="shared" si="0"/>
        <v>4516.2270720000006</v>
      </c>
      <c r="C16">
        <f t="shared" si="1"/>
        <v>588.91601018879999</v>
      </c>
      <c r="D16">
        <f t="shared" si="2"/>
        <v>3927.3110618112005</v>
      </c>
    </row>
    <row r="17" spans="1:4" x14ac:dyDescent="0.25">
      <c r="A17" s="1">
        <v>2385.1799999999998</v>
      </c>
      <c r="B17">
        <f t="shared" si="0"/>
        <v>4938.7537080000002</v>
      </c>
      <c r="C17">
        <f t="shared" si="1"/>
        <v>644.01348352319997</v>
      </c>
      <c r="D17">
        <f t="shared" si="2"/>
        <v>4294.7402244768</v>
      </c>
    </row>
    <row r="18" spans="1:4" x14ac:dyDescent="0.25">
      <c r="A18" s="1">
        <v>2178.5</v>
      </c>
      <c r="B18">
        <f t="shared" si="0"/>
        <v>4510.8021000000008</v>
      </c>
      <c r="C18">
        <f t="shared" si="1"/>
        <v>588.20859384000005</v>
      </c>
      <c r="D18">
        <f t="shared" si="2"/>
        <v>3922.5935061600007</v>
      </c>
    </row>
    <row r="19" spans="1:4" x14ac:dyDescent="0.25">
      <c r="A19" s="1">
        <v>2438.9299999999998</v>
      </c>
      <c r="B19">
        <f t="shared" si="0"/>
        <v>5050.0484580000002</v>
      </c>
      <c r="C19">
        <f t="shared" si="1"/>
        <v>658.52631892319994</v>
      </c>
      <c r="D19">
        <f t="shared" si="2"/>
        <v>4391.5221390768002</v>
      </c>
    </row>
    <row r="20" spans="1:4" x14ac:dyDescent="0.25">
      <c r="A20" s="1">
        <v>2858.52</v>
      </c>
      <c r="B20">
        <f t="shared" si="0"/>
        <v>5918.8515120000002</v>
      </c>
      <c r="C20">
        <f t="shared" si="1"/>
        <v>771.81823716479994</v>
      </c>
      <c r="D20">
        <f t="shared" si="2"/>
        <v>5147.0332748352002</v>
      </c>
    </row>
    <row r="21" spans="1:4" x14ac:dyDescent="0.25">
      <c r="A21" s="1">
        <v>2846.1</v>
      </c>
      <c r="B21">
        <f t="shared" si="0"/>
        <v>5893.1346600000006</v>
      </c>
      <c r="C21">
        <f t="shared" si="1"/>
        <v>768.46475966399998</v>
      </c>
      <c r="D21">
        <f t="shared" si="2"/>
        <v>5124.6699003360009</v>
      </c>
    </row>
    <row r="22" spans="1:4" x14ac:dyDescent="0.25">
      <c r="A22" s="1">
        <v>2726.97</v>
      </c>
      <c r="B22">
        <f t="shared" si="0"/>
        <v>5646.4640820000004</v>
      </c>
      <c r="C22">
        <f t="shared" si="1"/>
        <v>736.29891629279996</v>
      </c>
      <c r="D22">
        <f t="shared" si="2"/>
        <v>4910.1651657072007</v>
      </c>
    </row>
    <row r="23" spans="1:4" x14ac:dyDescent="0.25">
      <c r="A23" s="1">
        <v>2726.97</v>
      </c>
      <c r="B23">
        <f t="shared" si="0"/>
        <v>5646.4640820000004</v>
      </c>
      <c r="C23">
        <f t="shared" si="1"/>
        <v>736.29891629279996</v>
      </c>
      <c r="D23">
        <f t="shared" si="2"/>
        <v>4910.1651657072007</v>
      </c>
    </row>
    <row r="24" spans="1:4" x14ac:dyDescent="0.25">
      <c r="A24" s="1">
        <v>2726.97</v>
      </c>
      <c r="B24">
        <f t="shared" si="0"/>
        <v>5646.4640820000004</v>
      </c>
      <c r="C24">
        <f t="shared" si="1"/>
        <v>736.29891629279996</v>
      </c>
      <c r="D24">
        <f t="shared" si="2"/>
        <v>4910.1651657072007</v>
      </c>
    </row>
    <row r="25" spans="1:4" x14ac:dyDescent="0.25">
      <c r="A25" s="1">
        <v>2849</v>
      </c>
      <c r="B25">
        <f t="shared" si="0"/>
        <v>5899.1394000000009</v>
      </c>
      <c r="C25">
        <f t="shared" si="1"/>
        <v>769.24777776000008</v>
      </c>
      <c r="D25">
        <f t="shared" si="2"/>
        <v>5129.8916222400012</v>
      </c>
    </row>
    <row r="26" spans="1:4" x14ac:dyDescent="0.25">
      <c r="A26" s="1">
        <v>2699</v>
      </c>
      <c r="B26">
        <f t="shared" si="0"/>
        <v>5588.5494000000008</v>
      </c>
      <c r="C26">
        <f t="shared" si="1"/>
        <v>728.74684176000005</v>
      </c>
      <c r="D26">
        <f t="shared" si="2"/>
        <v>4859.8025582400005</v>
      </c>
    </row>
    <row r="27" spans="1:4" x14ac:dyDescent="0.25">
      <c r="A27" s="1">
        <v>3778</v>
      </c>
      <c r="B27">
        <f t="shared" si="0"/>
        <v>7822.7268000000013</v>
      </c>
      <c r="C27">
        <f t="shared" si="1"/>
        <v>1020.0835747200001</v>
      </c>
      <c r="D27">
        <f t="shared" si="2"/>
        <v>6802.6432252800014</v>
      </c>
    </row>
    <row r="28" spans="1:4" x14ac:dyDescent="0.25">
      <c r="A28" s="1">
        <v>3778</v>
      </c>
      <c r="B28">
        <f t="shared" si="0"/>
        <v>7822.7268000000013</v>
      </c>
      <c r="C28">
        <f t="shared" si="1"/>
        <v>1020.0835747200001</v>
      </c>
      <c r="D28">
        <f t="shared" si="2"/>
        <v>6802.6432252800014</v>
      </c>
    </row>
    <row r="29" spans="1:4" x14ac:dyDescent="0.25">
      <c r="A29" s="1">
        <v>4299</v>
      </c>
      <c r="B29">
        <f t="shared" si="0"/>
        <v>8901.5094000000008</v>
      </c>
      <c r="C29">
        <f t="shared" si="1"/>
        <v>1160.7568257600001</v>
      </c>
      <c r="D29">
        <f t="shared" si="2"/>
        <v>7740.7525742400012</v>
      </c>
    </row>
    <row r="30" spans="1:4" x14ac:dyDescent="0.25">
      <c r="A30" s="1">
        <v>4299</v>
      </c>
      <c r="B30">
        <f t="shared" si="0"/>
        <v>8901.5094000000008</v>
      </c>
      <c r="C30">
        <f t="shared" si="1"/>
        <v>1160.7568257600001</v>
      </c>
      <c r="D30">
        <f t="shared" si="2"/>
        <v>7740.7525742400012</v>
      </c>
    </row>
    <row r="31" spans="1:4" x14ac:dyDescent="0.25">
      <c r="A31" s="1">
        <v>2704.62</v>
      </c>
      <c r="B31">
        <f t="shared" si="0"/>
        <v>5600.1861720000006</v>
      </c>
      <c r="C31">
        <f t="shared" si="1"/>
        <v>730.26427682880001</v>
      </c>
      <c r="D31">
        <f t="shared" si="2"/>
        <v>4869.921895171201</v>
      </c>
    </row>
    <row r="32" spans="1:4" x14ac:dyDescent="0.25">
      <c r="A32" s="1">
        <v>2704.62</v>
      </c>
      <c r="B32">
        <f t="shared" si="0"/>
        <v>5600.1861720000006</v>
      </c>
      <c r="C32">
        <f t="shared" si="1"/>
        <v>730.26427682880001</v>
      </c>
      <c r="D32">
        <f t="shared" si="2"/>
        <v>4869.921895171201</v>
      </c>
    </row>
    <row r="33" spans="1:4" x14ac:dyDescent="0.25">
      <c r="A33" s="1">
        <v>3778</v>
      </c>
      <c r="B33">
        <f t="shared" si="0"/>
        <v>7822.7268000000013</v>
      </c>
      <c r="C33">
        <f t="shared" si="1"/>
        <v>1020.0835747200001</v>
      </c>
      <c r="D33">
        <f t="shared" si="2"/>
        <v>6802.6432252800014</v>
      </c>
    </row>
    <row r="34" spans="1:4" x14ac:dyDescent="0.25">
      <c r="A34" s="1">
        <v>3778</v>
      </c>
      <c r="B34">
        <f t="shared" si="0"/>
        <v>7822.7268000000013</v>
      </c>
      <c r="C34">
        <f t="shared" si="1"/>
        <v>1020.0835747200001</v>
      </c>
      <c r="D34">
        <f t="shared" si="2"/>
        <v>6802.6432252800014</v>
      </c>
    </row>
    <row r="35" spans="1:4" x14ac:dyDescent="0.25">
      <c r="A35" s="1">
        <v>3995</v>
      </c>
      <c r="B35">
        <f t="shared" si="0"/>
        <v>8272.0470000000005</v>
      </c>
      <c r="C35">
        <f t="shared" si="1"/>
        <v>1078.6749287999999</v>
      </c>
      <c r="D35">
        <f t="shared" si="2"/>
        <v>7193.3720712000004</v>
      </c>
    </row>
    <row r="36" spans="1:4" x14ac:dyDescent="0.25">
      <c r="A36" s="1">
        <v>3588</v>
      </c>
      <c r="B36">
        <f t="shared" si="0"/>
        <v>7429.3128000000006</v>
      </c>
      <c r="C36">
        <f t="shared" si="1"/>
        <v>968.78238911999995</v>
      </c>
      <c r="D36">
        <f t="shared" si="2"/>
        <v>6460.530410880001</v>
      </c>
    </row>
    <row r="37" spans="1:4" x14ac:dyDescent="0.25">
      <c r="A37" s="1">
        <v>3659</v>
      </c>
      <c r="B37">
        <f t="shared" si="0"/>
        <v>7576.3254000000006</v>
      </c>
      <c r="C37">
        <f t="shared" si="1"/>
        <v>987.95283215999996</v>
      </c>
      <c r="D37">
        <f t="shared" si="2"/>
        <v>6588.3725678400006</v>
      </c>
    </row>
    <row r="38" spans="1:4" x14ac:dyDescent="0.25">
      <c r="A38" s="1">
        <v>3989</v>
      </c>
      <c r="B38">
        <f t="shared" si="0"/>
        <v>8259.6234000000004</v>
      </c>
      <c r="C38">
        <f t="shared" si="1"/>
        <v>1077.0548913600001</v>
      </c>
      <c r="D38">
        <f t="shared" si="2"/>
        <v>7182.5685086400008</v>
      </c>
    </row>
    <row r="39" spans="1:4" x14ac:dyDescent="0.25">
      <c r="A39" s="1">
        <v>0</v>
      </c>
      <c r="B39">
        <f t="shared" si="0"/>
        <v>0</v>
      </c>
      <c r="C39">
        <f t="shared" si="1"/>
        <v>0</v>
      </c>
      <c r="D39">
        <f t="shared" si="2"/>
        <v>0</v>
      </c>
    </row>
    <row r="40" spans="1:4" x14ac:dyDescent="0.25">
      <c r="A40" s="1">
        <v>0</v>
      </c>
      <c r="B40">
        <f t="shared" si="0"/>
        <v>0</v>
      </c>
      <c r="C40">
        <f t="shared" si="1"/>
        <v>0</v>
      </c>
      <c r="D40">
        <f t="shared" si="2"/>
        <v>0</v>
      </c>
    </row>
    <row r="41" spans="1:4" x14ac:dyDescent="0.25">
      <c r="A41" s="1">
        <v>0</v>
      </c>
      <c r="B41">
        <f t="shared" si="0"/>
        <v>0</v>
      </c>
      <c r="C41">
        <f t="shared" si="1"/>
        <v>0</v>
      </c>
      <c r="D41">
        <f t="shared" si="2"/>
        <v>0</v>
      </c>
    </row>
    <row r="42" spans="1:4" x14ac:dyDescent="0.25">
      <c r="A42" s="1">
        <v>0</v>
      </c>
      <c r="B42">
        <f t="shared" si="0"/>
        <v>0</v>
      </c>
      <c r="C42">
        <f t="shared" si="1"/>
        <v>0</v>
      </c>
      <c r="D42">
        <f t="shared" si="2"/>
        <v>0</v>
      </c>
    </row>
    <row r="43" spans="1:4" x14ac:dyDescent="0.25">
      <c r="A43" s="1">
        <v>4599</v>
      </c>
      <c r="B43">
        <f t="shared" si="0"/>
        <v>9522.6894000000011</v>
      </c>
      <c r="C43">
        <f t="shared" si="1"/>
        <v>1241.7586977600001</v>
      </c>
      <c r="D43">
        <f t="shared" si="2"/>
        <v>8280.9307022400008</v>
      </c>
    </row>
    <row r="44" spans="1:4" x14ac:dyDescent="0.25">
      <c r="A44" s="1">
        <v>4599</v>
      </c>
      <c r="B44">
        <f t="shared" si="0"/>
        <v>9522.6894000000011</v>
      </c>
      <c r="C44">
        <f t="shared" si="1"/>
        <v>1241.7586977600001</v>
      </c>
      <c r="D44">
        <f t="shared" si="2"/>
        <v>8280.9307022400008</v>
      </c>
    </row>
    <row r="45" spans="1:4" x14ac:dyDescent="0.25">
      <c r="A45" s="1">
        <v>5899</v>
      </c>
      <c r="B45">
        <f t="shared" si="0"/>
        <v>12214.469400000002</v>
      </c>
      <c r="C45">
        <f t="shared" si="1"/>
        <v>1592.7668097600001</v>
      </c>
      <c r="D45">
        <f t="shared" si="2"/>
        <v>10621.702590240002</v>
      </c>
    </row>
    <row r="46" spans="1:4" x14ac:dyDescent="0.25">
      <c r="A46" s="1">
        <v>0</v>
      </c>
      <c r="B46">
        <f t="shared" si="0"/>
        <v>0</v>
      </c>
      <c r="C46">
        <f t="shared" si="1"/>
        <v>0</v>
      </c>
      <c r="D46">
        <f t="shared" si="2"/>
        <v>0</v>
      </c>
    </row>
    <row r="47" spans="1:4" x14ac:dyDescent="0.25">
      <c r="A47" s="1">
        <v>0</v>
      </c>
      <c r="B47">
        <f t="shared" si="0"/>
        <v>0</v>
      </c>
      <c r="C47">
        <f t="shared" si="1"/>
        <v>0</v>
      </c>
      <c r="D47">
        <f t="shared" si="2"/>
        <v>0</v>
      </c>
    </row>
    <row r="48" spans="1:4" x14ac:dyDescent="0.25">
      <c r="A48" s="1">
        <v>6543.01</v>
      </c>
      <c r="B48">
        <f t="shared" si="0"/>
        <v>13547.956506000002</v>
      </c>
      <c r="C48">
        <f t="shared" si="1"/>
        <v>1766.6535283824001</v>
      </c>
      <c r="D48">
        <f t="shared" si="2"/>
        <v>11781.302977617603</v>
      </c>
    </row>
    <row r="49" spans="1:4" x14ac:dyDescent="0.25">
      <c r="A49" s="1">
        <v>7899</v>
      </c>
      <c r="B49">
        <f t="shared" si="0"/>
        <v>16355.669400000002</v>
      </c>
      <c r="C49">
        <f t="shared" si="1"/>
        <v>2132.7792897600002</v>
      </c>
      <c r="D49">
        <f t="shared" si="2"/>
        <v>14222.890110240001</v>
      </c>
    </row>
    <row r="50" spans="1:4" x14ac:dyDescent="0.25">
      <c r="A50" s="1">
        <v>0</v>
      </c>
      <c r="B50">
        <f t="shared" si="0"/>
        <v>0</v>
      </c>
      <c r="C50">
        <f t="shared" si="1"/>
        <v>0</v>
      </c>
      <c r="D50">
        <f t="shared" si="2"/>
        <v>0</v>
      </c>
    </row>
    <row r="51" spans="1:4" x14ac:dyDescent="0.25">
      <c r="A51" s="1">
        <v>1349</v>
      </c>
      <c r="B51">
        <f t="shared" si="0"/>
        <v>2793.2394000000004</v>
      </c>
      <c r="C51">
        <f t="shared" si="1"/>
        <v>364.23841776</v>
      </c>
      <c r="D51">
        <f t="shared" si="2"/>
        <v>2429.0009822400002</v>
      </c>
    </row>
    <row r="52" spans="1:4" x14ac:dyDescent="0.25">
      <c r="A52" s="1">
        <v>1349</v>
      </c>
      <c r="B52">
        <f t="shared" si="0"/>
        <v>2793.2394000000004</v>
      </c>
      <c r="C52">
        <f t="shared" si="1"/>
        <v>364.23841776</v>
      </c>
      <c r="D52">
        <f t="shared" si="2"/>
        <v>2429.0009822400002</v>
      </c>
    </row>
    <row r="53" spans="1:4" x14ac:dyDescent="0.25">
      <c r="A53" s="1">
        <v>1349</v>
      </c>
      <c r="B53">
        <f t="shared" si="0"/>
        <v>2793.2394000000004</v>
      </c>
      <c r="C53">
        <f t="shared" si="1"/>
        <v>364.23841776</v>
      </c>
      <c r="D53">
        <f t="shared" si="2"/>
        <v>2429.0009822400002</v>
      </c>
    </row>
    <row r="54" spans="1:4" x14ac:dyDescent="0.25">
      <c r="A54" s="1">
        <v>1278</v>
      </c>
      <c r="B54">
        <f t="shared" si="0"/>
        <v>2646.2268000000004</v>
      </c>
      <c r="C54">
        <f t="shared" si="1"/>
        <v>345.06797472</v>
      </c>
      <c r="D54">
        <f t="shared" si="2"/>
        <v>2301.1588252800002</v>
      </c>
    </row>
    <row r="55" spans="1:4" x14ac:dyDescent="0.25">
      <c r="A55" s="1">
        <v>1539</v>
      </c>
      <c r="B55">
        <f t="shared" si="0"/>
        <v>3186.6534000000001</v>
      </c>
      <c r="C55">
        <f t="shared" si="1"/>
        <v>415.53960336</v>
      </c>
      <c r="D55">
        <f t="shared" si="2"/>
        <v>2771.1137966400001</v>
      </c>
    </row>
    <row r="56" spans="1:4" x14ac:dyDescent="0.25">
      <c r="A56" s="1">
        <v>1539</v>
      </c>
      <c r="B56">
        <f t="shared" si="0"/>
        <v>3186.6534000000001</v>
      </c>
      <c r="C56">
        <f t="shared" si="1"/>
        <v>415.53960336</v>
      </c>
      <c r="D56">
        <f t="shared" si="2"/>
        <v>2771.1137966400001</v>
      </c>
    </row>
    <row r="57" spans="1:4" x14ac:dyDescent="0.25">
      <c r="A57" s="1">
        <v>1443</v>
      </c>
      <c r="B57">
        <f t="shared" si="0"/>
        <v>2987.8758000000003</v>
      </c>
      <c r="C57">
        <f t="shared" si="1"/>
        <v>389.61900431999999</v>
      </c>
      <c r="D57">
        <f t="shared" si="2"/>
        <v>2598.2567956800003</v>
      </c>
    </row>
    <row r="58" spans="1:4" x14ac:dyDescent="0.25">
      <c r="A58" s="1">
        <v>1443</v>
      </c>
      <c r="B58">
        <f t="shared" si="0"/>
        <v>2987.8758000000003</v>
      </c>
      <c r="C58">
        <f t="shared" si="1"/>
        <v>389.61900431999999</v>
      </c>
      <c r="D58">
        <f t="shared" si="2"/>
        <v>2598.2567956800003</v>
      </c>
    </row>
    <row r="59" spans="1:4" x14ac:dyDescent="0.25">
      <c r="A59" s="1">
        <v>2350</v>
      </c>
      <c r="B59">
        <f t="shared" si="0"/>
        <v>4865.9100000000008</v>
      </c>
      <c r="C59">
        <f t="shared" si="1"/>
        <v>634.51466400000004</v>
      </c>
      <c r="D59">
        <f t="shared" si="2"/>
        <v>4231.3953360000005</v>
      </c>
    </row>
    <row r="60" spans="1:4" x14ac:dyDescent="0.25">
      <c r="A60" s="1">
        <v>2105</v>
      </c>
      <c r="B60">
        <f t="shared" si="0"/>
        <v>4358.6130000000003</v>
      </c>
      <c r="C60">
        <f t="shared" si="1"/>
        <v>568.36313519999999</v>
      </c>
      <c r="D60">
        <f t="shared" si="2"/>
        <v>3790.2498648000001</v>
      </c>
    </row>
    <row r="61" spans="1:4" x14ac:dyDescent="0.25">
      <c r="A61" s="1">
        <v>2105</v>
      </c>
      <c r="B61">
        <f t="shared" si="0"/>
        <v>4358.6130000000003</v>
      </c>
      <c r="C61">
        <f t="shared" si="1"/>
        <v>568.36313519999999</v>
      </c>
      <c r="D61">
        <f t="shared" si="2"/>
        <v>3790.2498648000001</v>
      </c>
    </row>
    <row r="62" spans="1:4" x14ac:dyDescent="0.25">
      <c r="A62" s="1">
        <v>2350</v>
      </c>
      <c r="B62">
        <f t="shared" si="0"/>
        <v>4865.9100000000008</v>
      </c>
      <c r="C62">
        <f t="shared" si="1"/>
        <v>634.51466400000004</v>
      </c>
      <c r="D62">
        <f t="shared" si="2"/>
        <v>4231.3953360000005</v>
      </c>
    </row>
    <row r="63" spans="1:4" x14ac:dyDescent="0.25">
      <c r="A63" s="1">
        <v>2485</v>
      </c>
      <c r="B63">
        <f t="shared" si="0"/>
        <v>5145.4410000000007</v>
      </c>
      <c r="C63">
        <f t="shared" si="1"/>
        <v>670.96550639999998</v>
      </c>
      <c r="D63">
        <f t="shared" si="2"/>
        <v>4474.4754936000008</v>
      </c>
    </row>
    <row r="64" spans="1:4" x14ac:dyDescent="0.25">
      <c r="A64" s="1">
        <v>2733</v>
      </c>
      <c r="B64">
        <f t="shared" si="0"/>
        <v>5658.9498000000003</v>
      </c>
      <c r="C64">
        <f t="shared" si="1"/>
        <v>737.92705391999993</v>
      </c>
      <c r="D64">
        <f t="shared" si="2"/>
        <v>4921.0227460800006</v>
      </c>
    </row>
    <row r="65" spans="1:4" x14ac:dyDescent="0.25">
      <c r="A65" s="1">
        <v>2485</v>
      </c>
      <c r="B65">
        <f t="shared" si="0"/>
        <v>5145.4410000000007</v>
      </c>
      <c r="C65">
        <f t="shared" si="1"/>
        <v>670.96550639999998</v>
      </c>
      <c r="D65">
        <f t="shared" si="2"/>
        <v>4474.4754936000008</v>
      </c>
    </row>
    <row r="66" spans="1:4" x14ac:dyDescent="0.25">
      <c r="A66" s="1">
        <v>2485</v>
      </c>
      <c r="B66">
        <f t="shared" ref="B66:B100" si="3">A66*2.0706</f>
        <v>5145.4410000000007</v>
      </c>
      <c r="C66">
        <f t="shared" ref="C66:C100" si="4">B66*0.1304</f>
        <v>670.96550639999998</v>
      </c>
      <c r="D66">
        <f t="shared" ref="D66:D100" si="5">B66-C66</f>
        <v>4474.4754936000008</v>
      </c>
    </row>
    <row r="67" spans="1:4" x14ac:dyDescent="0.25">
      <c r="A67" s="1">
        <v>3114</v>
      </c>
      <c r="B67">
        <f t="shared" si="3"/>
        <v>6447.8484000000008</v>
      </c>
      <c r="C67">
        <f t="shared" si="4"/>
        <v>840.79943135999997</v>
      </c>
      <c r="D67">
        <f t="shared" si="5"/>
        <v>5607.0489686400006</v>
      </c>
    </row>
    <row r="68" spans="1:4" x14ac:dyDescent="0.25">
      <c r="A68" s="1">
        <v>3114</v>
      </c>
      <c r="B68">
        <f t="shared" si="3"/>
        <v>6447.8484000000008</v>
      </c>
      <c r="C68">
        <f t="shared" si="4"/>
        <v>840.79943135999997</v>
      </c>
      <c r="D68">
        <f t="shared" si="5"/>
        <v>5607.0489686400006</v>
      </c>
    </row>
    <row r="69" spans="1:4" x14ac:dyDescent="0.25">
      <c r="A69" s="1">
        <v>3114</v>
      </c>
      <c r="B69">
        <f t="shared" si="3"/>
        <v>6447.8484000000008</v>
      </c>
      <c r="C69">
        <f t="shared" si="4"/>
        <v>840.79943135999997</v>
      </c>
      <c r="D69">
        <f t="shared" si="5"/>
        <v>5607.0489686400006</v>
      </c>
    </row>
    <row r="70" spans="1:4" x14ac:dyDescent="0.25">
      <c r="A70" s="1">
        <v>3114</v>
      </c>
      <c r="B70">
        <f t="shared" si="3"/>
        <v>6447.8484000000008</v>
      </c>
      <c r="C70">
        <f t="shared" si="4"/>
        <v>840.79943135999997</v>
      </c>
      <c r="D70">
        <f t="shared" si="5"/>
        <v>5607.0489686400006</v>
      </c>
    </row>
    <row r="71" spans="1:4" x14ac:dyDescent="0.25">
      <c r="A71" s="1">
        <v>2635</v>
      </c>
      <c r="B71">
        <f t="shared" si="3"/>
        <v>5456.0310000000009</v>
      </c>
      <c r="C71">
        <f t="shared" si="4"/>
        <v>711.46644240000001</v>
      </c>
      <c r="D71">
        <f t="shared" si="5"/>
        <v>4744.5645576000006</v>
      </c>
    </row>
    <row r="72" spans="1:4" x14ac:dyDescent="0.25">
      <c r="A72" s="1">
        <v>2635</v>
      </c>
      <c r="B72">
        <f t="shared" si="3"/>
        <v>5456.0310000000009</v>
      </c>
      <c r="C72">
        <f t="shared" si="4"/>
        <v>711.46644240000001</v>
      </c>
      <c r="D72">
        <f t="shared" si="5"/>
        <v>4744.5645576000006</v>
      </c>
    </row>
    <row r="73" spans="1:4" x14ac:dyDescent="0.25">
      <c r="A73" s="1">
        <v>2635</v>
      </c>
      <c r="B73">
        <f t="shared" si="3"/>
        <v>5456.0310000000009</v>
      </c>
      <c r="C73">
        <f t="shared" si="4"/>
        <v>711.46644240000001</v>
      </c>
      <c r="D73">
        <f t="shared" si="5"/>
        <v>4744.5645576000006</v>
      </c>
    </row>
    <row r="74" spans="1:4" x14ac:dyDescent="0.25">
      <c r="A74" s="1">
        <v>2635</v>
      </c>
      <c r="B74">
        <f t="shared" si="3"/>
        <v>5456.0310000000009</v>
      </c>
      <c r="C74">
        <f t="shared" si="4"/>
        <v>711.46644240000001</v>
      </c>
      <c r="D74">
        <f t="shared" si="5"/>
        <v>4744.5645576000006</v>
      </c>
    </row>
    <row r="75" spans="1:4" x14ac:dyDescent="0.25">
      <c r="A75" s="1">
        <v>2999</v>
      </c>
      <c r="B75">
        <f t="shared" si="3"/>
        <v>6209.7294000000011</v>
      </c>
      <c r="C75">
        <f t="shared" si="4"/>
        <v>809.7487137600001</v>
      </c>
      <c r="D75">
        <f t="shared" si="5"/>
        <v>5399.980686240001</v>
      </c>
    </row>
    <row r="76" spans="1:4" x14ac:dyDescent="0.25">
      <c r="A76" s="1">
        <v>2999</v>
      </c>
      <c r="B76">
        <f t="shared" si="3"/>
        <v>6209.7294000000011</v>
      </c>
      <c r="C76">
        <f t="shared" si="4"/>
        <v>809.7487137600001</v>
      </c>
      <c r="D76">
        <f t="shared" si="5"/>
        <v>5399.980686240001</v>
      </c>
    </row>
    <row r="77" spans="1:4" x14ac:dyDescent="0.25">
      <c r="A77" s="1">
        <v>2999</v>
      </c>
      <c r="B77">
        <f t="shared" si="3"/>
        <v>6209.7294000000011</v>
      </c>
      <c r="C77">
        <f t="shared" si="4"/>
        <v>809.7487137600001</v>
      </c>
      <c r="D77">
        <f t="shared" si="5"/>
        <v>5399.980686240001</v>
      </c>
    </row>
    <row r="78" spans="1:4" x14ac:dyDescent="0.25">
      <c r="A78" s="1">
        <v>2999</v>
      </c>
      <c r="B78">
        <f t="shared" si="3"/>
        <v>6209.7294000000011</v>
      </c>
      <c r="C78">
        <f t="shared" si="4"/>
        <v>809.7487137600001</v>
      </c>
      <c r="D78">
        <f t="shared" si="5"/>
        <v>5399.980686240001</v>
      </c>
    </row>
    <row r="79" spans="1:4" x14ac:dyDescent="0.25">
      <c r="A79" s="1">
        <v>3389</v>
      </c>
      <c r="B79">
        <f t="shared" si="3"/>
        <v>7017.2634000000007</v>
      </c>
      <c r="C79">
        <f t="shared" si="4"/>
        <v>915.05114735999996</v>
      </c>
      <c r="D79">
        <f t="shared" si="5"/>
        <v>6102.2122526400008</v>
      </c>
    </row>
    <row r="80" spans="1:4" x14ac:dyDescent="0.25">
      <c r="A80" s="1">
        <v>3389</v>
      </c>
      <c r="B80">
        <f t="shared" si="3"/>
        <v>7017.2634000000007</v>
      </c>
      <c r="C80">
        <f t="shared" si="4"/>
        <v>915.05114735999996</v>
      </c>
      <c r="D80">
        <f t="shared" si="5"/>
        <v>6102.2122526400008</v>
      </c>
    </row>
    <row r="81" spans="1:4" x14ac:dyDescent="0.25">
      <c r="A81" s="1">
        <v>3389</v>
      </c>
      <c r="B81">
        <f t="shared" si="3"/>
        <v>7017.2634000000007</v>
      </c>
      <c r="C81">
        <f t="shared" si="4"/>
        <v>915.05114735999996</v>
      </c>
      <c r="D81">
        <f t="shared" si="5"/>
        <v>6102.2122526400008</v>
      </c>
    </row>
    <row r="82" spans="1:4" x14ac:dyDescent="0.25">
      <c r="A82" s="1">
        <v>3389</v>
      </c>
      <c r="B82">
        <f t="shared" si="3"/>
        <v>7017.2634000000007</v>
      </c>
      <c r="C82">
        <f t="shared" si="4"/>
        <v>915.05114735999996</v>
      </c>
      <c r="D82">
        <f t="shared" si="5"/>
        <v>6102.2122526400008</v>
      </c>
    </row>
    <row r="83" spans="1:4" x14ac:dyDescent="0.25">
      <c r="A83" s="1">
        <v>4465</v>
      </c>
      <c r="B83">
        <f t="shared" si="3"/>
        <v>9245.2290000000012</v>
      </c>
      <c r="C83">
        <f t="shared" si="4"/>
        <v>1205.5778616</v>
      </c>
      <c r="D83">
        <f t="shared" si="5"/>
        <v>8039.6511384000014</v>
      </c>
    </row>
    <row r="84" spans="1:4" x14ac:dyDescent="0.25">
      <c r="A84" s="1">
        <v>4465</v>
      </c>
      <c r="B84">
        <f t="shared" si="3"/>
        <v>9245.2290000000012</v>
      </c>
      <c r="C84">
        <f t="shared" si="4"/>
        <v>1205.5778616</v>
      </c>
      <c r="D84">
        <f t="shared" si="5"/>
        <v>8039.6511384000014</v>
      </c>
    </row>
    <row r="85" spans="1:4" x14ac:dyDescent="0.25">
      <c r="A85" s="1">
        <v>4799</v>
      </c>
      <c r="B85">
        <f t="shared" si="3"/>
        <v>9936.8094000000019</v>
      </c>
      <c r="C85">
        <f t="shared" si="4"/>
        <v>1295.7599457600002</v>
      </c>
      <c r="D85">
        <f t="shared" si="5"/>
        <v>8641.0494542400011</v>
      </c>
    </row>
    <row r="86" spans="1:4" x14ac:dyDescent="0.25">
      <c r="A86" s="1">
        <v>4799</v>
      </c>
      <c r="B86">
        <f t="shared" si="3"/>
        <v>9936.8094000000019</v>
      </c>
      <c r="C86">
        <f t="shared" si="4"/>
        <v>1295.7599457600002</v>
      </c>
      <c r="D86">
        <f t="shared" si="5"/>
        <v>8641.0494542400011</v>
      </c>
    </row>
    <row r="87" spans="1:4" x14ac:dyDescent="0.25">
      <c r="A87" s="1">
        <v>5997</v>
      </c>
      <c r="B87">
        <f t="shared" si="3"/>
        <v>12417.388200000001</v>
      </c>
      <c r="C87">
        <f t="shared" si="4"/>
        <v>1619.22742128</v>
      </c>
      <c r="D87">
        <f t="shared" si="5"/>
        <v>10798.160778720001</v>
      </c>
    </row>
    <row r="88" spans="1:4" x14ac:dyDescent="0.25">
      <c r="A88" s="1">
        <v>5997</v>
      </c>
      <c r="B88">
        <f t="shared" si="3"/>
        <v>12417.388200000001</v>
      </c>
      <c r="C88">
        <f t="shared" si="4"/>
        <v>1619.22742128</v>
      </c>
      <c r="D88">
        <f t="shared" si="5"/>
        <v>10798.160778720001</v>
      </c>
    </row>
    <row r="89" spans="1:4" x14ac:dyDescent="0.25">
      <c r="A89" s="1">
        <v>5048.99</v>
      </c>
      <c r="B89">
        <f t="shared" si="3"/>
        <v>10454.438694</v>
      </c>
      <c r="C89">
        <f t="shared" si="4"/>
        <v>1363.2588056975999</v>
      </c>
      <c r="D89">
        <f t="shared" si="5"/>
        <v>9091.1798883024003</v>
      </c>
    </row>
    <row r="90" spans="1:4" x14ac:dyDescent="0.25">
      <c r="A90" s="1">
        <v>5048.99</v>
      </c>
      <c r="B90">
        <f t="shared" si="3"/>
        <v>10454.438694</v>
      </c>
      <c r="C90">
        <f t="shared" si="4"/>
        <v>1363.2588056975999</v>
      </c>
      <c r="D90">
        <f t="shared" si="5"/>
        <v>9091.1798883024003</v>
      </c>
    </row>
    <row r="91" spans="1:4" x14ac:dyDescent="0.25">
      <c r="A91" s="1">
        <v>6999</v>
      </c>
      <c r="B91">
        <f t="shared" si="3"/>
        <v>14492.129400000002</v>
      </c>
      <c r="C91">
        <f t="shared" si="4"/>
        <v>1889.7736737600001</v>
      </c>
      <c r="D91">
        <f t="shared" si="5"/>
        <v>12602.355726240001</v>
      </c>
    </row>
    <row r="92" spans="1:4" x14ac:dyDescent="0.25">
      <c r="A92" s="1">
        <v>6999</v>
      </c>
      <c r="B92">
        <f t="shared" si="3"/>
        <v>14492.129400000002</v>
      </c>
      <c r="C92">
        <f t="shared" si="4"/>
        <v>1889.7736737600001</v>
      </c>
      <c r="D92">
        <f t="shared" si="5"/>
        <v>12602.355726240001</v>
      </c>
    </row>
    <row r="93" spans="1:4" x14ac:dyDescent="0.25">
      <c r="A93" s="1">
        <v>5099</v>
      </c>
      <c r="B93">
        <f t="shared" si="3"/>
        <v>10557.9894</v>
      </c>
      <c r="C93">
        <f t="shared" si="4"/>
        <v>1376.76181776</v>
      </c>
      <c r="D93">
        <f t="shared" si="5"/>
        <v>9181.2275822400006</v>
      </c>
    </row>
    <row r="94" spans="1:4" x14ac:dyDescent="0.25">
      <c r="A94" s="1">
        <v>5799</v>
      </c>
      <c r="B94">
        <f t="shared" si="3"/>
        <v>12007.4094</v>
      </c>
      <c r="C94">
        <f t="shared" si="4"/>
        <v>1565.7661857599999</v>
      </c>
      <c r="D94">
        <f t="shared" si="5"/>
        <v>10441.643214240001</v>
      </c>
    </row>
    <row r="95" spans="1:4" x14ac:dyDescent="0.25">
      <c r="A95" s="1">
        <v>6949</v>
      </c>
      <c r="B95">
        <f t="shared" si="3"/>
        <v>14388.599400000001</v>
      </c>
      <c r="C95">
        <f t="shared" si="4"/>
        <v>1876.2733617599999</v>
      </c>
      <c r="D95">
        <f t="shared" si="5"/>
        <v>12512.32603824</v>
      </c>
    </row>
    <row r="96" spans="1:4" x14ac:dyDescent="0.25">
      <c r="A96" s="1">
        <v>6949</v>
      </c>
      <c r="B96">
        <f t="shared" si="3"/>
        <v>14388.599400000001</v>
      </c>
      <c r="C96">
        <f t="shared" si="4"/>
        <v>1876.2733617599999</v>
      </c>
      <c r="D96">
        <f t="shared" si="5"/>
        <v>12512.32603824</v>
      </c>
    </row>
    <row r="97" spans="1:4" x14ac:dyDescent="0.25">
      <c r="A97" s="1">
        <v>7449</v>
      </c>
      <c r="B97">
        <f t="shared" si="3"/>
        <v>15423.899400000002</v>
      </c>
      <c r="C97">
        <f t="shared" si="4"/>
        <v>2011.27648176</v>
      </c>
      <c r="D97">
        <f t="shared" si="5"/>
        <v>13412.622918240002</v>
      </c>
    </row>
    <row r="98" spans="1:4" x14ac:dyDescent="0.25">
      <c r="A98" s="1">
        <v>7449</v>
      </c>
      <c r="B98">
        <f t="shared" si="3"/>
        <v>15423.899400000002</v>
      </c>
      <c r="C98">
        <f t="shared" si="4"/>
        <v>2011.27648176</v>
      </c>
      <c r="D98">
        <f t="shared" si="5"/>
        <v>13412.622918240002</v>
      </c>
    </row>
    <row r="99" spans="1:4" x14ac:dyDescent="0.25">
      <c r="A99" s="1">
        <v>9888.74</v>
      </c>
      <c r="B99">
        <f t="shared" si="3"/>
        <v>20475.625044</v>
      </c>
      <c r="C99">
        <f t="shared" si="4"/>
        <v>2670.0215057375999</v>
      </c>
      <c r="D99">
        <f t="shared" si="5"/>
        <v>17805.6035382624</v>
      </c>
    </row>
    <row r="100" spans="1:4" x14ac:dyDescent="0.25">
      <c r="A100" s="1">
        <v>9888.74</v>
      </c>
      <c r="B100">
        <f t="shared" si="3"/>
        <v>20475.625044</v>
      </c>
      <c r="C100">
        <f t="shared" si="4"/>
        <v>2670.0215057375999</v>
      </c>
      <c r="D100">
        <f t="shared" si="5"/>
        <v>17805.6035382624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swiss tech</dc:creator>
  <cp:lastModifiedBy>swiss tech</cp:lastModifiedBy>
  <dcterms:created xsi:type="dcterms:W3CDTF">2026-06-27T18:10:12Z</dcterms:created>
  <dcterms:modified xsi:type="dcterms:W3CDTF">2026-06-27T18:24:27Z</dcterms:modified>
</cp:coreProperties>
</file>