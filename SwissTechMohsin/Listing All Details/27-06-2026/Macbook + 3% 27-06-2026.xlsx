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isting All Details\27-06-2026\"/>
    </mc:Choice>
  </mc:AlternateContent>
  <xr:revisionPtr revIDLastSave="0" documentId="13_ncr:1_{645E64FC-B4B4-4702-8E47-4A7A74A21C2B}" xr6:coauthVersionLast="47" xr6:coauthVersionMax="47" xr10:uidLastSave="{00000000-0000-0000-0000-000000000000}"/>
  <bookViews>
    <workbookView xWindow="20370" yWindow="-120" windowWidth="29040" windowHeight="17520" xr2:uid="{41048B71-4676-4BDD-88B0-EF03A930B325}"/>
  </bookViews>
  <sheets>
    <sheet name="Sheet1" sheetId="1" r:id="rId1"/>
    <sheet name="Sheet2" sheetId="2" r:id="rId2"/>
  </sheets>
  <definedNames>
    <definedName name="_xlnm._FilterDatabase" localSheetId="0" hidden="1">Sheet1!$A$1:$L$99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2" i="1" l="1"/>
  <c r="L89" i="1"/>
  <c r="L88" i="1"/>
  <c r="L79" i="1"/>
  <c r="L80" i="1"/>
  <c r="L81" i="1"/>
  <c r="L78" i="1"/>
  <c r="L37" i="1"/>
  <c r="L27" i="1"/>
  <c r="L19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20" i="1"/>
  <c r="L21" i="1"/>
  <c r="L22" i="1"/>
  <c r="L23" i="1"/>
  <c r="L24" i="1"/>
  <c r="L25" i="1"/>
  <c r="L26" i="1"/>
  <c r="L28" i="1"/>
  <c r="L29" i="1"/>
  <c r="L30" i="1"/>
  <c r="L31" i="1"/>
  <c r="L32" i="1"/>
  <c r="L33" i="1"/>
  <c r="L34" i="1"/>
  <c r="L35" i="1"/>
  <c r="L36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82" i="1"/>
  <c r="L83" i="1"/>
  <c r="L84" i="1"/>
  <c r="L85" i="1"/>
  <c r="L86" i="1"/>
  <c r="L87" i="1"/>
  <c r="L90" i="1"/>
  <c r="L91" i="1"/>
  <c r="L93" i="1"/>
  <c r="L94" i="1"/>
  <c r="L95" i="1"/>
  <c r="L96" i="1"/>
  <c r="L97" i="1"/>
  <c r="L98" i="1"/>
  <c r="L99" i="1"/>
  <c r="L2" i="1"/>
</calcChain>
</file>

<file path=xl/sharedStrings.xml><?xml version="1.0" encoding="utf-8"?>
<sst xmlns="http://schemas.openxmlformats.org/spreadsheetml/2006/main" count="647" uniqueCount="155">
  <si>
    <t>Sr No</t>
  </si>
  <si>
    <t>Model</t>
  </si>
  <si>
    <t>Storage</t>
  </si>
  <si>
    <t>Colour</t>
  </si>
  <si>
    <t>Status</t>
  </si>
  <si>
    <t>Website (AUD)</t>
  </si>
  <si>
    <t>Website (NZD)</t>
  </si>
  <si>
    <t>Macbook Air M4 13 8GPU/10CPU (MC6T4)</t>
  </si>
  <si>
    <t>16 GB, 256 GB</t>
  </si>
  <si>
    <t>Sky Blue</t>
  </si>
  <si>
    <t>Non Active</t>
  </si>
  <si>
    <t>officeworks.com.au</t>
  </si>
  <si>
    <t>elive.co.nz</t>
  </si>
  <si>
    <t>Not Avalabile AUD, NZD</t>
  </si>
  <si>
    <t>Macbook Air M4 13 8GPU/10CPU (MW0W3)</t>
  </si>
  <si>
    <t xml:space="preserve">Silver </t>
  </si>
  <si>
    <t>Macbook Air M4 13 8GPU/10CPU (MW123)</t>
  </si>
  <si>
    <t xml:space="preserve">Midnight </t>
  </si>
  <si>
    <t>Macbook Air M4 13 8GPU/10CPU (MW0Y3)</t>
  </si>
  <si>
    <t xml:space="preserve">Starlight </t>
  </si>
  <si>
    <t>Macbook Air M4  13 10GPU/10CPU (MC6U4)</t>
  </si>
  <si>
    <t>16 GB, 512 GB</t>
  </si>
  <si>
    <t>Macbook Air M4  13 10GPU/10CPU (MW0X3)</t>
  </si>
  <si>
    <t>Macbook Air M4  13 10GPU/10CPU (MW133)</t>
  </si>
  <si>
    <t>rubbermonkey.co.nz</t>
  </si>
  <si>
    <t>Macbook Air M4  13 10GPU/10CPU (MW103)</t>
  </si>
  <si>
    <t>Not Avalabile AUD</t>
  </si>
  <si>
    <t>Macbook Air M4  13 10GPU/10CPU (MC6V4)</t>
  </si>
  <si>
    <t>24 GB, 512 GB</t>
  </si>
  <si>
    <t>noelleeming.co.nz</t>
  </si>
  <si>
    <t>Macbook Air M4  13 10GPU/10CPU (MC654)</t>
  </si>
  <si>
    <t>themall.aucklandairport.co.nz</t>
  </si>
  <si>
    <t>Macbook Air M4  13 10GPU/10CPU (MC6C4)</t>
  </si>
  <si>
    <t>Macbook Air M4  13 10GPU/10CPU (MC6A4)</t>
  </si>
  <si>
    <t>Macbook Air M4 15 10GPU/10CPU (MC7A4)</t>
  </si>
  <si>
    <t>Not Avalabile NZD</t>
  </si>
  <si>
    <t>Macbook Air M4 15 10GPU/10CPU (MW1G3)</t>
  </si>
  <si>
    <t>Macbook Air M4 15 10GPU/10CPU (MW1L3)</t>
  </si>
  <si>
    <t>Macbook Air M4 15 10GPU/10CPU (MW1J3)</t>
  </si>
  <si>
    <t>Macbook Air M4 15 10GPU/10CPU (MC7C4)</t>
  </si>
  <si>
    <t>Macbook Air M4 15 10GPU/10CPU (MW1H3)</t>
  </si>
  <si>
    <t>Macbook Air M4 15 10GPU/10CPU (MW1M3)</t>
  </si>
  <si>
    <t>Macbook Air M4 15 10GPU/10CPU (MW1K3)</t>
  </si>
  <si>
    <t>Macbook Air M4 15 10GPU/10CPU (MC7D4)</t>
  </si>
  <si>
    <t>Macbook Air M4 15 10GPU/10CPU (MC6J4)</t>
  </si>
  <si>
    <t>Macbook Air M4 15 10GPU/10CPU (MC6L4)</t>
  </si>
  <si>
    <t>Macbook Air M4 15 10GPU/10CPU (MC6K4)</t>
  </si>
  <si>
    <t>Macbook Pro M5 14 (MDE04)</t>
  </si>
  <si>
    <t>Space Blck</t>
  </si>
  <si>
    <t>pbtech.co.nz</t>
  </si>
  <si>
    <t>Macbook Pro M5 14 (MDE44)</t>
  </si>
  <si>
    <t>jbhifi.com.au</t>
  </si>
  <si>
    <t>Macbook Pro M5 14 (MDE14)</t>
  </si>
  <si>
    <t>16 GB,  1 TB</t>
  </si>
  <si>
    <t>emporiumelectronics.com.au</t>
  </si>
  <si>
    <t>einfo.co.nz</t>
  </si>
  <si>
    <t>Macbook Pro M5 14 (MDE54)</t>
  </si>
  <si>
    <t>Macbook Pro M5 14 (MDE34)</t>
  </si>
  <si>
    <t>24 GB,  1 TB</t>
  </si>
  <si>
    <t>thegoodguys.com.au</t>
  </si>
  <si>
    <t>Macbook Pro M5 14 (MDE64)</t>
  </si>
  <si>
    <t>Macbook Pro M4 14 (MW2U3)</t>
  </si>
  <si>
    <t>harveynorman.com.au</t>
  </si>
  <si>
    <t>Macbook Pro M4 14 (MW2W3)</t>
  </si>
  <si>
    <t>Macbook Pro M4 14 (MW2V3)</t>
  </si>
  <si>
    <t>Macbook Pro M4 14 (MW2X3)</t>
  </si>
  <si>
    <t>Macbook Pro M4 14 (MCX04)</t>
  </si>
  <si>
    <t>mobileciti.com.au</t>
  </si>
  <si>
    <t>Macbook Pro M4 14 (MCX14)</t>
  </si>
  <si>
    <t>Macbook Pro M4 14 (MX2H3)</t>
  </si>
  <si>
    <t>Macbook Pro M4 14 (MX2E3)</t>
  </si>
  <si>
    <t>-</t>
  </si>
  <si>
    <t>Macbook Pro M4 Max 14 (MX2K3)</t>
  </si>
  <si>
    <t>36 GB, 1 TB</t>
  </si>
  <si>
    <t>Macbook Pro M4 Max 14 (MX2G3)</t>
  </si>
  <si>
    <t>Macbook Pro M4 16 (MX2X3)</t>
  </si>
  <si>
    <t>Macbook Pro M4 16 (MX2T3)</t>
  </si>
  <si>
    <t>Macbook Pro M4 16 (MX2Y3)</t>
  </si>
  <si>
    <t>48 GB, 512 GB</t>
  </si>
  <si>
    <t>Macbook Pro M4 16 (MX2U3)</t>
  </si>
  <si>
    <t>Macbook Pro M4 Max 16 (MX303)</t>
  </si>
  <si>
    <t>Macbook Pro M4 Max 16 (MX2V3)</t>
  </si>
  <si>
    <t>Macbook Pro M4 Max 16 (MX313)</t>
  </si>
  <si>
    <t>48 GB, 1 TB</t>
  </si>
  <si>
    <t>Macbook Pro M4 Max 16 (MX2W3)</t>
  </si>
  <si>
    <t>Macbook New A18 13 (MHFA4)</t>
  </si>
  <si>
    <t>8 GB, 256 GB</t>
  </si>
  <si>
    <t>costco.com.au</t>
  </si>
  <si>
    <t>Macbook New A18 13 (MHFH4)</t>
  </si>
  <si>
    <t xml:space="preserve">Blush </t>
  </si>
  <si>
    <t>Macbook New A18 13 (MHFD4)</t>
  </si>
  <si>
    <t xml:space="preserve">Citrus </t>
  </si>
  <si>
    <t>Macbook New A18 13 (MHFFA)</t>
  </si>
  <si>
    <t xml:space="preserve">Indigo </t>
  </si>
  <si>
    <t>Macbook New A18 13 (MHFC4)</t>
  </si>
  <si>
    <t>8 GB, 512 GB</t>
  </si>
  <si>
    <t>Macbook New A18 13 (MHFJ4)</t>
  </si>
  <si>
    <t>Macbook New A18 13 (MHFE4)</t>
  </si>
  <si>
    <t>Macbook New A18 13 (MHFG4)</t>
  </si>
  <si>
    <t>Macbook Air M5 13 10C-8C (MDH74)</t>
  </si>
  <si>
    <t>Macbook Air M5 13 10C-8C (MDHA4)</t>
  </si>
  <si>
    <t>Macbook Air M5 13 10C-8C (MDHE4)</t>
  </si>
  <si>
    <t>Macbook Air M5 13 10C-8C (MDHH4)</t>
  </si>
  <si>
    <t>Macbook Air M5 13 10C-10C (MDH84)</t>
  </si>
  <si>
    <t>16 GB, 1 TB</t>
  </si>
  <si>
    <t>Macbook Air M5 13 10C-10C (MDHC4)</t>
  </si>
  <si>
    <t>Macbook Air M5 13 10C-10C (MDHF4)</t>
  </si>
  <si>
    <t>Macbook Air M5 13 10C-10C (MDHJ4)</t>
  </si>
  <si>
    <t>Macbook Air M5 13 10C-10C (MDH94)</t>
  </si>
  <si>
    <t>24 GB, 1 TB</t>
  </si>
  <si>
    <t>Macbook Air M5 13 10C-10C (MDHD4)</t>
  </si>
  <si>
    <t>Macbook Air M5 13 10C-10C (MDHG4)</t>
  </si>
  <si>
    <t>Macbook Air M5 13 10C-10C (MDHK4)</t>
  </si>
  <si>
    <t xml:space="preserve">Macbook Air M5 15 10C-10C (MDV94) </t>
  </si>
  <si>
    <t xml:space="preserve">Macbook Air M5 15 10C-10C (MDVD4) </t>
  </si>
  <si>
    <t xml:space="preserve">Macbook Air M5 15 10C-10C (MDVH4) </t>
  </si>
  <si>
    <t xml:space="preserve">Macbook Air M5 15 10C-10C (MDVQ4) </t>
  </si>
  <si>
    <t>Macbook Air M5 15 10C-10C (MDVA4)</t>
  </si>
  <si>
    <t>Macbook Air M5 15 10C-10C (MDVE4)</t>
  </si>
  <si>
    <t>Macbook Air M5 15 10C-10C (MDVK4)</t>
  </si>
  <si>
    <t>Macbook Air M5 15 10C-10C (MDVT4)</t>
  </si>
  <si>
    <t>Macbook Air M5 15 10C-10C (MDVC4)</t>
  </si>
  <si>
    <t>Macbook Air M5 15 10C-10C (MDVF4)</t>
  </si>
  <si>
    <t>Macbook Air M5 15 10C-10C (MDVN4)</t>
  </si>
  <si>
    <t>Macbook Air M5 15 10C-10C (MDVU4)</t>
  </si>
  <si>
    <t>Macbook Pro M5 14 (MJ3D4)</t>
  </si>
  <si>
    <t>32 GB, 1 TB</t>
  </si>
  <si>
    <t>Space Black</t>
  </si>
  <si>
    <t>Macbook Pro M5 14 (MJ3E4)</t>
  </si>
  <si>
    <t>Macbook Pro M5 14 15C-16C (MGDR4)</t>
  </si>
  <si>
    <t>Macbook Pro M5 14 15C-16C (MGDN4)</t>
  </si>
  <si>
    <t>Macbook Pro M5 14 15C-16C (MJLW4)</t>
  </si>
  <si>
    <t>24 GB, 2 TB</t>
  </si>
  <si>
    <t>digidirect.com.au</t>
  </si>
  <si>
    <t>heathcotes.co.nz</t>
  </si>
  <si>
    <t>Macbook Pro M5 14 15C-16C (MJLV4)</t>
  </si>
  <si>
    <t>Macbook Pro M5 14 18C-20C (MGDT4)</t>
  </si>
  <si>
    <t>Macbook Pro M5 14 18C-20C (MGDP4)</t>
  </si>
  <si>
    <t>Macbook Pro M5 Max 14 18C-32C (MGDU4)</t>
  </si>
  <si>
    <t>36 GB, 2 TB</t>
  </si>
  <si>
    <t>Macbook Pro M5 Max 14 18C-32C (MGDQ4)</t>
  </si>
  <si>
    <t>Macbook Pro M5 16 18C-20C (MGEA4)</t>
  </si>
  <si>
    <t>Macbook Pro M5 16 18C-20C (MGE44)</t>
  </si>
  <si>
    <t>Macbook Pro M5 16 18C-20C (MGEC4)</t>
  </si>
  <si>
    <t>Macbook Pro M5 16 18C-20C (MGE64)</t>
  </si>
  <si>
    <t>Macbook Pro M5 Max 16 18C-32C (MGED4)</t>
  </si>
  <si>
    <t>Macbook Pro M5 Max 16 18C-32C (MGE74)</t>
  </si>
  <si>
    <t>Macbook Pro M5 Max 16 18C-40C (MGEE4)</t>
  </si>
  <si>
    <t>48 GB, 2 TB</t>
  </si>
  <si>
    <t>Macbook Pro M5 Max 16 18C-40C (MGE94)</t>
  </si>
  <si>
    <t>Stock</t>
  </si>
  <si>
    <t>Prices +3% AED</t>
  </si>
  <si>
    <t>After GST To AED Price(AUD)</t>
  </si>
  <si>
    <t>After GST To AED Price(NZD)</t>
  </si>
  <si>
    <t>Different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</si>
</sst>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4" borderId="1" xfId="0" applyNumberFormat="1" applyFill="1" applyBorder="1"/>
    <xf numFmtId="2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BC1D5-A206-4561-A824-CA33EAE62DB5}">
  <dimension ref="A1:L99"/>
  <sheetViews>
    <sheetView tabSelected="1" workbookViewId="0">
      <selection activeCell="I22" sqref="I22"/>
    </sheetView>
  </sheetViews>
  <sheetFormatPr defaultRowHeight="15" x14ac:dyDescent="0.25"/>
  <cols>
    <col min="1" max="1" width="5.85546875" bestFit="1" customWidth="1"/>
    <col min="2" max="2" width="39.5703125" bestFit="1" customWidth="1"/>
    <col min="3" max="3" width="12.7109375" bestFit="1" customWidth="1"/>
    <col min="4" max="4" width="11.5703125" bestFit="1" customWidth="1"/>
    <col min="5" max="5" width="10.28515625" bestFit="1" customWidth="1"/>
    <col min="6" max="6" width="14.85546875" bestFit="1" customWidth="1"/>
    <col min="7" max="7" width="27.7109375" bestFit="1" customWidth="1"/>
    <col min="8" max="8" width="27" bestFit="1" customWidth="1"/>
    <col min="9" max="9" width="28.42578125" bestFit="1" customWidth="1"/>
    <col min="10" max="10" width="31.5703125" bestFit="1" customWidth="1"/>
    <col min="11" max="11" width="23.5703125" customWidth="1"/>
    <col min="12" max="12" width="26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151</v>
      </c>
      <c r="G1" s="1" t="s">
        <v>5</v>
      </c>
      <c r="H1" s="1" t="s">
        <v>152</v>
      </c>
      <c r="I1" s="1" t="s">
        <v>6</v>
      </c>
      <c r="J1" s="1" t="s">
        <v>153</v>
      </c>
      <c r="K1" s="1" t="s">
        <v>150</v>
      </c>
      <c r="L1" s="2" t="s">
        <v>154</v>
      </c>
    </row>
    <row r="2" spans="1:12" x14ac:dyDescent="0.25">
      <c r="A2" s="3">
        <v>1</v>
      </c>
      <c r="B2" s="3" t="s">
        <v>7</v>
      </c>
      <c r="C2" s="3" t="s">
        <v>8</v>
      </c>
      <c r="D2" s="3" t="s">
        <v>9</v>
      </c>
      <c r="E2" s="3" t="s">
        <v>10</v>
      </c>
      <c r="F2" s="4">
        <v>2929.5774999999999</v>
      </c>
      <c r="G2" s="3" t="s">
        <v>11</v>
      </c>
      <c r="H2" s="6">
        <v>3093.1549090909093</v>
      </c>
      <c r="I2" s="3" t="s">
        <v>12</v>
      </c>
      <c r="J2" s="4">
        <v>3297.4462717056003</v>
      </c>
      <c r="K2" s="5" t="s">
        <v>13</v>
      </c>
      <c r="L2" s="8">
        <f>F2-H2</f>
        <v>-163.57740909090944</v>
      </c>
    </row>
    <row r="3" spans="1:12" x14ac:dyDescent="0.25">
      <c r="A3" s="3">
        <v>2</v>
      </c>
      <c r="B3" s="3" t="s">
        <v>14</v>
      </c>
      <c r="C3" s="3" t="s">
        <v>8</v>
      </c>
      <c r="D3" s="3" t="s">
        <v>15</v>
      </c>
      <c r="E3" s="3" t="s">
        <v>10</v>
      </c>
      <c r="F3" s="4">
        <v>2929.5774999999999</v>
      </c>
      <c r="G3" s="3" t="s">
        <v>11</v>
      </c>
      <c r="H3" s="6">
        <v>3093.1549090909093</v>
      </c>
      <c r="I3" s="3" t="s">
        <v>12</v>
      </c>
      <c r="J3" s="4">
        <v>3297.4462717056003</v>
      </c>
      <c r="K3" s="5" t="s">
        <v>13</v>
      </c>
      <c r="L3" s="8">
        <f t="shared" ref="L3:L66" si="0">F3-H3</f>
        <v>-163.57740909090944</v>
      </c>
    </row>
    <row r="4" spans="1:12" x14ac:dyDescent="0.25">
      <c r="A4" s="3">
        <v>3</v>
      </c>
      <c r="B4" s="3" t="s">
        <v>16</v>
      </c>
      <c r="C4" s="3" t="s">
        <v>8</v>
      </c>
      <c r="D4" s="3" t="s">
        <v>17</v>
      </c>
      <c r="E4" s="3" t="s">
        <v>10</v>
      </c>
      <c r="F4" s="4">
        <v>2929.5774999999999</v>
      </c>
      <c r="G4" s="3" t="s">
        <v>11</v>
      </c>
      <c r="H4" s="6">
        <v>3093.1549090909093</v>
      </c>
      <c r="I4" s="3" t="s">
        <v>12</v>
      </c>
      <c r="J4" s="4">
        <v>3297.4462717056003</v>
      </c>
      <c r="K4" s="5" t="s">
        <v>13</v>
      </c>
      <c r="L4" s="8">
        <f t="shared" si="0"/>
        <v>-163.57740909090944</v>
      </c>
    </row>
    <row r="5" spans="1:12" x14ac:dyDescent="0.25">
      <c r="A5" s="3">
        <v>4</v>
      </c>
      <c r="B5" s="3" t="s">
        <v>18</v>
      </c>
      <c r="C5" s="3" t="s">
        <v>8</v>
      </c>
      <c r="D5" s="3" t="s">
        <v>19</v>
      </c>
      <c r="E5" s="3" t="s">
        <v>10</v>
      </c>
      <c r="F5" s="4">
        <v>2929.5774999999999</v>
      </c>
      <c r="G5" s="3" t="s">
        <v>11</v>
      </c>
      <c r="H5" s="6">
        <v>3093.1549090909093</v>
      </c>
      <c r="I5" s="3" t="s">
        <v>12</v>
      </c>
      <c r="J5" s="4">
        <v>3551.6196938880003</v>
      </c>
      <c r="K5" s="5" t="s">
        <v>13</v>
      </c>
      <c r="L5" s="8">
        <f t="shared" si="0"/>
        <v>-163.57740909090944</v>
      </c>
    </row>
    <row r="6" spans="1:12" x14ac:dyDescent="0.25">
      <c r="A6" s="3">
        <v>5</v>
      </c>
      <c r="B6" s="3" t="s">
        <v>20</v>
      </c>
      <c r="C6" s="3" t="s">
        <v>21</v>
      </c>
      <c r="D6" s="3" t="s">
        <v>9</v>
      </c>
      <c r="E6" s="3" t="s">
        <v>10</v>
      </c>
      <c r="F6" s="4">
        <v>3402.09</v>
      </c>
      <c r="G6" s="3" t="s">
        <v>11</v>
      </c>
      <c r="H6" s="6">
        <v>3323.3003636363637</v>
      </c>
      <c r="I6" s="3" t="s">
        <v>12</v>
      </c>
      <c r="J6" s="4">
        <v>3661.7759190912002</v>
      </c>
      <c r="K6" s="5" t="s">
        <v>13</v>
      </c>
      <c r="L6" s="7">
        <f t="shared" si="0"/>
        <v>78.789636363636419</v>
      </c>
    </row>
    <row r="7" spans="1:12" x14ac:dyDescent="0.25">
      <c r="A7" s="3">
        <v>6</v>
      </c>
      <c r="B7" s="3" t="s">
        <v>22</v>
      </c>
      <c r="C7" s="3" t="s">
        <v>21</v>
      </c>
      <c r="D7" s="3" t="s">
        <v>15</v>
      </c>
      <c r="E7" s="3" t="s">
        <v>10</v>
      </c>
      <c r="F7" s="4">
        <v>3402.09</v>
      </c>
      <c r="G7" s="3" t="s">
        <v>11</v>
      </c>
      <c r="H7" s="6">
        <v>3323.3003636363637</v>
      </c>
      <c r="I7" s="3" t="s">
        <v>12</v>
      </c>
      <c r="J7" s="4">
        <v>3579.8611852416002</v>
      </c>
      <c r="K7" s="5" t="s">
        <v>13</v>
      </c>
      <c r="L7" s="7">
        <f t="shared" si="0"/>
        <v>78.789636363636419</v>
      </c>
    </row>
    <row r="8" spans="1:12" x14ac:dyDescent="0.25">
      <c r="A8" s="3">
        <v>7</v>
      </c>
      <c r="B8" s="3" t="s">
        <v>23</v>
      </c>
      <c r="C8" s="3" t="s">
        <v>21</v>
      </c>
      <c r="D8" s="3" t="s">
        <v>17</v>
      </c>
      <c r="E8" s="3" t="s">
        <v>10</v>
      </c>
      <c r="F8" s="4">
        <v>3402.09</v>
      </c>
      <c r="G8" s="3" t="s">
        <v>11</v>
      </c>
      <c r="H8" s="6">
        <v>3323.3003636363637</v>
      </c>
      <c r="I8" s="3" t="s">
        <v>24</v>
      </c>
      <c r="J8" s="4">
        <v>3762.5303212800004</v>
      </c>
      <c r="K8" s="5" t="s">
        <v>13</v>
      </c>
      <c r="L8" s="7">
        <f t="shared" si="0"/>
        <v>78.789636363636419</v>
      </c>
    </row>
    <row r="9" spans="1:12" x14ac:dyDescent="0.25">
      <c r="A9" s="3">
        <v>8</v>
      </c>
      <c r="B9" s="3" t="s">
        <v>25</v>
      </c>
      <c r="C9" s="3" t="s">
        <v>21</v>
      </c>
      <c r="D9" s="3" t="s">
        <v>19</v>
      </c>
      <c r="E9" s="3" t="s">
        <v>10</v>
      </c>
      <c r="F9" s="4">
        <v>3402.09</v>
      </c>
      <c r="G9" s="3" t="s">
        <v>11</v>
      </c>
      <c r="H9" s="6">
        <v>3323.3003636363637</v>
      </c>
      <c r="I9" s="3" t="s">
        <v>12</v>
      </c>
      <c r="J9" s="4">
        <v>4273.7049170112005</v>
      </c>
      <c r="K9" s="5" t="s">
        <v>26</v>
      </c>
      <c r="L9" s="7">
        <f t="shared" si="0"/>
        <v>78.789636363636419</v>
      </c>
    </row>
    <row r="10" spans="1:12" x14ac:dyDescent="0.25">
      <c r="A10" s="3">
        <v>9</v>
      </c>
      <c r="B10" s="3" t="s">
        <v>27</v>
      </c>
      <c r="C10" s="3" t="s">
        <v>28</v>
      </c>
      <c r="D10" s="3" t="s">
        <v>9</v>
      </c>
      <c r="E10" s="3" t="s">
        <v>10</v>
      </c>
      <c r="F10" s="4">
        <v>4082.5080000000003</v>
      </c>
      <c r="G10" s="3" t="s">
        <v>11</v>
      </c>
      <c r="H10" s="6">
        <v>3898.6640000000007</v>
      </c>
      <c r="I10" s="3" t="s">
        <v>29</v>
      </c>
      <c r="J10" s="4">
        <v>4463.1102250943995</v>
      </c>
      <c r="K10" s="5" t="s">
        <v>26</v>
      </c>
      <c r="L10" s="7">
        <f t="shared" si="0"/>
        <v>183.8439999999996</v>
      </c>
    </row>
    <row r="11" spans="1:12" x14ac:dyDescent="0.25">
      <c r="A11" s="3">
        <v>10</v>
      </c>
      <c r="B11" s="3" t="s">
        <v>30</v>
      </c>
      <c r="C11" s="3" t="s">
        <v>28</v>
      </c>
      <c r="D11" s="3" t="s">
        <v>15</v>
      </c>
      <c r="E11" s="3" t="s">
        <v>10</v>
      </c>
      <c r="F11" s="4">
        <v>4082.5080000000003</v>
      </c>
      <c r="G11" s="3" t="s">
        <v>11</v>
      </c>
      <c r="H11" s="6">
        <v>3898.6640000000007</v>
      </c>
      <c r="I11" s="3" t="s">
        <v>31</v>
      </c>
      <c r="J11" s="4">
        <v>3926.3597889792004</v>
      </c>
      <c r="K11" s="5" t="s">
        <v>26</v>
      </c>
      <c r="L11" s="7">
        <f t="shared" si="0"/>
        <v>183.8439999999996</v>
      </c>
    </row>
    <row r="12" spans="1:12" x14ac:dyDescent="0.25">
      <c r="A12" s="3">
        <v>11</v>
      </c>
      <c r="B12" s="3" t="s">
        <v>32</v>
      </c>
      <c r="C12" s="3" t="s">
        <v>28</v>
      </c>
      <c r="D12" s="3" t="s">
        <v>17</v>
      </c>
      <c r="E12" s="3" t="s">
        <v>10</v>
      </c>
      <c r="F12" s="4">
        <v>4082.5080000000003</v>
      </c>
      <c r="G12" s="3" t="s">
        <v>11</v>
      </c>
      <c r="H12" s="6">
        <v>3898.6640000000007</v>
      </c>
      <c r="I12" s="3" t="s">
        <v>12</v>
      </c>
      <c r="J12" s="4">
        <v>4392.7946751936006</v>
      </c>
      <c r="K12" s="5" t="s">
        <v>13</v>
      </c>
      <c r="L12" s="7">
        <f t="shared" si="0"/>
        <v>183.8439999999996</v>
      </c>
    </row>
    <row r="13" spans="1:12" x14ac:dyDescent="0.25">
      <c r="A13" s="3">
        <v>12</v>
      </c>
      <c r="B13" s="3" t="s">
        <v>33</v>
      </c>
      <c r="C13" s="3" t="s">
        <v>28</v>
      </c>
      <c r="D13" s="3" t="s">
        <v>19</v>
      </c>
      <c r="E13" s="3" t="s">
        <v>10</v>
      </c>
      <c r="F13" s="4">
        <v>4082.5080000000003</v>
      </c>
      <c r="G13" s="3" t="s">
        <v>11</v>
      </c>
      <c r="H13" s="6">
        <v>3898.6640000000007</v>
      </c>
      <c r="I13" s="3" t="s">
        <v>29</v>
      </c>
      <c r="J13" s="4">
        <v>4463.1102250943995</v>
      </c>
      <c r="K13" s="5" t="s">
        <v>26</v>
      </c>
      <c r="L13" s="7">
        <f t="shared" si="0"/>
        <v>183.8439999999996</v>
      </c>
    </row>
    <row r="14" spans="1:12" x14ac:dyDescent="0.25">
      <c r="A14" s="3">
        <v>13</v>
      </c>
      <c r="B14" s="3" t="s">
        <v>34</v>
      </c>
      <c r="C14" s="3" t="s">
        <v>8</v>
      </c>
      <c r="D14" s="3" t="s">
        <v>9</v>
      </c>
      <c r="E14" s="3" t="s">
        <v>10</v>
      </c>
      <c r="F14" s="4">
        <v>3496.5924999999997</v>
      </c>
      <c r="G14" s="3" t="s">
        <v>11</v>
      </c>
      <c r="H14" s="6">
        <v>3898.6640000000007</v>
      </c>
      <c r="I14" s="3" t="s">
        <v>12</v>
      </c>
      <c r="J14" s="4">
        <v>4028.4470166527999</v>
      </c>
      <c r="K14" s="5" t="s">
        <v>35</v>
      </c>
      <c r="L14" s="8">
        <f t="shared" si="0"/>
        <v>-402.07150000000092</v>
      </c>
    </row>
    <row r="15" spans="1:12" x14ac:dyDescent="0.25">
      <c r="A15" s="3">
        <v>14</v>
      </c>
      <c r="B15" s="3" t="s">
        <v>36</v>
      </c>
      <c r="C15" s="3" t="s">
        <v>8</v>
      </c>
      <c r="D15" s="3" t="s">
        <v>15</v>
      </c>
      <c r="E15" s="3" t="s">
        <v>10</v>
      </c>
      <c r="F15" s="4">
        <v>3496.5924999999997</v>
      </c>
      <c r="G15" s="3" t="s">
        <v>11</v>
      </c>
      <c r="H15" s="6">
        <v>3898.6640000000007</v>
      </c>
      <c r="I15" s="3" t="s">
        <v>12</v>
      </c>
      <c r="J15" s="4">
        <v>3928.4490829823999</v>
      </c>
      <c r="K15" s="5" t="s">
        <v>13</v>
      </c>
      <c r="L15" s="8">
        <f t="shared" si="0"/>
        <v>-402.07150000000092</v>
      </c>
    </row>
    <row r="16" spans="1:12" x14ac:dyDescent="0.25">
      <c r="A16" s="3">
        <v>15</v>
      </c>
      <c r="B16" s="3" t="s">
        <v>37</v>
      </c>
      <c r="C16" s="3" t="s">
        <v>8</v>
      </c>
      <c r="D16" s="3" t="s">
        <v>17</v>
      </c>
      <c r="E16" s="3" t="s">
        <v>10</v>
      </c>
      <c r="F16" s="4">
        <v>3496.5924999999997</v>
      </c>
      <c r="G16" s="3" t="s">
        <v>11</v>
      </c>
      <c r="H16" s="6">
        <v>3898.6640000000007</v>
      </c>
      <c r="I16" s="3" t="s">
        <v>12</v>
      </c>
      <c r="J16" s="4">
        <v>3928.4490829823999</v>
      </c>
      <c r="K16" s="5" t="s">
        <v>13</v>
      </c>
      <c r="L16" s="8">
        <f t="shared" si="0"/>
        <v>-402.07150000000092</v>
      </c>
    </row>
    <row r="17" spans="1:12" x14ac:dyDescent="0.25">
      <c r="A17" s="3">
        <v>16</v>
      </c>
      <c r="B17" s="3" t="s">
        <v>38</v>
      </c>
      <c r="C17" s="3" t="s">
        <v>8</v>
      </c>
      <c r="D17" s="3" t="s">
        <v>19</v>
      </c>
      <c r="E17" s="3" t="s">
        <v>10</v>
      </c>
      <c r="F17" s="4">
        <v>3496.5924999999997</v>
      </c>
      <c r="G17" s="3" t="s">
        <v>11</v>
      </c>
      <c r="H17" s="6">
        <v>3898.6640000000007</v>
      </c>
      <c r="I17" s="3" t="s">
        <v>12</v>
      </c>
      <c r="J17" s="4">
        <v>3928.4490829823999</v>
      </c>
      <c r="K17" s="5" t="s">
        <v>13</v>
      </c>
      <c r="L17" s="8">
        <f t="shared" si="0"/>
        <v>-402.07150000000092</v>
      </c>
    </row>
    <row r="18" spans="1:12" x14ac:dyDescent="0.25">
      <c r="A18" s="3">
        <v>17</v>
      </c>
      <c r="B18" s="3" t="s">
        <v>39</v>
      </c>
      <c r="C18" s="3" t="s">
        <v>21</v>
      </c>
      <c r="D18" s="3" t="s">
        <v>9</v>
      </c>
      <c r="E18" s="3" t="s">
        <v>10</v>
      </c>
      <c r="F18" s="4">
        <v>3969.105</v>
      </c>
      <c r="G18" s="3" t="s">
        <v>11</v>
      </c>
      <c r="H18" s="6">
        <v>4135.7138181818182</v>
      </c>
      <c r="I18" s="3" t="s">
        <v>12</v>
      </c>
      <c r="J18" s="4">
        <v>4295.9847159935998</v>
      </c>
      <c r="K18" s="5" t="s">
        <v>13</v>
      </c>
      <c r="L18" s="8">
        <f t="shared" si="0"/>
        <v>-166.60881818181815</v>
      </c>
    </row>
    <row r="19" spans="1:12" x14ac:dyDescent="0.25">
      <c r="A19" s="3">
        <v>18</v>
      </c>
      <c r="B19" s="3" t="s">
        <v>40</v>
      </c>
      <c r="C19" s="3" t="s">
        <v>21</v>
      </c>
      <c r="D19" s="3" t="s">
        <v>15</v>
      </c>
      <c r="E19" s="3" t="s">
        <v>10</v>
      </c>
      <c r="F19" s="4">
        <v>3969.105</v>
      </c>
      <c r="G19" s="3" t="s">
        <v>11</v>
      </c>
      <c r="H19" s="4">
        <v>4135.7138181818182</v>
      </c>
      <c r="I19" s="3" t="s">
        <v>12</v>
      </c>
      <c r="J19" s="6">
        <v>3923.7301603200008</v>
      </c>
      <c r="K19" s="5" t="s">
        <v>13</v>
      </c>
      <c r="L19" s="7">
        <f>F19-J19</f>
        <v>45.374839679999241</v>
      </c>
    </row>
    <row r="20" spans="1:12" x14ac:dyDescent="0.25">
      <c r="A20" s="3">
        <v>19</v>
      </c>
      <c r="B20" s="3" t="s">
        <v>41</v>
      </c>
      <c r="C20" s="3" t="s">
        <v>21</v>
      </c>
      <c r="D20" s="3" t="s">
        <v>17</v>
      </c>
      <c r="E20" s="3" t="s">
        <v>10</v>
      </c>
      <c r="F20" s="4">
        <v>3969.105</v>
      </c>
      <c r="G20" s="3" t="s">
        <v>11</v>
      </c>
      <c r="H20" s="6">
        <v>4135.7138181818182</v>
      </c>
      <c r="I20" s="3" t="s">
        <v>12</v>
      </c>
      <c r="J20" s="4">
        <v>4392.7946751936006</v>
      </c>
      <c r="K20" s="5" t="s">
        <v>13</v>
      </c>
      <c r="L20" s="8">
        <f t="shared" si="0"/>
        <v>-166.60881818181815</v>
      </c>
    </row>
    <row r="21" spans="1:12" x14ac:dyDescent="0.25">
      <c r="A21" s="3">
        <v>20</v>
      </c>
      <c r="B21" s="3" t="s">
        <v>42</v>
      </c>
      <c r="C21" s="3" t="s">
        <v>21</v>
      </c>
      <c r="D21" s="3" t="s">
        <v>19</v>
      </c>
      <c r="E21" s="3" t="s">
        <v>10</v>
      </c>
      <c r="F21" s="4">
        <v>3969.105</v>
      </c>
      <c r="G21" s="3" t="s">
        <v>11</v>
      </c>
      <c r="H21" s="6">
        <v>2869.9138181818184</v>
      </c>
      <c r="I21" s="3" t="s">
        <v>12</v>
      </c>
      <c r="J21" s="4">
        <v>5148.5247362303999</v>
      </c>
      <c r="K21" s="5" t="s">
        <v>13</v>
      </c>
      <c r="L21" s="7">
        <f t="shared" si="0"/>
        <v>1099.1911818181816</v>
      </c>
    </row>
    <row r="22" spans="1:12" x14ac:dyDescent="0.25">
      <c r="A22" s="3">
        <v>21</v>
      </c>
      <c r="B22" s="3" t="s">
        <v>43</v>
      </c>
      <c r="C22" s="3" t="s">
        <v>28</v>
      </c>
      <c r="D22" s="3" t="s">
        <v>9</v>
      </c>
      <c r="E22" s="3" t="s">
        <v>10</v>
      </c>
      <c r="F22" s="4">
        <v>4536.12</v>
      </c>
      <c r="G22" s="3" t="s">
        <v>11</v>
      </c>
      <c r="H22" s="6">
        <v>4474.0276363636367</v>
      </c>
      <c r="I22" s="3" t="s">
        <v>12</v>
      </c>
      <c r="J22" s="4">
        <v>5126.1548814720009</v>
      </c>
      <c r="K22" s="5" t="s">
        <v>13</v>
      </c>
      <c r="L22" s="7">
        <f t="shared" si="0"/>
        <v>62.092363636363189</v>
      </c>
    </row>
    <row r="23" spans="1:12" x14ac:dyDescent="0.25">
      <c r="A23" s="3">
        <v>22</v>
      </c>
      <c r="B23" s="3" t="s">
        <v>44</v>
      </c>
      <c r="C23" s="3" t="s">
        <v>28</v>
      </c>
      <c r="D23" s="3" t="s">
        <v>15</v>
      </c>
      <c r="E23" s="3" t="s">
        <v>10</v>
      </c>
      <c r="F23" s="4">
        <v>4536.12</v>
      </c>
      <c r="G23" s="3" t="s">
        <v>11</v>
      </c>
      <c r="H23" s="6">
        <v>3215.1320000000001</v>
      </c>
      <c r="I23" s="3" t="s">
        <v>29</v>
      </c>
      <c r="J23" s="4">
        <v>4911.5879895744001</v>
      </c>
      <c r="K23" s="5" t="s">
        <v>26</v>
      </c>
      <c r="L23" s="7">
        <f t="shared" si="0"/>
        <v>1320.9879999999998</v>
      </c>
    </row>
    <row r="24" spans="1:12" x14ac:dyDescent="0.25">
      <c r="A24" s="3">
        <v>23</v>
      </c>
      <c r="B24" s="3" t="s">
        <v>45</v>
      </c>
      <c r="C24" s="3" t="s">
        <v>28</v>
      </c>
      <c r="D24" s="3" t="s">
        <v>17</v>
      </c>
      <c r="E24" s="3" t="s">
        <v>10</v>
      </c>
      <c r="F24" s="4">
        <v>4536.12</v>
      </c>
      <c r="G24" s="3" t="s">
        <v>11</v>
      </c>
      <c r="H24" s="6">
        <v>4474.0276363636367</v>
      </c>
      <c r="I24" s="3" t="s">
        <v>29</v>
      </c>
      <c r="J24" s="4">
        <v>4911.5879895744001</v>
      </c>
      <c r="K24" s="5" t="s">
        <v>26</v>
      </c>
      <c r="L24" s="7">
        <f t="shared" si="0"/>
        <v>62.092363636363189</v>
      </c>
    </row>
    <row r="25" spans="1:12" x14ac:dyDescent="0.25">
      <c r="A25" s="3">
        <v>24</v>
      </c>
      <c r="B25" s="3" t="s">
        <v>46</v>
      </c>
      <c r="C25" s="3" t="s">
        <v>28</v>
      </c>
      <c r="D25" s="3" t="s">
        <v>19</v>
      </c>
      <c r="E25" s="3" t="s">
        <v>10</v>
      </c>
      <c r="F25" s="4">
        <v>4536.12</v>
      </c>
      <c r="G25" s="3" t="s">
        <v>11</v>
      </c>
      <c r="H25" s="6">
        <v>4135.7138181818182</v>
      </c>
      <c r="I25" s="3" t="s">
        <v>29</v>
      </c>
      <c r="J25" s="4">
        <v>4911.5879895744001</v>
      </c>
      <c r="K25" s="5" t="s">
        <v>26</v>
      </c>
      <c r="L25" s="7">
        <f t="shared" si="0"/>
        <v>400.40618181818172</v>
      </c>
    </row>
    <row r="26" spans="1:12" x14ac:dyDescent="0.25">
      <c r="A26" s="3">
        <v>25</v>
      </c>
      <c r="B26" s="3" t="s">
        <v>47</v>
      </c>
      <c r="C26" s="3" t="s">
        <v>21</v>
      </c>
      <c r="D26" s="3" t="s">
        <v>48</v>
      </c>
      <c r="E26" s="3" t="s">
        <v>10</v>
      </c>
      <c r="F26" s="4">
        <v>5235.4384999999993</v>
      </c>
      <c r="G26" s="3" t="s">
        <v>11</v>
      </c>
      <c r="H26" s="6">
        <v>4365.8592727272726</v>
      </c>
      <c r="I26" s="3" t="s">
        <v>49</v>
      </c>
      <c r="J26" s="4">
        <v>5131.3781164800002</v>
      </c>
      <c r="K26" s="5" t="s">
        <v>13</v>
      </c>
      <c r="L26" s="7">
        <f t="shared" si="0"/>
        <v>869.57922727272671</v>
      </c>
    </row>
    <row r="27" spans="1:12" x14ac:dyDescent="0.25">
      <c r="A27" s="3">
        <v>26</v>
      </c>
      <c r="B27" s="3" t="s">
        <v>50</v>
      </c>
      <c r="C27" s="3" t="s">
        <v>21</v>
      </c>
      <c r="D27" s="3" t="s">
        <v>15</v>
      </c>
      <c r="E27" s="3" t="s">
        <v>10</v>
      </c>
      <c r="F27" s="4">
        <v>5235.4384999999993</v>
      </c>
      <c r="G27" s="3" t="s">
        <v>51</v>
      </c>
      <c r="H27" s="4">
        <v>5060.8985454545455</v>
      </c>
      <c r="I27" s="3" t="s">
        <v>49</v>
      </c>
      <c r="J27" s="6">
        <v>4861.2107884800007</v>
      </c>
      <c r="K27" s="5" t="s">
        <v>35</v>
      </c>
      <c r="L27" s="7">
        <f>F27-J27</f>
        <v>374.22771151999859</v>
      </c>
    </row>
    <row r="28" spans="1:12" x14ac:dyDescent="0.25">
      <c r="A28" s="3">
        <v>27</v>
      </c>
      <c r="B28" s="3" t="s">
        <v>52</v>
      </c>
      <c r="C28" s="3" t="s">
        <v>53</v>
      </c>
      <c r="D28" s="3" t="s">
        <v>48</v>
      </c>
      <c r="E28" s="3" t="s">
        <v>10</v>
      </c>
      <c r="F28" s="4">
        <v>5594.5479999999998</v>
      </c>
      <c r="G28" s="3" t="s">
        <v>54</v>
      </c>
      <c r="H28" s="6">
        <v>5521.1894545454543</v>
      </c>
      <c r="I28" s="3" t="s">
        <v>55</v>
      </c>
      <c r="J28" s="4">
        <v>6804.6144345600005</v>
      </c>
      <c r="K28" s="3"/>
      <c r="L28" s="7">
        <f t="shared" si="0"/>
        <v>73.358545454545492</v>
      </c>
    </row>
    <row r="29" spans="1:12" x14ac:dyDescent="0.25">
      <c r="A29" s="3">
        <v>28</v>
      </c>
      <c r="B29" s="3" t="s">
        <v>56</v>
      </c>
      <c r="C29" s="3" t="s">
        <v>53</v>
      </c>
      <c r="D29" s="3" t="s">
        <v>15</v>
      </c>
      <c r="E29" s="3" t="s">
        <v>10</v>
      </c>
      <c r="F29" s="4">
        <v>5594.5479999999998</v>
      </c>
      <c r="G29" s="3" t="s">
        <v>54</v>
      </c>
      <c r="H29" s="6">
        <v>5521.1894545454543</v>
      </c>
      <c r="I29" s="3" t="s">
        <v>55</v>
      </c>
      <c r="J29" s="4">
        <v>6804.6144345600005</v>
      </c>
      <c r="K29" s="3"/>
      <c r="L29" s="7">
        <f t="shared" si="0"/>
        <v>73.358545454545492</v>
      </c>
    </row>
    <row r="30" spans="1:12" x14ac:dyDescent="0.25">
      <c r="A30" s="3">
        <v>29</v>
      </c>
      <c r="B30" s="3" t="s">
        <v>57</v>
      </c>
      <c r="C30" s="3" t="s">
        <v>58</v>
      </c>
      <c r="D30" s="3" t="s">
        <v>48</v>
      </c>
      <c r="E30" s="3" t="s">
        <v>10</v>
      </c>
      <c r="F30" s="4">
        <v>6331.6674999999996</v>
      </c>
      <c r="G30" s="3" t="s">
        <v>59</v>
      </c>
      <c r="H30" s="6">
        <v>6437.1683636363641</v>
      </c>
      <c r="I30" s="3" t="s">
        <v>29</v>
      </c>
      <c r="J30" s="4">
        <v>7742.995620480001</v>
      </c>
      <c r="K30" s="3"/>
      <c r="L30" s="8">
        <f t="shared" si="0"/>
        <v>-105.50086363636456</v>
      </c>
    </row>
    <row r="31" spans="1:12" x14ac:dyDescent="0.25">
      <c r="A31" s="3">
        <v>30</v>
      </c>
      <c r="B31" s="3" t="s">
        <v>60</v>
      </c>
      <c r="C31" s="3" t="s">
        <v>58</v>
      </c>
      <c r="D31" s="3" t="s">
        <v>15</v>
      </c>
      <c r="E31" s="3" t="s">
        <v>10</v>
      </c>
      <c r="F31" s="4">
        <v>6331.6674999999996</v>
      </c>
      <c r="G31" s="3" t="s">
        <v>59</v>
      </c>
      <c r="H31" s="6">
        <v>6437.1683636363641</v>
      </c>
      <c r="I31" s="3" t="s">
        <v>29</v>
      </c>
      <c r="J31" s="4">
        <v>7742.995620480001</v>
      </c>
      <c r="K31" s="3"/>
      <c r="L31" s="8">
        <f t="shared" si="0"/>
        <v>-105.50086363636456</v>
      </c>
    </row>
    <row r="32" spans="1:12" x14ac:dyDescent="0.25">
      <c r="A32" s="3">
        <v>31</v>
      </c>
      <c r="B32" s="3" t="s">
        <v>61</v>
      </c>
      <c r="C32" s="3" t="s">
        <v>21</v>
      </c>
      <c r="D32" s="3" t="s">
        <v>48</v>
      </c>
      <c r="E32" s="3" t="s">
        <v>10</v>
      </c>
      <c r="F32" s="4">
        <v>4536.12</v>
      </c>
      <c r="G32" s="3" t="s">
        <v>62</v>
      </c>
      <c r="H32" s="6">
        <v>4365.8592727272726</v>
      </c>
      <c r="I32" s="3" t="s">
        <v>12</v>
      </c>
      <c r="J32" s="4">
        <v>4871.3330577024008</v>
      </c>
      <c r="K32" s="5" t="s">
        <v>35</v>
      </c>
      <c r="L32" s="7">
        <f t="shared" si="0"/>
        <v>170.26072727272731</v>
      </c>
    </row>
    <row r="33" spans="1:12" x14ac:dyDescent="0.25">
      <c r="A33" s="3">
        <v>32</v>
      </c>
      <c r="B33" s="3" t="s">
        <v>63</v>
      </c>
      <c r="C33" s="3" t="s">
        <v>21</v>
      </c>
      <c r="D33" s="3" t="s">
        <v>15</v>
      </c>
      <c r="E33" s="3" t="s">
        <v>10</v>
      </c>
      <c r="F33" s="4">
        <v>4536.12</v>
      </c>
      <c r="G33" s="3" t="s">
        <v>59</v>
      </c>
      <c r="H33" s="6">
        <v>4589.1003636363639</v>
      </c>
      <c r="I33" s="3" t="s">
        <v>12</v>
      </c>
      <c r="J33" s="4">
        <v>4871.3330577024008</v>
      </c>
      <c r="K33" s="5" t="s">
        <v>35</v>
      </c>
      <c r="L33" s="8">
        <f t="shared" si="0"/>
        <v>-52.980363636364018</v>
      </c>
    </row>
    <row r="34" spans="1:12" x14ac:dyDescent="0.25">
      <c r="A34" s="3">
        <v>33</v>
      </c>
      <c r="B34" s="3" t="s">
        <v>64</v>
      </c>
      <c r="C34" s="3" t="s">
        <v>53</v>
      </c>
      <c r="D34" s="3" t="s">
        <v>48</v>
      </c>
      <c r="E34" s="3" t="s">
        <v>10</v>
      </c>
      <c r="F34" s="4">
        <v>4914.13</v>
      </c>
      <c r="G34" s="3" t="s">
        <v>62</v>
      </c>
      <c r="H34" s="6">
        <v>6441.7712727272728</v>
      </c>
      <c r="I34" s="3" t="s">
        <v>55</v>
      </c>
      <c r="J34" s="4">
        <v>6804.6144345600005</v>
      </c>
      <c r="K34" s="3"/>
      <c r="L34" s="8">
        <f t="shared" si="0"/>
        <v>-1527.6412727272727</v>
      </c>
    </row>
    <row r="35" spans="1:12" x14ac:dyDescent="0.25">
      <c r="A35" s="3">
        <v>34</v>
      </c>
      <c r="B35" s="3" t="s">
        <v>65</v>
      </c>
      <c r="C35" s="3" t="s">
        <v>53</v>
      </c>
      <c r="D35" s="3" t="s">
        <v>15</v>
      </c>
      <c r="E35" s="3" t="s">
        <v>10</v>
      </c>
      <c r="F35" s="4">
        <v>4914.13</v>
      </c>
      <c r="G35" s="3" t="s">
        <v>59</v>
      </c>
      <c r="H35" s="6">
        <v>5049.3912727272727</v>
      </c>
      <c r="I35" s="3" t="s">
        <v>55</v>
      </c>
      <c r="J35" s="4">
        <v>6804.6144345600005</v>
      </c>
      <c r="K35" s="5" t="s">
        <v>26</v>
      </c>
      <c r="L35" s="8">
        <f t="shared" si="0"/>
        <v>-135.26127272727263</v>
      </c>
    </row>
    <row r="36" spans="1:12" x14ac:dyDescent="0.25">
      <c r="A36" s="3">
        <v>35</v>
      </c>
      <c r="B36" s="3" t="s">
        <v>66</v>
      </c>
      <c r="C36" s="3" t="s">
        <v>58</v>
      </c>
      <c r="D36" s="3" t="s">
        <v>48</v>
      </c>
      <c r="E36" s="3" t="s">
        <v>10</v>
      </c>
      <c r="F36" s="4">
        <v>5292.14</v>
      </c>
      <c r="G36" s="3" t="s">
        <v>67</v>
      </c>
      <c r="H36" s="6">
        <v>6902.0621818181817</v>
      </c>
      <c r="I36" s="3" t="s">
        <v>55</v>
      </c>
      <c r="J36" s="4">
        <v>7195.4565024000012</v>
      </c>
      <c r="K36" s="5" t="s">
        <v>26</v>
      </c>
      <c r="L36" s="8">
        <f t="shared" si="0"/>
        <v>-1609.9221818181813</v>
      </c>
    </row>
    <row r="37" spans="1:12" x14ac:dyDescent="0.25">
      <c r="A37" s="3">
        <v>36</v>
      </c>
      <c r="B37" s="3" t="s">
        <v>68</v>
      </c>
      <c r="C37" s="3" t="s">
        <v>58</v>
      </c>
      <c r="D37" s="3" t="s">
        <v>15</v>
      </c>
      <c r="E37" s="3" t="s">
        <v>10</v>
      </c>
      <c r="F37" s="4">
        <v>5292.14</v>
      </c>
      <c r="G37" s="3" t="s">
        <v>51</v>
      </c>
      <c r="H37" s="4">
        <v>7362.3530909090914</v>
      </c>
      <c r="I37" s="3" t="s">
        <v>49</v>
      </c>
      <c r="J37" s="6">
        <v>6462.4024857600007</v>
      </c>
      <c r="K37" s="5" t="s">
        <v>35</v>
      </c>
      <c r="L37" s="8">
        <f>F37-J37</f>
        <v>-1170.2624857600003</v>
      </c>
    </row>
    <row r="38" spans="1:12" x14ac:dyDescent="0.25">
      <c r="A38" s="3">
        <v>37</v>
      </c>
      <c r="B38" s="3" t="s">
        <v>69</v>
      </c>
      <c r="C38" s="3" t="s">
        <v>28</v>
      </c>
      <c r="D38" s="3" t="s">
        <v>48</v>
      </c>
      <c r="E38" s="3" t="s">
        <v>10</v>
      </c>
      <c r="F38" s="4">
        <v>6048.16</v>
      </c>
      <c r="G38" s="3" t="s">
        <v>62</v>
      </c>
      <c r="H38" s="6">
        <v>5746.732</v>
      </c>
      <c r="I38" s="3" t="s">
        <v>24</v>
      </c>
      <c r="J38" s="4">
        <v>6590.2816876800007</v>
      </c>
      <c r="K38" s="3"/>
      <c r="L38" s="7">
        <f t="shared" si="0"/>
        <v>301.42799999999988</v>
      </c>
    </row>
    <row r="39" spans="1:12" x14ac:dyDescent="0.25">
      <c r="A39" s="3">
        <v>38</v>
      </c>
      <c r="B39" s="3" t="s">
        <v>70</v>
      </c>
      <c r="C39" s="3" t="s">
        <v>28</v>
      </c>
      <c r="D39" s="3" t="s">
        <v>15</v>
      </c>
      <c r="E39" s="3" t="s">
        <v>10</v>
      </c>
      <c r="F39" s="4">
        <v>6048.16</v>
      </c>
      <c r="G39" s="3" t="s">
        <v>11</v>
      </c>
      <c r="H39" s="6">
        <v>5746.732</v>
      </c>
      <c r="I39" s="3" t="s">
        <v>24</v>
      </c>
      <c r="J39" s="4">
        <v>7184.6498092800011</v>
      </c>
      <c r="K39" s="3"/>
      <c r="L39" s="7">
        <f t="shared" si="0"/>
        <v>301.42799999999988</v>
      </c>
    </row>
    <row r="40" spans="1:12" x14ac:dyDescent="0.25">
      <c r="A40" s="3">
        <v>39</v>
      </c>
      <c r="B40" s="3" t="s">
        <v>72</v>
      </c>
      <c r="C40" s="3" t="s">
        <v>73</v>
      </c>
      <c r="D40" s="3" t="s">
        <v>48</v>
      </c>
      <c r="E40" s="3" t="s">
        <v>10</v>
      </c>
      <c r="F40" s="4">
        <v>8694.23</v>
      </c>
      <c r="G40" s="3" t="s">
        <v>51</v>
      </c>
      <c r="H40" s="6">
        <v>9203.5167272727267</v>
      </c>
      <c r="I40" s="3" t="s">
        <v>71</v>
      </c>
      <c r="J40" s="4">
        <v>0</v>
      </c>
      <c r="K40" s="3"/>
      <c r="L40" s="8">
        <f t="shared" si="0"/>
        <v>-509.28672727272715</v>
      </c>
    </row>
    <row r="41" spans="1:12" x14ac:dyDescent="0.25">
      <c r="A41" s="3">
        <v>40</v>
      </c>
      <c r="B41" s="3" t="s">
        <v>74</v>
      </c>
      <c r="C41" s="3" t="s">
        <v>73</v>
      </c>
      <c r="D41" s="3" t="s">
        <v>15</v>
      </c>
      <c r="E41" s="3" t="s">
        <v>10</v>
      </c>
      <c r="F41" s="4">
        <v>8694.23</v>
      </c>
      <c r="G41" s="3" t="s">
        <v>59</v>
      </c>
      <c r="H41" s="6">
        <v>10964.129454545455</v>
      </c>
      <c r="I41" s="3" t="s">
        <v>71</v>
      </c>
      <c r="J41" s="4">
        <v>0</v>
      </c>
      <c r="K41" s="5" t="s">
        <v>26</v>
      </c>
      <c r="L41" s="8">
        <f t="shared" si="0"/>
        <v>-2269.8994545454552</v>
      </c>
    </row>
    <row r="42" spans="1:12" x14ac:dyDescent="0.25">
      <c r="A42" s="3">
        <v>41</v>
      </c>
      <c r="B42" s="3" t="s">
        <v>75</v>
      </c>
      <c r="C42" s="3" t="s">
        <v>28</v>
      </c>
      <c r="D42" s="3" t="s">
        <v>48</v>
      </c>
      <c r="E42" s="3" t="s">
        <v>10</v>
      </c>
      <c r="F42" s="4">
        <v>6993.1849999999995</v>
      </c>
      <c r="G42" s="3" t="s">
        <v>11</v>
      </c>
      <c r="H42" s="6">
        <v>6897.4592727272729</v>
      </c>
      <c r="I42" s="3" t="s">
        <v>49</v>
      </c>
      <c r="J42" s="4">
        <v>8283.330276480001</v>
      </c>
      <c r="K42" s="5" t="s">
        <v>26</v>
      </c>
      <c r="L42" s="7">
        <f t="shared" si="0"/>
        <v>95.725727272726544</v>
      </c>
    </row>
    <row r="43" spans="1:12" x14ac:dyDescent="0.25">
      <c r="A43" s="3">
        <v>42</v>
      </c>
      <c r="B43" s="3" t="s">
        <v>76</v>
      </c>
      <c r="C43" s="3" t="s">
        <v>28</v>
      </c>
      <c r="D43" s="3" t="s">
        <v>15</v>
      </c>
      <c r="E43" s="3" t="s">
        <v>10</v>
      </c>
      <c r="F43" s="4">
        <v>6993.1849999999995</v>
      </c>
      <c r="G43" s="3" t="s">
        <v>11</v>
      </c>
      <c r="H43" s="6">
        <v>6897.4592727272729</v>
      </c>
      <c r="I43" s="3" t="s">
        <v>49</v>
      </c>
      <c r="J43" s="4">
        <v>8283.330276480001</v>
      </c>
      <c r="K43" s="5" t="s">
        <v>26</v>
      </c>
      <c r="L43" s="7">
        <f t="shared" si="0"/>
        <v>95.725727272726544</v>
      </c>
    </row>
    <row r="44" spans="1:12" x14ac:dyDescent="0.25">
      <c r="A44" s="3">
        <v>43</v>
      </c>
      <c r="B44" s="3" t="s">
        <v>77</v>
      </c>
      <c r="C44" s="3" t="s">
        <v>78</v>
      </c>
      <c r="D44" s="3" t="s">
        <v>48</v>
      </c>
      <c r="E44" s="3" t="s">
        <v>10</v>
      </c>
      <c r="F44" s="4">
        <v>8316.2199999999993</v>
      </c>
      <c r="G44" s="3" t="s">
        <v>11</v>
      </c>
      <c r="H44" s="6">
        <v>8278.3320000000003</v>
      </c>
      <c r="I44" s="3" t="s">
        <v>24</v>
      </c>
      <c r="J44" s="4">
        <v>10624.780452480001</v>
      </c>
      <c r="K44" s="3"/>
      <c r="L44" s="7">
        <f t="shared" si="0"/>
        <v>37.88799999999901</v>
      </c>
    </row>
    <row r="45" spans="1:12" x14ac:dyDescent="0.25">
      <c r="A45" s="3">
        <v>44</v>
      </c>
      <c r="B45" s="3" t="s">
        <v>79</v>
      </c>
      <c r="C45" s="3" t="s">
        <v>78</v>
      </c>
      <c r="D45" s="3" t="s">
        <v>15</v>
      </c>
      <c r="E45" s="3" t="s">
        <v>10</v>
      </c>
      <c r="F45" s="4">
        <v>8316.2199999999993</v>
      </c>
      <c r="G45" s="3" t="s">
        <v>51</v>
      </c>
      <c r="H45" s="6">
        <v>8467.0512727272726</v>
      </c>
      <c r="I45" s="3" t="s">
        <v>71</v>
      </c>
      <c r="J45" s="4">
        <v>0</v>
      </c>
      <c r="K45" s="3"/>
      <c r="L45" s="8">
        <f t="shared" si="0"/>
        <v>-150.83127272727324</v>
      </c>
    </row>
    <row r="46" spans="1:12" x14ac:dyDescent="0.25">
      <c r="A46" s="3">
        <v>45</v>
      </c>
      <c r="B46" s="3" t="s">
        <v>80</v>
      </c>
      <c r="C46" s="3" t="s">
        <v>73</v>
      </c>
      <c r="D46" s="3" t="s">
        <v>48</v>
      </c>
      <c r="E46" s="3" t="s">
        <v>10</v>
      </c>
      <c r="F46" s="4">
        <v>9639.2549999999992</v>
      </c>
      <c r="G46" s="3" t="s">
        <v>51</v>
      </c>
      <c r="H46" s="6">
        <v>10492.331272727273</v>
      </c>
      <c r="I46" s="3" t="s">
        <v>71</v>
      </c>
      <c r="J46" s="4">
        <v>0</v>
      </c>
      <c r="K46" s="3"/>
      <c r="L46" s="8">
        <f t="shared" si="0"/>
        <v>-853.07627272727404</v>
      </c>
    </row>
    <row r="47" spans="1:12" x14ac:dyDescent="0.25">
      <c r="A47" s="3">
        <v>46</v>
      </c>
      <c r="B47" s="3" t="s">
        <v>81</v>
      </c>
      <c r="C47" s="3" t="s">
        <v>73</v>
      </c>
      <c r="D47" s="3" t="s">
        <v>15</v>
      </c>
      <c r="E47" s="3" t="s">
        <v>10</v>
      </c>
      <c r="F47" s="4">
        <v>9639.2549999999992</v>
      </c>
      <c r="G47" s="3" t="s">
        <v>51</v>
      </c>
      <c r="H47" s="6">
        <v>10492.331272727273</v>
      </c>
      <c r="I47" s="3" t="s">
        <v>24</v>
      </c>
      <c r="J47" s="4">
        <v>11784.716858515201</v>
      </c>
      <c r="K47" s="3"/>
      <c r="L47" s="8">
        <f t="shared" si="0"/>
        <v>-853.07627272727404</v>
      </c>
    </row>
    <row r="48" spans="1:12" x14ac:dyDescent="0.25">
      <c r="A48" s="3">
        <v>47</v>
      </c>
      <c r="B48" s="3" t="s">
        <v>82</v>
      </c>
      <c r="C48" s="3" t="s">
        <v>83</v>
      </c>
      <c r="D48" s="3" t="s">
        <v>48</v>
      </c>
      <c r="E48" s="3" t="s">
        <v>10</v>
      </c>
      <c r="F48" s="4">
        <v>10395.275</v>
      </c>
      <c r="G48" s="3" t="s">
        <v>51</v>
      </c>
      <c r="H48" s="6">
        <v>11965.262181818183</v>
      </c>
      <c r="I48" s="3" t="s">
        <v>24</v>
      </c>
      <c r="J48" s="4">
        <v>14227.01149248</v>
      </c>
      <c r="K48" s="3"/>
      <c r="L48" s="8">
        <f t="shared" si="0"/>
        <v>-1569.9871818181837</v>
      </c>
    </row>
    <row r="49" spans="1:12" x14ac:dyDescent="0.25">
      <c r="A49" s="3">
        <v>48</v>
      </c>
      <c r="B49" s="3" t="s">
        <v>84</v>
      </c>
      <c r="C49" s="3" t="s">
        <v>83</v>
      </c>
      <c r="D49" s="3" t="s">
        <v>15</v>
      </c>
      <c r="E49" s="3" t="s">
        <v>10</v>
      </c>
      <c r="F49" s="4">
        <v>10395.275</v>
      </c>
      <c r="G49" s="3" t="s">
        <v>59</v>
      </c>
      <c r="H49" s="6">
        <v>13449.700363636364</v>
      </c>
      <c r="I49" s="3" t="s">
        <v>71</v>
      </c>
      <c r="J49" s="4">
        <v>0</v>
      </c>
      <c r="K49" s="5" t="s">
        <v>26</v>
      </c>
      <c r="L49" s="8">
        <f t="shared" si="0"/>
        <v>-3054.4253636363646</v>
      </c>
    </row>
    <row r="50" spans="1:12" x14ac:dyDescent="0.25">
      <c r="A50" s="3">
        <v>49</v>
      </c>
      <c r="B50" s="3" t="s">
        <v>85</v>
      </c>
      <c r="C50" s="3" t="s">
        <v>86</v>
      </c>
      <c r="D50" s="3" t="s">
        <v>15</v>
      </c>
      <c r="E50" s="3" t="s">
        <v>10</v>
      </c>
      <c r="F50" s="4">
        <v>1927.8509999999999</v>
      </c>
      <c r="G50" s="3" t="s">
        <v>87</v>
      </c>
      <c r="H50" s="6">
        <v>1956.2133490909091</v>
      </c>
      <c r="I50" s="3" t="s">
        <v>24</v>
      </c>
      <c r="J50" s="4">
        <v>2429.7048364800003</v>
      </c>
      <c r="K50" s="5" t="s">
        <v>35</v>
      </c>
      <c r="L50" s="8">
        <f t="shared" si="0"/>
        <v>-28.36234909090922</v>
      </c>
    </row>
    <row r="51" spans="1:12" x14ac:dyDescent="0.25">
      <c r="A51" s="3">
        <v>50</v>
      </c>
      <c r="B51" s="3" t="s">
        <v>88</v>
      </c>
      <c r="C51" s="3" t="s">
        <v>86</v>
      </c>
      <c r="D51" s="3" t="s">
        <v>89</v>
      </c>
      <c r="E51" s="3" t="s">
        <v>10</v>
      </c>
      <c r="F51" s="4">
        <v>1965.652</v>
      </c>
      <c r="G51" s="3" t="s">
        <v>87</v>
      </c>
      <c r="H51" s="6">
        <v>1956.2133490909091</v>
      </c>
      <c r="I51" s="3" t="s">
        <v>24</v>
      </c>
      <c r="J51" s="4">
        <v>2429.7048364800003</v>
      </c>
      <c r="K51" s="3"/>
      <c r="L51" s="7">
        <f t="shared" si="0"/>
        <v>9.4386509090909385</v>
      </c>
    </row>
    <row r="52" spans="1:12" x14ac:dyDescent="0.25">
      <c r="A52" s="3">
        <v>51</v>
      </c>
      <c r="B52" s="3" t="s">
        <v>90</v>
      </c>
      <c r="C52" s="3" t="s">
        <v>86</v>
      </c>
      <c r="D52" s="3" t="s">
        <v>91</v>
      </c>
      <c r="E52" s="3" t="s">
        <v>10</v>
      </c>
      <c r="F52" s="4">
        <v>1965.652</v>
      </c>
      <c r="G52" s="3" t="s">
        <v>87</v>
      </c>
      <c r="H52" s="6">
        <v>1956.2133490909091</v>
      </c>
      <c r="I52" s="3" t="s">
        <v>24</v>
      </c>
      <c r="J52" s="4">
        <v>2429.7048364800003</v>
      </c>
      <c r="K52" s="3"/>
      <c r="L52" s="7">
        <f t="shared" si="0"/>
        <v>9.4386509090909385</v>
      </c>
    </row>
    <row r="53" spans="1:12" x14ac:dyDescent="0.25">
      <c r="A53" s="3">
        <v>52</v>
      </c>
      <c r="B53" s="3" t="s">
        <v>92</v>
      </c>
      <c r="C53" s="3" t="s">
        <v>86</v>
      </c>
      <c r="D53" s="3" t="s">
        <v>93</v>
      </c>
      <c r="E53" s="3" t="s">
        <v>10</v>
      </c>
      <c r="F53" s="4">
        <v>1927.8509999999999</v>
      </c>
      <c r="G53" s="3" t="s">
        <v>87</v>
      </c>
      <c r="H53" s="6">
        <v>1956.2133490909091</v>
      </c>
      <c r="I53" s="3" t="s">
        <v>55</v>
      </c>
      <c r="J53" s="4">
        <v>2301.8256345600003</v>
      </c>
      <c r="K53" s="3"/>
      <c r="L53" s="8">
        <f t="shared" si="0"/>
        <v>-28.36234909090922</v>
      </c>
    </row>
    <row r="54" spans="1:12" x14ac:dyDescent="0.25">
      <c r="A54" s="3">
        <v>53</v>
      </c>
      <c r="B54" s="3" t="s">
        <v>94</v>
      </c>
      <c r="C54" s="3" t="s">
        <v>95</v>
      </c>
      <c r="D54" s="3" t="s">
        <v>15</v>
      </c>
      <c r="E54" s="3" t="s">
        <v>10</v>
      </c>
      <c r="F54" s="4">
        <v>2268.06</v>
      </c>
      <c r="G54" s="3" t="s">
        <v>87</v>
      </c>
      <c r="H54" s="6">
        <v>2416.5042581818184</v>
      </c>
      <c r="I54" s="3" t="s">
        <v>24</v>
      </c>
      <c r="J54" s="4">
        <v>2771.9167852800001</v>
      </c>
      <c r="K54" s="3"/>
      <c r="L54" s="8">
        <f t="shared" si="0"/>
        <v>-148.44425818181844</v>
      </c>
    </row>
    <row r="55" spans="1:12" x14ac:dyDescent="0.25">
      <c r="A55" s="3">
        <v>54</v>
      </c>
      <c r="B55" s="3" t="s">
        <v>96</v>
      </c>
      <c r="C55" s="3" t="s">
        <v>95</v>
      </c>
      <c r="D55" s="3" t="s">
        <v>89</v>
      </c>
      <c r="E55" s="3" t="s">
        <v>10</v>
      </c>
      <c r="F55" s="4">
        <v>2381.4629999999997</v>
      </c>
      <c r="G55" s="3" t="s">
        <v>87</v>
      </c>
      <c r="H55" s="6">
        <v>2416.5042581818184</v>
      </c>
      <c r="I55" s="3" t="s">
        <v>24</v>
      </c>
      <c r="J55" s="4">
        <v>2771.9167852800001</v>
      </c>
      <c r="K55" s="3"/>
      <c r="L55" s="8">
        <f t="shared" si="0"/>
        <v>-35.041258181818648</v>
      </c>
    </row>
    <row r="56" spans="1:12" x14ac:dyDescent="0.25">
      <c r="A56" s="3">
        <v>55</v>
      </c>
      <c r="B56" s="3" t="s">
        <v>97</v>
      </c>
      <c r="C56" s="3" t="s">
        <v>95</v>
      </c>
      <c r="D56" s="3" t="s">
        <v>91</v>
      </c>
      <c r="E56" s="3" t="s">
        <v>10</v>
      </c>
      <c r="F56" s="4">
        <v>2381.4629999999997</v>
      </c>
      <c r="G56" s="3" t="s">
        <v>87</v>
      </c>
      <c r="H56" s="6">
        <v>2416.5042581818184</v>
      </c>
      <c r="I56" s="3" t="s">
        <v>55</v>
      </c>
      <c r="J56" s="4">
        <v>2599.0096953600005</v>
      </c>
      <c r="K56" s="3"/>
      <c r="L56" s="8">
        <f t="shared" si="0"/>
        <v>-35.041258181818648</v>
      </c>
    </row>
    <row r="57" spans="1:12" x14ac:dyDescent="0.25">
      <c r="A57" s="3">
        <v>56</v>
      </c>
      <c r="B57" s="3" t="s">
        <v>98</v>
      </c>
      <c r="C57" s="3" t="s">
        <v>95</v>
      </c>
      <c r="D57" s="3" t="s">
        <v>93</v>
      </c>
      <c r="E57" s="3" t="s">
        <v>10</v>
      </c>
      <c r="F57" s="4">
        <v>2268.06</v>
      </c>
      <c r="G57" s="3" t="s">
        <v>87</v>
      </c>
      <c r="H57" s="6">
        <v>2416.5042581818184</v>
      </c>
      <c r="I57" s="3" t="s">
        <v>55</v>
      </c>
      <c r="J57" s="4">
        <v>2599.0096953600005</v>
      </c>
      <c r="K57" s="3"/>
      <c r="L57" s="8">
        <f t="shared" si="0"/>
        <v>-148.44425818181844</v>
      </c>
    </row>
    <row r="58" spans="1:12" x14ac:dyDescent="0.25">
      <c r="A58" s="3">
        <v>57</v>
      </c>
      <c r="B58" s="3" t="s">
        <v>99</v>
      </c>
      <c r="C58" s="3" t="s">
        <v>21</v>
      </c>
      <c r="D58" s="3" t="s">
        <v>15</v>
      </c>
      <c r="E58" s="3" t="s">
        <v>10</v>
      </c>
      <c r="F58" s="4">
        <v>3477.692</v>
      </c>
      <c r="G58" s="3" t="s">
        <v>51</v>
      </c>
      <c r="H58" s="6">
        <v>3675.4229090909093</v>
      </c>
      <c r="I58" s="3" t="s">
        <v>55</v>
      </c>
      <c r="J58" s="4">
        <v>4232.6214720000007</v>
      </c>
      <c r="K58" s="3"/>
      <c r="L58" s="8">
        <f t="shared" si="0"/>
        <v>-197.73090909090934</v>
      </c>
    </row>
    <row r="59" spans="1:12" x14ac:dyDescent="0.25">
      <c r="A59" s="3">
        <v>58</v>
      </c>
      <c r="B59" s="3" t="s">
        <v>100</v>
      </c>
      <c r="C59" s="3" t="s">
        <v>21</v>
      </c>
      <c r="D59" s="3" t="s">
        <v>19</v>
      </c>
      <c r="E59" s="3" t="s">
        <v>10</v>
      </c>
      <c r="F59" s="4">
        <v>3477.692</v>
      </c>
      <c r="G59" s="3" t="s">
        <v>51</v>
      </c>
      <c r="H59" s="6">
        <v>3675.4229090909093</v>
      </c>
      <c r="I59" s="3" t="s">
        <v>55</v>
      </c>
      <c r="J59" s="4">
        <v>3791.3481696000003</v>
      </c>
      <c r="K59" s="3"/>
      <c r="L59" s="8">
        <f t="shared" si="0"/>
        <v>-197.73090909090934</v>
      </c>
    </row>
    <row r="60" spans="1:12" x14ac:dyDescent="0.25">
      <c r="A60" s="3">
        <v>59</v>
      </c>
      <c r="B60" s="3" t="s">
        <v>101</v>
      </c>
      <c r="C60" s="3" t="s">
        <v>21</v>
      </c>
      <c r="D60" s="3" t="s">
        <v>17</v>
      </c>
      <c r="E60" s="3" t="s">
        <v>10</v>
      </c>
      <c r="F60" s="4">
        <v>3477.692</v>
      </c>
      <c r="G60" s="3" t="s">
        <v>51</v>
      </c>
      <c r="H60" s="6">
        <v>3675.4229090909093</v>
      </c>
      <c r="I60" s="3" t="s">
        <v>55</v>
      </c>
      <c r="J60" s="4">
        <v>3791.3481696000003</v>
      </c>
      <c r="K60" s="3"/>
      <c r="L60" s="8">
        <f t="shared" si="0"/>
        <v>-197.73090909090934</v>
      </c>
    </row>
    <row r="61" spans="1:12" x14ac:dyDescent="0.25">
      <c r="A61" s="3">
        <v>60</v>
      </c>
      <c r="B61" s="3" t="s">
        <v>102</v>
      </c>
      <c r="C61" s="3" t="s">
        <v>21</v>
      </c>
      <c r="D61" s="3" t="s">
        <v>9</v>
      </c>
      <c r="E61" s="3" t="s">
        <v>10</v>
      </c>
      <c r="F61" s="4">
        <v>3477.692</v>
      </c>
      <c r="G61" s="3" t="s">
        <v>51</v>
      </c>
      <c r="H61" s="6">
        <v>3675.4229090909093</v>
      </c>
      <c r="I61" s="3" t="s">
        <v>55</v>
      </c>
      <c r="J61" s="4">
        <v>4232.6214720000007</v>
      </c>
      <c r="K61" s="3"/>
      <c r="L61" s="8">
        <f t="shared" si="0"/>
        <v>-197.73090909090934</v>
      </c>
    </row>
    <row r="62" spans="1:12" x14ac:dyDescent="0.25">
      <c r="A62" s="3">
        <v>61</v>
      </c>
      <c r="B62" s="3" t="s">
        <v>103</v>
      </c>
      <c r="C62" s="3" t="s">
        <v>104</v>
      </c>
      <c r="D62" s="3" t="s">
        <v>15</v>
      </c>
      <c r="E62" s="3" t="s">
        <v>10</v>
      </c>
      <c r="F62" s="4">
        <v>4158.1099999999997</v>
      </c>
      <c r="G62" s="3" t="s">
        <v>51</v>
      </c>
      <c r="H62" s="6">
        <v>4365.8592727272726</v>
      </c>
      <c r="I62" s="3" t="s">
        <v>55</v>
      </c>
      <c r="J62" s="4">
        <v>4475.7720672000005</v>
      </c>
      <c r="K62" s="3"/>
      <c r="L62" s="8">
        <f t="shared" si="0"/>
        <v>-207.74927272727291</v>
      </c>
    </row>
    <row r="63" spans="1:12" x14ac:dyDescent="0.25">
      <c r="A63" s="3">
        <v>62</v>
      </c>
      <c r="B63" s="3" t="s">
        <v>105</v>
      </c>
      <c r="C63" s="3" t="s">
        <v>104</v>
      </c>
      <c r="D63" s="3" t="s">
        <v>19</v>
      </c>
      <c r="E63" s="3" t="s">
        <v>10</v>
      </c>
      <c r="F63" s="4">
        <v>4120.3090000000002</v>
      </c>
      <c r="G63" s="3" t="s">
        <v>51</v>
      </c>
      <c r="H63" s="6">
        <v>4365.8592727272726</v>
      </c>
      <c r="I63" s="3" t="s">
        <v>55</v>
      </c>
      <c r="J63" s="4">
        <v>4922.44871616</v>
      </c>
      <c r="K63" s="3"/>
      <c r="L63" s="8">
        <f t="shared" si="0"/>
        <v>-245.55027272727239</v>
      </c>
    </row>
    <row r="64" spans="1:12" x14ac:dyDescent="0.25">
      <c r="A64" s="3">
        <v>63</v>
      </c>
      <c r="B64" s="3" t="s">
        <v>106</v>
      </c>
      <c r="C64" s="3" t="s">
        <v>104</v>
      </c>
      <c r="D64" s="3" t="s">
        <v>17</v>
      </c>
      <c r="E64" s="3" t="s">
        <v>10</v>
      </c>
      <c r="F64" s="4">
        <v>4158.1099999999997</v>
      </c>
      <c r="G64" s="3" t="s">
        <v>51</v>
      </c>
      <c r="H64" s="6">
        <v>4365.8592727272726</v>
      </c>
      <c r="I64" s="3" t="s">
        <v>55</v>
      </c>
      <c r="J64" s="4">
        <v>4475.7720672000005</v>
      </c>
      <c r="K64" s="3"/>
      <c r="L64" s="8">
        <f t="shared" si="0"/>
        <v>-207.74927272727291</v>
      </c>
    </row>
    <row r="65" spans="1:12" x14ac:dyDescent="0.25">
      <c r="A65" s="3">
        <v>64</v>
      </c>
      <c r="B65" s="3" t="s">
        <v>107</v>
      </c>
      <c r="C65" s="3" t="s">
        <v>104</v>
      </c>
      <c r="D65" s="3" t="s">
        <v>9</v>
      </c>
      <c r="E65" s="3" t="s">
        <v>10</v>
      </c>
      <c r="F65" s="4">
        <v>4158.1099999999997</v>
      </c>
      <c r="G65" s="3" t="s">
        <v>51</v>
      </c>
      <c r="H65" s="6">
        <v>4365.8592727272726</v>
      </c>
      <c r="I65" s="3" t="s">
        <v>55</v>
      </c>
      <c r="J65" s="4">
        <v>4475.7720672000005</v>
      </c>
      <c r="K65" s="3"/>
      <c r="L65" s="8">
        <f t="shared" si="0"/>
        <v>-207.74927272727291</v>
      </c>
    </row>
    <row r="66" spans="1:12" x14ac:dyDescent="0.25">
      <c r="A66" s="3">
        <v>65</v>
      </c>
      <c r="B66" s="3" t="s">
        <v>108</v>
      </c>
      <c r="C66" s="3" t="s">
        <v>109</v>
      </c>
      <c r="D66" s="3" t="s">
        <v>15</v>
      </c>
      <c r="E66" s="3" t="s">
        <v>10</v>
      </c>
      <c r="F66" s="4">
        <v>4725.125</v>
      </c>
      <c r="G66" s="3" t="s">
        <v>59</v>
      </c>
      <c r="H66" s="6">
        <v>5056.2956363636367</v>
      </c>
      <c r="I66" s="3" t="s">
        <v>55</v>
      </c>
      <c r="J66" s="4">
        <v>5608.6737292799999</v>
      </c>
      <c r="K66" s="3"/>
      <c r="L66" s="8">
        <f t="shared" si="0"/>
        <v>-331.17063636363673</v>
      </c>
    </row>
    <row r="67" spans="1:12" x14ac:dyDescent="0.25">
      <c r="A67" s="3">
        <v>66</v>
      </c>
      <c r="B67" s="3" t="s">
        <v>110</v>
      </c>
      <c r="C67" s="3" t="s">
        <v>109</v>
      </c>
      <c r="D67" s="3" t="s">
        <v>19</v>
      </c>
      <c r="E67" s="3" t="s">
        <v>10</v>
      </c>
      <c r="F67" s="4">
        <v>4725.125</v>
      </c>
      <c r="G67" s="3" t="s">
        <v>59</v>
      </c>
      <c r="H67" s="6">
        <v>5056.2956363636367</v>
      </c>
      <c r="I67" s="3" t="s">
        <v>55</v>
      </c>
      <c r="J67" s="4">
        <v>5608.6737292799999</v>
      </c>
      <c r="K67" s="3"/>
      <c r="L67" s="8">
        <f t="shared" ref="L67:L99" si="1">F67-H67</f>
        <v>-331.17063636363673</v>
      </c>
    </row>
    <row r="68" spans="1:12" x14ac:dyDescent="0.25">
      <c r="A68" s="3">
        <v>67</v>
      </c>
      <c r="B68" s="3" t="s">
        <v>111</v>
      </c>
      <c r="C68" s="3" t="s">
        <v>109</v>
      </c>
      <c r="D68" s="3" t="s">
        <v>17</v>
      </c>
      <c r="E68" s="3" t="s">
        <v>10</v>
      </c>
      <c r="F68" s="4">
        <v>4725.125</v>
      </c>
      <c r="G68" s="3" t="s">
        <v>59</v>
      </c>
      <c r="H68" s="6">
        <v>5056.2956363636367</v>
      </c>
      <c r="I68" s="3" t="s">
        <v>55</v>
      </c>
      <c r="J68" s="4">
        <v>5608.6737292799999</v>
      </c>
      <c r="K68" s="3"/>
      <c r="L68" s="8">
        <f t="shared" si="1"/>
        <v>-331.17063636363673</v>
      </c>
    </row>
    <row r="69" spans="1:12" x14ac:dyDescent="0.25">
      <c r="A69" s="3">
        <v>68</v>
      </c>
      <c r="B69" s="3" t="s">
        <v>112</v>
      </c>
      <c r="C69" s="3" t="s">
        <v>109</v>
      </c>
      <c r="D69" s="3" t="s">
        <v>9</v>
      </c>
      <c r="E69" s="3" t="s">
        <v>10</v>
      </c>
      <c r="F69" s="4">
        <v>4725.125</v>
      </c>
      <c r="G69" s="3" t="s">
        <v>59</v>
      </c>
      <c r="H69" s="6">
        <v>5056.2956363636367</v>
      </c>
      <c r="I69" s="3" t="s">
        <v>55</v>
      </c>
      <c r="J69" s="4">
        <v>5608.6737292799999</v>
      </c>
      <c r="K69" s="3"/>
      <c r="L69" s="8">
        <f t="shared" si="1"/>
        <v>-331.17063636363673</v>
      </c>
    </row>
    <row r="70" spans="1:12" x14ac:dyDescent="0.25">
      <c r="A70" s="3">
        <v>69</v>
      </c>
      <c r="B70" s="3" t="s">
        <v>113</v>
      </c>
      <c r="C70" s="3" t="s">
        <v>21</v>
      </c>
      <c r="D70" s="3" t="s">
        <v>15</v>
      </c>
      <c r="E70" s="3" t="s">
        <v>10</v>
      </c>
      <c r="F70" s="4">
        <v>4158.1099999999997</v>
      </c>
      <c r="G70" s="3" t="s">
        <v>51</v>
      </c>
      <c r="H70" s="6">
        <v>4596.004727272727</v>
      </c>
      <c r="I70" s="3" t="s">
        <v>55</v>
      </c>
      <c r="J70" s="4">
        <v>4745.9393952</v>
      </c>
      <c r="K70" s="3"/>
      <c r="L70" s="8">
        <f t="shared" si="1"/>
        <v>-437.89472727272732</v>
      </c>
    </row>
    <row r="71" spans="1:12" x14ac:dyDescent="0.25">
      <c r="A71" s="3">
        <v>70</v>
      </c>
      <c r="B71" s="3" t="s">
        <v>114</v>
      </c>
      <c r="C71" s="3" t="s">
        <v>21</v>
      </c>
      <c r="D71" s="3" t="s">
        <v>19</v>
      </c>
      <c r="E71" s="3" t="s">
        <v>10</v>
      </c>
      <c r="F71" s="4">
        <v>4158.1099999999997</v>
      </c>
      <c r="G71" s="3" t="s">
        <v>11</v>
      </c>
      <c r="H71" s="6">
        <v>4596.004727272727</v>
      </c>
      <c r="I71" s="3" t="s">
        <v>55</v>
      </c>
      <c r="J71" s="4">
        <v>4745.9393952</v>
      </c>
      <c r="K71" s="5" t="s">
        <v>26</v>
      </c>
      <c r="L71" s="8">
        <f t="shared" si="1"/>
        <v>-437.89472727272732</v>
      </c>
    </row>
    <row r="72" spans="1:12" x14ac:dyDescent="0.25">
      <c r="A72" s="3">
        <v>71</v>
      </c>
      <c r="B72" s="3" t="s">
        <v>115</v>
      </c>
      <c r="C72" s="3" t="s">
        <v>21</v>
      </c>
      <c r="D72" s="3" t="s">
        <v>17</v>
      </c>
      <c r="E72" s="3" t="s">
        <v>10</v>
      </c>
      <c r="F72" s="4">
        <v>4158.1099999999997</v>
      </c>
      <c r="G72" s="3" t="s">
        <v>51</v>
      </c>
      <c r="H72" s="6">
        <v>4596.004727272727</v>
      </c>
      <c r="I72" s="3" t="s">
        <v>55</v>
      </c>
      <c r="J72" s="4">
        <v>4745.9393952</v>
      </c>
      <c r="K72" s="3"/>
      <c r="L72" s="8">
        <f t="shared" si="1"/>
        <v>-437.89472727272732</v>
      </c>
    </row>
    <row r="73" spans="1:12" x14ac:dyDescent="0.25">
      <c r="A73" s="3">
        <v>72</v>
      </c>
      <c r="B73" s="3" t="s">
        <v>116</v>
      </c>
      <c r="C73" s="3" t="s">
        <v>21</v>
      </c>
      <c r="D73" s="3" t="s">
        <v>9</v>
      </c>
      <c r="E73" s="3" t="s">
        <v>10</v>
      </c>
      <c r="F73" s="4">
        <v>4158.1099999999997</v>
      </c>
      <c r="G73" s="3" t="s">
        <v>11</v>
      </c>
      <c r="H73" s="6">
        <v>4596.004727272727</v>
      </c>
      <c r="I73" s="3" t="s">
        <v>55</v>
      </c>
      <c r="J73" s="4">
        <v>4745.9393952</v>
      </c>
      <c r="K73" s="5" t="s">
        <v>26</v>
      </c>
      <c r="L73" s="8">
        <f t="shared" si="1"/>
        <v>-437.89472727272732</v>
      </c>
    </row>
    <row r="74" spans="1:12" x14ac:dyDescent="0.25">
      <c r="A74" s="3">
        <v>73</v>
      </c>
      <c r="B74" s="3" t="s">
        <v>117</v>
      </c>
      <c r="C74" s="3" t="s">
        <v>104</v>
      </c>
      <c r="D74" s="3" t="s">
        <v>15</v>
      </c>
      <c r="E74" s="3" t="s">
        <v>10</v>
      </c>
      <c r="F74" s="4">
        <v>4725.125</v>
      </c>
      <c r="G74" s="3" t="s">
        <v>59</v>
      </c>
      <c r="H74" s="6">
        <v>5286.4410909090911</v>
      </c>
      <c r="I74" s="3" t="s">
        <v>55</v>
      </c>
      <c r="J74" s="4">
        <v>5401.5454444799998</v>
      </c>
      <c r="K74" s="3"/>
      <c r="L74" s="8">
        <f t="shared" si="1"/>
        <v>-561.31609090909114</v>
      </c>
    </row>
    <row r="75" spans="1:12" x14ac:dyDescent="0.25">
      <c r="A75" s="3">
        <v>74</v>
      </c>
      <c r="B75" s="3" t="s">
        <v>118</v>
      </c>
      <c r="C75" s="3" t="s">
        <v>104</v>
      </c>
      <c r="D75" s="3" t="s">
        <v>19</v>
      </c>
      <c r="E75" s="3" t="s">
        <v>10</v>
      </c>
      <c r="F75" s="4">
        <v>4725.125</v>
      </c>
      <c r="G75" s="3" t="s">
        <v>59</v>
      </c>
      <c r="H75" s="6">
        <v>5286.4410909090911</v>
      </c>
      <c r="I75" s="3" t="s">
        <v>55</v>
      </c>
      <c r="J75" s="4">
        <v>5401.5454444799998</v>
      </c>
      <c r="K75" s="3"/>
      <c r="L75" s="8">
        <f t="shared" si="1"/>
        <v>-561.31609090909114</v>
      </c>
    </row>
    <row r="76" spans="1:12" x14ac:dyDescent="0.25">
      <c r="A76" s="3">
        <v>75</v>
      </c>
      <c r="B76" s="3" t="s">
        <v>119</v>
      </c>
      <c r="C76" s="3" t="s">
        <v>104</v>
      </c>
      <c r="D76" s="3" t="s">
        <v>17</v>
      </c>
      <c r="E76" s="3" t="s">
        <v>10</v>
      </c>
      <c r="F76" s="4">
        <v>4725.125</v>
      </c>
      <c r="G76" s="3" t="s">
        <v>59</v>
      </c>
      <c r="H76" s="6">
        <v>5286.4410909090911</v>
      </c>
      <c r="I76" s="3" t="s">
        <v>55</v>
      </c>
      <c r="J76" s="4">
        <v>5401.5454444799998</v>
      </c>
      <c r="K76" s="3"/>
      <c r="L76" s="8">
        <f t="shared" si="1"/>
        <v>-561.31609090909114</v>
      </c>
    </row>
    <row r="77" spans="1:12" x14ac:dyDescent="0.25">
      <c r="A77" s="3">
        <v>76</v>
      </c>
      <c r="B77" s="3" t="s">
        <v>120</v>
      </c>
      <c r="C77" s="3" t="s">
        <v>104</v>
      </c>
      <c r="D77" s="3" t="s">
        <v>9</v>
      </c>
      <c r="E77" s="3" t="s">
        <v>10</v>
      </c>
      <c r="F77" s="4">
        <v>4725.125</v>
      </c>
      <c r="G77" s="3" t="s">
        <v>59</v>
      </c>
      <c r="H77" s="6">
        <v>5286.4410909090911</v>
      </c>
      <c r="I77" s="3" t="s">
        <v>55</v>
      </c>
      <c r="J77" s="4">
        <v>5401.5454444799998</v>
      </c>
      <c r="K77" s="3"/>
      <c r="L77" s="8">
        <f t="shared" si="1"/>
        <v>-561.31609090909114</v>
      </c>
    </row>
    <row r="78" spans="1:12" x14ac:dyDescent="0.25">
      <c r="A78" s="3">
        <v>77</v>
      </c>
      <c r="B78" s="3" t="s">
        <v>121</v>
      </c>
      <c r="C78" s="3" t="s">
        <v>109</v>
      </c>
      <c r="D78" s="3" t="s">
        <v>15</v>
      </c>
      <c r="E78" s="3" t="s">
        <v>10</v>
      </c>
      <c r="F78" s="4">
        <v>5178.7369999999992</v>
      </c>
      <c r="G78" s="3" t="s">
        <v>51</v>
      </c>
      <c r="H78" s="4">
        <v>6207.0229090909088</v>
      </c>
      <c r="I78" s="3" t="s">
        <v>55</v>
      </c>
      <c r="J78" s="6">
        <v>6103.9804972800002</v>
      </c>
      <c r="K78" s="3"/>
      <c r="L78" s="8">
        <f>F78-J78</f>
        <v>-925.24349728000107</v>
      </c>
    </row>
    <row r="79" spans="1:12" x14ac:dyDescent="0.25">
      <c r="A79" s="3">
        <v>78</v>
      </c>
      <c r="B79" s="3" t="s">
        <v>122</v>
      </c>
      <c r="C79" s="3" t="s">
        <v>109</v>
      </c>
      <c r="D79" s="3" t="s">
        <v>19</v>
      </c>
      <c r="E79" s="3" t="s">
        <v>10</v>
      </c>
      <c r="F79" s="4">
        <v>5178.7369999999992</v>
      </c>
      <c r="G79" s="3" t="s">
        <v>59</v>
      </c>
      <c r="H79" s="4">
        <v>6207.0229090909088</v>
      </c>
      <c r="I79" s="3" t="s">
        <v>55</v>
      </c>
      <c r="J79" s="6">
        <v>6103.9804972800002</v>
      </c>
      <c r="K79" s="3"/>
      <c r="L79" s="8">
        <f t="shared" ref="L79:L81" si="2">F79-J79</f>
        <v>-925.24349728000107</v>
      </c>
    </row>
    <row r="80" spans="1:12" x14ac:dyDescent="0.25">
      <c r="A80" s="3">
        <v>79</v>
      </c>
      <c r="B80" s="3" t="s">
        <v>123</v>
      </c>
      <c r="C80" s="3" t="s">
        <v>109</v>
      </c>
      <c r="D80" s="3" t="s">
        <v>17</v>
      </c>
      <c r="E80" s="3" t="s">
        <v>10</v>
      </c>
      <c r="F80" s="4">
        <v>5178.7369999999992</v>
      </c>
      <c r="G80" s="3" t="s">
        <v>59</v>
      </c>
      <c r="H80" s="4">
        <v>6207.0229090909088</v>
      </c>
      <c r="I80" s="3" t="s">
        <v>55</v>
      </c>
      <c r="J80" s="6">
        <v>6103.9804972800002</v>
      </c>
      <c r="K80" s="3"/>
      <c r="L80" s="8">
        <f t="shared" si="2"/>
        <v>-925.24349728000107</v>
      </c>
    </row>
    <row r="81" spans="1:12" x14ac:dyDescent="0.25">
      <c r="A81" s="3">
        <v>80</v>
      </c>
      <c r="B81" s="3" t="s">
        <v>124</v>
      </c>
      <c r="C81" s="3" t="s">
        <v>109</v>
      </c>
      <c r="D81" s="3" t="s">
        <v>9</v>
      </c>
      <c r="E81" s="3" t="s">
        <v>10</v>
      </c>
      <c r="F81" s="4">
        <v>5178.7369999999992</v>
      </c>
      <c r="G81" s="3" t="s">
        <v>51</v>
      </c>
      <c r="H81" s="4">
        <v>6207.0229090909088</v>
      </c>
      <c r="I81" s="3" t="s">
        <v>55</v>
      </c>
      <c r="J81" s="6">
        <v>6103.9804972800002</v>
      </c>
      <c r="K81" s="3"/>
      <c r="L81" s="8">
        <f t="shared" si="2"/>
        <v>-925.24349728000107</v>
      </c>
    </row>
    <row r="82" spans="1:12" x14ac:dyDescent="0.25">
      <c r="A82" s="3">
        <v>81</v>
      </c>
      <c r="B82" s="3" t="s">
        <v>125</v>
      </c>
      <c r="C82" s="3" t="s">
        <v>126</v>
      </c>
      <c r="D82" s="3" t="s">
        <v>127</v>
      </c>
      <c r="E82" s="3" t="s">
        <v>10</v>
      </c>
      <c r="F82" s="4">
        <v>6615.1750000000002</v>
      </c>
      <c r="G82" s="3" t="s">
        <v>11</v>
      </c>
      <c r="H82" s="6">
        <v>7587.8956363636362</v>
      </c>
      <c r="I82" s="3" t="s">
        <v>55</v>
      </c>
      <c r="J82" s="4">
        <v>8041.9807968000014</v>
      </c>
      <c r="K82" s="5" t="s">
        <v>26</v>
      </c>
      <c r="L82" s="8">
        <f t="shared" si="1"/>
        <v>-972.720636363636</v>
      </c>
    </row>
    <row r="83" spans="1:12" x14ac:dyDescent="0.25">
      <c r="A83" s="3">
        <v>82</v>
      </c>
      <c r="B83" s="3" t="s">
        <v>128</v>
      </c>
      <c r="C83" s="3" t="s">
        <v>126</v>
      </c>
      <c r="D83" s="3" t="s">
        <v>15</v>
      </c>
      <c r="E83" s="3" t="s">
        <v>10</v>
      </c>
      <c r="F83" s="4">
        <v>6615.1750000000002</v>
      </c>
      <c r="G83" s="3" t="s">
        <v>11</v>
      </c>
      <c r="H83" s="6">
        <v>7587.8956363636362</v>
      </c>
      <c r="I83" s="3" t="s">
        <v>55</v>
      </c>
      <c r="J83" s="4">
        <v>8041.9807968000014</v>
      </c>
      <c r="K83" s="5" t="s">
        <v>26</v>
      </c>
      <c r="L83" s="8">
        <f t="shared" si="1"/>
        <v>-972.720636363636</v>
      </c>
    </row>
    <row r="84" spans="1:12" x14ac:dyDescent="0.25">
      <c r="A84" s="3">
        <v>83</v>
      </c>
      <c r="B84" s="3" t="s">
        <v>129</v>
      </c>
      <c r="C84" s="3" t="s">
        <v>109</v>
      </c>
      <c r="D84" s="3" t="s">
        <v>127</v>
      </c>
      <c r="E84" s="3" t="s">
        <v>10</v>
      </c>
      <c r="F84" s="4">
        <v>6993.1849999999995</v>
      </c>
      <c r="G84" s="3" t="s">
        <v>11</v>
      </c>
      <c r="H84" s="6">
        <v>7587.8956363636362</v>
      </c>
      <c r="I84" s="3" t="s">
        <v>24</v>
      </c>
      <c r="J84" s="4">
        <v>8643.5533804799998</v>
      </c>
      <c r="K84" s="5" t="s">
        <v>26</v>
      </c>
      <c r="L84" s="8">
        <f t="shared" si="1"/>
        <v>-594.7106363636367</v>
      </c>
    </row>
    <row r="85" spans="1:12" x14ac:dyDescent="0.25">
      <c r="A85" s="3">
        <v>84</v>
      </c>
      <c r="B85" s="3" t="s">
        <v>130</v>
      </c>
      <c r="C85" s="3" t="s">
        <v>109</v>
      </c>
      <c r="D85" s="3" t="s">
        <v>15</v>
      </c>
      <c r="E85" s="3" t="s">
        <v>10</v>
      </c>
      <c r="F85" s="4">
        <v>6993.1849999999995</v>
      </c>
      <c r="G85" s="3" t="s">
        <v>11</v>
      </c>
      <c r="H85" s="6">
        <v>7587.8956363636362</v>
      </c>
      <c r="I85" s="3" t="s">
        <v>24</v>
      </c>
      <c r="J85" s="4">
        <v>8643.5533804799998</v>
      </c>
      <c r="K85" s="5" t="s">
        <v>26</v>
      </c>
      <c r="L85" s="8">
        <f t="shared" si="1"/>
        <v>-594.7106363636367</v>
      </c>
    </row>
    <row r="86" spans="1:12" x14ac:dyDescent="0.25">
      <c r="A86" s="3">
        <v>85</v>
      </c>
      <c r="B86" s="3" t="s">
        <v>131</v>
      </c>
      <c r="C86" s="3" t="s">
        <v>132</v>
      </c>
      <c r="D86" s="3" t="s">
        <v>127</v>
      </c>
      <c r="E86" s="3" t="s">
        <v>10</v>
      </c>
      <c r="F86" s="4">
        <v>7938.21</v>
      </c>
      <c r="G86" s="3" t="s">
        <v>133</v>
      </c>
      <c r="H86" s="6">
        <v>8971.4150363636381</v>
      </c>
      <c r="I86" s="3" t="s">
        <v>134</v>
      </c>
      <c r="J86" s="4">
        <v>10801.289773440001</v>
      </c>
      <c r="K86" s="3"/>
      <c r="L86" s="8">
        <f t="shared" si="1"/>
        <v>-1033.2050363636381</v>
      </c>
    </row>
    <row r="87" spans="1:12" x14ac:dyDescent="0.25">
      <c r="A87" s="3">
        <v>86</v>
      </c>
      <c r="B87" s="3" t="s">
        <v>135</v>
      </c>
      <c r="C87" s="3" t="s">
        <v>132</v>
      </c>
      <c r="D87" s="3" t="s">
        <v>15</v>
      </c>
      <c r="E87" s="3" t="s">
        <v>10</v>
      </c>
      <c r="F87" s="4">
        <v>7938.21</v>
      </c>
      <c r="G87" s="3" t="s">
        <v>133</v>
      </c>
      <c r="H87" s="6">
        <v>8971.4150363636381</v>
      </c>
      <c r="I87" s="3" t="s">
        <v>134</v>
      </c>
      <c r="J87" s="4">
        <v>10801.289773440001</v>
      </c>
      <c r="K87" s="3"/>
      <c r="L87" s="8">
        <f t="shared" si="1"/>
        <v>-1033.2050363636381</v>
      </c>
    </row>
    <row r="88" spans="1:12" x14ac:dyDescent="0.25">
      <c r="A88" s="3">
        <v>87</v>
      </c>
      <c r="B88" s="3" t="s">
        <v>136</v>
      </c>
      <c r="C88" s="3" t="s">
        <v>132</v>
      </c>
      <c r="D88" s="3" t="s">
        <v>127</v>
      </c>
      <c r="E88" s="3" t="s">
        <v>10</v>
      </c>
      <c r="F88" s="4">
        <v>8694.23</v>
      </c>
      <c r="G88" s="3" t="s">
        <v>11</v>
      </c>
      <c r="H88" s="4">
        <v>9659.2047272727268</v>
      </c>
      <c r="I88" s="3" t="s">
        <v>24</v>
      </c>
      <c r="J88" s="6">
        <v>9093.8142493247997</v>
      </c>
      <c r="K88" s="3"/>
      <c r="L88" s="8">
        <f>F88-J88</f>
        <v>-399.58424932480011</v>
      </c>
    </row>
    <row r="89" spans="1:12" x14ac:dyDescent="0.25">
      <c r="A89" s="3">
        <v>88</v>
      </c>
      <c r="B89" s="3" t="s">
        <v>137</v>
      </c>
      <c r="C89" s="3" t="s">
        <v>132</v>
      </c>
      <c r="D89" s="3" t="s">
        <v>15</v>
      </c>
      <c r="E89" s="3" t="s">
        <v>10</v>
      </c>
      <c r="F89" s="4">
        <v>8694.23</v>
      </c>
      <c r="G89" s="3" t="s">
        <v>11</v>
      </c>
      <c r="H89" s="4">
        <v>9659.2047272727268</v>
      </c>
      <c r="I89" s="3" t="s">
        <v>24</v>
      </c>
      <c r="J89" s="6">
        <v>9093.8142493247997</v>
      </c>
      <c r="K89" s="5" t="s">
        <v>26</v>
      </c>
      <c r="L89" s="8">
        <f>F89-J89</f>
        <v>-399.58424932480011</v>
      </c>
    </row>
    <row r="90" spans="1:12" x14ac:dyDescent="0.25">
      <c r="A90" s="3">
        <v>89</v>
      </c>
      <c r="B90" s="3" t="s">
        <v>138</v>
      </c>
      <c r="C90" s="3" t="s">
        <v>139</v>
      </c>
      <c r="D90" s="3" t="s">
        <v>127</v>
      </c>
      <c r="E90" s="3" t="s">
        <v>10</v>
      </c>
      <c r="F90" s="4">
        <v>11340.3</v>
      </c>
      <c r="G90" s="3" t="s">
        <v>11</v>
      </c>
      <c r="H90" s="6">
        <v>12190.804727272727</v>
      </c>
      <c r="I90" s="3" t="s">
        <v>24</v>
      </c>
      <c r="J90" s="4">
        <v>12606.007524480001</v>
      </c>
      <c r="K90" s="3"/>
      <c r="L90" s="8">
        <f t="shared" si="1"/>
        <v>-850.50472727272791</v>
      </c>
    </row>
    <row r="91" spans="1:12" x14ac:dyDescent="0.25">
      <c r="A91" s="3">
        <v>90</v>
      </c>
      <c r="B91" s="3" t="s">
        <v>140</v>
      </c>
      <c r="C91" s="3" t="s">
        <v>139</v>
      </c>
      <c r="D91" s="3" t="s">
        <v>15</v>
      </c>
      <c r="E91" s="3" t="s">
        <v>10</v>
      </c>
      <c r="F91" s="4">
        <v>11340.3</v>
      </c>
      <c r="G91" s="3" t="s">
        <v>11</v>
      </c>
      <c r="H91" s="6">
        <v>12190.804727272727</v>
      </c>
      <c r="I91" s="3" t="s">
        <v>24</v>
      </c>
      <c r="J91" s="4">
        <v>12606.007524480001</v>
      </c>
      <c r="K91" s="3"/>
      <c r="L91" s="8">
        <f t="shared" si="1"/>
        <v>-850.50472727272791</v>
      </c>
    </row>
    <row r="92" spans="1:12" x14ac:dyDescent="0.25">
      <c r="A92" s="3">
        <v>91</v>
      </c>
      <c r="B92" s="3" t="s">
        <v>141</v>
      </c>
      <c r="C92" s="3" t="s">
        <v>109</v>
      </c>
      <c r="D92" s="3" t="s">
        <v>127</v>
      </c>
      <c r="E92" s="3" t="s">
        <v>10</v>
      </c>
      <c r="F92" s="4">
        <v>8505.2250000000004</v>
      </c>
      <c r="G92" s="3" t="s">
        <v>11</v>
      </c>
      <c r="H92" s="4">
        <v>9198.913818181818</v>
      </c>
      <c r="I92" s="3" t="s">
        <v>24</v>
      </c>
      <c r="J92" s="6">
        <v>9183.8880364800007</v>
      </c>
      <c r="K92" s="3"/>
      <c r="L92" s="8">
        <f>F92-J92</f>
        <v>-678.6630364800003</v>
      </c>
    </row>
    <row r="93" spans="1:12" x14ac:dyDescent="0.25">
      <c r="A93" s="3">
        <v>92</v>
      </c>
      <c r="B93" s="3" t="s">
        <v>142</v>
      </c>
      <c r="C93" s="3" t="s">
        <v>109</v>
      </c>
      <c r="D93" s="3" t="s">
        <v>15</v>
      </c>
      <c r="E93" s="3" t="s">
        <v>10</v>
      </c>
      <c r="F93" s="4">
        <v>8505.2250000000004</v>
      </c>
      <c r="G93" s="3" t="s">
        <v>11</v>
      </c>
      <c r="H93" s="6">
        <v>9198.913818181818</v>
      </c>
      <c r="I93" s="3" t="s">
        <v>24</v>
      </c>
      <c r="J93" s="4">
        <v>10444.668900480001</v>
      </c>
      <c r="K93" s="3"/>
      <c r="L93" s="8">
        <f t="shared" si="1"/>
        <v>-693.68881818181762</v>
      </c>
    </row>
    <row r="94" spans="1:12" x14ac:dyDescent="0.25">
      <c r="A94" s="3">
        <v>93</v>
      </c>
      <c r="B94" s="3" t="s">
        <v>143</v>
      </c>
      <c r="C94" s="3" t="s">
        <v>83</v>
      </c>
      <c r="D94" s="3" t="s">
        <v>127</v>
      </c>
      <c r="E94" s="3" t="s">
        <v>10</v>
      </c>
      <c r="F94" s="4">
        <v>9639.2549999999992</v>
      </c>
      <c r="G94" s="3" t="s">
        <v>11</v>
      </c>
      <c r="H94" s="6">
        <v>10349.641090909092</v>
      </c>
      <c r="I94" s="3" t="s">
        <v>24</v>
      </c>
      <c r="J94" s="4">
        <v>12515.951748480002</v>
      </c>
      <c r="K94" s="3"/>
      <c r="L94" s="8">
        <f t="shared" si="1"/>
        <v>-710.38609090909267</v>
      </c>
    </row>
    <row r="95" spans="1:12" x14ac:dyDescent="0.25">
      <c r="A95" s="3">
        <v>94</v>
      </c>
      <c r="B95" s="3" t="s">
        <v>144</v>
      </c>
      <c r="C95" s="3" t="s">
        <v>83</v>
      </c>
      <c r="D95" s="3" t="s">
        <v>15</v>
      </c>
      <c r="E95" s="3" t="s">
        <v>10</v>
      </c>
      <c r="F95" s="4">
        <v>9639.2549999999992</v>
      </c>
      <c r="G95" s="3" t="s">
        <v>11</v>
      </c>
      <c r="H95" s="6">
        <v>10349.641090909092</v>
      </c>
      <c r="I95" s="3" t="s">
        <v>24</v>
      </c>
      <c r="J95" s="4">
        <v>12515.951748480002</v>
      </c>
      <c r="K95" s="3"/>
      <c r="L95" s="8">
        <f t="shared" si="1"/>
        <v>-710.38609090909267</v>
      </c>
    </row>
    <row r="96" spans="1:12" x14ac:dyDescent="0.25">
      <c r="A96" s="3">
        <v>95</v>
      </c>
      <c r="B96" s="3" t="s">
        <v>145</v>
      </c>
      <c r="C96" s="3" t="s">
        <v>139</v>
      </c>
      <c r="D96" s="3" t="s">
        <v>127</v>
      </c>
      <c r="E96" s="3" t="s">
        <v>10</v>
      </c>
      <c r="F96" s="4">
        <v>12096.32</v>
      </c>
      <c r="G96" s="3" t="s">
        <v>11</v>
      </c>
      <c r="H96" s="6">
        <v>13111.386545454545</v>
      </c>
      <c r="I96" s="3" t="s">
        <v>24</v>
      </c>
      <c r="J96" s="4">
        <v>13416.509508480001</v>
      </c>
      <c r="K96" s="5" t="s">
        <v>26</v>
      </c>
      <c r="L96" s="8">
        <f t="shared" si="1"/>
        <v>-1015.0665454545451</v>
      </c>
    </row>
    <row r="97" spans="1:12" x14ac:dyDescent="0.25">
      <c r="A97" s="3">
        <v>96</v>
      </c>
      <c r="B97" s="3" t="s">
        <v>146</v>
      </c>
      <c r="C97" s="3" t="s">
        <v>139</v>
      </c>
      <c r="D97" s="3" t="s">
        <v>15</v>
      </c>
      <c r="E97" s="3" t="s">
        <v>10</v>
      </c>
      <c r="F97" s="4">
        <v>12096.32</v>
      </c>
      <c r="G97" s="3" t="s">
        <v>11</v>
      </c>
      <c r="H97" s="6">
        <v>13111.386545454545</v>
      </c>
      <c r="I97" s="3" t="s">
        <v>24</v>
      </c>
      <c r="J97" s="4">
        <v>13416.509508480001</v>
      </c>
      <c r="K97" s="5" t="s">
        <v>26</v>
      </c>
      <c r="L97" s="8">
        <f t="shared" si="1"/>
        <v>-1015.0665454545451</v>
      </c>
    </row>
    <row r="98" spans="1:12" x14ac:dyDescent="0.25">
      <c r="A98" s="3">
        <v>97</v>
      </c>
      <c r="B98" s="3" t="s">
        <v>147</v>
      </c>
      <c r="C98" s="3" t="s">
        <v>148</v>
      </c>
      <c r="D98" s="3" t="s">
        <v>127</v>
      </c>
      <c r="E98" s="3" t="s">
        <v>10</v>
      </c>
      <c r="F98" s="4">
        <v>13986.369999999999</v>
      </c>
      <c r="G98" s="3" t="s">
        <v>11</v>
      </c>
      <c r="H98" s="6">
        <v>14492.259272727273</v>
      </c>
      <c r="I98" s="3" t="s">
        <v>49</v>
      </c>
      <c r="J98" s="4">
        <v>17810.763087244799</v>
      </c>
      <c r="K98" s="5" t="s">
        <v>26</v>
      </c>
      <c r="L98" s="8">
        <f t="shared" si="1"/>
        <v>-505.88927272727415</v>
      </c>
    </row>
    <row r="99" spans="1:12" x14ac:dyDescent="0.25">
      <c r="A99" s="3">
        <v>98</v>
      </c>
      <c r="B99" s="3" t="s">
        <v>149</v>
      </c>
      <c r="C99" s="3" t="s">
        <v>148</v>
      </c>
      <c r="D99" s="3" t="s">
        <v>15</v>
      </c>
      <c r="E99" s="3" t="s">
        <v>10</v>
      </c>
      <c r="F99" s="4">
        <v>13986.369999999999</v>
      </c>
      <c r="G99" s="3" t="s">
        <v>11</v>
      </c>
      <c r="H99" s="6">
        <v>14492.259272727273</v>
      </c>
      <c r="I99" s="3" t="s">
        <v>49</v>
      </c>
      <c r="J99" s="4">
        <v>17810.763087244799</v>
      </c>
      <c r="K99" s="5" t="s">
        <v>26</v>
      </c>
      <c r="L99" s="8">
        <f t="shared" si="1"/>
        <v>-505.88927272727415</v>
      </c>
    </row>
  </sheetData>
  <autoFilter ref="A1:L99" xr:uid="{1C2BC1D5-A206-4561-A824-CA33EAE62DB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2E541-013B-4EA2-93A8-A259B18647B4}">
  <dimension ref="A1"/>
  <sheetViews>
    <sheetView topLeftCell="A111" workbookViewId="0">
      <selection activeCell="G129" sqref="G12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2026-06-27T18:27:47Z</dcterms:created>
  <dcterms:modified xsi:type="dcterms:W3CDTF">2026-06-29T12:18:24Z</dcterms:modified>
</cp:coreProperties>
</file>