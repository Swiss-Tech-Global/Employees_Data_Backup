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9-06-2026/"/>
    </mc:Choice>
  </mc:AlternateContent>
  <xr:revisionPtr revIDLastSave="636" documentId="8_{F81ABFB7-7B88-44C7-9D8E-CCE8A2810A84}" xr6:coauthVersionLast="47" xr6:coauthVersionMax="47" xr10:uidLastSave="{3BEFBFC8-F8EA-4DEF-95D5-B28C12B86DDE}"/>
  <bookViews>
    <workbookView xWindow="20370" yWindow="-120" windowWidth="29040" windowHeight="17520" xr2:uid="{9216DB6F-1E14-4925-80BF-87BEB0E8331C}"/>
  </bookViews>
  <sheets>
    <sheet name="Sheet1" sheetId="1" r:id="rId1"/>
    <sheet name="Sheet2" sheetId="2" r:id="rId2"/>
  </sheets>
  <definedNames>
    <definedName name="_xlnm._FilterDatabase" localSheetId="0" hidden="1">Sheet1!$A$1:$J$60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" i="1" l="1"/>
  <c r="J54" i="1"/>
  <c r="J55" i="1"/>
  <c r="J56" i="1"/>
  <c r="J52" i="1"/>
  <c r="J44" i="1"/>
  <c r="J60" i="1"/>
  <c r="J59" i="1"/>
  <c r="J58" i="1"/>
  <c r="J57" i="1"/>
  <c r="J51" i="1"/>
  <c r="J50" i="1"/>
  <c r="J49" i="1"/>
  <c r="J48" i="1"/>
  <c r="J47" i="1"/>
  <c r="J46" i="1"/>
  <c r="J45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B1" i="2" l="1"/>
</calcChain>
</file>

<file path=xl/sharedStrings.xml><?xml version="1.0" encoding="utf-8"?>
<sst xmlns="http://schemas.openxmlformats.org/spreadsheetml/2006/main" count="246" uniqueCount="93">
  <si>
    <t>Sr No</t>
  </si>
  <si>
    <t>jbhifi.co.nz</t>
  </si>
  <si>
    <t>officeworks.com.au</t>
  </si>
  <si>
    <t>jbhifi.com.au</t>
  </si>
  <si>
    <t>SONOS ERA 100 SPEAKER BLACK</t>
  </si>
  <si>
    <t>JBL Charge Essential 2 Portable Speaker (Black)</t>
  </si>
  <si>
    <t>JBL Charge 5 Wi-Fi &amp; Bluetooth Portable Speaker (Black)</t>
  </si>
  <si>
    <t>binglee.com.au</t>
  </si>
  <si>
    <t>JBL PartyBox 720 Party Speaker</t>
  </si>
  <si>
    <t>harveynorman.com.au</t>
  </si>
  <si>
    <t>JBL BAR 1000 MK2 7.1.4ch True Atmos Soundbar with Sub &amp; Detachable Speakers</t>
  </si>
  <si>
    <t>JBL PartyBox Encore Essential 2 Portable Party Speaker</t>
  </si>
  <si>
    <t>JBL Grip Compact Portable Speaker with Ambient Light (Black)</t>
  </si>
  <si>
    <t>JBL PartyBox Club 120 Party Speaker (Black)</t>
  </si>
  <si>
    <t>JBL PartyBox Club 120 Party Speaker (White)</t>
  </si>
  <si>
    <t>JBL PartyBox Stage 320 Party Speaker (Black)</t>
  </si>
  <si>
    <t>JBL PartyBox Stage 320 Party Speaker (White)</t>
  </si>
  <si>
    <t>JBL Grip Compact Portable Speaker with Ambient Light (Blue)</t>
  </si>
  <si>
    <t>JBL Grip Compact Portable Speaker with Ambient Light (Orange)</t>
  </si>
  <si>
    <t>JBL Grip Compact Portable Speaker with Ambient Light (Pink)</t>
  </si>
  <si>
    <t>JBL Grip Compact Portable Speaker with Ambient Light (Purple)</t>
  </si>
  <si>
    <t>JBL Grip Compact Portable Speaker with Ambient Light (Red)</t>
  </si>
  <si>
    <t>JBL Grip Compact Portable Speaker with Ambient Light (White)</t>
  </si>
  <si>
    <t>JBL Grip Compact Portable Speaker with Ambient Light (Yellow)</t>
  </si>
  <si>
    <t>JBL PartyBox 520 Portable Party Speaker</t>
  </si>
  <si>
    <t>costco.com.au</t>
  </si>
  <si>
    <t>JBL Go 4 Mini Ultra-portable Bluetooth Speaker (Pink)</t>
  </si>
  <si>
    <t>JBL Go 4 Mini Ultra-portable Bluetooth Speaker (Purple)</t>
  </si>
  <si>
    <t>JBL Go 4 Mini Ultra-portable Bluetooth Speaker (Red)</t>
  </si>
  <si>
    <t>JBL Go 4 Mini Ultra-portable Bluetooth Speaker (Blue)</t>
  </si>
  <si>
    <t>JBL Go 4 Mini Ultra-portable Bluetooth Speaker (squad)</t>
  </si>
  <si>
    <t>JBL Go 4 Mini Ultra-portable Bluetooth Speaker (Black)</t>
  </si>
  <si>
    <t>JBL PartyBox Ultimate Wireless Party Speaker</t>
  </si>
  <si>
    <t>JBL Clip 5 Ultra-portable Bluetooth Speaker (Black)</t>
  </si>
  <si>
    <t>JBL Clip 5 Ultra-portable Bluetooth Speaker (Blue)</t>
  </si>
  <si>
    <t>JBL Clip 5 Ultra-portable Bluetooth Speaker (Pink)</t>
  </si>
  <si>
    <t>JBL Boombox 4 Portable Bluetooth Speaker (White)</t>
  </si>
  <si>
    <t xml:space="preserve">JBL Boombox 4 Portable Bluetooth Speaker (Black) </t>
  </si>
  <si>
    <t>JBL Xtreme 4 Portable Bluetooth Speaker (Black)</t>
  </si>
  <si>
    <t>Sony ULT FIELD 5 Portable Bluetooth Speaker (Black)</t>
  </si>
  <si>
    <t xml:space="preserve">Sony ULT FIELD 5 Portable Bluetooth Speaker (White) </t>
  </si>
  <si>
    <t>Sony ULT TOWER 9 Wireless Party Speaker (Black)</t>
  </si>
  <si>
    <t>JBL Authentics 200 Smart Home Speaker</t>
  </si>
  <si>
    <t>Sonos Play Portable Speaker (White)</t>
  </si>
  <si>
    <t>Sonos Play Portable Speaker (Black)</t>
  </si>
  <si>
    <t>Sonos Era 300 Smart Speaker (Black)</t>
  </si>
  <si>
    <t>jbl partybox on-the-go Essential</t>
  </si>
  <si>
    <t>jbl partybox on-the-go 2</t>
  </si>
  <si>
    <t>bestbuy.com</t>
  </si>
  <si>
    <t>walmart.com</t>
  </si>
  <si>
    <t>Ultimate Ears WONDERBOOM 4 Portable Bluetooth Speaker (Cobalt Blue)</t>
  </si>
  <si>
    <t>BEATS PILL SPEAKER Wireless Bluetooth Champagne Gold</t>
  </si>
  <si>
    <t>Beats Pill Wireless Bluetooth Speaker Matte Black</t>
  </si>
  <si>
    <t>Beats Pill Wireless Bluetooth Speaker Statement Red</t>
  </si>
  <si>
    <t>BOSE SOUNDLINK MICRO SPEAKER Black</t>
  </si>
  <si>
    <t>BOSE SOUNDLINK MICRO SPEAKER White Smoke</t>
  </si>
  <si>
    <t>BOSE SOUNDLINK MICRO SPEAKER Stone Blue</t>
  </si>
  <si>
    <t>JBL Charge 6 Portable Bluetooth Speaker (Black)</t>
  </si>
  <si>
    <t>JBL Charge 6 Portable Bluetooth Speaker (Blue)</t>
  </si>
  <si>
    <t>JBL Charge 6 Portable Bluetooth Speaker (Pink)</t>
  </si>
  <si>
    <t>JBL Charge 6 Portable Bluetooth Speaker (Red)</t>
  </si>
  <si>
    <t>JBL Charge 6 Portable Bluetooth Speaker (White)</t>
  </si>
  <si>
    <t>JBL Flip 7 Portable Waterproof Bluetooth Speaker (Black)</t>
  </si>
  <si>
    <t>JBL Flip 7 Portable Waterproof Bluetooth Speaker (Blue)</t>
  </si>
  <si>
    <t>JBL Flip 7 Portable Waterproof Bluetooth Speaker (Pink)</t>
  </si>
  <si>
    <t>SONOS ERA 100 SPEAKER White</t>
  </si>
  <si>
    <t>bigw.com.au</t>
  </si>
  <si>
    <t>thegoodguys.com.au</t>
  </si>
  <si>
    <t>JBL Grip Compact Portable Speaker with Ambient Light (Squad)</t>
  </si>
  <si>
    <t>retravision.com.au</t>
  </si>
  <si>
    <t>countdowndeals.com.au</t>
  </si>
  <si>
    <t>appliancecentral.com.au</t>
  </si>
  <si>
    <t>peakaudiovisual.com.au</t>
  </si>
  <si>
    <t>JBL Xtreme 4 Portable Bluetooth Speaker (Blue)</t>
  </si>
  <si>
    <t>myer.com.au</t>
  </si>
  <si>
    <t>betta.com.au</t>
  </si>
  <si>
    <t>themall.aucklandairport.co.nz</t>
  </si>
  <si>
    <t>coolmobile.net.nz</t>
  </si>
  <si>
    <t>harveynorman.co.nz</t>
  </si>
  <si>
    <t>noelleeming.co.nz</t>
  </si>
  <si>
    <t>appliancesonline.co.nz</t>
  </si>
  <si>
    <t>-</t>
  </si>
  <si>
    <t>pbtech.co.nz</t>
  </si>
  <si>
    <t>jbl.co.nz</t>
  </si>
  <si>
    <t>aucklanddutyfree.co.nz</t>
  </si>
  <si>
    <t>heathcotes.co.nz</t>
  </si>
  <si>
    <t>After GST To AED (NZD)</t>
  </si>
  <si>
    <t>item name</t>
  </si>
  <si>
    <t>Website</t>
  </si>
  <si>
    <t>Affter GST To AED (AUD)</t>
  </si>
  <si>
    <t>AED (USD)</t>
  </si>
  <si>
    <t>Sale Prices</t>
  </si>
  <si>
    <t>Different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</si>
</sst>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2" fontId="0" fillId="2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0A42-C303-4865-9B67-DDE1E3407D00}">
  <dimension ref="A1:M60"/>
  <sheetViews>
    <sheetView tabSelected="1" workbookViewId="0">
      <selection activeCell="E15" sqref="E15"/>
    </sheetView>
  </sheetViews>
  <sheetFormatPr defaultRowHeight="15" x14ac:dyDescent="0.25"/>
  <cols>
    <col min="2" max="2" width="73.42578125" bestFit="1" customWidth="1"/>
    <col min="3" max="3" width="28" bestFit="1" customWidth="1"/>
    <col min="4" max="4" width="26.5703125" bestFit="1" customWidth="1"/>
    <col min="5" max="5" width="23.140625" bestFit="1" customWidth="1"/>
    <col min="6" max="6" width="26.85546875" bestFit="1" customWidth="1"/>
    <col min="7" max="7" width="17.7109375" bestFit="1" customWidth="1"/>
    <col min="8" max="8" width="22.5703125" bestFit="1" customWidth="1"/>
    <col min="9" max="9" width="13.42578125" customWidth="1"/>
    <col min="10" max="10" width="16.5703125" bestFit="1" customWidth="1"/>
  </cols>
  <sheetData>
    <row r="1" spans="1:10" x14ac:dyDescent="0.25">
      <c r="A1" s="7" t="s">
        <v>0</v>
      </c>
      <c r="B1" s="7" t="s">
        <v>87</v>
      </c>
      <c r="C1" s="8" t="s">
        <v>88</v>
      </c>
      <c r="D1" s="8" t="s">
        <v>86</v>
      </c>
      <c r="E1" s="8" t="s">
        <v>88</v>
      </c>
      <c r="F1" s="8" t="s">
        <v>89</v>
      </c>
      <c r="G1" s="8" t="s">
        <v>88</v>
      </c>
      <c r="H1" s="8" t="s">
        <v>90</v>
      </c>
      <c r="I1" s="8" t="s">
        <v>91</v>
      </c>
      <c r="J1" s="8" t="s">
        <v>92</v>
      </c>
    </row>
    <row r="2" spans="1:10" x14ac:dyDescent="0.25">
      <c r="A2" s="1">
        <v>1</v>
      </c>
      <c r="B2" s="2" t="s">
        <v>51</v>
      </c>
      <c r="C2" s="2" t="s">
        <v>76</v>
      </c>
      <c r="D2" s="3">
        <v>391.90863919680004</v>
      </c>
      <c r="E2" s="2" t="s">
        <v>2</v>
      </c>
      <c r="F2" s="12">
        <v>226.44209090909089</v>
      </c>
      <c r="G2" s="2" t="s">
        <v>48</v>
      </c>
      <c r="H2" s="3">
        <v>367.21327500000001</v>
      </c>
      <c r="I2" s="2">
        <v>345</v>
      </c>
      <c r="J2" s="9">
        <f>I2-F2</f>
        <v>118.55790909090911</v>
      </c>
    </row>
    <row r="3" spans="1:10" x14ac:dyDescent="0.25">
      <c r="A3" s="1">
        <v>2</v>
      </c>
      <c r="B3" s="2" t="s">
        <v>52</v>
      </c>
      <c r="C3" s="2" t="s">
        <v>76</v>
      </c>
      <c r="D3" s="3">
        <v>391.90863919680004</v>
      </c>
      <c r="E3" s="2" t="s">
        <v>2</v>
      </c>
      <c r="F3" s="4">
        <v>464.55645454545453</v>
      </c>
      <c r="G3" s="2" t="s">
        <v>49</v>
      </c>
      <c r="H3" s="11">
        <v>367.21327499999995</v>
      </c>
      <c r="I3" s="2">
        <v>345</v>
      </c>
      <c r="J3" s="10">
        <f>I3-H3</f>
        <v>-22.213274999999953</v>
      </c>
    </row>
    <row r="4" spans="1:10" x14ac:dyDescent="0.25">
      <c r="A4" s="1">
        <v>3</v>
      </c>
      <c r="B4" s="2" t="s">
        <v>53</v>
      </c>
      <c r="C4" s="2" t="s">
        <v>76</v>
      </c>
      <c r="D4" s="3">
        <v>391.90863919680004</v>
      </c>
      <c r="E4" s="2" t="s">
        <v>2</v>
      </c>
      <c r="F4" s="12">
        <v>226.44209090909089</v>
      </c>
      <c r="G4" s="2" t="s">
        <v>48</v>
      </c>
      <c r="H4" s="3">
        <v>367.21327500000001</v>
      </c>
      <c r="I4" s="2">
        <v>345</v>
      </c>
      <c r="J4" s="9">
        <f>I4-F4</f>
        <v>118.55790909090911</v>
      </c>
    </row>
    <row r="5" spans="1:10" x14ac:dyDescent="0.25">
      <c r="A5" s="1">
        <v>4</v>
      </c>
      <c r="B5" s="2" t="s">
        <v>54</v>
      </c>
      <c r="C5" s="2" t="s">
        <v>77</v>
      </c>
      <c r="D5" s="3">
        <v>239.51210184000001</v>
      </c>
      <c r="E5" s="2" t="s">
        <v>3</v>
      </c>
      <c r="F5" s="12">
        <v>207.76645454545454</v>
      </c>
      <c r="G5" s="2" t="s">
        <v>48</v>
      </c>
      <c r="H5" s="3">
        <v>365.41374999999999</v>
      </c>
      <c r="I5" s="2">
        <v>425</v>
      </c>
      <c r="J5" s="9">
        <f>I5-F5</f>
        <v>217.23354545454546</v>
      </c>
    </row>
    <row r="6" spans="1:10" x14ac:dyDescent="0.25">
      <c r="A6" s="1">
        <v>5</v>
      </c>
      <c r="B6" s="2" t="s">
        <v>55</v>
      </c>
      <c r="C6" s="2" t="s">
        <v>77</v>
      </c>
      <c r="D6" s="11">
        <v>183.81161304</v>
      </c>
      <c r="E6" s="2" t="s">
        <v>3</v>
      </c>
      <c r="F6" s="4">
        <v>207.76645454545454</v>
      </c>
      <c r="G6" s="2" t="s">
        <v>48</v>
      </c>
      <c r="H6" s="3">
        <v>403.93827499999998</v>
      </c>
      <c r="I6" s="2">
        <v>425</v>
      </c>
      <c r="J6" s="9">
        <f t="shared" ref="J6:J60" si="0">I6-D6</f>
        <v>241.18838696</v>
      </c>
    </row>
    <row r="7" spans="1:10" x14ac:dyDescent="0.25">
      <c r="A7" s="1">
        <v>6</v>
      </c>
      <c r="B7" s="2" t="s">
        <v>56</v>
      </c>
      <c r="C7" s="2" t="s">
        <v>77</v>
      </c>
      <c r="D7" s="3">
        <v>239.51210184000001</v>
      </c>
      <c r="E7" s="2" t="s">
        <v>3</v>
      </c>
      <c r="F7" s="12">
        <v>207.76645454545454</v>
      </c>
      <c r="G7" s="2" t="s">
        <v>48</v>
      </c>
      <c r="H7" s="3">
        <v>403.93827499999998</v>
      </c>
      <c r="I7" s="2">
        <v>425</v>
      </c>
      <c r="J7" s="9">
        <f>I7-F7</f>
        <v>217.23354545454546</v>
      </c>
    </row>
    <row r="8" spans="1:10" x14ac:dyDescent="0.25">
      <c r="A8" s="1">
        <v>7</v>
      </c>
      <c r="B8" s="2" t="s">
        <v>57</v>
      </c>
      <c r="C8" s="2" t="s">
        <v>76</v>
      </c>
      <c r="D8" s="11">
        <v>324.91951799999998</v>
      </c>
      <c r="E8" s="2" t="s">
        <v>3</v>
      </c>
      <c r="F8" s="4">
        <v>431.87409090909091</v>
      </c>
      <c r="G8" s="2" t="s">
        <v>48</v>
      </c>
      <c r="H8" s="3">
        <v>587.56327499999998</v>
      </c>
      <c r="I8" s="2">
        <v>375</v>
      </c>
      <c r="J8" s="9">
        <f t="shared" si="0"/>
        <v>50.080482000000018</v>
      </c>
    </row>
    <row r="9" spans="1:10" x14ac:dyDescent="0.25">
      <c r="A9" s="1">
        <v>8</v>
      </c>
      <c r="B9" s="2" t="s">
        <v>58</v>
      </c>
      <c r="C9" s="2" t="s">
        <v>78</v>
      </c>
      <c r="D9" s="11">
        <v>354.62644535999999</v>
      </c>
      <c r="E9" s="2" t="s">
        <v>3</v>
      </c>
      <c r="F9" s="4">
        <v>431.87409090909091</v>
      </c>
      <c r="G9" s="2" t="s">
        <v>48</v>
      </c>
      <c r="H9" s="3">
        <v>587.56327499999998</v>
      </c>
      <c r="I9" s="2">
        <v>375</v>
      </c>
      <c r="J9" s="9">
        <f t="shared" si="0"/>
        <v>20.373554640000009</v>
      </c>
    </row>
    <row r="10" spans="1:10" x14ac:dyDescent="0.25">
      <c r="A10" s="1">
        <v>9</v>
      </c>
      <c r="B10" s="6" t="s">
        <v>59</v>
      </c>
      <c r="C10" s="2" t="s">
        <v>76</v>
      </c>
      <c r="D10" s="11">
        <v>324.91951799999998</v>
      </c>
      <c r="E10" s="2" t="s">
        <v>3</v>
      </c>
      <c r="F10" s="4">
        <v>431.87409090909091</v>
      </c>
      <c r="G10" s="2" t="s">
        <v>48</v>
      </c>
      <c r="H10" s="3">
        <v>587.56327499999998</v>
      </c>
      <c r="I10" s="2">
        <v>375</v>
      </c>
      <c r="J10" s="9">
        <f t="shared" si="0"/>
        <v>50.080482000000018</v>
      </c>
    </row>
    <row r="11" spans="1:10" x14ac:dyDescent="0.25">
      <c r="A11" s="1">
        <v>10</v>
      </c>
      <c r="B11" s="6" t="s">
        <v>60</v>
      </c>
      <c r="C11" s="2" t="s">
        <v>78</v>
      </c>
      <c r="D11" s="11">
        <v>354.62644535999999</v>
      </c>
      <c r="E11" s="2" t="s">
        <v>3</v>
      </c>
      <c r="F11" s="4">
        <v>431.87409090909091</v>
      </c>
      <c r="G11" s="2" t="s">
        <v>48</v>
      </c>
      <c r="H11" s="3">
        <v>587.56327499999998</v>
      </c>
      <c r="I11" s="2">
        <v>375</v>
      </c>
      <c r="J11" s="9">
        <f t="shared" si="0"/>
        <v>20.373554640000009</v>
      </c>
    </row>
    <row r="12" spans="1:10" x14ac:dyDescent="0.25">
      <c r="A12" s="1">
        <v>11</v>
      </c>
      <c r="B12" s="2" t="s">
        <v>61</v>
      </c>
      <c r="C12" s="2" t="s">
        <v>78</v>
      </c>
      <c r="D12" s="11">
        <v>354.62644535999999</v>
      </c>
      <c r="E12" s="2" t="s">
        <v>3</v>
      </c>
      <c r="F12" s="4">
        <v>431.87409090909091</v>
      </c>
      <c r="G12" s="2" t="s">
        <v>48</v>
      </c>
      <c r="H12" s="3">
        <v>587.56327499999998</v>
      </c>
      <c r="I12" s="2">
        <v>375</v>
      </c>
      <c r="J12" s="9">
        <f t="shared" si="0"/>
        <v>20.373554640000009</v>
      </c>
    </row>
    <row r="13" spans="1:10" x14ac:dyDescent="0.25">
      <c r="A13" s="1">
        <v>12</v>
      </c>
      <c r="B13" s="2" t="s">
        <v>62</v>
      </c>
      <c r="C13" s="2" t="s">
        <v>76</v>
      </c>
      <c r="D13" s="11">
        <v>256.7049860496</v>
      </c>
      <c r="E13" s="2" t="s">
        <v>3</v>
      </c>
      <c r="F13" s="4">
        <v>340.83036363636359</v>
      </c>
      <c r="G13" s="2" t="s">
        <v>48</v>
      </c>
      <c r="H13" s="3">
        <v>367.21327499999995</v>
      </c>
      <c r="I13" s="2">
        <v>275</v>
      </c>
      <c r="J13" s="9">
        <f t="shared" si="0"/>
        <v>18.295013950400005</v>
      </c>
    </row>
    <row r="14" spans="1:10" x14ac:dyDescent="0.25">
      <c r="A14" s="1">
        <v>13</v>
      </c>
      <c r="B14" s="2" t="s">
        <v>63</v>
      </c>
      <c r="C14" s="2" t="s">
        <v>1</v>
      </c>
      <c r="D14" s="11">
        <v>278.50244399999997</v>
      </c>
      <c r="E14" s="2" t="s">
        <v>3</v>
      </c>
      <c r="F14" s="4">
        <v>340.83036363636359</v>
      </c>
      <c r="G14" s="2" t="s">
        <v>48</v>
      </c>
      <c r="H14" s="3">
        <v>367.21327499999995</v>
      </c>
      <c r="I14" s="2">
        <v>275</v>
      </c>
      <c r="J14" s="10">
        <f t="shared" si="0"/>
        <v>-3.5024439999999686</v>
      </c>
    </row>
    <row r="15" spans="1:10" x14ac:dyDescent="0.25">
      <c r="A15" s="1">
        <v>14</v>
      </c>
      <c r="B15" s="2" t="s">
        <v>64</v>
      </c>
      <c r="C15" s="2" t="s">
        <v>1</v>
      </c>
      <c r="D15" s="11">
        <v>278.50244399999997</v>
      </c>
      <c r="E15" s="2" t="s">
        <v>3</v>
      </c>
      <c r="F15" s="4">
        <v>340.83036363636359</v>
      </c>
      <c r="G15" s="2" t="s">
        <v>48</v>
      </c>
      <c r="H15" s="3">
        <v>367.21327499999995</v>
      </c>
      <c r="I15" s="2">
        <v>275</v>
      </c>
      <c r="J15" s="10">
        <f t="shared" si="0"/>
        <v>-3.5024439999999686</v>
      </c>
    </row>
    <row r="16" spans="1:10" x14ac:dyDescent="0.25">
      <c r="A16" s="1">
        <v>15</v>
      </c>
      <c r="B16" s="2" t="s">
        <v>4</v>
      </c>
      <c r="C16" s="2" t="s">
        <v>79</v>
      </c>
      <c r="D16" s="11">
        <v>608.99201088000007</v>
      </c>
      <c r="E16" s="2" t="s">
        <v>9</v>
      </c>
      <c r="F16" s="4">
        <v>674.65736363636358</v>
      </c>
      <c r="G16" s="2" t="s">
        <v>48</v>
      </c>
      <c r="H16" s="3">
        <v>694.10249999999996</v>
      </c>
      <c r="I16" s="2">
        <v>870</v>
      </c>
      <c r="J16" s="9">
        <f t="shared" si="0"/>
        <v>261.00798911999993</v>
      </c>
    </row>
    <row r="17" spans="1:10" x14ac:dyDescent="0.25">
      <c r="A17" s="1">
        <v>16</v>
      </c>
      <c r="B17" s="2" t="s">
        <v>65</v>
      </c>
      <c r="C17" s="2" t="s">
        <v>79</v>
      </c>
      <c r="D17" s="11">
        <v>608.99201088000007</v>
      </c>
      <c r="E17" s="2" t="s">
        <v>9</v>
      </c>
      <c r="F17" s="4">
        <v>674.65736363636358</v>
      </c>
      <c r="G17" s="2" t="s">
        <v>48</v>
      </c>
      <c r="H17" s="3">
        <v>694.10249999999996</v>
      </c>
      <c r="I17" s="2">
        <v>870</v>
      </c>
      <c r="J17" s="9">
        <f t="shared" si="0"/>
        <v>261.00798911999993</v>
      </c>
    </row>
    <row r="18" spans="1:10" x14ac:dyDescent="0.25">
      <c r="A18" s="1">
        <v>17</v>
      </c>
      <c r="B18" s="2" t="s">
        <v>5</v>
      </c>
      <c r="C18" s="2" t="s">
        <v>1</v>
      </c>
      <c r="D18" s="3">
        <v>256.22224848000002</v>
      </c>
      <c r="E18" s="2" t="s">
        <v>66</v>
      </c>
      <c r="F18" s="12">
        <v>231.11099999999999</v>
      </c>
      <c r="G18" s="2" t="s">
        <v>49</v>
      </c>
      <c r="H18" s="3">
        <v>477.38827500000002</v>
      </c>
      <c r="I18" s="2">
        <v>85</v>
      </c>
      <c r="J18" s="10">
        <f>I18-F18</f>
        <v>-146.11099999999999</v>
      </c>
    </row>
    <row r="19" spans="1:10" x14ac:dyDescent="0.25">
      <c r="A19" s="1">
        <v>18</v>
      </c>
      <c r="B19" s="2" t="s">
        <v>6</v>
      </c>
      <c r="C19" s="2" t="s">
        <v>80</v>
      </c>
      <c r="D19" s="3">
        <v>360.19649423999999</v>
      </c>
      <c r="E19" s="2" t="s">
        <v>7</v>
      </c>
      <c r="F19" s="12">
        <v>301.14463636363638</v>
      </c>
      <c r="G19" s="2" t="s">
        <v>48</v>
      </c>
      <c r="H19" s="3">
        <v>513.96637499999997</v>
      </c>
      <c r="I19" s="2">
        <v>125</v>
      </c>
      <c r="J19" s="10">
        <f>I19-F19</f>
        <v>-176.14463636363638</v>
      </c>
    </row>
    <row r="20" spans="1:10" x14ac:dyDescent="0.25">
      <c r="A20" s="1">
        <v>19</v>
      </c>
      <c r="B20" s="2" t="s">
        <v>8</v>
      </c>
      <c r="C20" s="2" t="s">
        <v>1</v>
      </c>
      <c r="D20" s="11">
        <v>2075.7715492799998</v>
      </c>
      <c r="E20" s="2" t="s">
        <v>67</v>
      </c>
      <c r="F20" s="4">
        <v>2789.6731818181815</v>
      </c>
      <c r="G20" s="2" t="s">
        <v>48</v>
      </c>
      <c r="H20" s="3">
        <v>3305.0663749999999</v>
      </c>
      <c r="I20" s="2">
        <v>2360</v>
      </c>
      <c r="J20" s="9">
        <f t="shared" si="0"/>
        <v>284.22845072000018</v>
      </c>
    </row>
    <row r="21" spans="1:10" x14ac:dyDescent="0.25">
      <c r="A21" s="1">
        <v>20</v>
      </c>
      <c r="B21" s="2" t="s">
        <v>10</v>
      </c>
      <c r="C21" s="2" t="s">
        <v>1</v>
      </c>
      <c r="D21" s="11">
        <v>2205.73935648</v>
      </c>
      <c r="E21" s="2" t="s">
        <v>9</v>
      </c>
      <c r="F21" s="4">
        <v>2609.9201818181818</v>
      </c>
      <c r="G21" s="2" t="s">
        <v>48</v>
      </c>
      <c r="H21" s="3">
        <v>2937.9632750000001</v>
      </c>
      <c r="I21" s="2"/>
      <c r="J21" s="10">
        <f t="shared" si="0"/>
        <v>-2205.73935648</v>
      </c>
    </row>
    <row r="22" spans="1:10" x14ac:dyDescent="0.25">
      <c r="A22" s="1">
        <v>21</v>
      </c>
      <c r="B22" s="2" t="s">
        <v>11</v>
      </c>
      <c r="C22" s="2" t="s">
        <v>77</v>
      </c>
      <c r="D22" s="11">
        <v>518.01454583999998</v>
      </c>
      <c r="E22" s="2" t="s">
        <v>9</v>
      </c>
      <c r="F22" s="4">
        <v>805.38681818181817</v>
      </c>
      <c r="G22" s="2" t="s">
        <v>48</v>
      </c>
      <c r="H22" s="3">
        <v>1211.7413749999998</v>
      </c>
      <c r="I22" s="2"/>
      <c r="J22" s="10">
        <f t="shared" si="0"/>
        <v>-518.01454583999998</v>
      </c>
    </row>
    <row r="23" spans="1:10" x14ac:dyDescent="0.25">
      <c r="A23" s="1">
        <v>22</v>
      </c>
      <c r="B23" s="2" t="s">
        <v>12</v>
      </c>
      <c r="C23" s="2" t="s">
        <v>1</v>
      </c>
      <c r="D23" s="11">
        <v>181.95493008</v>
      </c>
      <c r="E23" s="2" t="s">
        <v>2</v>
      </c>
      <c r="F23" s="4">
        <v>184.42190909090908</v>
      </c>
      <c r="G23" s="2" t="s">
        <v>49</v>
      </c>
      <c r="H23" s="3">
        <v>256.89137499999998</v>
      </c>
      <c r="I23" s="2">
        <v>230</v>
      </c>
      <c r="J23" s="9">
        <f t="shared" si="0"/>
        <v>48.045069920000003</v>
      </c>
    </row>
    <row r="24" spans="1:10" x14ac:dyDescent="0.25">
      <c r="A24" s="1">
        <v>23</v>
      </c>
      <c r="B24" s="2" t="s">
        <v>68</v>
      </c>
      <c r="C24" s="2" t="s">
        <v>81</v>
      </c>
      <c r="D24" s="3">
        <v>0</v>
      </c>
      <c r="E24" s="2" t="s">
        <v>3</v>
      </c>
      <c r="F24" s="12">
        <v>186.75636363636363</v>
      </c>
      <c r="G24" s="2" t="s">
        <v>48</v>
      </c>
      <c r="H24" s="3">
        <v>256.89137499999998</v>
      </c>
      <c r="I24" s="2">
        <v>230</v>
      </c>
      <c r="J24" s="9">
        <f>I24-F24</f>
        <v>43.243636363636369</v>
      </c>
    </row>
    <row r="25" spans="1:10" x14ac:dyDescent="0.25">
      <c r="A25" s="1">
        <v>24</v>
      </c>
      <c r="B25" s="2" t="s">
        <v>17</v>
      </c>
      <c r="C25" s="2" t="s">
        <v>1</v>
      </c>
      <c r="D25" s="11">
        <v>181.95493008</v>
      </c>
      <c r="E25" s="2" t="s">
        <v>2</v>
      </c>
      <c r="F25" s="4">
        <v>184.42190909090908</v>
      </c>
      <c r="G25" s="2" t="s">
        <v>49</v>
      </c>
      <c r="H25" s="3">
        <v>256.89137499999998</v>
      </c>
      <c r="I25" s="2">
        <v>230</v>
      </c>
      <c r="J25" s="9">
        <f t="shared" si="0"/>
        <v>48.045069920000003</v>
      </c>
    </row>
    <row r="26" spans="1:10" x14ac:dyDescent="0.25">
      <c r="A26" s="1">
        <v>25</v>
      </c>
      <c r="B26" s="2" t="s">
        <v>18</v>
      </c>
      <c r="C26" s="2" t="s">
        <v>1</v>
      </c>
      <c r="D26" s="11">
        <v>181.95493008</v>
      </c>
      <c r="E26" s="2" t="s">
        <v>69</v>
      </c>
      <c r="F26" s="4">
        <v>226.44209090909089</v>
      </c>
      <c r="G26" s="2" t="s">
        <v>49</v>
      </c>
      <c r="H26" s="3">
        <v>256.89137499999998</v>
      </c>
      <c r="I26" s="2">
        <v>230</v>
      </c>
      <c r="J26" s="9">
        <f t="shared" si="0"/>
        <v>48.045069920000003</v>
      </c>
    </row>
    <row r="27" spans="1:10" x14ac:dyDescent="0.25">
      <c r="A27" s="1">
        <v>26</v>
      </c>
      <c r="B27" s="2" t="s">
        <v>19</v>
      </c>
      <c r="C27" s="2" t="s">
        <v>1</v>
      </c>
      <c r="D27" s="11">
        <v>181.95493008</v>
      </c>
      <c r="E27" s="2" t="s">
        <v>2</v>
      </c>
      <c r="F27" s="4">
        <v>184.42190909090908</v>
      </c>
      <c r="G27" s="2" t="s">
        <v>49</v>
      </c>
      <c r="H27" s="3">
        <v>256.89137499999998</v>
      </c>
      <c r="I27" s="2">
        <v>230</v>
      </c>
      <c r="J27" s="9">
        <f t="shared" si="0"/>
        <v>48.045069920000003</v>
      </c>
    </row>
    <row r="28" spans="1:10" x14ac:dyDescent="0.25">
      <c r="A28" s="1">
        <v>27</v>
      </c>
      <c r="B28" s="2" t="s">
        <v>20</v>
      </c>
      <c r="C28" s="2" t="s">
        <v>1</v>
      </c>
      <c r="D28" s="11">
        <v>181.95493008</v>
      </c>
      <c r="E28" s="2" t="s">
        <v>9</v>
      </c>
      <c r="F28" s="4">
        <v>186.75636363636363</v>
      </c>
      <c r="G28" s="2" t="s">
        <v>49</v>
      </c>
      <c r="H28" s="3">
        <v>256.89137499999998</v>
      </c>
      <c r="I28" s="2">
        <v>230</v>
      </c>
      <c r="J28" s="9">
        <f t="shared" si="0"/>
        <v>48.045069920000003</v>
      </c>
    </row>
    <row r="29" spans="1:10" x14ac:dyDescent="0.25">
      <c r="A29" s="1">
        <v>28</v>
      </c>
      <c r="B29" s="2" t="s">
        <v>21</v>
      </c>
      <c r="C29" s="2" t="s">
        <v>1</v>
      </c>
      <c r="D29" s="11">
        <v>181.95493008</v>
      </c>
      <c r="E29" s="2" t="s">
        <v>3</v>
      </c>
      <c r="F29" s="4">
        <v>186.75636363636363</v>
      </c>
      <c r="G29" s="2" t="s">
        <v>49</v>
      </c>
      <c r="H29" s="3">
        <v>256.89137499999998</v>
      </c>
      <c r="I29" s="2">
        <v>230</v>
      </c>
      <c r="J29" s="9">
        <f t="shared" si="0"/>
        <v>48.045069920000003</v>
      </c>
    </row>
    <row r="30" spans="1:10" x14ac:dyDescent="0.25">
      <c r="A30" s="1">
        <v>29</v>
      </c>
      <c r="B30" s="2" t="s">
        <v>22</v>
      </c>
      <c r="C30" s="2" t="s">
        <v>1</v>
      </c>
      <c r="D30" s="11">
        <v>181.95493008</v>
      </c>
      <c r="E30" s="2" t="s">
        <v>2</v>
      </c>
      <c r="F30" s="4">
        <v>184.42190909090908</v>
      </c>
      <c r="G30" s="2" t="s">
        <v>49</v>
      </c>
      <c r="H30" s="3">
        <v>256.89137499999998</v>
      </c>
      <c r="I30" s="2">
        <v>230</v>
      </c>
      <c r="J30" s="9">
        <f t="shared" si="0"/>
        <v>48.045069920000003</v>
      </c>
    </row>
    <row r="31" spans="1:10" x14ac:dyDescent="0.25">
      <c r="A31" s="1">
        <v>30</v>
      </c>
      <c r="B31" s="2" t="s">
        <v>23</v>
      </c>
      <c r="C31" s="2" t="s">
        <v>1</v>
      </c>
      <c r="D31" s="11">
        <v>181.95493008</v>
      </c>
      <c r="E31" s="2" t="s">
        <v>69</v>
      </c>
      <c r="F31" s="4">
        <v>226.44209090909089</v>
      </c>
      <c r="G31" s="2" t="s">
        <v>49</v>
      </c>
      <c r="H31" s="3">
        <v>256.89137499999998</v>
      </c>
      <c r="I31" s="2">
        <v>230</v>
      </c>
      <c r="J31" s="9">
        <f t="shared" si="0"/>
        <v>48.045069920000003</v>
      </c>
    </row>
    <row r="32" spans="1:10" x14ac:dyDescent="0.25">
      <c r="A32" s="1">
        <v>31</v>
      </c>
      <c r="B32" s="2" t="s">
        <v>13</v>
      </c>
      <c r="C32" s="2" t="s">
        <v>1</v>
      </c>
      <c r="D32" s="11">
        <v>763.09669656000005</v>
      </c>
      <c r="E32" s="2" t="s">
        <v>70</v>
      </c>
      <c r="F32" s="4">
        <v>861.41372727272721</v>
      </c>
      <c r="G32" s="2" t="s">
        <v>48</v>
      </c>
      <c r="H32" s="3">
        <v>1579.138275</v>
      </c>
      <c r="I32" s="2">
        <v>560</v>
      </c>
      <c r="J32" s="10">
        <f t="shared" si="0"/>
        <v>-203.09669656000005</v>
      </c>
    </row>
    <row r="33" spans="1:10" x14ac:dyDescent="0.25">
      <c r="A33" s="1">
        <v>32</v>
      </c>
      <c r="B33" s="2" t="s">
        <v>14</v>
      </c>
      <c r="C33" s="2" t="s">
        <v>1</v>
      </c>
      <c r="D33" s="11">
        <v>763.09669656000005</v>
      </c>
      <c r="E33" s="2" t="s">
        <v>9</v>
      </c>
      <c r="F33" s="4">
        <v>1155.5550000000001</v>
      </c>
      <c r="G33" s="2" t="s">
        <v>48</v>
      </c>
      <c r="H33" s="3">
        <v>1579.138275</v>
      </c>
      <c r="I33" s="2"/>
      <c r="J33" s="10">
        <f t="shared" si="0"/>
        <v>-763.09669656000005</v>
      </c>
    </row>
    <row r="34" spans="1:10" x14ac:dyDescent="0.25">
      <c r="A34" s="1">
        <v>33</v>
      </c>
      <c r="B34" s="2" t="s">
        <v>15</v>
      </c>
      <c r="C34" s="2" t="s">
        <v>1</v>
      </c>
      <c r="D34" s="11">
        <v>1177.13699664</v>
      </c>
      <c r="E34" s="2" t="s">
        <v>71</v>
      </c>
      <c r="F34" s="4">
        <v>1389.0004545454544</v>
      </c>
      <c r="G34" s="2" t="s">
        <v>48</v>
      </c>
      <c r="H34" s="3">
        <v>2019.6913750000001</v>
      </c>
      <c r="I34" s="2">
        <v>1220</v>
      </c>
      <c r="J34" s="9">
        <f t="shared" si="0"/>
        <v>42.863003359999993</v>
      </c>
    </row>
    <row r="35" spans="1:10" x14ac:dyDescent="0.25">
      <c r="A35" s="1">
        <v>34</v>
      </c>
      <c r="B35" s="2" t="s">
        <v>16</v>
      </c>
      <c r="C35" s="2" t="s">
        <v>1</v>
      </c>
      <c r="D35" s="11">
        <v>1177.13699664</v>
      </c>
      <c r="E35" s="2" t="s">
        <v>72</v>
      </c>
      <c r="F35" s="4">
        <v>1468.371909090909</v>
      </c>
      <c r="G35" s="2" t="s">
        <v>48</v>
      </c>
      <c r="H35" s="3">
        <v>2019.6913750000001</v>
      </c>
      <c r="I35" s="2">
        <v>1240</v>
      </c>
      <c r="J35" s="9">
        <f t="shared" si="0"/>
        <v>62.863003359999993</v>
      </c>
    </row>
    <row r="36" spans="1:10" x14ac:dyDescent="0.25">
      <c r="A36" s="1">
        <v>35</v>
      </c>
      <c r="B36" s="2" t="s">
        <v>24</v>
      </c>
      <c r="C36" s="2" t="s">
        <v>1</v>
      </c>
      <c r="D36" s="11">
        <v>1524.3367101599999</v>
      </c>
      <c r="E36" s="2" t="s">
        <v>25</v>
      </c>
      <c r="F36" s="4">
        <v>1750.8175645454544</v>
      </c>
      <c r="G36" s="2" t="s">
        <v>48</v>
      </c>
      <c r="H36" s="3">
        <v>2754.1913749999999</v>
      </c>
      <c r="I36" s="2">
        <v>1550</v>
      </c>
      <c r="J36" s="9">
        <f t="shared" si="0"/>
        <v>25.663289840000061</v>
      </c>
    </row>
    <row r="37" spans="1:10" x14ac:dyDescent="0.25">
      <c r="A37" s="1">
        <v>36</v>
      </c>
      <c r="B37" s="2" t="s">
        <v>26</v>
      </c>
      <c r="C37" s="2" t="s">
        <v>83</v>
      </c>
      <c r="D37" s="3">
        <v>129.874973052</v>
      </c>
      <c r="E37" s="2" t="s">
        <v>3</v>
      </c>
      <c r="F37" s="12">
        <v>81.705909090909088</v>
      </c>
      <c r="G37" s="2" t="s">
        <v>48</v>
      </c>
      <c r="H37" s="3">
        <v>146.716375</v>
      </c>
      <c r="I37" s="2">
        <v>97</v>
      </c>
      <c r="J37" s="9">
        <f>I37-F37</f>
        <v>15.294090909090912</v>
      </c>
    </row>
    <row r="38" spans="1:10" x14ac:dyDescent="0.25">
      <c r="A38" s="1">
        <v>37</v>
      </c>
      <c r="B38" s="2" t="s">
        <v>27</v>
      </c>
      <c r="C38" s="2" t="s">
        <v>82</v>
      </c>
      <c r="D38" s="3">
        <v>129.85640622239998</v>
      </c>
      <c r="E38" s="2" t="s">
        <v>67</v>
      </c>
      <c r="F38" s="12">
        <v>79.37145454545454</v>
      </c>
      <c r="G38" s="2" t="s">
        <v>48</v>
      </c>
      <c r="H38" s="3">
        <v>146.716375</v>
      </c>
      <c r="I38" s="2">
        <v>97</v>
      </c>
      <c r="J38" s="9">
        <f t="shared" ref="J38:J42" si="1">I38-F38</f>
        <v>17.62854545454546</v>
      </c>
    </row>
    <row r="39" spans="1:10" x14ac:dyDescent="0.25">
      <c r="A39" s="1">
        <v>38</v>
      </c>
      <c r="B39" s="2" t="s">
        <v>28</v>
      </c>
      <c r="C39" s="2" t="s">
        <v>1</v>
      </c>
      <c r="D39" s="3">
        <v>89.120782080000012</v>
      </c>
      <c r="E39" s="2" t="s">
        <v>69</v>
      </c>
      <c r="F39" s="12">
        <v>86.374818181818171</v>
      </c>
      <c r="G39" s="2" t="s">
        <v>48</v>
      </c>
      <c r="H39" s="3">
        <v>146.716375</v>
      </c>
      <c r="I39" s="2">
        <v>97</v>
      </c>
      <c r="J39" s="9">
        <f t="shared" si="1"/>
        <v>10.625181818181829</v>
      </c>
    </row>
    <row r="40" spans="1:10" x14ac:dyDescent="0.25">
      <c r="A40" s="1">
        <v>39</v>
      </c>
      <c r="B40" s="2" t="s">
        <v>29</v>
      </c>
      <c r="C40" s="2" t="s">
        <v>1</v>
      </c>
      <c r="D40" s="3">
        <v>89.120782080000012</v>
      </c>
      <c r="E40" s="2" t="s">
        <v>67</v>
      </c>
      <c r="F40" s="12">
        <v>79.37145454545454</v>
      </c>
      <c r="G40" s="2" t="s">
        <v>48</v>
      </c>
      <c r="H40" s="3">
        <v>146.716375</v>
      </c>
      <c r="I40" s="2">
        <v>97</v>
      </c>
      <c r="J40" s="9">
        <f t="shared" si="1"/>
        <v>17.62854545454546</v>
      </c>
    </row>
    <row r="41" spans="1:10" x14ac:dyDescent="0.25">
      <c r="A41" s="1">
        <v>40</v>
      </c>
      <c r="B41" s="2" t="s">
        <v>30</v>
      </c>
      <c r="C41" s="2" t="s">
        <v>81</v>
      </c>
      <c r="D41" s="3">
        <v>0</v>
      </c>
      <c r="E41" s="2" t="s">
        <v>3</v>
      </c>
      <c r="F41" s="12">
        <v>81.705909090909088</v>
      </c>
      <c r="G41" s="2" t="s">
        <v>48</v>
      </c>
      <c r="H41" s="3">
        <v>146.716375</v>
      </c>
      <c r="I41" s="2">
        <v>97</v>
      </c>
      <c r="J41" s="9">
        <f t="shared" si="1"/>
        <v>15.294090909090912</v>
      </c>
    </row>
    <row r="42" spans="1:10" x14ac:dyDescent="0.25">
      <c r="A42" s="1">
        <v>41</v>
      </c>
      <c r="B42" s="2" t="s">
        <v>31</v>
      </c>
      <c r="C42" s="2" t="s">
        <v>1</v>
      </c>
      <c r="D42" s="3">
        <v>89.120782080000012</v>
      </c>
      <c r="E42" s="2" t="s">
        <v>67</v>
      </c>
      <c r="F42" s="12">
        <v>79.37145454545454</v>
      </c>
      <c r="G42" s="2" t="s">
        <v>48</v>
      </c>
      <c r="H42" s="3">
        <v>146.716375</v>
      </c>
      <c r="I42" s="2">
        <v>97</v>
      </c>
      <c r="J42" s="9">
        <f t="shared" si="1"/>
        <v>17.62854545454546</v>
      </c>
    </row>
    <row r="43" spans="1:10" x14ac:dyDescent="0.25">
      <c r="A43" s="1">
        <v>42</v>
      </c>
      <c r="B43" s="2" t="s">
        <v>32</v>
      </c>
      <c r="C43" s="2" t="s">
        <v>79</v>
      </c>
      <c r="D43" s="11">
        <v>3152.6476660800004</v>
      </c>
      <c r="E43" s="2" t="s">
        <v>71</v>
      </c>
      <c r="F43" s="4">
        <v>3940.5592727272729</v>
      </c>
      <c r="G43" s="2" t="s">
        <v>49</v>
      </c>
      <c r="H43" s="3">
        <v>6977.5663750000003</v>
      </c>
      <c r="I43" s="2">
        <v>3200</v>
      </c>
      <c r="J43" s="9">
        <f t="shared" si="0"/>
        <v>47.352333919999637</v>
      </c>
    </row>
    <row r="44" spans="1:10" x14ac:dyDescent="0.25">
      <c r="A44" s="1">
        <v>43</v>
      </c>
      <c r="B44" s="2" t="s">
        <v>50</v>
      </c>
      <c r="C44" s="2" t="s">
        <v>82</v>
      </c>
      <c r="D44" s="3">
        <v>248.79551664000002</v>
      </c>
      <c r="E44" s="2" t="s">
        <v>69</v>
      </c>
      <c r="F44" s="12">
        <v>228.77654545454544</v>
      </c>
      <c r="G44" s="2" t="s">
        <v>49</v>
      </c>
      <c r="H44" s="3">
        <v>257.038275</v>
      </c>
      <c r="I44" s="2"/>
      <c r="J44" s="10">
        <f>I44-F44</f>
        <v>-228.77654545454544</v>
      </c>
    </row>
    <row r="45" spans="1:10" x14ac:dyDescent="0.25">
      <c r="A45" s="1">
        <v>44</v>
      </c>
      <c r="B45" s="2" t="s">
        <v>45</v>
      </c>
      <c r="C45" s="2" t="s">
        <v>79</v>
      </c>
      <c r="D45" s="11">
        <v>1180.8503625600001</v>
      </c>
      <c r="E45" s="2" t="s">
        <v>9</v>
      </c>
      <c r="F45" s="4">
        <v>1293.287818181818</v>
      </c>
      <c r="G45" s="2" t="s">
        <v>48</v>
      </c>
      <c r="H45" s="3">
        <v>1391.8775000000001</v>
      </c>
      <c r="I45" s="2">
        <v>1870</v>
      </c>
      <c r="J45" s="9">
        <f t="shared" si="0"/>
        <v>689.14963743999988</v>
      </c>
    </row>
    <row r="46" spans="1:10" x14ac:dyDescent="0.25">
      <c r="A46" s="1">
        <v>45</v>
      </c>
      <c r="B46" s="2" t="s">
        <v>33</v>
      </c>
      <c r="C46" s="2" t="s">
        <v>76</v>
      </c>
      <c r="D46" s="11">
        <v>133.49550482400002</v>
      </c>
      <c r="E46" s="2" t="s">
        <v>9</v>
      </c>
      <c r="F46" s="4">
        <v>165.74627272727272</v>
      </c>
      <c r="G46" s="2" t="s">
        <v>48</v>
      </c>
      <c r="H46" s="3">
        <v>293.61637500000001</v>
      </c>
      <c r="I46" s="2">
        <v>140</v>
      </c>
      <c r="J46" s="9">
        <f t="shared" si="0"/>
        <v>6.5044951759999776</v>
      </c>
    </row>
    <row r="47" spans="1:10" x14ac:dyDescent="0.25">
      <c r="A47" s="1">
        <v>46</v>
      </c>
      <c r="B47" s="2" t="s">
        <v>34</v>
      </c>
      <c r="C47" s="2" t="s">
        <v>76</v>
      </c>
      <c r="D47" s="11">
        <v>133.49550482400002</v>
      </c>
      <c r="E47" s="2" t="s">
        <v>9</v>
      </c>
      <c r="F47" s="4">
        <v>165.74627272727272</v>
      </c>
      <c r="G47" s="2" t="s">
        <v>48</v>
      </c>
      <c r="H47" s="3">
        <v>293.61637500000001</v>
      </c>
      <c r="I47" s="2">
        <v>140</v>
      </c>
      <c r="J47" s="9">
        <f t="shared" si="0"/>
        <v>6.5044951759999776</v>
      </c>
    </row>
    <row r="48" spans="1:10" x14ac:dyDescent="0.25">
      <c r="A48" s="1">
        <v>47</v>
      </c>
      <c r="B48" s="2" t="s">
        <v>35</v>
      </c>
      <c r="C48" s="2" t="s">
        <v>1</v>
      </c>
      <c r="D48" s="11">
        <v>144.82127088000001</v>
      </c>
      <c r="E48" s="2" t="s">
        <v>9</v>
      </c>
      <c r="F48" s="4">
        <v>165.74627272727272</v>
      </c>
      <c r="G48" s="2" t="s">
        <v>48</v>
      </c>
      <c r="H48" s="3">
        <v>293.61637500000001</v>
      </c>
      <c r="I48" s="2">
        <v>140</v>
      </c>
      <c r="J48" s="10">
        <f t="shared" si="0"/>
        <v>-4.8212708800000144</v>
      </c>
    </row>
    <row r="49" spans="1:13" x14ac:dyDescent="0.25">
      <c r="A49" s="1">
        <v>48</v>
      </c>
      <c r="B49" s="2" t="s">
        <v>36</v>
      </c>
      <c r="C49" s="2" t="s">
        <v>1</v>
      </c>
      <c r="D49" s="11">
        <v>1242.1209002400001</v>
      </c>
      <c r="E49" s="2" t="s">
        <v>7</v>
      </c>
      <c r="F49" s="4">
        <v>1400.6727272727273</v>
      </c>
      <c r="G49" s="2" t="s">
        <v>48</v>
      </c>
      <c r="H49" s="3">
        <v>2019.6913750000001</v>
      </c>
      <c r="I49" s="2">
        <v>1235</v>
      </c>
      <c r="J49" s="10">
        <f t="shared" si="0"/>
        <v>-7.1209002400000827</v>
      </c>
    </row>
    <row r="50" spans="1:13" x14ac:dyDescent="0.25">
      <c r="A50" s="1">
        <v>49</v>
      </c>
      <c r="B50" s="2" t="s">
        <v>37</v>
      </c>
      <c r="C50" s="2" t="s">
        <v>78</v>
      </c>
      <c r="D50" s="11">
        <v>1017.46226208</v>
      </c>
      <c r="E50" s="2" t="s">
        <v>9</v>
      </c>
      <c r="F50" s="4">
        <v>1234.9264545454544</v>
      </c>
      <c r="G50" s="2" t="s">
        <v>48</v>
      </c>
      <c r="H50" s="3">
        <v>2019.6913750000001</v>
      </c>
      <c r="I50" s="2">
        <v>1250</v>
      </c>
      <c r="J50" s="9">
        <f t="shared" si="0"/>
        <v>232.53773792000004</v>
      </c>
    </row>
    <row r="51" spans="1:13" x14ac:dyDescent="0.25">
      <c r="A51" s="1">
        <v>50</v>
      </c>
      <c r="B51" s="2" t="s">
        <v>38</v>
      </c>
      <c r="C51" s="2" t="s">
        <v>1</v>
      </c>
      <c r="D51" s="3">
        <v>692.54274408000003</v>
      </c>
      <c r="E51" s="2" t="s">
        <v>3</v>
      </c>
      <c r="F51" s="12">
        <v>660.65063636363629</v>
      </c>
      <c r="G51" s="2" t="s">
        <v>48</v>
      </c>
      <c r="H51" s="3">
        <v>1395.3663749999998</v>
      </c>
      <c r="I51" s="2">
        <v>675</v>
      </c>
      <c r="J51" s="9">
        <f>I51-F51</f>
        <v>14.349363636363705</v>
      </c>
    </row>
    <row r="52" spans="1:13" x14ac:dyDescent="0.25">
      <c r="A52" s="1">
        <v>51</v>
      </c>
      <c r="B52" s="2" t="s">
        <v>73</v>
      </c>
      <c r="C52" s="2" t="s">
        <v>1</v>
      </c>
      <c r="D52" s="3">
        <v>692.54274408000003</v>
      </c>
      <c r="E52" s="2" t="s">
        <v>3</v>
      </c>
      <c r="F52" s="12">
        <v>660.65063636363629</v>
      </c>
      <c r="G52" s="2" t="s">
        <v>48</v>
      </c>
      <c r="H52" s="3">
        <v>1395.3663749999998</v>
      </c>
      <c r="I52" s="2"/>
      <c r="J52" s="10">
        <f>I52-F52</f>
        <v>-660.65063636363629</v>
      </c>
    </row>
    <row r="53" spans="1:13" x14ac:dyDescent="0.25">
      <c r="A53" s="1">
        <v>52</v>
      </c>
      <c r="B53" s="2" t="s">
        <v>39</v>
      </c>
      <c r="C53" s="2" t="s">
        <v>78</v>
      </c>
      <c r="D53" s="11">
        <v>677.68928040000003</v>
      </c>
      <c r="E53" s="2" t="s">
        <v>9</v>
      </c>
      <c r="F53" s="4">
        <v>686.32963636363638</v>
      </c>
      <c r="G53" s="2" t="s">
        <v>49</v>
      </c>
      <c r="H53" s="3">
        <v>727.15499999999997</v>
      </c>
      <c r="I53" s="2"/>
      <c r="J53" s="10">
        <f t="shared" ref="J53:J56" si="2">I53-F53</f>
        <v>-686.32963636363638</v>
      </c>
      <c r="M53" s="5"/>
    </row>
    <row r="54" spans="1:13" x14ac:dyDescent="0.25">
      <c r="A54" s="1">
        <v>53</v>
      </c>
      <c r="B54" s="2" t="s">
        <v>40</v>
      </c>
      <c r="C54" s="2" t="s">
        <v>78</v>
      </c>
      <c r="D54" s="11">
        <v>677.68928040000003</v>
      </c>
      <c r="E54" s="2" t="s">
        <v>9</v>
      </c>
      <c r="F54" s="4">
        <v>686.32963636363638</v>
      </c>
      <c r="G54" s="2" t="s">
        <v>49</v>
      </c>
      <c r="H54" s="3">
        <v>727.15499999999997</v>
      </c>
      <c r="I54" s="2"/>
      <c r="J54" s="10">
        <f t="shared" si="2"/>
        <v>-686.32963636363638</v>
      </c>
    </row>
    <row r="55" spans="1:13" x14ac:dyDescent="0.25">
      <c r="A55" s="1">
        <v>54</v>
      </c>
      <c r="B55" s="2" t="s">
        <v>41</v>
      </c>
      <c r="C55" s="2" t="s">
        <v>79</v>
      </c>
      <c r="D55" s="11">
        <v>1698.8649084000001</v>
      </c>
      <c r="E55" s="2" t="s">
        <v>74</v>
      </c>
      <c r="F55" s="4">
        <v>2052.452436363636</v>
      </c>
      <c r="G55" s="2" t="s">
        <v>49</v>
      </c>
      <c r="H55" s="3">
        <v>2747.0299999999997</v>
      </c>
      <c r="I55" s="2"/>
      <c r="J55" s="10">
        <f t="shared" si="2"/>
        <v>-2052.452436363636</v>
      </c>
    </row>
    <row r="56" spans="1:13" x14ac:dyDescent="0.25">
      <c r="A56" s="1">
        <v>55</v>
      </c>
      <c r="B56" s="2" t="s">
        <v>42</v>
      </c>
      <c r="C56" s="2" t="s">
        <v>79</v>
      </c>
      <c r="D56" s="3">
        <v>826.22391720000007</v>
      </c>
      <c r="E56" s="2" t="s">
        <v>9</v>
      </c>
      <c r="F56" s="12">
        <v>576.61027272727267</v>
      </c>
      <c r="G56" s="2" t="s">
        <v>49</v>
      </c>
      <c r="H56" s="3">
        <v>734.31637499999988</v>
      </c>
      <c r="I56" s="2"/>
      <c r="J56" s="10">
        <f t="shared" si="2"/>
        <v>-576.61027272727267</v>
      </c>
    </row>
    <row r="57" spans="1:13" x14ac:dyDescent="0.25">
      <c r="A57" s="1">
        <v>56</v>
      </c>
      <c r="B57" s="2" t="s">
        <v>43</v>
      </c>
      <c r="C57" s="2" t="s">
        <v>1</v>
      </c>
      <c r="D57" s="11">
        <v>1056.45260424</v>
      </c>
      <c r="E57" s="2" t="s">
        <v>9</v>
      </c>
      <c r="F57" s="4">
        <v>1155.5550000000001</v>
      </c>
      <c r="G57" s="2" t="s">
        <v>49</v>
      </c>
      <c r="H57" s="3">
        <v>1098.0774999999999</v>
      </c>
      <c r="I57" s="2">
        <v>810</v>
      </c>
      <c r="J57" s="10">
        <f t="shared" si="0"/>
        <v>-246.45260424000003</v>
      </c>
    </row>
    <row r="58" spans="1:13" x14ac:dyDescent="0.25">
      <c r="A58" s="1">
        <v>57</v>
      </c>
      <c r="B58" s="2" t="s">
        <v>44</v>
      </c>
      <c r="C58" s="2" t="s">
        <v>84</v>
      </c>
      <c r="D58" s="11">
        <v>959.90509032</v>
      </c>
      <c r="E58" s="2" t="s">
        <v>9</v>
      </c>
      <c r="F58" s="4">
        <v>1155.5550000000001</v>
      </c>
      <c r="G58" s="2" t="s">
        <v>49</v>
      </c>
      <c r="H58" s="3">
        <v>1098.0774999999999</v>
      </c>
      <c r="I58" s="2">
        <v>810</v>
      </c>
      <c r="J58" s="10">
        <f t="shared" si="0"/>
        <v>-149.90509032</v>
      </c>
    </row>
    <row r="59" spans="1:13" x14ac:dyDescent="0.25">
      <c r="A59" s="1">
        <v>58</v>
      </c>
      <c r="B59" s="2" t="s">
        <v>46</v>
      </c>
      <c r="C59" s="2" t="s">
        <v>85</v>
      </c>
      <c r="D59" s="3">
        <v>720.39298847999999</v>
      </c>
      <c r="E59" s="2" t="s">
        <v>75</v>
      </c>
      <c r="F59" s="12">
        <v>688.66409090909087</v>
      </c>
      <c r="G59" s="2" t="s">
        <v>48</v>
      </c>
      <c r="H59" s="4">
        <v>1325.7357749999999</v>
      </c>
      <c r="I59" s="2">
        <v>940</v>
      </c>
      <c r="J59" s="9">
        <f>I59-F59</f>
        <v>251.33590909090913</v>
      </c>
    </row>
    <row r="60" spans="1:13" x14ac:dyDescent="0.25">
      <c r="A60" s="1">
        <v>59</v>
      </c>
      <c r="B60" s="2" t="s">
        <v>47</v>
      </c>
      <c r="C60" s="2" t="s">
        <v>1</v>
      </c>
      <c r="D60" s="11">
        <v>831.79396608000002</v>
      </c>
      <c r="E60" s="2" t="s">
        <v>25</v>
      </c>
      <c r="F60" s="4">
        <v>910.39058363636354</v>
      </c>
      <c r="G60" s="2" t="s">
        <v>48</v>
      </c>
      <c r="H60" s="4">
        <v>1538.7774999999999</v>
      </c>
      <c r="I60" s="2">
        <v>980</v>
      </c>
      <c r="J60" s="9">
        <f t="shared" si="0"/>
        <v>148.20603391999998</v>
      </c>
    </row>
  </sheetData>
  <autoFilter ref="A1:J60" xr:uid="{90B00A42-C303-4865-9B67-DDE1E3407D00}"/>
  <conditionalFormatting sqref="B1">
    <cfRule type="duplicateValues" dxfId="9" priority="4"/>
    <cfRule type="duplicateValues" dxfId="8" priority="5"/>
    <cfRule type="duplicateValues" dxfId="7" priority="6"/>
    <cfRule type="duplicateValues" dxfId="6" priority="7"/>
  </conditionalFormatting>
  <conditionalFormatting sqref="B2:B60">
    <cfRule type="duplicateValues" dxfId="5" priority="1"/>
    <cfRule type="duplicateValues" dxfId="4" priority="2"/>
    <cfRule type="duplicateValues" dxfId="3" priority="3"/>
  </conditionalFormatting>
  <conditionalFormatting sqref="B61:B1048576">
    <cfRule type="duplicateValues" dxfId="2" priority="8"/>
    <cfRule type="duplicateValues" dxfId="1" priority="11"/>
    <cfRule type="duplicateValues" dxfId="0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2D60-0D9D-46B6-BD81-88D37ECB545B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3">
        <v>69.95</v>
      </c>
      <c r="B1">
        <f>A1*3.6725</f>
        <v>256.89137499999998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2026-06-09T08:31:24Z</dcterms:created>
  <dcterms:modified xsi:type="dcterms:W3CDTF">2026-06-12T09:50:44Z</dcterms:modified>
</cp:coreProperties>
</file>