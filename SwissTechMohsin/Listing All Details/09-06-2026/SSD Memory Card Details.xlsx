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esktop/Listing All Details/09-06-2026/"/>
    </mc:Choice>
  </mc:AlternateContent>
  <xr:revisionPtr revIDLastSave="93" documentId="8_{376E792D-5E97-46D0-A298-2B50D8F5AB69}" xr6:coauthVersionLast="47" xr6:coauthVersionMax="47" xr10:uidLastSave="{C988126B-5CC8-43DF-90C8-676997E5DF87}"/>
  <bookViews>
    <workbookView xWindow="-120" yWindow="-120" windowWidth="20730" windowHeight="11040" xr2:uid="{7D308987-92E1-4B87-A074-A740C39478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K37" i="1"/>
  <c r="K36" i="1"/>
  <c r="K34" i="1"/>
  <c r="K29" i="1"/>
  <c r="K27" i="1"/>
  <c r="K28" i="1"/>
  <c r="K30" i="1"/>
  <c r="K31" i="1"/>
  <c r="K32" i="1"/>
  <c r="K33" i="1"/>
  <c r="K35" i="1"/>
  <c r="K38" i="1"/>
  <c r="K39" i="1"/>
  <c r="K40" i="1"/>
  <c r="K26" i="1"/>
  <c r="K20" i="1"/>
  <c r="K19" i="1"/>
  <c r="K18" i="1"/>
  <c r="K17" i="1"/>
  <c r="K15" i="1"/>
  <c r="K13" i="1"/>
  <c r="K14" i="1"/>
  <c r="K12" i="1"/>
  <c r="K9" i="1"/>
  <c r="K3" i="1"/>
  <c r="K4" i="1"/>
  <c r="K5" i="1"/>
  <c r="K6" i="1"/>
  <c r="K7" i="1"/>
  <c r="K8" i="1"/>
  <c r="K10" i="1"/>
  <c r="K11" i="1"/>
  <c r="K16" i="1"/>
  <c r="K21" i="1"/>
  <c r="K22" i="1"/>
  <c r="K23" i="1"/>
  <c r="K24" i="1"/>
  <c r="K25" i="1"/>
  <c r="K2" i="1"/>
</calcChain>
</file>

<file path=xl/sharedStrings.xml><?xml version="1.0" encoding="utf-8"?>
<sst xmlns="http://schemas.openxmlformats.org/spreadsheetml/2006/main" count="205" uniqueCount="67">
  <si>
    <t xml:space="preserve">Product </t>
  </si>
  <si>
    <t xml:space="preserve">GB </t>
  </si>
  <si>
    <t>SanDisk Ultra SDHC UHS-I Class 10 Memory Card - 32GB</t>
  </si>
  <si>
    <t>32GB</t>
  </si>
  <si>
    <t>SanDisk SDSDXVE-032G-GNCIN 32GB Extreme SDHC SDXVE UHS-I SD Card</t>
  </si>
  <si>
    <t>SanDisk Extreme SDXC SDXV2 64GB UHS-I Memory Card [SDSDXV2-064G-GNCIN]</t>
  </si>
  <si>
    <t>64GB</t>
  </si>
  <si>
    <t>SanDisk SDSDXV5-128G-GNCIN 128GB Extreme SDHC SDXV5 UHS-I SD Card</t>
  </si>
  <si>
    <t>128GB</t>
  </si>
  <si>
    <t>SanDisk SDSDXV5-256G-GNCIN 256GB Extreme SDHC SDXV5 UHS-I SD Card</t>
  </si>
  <si>
    <t xml:space="preserve">256GB </t>
  </si>
  <si>
    <t>SanDisk Extreme Pro SDHC SdXXO 32GB V30 U3 C10 Memory Card [SDSDXXO-032G-GN4IN]</t>
  </si>
  <si>
    <t>SanDisk Extreme Pro 64GB SDXC SDXXU Memory Card [SDSDXXU-064G-GN4IN]</t>
  </si>
  <si>
    <t>SanDisk 128GB Extreme PRO SDXC UHS-I Memory Card [SDSDXXD-128G-GN4IN]</t>
  </si>
  <si>
    <t>SanDisk Extreme Pro SDXXD 256GB V30 U3 C10 Memory Card [SDSDXXD-256G-GN4IN]</t>
  </si>
  <si>
    <t>SanDisk Extreme Pro 512GB SDXC SDXXD Memory Card [SDSDXXD-512G-GN4IN]</t>
  </si>
  <si>
    <t>512GB</t>
  </si>
  <si>
    <t>SanDisk 128GB Extreme Pro SDXC Memory Card</t>
  </si>
  <si>
    <t>SanDisk 256GB Extreme Pro SDXC Memory Card</t>
  </si>
  <si>
    <t>SanDisk Memory Card 128GB CFexpress [SDCFE-128G-GN4NN]</t>
  </si>
  <si>
    <t>SanDisk 32GB Extreme microSDHC Memory Card</t>
  </si>
  <si>
    <t>SanDisk 64GB Extreme microSDXC Memory Card</t>
  </si>
  <si>
    <t>SanDisk 128GB Extreme microSDXC Memory Card</t>
  </si>
  <si>
    <t>SanDisk 256GB Extreme microSDXC Memory Card</t>
  </si>
  <si>
    <t>SanDisk 512GB Extreme microSDXC Memory Card</t>
  </si>
  <si>
    <t>SanDisk 1TB Extreme microSDXC Memory Card</t>
  </si>
  <si>
    <t>1TB</t>
  </si>
  <si>
    <t>SanDisk Extreme Pro 64GB MicroSDXC SQXCU Memory Card [SDSQXCU-064G-GN6MA]</t>
  </si>
  <si>
    <t>SanDisk 128GB Extreme PRO MicroSDXC Memory Card With SD Adapter [SDSQXCD-128G-GN6MA]</t>
  </si>
  <si>
    <t>SanDisk Extreme Pro SQXCD 256GB V30 U3 MicroSDXC Memory Card [SDSQXCD-256G-GN6MA]</t>
  </si>
  <si>
    <t>SanDisk Extreme Pro SQXCD 512GB V30 U3 MicroSDXC Memory Card [SDSQXCD-512G-GN6MA]</t>
  </si>
  <si>
    <t>SanDisk Extreme Pro SQXCD 1TB V30 U3 MicroSDXC Memory Card [SDSQXCD-1T00-GN6MA]</t>
  </si>
  <si>
    <t>SanDisk Extreme Pro Portable V2 2TB - Black [SDSSDE81-2T00-G25]</t>
  </si>
  <si>
    <t>2TB</t>
  </si>
  <si>
    <t>SanDisk E30 1TB Portable SSD Up to 800MB/s [SDSSDE30-1T00-G26]</t>
  </si>
  <si>
    <t>SanDisk 32GB Ultra microSDHC Memory Card</t>
  </si>
  <si>
    <t>SanDisk 64GB Ultra microSDXC Memory Card</t>
  </si>
  <si>
    <t>SanDisk 128GB Ultra microSDXC Memory Card</t>
  </si>
  <si>
    <t>SanDisk 256GB Ultra microSDXC Memory Card</t>
  </si>
  <si>
    <t>SanDisk 512GB Ultra microSDXC Memory Card</t>
  </si>
  <si>
    <t>SanDisk 1TB Ultra microSDXC Memory Card</t>
  </si>
  <si>
    <t>SanDisk 64GB Ultra Dual Drive Go USB-C Flash Drive</t>
  </si>
  <si>
    <t>SanDisk 128GB Ultra Dual Drive Go USB-C Flash Drive</t>
  </si>
  <si>
    <t>SanDisk 32GB Cruzer Blade USB Flash Drive Black</t>
  </si>
  <si>
    <t>SanDisk 64GB Cruzer Blade USB Flash Drive Blue</t>
  </si>
  <si>
    <t>SanDisk Ultra Dual Drive Luxe USB-C 512GB [SDDDC4-512G-G46]</t>
  </si>
  <si>
    <t>SanDisk Ultra Dual Drive Luxe 1TB USB/USB-C Flash Drive [SDDDC4-1T00-G46]</t>
  </si>
  <si>
    <t>SanDisk Cruzer Glide 3.0 USB Flash Drive - 256GB [SDCZ600-256G-G35]</t>
  </si>
  <si>
    <t>Sr No</t>
  </si>
  <si>
    <t>newegg.com</t>
  </si>
  <si>
    <t>noelleeming.co.nz</t>
  </si>
  <si>
    <t>bunnings.com.au</t>
  </si>
  <si>
    <t>jbhifi.co.nz</t>
  </si>
  <si>
    <t>officeworks.com.au</t>
  </si>
  <si>
    <t>pbtech.co.nz</t>
  </si>
  <si>
    <t>harveynorman.co.nz</t>
  </si>
  <si>
    <t>walmart.com</t>
  </si>
  <si>
    <t>bigw.com.au</t>
  </si>
  <si>
    <t>rubbermonkey.co.nz</t>
  </si>
  <si>
    <t>harveynorman.com.au</t>
  </si>
  <si>
    <t>Sale Prices</t>
  </si>
  <si>
    <t xml:space="preserve">AED TO USD </t>
  </si>
  <si>
    <t>Websie</t>
  </si>
  <si>
    <t>After GST to AED (NZD)</t>
  </si>
  <si>
    <t>After GST to AED (AUS)</t>
  </si>
  <si>
    <t xml:space="preserve">Website </t>
  </si>
  <si>
    <t>Different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</si>
</sst>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7EA9-9A7B-4645-9D59-EDD846191B73}">
  <dimension ref="A1:K40"/>
  <sheetViews>
    <sheetView tabSelected="1" workbookViewId="0">
      <selection activeCell="I4" sqref="I4"/>
    </sheetView>
  </sheetViews>
  <sheetFormatPr defaultRowHeight="15" x14ac:dyDescent="0.25"/>
  <cols>
    <col min="2" max="2" width="86.42578125" bestFit="1" customWidth="1"/>
    <col min="3" max="3" width="6.85546875" bestFit="1" customWidth="1"/>
    <col min="4" max="4" width="19.28515625" hidden="1" customWidth="1"/>
    <col min="5" max="5" width="22" hidden="1" customWidth="1"/>
    <col min="6" max="6" width="21.42578125" hidden="1" customWidth="1"/>
    <col min="7" max="7" width="21.7109375" hidden="1" customWidth="1"/>
    <col min="8" max="8" width="20.42578125" customWidth="1"/>
    <col min="9" max="9" width="12.28515625" bestFit="1" customWidth="1"/>
    <col min="10" max="10" width="10.85546875" bestFit="1" customWidth="1"/>
    <col min="11" max="11" width="16.85546875" bestFit="1" customWidth="1"/>
  </cols>
  <sheetData>
    <row r="1" spans="1:11" x14ac:dyDescent="0.25">
      <c r="A1" s="4" t="s">
        <v>48</v>
      </c>
      <c r="B1" s="4" t="s">
        <v>0</v>
      </c>
      <c r="C1" s="4" t="s">
        <v>1</v>
      </c>
      <c r="D1" s="4" t="s">
        <v>62</v>
      </c>
      <c r="E1" s="4" t="s">
        <v>63</v>
      </c>
      <c r="F1" s="4" t="s">
        <v>65</v>
      </c>
      <c r="G1" s="4" t="s">
        <v>64</v>
      </c>
      <c r="H1" s="4" t="s">
        <v>62</v>
      </c>
      <c r="I1" s="4" t="s">
        <v>61</v>
      </c>
      <c r="J1" s="4" t="s">
        <v>60</v>
      </c>
      <c r="K1" s="4" t="s">
        <v>66</v>
      </c>
    </row>
    <row r="2" spans="1:11" x14ac:dyDescent="0.25">
      <c r="A2" s="1">
        <v>1</v>
      </c>
      <c r="B2" s="2" t="s">
        <v>2</v>
      </c>
      <c r="C2" s="2" t="s">
        <v>3</v>
      </c>
      <c r="D2" s="2" t="s">
        <v>54</v>
      </c>
      <c r="E2" s="3">
        <v>73.254869999999997</v>
      </c>
      <c r="F2" s="2" t="s">
        <v>59</v>
      </c>
      <c r="G2" s="5">
        <v>52.43</v>
      </c>
      <c r="H2" s="2" t="s">
        <v>56</v>
      </c>
      <c r="I2" s="3">
        <v>75.984025000000003</v>
      </c>
      <c r="J2" s="2">
        <v>35</v>
      </c>
      <c r="K2" s="6">
        <f>J2-G2</f>
        <v>-17.43</v>
      </c>
    </row>
    <row r="3" spans="1:11" x14ac:dyDescent="0.25">
      <c r="A3" s="1">
        <v>2</v>
      </c>
      <c r="B3" s="2" t="s">
        <v>4</v>
      </c>
      <c r="C3" s="2" t="s">
        <v>3</v>
      </c>
      <c r="D3" s="2" t="s">
        <v>55</v>
      </c>
      <c r="E3" s="3">
        <v>128.57168849999999</v>
      </c>
      <c r="F3" s="2" t="s">
        <v>51</v>
      </c>
      <c r="G3" s="5">
        <v>73.854804545454542</v>
      </c>
      <c r="H3" s="2" t="s">
        <v>56</v>
      </c>
      <c r="I3" s="3">
        <v>88.103274999999996</v>
      </c>
      <c r="J3" s="2">
        <v>39</v>
      </c>
      <c r="K3" s="6">
        <f>J3-G3</f>
        <v>-34.854804545454542</v>
      </c>
    </row>
    <row r="4" spans="1:11" x14ac:dyDescent="0.25">
      <c r="A4" s="1">
        <v>3</v>
      </c>
      <c r="B4" s="2" t="s">
        <v>5</v>
      </c>
      <c r="C4" s="2" t="s">
        <v>6</v>
      </c>
      <c r="D4" s="2" t="s">
        <v>54</v>
      </c>
      <c r="E4" s="3">
        <v>127.44469049999996</v>
      </c>
      <c r="F4" s="2" t="s">
        <v>51</v>
      </c>
      <c r="G4" s="5">
        <v>90.537077272727288</v>
      </c>
      <c r="H4" s="2" t="s">
        <v>49</v>
      </c>
      <c r="I4" s="3">
        <v>159.75375</v>
      </c>
      <c r="J4" s="2">
        <v>54</v>
      </c>
      <c r="K4" s="6">
        <f>J4-G4</f>
        <v>-36.537077272727288</v>
      </c>
    </row>
    <row r="5" spans="1:11" x14ac:dyDescent="0.25">
      <c r="A5" s="1">
        <v>4</v>
      </c>
      <c r="B5" s="2" t="s">
        <v>7</v>
      </c>
      <c r="C5" s="2" t="s">
        <v>8</v>
      </c>
      <c r="D5" s="2" t="s">
        <v>54</v>
      </c>
      <c r="E5" s="3">
        <v>170.64628049999999</v>
      </c>
      <c r="F5" s="2" t="s">
        <v>51</v>
      </c>
      <c r="G5" s="5">
        <v>145.35025909090911</v>
      </c>
      <c r="H5" s="2" t="s">
        <v>49</v>
      </c>
      <c r="I5" s="3">
        <v>155.89762500000001</v>
      </c>
      <c r="J5" s="2">
        <v>85</v>
      </c>
      <c r="K5" s="6">
        <f>J5-G5</f>
        <v>-60.350259090909105</v>
      </c>
    </row>
    <row r="6" spans="1:11" x14ac:dyDescent="0.25">
      <c r="A6" s="1">
        <v>5</v>
      </c>
      <c r="B6" s="2" t="s">
        <v>9</v>
      </c>
      <c r="C6" s="2" t="s">
        <v>10</v>
      </c>
      <c r="D6" s="2" t="s">
        <v>54</v>
      </c>
      <c r="E6" s="3">
        <v>361.84149119999995</v>
      </c>
      <c r="F6" s="2" t="s">
        <v>51</v>
      </c>
      <c r="G6" s="5">
        <v>262.12616818181823</v>
      </c>
      <c r="H6" s="2" t="s">
        <v>49</v>
      </c>
      <c r="I6" s="3">
        <v>293.61637500000001</v>
      </c>
      <c r="J6" s="2">
        <v>195</v>
      </c>
      <c r="K6" s="6">
        <f>J6-G6</f>
        <v>-67.12616818181823</v>
      </c>
    </row>
    <row r="7" spans="1:11" x14ac:dyDescent="0.25">
      <c r="A7" s="1">
        <v>6</v>
      </c>
      <c r="B7" s="2" t="s">
        <v>11</v>
      </c>
      <c r="C7" s="2" t="s">
        <v>3</v>
      </c>
      <c r="D7" s="2" t="s">
        <v>54</v>
      </c>
      <c r="E7" s="3">
        <v>108.7177404</v>
      </c>
      <c r="F7" s="2" t="s">
        <v>51</v>
      </c>
      <c r="G7" s="5">
        <v>90.537077272727288</v>
      </c>
      <c r="H7" s="2" t="s">
        <v>56</v>
      </c>
      <c r="I7" s="3">
        <v>121.008875</v>
      </c>
      <c r="J7" s="2"/>
      <c r="K7" s="6">
        <f>J7-G7</f>
        <v>-90.537077272727288</v>
      </c>
    </row>
    <row r="8" spans="1:11" x14ac:dyDescent="0.25">
      <c r="A8" s="1">
        <v>7</v>
      </c>
      <c r="B8" s="2" t="s">
        <v>12</v>
      </c>
      <c r="C8" s="2" t="s">
        <v>6</v>
      </c>
      <c r="D8" s="2" t="s">
        <v>54</v>
      </c>
      <c r="E8" s="3">
        <v>170.64628049999999</v>
      </c>
      <c r="F8" s="2" t="s">
        <v>51</v>
      </c>
      <c r="G8" s="5">
        <v>126.28480454545455</v>
      </c>
      <c r="H8" s="2" t="s">
        <v>56</v>
      </c>
      <c r="I8" s="3">
        <v>132.026375</v>
      </c>
      <c r="J8" s="2">
        <v>78</v>
      </c>
      <c r="K8" s="6">
        <f>J8-G8</f>
        <v>-48.284804545454548</v>
      </c>
    </row>
    <row r="9" spans="1:11" x14ac:dyDescent="0.25">
      <c r="A9" s="1">
        <v>8</v>
      </c>
      <c r="B9" s="2" t="s">
        <v>13</v>
      </c>
      <c r="C9" s="2" t="s">
        <v>8</v>
      </c>
      <c r="D9" s="2" t="s">
        <v>54</v>
      </c>
      <c r="E9" s="3">
        <v>213.84787049999997</v>
      </c>
      <c r="F9" s="2" t="s">
        <v>51</v>
      </c>
      <c r="G9" s="3">
        <v>175.1400318181818</v>
      </c>
      <c r="H9" s="2" t="s">
        <v>56</v>
      </c>
      <c r="I9" s="5">
        <v>132.026375</v>
      </c>
      <c r="J9" s="2">
        <v>108</v>
      </c>
      <c r="K9" s="6">
        <f>J9-I9</f>
        <v>-24.026375000000002</v>
      </c>
    </row>
    <row r="10" spans="1:11" x14ac:dyDescent="0.25">
      <c r="A10" s="1">
        <v>9</v>
      </c>
      <c r="B10" s="2" t="s">
        <v>14</v>
      </c>
      <c r="C10" s="2" t="s">
        <v>10</v>
      </c>
      <c r="D10" s="2" t="s">
        <v>54</v>
      </c>
      <c r="E10" s="3">
        <v>386.65423049999998</v>
      </c>
      <c r="F10" s="2" t="s">
        <v>51</v>
      </c>
      <c r="G10" s="5">
        <v>309.78980454545456</v>
      </c>
      <c r="H10" s="2" t="s">
        <v>49</v>
      </c>
      <c r="I10" s="3">
        <v>366.33187499999997</v>
      </c>
      <c r="J10" s="2"/>
      <c r="K10" s="6">
        <f>J10-G10</f>
        <v>-309.78980454545456</v>
      </c>
    </row>
    <row r="11" spans="1:11" x14ac:dyDescent="0.25">
      <c r="A11" s="1">
        <v>10</v>
      </c>
      <c r="B11" s="2" t="s">
        <v>15</v>
      </c>
      <c r="C11" s="2" t="s">
        <v>16</v>
      </c>
      <c r="D11" s="2" t="s">
        <v>54</v>
      </c>
      <c r="E11" s="3">
        <v>770.2655663999999</v>
      </c>
      <c r="F11" s="2" t="s">
        <v>51</v>
      </c>
      <c r="G11" s="5">
        <v>524.18084090909088</v>
      </c>
      <c r="H11" s="2" t="s">
        <v>49</v>
      </c>
      <c r="I11" s="3">
        <v>646.17637499999989</v>
      </c>
      <c r="J11" s="2">
        <v>385</v>
      </c>
      <c r="K11" s="6">
        <f>J11-G11</f>
        <v>-139.18084090909088</v>
      </c>
    </row>
    <row r="12" spans="1:11" x14ac:dyDescent="0.25">
      <c r="A12" s="1">
        <v>11</v>
      </c>
      <c r="B12" s="2" t="s">
        <v>17</v>
      </c>
      <c r="C12" s="2" t="s">
        <v>8</v>
      </c>
      <c r="D12" s="2" t="s">
        <v>54</v>
      </c>
      <c r="E12" s="3">
        <v>213.84787049999997</v>
      </c>
      <c r="F12" s="2" t="s">
        <v>53</v>
      </c>
      <c r="G12" s="3">
        <v>305.04727272727274</v>
      </c>
      <c r="H12" s="2" t="s">
        <v>49</v>
      </c>
      <c r="I12" s="5">
        <v>154.20827500000001</v>
      </c>
      <c r="J12" s="2">
        <v>55</v>
      </c>
      <c r="K12" s="6">
        <f>J12-I12</f>
        <v>-99.208275000000015</v>
      </c>
    </row>
    <row r="13" spans="1:11" x14ac:dyDescent="0.25">
      <c r="A13" s="1">
        <v>12</v>
      </c>
      <c r="B13" s="2" t="s">
        <v>18</v>
      </c>
      <c r="C13" s="2" t="s">
        <v>10</v>
      </c>
      <c r="D13" s="2" t="s">
        <v>54</v>
      </c>
      <c r="E13" s="3">
        <v>386.65423049999998</v>
      </c>
      <c r="F13" s="2" t="s">
        <v>53</v>
      </c>
      <c r="G13" s="3">
        <v>710.18818181818187</v>
      </c>
      <c r="H13" s="2" t="s">
        <v>49</v>
      </c>
      <c r="I13" s="5">
        <v>275.40077499999995</v>
      </c>
      <c r="J13" s="2"/>
      <c r="K13" s="6">
        <f t="shared" ref="K13:K14" si="0">J13-I13</f>
        <v>-275.40077499999995</v>
      </c>
    </row>
    <row r="14" spans="1:11" x14ac:dyDescent="0.25">
      <c r="A14" s="1">
        <v>13</v>
      </c>
      <c r="B14" s="2" t="s">
        <v>19</v>
      </c>
      <c r="C14" s="2" t="s">
        <v>8</v>
      </c>
      <c r="D14" s="2" t="s">
        <v>58</v>
      </c>
      <c r="E14" s="3">
        <v>745.69700999999998</v>
      </c>
      <c r="F14" s="2" t="s">
        <v>51</v>
      </c>
      <c r="G14" s="3">
        <v>714.83538636363642</v>
      </c>
      <c r="H14" s="2" t="s">
        <v>49</v>
      </c>
      <c r="I14" s="5">
        <v>657.37749999999994</v>
      </c>
      <c r="J14" s="2">
        <v>490</v>
      </c>
      <c r="K14" s="6">
        <f t="shared" si="0"/>
        <v>-167.37749999999994</v>
      </c>
    </row>
    <row r="15" spans="1:11" x14ac:dyDescent="0.25">
      <c r="A15" s="1">
        <v>14</v>
      </c>
      <c r="B15" s="2" t="s">
        <v>20</v>
      </c>
      <c r="C15" s="2" t="s">
        <v>3</v>
      </c>
      <c r="D15" s="2" t="s">
        <v>52</v>
      </c>
      <c r="E15" s="5">
        <v>131.46431669999998</v>
      </c>
      <c r="F15" s="2" t="s">
        <v>53</v>
      </c>
      <c r="G15" s="3">
        <v>138.22454545454545</v>
      </c>
      <c r="H15" s="2" t="s">
        <v>49</v>
      </c>
      <c r="I15" s="3">
        <v>143.190775</v>
      </c>
      <c r="J15" s="2"/>
      <c r="K15" s="6">
        <f>J15-E15</f>
        <v>-131.46431669999998</v>
      </c>
    </row>
    <row r="16" spans="1:11" x14ac:dyDescent="0.25">
      <c r="A16" s="1">
        <v>15</v>
      </c>
      <c r="B16" s="2" t="s">
        <v>21</v>
      </c>
      <c r="C16" s="2" t="s">
        <v>6</v>
      </c>
      <c r="D16" s="2" t="s">
        <v>52</v>
      </c>
      <c r="E16" s="3">
        <v>169.03091669999998</v>
      </c>
      <c r="F16" s="2" t="s">
        <v>53</v>
      </c>
      <c r="G16" s="5">
        <v>152.52363636363637</v>
      </c>
      <c r="H16" s="2" t="s">
        <v>49</v>
      </c>
      <c r="I16" s="3">
        <v>159.75375</v>
      </c>
      <c r="J16" s="2">
        <v>68</v>
      </c>
      <c r="K16" s="6">
        <f>J16-G16</f>
        <v>-84.523636363636371</v>
      </c>
    </row>
    <row r="17" spans="1:11" x14ac:dyDescent="0.25">
      <c r="A17" s="1">
        <v>16</v>
      </c>
      <c r="B17" s="2" t="s">
        <v>22</v>
      </c>
      <c r="C17" s="2" t="s">
        <v>8</v>
      </c>
      <c r="D17" s="2" t="s">
        <v>54</v>
      </c>
      <c r="E17" s="5">
        <v>160.74748139999997</v>
      </c>
      <c r="F17" s="2" t="s">
        <v>53</v>
      </c>
      <c r="G17" s="3">
        <v>233.55181818181822</v>
      </c>
      <c r="H17" s="2" t="s">
        <v>49</v>
      </c>
      <c r="I17" s="3">
        <v>230.81662499999999</v>
      </c>
      <c r="J17" s="2">
        <v>95</v>
      </c>
      <c r="K17" s="6">
        <f>J17-E17</f>
        <v>-65.74748139999997</v>
      </c>
    </row>
    <row r="18" spans="1:11" x14ac:dyDescent="0.25">
      <c r="A18" s="1">
        <v>17</v>
      </c>
      <c r="B18" s="2" t="s">
        <v>23</v>
      </c>
      <c r="C18" s="2" t="s">
        <v>10</v>
      </c>
      <c r="D18" s="2" t="s">
        <v>54</v>
      </c>
      <c r="E18" s="3">
        <v>303.95136059999999</v>
      </c>
      <c r="F18" s="2" t="s">
        <v>53</v>
      </c>
      <c r="G18" s="3">
        <v>376.54272727272729</v>
      </c>
      <c r="H18" s="2" t="s">
        <v>49</v>
      </c>
      <c r="I18" s="5">
        <v>220.313275</v>
      </c>
      <c r="J18" s="2">
        <v>190</v>
      </c>
      <c r="K18" s="6">
        <f>J18-I18</f>
        <v>-30.313275000000004</v>
      </c>
    </row>
    <row r="19" spans="1:11" x14ac:dyDescent="0.25">
      <c r="A19" s="1">
        <v>18</v>
      </c>
      <c r="B19" s="2" t="s">
        <v>24</v>
      </c>
      <c r="C19" s="2" t="s">
        <v>16</v>
      </c>
      <c r="D19" s="2" t="s">
        <v>54</v>
      </c>
      <c r="E19" s="3">
        <v>581.06138550000003</v>
      </c>
      <c r="F19" s="2" t="s">
        <v>53</v>
      </c>
      <c r="G19" s="3">
        <v>710.18818181818187</v>
      </c>
      <c r="H19" s="2" t="s">
        <v>49</v>
      </c>
      <c r="I19" s="5">
        <v>514.11327500000004</v>
      </c>
      <c r="J19" s="2">
        <v>300</v>
      </c>
      <c r="K19" s="6">
        <f>J19-I19</f>
        <v>-214.11327500000004</v>
      </c>
    </row>
    <row r="20" spans="1:11" x14ac:dyDescent="0.25">
      <c r="A20" s="1">
        <v>19</v>
      </c>
      <c r="B20" s="2" t="s">
        <v>25</v>
      </c>
      <c r="C20" s="2" t="s">
        <v>26</v>
      </c>
      <c r="D20" s="2" t="s">
        <v>54</v>
      </c>
      <c r="E20" s="5">
        <v>861.87172050000004</v>
      </c>
      <c r="F20" s="2" t="s">
        <v>53</v>
      </c>
      <c r="G20" s="3">
        <v>1496.6381818181819</v>
      </c>
      <c r="H20" s="2" t="s">
        <v>49</v>
      </c>
      <c r="I20" s="3">
        <v>734.27964999999995</v>
      </c>
      <c r="J20" s="2">
        <v>565</v>
      </c>
      <c r="K20" s="6">
        <f>J20-E20</f>
        <v>-296.87172050000004</v>
      </c>
    </row>
    <row r="21" spans="1:11" x14ac:dyDescent="0.25">
      <c r="A21" s="1">
        <v>20</v>
      </c>
      <c r="B21" s="2" t="s">
        <v>27</v>
      </c>
      <c r="C21" s="2" t="s">
        <v>6</v>
      </c>
      <c r="D21" s="2" t="s">
        <v>54</v>
      </c>
      <c r="E21" s="3">
        <v>170.64628049999999</v>
      </c>
      <c r="F21" s="2" t="s">
        <v>51</v>
      </c>
      <c r="G21" s="5">
        <v>119.03993181818183</v>
      </c>
      <c r="H21" s="2" t="s">
        <v>49</v>
      </c>
      <c r="I21" s="3">
        <v>159.75375</v>
      </c>
      <c r="J21" s="2">
        <v>85</v>
      </c>
      <c r="K21" s="6">
        <f>J21-G21</f>
        <v>-34.039931818181827</v>
      </c>
    </row>
    <row r="22" spans="1:11" x14ac:dyDescent="0.25">
      <c r="A22" s="1">
        <v>21</v>
      </c>
      <c r="B22" s="2" t="s">
        <v>28</v>
      </c>
      <c r="C22" s="2" t="s">
        <v>8</v>
      </c>
      <c r="D22" s="2" t="s">
        <v>54</v>
      </c>
      <c r="E22" s="3">
        <v>192.24707549999997</v>
      </c>
      <c r="F22" s="2" t="s">
        <v>51</v>
      </c>
      <c r="G22" s="5">
        <v>166.79889545454546</v>
      </c>
      <c r="H22" s="2" t="s">
        <v>49</v>
      </c>
      <c r="I22" s="3">
        <v>230.81662499999999</v>
      </c>
      <c r="J22" s="2">
        <v>95</v>
      </c>
      <c r="K22" s="6">
        <f>J22-G22</f>
        <v>-71.798895454545459</v>
      </c>
    </row>
    <row r="23" spans="1:11" x14ac:dyDescent="0.25">
      <c r="A23" s="1">
        <v>22</v>
      </c>
      <c r="B23" s="2" t="s">
        <v>29</v>
      </c>
      <c r="C23" s="2" t="s">
        <v>10</v>
      </c>
      <c r="D23" s="2" t="s">
        <v>54</v>
      </c>
      <c r="E23" s="3">
        <v>321.85184549999997</v>
      </c>
      <c r="F23" s="2" t="s">
        <v>51</v>
      </c>
      <c r="G23" s="5">
        <v>254.97662272727274</v>
      </c>
      <c r="H23" s="2" t="s">
        <v>49</v>
      </c>
      <c r="I23" s="3">
        <v>366.33187499999997</v>
      </c>
      <c r="J23" s="2">
        <v>210</v>
      </c>
      <c r="K23" s="6">
        <f>J23-G23</f>
        <v>-44.976622727272741</v>
      </c>
    </row>
    <row r="24" spans="1:11" x14ac:dyDescent="0.25">
      <c r="A24" s="1">
        <v>23</v>
      </c>
      <c r="B24" s="2" t="s">
        <v>30</v>
      </c>
      <c r="C24" s="2" t="s">
        <v>16</v>
      </c>
      <c r="D24" s="2" t="s">
        <v>54</v>
      </c>
      <c r="E24" s="3">
        <v>647.31008459999987</v>
      </c>
      <c r="F24" s="2" t="s">
        <v>51</v>
      </c>
      <c r="G24" s="5">
        <v>500.44434999999999</v>
      </c>
      <c r="H24" s="2" t="s">
        <v>49</v>
      </c>
      <c r="I24" s="3">
        <v>660.86637499999995</v>
      </c>
      <c r="J24" s="2">
        <v>350</v>
      </c>
      <c r="K24" s="6">
        <f>J24-G24</f>
        <v>-150.44434999999999</v>
      </c>
    </row>
    <row r="25" spans="1:11" x14ac:dyDescent="0.25">
      <c r="A25" s="1">
        <v>24</v>
      </c>
      <c r="B25" s="2" t="s">
        <v>31</v>
      </c>
      <c r="C25" s="2" t="s">
        <v>26</v>
      </c>
      <c r="D25" s="2" t="s">
        <v>54</v>
      </c>
      <c r="E25" s="3">
        <v>1276.5882011999997</v>
      </c>
      <c r="F25" s="2" t="s">
        <v>51</v>
      </c>
      <c r="G25" s="5">
        <v>988.99662272727278</v>
      </c>
      <c r="H25" s="2" t="s">
        <v>49</v>
      </c>
      <c r="I25" s="3">
        <v>1101.5663749999999</v>
      </c>
      <c r="J25" s="2">
        <v>755</v>
      </c>
      <c r="K25" s="6">
        <f>J25-G25</f>
        <v>-233.99662272727278</v>
      </c>
    </row>
    <row r="26" spans="1:11" x14ac:dyDescent="0.25">
      <c r="A26" s="1">
        <v>25</v>
      </c>
      <c r="B26" s="2" t="s">
        <v>32</v>
      </c>
      <c r="C26" s="2" t="s">
        <v>33</v>
      </c>
      <c r="D26" s="2" t="s">
        <v>58</v>
      </c>
      <c r="E26" s="3">
        <v>1782.5351699999997</v>
      </c>
      <c r="F26" s="2" t="s">
        <v>51</v>
      </c>
      <c r="G26" s="3">
        <v>1906.4262954545454</v>
      </c>
      <c r="H26" s="2" t="s">
        <v>56</v>
      </c>
      <c r="I26" s="5">
        <v>1101.7132750000001</v>
      </c>
      <c r="J26" s="2">
        <v>1085</v>
      </c>
      <c r="K26" s="6">
        <f>J26-I26</f>
        <v>-16.713275000000067</v>
      </c>
    </row>
    <row r="27" spans="1:11" x14ac:dyDescent="0.25">
      <c r="A27" s="1">
        <v>26</v>
      </c>
      <c r="B27" s="2" t="s">
        <v>34</v>
      </c>
      <c r="C27" s="2" t="s">
        <v>26</v>
      </c>
      <c r="D27" s="2" t="s">
        <v>54</v>
      </c>
      <c r="E27" s="3">
        <v>857.72061119999989</v>
      </c>
      <c r="F27" s="2" t="s">
        <v>57</v>
      </c>
      <c r="G27" s="3">
        <v>945.2175727272728</v>
      </c>
      <c r="H27" s="2" t="s">
        <v>56</v>
      </c>
      <c r="I27" s="5">
        <v>587.56327499999998</v>
      </c>
      <c r="J27" s="2">
        <v>425</v>
      </c>
      <c r="K27" s="6">
        <f t="shared" ref="K27:K40" si="1">J27-I27</f>
        <v>-162.56327499999998</v>
      </c>
    </row>
    <row r="28" spans="1:11" x14ac:dyDescent="0.25">
      <c r="A28" s="1">
        <v>27</v>
      </c>
      <c r="B28" s="2" t="s">
        <v>35</v>
      </c>
      <c r="C28" s="2" t="s">
        <v>3</v>
      </c>
      <c r="D28" s="2" t="s">
        <v>54</v>
      </c>
      <c r="E28" s="3">
        <v>69.291593699999993</v>
      </c>
      <c r="F28" s="2" t="s">
        <v>53</v>
      </c>
      <c r="G28" s="3">
        <v>90.560909090909092</v>
      </c>
      <c r="H28" s="2" t="s">
        <v>49</v>
      </c>
      <c r="I28" s="5">
        <v>74.735375000000005</v>
      </c>
      <c r="J28" s="2">
        <v>30</v>
      </c>
      <c r="K28" s="6">
        <f t="shared" si="1"/>
        <v>-44.735375000000005</v>
      </c>
    </row>
    <row r="29" spans="1:11" x14ac:dyDescent="0.25">
      <c r="A29" s="1">
        <v>28</v>
      </c>
      <c r="B29" s="2" t="s">
        <v>36</v>
      </c>
      <c r="C29" s="2" t="s">
        <v>6</v>
      </c>
      <c r="D29" s="2" t="s">
        <v>55</v>
      </c>
      <c r="E29" s="5">
        <v>84.524849999999986</v>
      </c>
      <c r="F29" s="2" t="s">
        <v>53</v>
      </c>
      <c r="G29" s="3">
        <v>128.69181818181818</v>
      </c>
      <c r="H29" s="2" t="s">
        <v>49</v>
      </c>
      <c r="I29" s="3">
        <v>341.50577499999997</v>
      </c>
      <c r="J29" s="2">
        <v>40</v>
      </c>
      <c r="K29" s="6">
        <f>J29-E29</f>
        <v>-44.524849999999986</v>
      </c>
    </row>
    <row r="30" spans="1:11" x14ac:dyDescent="0.25">
      <c r="A30" s="1">
        <v>29</v>
      </c>
      <c r="B30" s="2" t="s">
        <v>37</v>
      </c>
      <c r="C30" s="2" t="s">
        <v>8</v>
      </c>
      <c r="D30" s="2" t="s">
        <v>50</v>
      </c>
      <c r="E30" s="3">
        <v>127.72643999999998</v>
      </c>
      <c r="F30" s="2" t="s">
        <v>53</v>
      </c>
      <c r="G30" s="3">
        <v>152.52363636363637</v>
      </c>
      <c r="H30" s="2" t="s">
        <v>49</v>
      </c>
      <c r="I30" s="5">
        <v>117.88724999999999</v>
      </c>
      <c r="J30" s="2">
        <v>55</v>
      </c>
      <c r="K30" s="6">
        <f t="shared" si="1"/>
        <v>-62.887249999999995</v>
      </c>
    </row>
    <row r="31" spans="1:11" x14ac:dyDescent="0.25">
      <c r="A31" s="1">
        <v>30</v>
      </c>
      <c r="B31" s="2" t="s">
        <v>38</v>
      </c>
      <c r="C31" s="2" t="s">
        <v>10</v>
      </c>
      <c r="D31" s="2" t="s">
        <v>54</v>
      </c>
      <c r="E31" s="3">
        <v>202.31492429999997</v>
      </c>
      <c r="F31" s="2" t="s">
        <v>53</v>
      </c>
      <c r="G31" s="3">
        <v>328.87909090909091</v>
      </c>
      <c r="H31" s="2" t="s">
        <v>49</v>
      </c>
      <c r="I31" s="5">
        <v>156.08124999999998</v>
      </c>
      <c r="J31" s="2">
        <v>110</v>
      </c>
      <c r="K31" s="6">
        <f t="shared" si="1"/>
        <v>-46.081249999999983</v>
      </c>
    </row>
    <row r="32" spans="1:11" x14ac:dyDescent="0.25">
      <c r="A32" s="1">
        <v>31</v>
      </c>
      <c r="B32" s="2" t="s">
        <v>39</v>
      </c>
      <c r="C32" s="2" t="s">
        <v>16</v>
      </c>
      <c r="D32" s="2" t="s">
        <v>50</v>
      </c>
      <c r="E32" s="3">
        <v>599.1872699999999</v>
      </c>
      <c r="F32" s="2" t="s">
        <v>53</v>
      </c>
      <c r="G32" s="3">
        <v>591.029090909091</v>
      </c>
      <c r="H32" s="2" t="s">
        <v>49</v>
      </c>
      <c r="I32" s="5">
        <v>353.11087500000002</v>
      </c>
      <c r="J32" s="2">
        <v>215</v>
      </c>
      <c r="K32" s="6">
        <f t="shared" si="1"/>
        <v>-138.11087500000002</v>
      </c>
    </row>
    <row r="33" spans="1:11" x14ac:dyDescent="0.25">
      <c r="A33" s="1">
        <v>32</v>
      </c>
      <c r="B33" s="2" t="s">
        <v>40</v>
      </c>
      <c r="C33" s="2" t="s">
        <v>26</v>
      </c>
      <c r="D33" s="2"/>
      <c r="E33" s="3">
        <v>0</v>
      </c>
      <c r="F33" s="2" t="s">
        <v>53</v>
      </c>
      <c r="G33" s="3">
        <v>1305.9836363636364</v>
      </c>
      <c r="H33" s="2" t="s">
        <v>49</v>
      </c>
      <c r="I33" s="5">
        <v>693.91887499999996</v>
      </c>
      <c r="J33" s="2">
        <v>540</v>
      </c>
      <c r="K33" s="6">
        <f t="shared" si="1"/>
        <v>-153.91887499999996</v>
      </c>
    </row>
    <row r="34" spans="1:11" x14ac:dyDescent="0.25">
      <c r="A34" s="1">
        <v>33</v>
      </c>
      <c r="B34" s="2" t="s">
        <v>41</v>
      </c>
      <c r="C34" s="2" t="s">
        <v>6</v>
      </c>
      <c r="D34" s="2" t="s">
        <v>54</v>
      </c>
      <c r="E34" s="5">
        <v>105.8438955</v>
      </c>
      <c r="F34" s="2" t="s">
        <v>53</v>
      </c>
      <c r="G34" s="3">
        <v>128.69181818181818</v>
      </c>
      <c r="H34" s="2" t="s">
        <v>49</v>
      </c>
      <c r="I34" s="3">
        <v>117.33637499999999</v>
      </c>
      <c r="J34" s="2">
        <v>39</v>
      </c>
      <c r="K34" s="6">
        <f>J34-E34</f>
        <v>-66.843895500000002</v>
      </c>
    </row>
    <row r="35" spans="1:11" x14ac:dyDescent="0.25">
      <c r="A35" s="1">
        <v>34</v>
      </c>
      <c r="B35" s="2" t="s">
        <v>42</v>
      </c>
      <c r="C35" s="2" t="s">
        <v>8</v>
      </c>
      <c r="D35" s="2" t="s">
        <v>54</v>
      </c>
      <c r="E35" s="3">
        <v>149.04548549999998</v>
      </c>
      <c r="F35" s="2" t="s">
        <v>53</v>
      </c>
      <c r="G35" s="3">
        <v>176.35545454545456</v>
      </c>
      <c r="H35" s="2" t="s">
        <v>49</v>
      </c>
      <c r="I35" s="5">
        <v>114.031125</v>
      </c>
      <c r="J35" s="2">
        <v>55</v>
      </c>
      <c r="K35" s="6">
        <f t="shared" si="1"/>
        <v>-59.031125000000003</v>
      </c>
    </row>
    <row r="36" spans="1:11" x14ac:dyDescent="0.25">
      <c r="A36" s="1">
        <v>35</v>
      </c>
      <c r="B36" s="2" t="s">
        <v>43</v>
      </c>
      <c r="C36" s="2" t="s">
        <v>3</v>
      </c>
      <c r="D36" s="2" t="s">
        <v>52</v>
      </c>
      <c r="E36" s="3">
        <v>37.547816699999991</v>
      </c>
      <c r="F36" s="2" t="s">
        <v>53</v>
      </c>
      <c r="G36" s="5">
        <v>35.747727272727275</v>
      </c>
      <c r="H36" s="2" t="s">
        <v>49</v>
      </c>
      <c r="I36" s="3">
        <v>146.716375</v>
      </c>
      <c r="J36" s="2">
        <v>19</v>
      </c>
      <c r="K36" s="6">
        <f>J36-G36</f>
        <v>-16.747727272727275</v>
      </c>
    </row>
    <row r="37" spans="1:11" x14ac:dyDescent="0.25">
      <c r="A37" s="1">
        <v>36</v>
      </c>
      <c r="B37" s="2" t="s">
        <v>44</v>
      </c>
      <c r="C37" s="2" t="s">
        <v>6</v>
      </c>
      <c r="D37" s="2" t="s">
        <v>52</v>
      </c>
      <c r="E37" s="5">
        <v>48.817796699999988</v>
      </c>
      <c r="F37" s="2" t="s">
        <v>53</v>
      </c>
      <c r="G37" s="3">
        <v>66.729090909090914</v>
      </c>
      <c r="H37" s="2" t="s">
        <v>49</v>
      </c>
      <c r="I37" s="3">
        <v>60.045375</v>
      </c>
      <c r="J37" s="2">
        <v>20</v>
      </c>
      <c r="K37" s="6">
        <f>J37-E37</f>
        <v>-28.817796699999988</v>
      </c>
    </row>
    <row r="38" spans="1:11" x14ac:dyDescent="0.25">
      <c r="A38" s="1">
        <v>37</v>
      </c>
      <c r="B38" s="2" t="s">
        <v>45</v>
      </c>
      <c r="C38" s="2" t="s">
        <v>16</v>
      </c>
      <c r="D38" s="2" t="s">
        <v>52</v>
      </c>
      <c r="E38" s="3">
        <v>561.6206699999999</v>
      </c>
      <c r="F38" s="2" t="s">
        <v>51</v>
      </c>
      <c r="G38" s="3">
        <v>316.93935000000005</v>
      </c>
      <c r="H38" s="2" t="s">
        <v>49</v>
      </c>
      <c r="I38" s="5">
        <v>301.07155</v>
      </c>
      <c r="J38" s="2">
        <v>215</v>
      </c>
      <c r="K38" s="6">
        <f t="shared" si="1"/>
        <v>-86.071550000000002</v>
      </c>
    </row>
    <row r="39" spans="1:11" x14ac:dyDescent="0.25">
      <c r="A39" s="1">
        <v>38</v>
      </c>
      <c r="B39" s="2" t="s">
        <v>46</v>
      </c>
      <c r="C39" s="2" t="s">
        <v>26</v>
      </c>
      <c r="D39" s="2" t="s">
        <v>52</v>
      </c>
      <c r="E39" s="3">
        <v>1031.20317</v>
      </c>
      <c r="F39" s="2" t="s">
        <v>51</v>
      </c>
      <c r="G39" s="3">
        <v>571.93980454545465</v>
      </c>
      <c r="H39" s="2" t="s">
        <v>49</v>
      </c>
      <c r="I39" s="5">
        <v>561.81904999999995</v>
      </c>
      <c r="J39" s="2">
        <v>425</v>
      </c>
      <c r="K39" s="6">
        <f t="shared" si="1"/>
        <v>-136.81904999999995</v>
      </c>
    </row>
    <row r="40" spans="1:11" x14ac:dyDescent="0.25">
      <c r="A40" s="1">
        <v>39</v>
      </c>
      <c r="B40" s="2" t="s">
        <v>47</v>
      </c>
      <c r="C40" s="2" t="s">
        <v>10</v>
      </c>
      <c r="D40" s="2" t="s">
        <v>50</v>
      </c>
      <c r="E40" s="3">
        <v>279.87117000000001</v>
      </c>
      <c r="F40" s="2" t="s">
        <v>51</v>
      </c>
      <c r="G40" s="3">
        <v>166.70356818181818</v>
      </c>
      <c r="H40" s="2" t="s">
        <v>49</v>
      </c>
      <c r="I40" s="5">
        <v>159.01924999999997</v>
      </c>
      <c r="J40" s="2">
        <v>62</v>
      </c>
      <c r="K40" s="6">
        <f t="shared" si="1"/>
        <v>-97.019249999999971</v>
      </c>
    </row>
  </sheetData>
  <conditionalFormatting sqref="B1:B4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3392-5C62-442C-ABA8-EE9A1855FEA7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25.99</v>
      </c>
      <c r="B1">
        <f>A1*3.6725</f>
        <v>95.448274999999995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2026-06-08T10:51:05Z</dcterms:created>
  <dcterms:modified xsi:type="dcterms:W3CDTF">2026-06-12T10:08:03Z</dcterms:modified>
</cp:coreProperties>
</file>