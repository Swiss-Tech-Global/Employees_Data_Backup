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9-06-2026/"/>
    </mc:Choice>
  </mc:AlternateContent>
  <xr:revisionPtr revIDLastSave="194" documentId="13_ncr:1_{57B26E6C-3985-4208-B9CE-B13B7386B30F}" xr6:coauthVersionLast="47" xr6:coauthVersionMax="47" xr10:uidLastSave="{34833920-75C6-4015-8F17-87CBED2F4B66}"/>
  <bookViews>
    <workbookView xWindow="20370" yWindow="-120" windowWidth="29040" windowHeight="17520" xr2:uid="{C94782D0-837C-4E0A-BE6A-49F58EC69DA3}"/>
  </bookViews>
  <sheets>
    <sheet name="All" sheetId="1" r:id="rId1"/>
    <sheet name="Graphics Card" sheetId="6" r:id="rId2"/>
    <sheet name="Gaming PC" sheetId="5" r:id="rId3"/>
    <sheet name="Gaming Mini PC" sheetId="4" r:id="rId4"/>
    <sheet name="Gaming Desktop" sheetId="3" r:id="rId5"/>
    <sheet name="Laptop" sheetId="2" r:id="rId6"/>
  </sheets>
  <definedNames>
    <definedName name="_xlnm._FilterDatabase" localSheetId="0" hidden="1">All!$A$1:$K$32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J31" i="1"/>
  <c r="J28" i="1"/>
  <c r="J29" i="1"/>
  <c r="J30" i="1"/>
  <c r="J27" i="1"/>
  <c r="J26" i="1"/>
  <c r="J25" i="1"/>
  <c r="J24" i="1"/>
  <c r="J23" i="1"/>
  <c r="J22" i="1"/>
  <c r="J21" i="1"/>
  <c r="J20" i="1"/>
  <c r="J14" i="1"/>
  <c r="J15" i="1"/>
  <c r="J16" i="1"/>
  <c r="J17" i="1"/>
  <c r="J18" i="1"/>
  <c r="J19" i="1"/>
  <c r="J13" i="1"/>
  <c r="J12" i="1"/>
  <c r="J11" i="1"/>
  <c r="J10" i="1"/>
  <c r="J9" i="1"/>
  <c r="J8" i="1"/>
  <c r="J6" i="1"/>
  <c r="J7" i="1"/>
  <c r="J5" i="1"/>
  <c r="J4" i="1"/>
  <c r="J3" i="1"/>
  <c r="J2" i="1"/>
</calcChain>
</file>

<file path=xl/sharedStrings.xml><?xml version="1.0" encoding="utf-8"?>
<sst xmlns="http://schemas.openxmlformats.org/spreadsheetml/2006/main" count="531" uniqueCount="151">
  <si>
    <t>Sr No</t>
  </si>
  <si>
    <t>Discarpation</t>
  </si>
  <si>
    <t>Scorptec Chai | Intel Core Ultra 5 | NVIDIA GeForce RTX 5070 | Gaming PC</t>
  </si>
  <si>
    <t>Scorptec Chimera | AMD Ryzen 7 | NVIDIA GeForce RTX 5080 | Gaming PC</t>
  </si>
  <si>
    <t>Scorptec Vision | AMD Ryzen 5 | NVIDIA GeForce RTX 5060 Ti | Gaming PC</t>
  </si>
  <si>
    <t>Scorptec Ion | Intel Core Ultra 5 | NVIDIA GeForce RTX 5060 Ti | Gaming PC</t>
  </si>
  <si>
    <t>Scorptec Sunburst | AMD Ryzen 7 | NVIDIA GeForce RTX 5070 Ti | Gaming PC</t>
  </si>
  <si>
    <t>Lenovo Legion T5 Gaming Desktop (Intel Core Ultra 7-255HX)[GeForce RTX 5070]</t>
  </si>
  <si>
    <t>MSI MPG Trident AS AI 2NVL5-005AU Gaming Desktop (Intel Core Ultra 5-225)[GeForce RTX 5060]</t>
  </si>
  <si>
    <t>MSI MPG Trident AS AI 2NVP7-001AU Gaming Desktop (Intel Core Ultra 7-265)[GeForce RTX 5070]</t>
  </si>
  <si>
    <t>Scorptec Ventus Gaming Desktop PC (AMD Ryzen 5) [NVIDIA GeForce RTX 5060]</t>
  </si>
  <si>
    <t>Lenovo Legion T5 Gaming Desktop (Intel Core Ultra 7-265KF)[GeForce RTX 5070 Ti]</t>
  </si>
  <si>
    <t>MSI Infinite X3 AI 2NVR7-043AU Gaming Desktop (Intel Core Ultra 7-265K)[GeForce RTX 5070Ti]</t>
  </si>
  <si>
    <t>Asus ROG NUC Gaming Mini PC (Intel Core Ultra 9-275HX)[GeForce RTX 5070Ti]</t>
  </si>
  <si>
    <t>Lenovo Legion T7 Gaming Desktop (Intel Core Ultra 7-265K)[GeForce RTX 5080]</t>
  </si>
  <si>
    <t>MSI Infinite X3 AI 2NVV9-040AU Gaming Desktop (Intel Core Ultra 9-285K)[GeForce RTX 5080]</t>
  </si>
  <si>
    <t>Asus ROG G700 Gaming Desktop (Intel Ultra 7-265F)[GeForce RTX 5070]</t>
  </si>
  <si>
    <t>Gaming Desktop</t>
  </si>
  <si>
    <t>Gaming Mini PC</t>
  </si>
  <si>
    <t>Gaming PC</t>
  </si>
  <si>
    <t>MSI MEG Vision X AI 2NVV9-034AU Gaming Desktop (Intel Core Ultra 9-285K)[GeForce RTX 5080]</t>
  </si>
  <si>
    <t>Asus ROG NUC Gaming Mini PC (Intel Core Ultra 9-275HX)[GeForce RTX 5080]</t>
  </si>
  <si>
    <t>Asus Prime GeForce RTX 5070 12G Graphics Card (PRIME-RTX5070-12G)</t>
  </si>
  <si>
    <t>Type</t>
  </si>
  <si>
    <t>Lenovo Legion 9i 18" WQUXGA 240Hz Gaming Laptop (Intel Core Ultra 9-275HX)[GeForce RTX 5090]</t>
  </si>
  <si>
    <t>Gaming Laptop</t>
  </si>
  <si>
    <t>Victus 15 15.6" FHD 144Hz Gaming Laptop (Intel Core i7) [GeForce RTX 3050]</t>
  </si>
  <si>
    <t>Asus TUF F16 16" FHD+ 165Hz Gaming Laptop (Intel Core i7)[GeForce RTX 5060]</t>
  </si>
  <si>
    <t>Lenovo LOQ 15.6" Full HD 144Hz Gaming Laptop (Ryzen 7][GeForce RTX 5060]</t>
  </si>
  <si>
    <t>Victus 15 15.6" FHD 144Hz Gaming Laptop (Intel Core i7) [GeForce RTX 5050]</t>
  </si>
  <si>
    <t>Lenovo Legion Pro 7 16IAX10H 16" WQXGA 240Hz OLED Gaming Laptop (Intel Core Ultra 9-275HX)[GeForce RTX 5080]</t>
  </si>
  <si>
    <t>Asus TUF Gaming A15 15.6" WUXGA Gaming Laptop (Ryzen 7 - 170)[GeForce RTX 3050]</t>
  </si>
  <si>
    <t>Lenovo Legion 5 Pro 16IAX10 16" WQXGA 165Hz OLED Gaming Laptop (Intel Core Ultra 9-275HX)[GeForce RTX 5070 Ti]</t>
  </si>
  <si>
    <t>Lenovo LOQ 15.6" Full HD 144Hz Gaming Laptop (Ryzen 7)[GeForce RTX 5050]</t>
  </si>
  <si>
    <t>ASUS ProArt 16 16" 3K 120Hz OLED Copilot+ AI PC Laptop (Ryzen AI 9)[GeForce RTX 5070]</t>
  </si>
  <si>
    <t>Lenovo Legion 5 15.3" WUXGA 165Hz Gaming Laptop (Intel Core i7)[GeForce RTX 5070]</t>
  </si>
  <si>
    <t>Lenovo Legion 5i 15.1" WQXGA 165Hz OLED Gaming Laptop (Intel Core i9)[GeForce RTX 5070]</t>
  </si>
  <si>
    <t>Lenovo Legion 5i 15.1" WQXGA 165Hz OLED Gaming Laptop (Intel Core i7)[GeForce RTX 5060]</t>
  </si>
  <si>
    <t>HP OMEN 16" WQXGA 240Hz Gaming Laptop (Intel Core Ultra 7 - 255H)[GeForce RTX 5050]</t>
  </si>
  <si>
    <t>Lenovo Legion 5a 15.3" WQXGA 165Hz OLED Gaming Laptop (Ryzen 7)[GeForce RTX 5050]</t>
  </si>
  <si>
    <t>Lenovo Legion 5a 15.3" WQXGA 165Hz OLED Gaming Laptop (Ryzen 7)[GeForce RTX 5060]</t>
  </si>
  <si>
    <t>Victus 15 15.6" FHD 144Hz Gaming Laptop (Intel Core i7) [GeForce RTX 4050]</t>
  </si>
  <si>
    <t>Lenvo LOQ Essential 15.6" FHD 144Hz Gaming Laptop (Intel Core i5)[GeForce RTX 4050]</t>
  </si>
  <si>
    <t>Lenovo Legion Pro 7 16IAX10H 16" WQXGA 240Hz OLED Gaming Laptop (Intel Core Ultra 9-275HX)[GeForce RTX 5090]</t>
  </si>
  <si>
    <t>HyperX OMEN 15.3" WQXGA Gaming Laptop (Intel Core i7)[GeForce RTX 5070]</t>
  </si>
  <si>
    <t>Lenovo Legion 5 Pro 16IAX10 16" WQXGA 165Hz OLED Gaming Laptop (Intel Core Ultra 9)[GeForce RTX 5070]</t>
  </si>
  <si>
    <t>Lenovo LOQ 171RX10 17.3" Gaming Laptop (Intel Core i7) [GeForce RTX 5070]</t>
  </si>
  <si>
    <t>Lenovo Legion Pro 7 16IAX10H 16" WQXGA 240Hz OLED Gaming Laptop (Intel Core Ultra 9)[GeForce RTX 5070 Ti]</t>
  </si>
  <si>
    <t>Alienware 16X Aurora 16" WQXGA 240Hz Gaming Laptop (Intel Core Ultra 9-275HX)[GeForce RTX 5070]</t>
  </si>
  <si>
    <t>Alienware 16 Aurora 16" WQXGA 120Hz Gaming Laptop (Intel Core 7)[GeForce RTX 5050]</t>
  </si>
  <si>
    <t>Alienware 16 Aurora 16" WQXGA 120Hz Gaming Laptop (Intel Core 7)[GeForce RTX 5060]</t>
  </si>
  <si>
    <t>MSI Stealth A18 AI+ 18" UHD+ MiniLED 120Hz Gaming Laptop (Ryzen AI 9) [GeForce RTX 5090]</t>
  </si>
  <si>
    <t>ASUS V16 16" Full HD 144Hz Gaming Laptop (Intel Core 5)[GeForce RTX 4050]</t>
  </si>
  <si>
    <t>HP OMEN MAX 16" UWVA 2.5K 240Hz OLED Gaming Laptop (Intel Core Ultra 9-275HX)[GeForce RTX 5080]</t>
  </si>
  <si>
    <t>Asus TUF F16 16" FHD+ Gaming Laptop (Intel Core i7)[GeForce RTX 5050]</t>
  </si>
  <si>
    <t>MSI Stealth A16 AI+ 16" QHD+ OLED 240Hz Gaming Laptop (Ryzen AI 9) [GeForceRTX 5070 Ti]</t>
  </si>
  <si>
    <t>Lenovo Legion 9i 18" WQUXGA 240Hz Gaming Laptop (Intel Core Ultra 9)[GeForce RTX 5080]</t>
  </si>
  <si>
    <t>MSI Crosshair 16 HX AI 16" QHD+ 240Hz Gaming Laptop (Intel Core Ultra 9-275HX) [GeForce RTX 5070]</t>
  </si>
  <si>
    <t>MSI Stealth 16 AI 16" QHD+ OLED 240Hz Gaming Laptop (Intel Core Ultra 9-285H)[GeForce RTX 5060]</t>
  </si>
  <si>
    <t>Lenovo LOQ 15.6" Full HD 144Hz Gaming Laptop (intel Core i7 - 13650HX)[GeForce RTX 5060]</t>
  </si>
  <si>
    <t>ASUS ROG Strix G16 16" FHD+ 165Hz Gaming Laptop (Intel Core Ultra 7)[GeForce RTX 5060]</t>
  </si>
  <si>
    <t>Aftershock Apex | Nvidia Geforce RTX 5060 8GB | Ryzen 9 8940HX | Gaming Laptop</t>
  </si>
  <si>
    <t>Lenovo Legion 5 15.3" WUXGA 165Hz OLED Gaming Laptop (Intel Core i7 - 13650HX)[GeForce RTX 5060]</t>
  </si>
  <si>
    <t>MSI Thin A15 15" FHD 144Hz Gaming Laptop (Ryzen 7) [GeForce RTX 3050]</t>
  </si>
  <si>
    <t>Asus TUF F16 16" WUXGA 144Hz Gaming Laptop (Intel Core i7)[GeForce RTX 5060]</t>
  </si>
  <si>
    <t>Lenovo LOQ 15.6" FHD 144Hz Gaming Laptop (Intel Core i7)[GeForce RTX 5060]</t>
  </si>
  <si>
    <t>Alienware Area-51 18" WQXGA 300Hz Gaming Laptop (Intel Core Ultra 9-275HX)[GeForce RTX 5080]</t>
  </si>
  <si>
    <t>HyperX OMEN 15.3" WQXGA 180Hz Gaming Laptop (Intel Core I7 - 14650HX)[Geforce RTX 5060]</t>
  </si>
  <si>
    <t>MSI Crosshair 16 HX AI 16" QHD+ 240Hz Gaming Laptop (Intel Core Ultra 9) [GeForce RTX 5060]</t>
  </si>
  <si>
    <t>MSI Thin A15 15" FHD 144Hz Gaming Laptop (Ryzen 5) [GeForce RTX 3050]</t>
  </si>
  <si>
    <t>Lenovo Legion 5 15.3" WUXGA 165Hz OLED Gaming Laptop (Intel Core i7 - 13650HX)[GeForce RTX 5070]</t>
  </si>
  <si>
    <t>Lenovo LOQ 15.6" Full HD 144Hz Gaming Laptop (intel Core i7 - 13650HX)[GeForce RTX 5050]</t>
  </si>
  <si>
    <t>MSI Crosshair 16 HX 16" WQXGA 240Hz Gaming Laptop (Intel Core i9-14900HX)[NVIDIA GeForce RTX 5070]</t>
  </si>
  <si>
    <t>Asus TUF F16 16" WUXGA 144Hz Gaming Laptop (Intel Core i7 - 14650HX)[GeForce RTX 5060]</t>
  </si>
  <si>
    <t>Aftershock Apex | Nvidia Geforce RTX 5070 8GB | Ryzen 9 8940HX | Gaming Laptop</t>
  </si>
  <si>
    <t>Lenovo Legion Pro 7 16IAX10H 16" WQXGA 240Hz OLED Gaming Laptop (Intel Core Ultra 9)[GeForce RTX 5080]</t>
  </si>
  <si>
    <t>Asus TUF Gaming A15 15.6" Full HD Gaming Laptop (Ryzen 7-170)[GeForce RTX 4050]</t>
  </si>
  <si>
    <t>Lenovo</t>
  </si>
  <si>
    <t>Victus</t>
  </si>
  <si>
    <t>Asus</t>
  </si>
  <si>
    <t>OMEN</t>
  </si>
  <si>
    <t>Alienware</t>
  </si>
  <si>
    <t>MSI</t>
  </si>
  <si>
    <t>Aftershock</t>
  </si>
  <si>
    <t>Brand</t>
  </si>
  <si>
    <t>Website (AUD)</t>
  </si>
  <si>
    <t>After GST TO AED (AUD)</t>
  </si>
  <si>
    <t>Website (NZD)</t>
  </si>
  <si>
    <t>After GST TO AED (NZD)</t>
  </si>
  <si>
    <t>jbhifi.com.au</t>
  </si>
  <si>
    <t>scorptec.com.au</t>
  </si>
  <si>
    <t>pbtech.co.nz</t>
  </si>
  <si>
    <t>centrecom.com.au</t>
  </si>
  <si>
    <t>Sale Prices</t>
  </si>
  <si>
    <t>Not Avalibel NZD</t>
  </si>
  <si>
    <t>Website (USD)</t>
  </si>
  <si>
    <t>After TO AED (USD)</t>
  </si>
  <si>
    <t>bhphotovideo.com</t>
  </si>
  <si>
    <t>ASUS TUF Gaming Radeon RX 9070 XT OC Edition, 16GB</t>
  </si>
  <si>
    <t>mightyape.co.nz</t>
  </si>
  <si>
    <t>bestbuy.com</t>
  </si>
  <si>
    <t>Zotac Gaming GeForce RTX 5070 Twin Edge 12Gb OC</t>
  </si>
  <si>
    <t>ZOTAC GeForce RTX 5080 SOLID OC White 16GB GDDR7 Graphics Card</t>
  </si>
  <si>
    <t>computeralliance.com.au</t>
  </si>
  <si>
    <t>Not Avalibel NZD, USD</t>
  </si>
  <si>
    <t>ZOTAC GeForce RTX 5080 AMP Extreme INFINITY 16G GDDR7</t>
  </si>
  <si>
    <t>bpctech.com.au</t>
  </si>
  <si>
    <t>ZOTAC Gaming GeForce RTX 5080 Solid Core OC 16GB GDDR7</t>
  </si>
  <si>
    <t>themall.aucklandairport.co.nz</t>
  </si>
  <si>
    <t>ple.com.au</t>
  </si>
  <si>
    <t>Not Avalibel USD</t>
  </si>
  <si>
    <t>ZOTAC GAMING GeForce RTX 5070 Ti SOLID CORE OC White Edition, 16GB</t>
  </si>
  <si>
    <t>ZOTAC GAMING GeForce RTX 5070 Ti AMP Extreme INFINITY, 16GB</t>
  </si>
  <si>
    <t>walmart.com</t>
  </si>
  <si>
    <t>Not Avalibel AUD, NZD, USD</t>
  </si>
  <si>
    <t>ZOTAC GeForce RTX 5070 Ti 16G SOLID SFF OC</t>
  </si>
  <si>
    <t>computerlounge.co.nz</t>
  </si>
  <si>
    <t>tecs.com.au</t>
  </si>
  <si>
    <t>ZOTAC Gaming GeForce RTX 5070 SOLID OC GDDR7 12GB</t>
  </si>
  <si>
    <t>allneeds.com.au</t>
  </si>
  <si>
    <t>ZOTAC GAMING GeForce RTX 5070 AMP White Edition, 12GB</t>
  </si>
  <si>
    <t>ZOTAC GeForce RTX 5070 Twin Edge OC 12GB GDDR7</t>
  </si>
  <si>
    <t>shoppingexpress.com.au</t>
  </si>
  <si>
    <t>Not Avalibel AUD</t>
  </si>
  <si>
    <t>ZOTAC GAMING GeForce RTX 5060 Ti 8GB Twin Edge OC White Edition</t>
  </si>
  <si>
    <t>Zotac Gaming GeForce RTX 5060 Ti 16GB Twin Edge OC GDDR7</t>
  </si>
  <si>
    <t>msy.com.au</t>
  </si>
  <si>
    <t>Zotac Gaming GeForce RTX 5060 Ti 8gb Twin Edge GDDR7 128bit</t>
  </si>
  <si>
    <t>Zotac GeForce RTX 5060 Twin Edge OC 8GB GDDR7</t>
  </si>
  <si>
    <t>ZOTAC GAMING GeForce RTX 5060 8GB Twin Edge OC White Edition</t>
  </si>
  <si>
    <t>bigw.com.au</t>
  </si>
  <si>
    <t>ZOTAC GAMING GeForce RTX 5050 Twin Edge</t>
  </si>
  <si>
    <t>mwave.com.au</t>
  </si>
  <si>
    <t>Not Avalibel AUD, NZD</t>
  </si>
  <si>
    <t>MSI GeForce RTX 5080 16GB Ventus 3X OC White</t>
  </si>
  <si>
    <t>MSI GeForce RTX 5070 12G SHADOW 2X OC, 12GB</t>
  </si>
  <si>
    <t>Asus GeForce GT 730 2GB GDDR5</t>
  </si>
  <si>
    <t>MSI GeForce RTX 5070 12G VANGUARD SOC , 12GB</t>
  </si>
  <si>
    <t>Not Avalibel AUD, USD</t>
  </si>
  <si>
    <t>MSI GeForce RTX 5060 Ti VENTUS 2X OC PLUS 16GB GDDR7 Video Card</t>
  </si>
  <si>
    <t>justlaptops.co.nz</t>
  </si>
  <si>
    <t>Gigabyte GeForce RTX 5060 AERO OC 8GB Video Card</t>
  </si>
  <si>
    <t>Gigabyte GeForce RTX 5080 AERO OC 16GB Video Card</t>
  </si>
  <si>
    <t>ASUS Prime GeForce RTX 5070 Ti 16GB GDDR7 OC Edition Graphics Card</t>
  </si>
  <si>
    <t>Gigabyte GeForce RTX 5070 WindForce OC SFF 12G Graphics Card (GV-N5070WF3OC-12GD)</t>
  </si>
  <si>
    <t>Gigabyte GeForce RTX 5070 Ti EAGLE OC 16GB Video Card</t>
  </si>
  <si>
    <t>Inno3D GeForce RTX 5080 iCHILL X3 V2, 16GB</t>
  </si>
  <si>
    <t>memoryc.com</t>
  </si>
  <si>
    <t>ZOTAC GeForce RTX 5070 GAMING AMP 12GB GDDR7 Graphics Card White</t>
  </si>
  <si>
    <t>ASUS GeForce RTX 5090 TUF Gaming OC 32GB GDDR7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</si>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</sst>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2" fontId="0" fillId="5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D96C-207E-4DAA-82E8-9999E47E2FD1}">
  <dimension ref="A1:K32"/>
  <sheetViews>
    <sheetView tabSelected="1" topLeftCell="B1" zoomScaleNormal="100" workbookViewId="0">
      <selection activeCell="E18" sqref="E18"/>
    </sheetView>
  </sheetViews>
  <sheetFormatPr defaultRowHeight="15" x14ac:dyDescent="0.25"/>
  <cols>
    <col min="1" max="1" width="10.5703125" bestFit="1" customWidth="1"/>
    <col min="2" max="2" width="81.7109375" bestFit="1" customWidth="1"/>
    <col min="3" max="3" width="28.42578125" bestFit="1" customWidth="1"/>
    <col min="4" max="4" width="27.85546875" bestFit="1" customWidth="1"/>
    <col min="5" max="5" width="24.28515625" bestFit="1" customWidth="1"/>
    <col min="6" max="6" width="28" bestFit="1" customWidth="1"/>
    <col min="7" max="7" width="19.28515625" bestFit="1" customWidth="1"/>
    <col min="8" max="8" width="23.7109375" bestFit="1" customWidth="1"/>
    <col min="9" max="9" width="15.7109375" customWidth="1"/>
    <col min="10" max="10" width="13.42578125" customWidth="1"/>
    <col min="11" max="11" width="26.42578125" bestFit="1" customWidth="1"/>
  </cols>
  <sheetData>
    <row r="1" spans="1:11" ht="15.75" x14ac:dyDescent="0.25">
      <c r="A1" s="4" t="s">
        <v>0</v>
      </c>
      <c r="B1" s="4" t="s">
        <v>1</v>
      </c>
      <c r="C1" s="4" t="s">
        <v>87</v>
      </c>
      <c r="D1" s="4" t="s">
        <v>88</v>
      </c>
      <c r="E1" s="4" t="s">
        <v>85</v>
      </c>
      <c r="F1" s="4" t="s">
        <v>86</v>
      </c>
      <c r="G1" s="4" t="s">
        <v>95</v>
      </c>
      <c r="H1" s="4" t="s">
        <v>96</v>
      </c>
      <c r="I1" s="4" t="s">
        <v>93</v>
      </c>
      <c r="J1" s="11" t="s">
        <v>150</v>
      </c>
    </row>
    <row r="2" spans="1:11" x14ac:dyDescent="0.25">
      <c r="A2" s="7">
        <v>1</v>
      </c>
      <c r="B2" s="7" t="s">
        <v>98</v>
      </c>
      <c r="C2" s="7" t="s">
        <v>99</v>
      </c>
      <c r="D2" s="8">
        <v>5393.4362088191992</v>
      </c>
      <c r="E2" s="7" t="s">
        <v>90</v>
      </c>
      <c r="F2" s="9">
        <v>2589.7435454545453</v>
      </c>
      <c r="G2" s="7" t="s">
        <v>100</v>
      </c>
      <c r="H2" s="8">
        <v>3918.1168000000002</v>
      </c>
      <c r="I2" s="7">
        <v>2770</v>
      </c>
      <c r="J2" s="13">
        <f>I2-F2</f>
        <v>180.25645454545474</v>
      </c>
    </row>
    <row r="3" spans="1:11" x14ac:dyDescent="0.25">
      <c r="A3" s="7">
        <v>2</v>
      </c>
      <c r="B3" s="7" t="s">
        <v>101</v>
      </c>
      <c r="C3" s="7" t="s">
        <v>91</v>
      </c>
      <c r="D3" s="9">
        <v>2318.0511183359999</v>
      </c>
      <c r="E3" s="7" t="s">
        <v>90</v>
      </c>
      <c r="F3" s="8">
        <v>2354.0980909090908</v>
      </c>
      <c r="G3" s="7" t="s">
        <v>100</v>
      </c>
      <c r="H3" s="8">
        <v>2453.1932750000001</v>
      </c>
      <c r="I3" s="7">
        <v>2275</v>
      </c>
      <c r="J3" s="12">
        <f>I3-D3</f>
        <v>-43.051118335999945</v>
      </c>
    </row>
    <row r="4" spans="1:11" x14ac:dyDescent="0.25">
      <c r="A4" s="7">
        <v>3</v>
      </c>
      <c r="B4" s="7" t="s">
        <v>102</v>
      </c>
      <c r="C4" s="7" t="s">
        <v>91</v>
      </c>
      <c r="D4" s="8">
        <v>4992.8397056000003</v>
      </c>
      <c r="E4" s="7" t="s">
        <v>103</v>
      </c>
      <c r="F4" s="9">
        <v>4710.5526363636363</v>
      </c>
      <c r="G4" s="7" t="s">
        <v>100</v>
      </c>
      <c r="H4" s="8">
        <v>5060.668275</v>
      </c>
      <c r="I4" s="7">
        <v>4890</v>
      </c>
      <c r="J4" s="13">
        <f>I4-F4</f>
        <v>179.44736363636366</v>
      </c>
      <c r="K4" s="6" t="s">
        <v>104</v>
      </c>
    </row>
    <row r="5" spans="1:11" x14ac:dyDescent="0.25">
      <c r="A5" s="7">
        <v>4</v>
      </c>
      <c r="B5" s="7" t="s">
        <v>105</v>
      </c>
      <c r="C5" s="7" t="s">
        <v>91</v>
      </c>
      <c r="D5" s="9">
        <v>4907.1818794239989</v>
      </c>
      <c r="E5" s="7" t="s">
        <v>106</v>
      </c>
      <c r="F5" s="8">
        <v>5181.8435454545452</v>
      </c>
      <c r="G5" s="7" t="s">
        <v>100</v>
      </c>
      <c r="H5" s="8">
        <v>5449.9532749999998</v>
      </c>
      <c r="I5" s="7">
        <v>4990</v>
      </c>
      <c r="J5" s="13">
        <f>I5-D5</f>
        <v>82.818120576001093</v>
      </c>
      <c r="K5" s="6" t="s">
        <v>104</v>
      </c>
    </row>
    <row r="6" spans="1:11" x14ac:dyDescent="0.25">
      <c r="A6" s="7">
        <v>5</v>
      </c>
      <c r="B6" s="7" t="s">
        <v>107</v>
      </c>
      <c r="C6" s="7" t="s">
        <v>108</v>
      </c>
      <c r="D6" s="9">
        <v>4326.3976889855994</v>
      </c>
      <c r="E6" s="7" t="s">
        <v>109</v>
      </c>
      <c r="F6" s="8">
        <v>4946.1980909090908</v>
      </c>
      <c r="G6" s="7" t="s">
        <v>100</v>
      </c>
      <c r="H6" s="8">
        <v>5255.3107749999999</v>
      </c>
      <c r="I6" s="7">
        <v>4845</v>
      </c>
      <c r="J6" s="13">
        <f t="shared" ref="J6:J7" si="0">I6-D6</f>
        <v>518.60231101440058</v>
      </c>
      <c r="K6" s="6" t="s">
        <v>110</v>
      </c>
    </row>
    <row r="7" spans="1:11" x14ac:dyDescent="0.25">
      <c r="A7" s="7">
        <v>6</v>
      </c>
      <c r="B7" s="10" t="s">
        <v>111</v>
      </c>
      <c r="C7" s="7" t="s">
        <v>91</v>
      </c>
      <c r="D7" s="9">
        <v>3242.2832861439997</v>
      </c>
      <c r="E7" s="7" t="s">
        <v>90</v>
      </c>
      <c r="F7" s="8">
        <v>3650.1480909090906</v>
      </c>
      <c r="G7" s="7" t="s">
        <v>100</v>
      </c>
      <c r="H7" s="8">
        <v>4282.0982750000003</v>
      </c>
      <c r="I7" s="7">
        <v>3725</v>
      </c>
      <c r="J7" s="13">
        <f t="shared" si="0"/>
        <v>482.7167138560003</v>
      </c>
    </row>
    <row r="8" spans="1:11" x14ac:dyDescent="0.25">
      <c r="A8" s="7">
        <v>7</v>
      </c>
      <c r="B8" s="10" t="s">
        <v>112</v>
      </c>
      <c r="C8" s="7" t="s">
        <v>91</v>
      </c>
      <c r="D8" s="8">
        <v>3839.9391914239995</v>
      </c>
      <c r="E8" s="7" t="s">
        <v>90</v>
      </c>
      <c r="F8" s="8">
        <v>3697.2771818181818</v>
      </c>
      <c r="G8" s="7" t="s">
        <v>113</v>
      </c>
      <c r="H8" s="9">
        <v>3573.9668249999995</v>
      </c>
      <c r="I8" s="7">
        <v>3750</v>
      </c>
      <c r="J8" s="13">
        <f>I8-H8</f>
        <v>176.03317500000048</v>
      </c>
      <c r="K8" s="6" t="s">
        <v>114</v>
      </c>
    </row>
    <row r="9" spans="1:11" x14ac:dyDescent="0.25">
      <c r="A9" s="7">
        <v>8</v>
      </c>
      <c r="B9" s="10" t="s">
        <v>115</v>
      </c>
      <c r="C9" s="7" t="s">
        <v>116</v>
      </c>
      <c r="D9" s="8">
        <v>3710.2924057599994</v>
      </c>
      <c r="E9" s="7" t="s">
        <v>117</v>
      </c>
      <c r="F9" s="9">
        <v>3390.938090909091</v>
      </c>
      <c r="G9" s="7" t="s">
        <v>100</v>
      </c>
      <c r="H9" s="8">
        <v>4319.3741500000006</v>
      </c>
      <c r="I9" s="7">
        <v>3520</v>
      </c>
      <c r="J9" s="13">
        <f>I9-F9</f>
        <v>129.06190909090901</v>
      </c>
    </row>
    <row r="10" spans="1:11" x14ac:dyDescent="0.25">
      <c r="A10" s="7">
        <v>9</v>
      </c>
      <c r="B10" s="10" t="s">
        <v>118</v>
      </c>
      <c r="C10" s="7" t="s">
        <v>108</v>
      </c>
      <c r="D10" s="8">
        <v>2162.2151251455998</v>
      </c>
      <c r="E10" s="7" t="s">
        <v>119</v>
      </c>
      <c r="F10" s="9">
        <v>2118.4526363636364</v>
      </c>
      <c r="G10" s="7" t="s">
        <v>100</v>
      </c>
      <c r="H10" s="8">
        <v>2530.315775</v>
      </c>
      <c r="I10" s="7">
        <v>2690</v>
      </c>
      <c r="J10" s="13">
        <f>I10-F10</f>
        <v>571.54736363636357</v>
      </c>
    </row>
    <row r="11" spans="1:11" x14ac:dyDescent="0.25">
      <c r="A11" s="7">
        <v>10</v>
      </c>
      <c r="B11" s="10" t="s">
        <v>120</v>
      </c>
      <c r="C11" s="7" t="s">
        <v>108</v>
      </c>
      <c r="D11" s="9">
        <v>2122.8663512575999</v>
      </c>
      <c r="E11" s="7" t="s">
        <v>90</v>
      </c>
      <c r="F11" s="8">
        <v>2354.0980909090908</v>
      </c>
      <c r="G11" s="7" t="s">
        <v>100</v>
      </c>
      <c r="H11" s="8">
        <v>2607.4749999999999</v>
      </c>
      <c r="I11" s="7">
        <v>2460</v>
      </c>
      <c r="J11" s="13">
        <f>I11-D11</f>
        <v>337.13364874240006</v>
      </c>
      <c r="K11" s="6" t="s">
        <v>104</v>
      </c>
    </row>
    <row r="12" spans="1:11" x14ac:dyDescent="0.25">
      <c r="A12" s="7">
        <v>11</v>
      </c>
      <c r="B12" s="10" t="s">
        <v>121</v>
      </c>
      <c r="C12" s="7" t="s">
        <v>91</v>
      </c>
      <c r="D12" s="8">
        <v>2318.0511183359999</v>
      </c>
      <c r="E12" s="7" t="s">
        <v>122</v>
      </c>
      <c r="F12" s="9">
        <v>2165.5817272727268</v>
      </c>
      <c r="G12" s="7" t="s">
        <v>100</v>
      </c>
      <c r="H12" s="8">
        <v>2768.2203249999998</v>
      </c>
      <c r="I12" s="7">
        <v>2435</v>
      </c>
      <c r="J12" s="13">
        <f>I12-F12</f>
        <v>269.41827272727323</v>
      </c>
      <c r="K12" s="6" t="s">
        <v>123</v>
      </c>
    </row>
    <row r="13" spans="1:11" x14ac:dyDescent="0.25">
      <c r="A13" s="7">
        <v>12</v>
      </c>
      <c r="B13" s="10" t="s">
        <v>124</v>
      </c>
      <c r="C13" s="7" t="s">
        <v>91</v>
      </c>
      <c r="D13" s="9">
        <v>1278.5567402239999</v>
      </c>
      <c r="E13" s="7" t="s">
        <v>90</v>
      </c>
      <c r="F13" s="8">
        <v>1458.6453636363635</v>
      </c>
      <c r="G13" s="7" t="s">
        <v>100</v>
      </c>
      <c r="H13" s="8">
        <v>1402.858275</v>
      </c>
      <c r="I13" s="7">
        <v>1725</v>
      </c>
      <c r="J13" s="13">
        <f>I13-D13</f>
        <v>446.4432597760001</v>
      </c>
      <c r="K13" s="6" t="s">
        <v>123</v>
      </c>
    </row>
    <row r="14" spans="1:11" x14ac:dyDescent="0.25">
      <c r="A14" s="7">
        <v>13</v>
      </c>
      <c r="B14" s="10" t="s">
        <v>125</v>
      </c>
      <c r="C14" s="7" t="s">
        <v>91</v>
      </c>
      <c r="D14" s="9">
        <v>1705.7322265599998</v>
      </c>
      <c r="E14" s="7" t="s">
        <v>126</v>
      </c>
      <c r="F14" s="8">
        <v>1717.8553636363636</v>
      </c>
      <c r="G14" s="7" t="s">
        <v>100</v>
      </c>
      <c r="H14" s="8">
        <v>1748.073275</v>
      </c>
      <c r="I14" s="7">
        <v>2095</v>
      </c>
      <c r="J14" s="13">
        <f t="shared" ref="J14:J19" si="1">I14-D14</f>
        <v>389.26777344000016</v>
      </c>
      <c r="K14" s="6" t="s">
        <v>104</v>
      </c>
    </row>
    <row r="15" spans="1:11" x14ac:dyDescent="0.25">
      <c r="A15" s="7">
        <v>14</v>
      </c>
      <c r="B15" s="10" t="s">
        <v>127</v>
      </c>
      <c r="C15" s="7" t="s">
        <v>91</v>
      </c>
      <c r="D15" s="9">
        <v>1278.5567402239999</v>
      </c>
      <c r="E15" s="7" t="s">
        <v>119</v>
      </c>
      <c r="F15" s="8">
        <v>1569.3987272727272</v>
      </c>
      <c r="G15" s="7" t="s">
        <v>100</v>
      </c>
      <c r="H15" s="8">
        <v>1674.6232749999999</v>
      </c>
      <c r="I15" s="7">
        <v>1665</v>
      </c>
      <c r="J15" s="13">
        <f t="shared" si="1"/>
        <v>386.4432597760001</v>
      </c>
    </row>
    <row r="16" spans="1:11" x14ac:dyDescent="0.25">
      <c r="A16" s="7">
        <v>15</v>
      </c>
      <c r="B16" s="10" t="s">
        <v>128</v>
      </c>
      <c r="C16" s="7" t="s">
        <v>91</v>
      </c>
      <c r="D16" s="9">
        <v>1278.5567402239999</v>
      </c>
      <c r="E16" s="7" t="s">
        <v>103</v>
      </c>
      <c r="F16" s="8">
        <v>1293.6935454545453</v>
      </c>
      <c r="G16" s="7" t="s">
        <v>113</v>
      </c>
      <c r="H16" s="8">
        <v>1395.513275</v>
      </c>
      <c r="I16" s="7">
        <v>1375</v>
      </c>
      <c r="J16" s="13">
        <f t="shared" si="1"/>
        <v>96.443259776000104</v>
      </c>
    </row>
    <row r="17" spans="1:11" x14ac:dyDescent="0.25">
      <c r="A17" s="7">
        <v>16</v>
      </c>
      <c r="B17" s="10" t="s">
        <v>129</v>
      </c>
      <c r="C17" s="7" t="s">
        <v>116</v>
      </c>
      <c r="D17" s="9">
        <v>1297.3958937599998</v>
      </c>
      <c r="E17" s="7" t="s">
        <v>130</v>
      </c>
      <c r="F17" s="8">
        <v>1595.0605172727271</v>
      </c>
      <c r="G17" s="7" t="s">
        <v>100</v>
      </c>
      <c r="H17" s="8">
        <v>1479.980775</v>
      </c>
      <c r="I17" s="7">
        <v>1400</v>
      </c>
      <c r="J17" s="13">
        <f t="shared" si="1"/>
        <v>102.60410624000019</v>
      </c>
    </row>
    <row r="18" spans="1:11" x14ac:dyDescent="0.25">
      <c r="A18" s="7">
        <v>17</v>
      </c>
      <c r="B18" s="10" t="s">
        <v>131</v>
      </c>
      <c r="C18" s="7" t="s">
        <v>91</v>
      </c>
      <c r="D18" s="9">
        <v>963.30253056000004</v>
      </c>
      <c r="E18" s="7" t="s">
        <v>132</v>
      </c>
      <c r="F18" s="8">
        <v>1058.0480909090909</v>
      </c>
      <c r="G18" s="7" t="s">
        <v>100</v>
      </c>
      <c r="H18" s="8">
        <v>1324.2667749999998</v>
      </c>
      <c r="I18" s="7">
        <v>1160</v>
      </c>
      <c r="J18" s="13">
        <f t="shared" si="1"/>
        <v>196.69746943999996</v>
      </c>
      <c r="K18" s="6" t="s">
        <v>133</v>
      </c>
    </row>
    <row r="19" spans="1:11" x14ac:dyDescent="0.25">
      <c r="A19" s="7">
        <v>18</v>
      </c>
      <c r="B19" s="10" t="s">
        <v>134</v>
      </c>
      <c r="C19" s="7" t="s">
        <v>91</v>
      </c>
      <c r="D19" s="9">
        <v>4731.1332377599992</v>
      </c>
      <c r="E19" s="7" t="s">
        <v>92</v>
      </c>
      <c r="F19" s="8">
        <v>4828.3753636363635</v>
      </c>
      <c r="G19" s="7" t="s">
        <v>100</v>
      </c>
      <c r="H19" s="8">
        <v>4998.2357750000001</v>
      </c>
      <c r="I19" s="7">
        <v>4750</v>
      </c>
      <c r="J19" s="13">
        <f t="shared" si="1"/>
        <v>18.866762240000753</v>
      </c>
      <c r="K19" s="6" t="s">
        <v>110</v>
      </c>
    </row>
    <row r="20" spans="1:11" x14ac:dyDescent="0.25">
      <c r="A20" s="7">
        <v>19</v>
      </c>
      <c r="B20" s="10" t="s">
        <v>135</v>
      </c>
      <c r="C20" s="7" t="s">
        <v>108</v>
      </c>
      <c r="D20" s="8">
        <v>2171.5326178303999</v>
      </c>
      <c r="E20" s="7" t="s">
        <v>90</v>
      </c>
      <c r="F20" s="9">
        <v>2118.4526363636364</v>
      </c>
      <c r="G20" s="7" t="s">
        <v>100</v>
      </c>
      <c r="H20" s="8">
        <v>2313.6382749999998</v>
      </c>
      <c r="I20" s="7">
        <v>2400</v>
      </c>
      <c r="J20" s="13">
        <f>I20-F20</f>
        <v>281.54736363636357</v>
      </c>
    </row>
    <row r="21" spans="1:11" x14ac:dyDescent="0.25">
      <c r="A21" s="7">
        <v>20</v>
      </c>
      <c r="B21" s="10" t="s">
        <v>136</v>
      </c>
      <c r="C21" s="7" t="s">
        <v>91</v>
      </c>
      <c r="D21" s="8">
        <v>211.31405222399997</v>
      </c>
      <c r="E21" s="7" t="s">
        <v>92</v>
      </c>
      <c r="F21" s="9">
        <v>153.16954545454544</v>
      </c>
      <c r="G21" s="7" t="s">
        <v>100</v>
      </c>
      <c r="H21" s="8">
        <v>404.56259999999997</v>
      </c>
      <c r="I21" s="7">
        <v>320</v>
      </c>
      <c r="J21" s="13">
        <f>I21-F21</f>
        <v>166.83045454545456</v>
      </c>
      <c r="K21" s="6" t="s">
        <v>94</v>
      </c>
    </row>
    <row r="22" spans="1:11" x14ac:dyDescent="0.25">
      <c r="A22" s="7">
        <v>21</v>
      </c>
      <c r="B22" s="10" t="s">
        <v>137</v>
      </c>
      <c r="C22" s="7" t="s">
        <v>108</v>
      </c>
      <c r="D22" s="9">
        <v>2393.4262932223996</v>
      </c>
      <c r="E22" s="7" t="s">
        <v>106</v>
      </c>
      <c r="F22" s="8">
        <v>3296.679909090909</v>
      </c>
      <c r="G22" s="7" t="s">
        <v>113</v>
      </c>
      <c r="H22" s="8">
        <v>2570.7132750000001</v>
      </c>
      <c r="I22" s="7">
        <v>2750</v>
      </c>
      <c r="J22" s="13">
        <f>I22-D22</f>
        <v>356.57370677760036</v>
      </c>
      <c r="K22" s="6" t="s">
        <v>138</v>
      </c>
    </row>
    <row r="23" spans="1:11" x14ac:dyDescent="0.25">
      <c r="A23" s="7">
        <v>22</v>
      </c>
      <c r="B23" s="10" t="s">
        <v>139</v>
      </c>
      <c r="C23" s="7" t="s">
        <v>140</v>
      </c>
      <c r="D23" s="9">
        <v>1761.41445376</v>
      </c>
      <c r="E23" s="7" t="s">
        <v>132</v>
      </c>
      <c r="F23" s="8">
        <v>2212.710818181818</v>
      </c>
      <c r="G23" s="7" t="s">
        <v>100</v>
      </c>
      <c r="H23" s="8">
        <v>2219.989525</v>
      </c>
      <c r="I23" s="7">
        <v>2400</v>
      </c>
      <c r="J23" s="13">
        <f>I23-D23</f>
        <v>638.58554623999999</v>
      </c>
    </row>
    <row r="24" spans="1:11" x14ac:dyDescent="0.25">
      <c r="A24" s="7">
        <v>23</v>
      </c>
      <c r="B24" s="7" t="s">
        <v>141</v>
      </c>
      <c r="C24" s="7" t="s">
        <v>91</v>
      </c>
      <c r="D24" s="8">
        <v>1278.8351513600001</v>
      </c>
      <c r="E24" s="7" t="s">
        <v>132</v>
      </c>
      <c r="F24" s="9">
        <v>1175.8708181818181</v>
      </c>
      <c r="G24" s="7" t="s">
        <v>113</v>
      </c>
      <c r="H24" s="8">
        <v>1322.063275</v>
      </c>
      <c r="I24" s="7">
        <v>1550</v>
      </c>
      <c r="J24" s="13">
        <f>I24-F24</f>
        <v>374.12918181818191</v>
      </c>
      <c r="K24" s="6" t="s">
        <v>94</v>
      </c>
    </row>
    <row r="25" spans="1:11" x14ac:dyDescent="0.25">
      <c r="A25" s="7">
        <v>24</v>
      </c>
      <c r="B25" s="7" t="s">
        <v>142</v>
      </c>
      <c r="C25" s="7" t="s">
        <v>91</v>
      </c>
      <c r="D25" s="8">
        <v>5102.3295250175988</v>
      </c>
      <c r="E25" s="7" t="s">
        <v>132</v>
      </c>
      <c r="F25" s="9">
        <v>4474.9071818181819</v>
      </c>
      <c r="G25" s="7" t="s">
        <v>100</v>
      </c>
      <c r="H25" s="8">
        <v>5692.3382750000001</v>
      </c>
      <c r="I25" s="7">
        <v>5650</v>
      </c>
      <c r="J25" s="13">
        <f>I25-F25</f>
        <v>1175.0928181818181</v>
      </c>
      <c r="K25" s="6" t="s">
        <v>94</v>
      </c>
    </row>
    <row r="26" spans="1:11" x14ac:dyDescent="0.25">
      <c r="A26" s="7">
        <v>25</v>
      </c>
      <c r="B26" s="7" t="s">
        <v>22</v>
      </c>
      <c r="C26" s="7" t="s">
        <v>91</v>
      </c>
      <c r="D26" s="8">
        <v>2665.9722346239996</v>
      </c>
      <c r="E26" s="7" t="s">
        <v>89</v>
      </c>
      <c r="F26" s="8">
        <v>2775.9034545454542</v>
      </c>
      <c r="G26" s="7" t="s">
        <v>100</v>
      </c>
      <c r="H26" s="9">
        <v>2357.708275</v>
      </c>
      <c r="I26" s="7">
        <v>2650</v>
      </c>
      <c r="J26" s="13">
        <f>I26-H26</f>
        <v>292.29172500000004</v>
      </c>
    </row>
    <row r="27" spans="1:11" x14ac:dyDescent="0.25">
      <c r="A27" s="7">
        <v>26</v>
      </c>
      <c r="B27" s="7" t="s">
        <v>143</v>
      </c>
      <c r="C27" s="7" t="s">
        <v>108</v>
      </c>
      <c r="D27" s="8">
        <v>3736.1660806655996</v>
      </c>
      <c r="E27" s="7" t="s">
        <v>92</v>
      </c>
      <c r="F27" s="9">
        <v>3414.5026363636362</v>
      </c>
      <c r="G27" s="7" t="s">
        <v>100</v>
      </c>
      <c r="H27" s="8">
        <v>3709.188275</v>
      </c>
      <c r="I27" s="7">
        <v>3900</v>
      </c>
      <c r="J27" s="13">
        <f>I27-F27</f>
        <v>485.49736363636384</v>
      </c>
    </row>
    <row r="28" spans="1:11" x14ac:dyDescent="0.25">
      <c r="A28" s="7">
        <v>27</v>
      </c>
      <c r="B28" s="7" t="s">
        <v>144</v>
      </c>
      <c r="C28" s="7" t="s">
        <v>91</v>
      </c>
      <c r="D28" s="8">
        <v>2355.3582105599999</v>
      </c>
      <c r="E28" s="7" t="s">
        <v>126</v>
      </c>
      <c r="F28" s="9">
        <v>2071.3235454545452</v>
      </c>
      <c r="G28" s="7" t="s">
        <v>100</v>
      </c>
      <c r="H28" s="8">
        <v>2335.6732750000001</v>
      </c>
      <c r="I28" s="7">
        <v>2600</v>
      </c>
      <c r="J28" s="13">
        <f t="shared" ref="J28:J30" si="2">I28-F28</f>
        <v>528.67645454545482</v>
      </c>
    </row>
    <row r="29" spans="1:11" x14ac:dyDescent="0.25">
      <c r="A29" s="7">
        <v>28</v>
      </c>
      <c r="B29" s="7" t="s">
        <v>145</v>
      </c>
      <c r="C29" s="7" t="s">
        <v>91</v>
      </c>
      <c r="D29" s="8">
        <v>3469.0027545599996</v>
      </c>
      <c r="E29" s="7" t="s">
        <v>132</v>
      </c>
      <c r="F29" s="9">
        <v>3249.5508181818177</v>
      </c>
      <c r="G29" s="7" t="s">
        <v>100</v>
      </c>
      <c r="H29" s="8">
        <v>4127.8532749999995</v>
      </c>
      <c r="I29" s="7">
        <v>4125</v>
      </c>
      <c r="J29" s="13">
        <f t="shared" si="2"/>
        <v>875.4491818181823</v>
      </c>
    </row>
    <row r="30" spans="1:11" x14ac:dyDescent="0.25">
      <c r="A30" s="7">
        <v>29</v>
      </c>
      <c r="B30" s="7" t="s">
        <v>146</v>
      </c>
      <c r="C30" s="7" t="s">
        <v>99</v>
      </c>
      <c r="D30" s="8">
        <v>6566.4380070143998</v>
      </c>
      <c r="E30" s="7" t="s">
        <v>90</v>
      </c>
      <c r="F30" s="9">
        <v>4474.9071818181819</v>
      </c>
      <c r="G30" s="7" t="s">
        <v>147</v>
      </c>
      <c r="H30" s="8">
        <v>5726.3456249999999</v>
      </c>
      <c r="I30" s="7">
        <v>4830</v>
      </c>
      <c r="J30" s="13">
        <f t="shared" si="2"/>
        <v>355.09281818181807</v>
      </c>
    </row>
    <row r="31" spans="1:11" x14ac:dyDescent="0.25">
      <c r="A31" s="7">
        <v>30</v>
      </c>
      <c r="B31" s="7" t="s">
        <v>148</v>
      </c>
      <c r="C31" s="7" t="s">
        <v>91</v>
      </c>
      <c r="D31" s="9">
        <v>2303.1097207039998</v>
      </c>
      <c r="E31" s="7" t="s">
        <v>103</v>
      </c>
      <c r="F31" s="8">
        <v>2354.0980909090908</v>
      </c>
      <c r="G31" s="7" t="s">
        <v>113</v>
      </c>
      <c r="H31" s="8">
        <v>2460.5382749999999</v>
      </c>
      <c r="I31" s="7">
        <v>2490</v>
      </c>
      <c r="J31" s="13">
        <f>I31-D31</f>
        <v>186.89027929600024</v>
      </c>
      <c r="K31" s="6" t="s">
        <v>104</v>
      </c>
    </row>
    <row r="32" spans="1:11" x14ac:dyDescent="0.25">
      <c r="A32" s="7">
        <v>31</v>
      </c>
      <c r="B32" s="7" t="s">
        <v>149</v>
      </c>
      <c r="C32" s="7" t="s">
        <v>91</v>
      </c>
      <c r="D32" s="8">
        <v>14104.30814976</v>
      </c>
      <c r="E32" s="7" t="s">
        <v>109</v>
      </c>
      <c r="F32" s="8">
        <v>15550.243545454545</v>
      </c>
      <c r="G32" s="7" t="s">
        <v>97</v>
      </c>
      <c r="H32" s="9">
        <v>13000.613274999998</v>
      </c>
      <c r="I32" s="7">
        <v>16500</v>
      </c>
      <c r="J32" s="13">
        <f>I32-H32</f>
        <v>3499.3867250000021</v>
      </c>
      <c r="K32" s="6"/>
    </row>
  </sheetData>
  <autoFilter ref="A1:K32" xr:uid="{BA97D96C-207E-4DAA-82E8-9999E47E2FD1}"/>
  <conditionalFormatting sqref="B1">
    <cfRule type="duplicateValues" dxfId="24" priority="3"/>
    <cfRule type="duplicateValues" dxfId="23" priority="4"/>
  </conditionalFormatting>
  <conditionalFormatting sqref="B33:B1048576">
    <cfRule type="duplicateValues" dxfId="22" priority="7"/>
    <cfRule type="duplicateValues" dxfId="21" priority="8"/>
  </conditionalFormatting>
  <conditionalFormatting sqref="B2:B32">
    <cfRule type="duplicateValues" dxfId="20" priority="1"/>
    <cfRule type="duplicateValues" dxfId="1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18B-3FC7-491D-94DF-68C0B6F397D9}">
  <dimension ref="A1:J32"/>
  <sheetViews>
    <sheetView workbookViewId="0">
      <selection activeCell="D21" sqref="D21"/>
    </sheetView>
  </sheetViews>
  <sheetFormatPr defaultRowHeight="15" x14ac:dyDescent="0.25"/>
  <cols>
    <col min="1" max="1" width="6" bestFit="1" customWidth="1"/>
    <col min="2" max="2" width="81.7109375" bestFit="1" customWidth="1"/>
    <col min="3" max="3" width="28.42578125" bestFit="1" customWidth="1"/>
    <col min="4" max="4" width="23.28515625" bestFit="1" customWidth="1"/>
    <col min="5" max="5" width="24.28515625" bestFit="1" customWidth="1"/>
    <col min="6" max="6" width="23.42578125" bestFit="1" customWidth="1"/>
    <col min="7" max="7" width="17.85546875" bestFit="1" customWidth="1"/>
    <col min="8" max="8" width="19.140625" bestFit="1" customWidth="1"/>
    <col min="9" max="9" width="11.42578125" bestFit="1" customWidth="1"/>
    <col min="10" max="10" width="26.42578125" bestFit="1" customWidth="1"/>
  </cols>
  <sheetData>
    <row r="1" spans="1:10" ht="15.75" x14ac:dyDescent="0.25">
      <c r="A1" s="4" t="s">
        <v>0</v>
      </c>
      <c r="B1" s="4" t="s">
        <v>1</v>
      </c>
      <c r="C1" s="4" t="s">
        <v>87</v>
      </c>
      <c r="D1" s="4" t="s">
        <v>88</v>
      </c>
      <c r="E1" s="4" t="s">
        <v>85</v>
      </c>
      <c r="F1" s="4" t="s">
        <v>86</v>
      </c>
      <c r="G1" s="4" t="s">
        <v>95</v>
      </c>
      <c r="H1" s="4" t="s">
        <v>96</v>
      </c>
      <c r="I1" s="4" t="s">
        <v>93</v>
      </c>
    </row>
    <row r="2" spans="1:10" x14ac:dyDescent="0.25">
      <c r="A2" s="7">
        <v>1</v>
      </c>
      <c r="B2" s="7" t="s">
        <v>98</v>
      </c>
      <c r="C2" s="7" t="s">
        <v>99</v>
      </c>
      <c r="D2" s="8">
        <v>5393.4362088191992</v>
      </c>
      <c r="E2" s="7" t="s">
        <v>90</v>
      </c>
      <c r="F2" s="9">
        <v>2589.7435454545453</v>
      </c>
      <c r="G2" s="7" t="s">
        <v>100</v>
      </c>
      <c r="H2" s="8">
        <v>3918.1168000000002</v>
      </c>
      <c r="I2" s="7">
        <v>2770</v>
      </c>
    </row>
    <row r="3" spans="1:10" x14ac:dyDescent="0.25">
      <c r="A3" s="7">
        <v>2</v>
      </c>
      <c r="B3" s="7" t="s">
        <v>101</v>
      </c>
      <c r="C3" s="7" t="s">
        <v>91</v>
      </c>
      <c r="D3" s="9">
        <v>2318.0511183359999</v>
      </c>
      <c r="E3" s="7" t="s">
        <v>90</v>
      </c>
      <c r="F3" s="8">
        <v>2354.0980909090908</v>
      </c>
      <c r="G3" s="7" t="s">
        <v>100</v>
      </c>
      <c r="H3" s="8">
        <v>2453.1932750000001</v>
      </c>
      <c r="I3" s="7">
        <v>2275</v>
      </c>
    </row>
    <row r="4" spans="1:10" x14ac:dyDescent="0.25">
      <c r="A4" s="7">
        <v>3</v>
      </c>
      <c r="B4" s="7" t="s">
        <v>102</v>
      </c>
      <c r="C4" s="7" t="s">
        <v>91</v>
      </c>
      <c r="D4" s="8">
        <v>4992.8397056000003</v>
      </c>
      <c r="E4" s="7" t="s">
        <v>103</v>
      </c>
      <c r="F4" s="9">
        <v>4710.5526363636363</v>
      </c>
      <c r="G4" s="7" t="s">
        <v>100</v>
      </c>
      <c r="H4" s="8">
        <v>5060.668275</v>
      </c>
      <c r="I4" s="7">
        <v>4890</v>
      </c>
      <c r="J4" s="6" t="s">
        <v>104</v>
      </c>
    </row>
    <row r="5" spans="1:10" x14ac:dyDescent="0.25">
      <c r="A5" s="7">
        <v>4</v>
      </c>
      <c r="B5" s="7" t="s">
        <v>105</v>
      </c>
      <c r="C5" s="7" t="s">
        <v>91</v>
      </c>
      <c r="D5" s="9">
        <v>4907.1818794239989</v>
      </c>
      <c r="E5" s="7" t="s">
        <v>106</v>
      </c>
      <c r="F5" s="8">
        <v>5181.8435454545452</v>
      </c>
      <c r="G5" s="7" t="s">
        <v>100</v>
      </c>
      <c r="H5" s="8">
        <v>5449.9532749999998</v>
      </c>
      <c r="I5" s="7">
        <v>4990</v>
      </c>
      <c r="J5" s="6" t="s">
        <v>104</v>
      </c>
    </row>
    <row r="6" spans="1:10" x14ac:dyDescent="0.25">
      <c r="A6" s="7">
        <v>5</v>
      </c>
      <c r="B6" s="7" t="s">
        <v>107</v>
      </c>
      <c r="C6" s="7" t="s">
        <v>108</v>
      </c>
      <c r="D6" s="9">
        <v>4326.3976889855994</v>
      </c>
      <c r="E6" s="7" t="s">
        <v>109</v>
      </c>
      <c r="F6" s="8">
        <v>4946.1980909090908</v>
      </c>
      <c r="G6" s="7" t="s">
        <v>100</v>
      </c>
      <c r="H6" s="8">
        <v>5255.3107749999999</v>
      </c>
      <c r="I6" s="7">
        <v>4845</v>
      </c>
      <c r="J6" s="6" t="s">
        <v>110</v>
      </c>
    </row>
    <row r="7" spans="1:10" x14ac:dyDescent="0.25">
      <c r="A7" s="7">
        <v>6</v>
      </c>
      <c r="B7" s="10" t="s">
        <v>111</v>
      </c>
      <c r="C7" s="7" t="s">
        <v>91</v>
      </c>
      <c r="D7" s="9">
        <v>3242.2832861439997</v>
      </c>
      <c r="E7" s="7" t="s">
        <v>90</v>
      </c>
      <c r="F7" s="8">
        <v>3650.1480909090906</v>
      </c>
      <c r="G7" s="7" t="s">
        <v>100</v>
      </c>
      <c r="H7" s="8">
        <v>4282.0982750000003</v>
      </c>
      <c r="I7" s="7">
        <v>3725</v>
      </c>
    </row>
    <row r="8" spans="1:10" x14ac:dyDescent="0.25">
      <c r="A8" s="7">
        <v>7</v>
      </c>
      <c r="B8" s="10" t="s">
        <v>112</v>
      </c>
      <c r="C8" s="7" t="s">
        <v>91</v>
      </c>
      <c r="D8" s="8">
        <v>3839.9391914239995</v>
      </c>
      <c r="E8" s="7" t="s">
        <v>90</v>
      </c>
      <c r="F8" s="8">
        <v>3697.2771818181818</v>
      </c>
      <c r="G8" s="7" t="s">
        <v>113</v>
      </c>
      <c r="H8" s="9">
        <v>3573.9668249999995</v>
      </c>
      <c r="I8" s="7">
        <v>3750</v>
      </c>
      <c r="J8" s="6" t="s">
        <v>114</v>
      </c>
    </row>
    <row r="9" spans="1:10" x14ac:dyDescent="0.25">
      <c r="A9" s="7">
        <v>8</v>
      </c>
      <c r="B9" s="10" t="s">
        <v>115</v>
      </c>
      <c r="C9" s="7" t="s">
        <v>116</v>
      </c>
      <c r="D9" s="8">
        <v>3710.2924057599994</v>
      </c>
      <c r="E9" s="7" t="s">
        <v>117</v>
      </c>
      <c r="F9" s="9">
        <v>3390.938090909091</v>
      </c>
      <c r="G9" s="7" t="s">
        <v>100</v>
      </c>
      <c r="H9" s="8">
        <v>4319.3741500000006</v>
      </c>
      <c r="I9" s="7">
        <v>3520</v>
      </c>
    </row>
    <row r="10" spans="1:10" x14ac:dyDescent="0.25">
      <c r="A10" s="7">
        <v>9</v>
      </c>
      <c r="B10" s="10" t="s">
        <v>118</v>
      </c>
      <c r="C10" s="7" t="s">
        <v>108</v>
      </c>
      <c r="D10" s="8">
        <v>2162.2151251455998</v>
      </c>
      <c r="E10" s="7" t="s">
        <v>119</v>
      </c>
      <c r="F10" s="9">
        <v>2118.4526363636364</v>
      </c>
      <c r="G10" s="7" t="s">
        <v>100</v>
      </c>
      <c r="H10" s="8">
        <v>2530.315775</v>
      </c>
      <c r="I10" s="7">
        <v>2690</v>
      </c>
    </row>
    <row r="11" spans="1:10" x14ac:dyDescent="0.25">
      <c r="A11" s="7">
        <v>10</v>
      </c>
      <c r="B11" s="10" t="s">
        <v>120</v>
      </c>
      <c r="C11" s="7" t="s">
        <v>108</v>
      </c>
      <c r="D11" s="9">
        <v>2122.8663512575999</v>
      </c>
      <c r="E11" s="7" t="s">
        <v>90</v>
      </c>
      <c r="F11" s="8">
        <v>2354.0980909090908</v>
      </c>
      <c r="G11" s="7" t="s">
        <v>100</v>
      </c>
      <c r="H11" s="8">
        <v>2607.4749999999999</v>
      </c>
      <c r="I11" s="7">
        <v>2460</v>
      </c>
      <c r="J11" s="6" t="s">
        <v>104</v>
      </c>
    </row>
    <row r="12" spans="1:10" x14ac:dyDescent="0.25">
      <c r="A12" s="7">
        <v>11</v>
      </c>
      <c r="B12" s="10" t="s">
        <v>121</v>
      </c>
      <c r="C12" s="7" t="s">
        <v>91</v>
      </c>
      <c r="D12" s="8">
        <v>2318.0511183359999</v>
      </c>
      <c r="E12" s="7" t="s">
        <v>122</v>
      </c>
      <c r="F12" s="9">
        <v>2165.5817272727268</v>
      </c>
      <c r="G12" s="7" t="s">
        <v>100</v>
      </c>
      <c r="H12" s="8">
        <v>2768.2203249999998</v>
      </c>
      <c r="I12" s="7">
        <v>2435</v>
      </c>
      <c r="J12" s="6" t="s">
        <v>123</v>
      </c>
    </row>
    <row r="13" spans="1:10" x14ac:dyDescent="0.25">
      <c r="A13" s="7">
        <v>12</v>
      </c>
      <c r="B13" s="10" t="s">
        <v>124</v>
      </c>
      <c r="C13" s="7" t="s">
        <v>91</v>
      </c>
      <c r="D13" s="9">
        <v>1278.5567402239999</v>
      </c>
      <c r="E13" s="7" t="s">
        <v>90</v>
      </c>
      <c r="F13" s="8">
        <v>1458.6453636363635</v>
      </c>
      <c r="G13" s="7" t="s">
        <v>100</v>
      </c>
      <c r="H13" s="8">
        <v>1402.858275</v>
      </c>
      <c r="I13" s="7">
        <v>1725</v>
      </c>
      <c r="J13" s="6" t="s">
        <v>123</v>
      </c>
    </row>
    <row r="14" spans="1:10" x14ac:dyDescent="0.25">
      <c r="A14" s="7">
        <v>13</v>
      </c>
      <c r="B14" s="10" t="s">
        <v>125</v>
      </c>
      <c r="C14" s="7" t="s">
        <v>91</v>
      </c>
      <c r="D14" s="9">
        <v>1705.7322265599998</v>
      </c>
      <c r="E14" s="7" t="s">
        <v>126</v>
      </c>
      <c r="F14" s="8">
        <v>1717.8553636363636</v>
      </c>
      <c r="G14" s="7" t="s">
        <v>100</v>
      </c>
      <c r="H14" s="8">
        <v>1748.073275</v>
      </c>
      <c r="I14" s="7">
        <v>2095</v>
      </c>
      <c r="J14" s="6" t="s">
        <v>104</v>
      </c>
    </row>
    <row r="15" spans="1:10" x14ac:dyDescent="0.25">
      <c r="A15" s="7">
        <v>14</v>
      </c>
      <c r="B15" s="10" t="s">
        <v>127</v>
      </c>
      <c r="C15" s="7" t="s">
        <v>91</v>
      </c>
      <c r="D15" s="9">
        <v>1278.5567402239999</v>
      </c>
      <c r="E15" s="7" t="s">
        <v>119</v>
      </c>
      <c r="F15" s="8">
        <v>1569.3987272727272</v>
      </c>
      <c r="G15" s="7" t="s">
        <v>100</v>
      </c>
      <c r="H15" s="8">
        <v>1674.6232749999999</v>
      </c>
      <c r="I15" s="7">
        <v>1665</v>
      </c>
    </row>
    <row r="16" spans="1:10" x14ac:dyDescent="0.25">
      <c r="A16" s="7">
        <v>15</v>
      </c>
      <c r="B16" s="10" t="s">
        <v>128</v>
      </c>
      <c r="C16" s="7" t="s">
        <v>91</v>
      </c>
      <c r="D16" s="9">
        <v>1278.5567402239999</v>
      </c>
      <c r="E16" s="7" t="s">
        <v>103</v>
      </c>
      <c r="F16" s="8">
        <v>1293.6935454545453</v>
      </c>
      <c r="G16" s="7" t="s">
        <v>113</v>
      </c>
      <c r="H16" s="8">
        <v>1395.513275</v>
      </c>
      <c r="I16" s="7">
        <v>1375</v>
      </c>
    </row>
    <row r="17" spans="1:10" x14ac:dyDescent="0.25">
      <c r="A17" s="7">
        <v>16</v>
      </c>
      <c r="B17" s="10" t="s">
        <v>129</v>
      </c>
      <c r="C17" s="7" t="s">
        <v>116</v>
      </c>
      <c r="D17" s="9">
        <v>1297.3958937599998</v>
      </c>
      <c r="E17" s="7" t="s">
        <v>130</v>
      </c>
      <c r="F17" s="8">
        <v>1595.0605172727271</v>
      </c>
      <c r="G17" s="7" t="s">
        <v>100</v>
      </c>
      <c r="H17" s="8">
        <v>1479.980775</v>
      </c>
      <c r="I17" s="7">
        <v>1400</v>
      </c>
    </row>
    <row r="18" spans="1:10" x14ac:dyDescent="0.25">
      <c r="A18" s="7">
        <v>17</v>
      </c>
      <c r="B18" s="10" t="s">
        <v>131</v>
      </c>
      <c r="C18" s="7" t="s">
        <v>91</v>
      </c>
      <c r="D18" s="9">
        <v>963.30253056000004</v>
      </c>
      <c r="E18" s="7" t="s">
        <v>132</v>
      </c>
      <c r="F18" s="8">
        <v>1058.0480909090909</v>
      </c>
      <c r="G18" s="7" t="s">
        <v>100</v>
      </c>
      <c r="H18" s="8">
        <v>1324.2667749999998</v>
      </c>
      <c r="I18" s="7">
        <v>1160</v>
      </c>
      <c r="J18" s="6" t="s">
        <v>133</v>
      </c>
    </row>
    <row r="19" spans="1:10" x14ac:dyDescent="0.25">
      <c r="A19" s="7">
        <v>18</v>
      </c>
      <c r="B19" s="10" t="s">
        <v>134</v>
      </c>
      <c r="C19" s="7" t="s">
        <v>91</v>
      </c>
      <c r="D19" s="9">
        <v>4731.1332377599992</v>
      </c>
      <c r="E19" s="7" t="s">
        <v>92</v>
      </c>
      <c r="F19" s="8">
        <v>4828.3753636363635</v>
      </c>
      <c r="G19" s="7" t="s">
        <v>100</v>
      </c>
      <c r="H19" s="8">
        <v>4998.2357750000001</v>
      </c>
      <c r="I19" s="7">
        <v>4750</v>
      </c>
      <c r="J19" s="6" t="s">
        <v>110</v>
      </c>
    </row>
    <row r="20" spans="1:10" x14ac:dyDescent="0.25">
      <c r="A20" s="7">
        <v>19</v>
      </c>
      <c r="B20" s="10" t="s">
        <v>135</v>
      </c>
      <c r="C20" s="7" t="s">
        <v>108</v>
      </c>
      <c r="D20" s="8">
        <v>2171.5326178303999</v>
      </c>
      <c r="E20" s="7" t="s">
        <v>90</v>
      </c>
      <c r="F20" s="9">
        <v>2118.4526363636364</v>
      </c>
      <c r="G20" s="7" t="s">
        <v>100</v>
      </c>
      <c r="H20" s="8">
        <v>2313.6382749999998</v>
      </c>
      <c r="I20" s="7">
        <v>2400</v>
      </c>
    </row>
    <row r="21" spans="1:10" x14ac:dyDescent="0.25">
      <c r="A21" s="7">
        <v>20</v>
      </c>
      <c r="B21" s="10" t="s">
        <v>136</v>
      </c>
      <c r="C21" s="7" t="s">
        <v>91</v>
      </c>
      <c r="D21" s="8">
        <v>211.31405222399997</v>
      </c>
      <c r="E21" s="7" t="s">
        <v>92</v>
      </c>
      <c r="F21" s="9">
        <v>153.16954545454544</v>
      </c>
      <c r="G21" s="7" t="s">
        <v>100</v>
      </c>
      <c r="H21" s="8">
        <v>404.56259999999997</v>
      </c>
      <c r="I21" s="7">
        <v>320</v>
      </c>
      <c r="J21" s="6" t="s">
        <v>94</v>
      </c>
    </row>
    <row r="22" spans="1:10" x14ac:dyDescent="0.25">
      <c r="A22" s="7">
        <v>21</v>
      </c>
      <c r="B22" s="10" t="s">
        <v>137</v>
      </c>
      <c r="C22" s="7" t="s">
        <v>108</v>
      </c>
      <c r="D22" s="9">
        <v>2393.4262932223996</v>
      </c>
      <c r="E22" s="7" t="s">
        <v>106</v>
      </c>
      <c r="F22" s="8">
        <v>3296.679909090909</v>
      </c>
      <c r="G22" s="7" t="s">
        <v>113</v>
      </c>
      <c r="H22" s="8">
        <v>2570.7132750000001</v>
      </c>
      <c r="I22" s="7">
        <v>2750</v>
      </c>
      <c r="J22" s="6" t="s">
        <v>138</v>
      </c>
    </row>
    <row r="23" spans="1:10" x14ac:dyDescent="0.25">
      <c r="A23" s="7">
        <v>22</v>
      </c>
      <c r="B23" s="10" t="s">
        <v>139</v>
      </c>
      <c r="C23" s="7" t="s">
        <v>140</v>
      </c>
      <c r="D23" s="9">
        <v>1761.41445376</v>
      </c>
      <c r="E23" s="7" t="s">
        <v>132</v>
      </c>
      <c r="F23" s="8">
        <v>2212.710818181818</v>
      </c>
      <c r="G23" s="7" t="s">
        <v>100</v>
      </c>
      <c r="H23" s="8">
        <v>2219.989525</v>
      </c>
      <c r="I23" s="7">
        <v>2400</v>
      </c>
    </row>
    <row r="24" spans="1:10" x14ac:dyDescent="0.25">
      <c r="A24" s="7">
        <v>23</v>
      </c>
      <c r="B24" s="7" t="s">
        <v>141</v>
      </c>
      <c r="C24" s="7" t="s">
        <v>91</v>
      </c>
      <c r="D24" s="8">
        <v>1278.8351513600001</v>
      </c>
      <c r="E24" s="7" t="s">
        <v>132</v>
      </c>
      <c r="F24" s="9">
        <v>1175.8708181818181</v>
      </c>
      <c r="G24" s="7" t="s">
        <v>113</v>
      </c>
      <c r="H24" s="8">
        <v>1322.063275</v>
      </c>
      <c r="I24" s="7">
        <v>1550</v>
      </c>
      <c r="J24" s="6" t="s">
        <v>94</v>
      </c>
    </row>
    <row r="25" spans="1:10" x14ac:dyDescent="0.25">
      <c r="A25" s="7">
        <v>24</v>
      </c>
      <c r="B25" s="7" t="s">
        <v>142</v>
      </c>
      <c r="C25" s="7" t="s">
        <v>91</v>
      </c>
      <c r="D25" s="8">
        <v>5102.3295250175988</v>
      </c>
      <c r="E25" s="7" t="s">
        <v>132</v>
      </c>
      <c r="F25" s="9">
        <v>4474.9071818181819</v>
      </c>
      <c r="G25" s="7" t="s">
        <v>100</v>
      </c>
      <c r="H25" s="8">
        <v>5692.3382750000001</v>
      </c>
      <c r="I25" s="7">
        <v>5650</v>
      </c>
      <c r="J25" s="6" t="s">
        <v>94</v>
      </c>
    </row>
    <row r="26" spans="1:10" x14ac:dyDescent="0.25">
      <c r="A26" s="7">
        <v>25</v>
      </c>
      <c r="B26" s="7" t="s">
        <v>22</v>
      </c>
      <c r="C26" s="7" t="s">
        <v>91</v>
      </c>
      <c r="D26" s="8">
        <v>2665.9722346239996</v>
      </c>
      <c r="E26" s="7" t="s">
        <v>89</v>
      </c>
      <c r="F26" s="8">
        <v>2775.9034545454542</v>
      </c>
      <c r="G26" s="7" t="s">
        <v>100</v>
      </c>
      <c r="H26" s="9">
        <v>2357.708275</v>
      </c>
      <c r="I26" s="7">
        <v>2650</v>
      </c>
    </row>
    <row r="27" spans="1:10" x14ac:dyDescent="0.25">
      <c r="A27" s="7">
        <v>26</v>
      </c>
      <c r="B27" s="7" t="s">
        <v>143</v>
      </c>
      <c r="C27" s="7" t="s">
        <v>108</v>
      </c>
      <c r="D27" s="8">
        <v>3736.1660806655996</v>
      </c>
      <c r="E27" s="7" t="s">
        <v>92</v>
      </c>
      <c r="F27" s="9">
        <v>3414.5026363636362</v>
      </c>
      <c r="G27" s="7" t="s">
        <v>100</v>
      </c>
      <c r="H27" s="8">
        <v>3709.188275</v>
      </c>
      <c r="I27" s="7">
        <v>3900</v>
      </c>
    </row>
    <row r="28" spans="1:10" x14ac:dyDescent="0.25">
      <c r="A28" s="7">
        <v>27</v>
      </c>
      <c r="B28" s="7" t="s">
        <v>144</v>
      </c>
      <c r="C28" s="7" t="s">
        <v>91</v>
      </c>
      <c r="D28" s="8">
        <v>2355.3582105599999</v>
      </c>
      <c r="E28" s="7" t="s">
        <v>126</v>
      </c>
      <c r="F28" s="9">
        <v>2071.3235454545452</v>
      </c>
      <c r="G28" s="7" t="s">
        <v>100</v>
      </c>
      <c r="H28" s="8">
        <v>2335.6732750000001</v>
      </c>
      <c r="I28" s="7">
        <v>2600</v>
      </c>
    </row>
    <row r="29" spans="1:10" x14ac:dyDescent="0.25">
      <c r="A29" s="7">
        <v>28</v>
      </c>
      <c r="B29" s="7" t="s">
        <v>145</v>
      </c>
      <c r="C29" s="7" t="s">
        <v>91</v>
      </c>
      <c r="D29" s="8">
        <v>3469.0027545599996</v>
      </c>
      <c r="E29" s="7" t="s">
        <v>132</v>
      </c>
      <c r="F29" s="9">
        <v>3249.5508181818177</v>
      </c>
      <c r="G29" s="7" t="s">
        <v>100</v>
      </c>
      <c r="H29" s="8">
        <v>4127.8532749999995</v>
      </c>
      <c r="I29" s="7">
        <v>4125</v>
      </c>
    </row>
    <row r="30" spans="1:10" x14ac:dyDescent="0.25">
      <c r="A30" s="7">
        <v>29</v>
      </c>
      <c r="B30" s="7" t="s">
        <v>146</v>
      </c>
      <c r="C30" s="7" t="s">
        <v>99</v>
      </c>
      <c r="D30" s="8">
        <v>6566.4380070143998</v>
      </c>
      <c r="E30" s="7" t="s">
        <v>90</v>
      </c>
      <c r="F30" s="9">
        <v>4474.9071818181819</v>
      </c>
      <c r="G30" s="7" t="s">
        <v>147</v>
      </c>
      <c r="H30" s="8">
        <v>5726.3456249999999</v>
      </c>
      <c r="I30" s="7">
        <v>4830</v>
      </c>
    </row>
    <row r="31" spans="1:10" x14ac:dyDescent="0.25">
      <c r="A31" s="7">
        <v>30</v>
      </c>
      <c r="B31" s="7" t="s">
        <v>148</v>
      </c>
      <c r="C31" s="7" t="s">
        <v>91</v>
      </c>
      <c r="D31" s="9">
        <v>2303.1097207039998</v>
      </c>
      <c r="E31" s="7" t="s">
        <v>103</v>
      </c>
      <c r="F31" s="8">
        <v>2354.0980909090908</v>
      </c>
      <c r="G31" s="7" t="s">
        <v>113</v>
      </c>
      <c r="H31" s="8">
        <v>2460.5382749999999</v>
      </c>
      <c r="I31" s="7">
        <v>2490</v>
      </c>
      <c r="J31" s="6" t="s">
        <v>104</v>
      </c>
    </row>
    <row r="32" spans="1:10" x14ac:dyDescent="0.25">
      <c r="A32" s="7">
        <v>31</v>
      </c>
      <c r="B32" s="7" t="s">
        <v>149</v>
      </c>
      <c r="C32" s="7" t="s">
        <v>91</v>
      </c>
      <c r="D32" s="8">
        <v>14104.30814976</v>
      </c>
      <c r="E32" s="7" t="s">
        <v>109</v>
      </c>
      <c r="F32" s="8">
        <v>15550.243545454545</v>
      </c>
      <c r="G32" s="7" t="s">
        <v>97</v>
      </c>
      <c r="H32" s="9">
        <v>13000.613274999998</v>
      </c>
      <c r="I32" s="7">
        <v>16500</v>
      </c>
      <c r="J32" s="6"/>
    </row>
  </sheetData>
  <conditionalFormatting sqref="B1">
    <cfRule type="duplicateValues" dxfId="18" priority="3"/>
    <cfRule type="duplicateValues" dxfId="17" priority="4"/>
  </conditionalFormatting>
  <conditionalFormatting sqref="B2:B32">
    <cfRule type="duplicateValues" dxfId="16" priority="1"/>
    <cfRule type="duplicateValues" dxfId="1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4BE2-57D0-4FDE-B179-733A7618A968}">
  <dimension ref="A1:G7"/>
  <sheetViews>
    <sheetView workbookViewId="0">
      <selection activeCell="C4" sqref="C4"/>
    </sheetView>
  </sheetViews>
  <sheetFormatPr defaultRowHeight="15" x14ac:dyDescent="0.25"/>
  <cols>
    <col min="1" max="1" width="6" bestFit="1" customWidth="1"/>
    <col min="2" max="2" width="70.7109375" bestFit="1" customWidth="1"/>
    <col min="3" max="3" width="10.5703125" bestFit="1" customWidth="1"/>
    <col min="4" max="4" width="14.7109375" bestFit="1" customWidth="1"/>
    <col min="5" max="5" width="23.42578125" bestFit="1" customWidth="1"/>
    <col min="6" max="6" width="14.5703125" bestFit="1" customWidth="1"/>
    <col min="7" max="7" width="23.28515625" bestFit="1" customWidth="1"/>
  </cols>
  <sheetData>
    <row r="1" spans="1:7" ht="15.75" x14ac:dyDescent="0.25">
      <c r="A1" s="4" t="s">
        <v>0</v>
      </c>
      <c r="B1" s="4" t="s">
        <v>1</v>
      </c>
      <c r="C1" s="4" t="s">
        <v>23</v>
      </c>
      <c r="D1" s="4" t="s">
        <v>85</v>
      </c>
      <c r="E1" s="4" t="s">
        <v>86</v>
      </c>
      <c r="F1" s="4" t="s">
        <v>87</v>
      </c>
      <c r="G1" s="4" t="s">
        <v>88</v>
      </c>
    </row>
    <row r="2" spans="1:7" x14ac:dyDescent="0.25">
      <c r="A2" s="2">
        <v>1</v>
      </c>
      <c r="B2" s="2" t="s">
        <v>2</v>
      </c>
      <c r="C2" s="2" t="s">
        <v>19</v>
      </c>
      <c r="D2" s="2" t="s">
        <v>89</v>
      </c>
      <c r="E2" s="5">
        <v>6425.9468181818183</v>
      </c>
      <c r="F2" s="2"/>
      <c r="G2" s="2"/>
    </row>
    <row r="3" spans="1:7" x14ac:dyDescent="0.25">
      <c r="A3" s="2">
        <v>2</v>
      </c>
      <c r="B3" s="2" t="s">
        <v>3</v>
      </c>
      <c r="C3" s="2" t="s">
        <v>19</v>
      </c>
      <c r="D3" s="2" t="s">
        <v>89</v>
      </c>
      <c r="E3" s="5">
        <v>13621.855909090911</v>
      </c>
      <c r="F3" s="2"/>
      <c r="G3" s="2"/>
    </row>
    <row r="4" spans="1:7" x14ac:dyDescent="0.25">
      <c r="A4" s="2">
        <v>6</v>
      </c>
      <c r="B4" s="2" t="s">
        <v>4</v>
      </c>
      <c r="C4" s="2" t="s">
        <v>19</v>
      </c>
      <c r="D4" s="2" t="s">
        <v>89</v>
      </c>
      <c r="E4" s="5">
        <v>6905.6740909090913</v>
      </c>
      <c r="F4" s="2"/>
      <c r="G4" s="2"/>
    </row>
    <row r="5" spans="1:7" x14ac:dyDescent="0.25">
      <c r="A5" s="2">
        <v>9</v>
      </c>
      <c r="B5" s="2" t="s">
        <v>5</v>
      </c>
      <c r="C5" s="2" t="s">
        <v>19</v>
      </c>
      <c r="D5" s="2" t="s">
        <v>89</v>
      </c>
      <c r="E5" s="5">
        <v>6953.6468181818182</v>
      </c>
      <c r="F5" s="2"/>
      <c r="G5" s="2"/>
    </row>
    <row r="6" spans="1:7" x14ac:dyDescent="0.25">
      <c r="A6" s="2">
        <v>10</v>
      </c>
      <c r="B6" s="2" t="s">
        <v>6</v>
      </c>
      <c r="C6" s="2" t="s">
        <v>19</v>
      </c>
      <c r="D6" s="2" t="s">
        <v>89</v>
      </c>
      <c r="E6" s="5">
        <v>10551.601363636364</v>
      </c>
      <c r="F6" s="2"/>
      <c r="G6" s="2"/>
    </row>
    <row r="7" spans="1:7" x14ac:dyDescent="0.25">
      <c r="A7" s="2">
        <v>25</v>
      </c>
      <c r="B7" s="2" t="s">
        <v>10</v>
      </c>
      <c r="C7" s="2" t="s">
        <v>19</v>
      </c>
      <c r="D7" s="2" t="s">
        <v>89</v>
      </c>
      <c r="E7" s="5">
        <v>4507.0377272727274</v>
      </c>
      <c r="F7" s="2"/>
      <c r="G7" s="2"/>
    </row>
  </sheetData>
  <conditionalFormatting sqref="B1">
    <cfRule type="duplicateValues" dxfId="14" priority="1"/>
    <cfRule type="duplicateValues" dxfId="13" priority="2"/>
  </conditionalFormatting>
  <conditionalFormatting sqref="B2:B7">
    <cfRule type="duplicateValues" dxfId="12" priority="3"/>
    <cfRule type="duplicateValues" dxfId="11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8FE-1128-4503-B467-10C4C3FA3DDE}">
  <dimension ref="A1:G3"/>
  <sheetViews>
    <sheetView workbookViewId="0">
      <selection activeCell="C3" sqref="C3"/>
    </sheetView>
  </sheetViews>
  <sheetFormatPr defaultRowHeight="15" x14ac:dyDescent="0.25"/>
  <cols>
    <col min="1" max="1" width="6" bestFit="1" customWidth="1"/>
    <col min="2" max="2" width="70.5703125" bestFit="1" customWidth="1"/>
    <col min="3" max="3" width="15" bestFit="1" customWidth="1"/>
    <col min="4" max="4" width="14.7109375" bestFit="1" customWidth="1"/>
    <col min="5" max="5" width="23.42578125" bestFit="1" customWidth="1"/>
    <col min="6" max="6" width="14.5703125" bestFit="1" customWidth="1"/>
    <col min="7" max="7" width="23.28515625" bestFit="1" customWidth="1"/>
  </cols>
  <sheetData>
    <row r="1" spans="1:7" ht="15.75" x14ac:dyDescent="0.25">
      <c r="A1" s="4" t="s">
        <v>0</v>
      </c>
      <c r="B1" s="4" t="s">
        <v>1</v>
      </c>
      <c r="C1" s="4" t="s">
        <v>23</v>
      </c>
      <c r="D1" s="4" t="s">
        <v>85</v>
      </c>
      <c r="E1" s="4" t="s">
        <v>86</v>
      </c>
      <c r="F1" s="4" t="s">
        <v>87</v>
      </c>
      <c r="G1" s="4" t="s">
        <v>88</v>
      </c>
    </row>
    <row r="2" spans="1:7" x14ac:dyDescent="0.25">
      <c r="A2" s="2">
        <v>29</v>
      </c>
      <c r="B2" s="2" t="s">
        <v>13</v>
      </c>
      <c r="C2" s="2" t="s">
        <v>18</v>
      </c>
      <c r="D2" s="2" t="s">
        <v>89</v>
      </c>
      <c r="E2" s="5">
        <v>12950.237727272728</v>
      </c>
      <c r="F2" s="2"/>
      <c r="G2" s="2"/>
    </row>
    <row r="3" spans="1:7" x14ac:dyDescent="0.25">
      <c r="A3" s="2">
        <v>36</v>
      </c>
      <c r="B3" s="3" t="s">
        <v>21</v>
      </c>
      <c r="C3" s="2" t="s">
        <v>18</v>
      </c>
      <c r="D3" s="2" t="s">
        <v>89</v>
      </c>
      <c r="E3" s="5">
        <v>16788.055909090908</v>
      </c>
      <c r="F3" s="2"/>
      <c r="G3" s="2"/>
    </row>
  </sheetData>
  <conditionalFormatting sqref="B1">
    <cfRule type="duplicateValues" dxfId="10" priority="3"/>
    <cfRule type="duplicateValues" dxfId="9" priority="4"/>
  </conditionalFormatting>
  <conditionalFormatting sqref="B2:B3">
    <cfRule type="duplicateValues" dxfId="8" priority="1"/>
    <cfRule type="duplicateValues" dxfId="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C3DC-8847-495A-A169-590E63AD0574}">
  <dimension ref="A1:G10"/>
  <sheetViews>
    <sheetView workbookViewId="0">
      <selection activeCell="C6" sqref="C6"/>
    </sheetView>
  </sheetViews>
  <sheetFormatPr defaultRowHeight="15" x14ac:dyDescent="0.25"/>
  <cols>
    <col min="1" max="1" width="6" bestFit="1" customWidth="1"/>
    <col min="2" max="2" width="86" bestFit="1" customWidth="1"/>
    <col min="3" max="3" width="15.5703125" bestFit="1" customWidth="1"/>
    <col min="4" max="4" width="14.7109375" bestFit="1" customWidth="1"/>
    <col min="5" max="5" width="23.42578125" bestFit="1" customWidth="1"/>
    <col min="6" max="6" width="14.5703125" bestFit="1" customWidth="1"/>
    <col min="7" max="7" width="23.28515625" bestFit="1" customWidth="1"/>
  </cols>
  <sheetData>
    <row r="1" spans="1:7" ht="15.75" x14ac:dyDescent="0.25">
      <c r="A1" s="4" t="s">
        <v>0</v>
      </c>
      <c r="B1" s="4" t="s">
        <v>1</v>
      </c>
      <c r="C1" s="4" t="s">
        <v>23</v>
      </c>
      <c r="D1" s="4" t="s">
        <v>85</v>
      </c>
      <c r="E1" s="4" t="s">
        <v>86</v>
      </c>
      <c r="F1" s="4" t="s">
        <v>87</v>
      </c>
      <c r="G1" s="4" t="s">
        <v>88</v>
      </c>
    </row>
    <row r="2" spans="1:7" x14ac:dyDescent="0.25">
      <c r="A2" s="2">
        <v>22</v>
      </c>
      <c r="B2" s="2" t="s">
        <v>7</v>
      </c>
      <c r="C2" s="2" t="s">
        <v>17</v>
      </c>
      <c r="D2" s="2" t="s">
        <v>89</v>
      </c>
      <c r="E2" s="5">
        <v>9592.1468181818182</v>
      </c>
      <c r="F2" s="2" t="s">
        <v>91</v>
      </c>
      <c r="G2" s="2">
        <v>4999</v>
      </c>
    </row>
    <row r="3" spans="1:7" x14ac:dyDescent="0.25">
      <c r="A3" s="2">
        <v>23</v>
      </c>
      <c r="B3" s="2" t="s">
        <v>8</v>
      </c>
      <c r="C3" s="2" t="s">
        <v>17</v>
      </c>
      <c r="D3" s="2" t="s">
        <v>89</v>
      </c>
      <c r="E3" s="5">
        <v>7193.5104545454542</v>
      </c>
      <c r="F3" s="2"/>
      <c r="G3" s="2"/>
    </row>
    <row r="4" spans="1:7" x14ac:dyDescent="0.25">
      <c r="A4" s="2">
        <v>24</v>
      </c>
      <c r="B4" s="3" t="s">
        <v>9</v>
      </c>
      <c r="C4" s="2" t="s">
        <v>17</v>
      </c>
      <c r="D4" s="2" t="s">
        <v>89</v>
      </c>
      <c r="E4" s="5">
        <v>11990.783181818182</v>
      </c>
      <c r="F4" s="2"/>
      <c r="G4" s="2"/>
    </row>
    <row r="5" spans="1:7" x14ac:dyDescent="0.25">
      <c r="A5" s="2">
        <v>26</v>
      </c>
      <c r="B5" s="2" t="s">
        <v>11</v>
      </c>
      <c r="C5" s="2" t="s">
        <v>17</v>
      </c>
      <c r="D5" s="2" t="s">
        <v>89</v>
      </c>
      <c r="E5" s="5">
        <v>11990.783181818182</v>
      </c>
      <c r="F5" s="2"/>
      <c r="G5" s="2"/>
    </row>
    <row r="6" spans="1:7" x14ac:dyDescent="0.25">
      <c r="A6" s="2">
        <v>27</v>
      </c>
      <c r="B6" s="2" t="s">
        <v>12</v>
      </c>
      <c r="C6" s="2" t="s">
        <v>17</v>
      </c>
      <c r="D6" s="2" t="s">
        <v>89</v>
      </c>
      <c r="E6" s="5">
        <v>15588.737727272726</v>
      </c>
      <c r="F6" s="2"/>
      <c r="G6" s="2"/>
    </row>
    <row r="7" spans="1:7" x14ac:dyDescent="0.25">
      <c r="A7" s="2">
        <v>30</v>
      </c>
      <c r="B7" s="2" t="s">
        <v>14</v>
      </c>
      <c r="C7" s="2" t="s">
        <v>17</v>
      </c>
      <c r="D7" s="2" t="s">
        <v>89</v>
      </c>
      <c r="E7" s="5">
        <v>14389.419545454546</v>
      </c>
      <c r="F7" s="2" t="s">
        <v>91</v>
      </c>
      <c r="G7" s="2">
        <v>6999</v>
      </c>
    </row>
    <row r="8" spans="1:7" x14ac:dyDescent="0.25">
      <c r="A8" s="2">
        <v>31</v>
      </c>
      <c r="B8" s="3" t="s">
        <v>15</v>
      </c>
      <c r="C8" s="2" t="s">
        <v>17</v>
      </c>
      <c r="D8" s="2" t="s">
        <v>89</v>
      </c>
      <c r="E8" s="5">
        <v>19186.692272727272</v>
      </c>
      <c r="F8" s="2"/>
      <c r="G8" s="2"/>
    </row>
    <row r="9" spans="1:7" x14ac:dyDescent="0.25">
      <c r="A9" s="2">
        <v>32</v>
      </c>
      <c r="B9" s="3" t="s">
        <v>16</v>
      </c>
      <c r="C9" s="2" t="s">
        <v>17</v>
      </c>
      <c r="D9" s="2"/>
      <c r="E9" s="5"/>
      <c r="F9" s="2"/>
      <c r="G9" s="2"/>
    </row>
    <row r="10" spans="1:7" x14ac:dyDescent="0.25">
      <c r="A10" s="2">
        <v>35</v>
      </c>
      <c r="B10" s="2" t="s">
        <v>20</v>
      </c>
      <c r="C10" s="2" t="s">
        <v>17</v>
      </c>
      <c r="D10" s="2" t="s">
        <v>89</v>
      </c>
      <c r="E10" s="5">
        <v>26382.601363636364</v>
      </c>
      <c r="F10" s="2" t="s">
        <v>91</v>
      </c>
      <c r="G10" s="2">
        <v>10923.85</v>
      </c>
    </row>
  </sheetData>
  <conditionalFormatting sqref="B1">
    <cfRule type="duplicateValues" dxfId="6" priority="3"/>
    <cfRule type="duplicateValues" dxfId="5" priority="4"/>
  </conditionalFormatting>
  <conditionalFormatting sqref="B2:B10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094-F186-4700-AC9F-0B78D3B80ABC}">
  <dimension ref="A1:D53"/>
  <sheetViews>
    <sheetView workbookViewId="0">
      <selection activeCell="B24" sqref="B24"/>
    </sheetView>
  </sheetViews>
  <sheetFormatPr defaultRowHeight="15" x14ac:dyDescent="0.25"/>
  <cols>
    <col min="2" max="2" width="103.28515625" bestFit="1" customWidth="1"/>
    <col min="3" max="3" width="19.28515625" customWidth="1"/>
    <col min="4" max="4" width="21" customWidth="1"/>
  </cols>
  <sheetData>
    <row r="1" spans="1:4" x14ac:dyDescent="0.25">
      <c r="A1" t="s">
        <v>0</v>
      </c>
      <c r="B1" t="s">
        <v>1</v>
      </c>
      <c r="C1" t="s">
        <v>84</v>
      </c>
      <c r="D1" t="s">
        <v>23</v>
      </c>
    </row>
    <row r="2" spans="1:4" x14ac:dyDescent="0.25">
      <c r="A2">
        <v>1</v>
      </c>
      <c r="B2" s="1" t="s">
        <v>24</v>
      </c>
      <c r="C2" t="s">
        <v>77</v>
      </c>
      <c r="D2" t="s">
        <v>25</v>
      </c>
    </row>
    <row r="3" spans="1:4" x14ac:dyDescent="0.25">
      <c r="A3">
        <v>2</v>
      </c>
      <c r="B3" t="s">
        <v>26</v>
      </c>
      <c r="C3" t="s">
        <v>78</v>
      </c>
      <c r="D3" t="s">
        <v>25</v>
      </c>
    </row>
    <row r="4" spans="1:4" x14ac:dyDescent="0.25">
      <c r="A4">
        <v>3</v>
      </c>
      <c r="B4" t="s">
        <v>27</v>
      </c>
      <c r="C4" t="s">
        <v>79</v>
      </c>
      <c r="D4" t="s">
        <v>25</v>
      </c>
    </row>
    <row r="5" spans="1:4" x14ac:dyDescent="0.25">
      <c r="A5">
        <v>4</v>
      </c>
      <c r="B5" t="s">
        <v>28</v>
      </c>
      <c r="C5" t="s">
        <v>77</v>
      </c>
      <c r="D5" t="s">
        <v>25</v>
      </c>
    </row>
    <row r="6" spans="1:4" x14ac:dyDescent="0.25">
      <c r="A6">
        <v>5</v>
      </c>
      <c r="B6" t="s">
        <v>29</v>
      </c>
      <c r="C6" t="s">
        <v>78</v>
      </c>
      <c r="D6" t="s">
        <v>25</v>
      </c>
    </row>
    <row r="7" spans="1:4" x14ac:dyDescent="0.25">
      <c r="A7">
        <v>6</v>
      </c>
      <c r="B7" t="s">
        <v>30</v>
      </c>
      <c r="C7" t="s">
        <v>77</v>
      </c>
      <c r="D7" t="s">
        <v>25</v>
      </c>
    </row>
    <row r="8" spans="1:4" x14ac:dyDescent="0.25">
      <c r="A8">
        <v>7</v>
      </c>
      <c r="B8" t="s">
        <v>31</v>
      </c>
      <c r="C8" t="s">
        <v>79</v>
      </c>
      <c r="D8" t="s">
        <v>25</v>
      </c>
    </row>
    <row r="9" spans="1:4" x14ac:dyDescent="0.25">
      <c r="A9">
        <v>8</v>
      </c>
      <c r="B9" t="s">
        <v>32</v>
      </c>
      <c r="C9" t="s">
        <v>77</v>
      </c>
      <c r="D9" t="s">
        <v>25</v>
      </c>
    </row>
    <row r="10" spans="1:4" x14ac:dyDescent="0.25">
      <c r="A10">
        <v>9</v>
      </c>
      <c r="B10" t="s">
        <v>33</v>
      </c>
      <c r="C10" t="s">
        <v>77</v>
      </c>
      <c r="D10" t="s">
        <v>25</v>
      </c>
    </row>
    <row r="11" spans="1:4" x14ac:dyDescent="0.25">
      <c r="A11">
        <v>10</v>
      </c>
      <c r="B11" s="1" t="s">
        <v>34</v>
      </c>
      <c r="C11" t="s">
        <v>79</v>
      </c>
      <c r="D11" t="s">
        <v>25</v>
      </c>
    </row>
    <row r="12" spans="1:4" x14ac:dyDescent="0.25">
      <c r="A12">
        <v>11</v>
      </c>
      <c r="B12" t="s">
        <v>35</v>
      </c>
      <c r="C12" t="s">
        <v>77</v>
      </c>
      <c r="D12" t="s">
        <v>25</v>
      </c>
    </row>
    <row r="13" spans="1:4" x14ac:dyDescent="0.25">
      <c r="A13">
        <v>12</v>
      </c>
      <c r="B13" s="1" t="s">
        <v>36</v>
      </c>
      <c r="C13" t="s">
        <v>77</v>
      </c>
      <c r="D13" t="s">
        <v>25</v>
      </c>
    </row>
    <row r="14" spans="1:4" x14ac:dyDescent="0.25">
      <c r="A14">
        <v>13</v>
      </c>
      <c r="B14" t="s">
        <v>37</v>
      </c>
      <c r="C14" t="s">
        <v>77</v>
      </c>
      <c r="D14" t="s">
        <v>25</v>
      </c>
    </row>
    <row r="15" spans="1:4" x14ac:dyDescent="0.25">
      <c r="A15">
        <v>14</v>
      </c>
      <c r="B15" s="1" t="s">
        <v>38</v>
      </c>
      <c r="C15" t="s">
        <v>80</v>
      </c>
      <c r="D15" t="s">
        <v>25</v>
      </c>
    </row>
    <row r="16" spans="1:4" x14ac:dyDescent="0.25">
      <c r="A16">
        <v>15</v>
      </c>
      <c r="B16" s="1" t="s">
        <v>39</v>
      </c>
      <c r="C16" t="s">
        <v>77</v>
      </c>
      <c r="D16" t="s">
        <v>25</v>
      </c>
    </row>
    <row r="17" spans="1:4" x14ac:dyDescent="0.25">
      <c r="A17">
        <v>16</v>
      </c>
      <c r="B17" s="1" t="s">
        <v>40</v>
      </c>
      <c r="C17" t="s">
        <v>77</v>
      </c>
      <c r="D17" t="s">
        <v>25</v>
      </c>
    </row>
    <row r="18" spans="1:4" x14ac:dyDescent="0.25">
      <c r="A18">
        <v>17</v>
      </c>
      <c r="B18" s="1" t="s">
        <v>41</v>
      </c>
      <c r="C18" t="s">
        <v>78</v>
      </c>
      <c r="D18" t="s">
        <v>25</v>
      </c>
    </row>
    <row r="19" spans="1:4" x14ac:dyDescent="0.25">
      <c r="A19">
        <v>18</v>
      </c>
      <c r="B19" s="1" t="s">
        <v>42</v>
      </c>
      <c r="C19" t="s">
        <v>77</v>
      </c>
      <c r="D19" t="s">
        <v>25</v>
      </c>
    </row>
    <row r="20" spans="1:4" x14ac:dyDescent="0.25">
      <c r="A20">
        <v>19</v>
      </c>
      <c r="B20" s="1" t="s">
        <v>43</v>
      </c>
      <c r="C20" t="s">
        <v>77</v>
      </c>
      <c r="D20" t="s">
        <v>25</v>
      </c>
    </row>
    <row r="21" spans="1:4" x14ac:dyDescent="0.25">
      <c r="A21">
        <v>20</v>
      </c>
      <c r="B21" s="1" t="s">
        <v>44</v>
      </c>
      <c r="C21" t="s">
        <v>80</v>
      </c>
      <c r="D21" t="s">
        <v>25</v>
      </c>
    </row>
    <row r="22" spans="1:4" x14ac:dyDescent="0.25">
      <c r="A22">
        <v>21</v>
      </c>
      <c r="B22" s="1" t="s">
        <v>45</v>
      </c>
      <c r="C22" t="s">
        <v>77</v>
      </c>
      <c r="D22" t="s">
        <v>25</v>
      </c>
    </row>
    <row r="23" spans="1:4" x14ac:dyDescent="0.25">
      <c r="A23">
        <v>22</v>
      </c>
      <c r="B23" s="1" t="s">
        <v>46</v>
      </c>
      <c r="C23" t="s">
        <v>77</v>
      </c>
      <c r="D23" t="s">
        <v>25</v>
      </c>
    </row>
    <row r="24" spans="1:4" x14ac:dyDescent="0.25">
      <c r="A24">
        <v>23</v>
      </c>
      <c r="B24" s="1" t="s">
        <v>47</v>
      </c>
      <c r="C24" t="s">
        <v>77</v>
      </c>
      <c r="D24" t="s">
        <v>25</v>
      </c>
    </row>
    <row r="25" spans="1:4" x14ac:dyDescent="0.25">
      <c r="A25">
        <v>24</v>
      </c>
      <c r="B25" s="1" t="s">
        <v>48</v>
      </c>
      <c r="C25" t="s">
        <v>81</v>
      </c>
      <c r="D25" t="s">
        <v>25</v>
      </c>
    </row>
    <row r="26" spans="1:4" x14ac:dyDescent="0.25">
      <c r="A26">
        <v>25</v>
      </c>
      <c r="B26" s="1" t="s">
        <v>49</v>
      </c>
      <c r="C26" t="s">
        <v>81</v>
      </c>
      <c r="D26" t="s">
        <v>25</v>
      </c>
    </row>
    <row r="27" spans="1:4" x14ac:dyDescent="0.25">
      <c r="A27">
        <v>26</v>
      </c>
      <c r="B27" s="1" t="s">
        <v>50</v>
      </c>
      <c r="C27" t="s">
        <v>81</v>
      </c>
      <c r="D27" t="s">
        <v>25</v>
      </c>
    </row>
    <row r="28" spans="1:4" x14ac:dyDescent="0.25">
      <c r="A28">
        <v>27</v>
      </c>
      <c r="B28" s="1" t="s">
        <v>51</v>
      </c>
      <c r="C28" t="s">
        <v>82</v>
      </c>
      <c r="D28" t="s">
        <v>25</v>
      </c>
    </row>
    <row r="29" spans="1:4" x14ac:dyDescent="0.25">
      <c r="A29">
        <v>28</v>
      </c>
      <c r="B29" s="1" t="s">
        <v>52</v>
      </c>
      <c r="C29" t="s">
        <v>79</v>
      </c>
      <c r="D29" t="s">
        <v>25</v>
      </c>
    </row>
    <row r="30" spans="1:4" x14ac:dyDescent="0.25">
      <c r="A30">
        <v>29</v>
      </c>
      <c r="B30" s="1" t="s">
        <v>53</v>
      </c>
      <c r="C30" t="s">
        <v>80</v>
      </c>
      <c r="D30" t="s">
        <v>25</v>
      </c>
    </row>
    <row r="31" spans="1:4" x14ac:dyDescent="0.25">
      <c r="A31">
        <v>30</v>
      </c>
      <c r="B31" s="1" t="s">
        <v>54</v>
      </c>
      <c r="C31" t="s">
        <v>79</v>
      </c>
      <c r="D31" t="s">
        <v>25</v>
      </c>
    </row>
    <row r="32" spans="1:4" x14ac:dyDescent="0.25">
      <c r="A32">
        <v>31</v>
      </c>
      <c r="B32" s="1" t="s">
        <v>55</v>
      </c>
      <c r="C32" t="s">
        <v>82</v>
      </c>
      <c r="D32" t="s">
        <v>25</v>
      </c>
    </row>
    <row r="33" spans="1:4" x14ac:dyDescent="0.25">
      <c r="A33">
        <v>32</v>
      </c>
      <c r="B33" s="1" t="s">
        <v>56</v>
      </c>
      <c r="C33" t="s">
        <v>77</v>
      </c>
      <c r="D33" t="s">
        <v>25</v>
      </c>
    </row>
    <row r="34" spans="1:4" x14ac:dyDescent="0.25">
      <c r="A34">
        <v>33</v>
      </c>
      <c r="B34" s="1" t="s">
        <v>57</v>
      </c>
      <c r="C34" t="s">
        <v>82</v>
      </c>
      <c r="D34" t="s">
        <v>25</v>
      </c>
    </row>
    <row r="35" spans="1:4" x14ac:dyDescent="0.25">
      <c r="A35">
        <v>34</v>
      </c>
      <c r="B35" s="1" t="s">
        <v>58</v>
      </c>
      <c r="C35" t="s">
        <v>82</v>
      </c>
      <c r="D35" t="s">
        <v>25</v>
      </c>
    </row>
    <row r="36" spans="1:4" x14ac:dyDescent="0.25">
      <c r="A36">
        <v>35</v>
      </c>
      <c r="B36" s="1" t="s">
        <v>59</v>
      </c>
      <c r="C36" t="s">
        <v>77</v>
      </c>
      <c r="D36" t="s">
        <v>25</v>
      </c>
    </row>
    <row r="37" spans="1:4" x14ac:dyDescent="0.25">
      <c r="A37">
        <v>36</v>
      </c>
      <c r="B37" s="1" t="s">
        <v>60</v>
      </c>
      <c r="C37" t="s">
        <v>79</v>
      </c>
      <c r="D37" t="s">
        <v>25</v>
      </c>
    </row>
    <row r="38" spans="1:4" x14ac:dyDescent="0.25">
      <c r="A38">
        <v>37</v>
      </c>
      <c r="B38" s="1" t="s">
        <v>61</v>
      </c>
      <c r="C38" t="s">
        <v>83</v>
      </c>
      <c r="D38" t="s">
        <v>25</v>
      </c>
    </row>
    <row r="39" spans="1:4" x14ac:dyDescent="0.25">
      <c r="A39">
        <v>38</v>
      </c>
      <c r="B39" s="1" t="s">
        <v>62</v>
      </c>
      <c r="C39" t="s">
        <v>77</v>
      </c>
      <c r="D39" t="s">
        <v>25</v>
      </c>
    </row>
    <row r="40" spans="1:4" x14ac:dyDescent="0.25">
      <c r="A40">
        <v>39</v>
      </c>
      <c r="B40" s="1" t="s">
        <v>63</v>
      </c>
      <c r="C40" t="s">
        <v>82</v>
      </c>
      <c r="D40" t="s">
        <v>25</v>
      </c>
    </row>
    <row r="41" spans="1:4" x14ac:dyDescent="0.25">
      <c r="A41">
        <v>40</v>
      </c>
      <c r="B41" s="1" t="s">
        <v>64</v>
      </c>
      <c r="C41" t="s">
        <v>79</v>
      </c>
      <c r="D41" t="s">
        <v>25</v>
      </c>
    </row>
    <row r="42" spans="1:4" x14ac:dyDescent="0.25">
      <c r="A42">
        <v>41</v>
      </c>
      <c r="B42" s="1" t="s">
        <v>65</v>
      </c>
      <c r="C42" t="s">
        <v>77</v>
      </c>
      <c r="D42" t="s">
        <v>25</v>
      </c>
    </row>
    <row r="43" spans="1:4" x14ac:dyDescent="0.25">
      <c r="A43">
        <v>42</v>
      </c>
      <c r="B43" s="1" t="s">
        <v>66</v>
      </c>
      <c r="C43" t="s">
        <v>81</v>
      </c>
      <c r="D43" t="s">
        <v>25</v>
      </c>
    </row>
    <row r="44" spans="1:4" x14ac:dyDescent="0.25">
      <c r="A44">
        <v>43</v>
      </c>
      <c r="B44" s="1" t="s">
        <v>67</v>
      </c>
      <c r="C44" t="s">
        <v>80</v>
      </c>
      <c r="D44" t="s">
        <v>25</v>
      </c>
    </row>
    <row r="45" spans="1:4" x14ac:dyDescent="0.25">
      <c r="A45">
        <v>44</v>
      </c>
      <c r="B45" s="1" t="s">
        <v>68</v>
      </c>
      <c r="C45" t="s">
        <v>82</v>
      </c>
      <c r="D45" t="s">
        <v>25</v>
      </c>
    </row>
    <row r="46" spans="1:4" x14ac:dyDescent="0.25">
      <c r="A46">
        <v>45</v>
      </c>
      <c r="B46" s="1" t="s">
        <v>69</v>
      </c>
      <c r="C46" t="s">
        <v>82</v>
      </c>
      <c r="D46" t="s">
        <v>25</v>
      </c>
    </row>
    <row r="47" spans="1:4" x14ac:dyDescent="0.25">
      <c r="A47">
        <v>46</v>
      </c>
      <c r="B47" s="1" t="s">
        <v>70</v>
      </c>
      <c r="C47" t="s">
        <v>77</v>
      </c>
      <c r="D47" t="s">
        <v>25</v>
      </c>
    </row>
    <row r="48" spans="1:4" x14ac:dyDescent="0.25">
      <c r="A48">
        <v>47</v>
      </c>
      <c r="B48" s="1" t="s">
        <v>71</v>
      </c>
      <c r="C48" t="s">
        <v>77</v>
      </c>
      <c r="D48" t="s">
        <v>25</v>
      </c>
    </row>
    <row r="49" spans="1:4" x14ac:dyDescent="0.25">
      <c r="A49">
        <v>48</v>
      </c>
      <c r="B49" s="1" t="s">
        <v>72</v>
      </c>
      <c r="C49" t="s">
        <v>82</v>
      </c>
      <c r="D49" t="s">
        <v>25</v>
      </c>
    </row>
    <row r="50" spans="1:4" x14ac:dyDescent="0.25">
      <c r="A50">
        <v>49</v>
      </c>
      <c r="B50" s="1" t="s">
        <v>73</v>
      </c>
      <c r="C50" t="s">
        <v>79</v>
      </c>
      <c r="D50" t="s">
        <v>25</v>
      </c>
    </row>
    <row r="51" spans="1:4" x14ac:dyDescent="0.25">
      <c r="A51">
        <v>50</v>
      </c>
      <c r="B51" s="1" t="s">
        <v>74</v>
      </c>
      <c r="C51" t="s">
        <v>83</v>
      </c>
      <c r="D51" t="s">
        <v>25</v>
      </c>
    </row>
    <row r="52" spans="1:4" x14ac:dyDescent="0.25">
      <c r="A52">
        <v>51</v>
      </c>
      <c r="B52" s="1" t="s">
        <v>75</v>
      </c>
      <c r="C52" t="s">
        <v>77</v>
      </c>
      <c r="D52" t="s">
        <v>25</v>
      </c>
    </row>
    <row r="53" spans="1:4" x14ac:dyDescent="0.25">
      <c r="A53">
        <v>52</v>
      </c>
      <c r="B53" s="1" t="s">
        <v>76</v>
      </c>
      <c r="C53" t="s">
        <v>79</v>
      </c>
      <c r="D53" t="s">
        <v>25</v>
      </c>
    </row>
  </sheetData>
  <conditionalFormatting sqref="B1:C1 B54:C1048576 B2:B53">
    <cfRule type="duplicateValues" dxfId="2" priority="1"/>
  </conditionalFormatting>
  <conditionalFormatting sqref="B1:C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Graphics Card</vt:lpstr>
      <vt:lpstr>Gaming PC</vt:lpstr>
      <vt:lpstr>Gaming Mini PC</vt:lpstr>
      <vt:lpstr>Gaming Desktop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2026-06-02T09:16:29Z</dcterms:created>
  <dcterms:modified xsi:type="dcterms:W3CDTF">2026-06-17T10:42:40Z</dcterms:modified>
</cp:coreProperties>
</file>