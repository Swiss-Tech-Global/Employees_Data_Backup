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5-06-2026/"/>
    </mc:Choice>
  </mc:AlternateContent>
  <xr:revisionPtr revIDLastSave="333" documentId="8_{51388A85-8D49-4BE4-A01C-A14FF503F590}" xr6:coauthVersionLast="47" xr6:coauthVersionMax="47" xr10:uidLastSave="{7B6213EA-66F4-4BE2-840F-BEE00BE2E1C3}"/>
  <bookViews>
    <workbookView xWindow="20370" yWindow="-120" windowWidth="29040" windowHeight="17520" xr2:uid="{6E4F24A0-9BD2-4F34-B654-40C0D4A1C6CC}"/>
  </bookViews>
  <sheets>
    <sheet name="Sheet1" sheetId="1" r:id="rId1"/>
    <sheet name="Sheet2" sheetId="2" r:id="rId2"/>
  </sheets>
  <definedNames>
    <definedName name="_xlnm._FilterDatabase" localSheetId="0" hidden="1">Sheet1!$A$1:$K$36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D2" i="2" s="1"/>
  <c r="J33" i="1"/>
  <c r="J34" i="1"/>
  <c r="J35" i="1"/>
  <c r="J36" i="1"/>
  <c r="J32" i="1"/>
  <c r="J31" i="1"/>
  <c r="B1" i="2"/>
  <c r="J25" i="1"/>
  <c r="J26" i="1"/>
  <c r="J27" i="1"/>
  <c r="J28" i="1"/>
  <c r="J29" i="1"/>
  <c r="J30" i="1"/>
  <c r="J24" i="1"/>
  <c r="J23" i="1"/>
  <c r="J22" i="1"/>
  <c r="J21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5" i="1"/>
  <c r="J4" i="1"/>
  <c r="J3" i="1"/>
  <c r="J2" i="1"/>
</calcChain>
</file>

<file path=xl/sharedStrings.xml><?xml version="1.0" encoding="utf-8"?>
<sst xmlns="http://schemas.openxmlformats.org/spreadsheetml/2006/main" count="118" uniqueCount="58">
  <si>
    <t>Sr No</t>
  </si>
  <si>
    <t>item name</t>
  </si>
  <si>
    <t>Sale Prices</t>
  </si>
  <si>
    <t>Ray-Ban | Meta Skyler Gen 1 AI Glasses (Shiny Black/Amethyst Transitions)</t>
  </si>
  <si>
    <t>harveynorman.com.au</t>
  </si>
  <si>
    <t>Oakley | Meta Vanguard AI Glasses (Black/Prizm Road)</t>
  </si>
  <si>
    <t>brighteyes.com.au</t>
  </si>
  <si>
    <t>Oakley | Meta Vanguard AI Glasses (Black/Prizm 24K)</t>
  </si>
  <si>
    <t>stmonline.com.au</t>
  </si>
  <si>
    <t>Oakley | Meta Vanguard AI Glasses (White/Prizm Black)</t>
  </si>
  <si>
    <t>Oakley | Meta Vanguard AI Glasses (White/Prizm Sapphire)</t>
  </si>
  <si>
    <t>Ray-Ban | Meta Wayfarer Gen 1 AI Glasses (Matte Black Clear/Graphite Green Transitions)</t>
  </si>
  <si>
    <t>Ray-Ban | Meta Wayfarer Large Gen 1 AI Glasses (Matte Black Gradient Graphite Polarised)</t>
  </si>
  <si>
    <t>Ray-Ban | Meta Wayfarer Large Gen 1 AI Glasses (Shiny Black/Green)</t>
  </si>
  <si>
    <t>jbhifi.com.au</t>
  </si>
  <si>
    <t>Ray-Ban | Meta Wayfarer Gen 1 AI Glasses (Shiny Black/Green)</t>
  </si>
  <si>
    <t>Ray-Ban | Meta Wayfarer Gen 1 AI Glasses (Shiny Black/Clear)</t>
  </si>
  <si>
    <t>Ray-Ban | Meta Skyler Gen 1 AI Glasses (Shiny Black/Cerulean Blue Transitions )</t>
  </si>
  <si>
    <t>Oakley | Meta HSTN AI Glasses (Black/Prizm Black Polarized)</t>
  </si>
  <si>
    <t>Oakley | Meta HSTN AI Glasses (Clear/Clear to Grey Transitions)</t>
  </si>
  <si>
    <t>Oakley | Meta HSTN AI Glasses (Brown Smoke/Prizm Deep Water Polarized)</t>
  </si>
  <si>
    <t>Ray-Ban | Meta Skyler Gen 2 AI Glasses (Shiny Black/Green)</t>
  </si>
  <si>
    <t>Ray-Ban | Meta Skyler Gen 2 AI Glasses (Shiny Chalky Grey/Transitions Sapphire)</t>
  </si>
  <si>
    <t>Ray-Ban | Meta Skyler Gen 2 AI Glasses (Shiny Transparent Peach/Transitions Brown)</t>
  </si>
  <si>
    <t>Ray-Ban | Meta Wayfarer Gen 2 AI Glasses (Matte Black/Transitions Grey)</t>
  </si>
  <si>
    <t>Ray-Ban | Meta Wayfarer Gen 2 AI Glasses (Shiny Black/Green)</t>
  </si>
  <si>
    <t>Ray-Ban | Meta Wayfarer Large Gen 2 AI Glasses (Shiny Black/Green)</t>
  </si>
  <si>
    <t>Ray-Ban | Meta Wayfarer Gen 2 AI Glasses (Matte Black/Polarised Gradient Graphite)</t>
  </si>
  <si>
    <t>Ray-Ban | Meta Wayfarer Large Gen 2 AI Glasses (Matte Black/Polarised Gradient Graphite)</t>
  </si>
  <si>
    <t>Ray-Ban | Meta Wayfarer Large Gen 2 AI Glasses (Shiny Black/Transitions Green Graphite)</t>
  </si>
  <si>
    <t>Ray-Ban | Meta Wayfarer Gen 2 AI Glasses (Shiny Cosmic Blue/Transitions Sapphire)</t>
  </si>
  <si>
    <t>Ray-Ban | Meta Wayfarer Gen 2 AI Glasses (Shiny Black/Green Graphite Transition)</t>
  </si>
  <si>
    <t>Ray-Ban | Meta Wayfarer Gen 2 AI Glasses (Shiny Transparent Grey/Transitions Sapphire)</t>
  </si>
  <si>
    <t>Ray-Ban | Meta Wayfarer Gen 2 AI Glasses (Matte Black/Clear)</t>
  </si>
  <si>
    <t>officeworks.com.au</t>
  </si>
  <si>
    <t>Ray-Ban | Meta Headliner Gen 2 AI Glasses (Matte Black/Clear)</t>
  </si>
  <si>
    <t>Ray-Ban | Meta Wayfarer Large Gen 2 AI Glasses (Matte Black/Clear)</t>
  </si>
  <si>
    <t>After GST To AED (AUD)</t>
  </si>
  <si>
    <t>Website (AUD)</t>
  </si>
  <si>
    <t>After GST To AED (NZD)</t>
  </si>
  <si>
    <t>Website (NZD)</t>
  </si>
  <si>
    <t>Website (USD)</t>
  </si>
  <si>
    <t>After GST To AED (USD)</t>
  </si>
  <si>
    <t>rockvillemd.paymore.com</t>
  </si>
  <si>
    <t>bestbuy.com</t>
  </si>
  <si>
    <t>walmart.com</t>
  </si>
  <si>
    <t>Not Avalibel USD</t>
  </si>
  <si>
    <t>ray-ban.com</t>
  </si>
  <si>
    <t>Ray-Ban | Meta Skyler Gen 1 AI Glasses (Shiny Chalky Grey/Sapphire Transitions)</t>
  </si>
  <si>
    <t>Oakley | Meta HSTN AI Glasses (Warm Grey/Prizm Ruby)</t>
  </si>
  <si>
    <t>Oakley | Meta HSTN AI Glasses (Black/Clear to Amethyst Transitions)</t>
  </si>
  <si>
    <t>Oakley | Meta HSTN AI Glasses (Black/Clear)</t>
  </si>
  <si>
    <t>Oakley | Meta HSTN AI Glasses (Transparent Curry Clear to Brown Transitions)</t>
  </si>
  <si>
    <t>Oakley | Meta HSTN AI Glasses (Black Prizm Dark Golf)</t>
  </si>
  <si>
    <t>Sale Prices Different</t>
  </si>
  <si>
    <t>target.com</t>
  </si>
  <si>
    <t>targetoptical.com</t>
  </si>
  <si>
    <t>justsunnies.com.au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</si>
</sst>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0" borderId="0" xfId="0" applyFont="1"/>
    <xf numFmtId="2" fontId="0" fillId="4" borderId="1" xfId="0" applyNumberForma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5" borderId="1" xfId="0" applyNumberFormat="1" applyFill="1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8035-F065-4329-9092-ADDFD73A0FFC}">
  <dimension ref="A1:K36"/>
  <sheetViews>
    <sheetView tabSelected="1" workbookViewId="0">
      <selection activeCell="D15" sqref="D15"/>
    </sheetView>
  </sheetViews>
  <sheetFormatPr defaultRowHeight="15" x14ac:dyDescent="0.25"/>
  <cols>
    <col min="1" max="1" width="5.85546875" bestFit="1" customWidth="1"/>
    <col min="2" max="2" width="82" bestFit="1" customWidth="1"/>
    <col min="3" max="3" width="19" bestFit="1" customWidth="1"/>
    <col min="4" max="4" width="26.85546875" bestFit="1" customWidth="1"/>
    <col min="5" max="5" width="21.42578125" bestFit="1" customWidth="1"/>
    <col min="6" max="6" width="26.85546875" bestFit="1" customWidth="1"/>
    <col min="7" max="7" width="24.42578125" bestFit="1" customWidth="1"/>
    <col min="8" max="8" width="22.28515625" customWidth="1"/>
    <col min="9" max="9" width="13.140625" bestFit="1" customWidth="1"/>
    <col min="10" max="10" width="24.42578125" bestFit="1" customWidth="1"/>
  </cols>
  <sheetData>
    <row r="1" spans="1:11" x14ac:dyDescent="0.25">
      <c r="A1" s="1" t="s">
        <v>0</v>
      </c>
      <c r="B1" s="1" t="s">
        <v>1</v>
      </c>
      <c r="C1" s="1" t="s">
        <v>40</v>
      </c>
      <c r="D1" s="1" t="s">
        <v>39</v>
      </c>
      <c r="E1" s="1" t="s">
        <v>38</v>
      </c>
      <c r="F1" s="1" t="s">
        <v>37</v>
      </c>
      <c r="G1" s="1" t="s">
        <v>41</v>
      </c>
      <c r="H1" s="1" t="s">
        <v>42</v>
      </c>
      <c r="I1" s="2" t="s">
        <v>2</v>
      </c>
      <c r="J1" s="11" t="s">
        <v>54</v>
      </c>
    </row>
    <row r="2" spans="1:11" x14ac:dyDescent="0.25">
      <c r="A2" s="3">
        <v>1</v>
      </c>
      <c r="B2" s="6" t="s">
        <v>35</v>
      </c>
      <c r="C2" s="3"/>
      <c r="D2" s="3"/>
      <c r="E2" s="3" t="s">
        <v>4</v>
      </c>
      <c r="F2" s="8">
        <v>1212.2265454545452</v>
      </c>
      <c r="G2" s="4" t="s">
        <v>43</v>
      </c>
      <c r="H2" s="4">
        <v>1285.3382750000001</v>
      </c>
      <c r="I2" s="5">
        <v>1360</v>
      </c>
      <c r="J2" s="9">
        <f>I2-F2</f>
        <v>147.7734545454548</v>
      </c>
    </row>
    <row r="3" spans="1:11" x14ac:dyDescent="0.25">
      <c r="A3" s="3">
        <v>2</v>
      </c>
      <c r="B3" s="15" t="s">
        <v>3</v>
      </c>
      <c r="C3" s="3"/>
      <c r="D3" s="3"/>
      <c r="E3" s="3" t="s">
        <v>4</v>
      </c>
      <c r="F3" s="4">
        <v>949.73654545454542</v>
      </c>
      <c r="G3" s="4" t="s">
        <v>44</v>
      </c>
      <c r="H3" s="8">
        <v>822.64</v>
      </c>
      <c r="I3" s="5">
        <v>1295</v>
      </c>
      <c r="J3" s="9">
        <f>I3-H3</f>
        <v>472.36</v>
      </c>
    </row>
    <row r="4" spans="1:11" x14ac:dyDescent="0.25">
      <c r="A4" s="3">
        <v>3</v>
      </c>
      <c r="B4" s="3" t="s">
        <v>21</v>
      </c>
      <c r="C4" s="3"/>
      <c r="D4" s="3"/>
      <c r="E4" s="3" t="s">
        <v>4</v>
      </c>
      <c r="F4" s="8">
        <v>1212.2265454545452</v>
      </c>
      <c r="G4" s="4" t="s">
        <v>44</v>
      </c>
      <c r="H4" s="4">
        <v>1391.8775000000001</v>
      </c>
      <c r="I4" s="5">
        <v>1150</v>
      </c>
      <c r="J4" s="10">
        <f>I4-F4</f>
        <v>-62.226545454545203</v>
      </c>
    </row>
    <row r="5" spans="1:11" x14ac:dyDescent="0.25">
      <c r="A5" s="3">
        <v>4</v>
      </c>
      <c r="B5" s="3" t="s">
        <v>22</v>
      </c>
      <c r="C5" s="3"/>
      <c r="D5" s="3"/>
      <c r="E5" s="3" t="s">
        <v>4</v>
      </c>
      <c r="F5" s="8">
        <v>1393.5832727272727</v>
      </c>
      <c r="G5" s="4" t="s">
        <v>44</v>
      </c>
      <c r="H5" s="4">
        <v>1685.6775</v>
      </c>
      <c r="I5" s="5">
        <v>1320</v>
      </c>
      <c r="J5" s="10">
        <f>I5-F5</f>
        <v>-73.583272727272742</v>
      </c>
    </row>
    <row r="6" spans="1:11" x14ac:dyDescent="0.25">
      <c r="A6" s="3">
        <v>5</v>
      </c>
      <c r="B6" s="3" t="s">
        <v>23</v>
      </c>
      <c r="C6" s="3"/>
      <c r="D6" s="3"/>
      <c r="E6" s="3" t="s">
        <v>14</v>
      </c>
      <c r="F6" s="8">
        <v>1395.9695454545454</v>
      </c>
      <c r="G6" s="4" t="s">
        <v>44</v>
      </c>
      <c r="H6" s="4">
        <v>1685.6775</v>
      </c>
      <c r="I6" s="5">
        <v>1170</v>
      </c>
      <c r="J6" s="10">
        <f t="shared" ref="J6:J20" si="0">I6-F6</f>
        <v>-225.96954545454537</v>
      </c>
    </row>
    <row r="7" spans="1:11" x14ac:dyDescent="0.25">
      <c r="A7" s="3">
        <v>6</v>
      </c>
      <c r="B7" s="3" t="s">
        <v>5</v>
      </c>
      <c r="C7" s="3"/>
      <c r="D7" s="3"/>
      <c r="E7" s="3" t="s">
        <v>6</v>
      </c>
      <c r="F7" s="8">
        <v>1788.6307227272723</v>
      </c>
      <c r="G7" s="4" t="s">
        <v>44</v>
      </c>
      <c r="H7" s="4">
        <v>1832.5774999999999</v>
      </c>
      <c r="I7" s="14">
        <v>1850</v>
      </c>
      <c r="J7" s="9">
        <f t="shared" si="0"/>
        <v>61.369277272727686</v>
      </c>
    </row>
    <row r="8" spans="1:11" x14ac:dyDescent="0.25">
      <c r="A8" s="3">
        <v>7</v>
      </c>
      <c r="B8" s="15" t="s">
        <v>7</v>
      </c>
      <c r="C8" s="3"/>
      <c r="D8" s="3"/>
      <c r="E8" s="3" t="s">
        <v>8</v>
      </c>
      <c r="F8" s="8">
        <v>1706.1611372727273</v>
      </c>
      <c r="G8" s="4" t="s">
        <v>44</v>
      </c>
      <c r="H8" s="4">
        <v>1832.5774999999999</v>
      </c>
      <c r="I8" s="14">
        <v>1850</v>
      </c>
      <c r="J8" s="9">
        <f t="shared" si="0"/>
        <v>143.83886272727273</v>
      </c>
    </row>
    <row r="9" spans="1:11" x14ac:dyDescent="0.25">
      <c r="A9" s="3">
        <v>8</v>
      </c>
      <c r="B9" s="3" t="s">
        <v>9</v>
      </c>
      <c r="C9" s="3"/>
      <c r="D9" s="3"/>
      <c r="E9" s="3" t="s">
        <v>8</v>
      </c>
      <c r="F9" s="8">
        <v>1706.1611372727273</v>
      </c>
      <c r="G9" s="4" t="s">
        <v>44</v>
      </c>
      <c r="H9" s="4">
        <v>1832.5774999999999</v>
      </c>
      <c r="I9" s="14">
        <v>1850</v>
      </c>
      <c r="J9" s="9">
        <f t="shared" si="0"/>
        <v>143.83886272727273</v>
      </c>
    </row>
    <row r="10" spans="1:11" x14ac:dyDescent="0.25">
      <c r="A10" s="3">
        <v>9</v>
      </c>
      <c r="B10" s="3" t="s">
        <v>10</v>
      </c>
      <c r="C10" s="3"/>
      <c r="D10" s="3"/>
      <c r="E10" s="3" t="s">
        <v>6</v>
      </c>
      <c r="F10" s="8">
        <v>1788.6307227272723</v>
      </c>
      <c r="G10" s="4" t="s">
        <v>44</v>
      </c>
      <c r="H10" s="4">
        <v>1832.5774999999999</v>
      </c>
      <c r="I10" s="14">
        <v>1850</v>
      </c>
      <c r="J10" s="9">
        <f t="shared" si="0"/>
        <v>61.369277272727686</v>
      </c>
    </row>
    <row r="11" spans="1:11" x14ac:dyDescent="0.25">
      <c r="A11" s="3">
        <v>10</v>
      </c>
      <c r="B11" s="16" t="s">
        <v>11</v>
      </c>
      <c r="C11" s="3"/>
      <c r="D11" s="3"/>
      <c r="E11" s="3" t="s">
        <v>4</v>
      </c>
      <c r="F11" s="8">
        <v>949.73654545454542</v>
      </c>
      <c r="G11" s="4" t="s">
        <v>44</v>
      </c>
      <c r="H11" s="4">
        <v>1042.99</v>
      </c>
      <c r="I11" s="5">
        <v>1450</v>
      </c>
      <c r="J11" s="9">
        <f t="shared" si="0"/>
        <v>500.26345454545458</v>
      </c>
    </row>
    <row r="12" spans="1:11" x14ac:dyDescent="0.25">
      <c r="A12" s="3">
        <v>11</v>
      </c>
      <c r="B12" s="15" t="s">
        <v>12</v>
      </c>
      <c r="C12" s="3"/>
      <c r="D12" s="3"/>
      <c r="E12" s="3" t="s">
        <v>4</v>
      </c>
      <c r="F12" s="8">
        <v>868.60327272727272</v>
      </c>
      <c r="G12" s="4" t="s">
        <v>44</v>
      </c>
      <c r="H12" s="4">
        <v>907.10749999999996</v>
      </c>
      <c r="I12" s="5">
        <v>1120</v>
      </c>
      <c r="J12" s="9">
        <f t="shared" si="0"/>
        <v>251.39672727272728</v>
      </c>
    </row>
    <row r="13" spans="1:11" x14ac:dyDescent="0.25">
      <c r="A13" s="3">
        <v>12</v>
      </c>
      <c r="B13" s="15" t="s">
        <v>13</v>
      </c>
      <c r="C13" s="3"/>
      <c r="D13" s="3"/>
      <c r="E13" s="3" t="s">
        <v>14</v>
      </c>
      <c r="F13" s="8">
        <v>801.78763636363624</v>
      </c>
      <c r="G13" s="4" t="s">
        <v>45</v>
      </c>
      <c r="H13" s="4">
        <v>822.64</v>
      </c>
      <c r="I13" s="5">
        <v>995</v>
      </c>
      <c r="J13" s="9">
        <f t="shared" si="0"/>
        <v>193.21236363636376</v>
      </c>
      <c r="K13" s="7" t="s">
        <v>46</v>
      </c>
    </row>
    <row r="14" spans="1:11" x14ac:dyDescent="0.25">
      <c r="A14" s="3">
        <v>13</v>
      </c>
      <c r="B14" s="16" t="s">
        <v>15</v>
      </c>
      <c r="C14" s="3"/>
      <c r="D14" s="3"/>
      <c r="E14" s="3" t="s">
        <v>14</v>
      </c>
      <c r="F14" s="8">
        <v>801.78763636363624</v>
      </c>
      <c r="G14" s="4" t="s">
        <v>45</v>
      </c>
      <c r="H14" s="4">
        <v>822.64</v>
      </c>
      <c r="I14" s="5">
        <v>990</v>
      </c>
      <c r="J14" s="9">
        <f t="shared" si="0"/>
        <v>188.21236363636376</v>
      </c>
      <c r="K14" s="7" t="s">
        <v>46</v>
      </c>
    </row>
    <row r="15" spans="1:11" x14ac:dyDescent="0.25">
      <c r="A15" s="3">
        <v>14</v>
      </c>
      <c r="B15" s="6" t="s">
        <v>16</v>
      </c>
      <c r="C15" s="3"/>
      <c r="D15" s="3"/>
      <c r="E15" s="3" t="s">
        <v>14</v>
      </c>
      <c r="F15" s="8">
        <v>801.78763636363624</v>
      </c>
      <c r="G15" s="4" t="s">
        <v>44</v>
      </c>
      <c r="H15" s="4">
        <v>822.64</v>
      </c>
      <c r="I15" s="5">
        <v>1010</v>
      </c>
      <c r="J15" s="9">
        <f t="shared" si="0"/>
        <v>208.21236363636376</v>
      </c>
    </row>
    <row r="16" spans="1:11" x14ac:dyDescent="0.25">
      <c r="A16" s="3">
        <v>15</v>
      </c>
      <c r="B16" s="3" t="s">
        <v>24</v>
      </c>
      <c r="C16" s="3"/>
      <c r="D16" s="3"/>
      <c r="E16" s="3" t="s">
        <v>4</v>
      </c>
      <c r="F16" s="8">
        <v>1393.5832727272727</v>
      </c>
      <c r="G16" s="4" t="s">
        <v>47</v>
      </c>
      <c r="H16" s="4">
        <v>1502.0525</v>
      </c>
      <c r="I16" s="5">
        <v>1340</v>
      </c>
      <c r="J16" s="10">
        <f t="shared" si="0"/>
        <v>-53.583272727272742</v>
      </c>
    </row>
    <row r="17" spans="1:11" x14ac:dyDescent="0.25">
      <c r="A17" s="3">
        <v>16</v>
      </c>
      <c r="B17" s="6" t="s">
        <v>25</v>
      </c>
      <c r="C17" s="3"/>
      <c r="D17" s="3"/>
      <c r="E17" s="3" t="s">
        <v>4</v>
      </c>
      <c r="F17" s="8">
        <v>1212.2265454545452</v>
      </c>
      <c r="G17" s="4" t="s">
        <v>44</v>
      </c>
      <c r="H17" s="4">
        <v>1391.8775000000001</v>
      </c>
      <c r="I17" s="5">
        <v>1320</v>
      </c>
      <c r="J17" s="9">
        <f t="shared" si="0"/>
        <v>107.7734545454548</v>
      </c>
    </row>
    <row r="18" spans="1:11" x14ac:dyDescent="0.25">
      <c r="A18" s="3">
        <v>17</v>
      </c>
      <c r="B18" s="3" t="s">
        <v>26</v>
      </c>
      <c r="C18" s="3"/>
      <c r="D18" s="3"/>
      <c r="E18" s="3" t="s">
        <v>4</v>
      </c>
      <c r="F18" s="8">
        <v>1212.2265454545452</v>
      </c>
      <c r="G18" s="4" t="s">
        <v>44</v>
      </c>
      <c r="H18" s="4">
        <v>1391.8775000000001</v>
      </c>
      <c r="I18" s="5">
        <v>1320</v>
      </c>
      <c r="J18" s="9">
        <f t="shared" si="0"/>
        <v>107.7734545454548</v>
      </c>
    </row>
    <row r="19" spans="1:11" x14ac:dyDescent="0.25">
      <c r="A19" s="3">
        <v>18</v>
      </c>
      <c r="B19" s="15" t="s">
        <v>27</v>
      </c>
      <c r="C19" s="3"/>
      <c r="D19" s="3"/>
      <c r="E19" s="3" t="s">
        <v>4</v>
      </c>
      <c r="F19" s="8">
        <v>1293.3598181818181</v>
      </c>
      <c r="G19" s="4" t="s">
        <v>44</v>
      </c>
      <c r="H19" s="4">
        <v>1502.0525</v>
      </c>
      <c r="I19" s="5">
        <v>1420</v>
      </c>
      <c r="J19" s="9">
        <f t="shared" si="0"/>
        <v>126.64018181818187</v>
      </c>
    </row>
    <row r="20" spans="1:11" x14ac:dyDescent="0.25">
      <c r="A20" s="3">
        <v>19</v>
      </c>
      <c r="B20" s="15" t="s">
        <v>28</v>
      </c>
      <c r="C20" s="3"/>
      <c r="D20" s="3"/>
      <c r="E20" s="3" t="s">
        <v>14</v>
      </c>
      <c r="F20" s="8">
        <v>1295.746090909091</v>
      </c>
      <c r="G20" s="4" t="s">
        <v>44</v>
      </c>
      <c r="H20" s="4">
        <v>1502.0525</v>
      </c>
      <c r="I20" s="5">
        <v>1420</v>
      </c>
      <c r="J20" s="9">
        <f t="shared" si="0"/>
        <v>124.25390909090902</v>
      </c>
    </row>
    <row r="21" spans="1:11" x14ac:dyDescent="0.25">
      <c r="A21" s="3">
        <v>20</v>
      </c>
      <c r="B21" s="16" t="s">
        <v>29</v>
      </c>
      <c r="C21" s="3"/>
      <c r="D21" s="3"/>
      <c r="E21" s="3" t="s">
        <v>14</v>
      </c>
      <c r="F21" s="4">
        <v>1395.9695454545454</v>
      </c>
      <c r="G21" s="4" t="s">
        <v>44</v>
      </c>
      <c r="H21" s="8">
        <v>1391.8775000000001</v>
      </c>
      <c r="I21" s="5">
        <v>1510</v>
      </c>
      <c r="J21" s="9">
        <f>I21-H21</f>
        <v>118.12249999999995</v>
      </c>
    </row>
    <row r="22" spans="1:11" x14ac:dyDescent="0.25">
      <c r="A22" s="3">
        <v>21</v>
      </c>
      <c r="B22" s="15" t="s">
        <v>30</v>
      </c>
      <c r="C22" s="3"/>
      <c r="D22" s="3"/>
      <c r="E22" s="3" t="s">
        <v>14</v>
      </c>
      <c r="F22" s="8">
        <v>1395.9695454545454</v>
      </c>
      <c r="G22" s="4" t="s">
        <v>44</v>
      </c>
      <c r="H22" s="4">
        <v>1685.6775</v>
      </c>
      <c r="I22" s="5">
        <v>1570</v>
      </c>
      <c r="J22" s="9">
        <f>I22-F22</f>
        <v>174.03045454545463</v>
      </c>
    </row>
    <row r="23" spans="1:11" x14ac:dyDescent="0.25">
      <c r="A23" s="3">
        <v>22</v>
      </c>
      <c r="B23" s="15" t="s">
        <v>31</v>
      </c>
      <c r="C23" s="3"/>
      <c r="D23" s="3"/>
      <c r="E23" s="3" t="s">
        <v>14</v>
      </c>
      <c r="F23" s="4">
        <v>1395.9695454545454</v>
      </c>
      <c r="G23" s="4" t="s">
        <v>44</v>
      </c>
      <c r="H23" s="8">
        <v>1391.8775000000001</v>
      </c>
      <c r="I23" s="5">
        <v>1510</v>
      </c>
      <c r="J23" s="9">
        <f>I23-H23</f>
        <v>118.12249999999995</v>
      </c>
    </row>
    <row r="24" spans="1:11" x14ac:dyDescent="0.25">
      <c r="A24" s="3">
        <v>23</v>
      </c>
      <c r="B24" s="6" t="s">
        <v>32</v>
      </c>
      <c r="C24" s="3"/>
      <c r="D24" s="3"/>
      <c r="E24" s="3" t="s">
        <v>14</v>
      </c>
      <c r="F24" s="8">
        <v>1395.9695454545454</v>
      </c>
      <c r="G24" s="4" t="s">
        <v>44</v>
      </c>
      <c r="H24" s="4">
        <v>1685.6775</v>
      </c>
      <c r="I24" s="5">
        <v>1570</v>
      </c>
      <c r="J24" s="9">
        <f>I24-F24</f>
        <v>174.03045454545463</v>
      </c>
    </row>
    <row r="25" spans="1:11" x14ac:dyDescent="0.25">
      <c r="A25" s="3">
        <v>24</v>
      </c>
      <c r="B25" s="16" t="s">
        <v>33</v>
      </c>
      <c r="C25" s="3"/>
      <c r="D25" s="3"/>
      <c r="E25" s="3" t="s">
        <v>34</v>
      </c>
      <c r="F25" s="8">
        <v>1212.2265454545452</v>
      </c>
      <c r="G25" s="4" t="s">
        <v>44</v>
      </c>
      <c r="H25" s="4">
        <v>1391.8775000000001</v>
      </c>
      <c r="I25" s="5">
        <v>1395</v>
      </c>
      <c r="J25" s="9">
        <f t="shared" ref="J25:J30" si="1">I25-F25</f>
        <v>182.7734545454548</v>
      </c>
    </row>
    <row r="26" spans="1:11" x14ac:dyDescent="0.25">
      <c r="A26" s="3">
        <v>25</v>
      </c>
      <c r="B26" s="15" t="s">
        <v>17</v>
      </c>
      <c r="C26" s="3"/>
      <c r="D26" s="3"/>
      <c r="E26" s="3" t="s">
        <v>14</v>
      </c>
      <c r="F26" s="8">
        <v>964.05418181818175</v>
      </c>
      <c r="G26" s="4" t="s">
        <v>44</v>
      </c>
      <c r="H26" s="4">
        <v>1042.99</v>
      </c>
      <c r="I26" s="5">
        <v>1200</v>
      </c>
      <c r="J26" s="9">
        <f t="shared" si="1"/>
        <v>235.94581818181825</v>
      </c>
    </row>
    <row r="27" spans="1:11" x14ac:dyDescent="0.25">
      <c r="A27" s="3">
        <v>26</v>
      </c>
      <c r="B27" s="15" t="s">
        <v>36</v>
      </c>
      <c r="C27" s="3"/>
      <c r="D27" s="3"/>
      <c r="E27" s="3" t="s">
        <v>14</v>
      </c>
      <c r="F27" s="8">
        <v>1214.6128181818181</v>
      </c>
      <c r="G27" s="4" t="s">
        <v>44</v>
      </c>
      <c r="H27" s="4">
        <v>1391.8775000000001</v>
      </c>
      <c r="I27" s="5">
        <v>1395</v>
      </c>
      <c r="J27" s="9">
        <f t="shared" si="1"/>
        <v>180.38718181818194</v>
      </c>
    </row>
    <row r="28" spans="1:11" x14ac:dyDescent="0.25">
      <c r="A28" s="3">
        <v>27</v>
      </c>
      <c r="B28" s="15" t="s">
        <v>18</v>
      </c>
      <c r="C28" s="3"/>
      <c r="D28" s="3"/>
      <c r="E28" s="3" t="s">
        <v>4</v>
      </c>
      <c r="F28" s="8">
        <v>1331.5401818181817</v>
      </c>
      <c r="G28" s="4" t="s">
        <v>44</v>
      </c>
      <c r="H28" s="4">
        <v>1648.9524999999999</v>
      </c>
      <c r="I28" s="5">
        <v>1810</v>
      </c>
      <c r="J28" s="9">
        <f t="shared" si="1"/>
        <v>478.45981818181826</v>
      </c>
    </row>
    <row r="29" spans="1:11" x14ac:dyDescent="0.25">
      <c r="A29" s="3">
        <v>28</v>
      </c>
      <c r="B29" s="15" t="s">
        <v>19</v>
      </c>
      <c r="C29" s="3"/>
      <c r="D29" s="3"/>
      <c r="E29" s="3" t="s">
        <v>14</v>
      </c>
      <c r="F29" s="8">
        <v>1372.1068181818182</v>
      </c>
      <c r="G29" s="4" t="s">
        <v>44</v>
      </c>
      <c r="H29" s="4">
        <v>1759.1274999999998</v>
      </c>
      <c r="I29" s="5">
        <v>1599</v>
      </c>
      <c r="J29" s="9">
        <f t="shared" si="1"/>
        <v>226.8931818181818</v>
      </c>
    </row>
    <row r="30" spans="1:11" x14ac:dyDescent="0.25">
      <c r="A30" s="3">
        <v>29</v>
      </c>
      <c r="B30" s="15" t="s">
        <v>20</v>
      </c>
      <c r="C30" s="3"/>
      <c r="D30" s="3"/>
      <c r="E30" s="3" t="s">
        <v>14</v>
      </c>
      <c r="F30" s="8">
        <v>1333.9264545454544</v>
      </c>
      <c r="G30" s="4" t="s">
        <v>44</v>
      </c>
      <c r="H30" s="4">
        <v>1648.9524999999999</v>
      </c>
      <c r="I30" s="5">
        <v>1810</v>
      </c>
      <c r="J30" s="9">
        <f t="shared" si="1"/>
        <v>476.07354545454564</v>
      </c>
    </row>
    <row r="31" spans="1:11" x14ac:dyDescent="0.25">
      <c r="A31" s="3">
        <v>30</v>
      </c>
      <c r="B31" s="15" t="s">
        <v>48</v>
      </c>
      <c r="C31" s="14"/>
      <c r="D31" s="14"/>
      <c r="E31" s="12" t="s">
        <v>57</v>
      </c>
      <c r="F31" s="13">
        <v>964.05418181818175</v>
      </c>
      <c r="G31" s="12" t="s">
        <v>55</v>
      </c>
      <c r="H31" s="8">
        <v>826.27577499999995</v>
      </c>
      <c r="I31" s="14">
        <v>1320</v>
      </c>
      <c r="J31" s="9">
        <f>I31-H31</f>
        <v>493.72422500000005</v>
      </c>
      <c r="K31" s="7" t="s">
        <v>46</v>
      </c>
    </row>
    <row r="32" spans="1:11" x14ac:dyDescent="0.25">
      <c r="A32" s="3">
        <v>31</v>
      </c>
      <c r="B32" s="15" t="s">
        <v>49</v>
      </c>
      <c r="C32" s="14"/>
      <c r="D32" s="14"/>
      <c r="E32" s="12" t="s">
        <v>4</v>
      </c>
      <c r="F32" s="8">
        <v>1197.908909090909</v>
      </c>
      <c r="G32" s="12" t="s">
        <v>44</v>
      </c>
      <c r="H32" s="13">
        <v>1465.3274999999999</v>
      </c>
      <c r="I32" s="14">
        <v>1710</v>
      </c>
      <c r="J32" s="9">
        <f>I32-F32</f>
        <v>512.09109090909101</v>
      </c>
    </row>
    <row r="33" spans="1:10" x14ac:dyDescent="0.25">
      <c r="A33" s="3">
        <v>32</v>
      </c>
      <c r="B33" s="15" t="s">
        <v>50</v>
      </c>
      <c r="C33" s="14"/>
      <c r="D33" s="14"/>
      <c r="E33" s="12" t="s">
        <v>4</v>
      </c>
      <c r="F33" s="8">
        <v>1369.7205454545453</v>
      </c>
      <c r="G33" s="12" t="s">
        <v>44</v>
      </c>
      <c r="H33" s="13">
        <v>1759.1274999999998</v>
      </c>
      <c r="I33" s="14">
        <v>1770</v>
      </c>
      <c r="J33" s="9">
        <f t="shared" ref="J33:J36" si="2">I33-F33</f>
        <v>400.27945454545466</v>
      </c>
    </row>
    <row r="34" spans="1:10" x14ac:dyDescent="0.25">
      <c r="A34" s="3">
        <v>33</v>
      </c>
      <c r="B34" s="15" t="s">
        <v>51</v>
      </c>
      <c r="C34" s="14"/>
      <c r="D34" s="14"/>
      <c r="E34" s="12" t="s">
        <v>14</v>
      </c>
      <c r="F34" s="8">
        <v>1200.2951818181816</v>
      </c>
      <c r="G34" s="12" t="s">
        <v>56</v>
      </c>
      <c r="H34" s="13">
        <v>1465.3274999999999</v>
      </c>
      <c r="I34" s="14">
        <v>1670</v>
      </c>
      <c r="J34" s="9">
        <f t="shared" si="2"/>
        <v>469.70481818181838</v>
      </c>
    </row>
    <row r="35" spans="1:10" x14ac:dyDescent="0.25">
      <c r="A35" s="3">
        <v>34</v>
      </c>
      <c r="B35" s="12" t="s">
        <v>52</v>
      </c>
      <c r="C35" s="14"/>
      <c r="D35" s="14"/>
      <c r="E35" s="12" t="s">
        <v>14</v>
      </c>
      <c r="F35" s="8">
        <v>1372.1068181818182</v>
      </c>
      <c r="G35" s="12" t="s">
        <v>44</v>
      </c>
      <c r="H35" s="13">
        <v>1759.1274999999998</v>
      </c>
      <c r="I35" s="14">
        <v>1595</v>
      </c>
      <c r="J35" s="9">
        <f t="shared" si="2"/>
        <v>222.8931818181818</v>
      </c>
    </row>
    <row r="36" spans="1:10" x14ac:dyDescent="0.25">
      <c r="A36" s="3">
        <v>35</v>
      </c>
      <c r="B36" s="12" t="s">
        <v>53</v>
      </c>
      <c r="C36" s="14"/>
      <c r="D36" s="14"/>
      <c r="E36" s="12" t="s">
        <v>14</v>
      </c>
      <c r="F36" s="8">
        <v>1200.2951818181816</v>
      </c>
      <c r="G36" s="12" t="s">
        <v>44</v>
      </c>
      <c r="H36" s="13">
        <v>1465.3274999999999</v>
      </c>
      <c r="I36" s="14">
        <v>1595</v>
      </c>
      <c r="J36" s="9">
        <f t="shared" si="2"/>
        <v>394.70481818181838</v>
      </c>
    </row>
  </sheetData>
  <autoFilter ref="A1:K36" xr:uid="{FC988035-F065-4329-9092-ADDFD73A0FFC}"/>
  <conditionalFormatting sqref="B1">
    <cfRule type="duplicateValues" dxfId="9" priority="11"/>
    <cfRule type="duplicateValues" dxfId="8" priority="12"/>
    <cfRule type="duplicateValues" dxfId="7" priority="13"/>
  </conditionalFormatting>
  <conditionalFormatting sqref="B1:B1048576">
    <cfRule type="duplicateValues" dxfId="6" priority="1"/>
  </conditionalFormatting>
  <conditionalFormatting sqref="B2:B30">
    <cfRule type="duplicateValues" dxfId="5" priority="14"/>
    <cfRule type="duplicateValues" dxfId="4" priority="15"/>
    <cfRule type="duplicateValues" dxfId="3" priority="16"/>
  </conditionalFormatting>
  <conditionalFormatting sqref="B31:B36">
    <cfRule type="duplicateValues" dxfId="2" priority="50"/>
    <cfRule type="duplicateValues" dxfId="1" priority="51"/>
    <cfRule type="duplicateValues" dxfId="0" priority="5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EC7B-9CDD-45CE-B664-680C3D517411}">
  <dimension ref="A1:D2"/>
  <sheetViews>
    <sheetView workbookViewId="0">
      <selection activeCell="A2" sqref="A2"/>
    </sheetView>
  </sheetViews>
  <sheetFormatPr defaultRowHeight="15" x14ac:dyDescent="0.25"/>
  <sheetData>
    <row r="1" spans="1:4" x14ac:dyDescent="0.25">
      <c r="A1">
        <v>379</v>
      </c>
      <c r="B1">
        <f>A1*3.6725</f>
        <v>1391.8775000000001</v>
      </c>
    </row>
    <row r="2" spans="1:4" x14ac:dyDescent="0.25">
      <c r="A2">
        <v>598</v>
      </c>
      <c r="B2">
        <f>A2*2.5797</f>
        <v>1542.6605999999999</v>
      </c>
      <c r="C2">
        <f>B2/11</f>
        <v>140.24187272727272</v>
      </c>
      <c r="D2">
        <f>B2-C2</f>
        <v>1402.4187272727272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2026-06-05T18:01:00Z</dcterms:created>
  <dcterms:modified xsi:type="dcterms:W3CDTF">2026-06-12T09:47:11Z</dcterms:modified>
</cp:coreProperties>
</file>