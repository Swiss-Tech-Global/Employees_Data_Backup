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1" documentId="13_ncr:1_{AE4D495C-B637-45D0-B6CC-D74F985C9C97}" xr6:coauthVersionLast="47" xr6:coauthVersionMax="47" xr10:uidLastSave="{CFFDBCB9-ADC2-474F-A396-3A67FF8FC7D3}"/>
  <bookViews>
    <workbookView xWindow="-120" yWindow="-120" windowWidth="20730" windowHeight="11040" xr2:uid="{D9D98BEB-CF25-44F3-9F80-4235999239C2}"/>
  </bookViews>
  <sheets>
    <sheet name="HOLD PURCHAS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" l="1"/>
  <c r="H18" i="1"/>
  <c r="H19" i="1"/>
  <c r="H20" i="1"/>
  <c r="H21" i="1"/>
  <c r="H22" i="1"/>
  <c r="H23" i="1"/>
  <c r="H12" i="1" l="1"/>
  <c r="H11" i="1"/>
  <c r="H10" i="1"/>
  <c r="H9" i="1"/>
  <c r="H8" i="1"/>
  <c r="H7" i="1"/>
  <c r="H6" i="1"/>
  <c r="H5" i="1"/>
  <c r="H4" i="1"/>
  <c r="G3" i="1" l="1"/>
</calcChain>
</file>

<file path=xl/sharedStrings.xml><?xml version="1.0" encoding="utf-8"?>
<sst xmlns="http://schemas.openxmlformats.org/spreadsheetml/2006/main" count="216" uniqueCount="86">
  <si>
    <r>
      <rPr>
        <sz val="8.5"/>
        <rFont val="Arial MT"/>
        <family val="2"/>
      </rPr>
      <t>Ps5 Pro</t>
    </r>
  </si>
  <si>
    <r>
      <rPr>
        <sz val="8.5"/>
        <rFont val="Arial MT"/>
        <family val="2"/>
      </rPr>
      <t>White</t>
    </r>
  </si>
  <si>
    <r>
      <rPr>
        <sz val="8.5"/>
        <rFont val="Arial MT"/>
        <family val="2"/>
      </rPr>
      <t>2 TB</t>
    </r>
  </si>
  <si>
    <r>
      <rPr>
        <sz val="8.5"/>
        <rFont val="Arial MT"/>
        <family val="2"/>
      </rPr>
      <t>S01K25601VJ910260933</t>
    </r>
  </si>
  <si>
    <t>Hold Purchasing</t>
  </si>
  <si>
    <t>unlock</t>
  </si>
  <si>
    <r>
      <rPr>
        <sz val="8.5"/>
        <rFont val="Arial MT"/>
        <family val="2"/>
      </rPr>
      <t>Dual Sense Wireless Controller</t>
    </r>
  </si>
  <si>
    <r>
      <rPr>
        <sz val="8.5"/>
        <rFont val="Arial MT"/>
        <family val="2"/>
      </rPr>
      <t>Grey Camouflage</t>
    </r>
  </si>
  <si>
    <t>Extra</t>
  </si>
  <si>
    <r>
      <rPr>
        <sz val="8.5"/>
        <rFont val="Arial MT"/>
        <family val="2"/>
      </rPr>
      <t>Starlight Blue</t>
    </r>
  </si>
  <si>
    <r>
      <rPr>
        <sz val="8.5"/>
        <rFont val="Arial MT"/>
        <family val="2"/>
      </rPr>
      <t>Chroma Teal</t>
    </r>
  </si>
  <si>
    <r>
      <rPr>
        <sz val="8.5"/>
        <rFont val="Arial MT"/>
        <family val="2"/>
      </rPr>
      <t>Chroma Pearl</t>
    </r>
  </si>
  <si>
    <r>
      <rPr>
        <sz val="8.5"/>
        <rFont val="Arial MT"/>
        <family val="2"/>
      </rPr>
      <t>Meta Wayfarer Gen 2</t>
    </r>
  </si>
  <si>
    <r>
      <rPr>
        <sz val="8.5"/>
        <rFont val="Arial MT"/>
        <family val="2"/>
      </rPr>
      <t>Matte Black, Grey</t>
    </r>
  </si>
  <si>
    <r>
      <rPr>
        <sz val="8.5"/>
        <rFont val="Arial MT"/>
        <family val="2"/>
      </rPr>
      <t>4V37W31J0G030M</t>
    </r>
  </si>
  <si>
    <r>
      <rPr>
        <sz val="8.5"/>
        <rFont val="Arial MT"/>
        <family val="2"/>
      </rPr>
      <t>HP 15-fc0509ds</t>
    </r>
  </si>
  <si>
    <r>
      <rPr>
        <sz val="8.5"/>
        <rFont val="Arial MT"/>
        <family val="2"/>
      </rPr>
      <t>1H85401DT8</t>
    </r>
  </si>
  <si>
    <r>
      <rPr>
        <sz val="8.5"/>
        <rFont val="Arial MT"/>
        <family val="2"/>
      </rPr>
      <t>1H85401CSQ</t>
    </r>
  </si>
  <si>
    <r>
      <rPr>
        <sz val="8.5"/>
        <rFont val="Arial MT"/>
        <family val="2"/>
      </rPr>
      <t>HP Chromebook Plus x360</t>
    </r>
  </si>
  <si>
    <r>
      <rPr>
        <sz val="8.5"/>
        <rFont val="Arial MT"/>
        <family val="2"/>
      </rPr>
      <t>VNY5240GR8</t>
    </r>
  </si>
  <si>
    <r>
      <rPr>
        <sz val="8.5"/>
        <rFont val="Arial MT"/>
        <family val="2"/>
      </rPr>
      <t>Lenovo Idea Pad 1</t>
    </r>
  </si>
  <si>
    <r>
      <rPr>
        <sz val="8.5"/>
        <rFont val="Arial MT"/>
        <family val="2"/>
      </rPr>
      <t>Cloud Grey</t>
    </r>
  </si>
  <si>
    <r>
      <rPr>
        <sz val="8.5"/>
        <rFont val="Arial MT"/>
        <family val="2"/>
      </rPr>
      <t>SPF5TPHHT</t>
    </r>
  </si>
  <si>
    <t>MC6L4</t>
  </si>
  <si>
    <t>SKQQRQLQFP1</t>
  </si>
  <si>
    <t>BOX</t>
  </si>
  <si>
    <t>NON ACTIVE</t>
  </si>
  <si>
    <t>WIFI</t>
  </si>
  <si>
    <t>Feb 10</t>
  </si>
  <si>
    <t>DXB</t>
  </si>
  <si>
    <t>AR 7 Pallet</t>
  </si>
  <si>
    <t>SCGWRWYNXT3</t>
  </si>
  <si>
    <t>MC7C4</t>
  </si>
  <si>
    <t>SFJ9KJ60JWV</t>
  </si>
  <si>
    <t>MW133</t>
  </si>
  <si>
    <t>SKR7HMW2RH2</t>
  </si>
  <si>
    <t>MXP63</t>
  </si>
  <si>
    <t>WHITE</t>
  </si>
  <si>
    <t>SD25915JQKP</t>
  </si>
  <si>
    <t>SLRF744V4H6</t>
  </si>
  <si>
    <t>MXP93</t>
  </si>
  <si>
    <t>SMMWL7LXD2H</t>
  </si>
  <si>
    <t>Pro 13" M5</t>
  </si>
  <si>
    <t>BLACK</t>
  </si>
  <si>
    <t>UNLOCK</t>
  </si>
  <si>
    <t>Pro 13" WiFi</t>
  </si>
  <si>
    <t>SILVER</t>
  </si>
  <si>
    <t>SD6C9VM3V6C</t>
  </si>
  <si>
    <t>Pro 3</t>
  </si>
  <si>
    <t>SF763RW6RL9</t>
  </si>
  <si>
    <t>--</t>
  </si>
  <si>
    <t>SCK9KQ96JMF</t>
  </si>
  <si>
    <t>SE 11 42 MM</t>
  </si>
  <si>
    <t>ROSE GOLD</t>
  </si>
  <si>
    <t>SL454CH9954</t>
  </si>
  <si>
    <t>S11 42mm</t>
  </si>
  <si>
    <t>SMY6VPPG1Q6</t>
  </si>
  <si>
    <t>S11 46mm</t>
  </si>
  <si>
    <t>SH4R3KHCXCW</t>
  </si>
  <si>
    <t>Ultra 3 49mm</t>
  </si>
  <si>
    <t>NATURAL</t>
  </si>
  <si>
    <t>ATT</t>
  </si>
  <si>
    <t>DESERT</t>
  </si>
  <si>
    <t>HSO</t>
  </si>
  <si>
    <t>iPhone 16 Pro Max</t>
  </si>
  <si>
    <t>Lable Invoice Number</t>
  </si>
  <si>
    <t>Model</t>
  </si>
  <si>
    <t>Colue</t>
  </si>
  <si>
    <t>Storage</t>
  </si>
  <si>
    <t>IMEI</t>
  </si>
  <si>
    <t>Carrier</t>
  </si>
  <si>
    <t>USD Prices</t>
  </si>
  <si>
    <t>AED Prices</t>
  </si>
  <si>
    <t>Issue</t>
  </si>
  <si>
    <t>512 GB Invoice Purchasing But Received 256 GB</t>
  </si>
  <si>
    <r>
      <rPr>
        <b/>
        <sz val="11"/>
        <color rgb="FFFF0000"/>
        <rFont val="Arial MT"/>
        <family val="2"/>
      </rPr>
      <t>iPhone 17 Pro Max</t>
    </r>
  </si>
  <si>
    <r>
      <rPr>
        <b/>
        <sz val="11"/>
        <color rgb="FFFF0000"/>
        <rFont val="Arial MT"/>
        <family val="2"/>
      </rPr>
      <t>Cosmic Orange</t>
    </r>
  </si>
  <si>
    <r>
      <rPr>
        <b/>
        <sz val="11"/>
        <color rgb="FFFF0000"/>
        <rFont val="Arial MT"/>
        <family val="2"/>
      </rPr>
      <t>256 GB</t>
    </r>
  </si>
  <si>
    <t>Unlock Invoice Purchasing But T-Mobile carrer Received</t>
  </si>
  <si>
    <r>
      <rPr>
        <b/>
        <sz val="11"/>
        <color rgb="FFFF0000"/>
        <rFont val="Arial MT"/>
        <family val="2"/>
      </rPr>
      <t>T-Mobile</t>
    </r>
  </si>
  <si>
    <t>This Amoount Same HSO And BOX</t>
  </si>
  <si>
    <t>Issue Item</t>
  </si>
  <si>
    <t>Double IMEI Scan</t>
  </si>
  <si>
    <t>Lable Invoices Number</t>
  </si>
  <si>
    <t>Exta Item</t>
  </si>
  <si>
    <t xml:space="preserve">Label Invoice Number 888637279919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</si>
</sst>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.00_-;\-[$USD]\ * #,##0.00_-;_-[$USD]\ * &quot;-&quot;??_-;_-@_-"/>
  </numFmts>
  <fonts count="13">
    <font>
      <sz val="11"/>
      <color theme="1"/>
      <name val="Aptos Narrow"/>
      <family val="2"/>
      <scheme val="minor"/>
    </font>
    <font>
      <sz val="8.5"/>
      <name val="Arial MT"/>
    </font>
    <font>
      <sz val="8.5"/>
      <name val="Arial MT"/>
      <family val="2"/>
    </font>
    <font>
      <sz val="10"/>
      <color rgb="FF000000"/>
      <name val="Times New Roman"/>
      <family val="1"/>
    </font>
    <font>
      <sz val="8.5"/>
      <color rgb="FF000000"/>
      <name val="Arial MT"/>
      <family val="2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0000"/>
      <name val="Times New Roman"/>
      <family val="1"/>
    </font>
    <font>
      <b/>
      <sz val="11"/>
      <color rgb="FFFF0000"/>
      <name val="Arial MT"/>
      <family val="2"/>
    </font>
    <font>
      <b/>
      <sz val="14"/>
      <color rgb="FFFF0000"/>
      <name val="Aptos Narrow"/>
      <family val="2"/>
      <scheme val="minor"/>
    </font>
    <font>
      <b/>
      <sz val="10"/>
      <color theme="2"/>
      <name val="Times New Roman"/>
      <family val="1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1" fontId="6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/>
    <xf numFmtId="1" fontId="5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1" fontId="0" fillId="2" borderId="1" xfId="0" applyNumberFormat="1" applyFill="1" applyBorder="1"/>
    <xf numFmtId="0" fontId="0" fillId="2" borderId="1" xfId="0" applyFill="1" applyBorder="1"/>
    <xf numFmtId="1" fontId="4" fillId="2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164" fontId="5" fillId="0" borderId="0" xfId="0" applyNumberFormat="1" applyFont="1"/>
    <xf numFmtId="0" fontId="11" fillId="7" borderId="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2" fillId="7" borderId="3" xfId="0" applyFont="1" applyFill="1" applyBorder="1" applyAlignment="1">
      <alignment horizontal="center"/>
    </xf>
    <xf numFmtId="1" fontId="12" fillId="7" borderId="7" xfId="0" applyNumberFormat="1" applyFont="1" applyFill="1" applyBorder="1" applyAlignment="1">
      <alignment horizontal="center"/>
    </xf>
    <xf numFmtId="1" fontId="12" fillId="7" borderId="8" xfId="0" applyNumberFormat="1" applyFont="1" applyFill="1" applyBorder="1" applyAlignment="1">
      <alignment horizontal="center"/>
    </xf>
    <xf numFmtId="0" fontId="11" fillId="7" borderId="2" xfId="0" applyFont="1" applyFill="1" applyBorder="1" applyAlignment="1">
      <alignment horizontal="left"/>
    </xf>
    <xf numFmtId="0" fontId="11" fillId="7" borderId="7" xfId="0" applyFont="1" applyFill="1" applyBorder="1" applyAlignment="1">
      <alignment horizontal="left"/>
    </xf>
    <xf numFmtId="0" fontId="11" fillId="7" borderId="8" xfId="0" applyFont="1" applyFill="1" applyBorder="1" applyAlignment="1">
      <alignment horizontal="left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4033-F488-4438-8F75-B8D869CF15BC}">
  <dimension ref="A1:K45"/>
  <sheetViews>
    <sheetView tabSelected="1" topLeftCell="C7" workbookViewId="0">
      <selection activeCell="G20" sqref="G20"/>
    </sheetView>
  </sheetViews>
  <sheetFormatPr defaultRowHeight="15"/>
  <cols>
    <col min="1" max="1" width="44.140625" bestFit="1" customWidth="1"/>
    <col min="2" max="2" width="32.85546875" customWidth="1"/>
    <col min="3" max="3" width="35.140625" customWidth="1"/>
    <col min="4" max="4" width="16.5703125" bestFit="1" customWidth="1"/>
    <col min="5" max="5" width="18.85546875" bestFit="1" customWidth="1"/>
    <col min="6" max="6" width="12" bestFit="1" customWidth="1"/>
    <col min="7" max="7" width="13.7109375" bestFit="1" customWidth="1"/>
    <col min="8" max="8" width="18.7109375" bestFit="1" customWidth="1"/>
    <col min="10" max="10" width="64.85546875" bestFit="1" customWidth="1"/>
  </cols>
  <sheetData>
    <row r="1" spans="1:10" ht="24">
      <c r="A1" s="23" t="s">
        <v>84</v>
      </c>
      <c r="B1" s="23"/>
      <c r="C1" s="23"/>
      <c r="D1" s="23"/>
      <c r="E1" s="23"/>
      <c r="F1" s="23"/>
      <c r="G1" s="23"/>
      <c r="H1" s="23"/>
    </row>
    <row r="2" spans="1:10" ht="24">
      <c r="A2" s="31" t="s">
        <v>83</v>
      </c>
      <c r="B2" s="32"/>
      <c r="C2" s="32"/>
      <c r="D2" s="32"/>
      <c r="E2" s="32"/>
      <c r="F2" s="32"/>
      <c r="G2" s="32"/>
      <c r="H2" s="33"/>
    </row>
    <row r="3" spans="1:10">
      <c r="A3" s="13">
        <v>888879701928</v>
      </c>
      <c r="B3" s="1" t="s">
        <v>0</v>
      </c>
      <c r="C3" s="1" t="s">
        <v>1</v>
      </c>
      <c r="D3" s="1" t="s">
        <v>2</v>
      </c>
      <c r="E3" s="1" t="s">
        <v>3</v>
      </c>
      <c r="F3" s="2">
        <v>590</v>
      </c>
      <c r="G3" s="2">
        <f t="shared" ref="G3" si="0">F3*3.58</f>
        <v>2112.1999999999998</v>
      </c>
      <c r="H3" s="12" t="s">
        <v>4</v>
      </c>
    </row>
    <row r="4" spans="1:10">
      <c r="A4" s="13">
        <v>888637279919</v>
      </c>
      <c r="B4" s="1" t="s">
        <v>6</v>
      </c>
      <c r="C4" s="1" t="s">
        <v>7</v>
      </c>
      <c r="D4" s="15">
        <v>1</v>
      </c>
      <c r="E4" s="14"/>
      <c r="F4" s="16"/>
      <c r="G4" s="17" t="s">
        <v>8</v>
      </c>
      <c r="H4" s="18" t="e">
        <f t="shared" ref="H4:H12" si="1">G4*3.59</f>
        <v>#VALUE!</v>
      </c>
    </row>
    <row r="5" spans="1:10">
      <c r="A5" s="13">
        <v>888637279919</v>
      </c>
      <c r="B5" s="1" t="s">
        <v>6</v>
      </c>
      <c r="C5" s="1" t="s">
        <v>9</v>
      </c>
      <c r="D5" s="15">
        <v>1</v>
      </c>
      <c r="E5" s="14"/>
      <c r="F5" s="16"/>
      <c r="G5" s="17" t="s">
        <v>8</v>
      </c>
      <c r="H5" s="18" t="e">
        <f t="shared" si="1"/>
        <v>#VALUE!</v>
      </c>
    </row>
    <row r="6" spans="1:10">
      <c r="A6" s="13">
        <v>888637279919</v>
      </c>
      <c r="B6" s="1" t="s">
        <v>6</v>
      </c>
      <c r="C6" s="1" t="s">
        <v>10</v>
      </c>
      <c r="D6" s="15">
        <v>1</v>
      </c>
      <c r="E6" s="14"/>
      <c r="F6" s="16"/>
      <c r="G6" s="17" t="s">
        <v>8</v>
      </c>
      <c r="H6" s="18" t="e">
        <f t="shared" si="1"/>
        <v>#VALUE!</v>
      </c>
    </row>
    <row r="7" spans="1:10">
      <c r="A7" s="13">
        <v>888637279919</v>
      </c>
      <c r="B7" s="1" t="s">
        <v>6</v>
      </c>
      <c r="C7" s="1" t="s">
        <v>11</v>
      </c>
      <c r="D7" s="15">
        <v>1</v>
      </c>
      <c r="E7" s="14"/>
      <c r="F7" s="16"/>
      <c r="G7" s="17" t="s">
        <v>8</v>
      </c>
      <c r="H7" s="18" t="e">
        <f t="shared" si="1"/>
        <v>#VALUE!</v>
      </c>
    </row>
    <row r="8" spans="1:10">
      <c r="A8" s="13">
        <v>888637279919</v>
      </c>
      <c r="B8" s="1" t="s">
        <v>12</v>
      </c>
      <c r="C8" s="1" t="s">
        <v>13</v>
      </c>
      <c r="D8" s="14"/>
      <c r="E8" s="19" t="s">
        <v>14</v>
      </c>
      <c r="F8" s="14"/>
      <c r="G8" s="17" t="s">
        <v>8</v>
      </c>
      <c r="H8" s="18" t="e">
        <f t="shared" si="1"/>
        <v>#VALUE!</v>
      </c>
    </row>
    <row r="9" spans="1:10" ht="15.75" customHeight="1">
      <c r="A9" s="13">
        <v>888637279919</v>
      </c>
      <c r="B9" s="1" t="s">
        <v>15</v>
      </c>
      <c r="C9" s="1" t="s">
        <v>16</v>
      </c>
      <c r="D9" s="14"/>
      <c r="E9" s="16"/>
      <c r="F9" s="14"/>
      <c r="G9" s="17" t="s">
        <v>8</v>
      </c>
      <c r="H9" s="18" t="e">
        <f t="shared" si="1"/>
        <v>#VALUE!</v>
      </c>
    </row>
    <row r="10" spans="1:10" ht="13.5" customHeight="1">
      <c r="A10" s="13">
        <v>888637279919</v>
      </c>
      <c r="B10" s="1" t="s">
        <v>15</v>
      </c>
      <c r="C10" s="1" t="s">
        <v>17</v>
      </c>
      <c r="D10" s="14"/>
      <c r="E10" s="16"/>
      <c r="F10" s="14"/>
      <c r="G10" s="17" t="s">
        <v>8</v>
      </c>
      <c r="H10" s="18" t="e">
        <f t="shared" si="1"/>
        <v>#VALUE!</v>
      </c>
    </row>
    <row r="11" spans="1:10">
      <c r="A11" s="13">
        <v>888637279919</v>
      </c>
      <c r="B11" s="1" t="s">
        <v>18</v>
      </c>
      <c r="C11" s="1" t="s">
        <v>19</v>
      </c>
      <c r="D11" s="14"/>
      <c r="E11" s="16"/>
      <c r="F11" s="14"/>
      <c r="G11" s="17" t="s">
        <v>8</v>
      </c>
      <c r="H11" s="18" t="e">
        <f t="shared" si="1"/>
        <v>#VALUE!</v>
      </c>
    </row>
    <row r="12" spans="1:10">
      <c r="A12" s="13">
        <v>888637279919</v>
      </c>
      <c r="B12" s="1" t="s">
        <v>20</v>
      </c>
      <c r="C12" s="1" t="s">
        <v>21</v>
      </c>
      <c r="D12" s="14"/>
      <c r="E12" s="19" t="s">
        <v>22</v>
      </c>
      <c r="F12" s="14"/>
      <c r="G12" s="17" t="s">
        <v>8</v>
      </c>
      <c r="H12" s="18" t="e">
        <f t="shared" si="1"/>
        <v>#VALUE!</v>
      </c>
    </row>
    <row r="15" spans="1:10">
      <c r="A15" s="27" t="s">
        <v>81</v>
      </c>
      <c r="B15" s="27"/>
      <c r="C15" s="27"/>
      <c r="D15" s="27"/>
      <c r="E15" s="27"/>
      <c r="F15" s="27"/>
      <c r="G15" s="27"/>
      <c r="H15" s="27"/>
      <c r="I15" s="27"/>
      <c r="J15" s="27"/>
    </row>
    <row r="16" spans="1:10">
      <c r="A16" s="28"/>
      <c r="B16" s="28"/>
      <c r="C16" s="28"/>
      <c r="D16" s="28"/>
      <c r="E16" s="28"/>
      <c r="F16" s="28"/>
      <c r="G16" s="28"/>
      <c r="H16" s="28"/>
      <c r="I16" s="28"/>
      <c r="J16" s="28"/>
    </row>
    <row r="17" spans="1:11" ht="18.75">
      <c r="A17" s="10" t="s">
        <v>65</v>
      </c>
      <c r="B17" s="11" t="s">
        <v>66</v>
      </c>
      <c r="C17" s="11" t="s">
        <v>67</v>
      </c>
      <c r="D17" s="11" t="s">
        <v>68</v>
      </c>
      <c r="E17" s="11" t="s">
        <v>69</v>
      </c>
      <c r="F17" s="11" t="s">
        <v>70</v>
      </c>
      <c r="G17" s="11" t="s">
        <v>71</v>
      </c>
      <c r="H17" s="11" t="s">
        <v>72</v>
      </c>
      <c r="I17" s="11"/>
      <c r="J17" s="11" t="s">
        <v>73</v>
      </c>
    </row>
    <row r="18" spans="1:11" ht="18.75">
      <c r="A18" s="6">
        <v>888923920344</v>
      </c>
      <c r="B18" s="7" t="s">
        <v>75</v>
      </c>
      <c r="C18" s="7" t="s">
        <v>76</v>
      </c>
      <c r="D18" s="7" t="s">
        <v>77</v>
      </c>
      <c r="E18" s="8">
        <v>350889867621262</v>
      </c>
      <c r="F18" s="7"/>
      <c r="G18" s="7">
        <v>1100</v>
      </c>
      <c r="H18" s="7">
        <f t="shared" ref="H18:H23" si="2">G18*3.59</f>
        <v>3949</v>
      </c>
      <c r="I18" s="7"/>
      <c r="J18" s="9" t="s">
        <v>74</v>
      </c>
    </row>
    <row r="19" spans="1:11" ht="18.75">
      <c r="A19" s="6">
        <v>889002110930</v>
      </c>
      <c r="B19" s="7" t="s">
        <v>75</v>
      </c>
      <c r="C19" s="7" t="s">
        <v>76</v>
      </c>
      <c r="D19" s="7" t="s">
        <v>77</v>
      </c>
      <c r="E19" s="8">
        <v>358902510026078</v>
      </c>
      <c r="F19" s="7" t="s">
        <v>79</v>
      </c>
      <c r="G19" s="7">
        <v>1190</v>
      </c>
      <c r="H19" s="7">
        <f t="shared" si="2"/>
        <v>4272.0999999999995</v>
      </c>
      <c r="I19" s="7" t="s">
        <v>5</v>
      </c>
      <c r="J19" s="9" t="s">
        <v>78</v>
      </c>
    </row>
    <row r="20" spans="1:11">
      <c r="A20" s="3">
        <v>889002110930</v>
      </c>
      <c r="B20" s="4" t="s">
        <v>64</v>
      </c>
      <c r="C20" s="4" t="s">
        <v>60</v>
      </c>
      <c r="D20" s="4" t="s">
        <v>77</v>
      </c>
      <c r="E20" s="5">
        <v>355300183049720</v>
      </c>
      <c r="F20" s="4" t="s">
        <v>61</v>
      </c>
      <c r="G20" s="4">
        <v>600</v>
      </c>
      <c r="H20" s="4">
        <f t="shared" si="2"/>
        <v>2154</v>
      </c>
      <c r="I20" s="4" t="s">
        <v>25</v>
      </c>
      <c r="J20" s="24" t="s">
        <v>80</v>
      </c>
    </row>
    <row r="21" spans="1:11">
      <c r="A21" s="3">
        <v>889002110930</v>
      </c>
      <c r="B21" s="4" t="s">
        <v>64</v>
      </c>
      <c r="C21" s="4" t="s">
        <v>62</v>
      </c>
      <c r="D21" s="4" t="s">
        <v>77</v>
      </c>
      <c r="E21" s="5">
        <v>358862983224131</v>
      </c>
      <c r="F21" s="4" t="s">
        <v>61</v>
      </c>
      <c r="G21" s="4">
        <v>600</v>
      </c>
      <c r="H21" s="4">
        <f t="shared" si="2"/>
        <v>2154</v>
      </c>
      <c r="I21" s="4" t="s">
        <v>63</v>
      </c>
      <c r="J21" s="25"/>
    </row>
    <row r="22" spans="1:11">
      <c r="A22" s="3">
        <v>889002110930</v>
      </c>
      <c r="B22" s="4" t="s">
        <v>64</v>
      </c>
      <c r="C22" s="4" t="s">
        <v>43</v>
      </c>
      <c r="D22" s="4" t="s">
        <v>77</v>
      </c>
      <c r="E22" s="5">
        <v>351614406649742</v>
      </c>
      <c r="F22" s="4" t="s">
        <v>61</v>
      </c>
      <c r="G22" s="4">
        <v>600</v>
      </c>
      <c r="H22" s="4">
        <f t="shared" si="2"/>
        <v>2154</v>
      </c>
      <c r="I22" s="4" t="s">
        <v>63</v>
      </c>
      <c r="J22" s="25"/>
    </row>
    <row r="23" spans="1:11">
      <c r="A23" s="3">
        <v>889002110930</v>
      </c>
      <c r="B23" s="4" t="s">
        <v>64</v>
      </c>
      <c r="C23" s="4" t="s">
        <v>62</v>
      </c>
      <c r="D23" s="4" t="s">
        <v>77</v>
      </c>
      <c r="E23" s="5">
        <v>351614401317857</v>
      </c>
      <c r="F23" s="4" t="s">
        <v>61</v>
      </c>
      <c r="G23" s="4">
        <v>600</v>
      </c>
      <c r="H23" s="4">
        <f t="shared" si="2"/>
        <v>2154</v>
      </c>
      <c r="I23" s="4" t="s">
        <v>25</v>
      </c>
      <c r="J23" s="26"/>
    </row>
    <row r="25" spans="1:11" ht="15" customHeight="1">
      <c r="A25" s="27" t="s">
        <v>82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1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</row>
    <row r="28" spans="1:11" ht="31.5">
      <c r="A28" s="29" t="s">
        <v>85</v>
      </c>
      <c r="B28" s="29"/>
      <c r="C28" s="29"/>
      <c r="D28" s="29"/>
      <c r="E28" s="29"/>
      <c r="F28" s="29"/>
      <c r="G28" s="29"/>
      <c r="H28" s="29"/>
      <c r="I28" s="29"/>
      <c r="J28" s="29"/>
      <c r="K28" s="30"/>
    </row>
    <row r="29" spans="1:11">
      <c r="A29" s="20" t="s">
        <v>23</v>
      </c>
      <c r="B29" s="20">
        <v>512</v>
      </c>
      <c r="C29" s="20"/>
      <c r="D29" s="21" t="s">
        <v>24</v>
      </c>
      <c r="E29" s="20" t="s">
        <v>25</v>
      </c>
      <c r="F29" s="20" t="s">
        <v>26</v>
      </c>
      <c r="G29" s="20" t="s">
        <v>27</v>
      </c>
      <c r="H29" s="20">
        <v>1320</v>
      </c>
      <c r="I29" s="20" t="s">
        <v>28</v>
      </c>
      <c r="J29" s="20" t="s">
        <v>29</v>
      </c>
      <c r="K29" s="20" t="s">
        <v>30</v>
      </c>
    </row>
    <row r="30" spans="1:11">
      <c r="A30" s="20" t="s">
        <v>23</v>
      </c>
      <c r="B30" s="20">
        <v>512</v>
      </c>
      <c r="C30" s="20"/>
      <c r="D30" s="21" t="s">
        <v>31</v>
      </c>
      <c r="E30" s="20" t="s">
        <v>25</v>
      </c>
      <c r="F30" s="20" t="s">
        <v>26</v>
      </c>
      <c r="G30" s="20" t="s">
        <v>27</v>
      </c>
      <c r="H30" s="20">
        <v>1320</v>
      </c>
      <c r="I30" s="20" t="s">
        <v>28</v>
      </c>
      <c r="J30" s="20" t="s">
        <v>29</v>
      </c>
      <c r="K30" s="20" t="s">
        <v>30</v>
      </c>
    </row>
    <row r="31" spans="1:11">
      <c r="A31" s="20" t="s">
        <v>32</v>
      </c>
      <c r="B31" s="20">
        <v>512</v>
      </c>
      <c r="C31" s="20"/>
      <c r="D31" s="21" t="s">
        <v>33</v>
      </c>
      <c r="E31" s="20" t="s">
        <v>25</v>
      </c>
      <c r="F31" s="20" t="s">
        <v>26</v>
      </c>
      <c r="G31" s="20" t="s">
        <v>27</v>
      </c>
      <c r="H31" s="20">
        <v>1125</v>
      </c>
      <c r="I31" s="20" t="s">
        <v>28</v>
      </c>
      <c r="J31" s="20" t="s">
        <v>29</v>
      </c>
      <c r="K31" s="20" t="s">
        <v>30</v>
      </c>
    </row>
    <row r="32" spans="1:11">
      <c r="A32" s="20" t="s">
        <v>34</v>
      </c>
      <c r="B32" s="20">
        <v>512</v>
      </c>
      <c r="C32" s="20"/>
      <c r="D32" s="21" t="s">
        <v>35</v>
      </c>
      <c r="E32" s="20" t="s">
        <v>25</v>
      </c>
      <c r="F32" s="20" t="s">
        <v>26</v>
      </c>
      <c r="G32" s="20" t="s">
        <v>27</v>
      </c>
      <c r="H32" s="20">
        <v>950</v>
      </c>
      <c r="I32" s="20" t="s">
        <v>28</v>
      </c>
      <c r="J32" s="20" t="s">
        <v>29</v>
      </c>
      <c r="K32" s="20" t="s">
        <v>30</v>
      </c>
    </row>
    <row r="33" spans="1:11">
      <c r="A33" s="20" t="s">
        <v>36</v>
      </c>
      <c r="B33" s="20"/>
      <c r="C33" s="20" t="s">
        <v>37</v>
      </c>
      <c r="D33" s="21" t="s">
        <v>38</v>
      </c>
      <c r="E33" s="20" t="s">
        <v>25</v>
      </c>
      <c r="F33" s="20" t="s">
        <v>26</v>
      </c>
      <c r="G33" s="20" t="s">
        <v>27</v>
      </c>
      <c r="H33" s="20">
        <v>85</v>
      </c>
      <c r="I33" s="20" t="s">
        <v>28</v>
      </c>
      <c r="J33" s="20" t="s">
        <v>29</v>
      </c>
      <c r="K33" s="20" t="s">
        <v>30</v>
      </c>
    </row>
    <row r="34" spans="1:11">
      <c r="A34" s="20" t="s">
        <v>36</v>
      </c>
      <c r="B34" s="20"/>
      <c r="C34" s="20" t="s">
        <v>37</v>
      </c>
      <c r="D34" s="21" t="s">
        <v>39</v>
      </c>
      <c r="E34" s="20" t="s">
        <v>25</v>
      </c>
      <c r="F34" s="20" t="s">
        <v>26</v>
      </c>
      <c r="G34" s="20" t="s">
        <v>27</v>
      </c>
      <c r="H34" s="20">
        <v>85</v>
      </c>
      <c r="I34" s="20" t="s">
        <v>28</v>
      </c>
      <c r="J34" s="20" t="s">
        <v>29</v>
      </c>
      <c r="K34" s="20" t="s">
        <v>30</v>
      </c>
    </row>
    <row r="35" spans="1:11">
      <c r="A35" s="20" t="s">
        <v>40</v>
      </c>
      <c r="B35" s="20"/>
      <c r="C35" s="20"/>
      <c r="D35" s="21" t="s">
        <v>41</v>
      </c>
      <c r="E35" s="20" t="s">
        <v>25</v>
      </c>
      <c r="F35" s="20" t="s">
        <v>26</v>
      </c>
      <c r="G35" s="20" t="s">
        <v>27</v>
      </c>
      <c r="H35" s="20">
        <v>125</v>
      </c>
      <c r="I35" s="20" t="s">
        <v>28</v>
      </c>
      <c r="J35" s="20" t="s">
        <v>29</v>
      </c>
      <c r="K35" s="20" t="s">
        <v>30</v>
      </c>
    </row>
    <row r="36" spans="1:11">
      <c r="A36" s="20" t="s">
        <v>42</v>
      </c>
      <c r="B36" s="20">
        <v>256</v>
      </c>
      <c r="C36" s="20" t="s">
        <v>43</v>
      </c>
      <c r="D36" s="21">
        <v>352355709496667</v>
      </c>
      <c r="E36" s="20" t="s">
        <v>25</v>
      </c>
      <c r="F36" s="20" t="s">
        <v>26</v>
      </c>
      <c r="G36" s="20" t="s">
        <v>44</v>
      </c>
      <c r="H36" s="20">
        <v>1080</v>
      </c>
      <c r="I36" s="20" t="s">
        <v>28</v>
      </c>
      <c r="J36" s="20" t="s">
        <v>29</v>
      </c>
      <c r="K36" s="20" t="s">
        <v>30</v>
      </c>
    </row>
    <row r="37" spans="1:11">
      <c r="A37" s="20" t="s">
        <v>45</v>
      </c>
      <c r="B37" s="20">
        <v>256</v>
      </c>
      <c r="C37" s="20" t="s">
        <v>46</v>
      </c>
      <c r="D37" s="21" t="s">
        <v>47</v>
      </c>
      <c r="E37" s="20" t="s">
        <v>25</v>
      </c>
      <c r="F37" s="20" t="s">
        <v>26</v>
      </c>
      <c r="G37" s="20" t="s">
        <v>27</v>
      </c>
      <c r="H37" s="20">
        <v>1050</v>
      </c>
      <c r="I37" s="20" t="s">
        <v>28</v>
      </c>
      <c r="J37" s="20" t="s">
        <v>29</v>
      </c>
      <c r="K37" s="20" t="s">
        <v>30</v>
      </c>
    </row>
    <row r="38" spans="1:11">
      <c r="A38" s="20" t="s">
        <v>48</v>
      </c>
      <c r="B38" s="20"/>
      <c r="C38" s="20" t="s">
        <v>37</v>
      </c>
      <c r="D38" s="21" t="s">
        <v>49</v>
      </c>
      <c r="E38" s="20" t="s">
        <v>25</v>
      </c>
      <c r="F38" s="20" t="s">
        <v>26</v>
      </c>
      <c r="G38" s="20" t="s">
        <v>44</v>
      </c>
      <c r="H38" s="20">
        <v>205</v>
      </c>
      <c r="I38" s="20" t="s">
        <v>28</v>
      </c>
      <c r="J38" s="20" t="s">
        <v>29</v>
      </c>
      <c r="K38" s="20" t="s">
        <v>30</v>
      </c>
    </row>
    <row r="39" spans="1:11">
      <c r="A39" s="20" t="s">
        <v>48</v>
      </c>
      <c r="B39" s="20" t="s">
        <v>50</v>
      </c>
      <c r="C39" s="20" t="s">
        <v>37</v>
      </c>
      <c r="D39" s="21" t="s">
        <v>51</v>
      </c>
      <c r="E39" s="20" t="s">
        <v>25</v>
      </c>
      <c r="F39" s="20" t="s">
        <v>26</v>
      </c>
      <c r="G39" s="20" t="s">
        <v>27</v>
      </c>
      <c r="H39" s="20">
        <v>200</v>
      </c>
      <c r="I39" s="20" t="s">
        <v>28</v>
      </c>
      <c r="J39" s="20" t="s">
        <v>29</v>
      </c>
      <c r="K39" s="20" t="s">
        <v>30</v>
      </c>
    </row>
    <row r="40" spans="1:11">
      <c r="A40" s="20" t="s">
        <v>52</v>
      </c>
      <c r="B40" s="20" t="s">
        <v>50</v>
      </c>
      <c r="C40" s="20" t="s">
        <v>53</v>
      </c>
      <c r="D40" s="21" t="s">
        <v>54</v>
      </c>
      <c r="E40" s="20" t="s">
        <v>25</v>
      </c>
      <c r="F40" s="20" t="s">
        <v>26</v>
      </c>
      <c r="G40" s="20" t="s">
        <v>44</v>
      </c>
      <c r="H40" s="20">
        <v>300</v>
      </c>
      <c r="I40" s="20" t="s">
        <v>28</v>
      </c>
      <c r="J40" s="20" t="s">
        <v>29</v>
      </c>
      <c r="K40" s="20" t="s">
        <v>30</v>
      </c>
    </row>
    <row r="41" spans="1:11">
      <c r="A41" s="20" t="s">
        <v>55</v>
      </c>
      <c r="B41" s="20"/>
      <c r="C41" s="20"/>
      <c r="D41" s="21" t="s">
        <v>56</v>
      </c>
      <c r="E41" s="20" t="s">
        <v>25</v>
      </c>
      <c r="F41" s="20" t="s">
        <v>26</v>
      </c>
      <c r="G41" s="20" t="s">
        <v>27</v>
      </c>
      <c r="H41" s="20">
        <v>300</v>
      </c>
      <c r="I41" s="20" t="s">
        <v>28</v>
      </c>
      <c r="J41" s="20" t="s">
        <v>29</v>
      </c>
      <c r="K41" s="20" t="s">
        <v>30</v>
      </c>
    </row>
    <row r="42" spans="1:11">
      <c r="A42" s="20" t="s">
        <v>57</v>
      </c>
      <c r="B42" s="20"/>
      <c r="C42" s="20"/>
      <c r="D42" s="21" t="s">
        <v>58</v>
      </c>
      <c r="E42" s="20" t="s">
        <v>25</v>
      </c>
      <c r="F42" s="20" t="s">
        <v>26</v>
      </c>
      <c r="G42" s="20" t="s">
        <v>27</v>
      </c>
      <c r="H42" s="20">
        <v>320</v>
      </c>
      <c r="I42" s="20" t="s">
        <v>28</v>
      </c>
      <c r="J42" s="20" t="s">
        <v>29</v>
      </c>
      <c r="K42" s="20" t="s">
        <v>30</v>
      </c>
    </row>
    <row r="43" spans="1:11">
      <c r="A43" s="20" t="s">
        <v>59</v>
      </c>
      <c r="B43" s="20"/>
      <c r="C43" s="20" t="s">
        <v>43</v>
      </c>
      <c r="D43" s="21">
        <v>355827872816332</v>
      </c>
      <c r="E43" s="20" t="s">
        <v>25</v>
      </c>
      <c r="F43" s="20" t="s">
        <v>26</v>
      </c>
      <c r="G43" s="20" t="s">
        <v>44</v>
      </c>
      <c r="H43" s="20">
        <v>675</v>
      </c>
      <c r="I43" s="20" t="s">
        <v>28</v>
      </c>
      <c r="J43" s="20" t="s">
        <v>29</v>
      </c>
      <c r="K43" s="20" t="s">
        <v>30</v>
      </c>
    </row>
    <row r="44" spans="1:11">
      <c r="A44" s="20" t="s">
        <v>59</v>
      </c>
      <c r="B44" s="20" t="s">
        <v>50</v>
      </c>
      <c r="C44" s="20" t="s">
        <v>60</v>
      </c>
      <c r="D44" s="21">
        <v>356768325410696</v>
      </c>
      <c r="E44" s="20" t="s">
        <v>25</v>
      </c>
      <c r="F44" s="20" t="s">
        <v>26</v>
      </c>
      <c r="G44" s="20" t="s">
        <v>44</v>
      </c>
      <c r="H44" s="20">
        <v>675</v>
      </c>
      <c r="I44" s="20" t="s">
        <v>28</v>
      </c>
      <c r="J44" s="20" t="s">
        <v>29</v>
      </c>
      <c r="K44" s="20" t="s">
        <v>30</v>
      </c>
    </row>
    <row r="45" spans="1:11" ht="18.75">
      <c r="H45" s="22">
        <f>SUM(H29:H44)</f>
        <v>9815</v>
      </c>
    </row>
  </sheetData>
  <mergeCells count="6">
    <mergeCell ref="A1:H1"/>
    <mergeCell ref="J20:J23"/>
    <mergeCell ref="A15:J16"/>
    <mergeCell ref="A25:K27"/>
    <mergeCell ref="A28:K28"/>
    <mergeCell ref="A2:H2"/>
  </mergeCells>
  <conditionalFormatting sqref="D29:D31">
    <cfRule type="duplicateValues" dxfId="23" priority="8"/>
  </conditionalFormatting>
  <conditionalFormatting sqref="D32">
    <cfRule type="duplicateValues" dxfId="22" priority="7"/>
  </conditionalFormatting>
  <conditionalFormatting sqref="D33:D37">
    <cfRule type="duplicateValues" dxfId="21" priority="6"/>
  </conditionalFormatting>
  <conditionalFormatting sqref="D38">
    <cfRule type="duplicateValues" dxfId="20" priority="5"/>
  </conditionalFormatting>
  <conditionalFormatting sqref="D39">
    <cfRule type="duplicateValues" dxfId="19" priority="4"/>
  </conditionalFormatting>
  <conditionalFormatting sqref="D40">
    <cfRule type="duplicateValues" dxfId="18" priority="3"/>
  </conditionalFormatting>
  <conditionalFormatting sqref="D41:D42">
    <cfRule type="duplicateValues" dxfId="17" priority="2"/>
  </conditionalFormatting>
  <conditionalFormatting sqref="D43:D44">
    <cfRule type="duplicateValues" dxfId="16" priority="1"/>
  </conditionalFormatting>
  <conditionalFormatting sqref="E3">
    <cfRule type="duplicateValues" dxfId="15" priority="24"/>
  </conditionalFormatting>
  <conditionalFormatting sqref="E8">
    <cfRule type="duplicateValues" dxfId="14" priority="14"/>
    <cfRule type="duplicateValues" dxfId="13" priority="15"/>
    <cfRule type="duplicateValues" dxfId="12" priority="16"/>
    <cfRule type="duplicateValues" dxfId="11" priority="17"/>
    <cfRule type="duplicateValues" dxfId="10" priority="18"/>
  </conditionalFormatting>
  <conditionalFormatting sqref="E9:E12"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</conditionalFormatting>
  <conditionalFormatting sqref="F4:F7">
    <cfRule type="duplicateValues" dxfId="4" priority="19"/>
    <cfRule type="duplicateValues" dxfId="3" priority="20"/>
    <cfRule type="duplicateValues" dxfId="2" priority="21"/>
    <cfRule type="duplicateValues" dxfId="1" priority="22"/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 PURCHASING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2026-03-02T08:59:07Z</dcterms:created>
  <dcterms:modified xsi:type="dcterms:W3CDTF">2026-03-19T08:51:22Z</dcterms:modified>
</cp:coreProperties>
</file>