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06" documentId="13_ncr:1_{9EBDEC92-A718-4F25-B046-1C8C84B3D8DB}" xr6:coauthVersionLast="47" xr6:coauthVersionMax="47" xr10:uidLastSave="{C375C867-A79F-4D0C-A607-3A282EAC726E}"/>
  <bookViews>
    <workbookView xWindow="-120" yWindow="-120" windowWidth="20730" windowHeight="11040" xr2:uid="{0E39E89B-3EDD-4EFC-8CDA-6F0C9ECF6232}"/>
  </bookViews>
  <sheets>
    <sheet name="Sheet1" sheetId="1" r:id="rId1"/>
  </sheets>
  <definedNames>
    <definedName name="_xlnm._FilterDatabase" localSheetId="0" hidden="1">Sheet1!$B$1:$L$69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1" l="1"/>
  <c r="L61" i="1"/>
  <c r="L62" i="1"/>
  <c r="L63" i="1"/>
  <c r="L64" i="1"/>
  <c r="L65" i="1"/>
  <c r="L6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2" i="1"/>
  <c r="I67" i="1"/>
  <c r="I69" i="1" s="1"/>
  <c r="J67" i="1"/>
  <c r="K67" i="1" l="1"/>
</calcChain>
</file>

<file path=xl/sharedStrings.xml><?xml version="1.0" encoding="utf-8"?>
<sst xmlns="http://schemas.openxmlformats.org/spreadsheetml/2006/main" count="413" uniqueCount="65">
  <si>
    <t>Sr No</t>
  </si>
  <si>
    <t>ITEM DESCRIPTION</t>
  </si>
  <si>
    <t>STORAGE</t>
  </si>
  <si>
    <t>COLOR</t>
  </si>
  <si>
    <t>BOX/HSO</t>
  </si>
  <si>
    <t>CARRIER</t>
  </si>
  <si>
    <t>STATUS</t>
  </si>
  <si>
    <t>IMEI/SN:</t>
  </si>
  <si>
    <t>iPhone 17 Pro Max 256GB Others(Unlocked)</t>
  </si>
  <si>
    <t>256GB</t>
  </si>
  <si>
    <t>SILVER</t>
  </si>
  <si>
    <t>BOX</t>
  </si>
  <si>
    <t>UNLOCK</t>
  </si>
  <si>
    <t>NON ACTIVE</t>
  </si>
  <si>
    <t>iPhone 17 Pro Max 256GB (Locked)</t>
  </si>
  <si>
    <t>BLUE</t>
  </si>
  <si>
    <t>XFINITY</t>
  </si>
  <si>
    <t>AT&amp;T</t>
  </si>
  <si>
    <t>ORANGE</t>
  </si>
  <si>
    <t>VERIZON</t>
  </si>
  <si>
    <t>ACTIVE</t>
  </si>
  <si>
    <t>iPhone 17 Pro Max Locked 256GB(Locked)</t>
  </si>
  <si>
    <t>Apple Watch SE3 40MM GPS / Cellular</t>
  </si>
  <si>
    <t>-</t>
  </si>
  <si>
    <t>STARLIGHT</t>
  </si>
  <si>
    <t>CRICKET</t>
  </si>
  <si>
    <t>iPad Pro 13-inch 8th Gen 256GB 5G</t>
  </si>
  <si>
    <t>BLACK</t>
  </si>
  <si>
    <t>iPhone 15 128GB (Locked)</t>
  </si>
  <si>
    <t>128GB</t>
  </si>
  <si>
    <t>T-M</t>
  </si>
  <si>
    <t>iPad Pro 13-inch 8th Gen 1TB Wi-Fi</t>
  </si>
  <si>
    <t>H4MHGXYC2C</t>
  </si>
  <si>
    <t>1024GB</t>
  </si>
  <si>
    <t>WIFI</t>
  </si>
  <si>
    <t>1TB (M5 10/10/32) - MJ3D4LL / MJ3E4LL</t>
  </si>
  <si>
    <t>GW639YNXHR</t>
  </si>
  <si>
    <t>512GB/16 - MDVQ4LL / MDV94LL /MDVD4LL / MDVH4LL</t>
  </si>
  <si>
    <t>JVDF66L9KG</t>
  </si>
  <si>
    <t>512GB</t>
  </si>
  <si>
    <t>MIDNIGHT</t>
  </si>
  <si>
    <t>512GB/16 - MDHH4LL / MDH74LL /MDHA4LL / MDHE4LL</t>
  </si>
  <si>
    <t>M9PH20PJCD</t>
  </si>
  <si>
    <t>IPAD AIR 13 M4 128GB</t>
  </si>
  <si>
    <t>AirPods Pro 3rd Gen (MFHP4LL)</t>
  </si>
  <si>
    <t>J7CYTGVCQ6</t>
  </si>
  <si>
    <t>WHITE</t>
  </si>
  <si>
    <t>KPWMNFJW27</t>
  </si>
  <si>
    <t>DDQ29R3XTV</t>
  </si>
  <si>
    <t>Apple Watch S11 42MM GPS</t>
  </si>
  <si>
    <t>DW6MXLVFTX</t>
  </si>
  <si>
    <t>Apple Watch S11 46MM GPS</t>
  </si>
  <si>
    <t>MX6RPQQ4CJ</t>
  </si>
  <si>
    <t>GRAY</t>
  </si>
  <si>
    <t>C932J3C0YQ</t>
  </si>
  <si>
    <t>iPad Pro 11-inch 6th Gen 256GB 5G</t>
  </si>
  <si>
    <t>iPhone 17 256GB (Locked)</t>
  </si>
  <si>
    <t>LAVENDER</t>
  </si>
  <si>
    <t>iPhone 17 Pro 256GB (Locked)</t>
  </si>
  <si>
    <t>iPhone 17 Pro 1TB (Unlocked)</t>
  </si>
  <si>
    <t>Owais PRICE</t>
  </si>
  <si>
    <t>Updated Prices</t>
  </si>
  <si>
    <t>AED Prices</t>
  </si>
  <si>
    <t>Discount</t>
  </si>
  <si>
    <t xml:space="preserve">Received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</si>
</sst>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5BAC-876C-4B7E-A501-CAB792BDF164}">
  <dimension ref="A1:M69"/>
  <sheetViews>
    <sheetView tabSelected="1" topLeftCell="B51" workbookViewId="0">
      <selection activeCell="J69" sqref="J69"/>
    </sheetView>
  </sheetViews>
  <sheetFormatPr defaultRowHeight="15" x14ac:dyDescent="0.25"/>
  <cols>
    <col min="1" max="1" width="6" bestFit="1" customWidth="1"/>
    <col min="2" max="2" width="48.140625" bestFit="1" customWidth="1"/>
    <col min="3" max="3" width="16.140625" bestFit="1" customWidth="1"/>
    <col min="4" max="4" width="11.7109375" customWidth="1"/>
    <col min="5" max="6" width="10.28515625" bestFit="1" customWidth="1"/>
    <col min="7" max="7" width="9.28515625" bestFit="1" customWidth="1"/>
    <col min="8" max="8" width="11.7109375" bestFit="1" customWidth="1"/>
    <col min="9" max="10" width="20" bestFit="1" customWidth="1"/>
    <col min="11" max="11" width="21.28515625" bestFit="1" customWidth="1"/>
  </cols>
  <sheetData>
    <row r="1" spans="1:12" ht="15.7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60</v>
      </c>
      <c r="J1" s="1" t="s">
        <v>61</v>
      </c>
      <c r="K1" s="1" t="s">
        <v>62</v>
      </c>
    </row>
    <row r="2" spans="1:12" x14ac:dyDescent="0.25">
      <c r="A2" s="5">
        <v>1</v>
      </c>
      <c r="B2" s="5" t="s">
        <v>8</v>
      </c>
      <c r="C2" s="6">
        <v>359814714101855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>
        <v>1200</v>
      </c>
      <c r="J2" s="5">
        <v>1200</v>
      </c>
      <c r="K2" s="7">
        <f>J2*3.57</f>
        <v>4284</v>
      </c>
      <c r="L2">
        <f>J2-I2</f>
        <v>0</v>
      </c>
    </row>
    <row r="3" spans="1:12" x14ac:dyDescent="0.25">
      <c r="A3" s="5">
        <v>2</v>
      </c>
      <c r="B3" s="5" t="s">
        <v>14</v>
      </c>
      <c r="C3" s="6">
        <v>355101470846418</v>
      </c>
      <c r="D3" s="5" t="s">
        <v>9</v>
      </c>
      <c r="E3" s="5" t="s">
        <v>15</v>
      </c>
      <c r="F3" s="5" t="s">
        <v>11</v>
      </c>
      <c r="G3" s="5" t="s">
        <v>16</v>
      </c>
      <c r="H3" s="5" t="s">
        <v>13</v>
      </c>
      <c r="I3" s="5">
        <v>840</v>
      </c>
      <c r="J3" s="5">
        <v>800</v>
      </c>
      <c r="K3" s="7">
        <f t="shared" ref="K3:K66" si="0">J3*3.57</f>
        <v>2856</v>
      </c>
      <c r="L3">
        <f t="shared" ref="L3:L66" si="1">J3-I3</f>
        <v>-40</v>
      </c>
    </row>
    <row r="4" spans="1:12" x14ac:dyDescent="0.25">
      <c r="A4" s="5">
        <v>3</v>
      </c>
      <c r="B4" s="5" t="s">
        <v>14</v>
      </c>
      <c r="C4" s="6">
        <v>357063601317313</v>
      </c>
      <c r="D4" s="5" t="s">
        <v>9</v>
      </c>
      <c r="E4" s="5" t="s">
        <v>10</v>
      </c>
      <c r="F4" s="5" t="s">
        <v>11</v>
      </c>
      <c r="G4" s="5" t="s">
        <v>17</v>
      </c>
      <c r="H4" s="5" t="s">
        <v>13</v>
      </c>
      <c r="I4" s="5">
        <v>920</v>
      </c>
      <c r="J4" s="5">
        <v>920</v>
      </c>
      <c r="K4" s="7">
        <f t="shared" si="0"/>
        <v>3284.3999999999996</v>
      </c>
      <c r="L4">
        <f t="shared" si="1"/>
        <v>0</v>
      </c>
    </row>
    <row r="5" spans="1:12" x14ac:dyDescent="0.25">
      <c r="A5" s="5">
        <v>4</v>
      </c>
      <c r="B5" s="5" t="s">
        <v>14</v>
      </c>
      <c r="C5" s="6">
        <v>350035237214657</v>
      </c>
      <c r="D5" s="5" t="s">
        <v>9</v>
      </c>
      <c r="E5" s="5" t="s">
        <v>18</v>
      </c>
      <c r="F5" s="5" t="s">
        <v>11</v>
      </c>
      <c r="G5" s="5" t="s">
        <v>19</v>
      </c>
      <c r="H5" s="5" t="s">
        <v>13</v>
      </c>
      <c r="I5" s="5">
        <v>850</v>
      </c>
      <c r="J5" s="5">
        <v>850</v>
      </c>
      <c r="K5" s="7">
        <f t="shared" si="0"/>
        <v>3034.5</v>
      </c>
      <c r="L5">
        <f t="shared" si="1"/>
        <v>0</v>
      </c>
    </row>
    <row r="6" spans="1:12" x14ac:dyDescent="0.25">
      <c r="A6" s="5">
        <v>5</v>
      </c>
      <c r="B6" s="5" t="s">
        <v>14</v>
      </c>
      <c r="C6" s="6">
        <v>350552898043670</v>
      </c>
      <c r="D6" s="5" t="s">
        <v>9</v>
      </c>
      <c r="E6" s="5" t="s">
        <v>18</v>
      </c>
      <c r="F6" s="5" t="s">
        <v>11</v>
      </c>
      <c r="G6" s="5" t="s">
        <v>19</v>
      </c>
      <c r="H6" s="5" t="s">
        <v>13</v>
      </c>
      <c r="I6" s="5">
        <v>850</v>
      </c>
      <c r="J6" s="5">
        <v>850</v>
      </c>
      <c r="K6" s="7">
        <f t="shared" si="0"/>
        <v>3034.5</v>
      </c>
      <c r="L6">
        <f t="shared" si="1"/>
        <v>0</v>
      </c>
    </row>
    <row r="7" spans="1:12" x14ac:dyDescent="0.25">
      <c r="A7" s="5">
        <v>6</v>
      </c>
      <c r="B7" s="5" t="s">
        <v>14</v>
      </c>
      <c r="C7" s="6">
        <v>358206138447512</v>
      </c>
      <c r="D7" s="5" t="s">
        <v>9</v>
      </c>
      <c r="E7" s="5" t="s">
        <v>18</v>
      </c>
      <c r="F7" s="5" t="s">
        <v>11</v>
      </c>
      <c r="G7" s="5" t="s">
        <v>19</v>
      </c>
      <c r="H7" s="5" t="s">
        <v>13</v>
      </c>
      <c r="I7" s="5">
        <v>850</v>
      </c>
      <c r="J7" s="5">
        <v>850</v>
      </c>
      <c r="K7" s="7">
        <f t="shared" si="0"/>
        <v>3034.5</v>
      </c>
      <c r="L7">
        <f t="shared" si="1"/>
        <v>0</v>
      </c>
    </row>
    <row r="8" spans="1:12" x14ac:dyDescent="0.25">
      <c r="A8" s="5">
        <v>7</v>
      </c>
      <c r="B8" s="5" t="s">
        <v>14</v>
      </c>
      <c r="C8" s="6">
        <v>358434709056823</v>
      </c>
      <c r="D8" s="5" t="s">
        <v>9</v>
      </c>
      <c r="E8" s="5" t="s">
        <v>18</v>
      </c>
      <c r="F8" s="5" t="s">
        <v>11</v>
      </c>
      <c r="G8" s="5" t="s">
        <v>19</v>
      </c>
      <c r="H8" s="5" t="s">
        <v>13</v>
      </c>
      <c r="I8" s="5">
        <v>850</v>
      </c>
      <c r="J8" s="5">
        <v>850</v>
      </c>
      <c r="K8" s="7">
        <f t="shared" si="0"/>
        <v>3034.5</v>
      </c>
      <c r="L8">
        <f t="shared" si="1"/>
        <v>0</v>
      </c>
    </row>
    <row r="9" spans="1:12" x14ac:dyDescent="0.25">
      <c r="A9" s="5">
        <v>8</v>
      </c>
      <c r="B9" s="5" t="s">
        <v>14</v>
      </c>
      <c r="C9" s="6">
        <v>358434708162994</v>
      </c>
      <c r="D9" s="5" t="s">
        <v>9</v>
      </c>
      <c r="E9" s="5" t="s">
        <v>15</v>
      </c>
      <c r="F9" s="5" t="s">
        <v>11</v>
      </c>
      <c r="G9" s="5" t="s">
        <v>19</v>
      </c>
      <c r="H9" s="5" t="s">
        <v>20</v>
      </c>
      <c r="I9" s="5">
        <v>840</v>
      </c>
      <c r="J9" s="5">
        <v>800</v>
      </c>
      <c r="K9" s="7">
        <f t="shared" si="0"/>
        <v>2856</v>
      </c>
      <c r="L9">
        <f t="shared" si="1"/>
        <v>-40</v>
      </c>
    </row>
    <row r="10" spans="1:12" x14ac:dyDescent="0.25">
      <c r="A10" s="5">
        <v>9</v>
      </c>
      <c r="B10" s="5" t="s">
        <v>14</v>
      </c>
      <c r="C10" s="6">
        <v>350552898717703</v>
      </c>
      <c r="D10" s="5" t="s">
        <v>9</v>
      </c>
      <c r="E10" s="5" t="s">
        <v>18</v>
      </c>
      <c r="F10" s="5" t="s">
        <v>11</v>
      </c>
      <c r="G10" s="5" t="s">
        <v>19</v>
      </c>
      <c r="H10" s="5" t="s">
        <v>13</v>
      </c>
      <c r="I10" s="5">
        <v>850</v>
      </c>
      <c r="J10" s="5">
        <v>850</v>
      </c>
      <c r="K10" s="7">
        <f t="shared" si="0"/>
        <v>3034.5</v>
      </c>
      <c r="L10">
        <f t="shared" si="1"/>
        <v>0</v>
      </c>
    </row>
    <row r="11" spans="1:12" x14ac:dyDescent="0.25">
      <c r="A11" s="5">
        <v>10</v>
      </c>
      <c r="B11" s="5" t="s">
        <v>14</v>
      </c>
      <c r="C11" s="6">
        <v>357329447192883</v>
      </c>
      <c r="D11" s="5" t="s">
        <v>9</v>
      </c>
      <c r="E11" s="5" t="s">
        <v>18</v>
      </c>
      <c r="F11" s="5" t="s">
        <v>11</v>
      </c>
      <c r="G11" s="5" t="s">
        <v>19</v>
      </c>
      <c r="H11" s="5" t="s">
        <v>13</v>
      </c>
      <c r="I11" s="5">
        <v>850</v>
      </c>
      <c r="J11" s="5">
        <v>850</v>
      </c>
      <c r="K11" s="7">
        <f t="shared" si="0"/>
        <v>3034.5</v>
      </c>
      <c r="L11">
        <f t="shared" si="1"/>
        <v>0</v>
      </c>
    </row>
    <row r="12" spans="1:12" x14ac:dyDescent="0.25">
      <c r="A12" s="5">
        <v>11</v>
      </c>
      <c r="B12" s="5" t="s">
        <v>14</v>
      </c>
      <c r="C12" s="6">
        <v>357247250003999</v>
      </c>
      <c r="D12" s="5" t="s">
        <v>9</v>
      </c>
      <c r="E12" s="5" t="s">
        <v>10</v>
      </c>
      <c r="F12" s="5" t="s">
        <v>11</v>
      </c>
      <c r="G12" s="5" t="s">
        <v>17</v>
      </c>
      <c r="H12" s="5" t="s">
        <v>13</v>
      </c>
      <c r="I12" s="5">
        <v>920</v>
      </c>
      <c r="J12" s="5">
        <v>920</v>
      </c>
      <c r="K12" s="7">
        <f t="shared" si="0"/>
        <v>3284.3999999999996</v>
      </c>
      <c r="L12">
        <f t="shared" si="1"/>
        <v>0</v>
      </c>
    </row>
    <row r="13" spans="1:12" x14ac:dyDescent="0.25">
      <c r="A13" s="5">
        <v>12</v>
      </c>
      <c r="B13" s="5" t="s">
        <v>14</v>
      </c>
      <c r="C13" s="6">
        <v>350035237008760</v>
      </c>
      <c r="D13" s="5" t="s">
        <v>9</v>
      </c>
      <c r="E13" s="5" t="s">
        <v>18</v>
      </c>
      <c r="F13" s="5" t="s">
        <v>11</v>
      </c>
      <c r="G13" s="5" t="s">
        <v>19</v>
      </c>
      <c r="H13" s="5" t="s">
        <v>13</v>
      </c>
      <c r="I13" s="5">
        <v>850</v>
      </c>
      <c r="J13" s="5">
        <v>850</v>
      </c>
      <c r="K13" s="7">
        <f t="shared" si="0"/>
        <v>3034.5</v>
      </c>
      <c r="L13">
        <f t="shared" si="1"/>
        <v>0</v>
      </c>
    </row>
    <row r="14" spans="1:12" x14ac:dyDescent="0.25">
      <c r="A14" s="5">
        <v>13</v>
      </c>
      <c r="B14" s="5" t="s">
        <v>14</v>
      </c>
      <c r="C14" s="6">
        <v>358434709351851</v>
      </c>
      <c r="D14" s="5" t="s">
        <v>9</v>
      </c>
      <c r="E14" s="5" t="s">
        <v>18</v>
      </c>
      <c r="F14" s="5" t="s">
        <v>11</v>
      </c>
      <c r="G14" s="5" t="s">
        <v>19</v>
      </c>
      <c r="H14" s="5" t="s">
        <v>13</v>
      </c>
      <c r="I14" s="5">
        <v>850</v>
      </c>
      <c r="J14" s="5">
        <v>850</v>
      </c>
      <c r="K14" s="7">
        <f t="shared" si="0"/>
        <v>3034.5</v>
      </c>
      <c r="L14">
        <f t="shared" si="1"/>
        <v>0</v>
      </c>
    </row>
    <row r="15" spans="1:12" x14ac:dyDescent="0.25">
      <c r="A15" s="5">
        <v>14</v>
      </c>
      <c r="B15" s="5" t="s">
        <v>8</v>
      </c>
      <c r="C15" s="6">
        <v>358902514554042</v>
      </c>
      <c r="D15" s="5" t="s">
        <v>9</v>
      </c>
      <c r="E15" s="5" t="s">
        <v>18</v>
      </c>
      <c r="F15" s="5" t="s">
        <v>11</v>
      </c>
      <c r="G15" s="5" t="s">
        <v>12</v>
      </c>
      <c r="H15" s="5" t="s">
        <v>13</v>
      </c>
      <c r="I15" s="5">
        <v>1200</v>
      </c>
      <c r="J15" s="5">
        <v>1200</v>
      </c>
      <c r="K15" s="7">
        <f t="shared" si="0"/>
        <v>4284</v>
      </c>
      <c r="L15">
        <f t="shared" si="1"/>
        <v>0</v>
      </c>
    </row>
    <row r="16" spans="1:12" x14ac:dyDescent="0.25">
      <c r="A16" s="5">
        <v>15</v>
      </c>
      <c r="B16" s="5" t="s">
        <v>8</v>
      </c>
      <c r="C16" s="6">
        <v>359814714159770</v>
      </c>
      <c r="D16" s="5" t="s">
        <v>9</v>
      </c>
      <c r="E16" s="5" t="s">
        <v>10</v>
      </c>
      <c r="F16" s="5" t="s">
        <v>11</v>
      </c>
      <c r="G16" s="5" t="s">
        <v>12</v>
      </c>
      <c r="H16" s="5" t="s">
        <v>13</v>
      </c>
      <c r="I16" s="5">
        <v>1200</v>
      </c>
      <c r="J16" s="5">
        <v>1200</v>
      </c>
      <c r="K16" s="7">
        <f t="shared" si="0"/>
        <v>4284</v>
      </c>
      <c r="L16">
        <f t="shared" si="1"/>
        <v>0</v>
      </c>
    </row>
    <row r="17" spans="1:12" x14ac:dyDescent="0.25">
      <c r="A17" s="5">
        <v>16</v>
      </c>
      <c r="B17" s="5" t="s">
        <v>21</v>
      </c>
      <c r="C17" s="6">
        <v>350599860860169</v>
      </c>
      <c r="D17" s="5" t="s">
        <v>9</v>
      </c>
      <c r="E17" s="5" t="s">
        <v>10</v>
      </c>
      <c r="F17" s="5" t="s">
        <v>11</v>
      </c>
      <c r="G17" s="5" t="s">
        <v>17</v>
      </c>
      <c r="H17" s="5" t="s">
        <v>20</v>
      </c>
      <c r="I17" s="5">
        <v>920</v>
      </c>
      <c r="J17" s="5">
        <v>920</v>
      </c>
      <c r="K17" s="7">
        <f t="shared" si="0"/>
        <v>3284.3999999999996</v>
      </c>
      <c r="L17">
        <f t="shared" si="1"/>
        <v>0</v>
      </c>
    </row>
    <row r="18" spans="1:12" x14ac:dyDescent="0.25">
      <c r="A18" s="5">
        <v>17</v>
      </c>
      <c r="B18" s="5" t="s">
        <v>14</v>
      </c>
      <c r="C18" s="6">
        <v>350035238132544</v>
      </c>
      <c r="D18" s="5" t="s">
        <v>9</v>
      </c>
      <c r="E18" s="5" t="s">
        <v>18</v>
      </c>
      <c r="F18" s="5" t="s">
        <v>11</v>
      </c>
      <c r="G18" s="5" t="s">
        <v>19</v>
      </c>
      <c r="H18" s="5" t="s">
        <v>13</v>
      </c>
      <c r="I18" s="5">
        <v>850</v>
      </c>
      <c r="J18" s="5">
        <v>850</v>
      </c>
      <c r="K18" s="7">
        <f t="shared" si="0"/>
        <v>3034.5</v>
      </c>
      <c r="L18">
        <f t="shared" si="1"/>
        <v>0</v>
      </c>
    </row>
    <row r="19" spans="1:12" x14ac:dyDescent="0.25">
      <c r="A19" s="5">
        <v>18</v>
      </c>
      <c r="B19" s="5" t="s">
        <v>14</v>
      </c>
      <c r="C19" s="6">
        <v>357329447094428</v>
      </c>
      <c r="D19" s="5" t="s">
        <v>9</v>
      </c>
      <c r="E19" s="5" t="s">
        <v>18</v>
      </c>
      <c r="F19" s="5" t="s">
        <v>11</v>
      </c>
      <c r="G19" s="5" t="s">
        <v>19</v>
      </c>
      <c r="H19" s="5" t="s">
        <v>13</v>
      </c>
      <c r="I19" s="5">
        <v>850</v>
      </c>
      <c r="J19" s="5">
        <v>850</v>
      </c>
      <c r="K19" s="7">
        <f t="shared" si="0"/>
        <v>3034.5</v>
      </c>
      <c r="L19">
        <f t="shared" si="1"/>
        <v>0</v>
      </c>
    </row>
    <row r="20" spans="1:12" x14ac:dyDescent="0.25">
      <c r="A20" s="5">
        <v>19</v>
      </c>
      <c r="B20" s="5" t="s">
        <v>22</v>
      </c>
      <c r="C20" s="6">
        <v>359132199403468</v>
      </c>
      <c r="D20" s="5" t="s">
        <v>23</v>
      </c>
      <c r="E20" s="5" t="s">
        <v>24</v>
      </c>
      <c r="F20" s="5" t="s">
        <v>11</v>
      </c>
      <c r="G20" s="5" t="s">
        <v>12</v>
      </c>
      <c r="H20" s="5" t="s">
        <v>13</v>
      </c>
      <c r="I20" s="5">
        <v>210</v>
      </c>
      <c r="J20" s="5">
        <v>210</v>
      </c>
      <c r="K20" s="7">
        <f t="shared" si="0"/>
        <v>749.69999999999993</v>
      </c>
      <c r="L20">
        <f t="shared" si="1"/>
        <v>0</v>
      </c>
    </row>
    <row r="21" spans="1:12" x14ac:dyDescent="0.25">
      <c r="A21" s="5">
        <v>20</v>
      </c>
      <c r="B21" s="5" t="s">
        <v>14</v>
      </c>
      <c r="C21" s="6">
        <v>350035237175346</v>
      </c>
      <c r="D21" s="5" t="s">
        <v>9</v>
      </c>
      <c r="E21" s="5" t="s">
        <v>18</v>
      </c>
      <c r="F21" s="5" t="s">
        <v>11</v>
      </c>
      <c r="G21" s="5" t="s">
        <v>19</v>
      </c>
      <c r="H21" s="5" t="s">
        <v>13</v>
      </c>
      <c r="I21" s="5">
        <v>850</v>
      </c>
      <c r="J21" s="5">
        <v>850</v>
      </c>
      <c r="K21" s="7">
        <f t="shared" si="0"/>
        <v>3034.5</v>
      </c>
      <c r="L21">
        <f t="shared" si="1"/>
        <v>0</v>
      </c>
    </row>
    <row r="22" spans="1:12" x14ac:dyDescent="0.25">
      <c r="A22" s="5">
        <v>21</v>
      </c>
      <c r="B22" s="5" t="s">
        <v>14</v>
      </c>
      <c r="C22" s="6">
        <v>355101474813224</v>
      </c>
      <c r="D22" s="5" t="s">
        <v>9</v>
      </c>
      <c r="E22" s="5" t="s">
        <v>18</v>
      </c>
      <c r="F22" s="5" t="s">
        <v>11</v>
      </c>
      <c r="G22" s="5" t="s">
        <v>17</v>
      </c>
      <c r="H22" s="5" t="s">
        <v>13</v>
      </c>
      <c r="I22" s="5">
        <v>850</v>
      </c>
      <c r="J22" s="5">
        <v>850</v>
      </c>
      <c r="K22" s="7">
        <f t="shared" si="0"/>
        <v>3034.5</v>
      </c>
      <c r="L22">
        <f t="shared" si="1"/>
        <v>0</v>
      </c>
    </row>
    <row r="23" spans="1:12" x14ac:dyDescent="0.25">
      <c r="A23" s="5">
        <v>22</v>
      </c>
      <c r="B23" s="5" t="s">
        <v>14</v>
      </c>
      <c r="C23" s="6">
        <v>357247250488281</v>
      </c>
      <c r="D23" s="5" t="s">
        <v>9</v>
      </c>
      <c r="E23" s="5" t="s">
        <v>10</v>
      </c>
      <c r="F23" s="5" t="s">
        <v>11</v>
      </c>
      <c r="G23" s="5" t="s">
        <v>16</v>
      </c>
      <c r="H23" s="5" t="s">
        <v>13</v>
      </c>
      <c r="I23" s="5">
        <v>920</v>
      </c>
      <c r="J23" s="5">
        <v>920</v>
      </c>
      <c r="K23" s="7">
        <f t="shared" si="0"/>
        <v>3284.3999999999996</v>
      </c>
      <c r="L23">
        <f t="shared" si="1"/>
        <v>0</v>
      </c>
    </row>
    <row r="24" spans="1:12" x14ac:dyDescent="0.25">
      <c r="A24" s="5">
        <v>23</v>
      </c>
      <c r="B24" s="5" t="s">
        <v>14</v>
      </c>
      <c r="C24" s="6">
        <v>359814718709844</v>
      </c>
      <c r="D24" s="5" t="s">
        <v>9</v>
      </c>
      <c r="E24" s="5" t="s">
        <v>18</v>
      </c>
      <c r="F24" s="5" t="s">
        <v>11</v>
      </c>
      <c r="G24" s="5" t="s">
        <v>17</v>
      </c>
      <c r="H24" s="5" t="s">
        <v>13</v>
      </c>
      <c r="I24" s="5">
        <v>850</v>
      </c>
      <c r="J24" s="5">
        <v>850</v>
      </c>
      <c r="K24" s="7">
        <f t="shared" si="0"/>
        <v>3034.5</v>
      </c>
      <c r="L24">
        <f t="shared" si="1"/>
        <v>0</v>
      </c>
    </row>
    <row r="25" spans="1:12" x14ac:dyDescent="0.25">
      <c r="A25" s="5">
        <v>24</v>
      </c>
      <c r="B25" s="5" t="s">
        <v>14</v>
      </c>
      <c r="C25" s="6">
        <v>350552899043935</v>
      </c>
      <c r="D25" s="5" t="s">
        <v>9</v>
      </c>
      <c r="E25" s="5" t="s">
        <v>10</v>
      </c>
      <c r="F25" s="5" t="s">
        <v>11</v>
      </c>
      <c r="G25" s="5" t="s">
        <v>25</v>
      </c>
      <c r="H25" s="5" t="s">
        <v>13</v>
      </c>
      <c r="I25" s="5">
        <v>920</v>
      </c>
      <c r="J25" s="5">
        <v>920</v>
      </c>
      <c r="K25" s="7">
        <f t="shared" si="0"/>
        <v>3284.3999999999996</v>
      </c>
      <c r="L25">
        <f t="shared" si="1"/>
        <v>0</v>
      </c>
    </row>
    <row r="26" spans="1:12" x14ac:dyDescent="0.25">
      <c r="A26" s="5">
        <v>25</v>
      </c>
      <c r="B26" s="5" t="s">
        <v>14</v>
      </c>
      <c r="C26" s="6">
        <v>358434704706281</v>
      </c>
      <c r="D26" s="5" t="s">
        <v>9</v>
      </c>
      <c r="E26" s="5" t="s">
        <v>18</v>
      </c>
      <c r="F26" s="5" t="s">
        <v>11</v>
      </c>
      <c r="G26" s="5" t="s">
        <v>17</v>
      </c>
      <c r="H26" s="5" t="s">
        <v>13</v>
      </c>
      <c r="I26" s="5">
        <v>850</v>
      </c>
      <c r="J26" s="5">
        <v>850</v>
      </c>
      <c r="K26" s="7">
        <f t="shared" si="0"/>
        <v>3034.5</v>
      </c>
      <c r="L26">
        <f t="shared" si="1"/>
        <v>0</v>
      </c>
    </row>
    <row r="27" spans="1:12" x14ac:dyDescent="0.25">
      <c r="A27" s="5">
        <v>26</v>
      </c>
      <c r="B27" s="5" t="s">
        <v>14</v>
      </c>
      <c r="C27" s="6">
        <v>358206138732582</v>
      </c>
      <c r="D27" s="5" t="s">
        <v>9</v>
      </c>
      <c r="E27" s="5" t="s">
        <v>18</v>
      </c>
      <c r="F27" s="5" t="s">
        <v>11</v>
      </c>
      <c r="G27" s="5" t="s">
        <v>17</v>
      </c>
      <c r="H27" s="5" t="s">
        <v>13</v>
      </c>
      <c r="I27" s="5">
        <v>850</v>
      </c>
      <c r="J27" s="5">
        <v>850</v>
      </c>
      <c r="K27" s="7">
        <f t="shared" si="0"/>
        <v>3034.5</v>
      </c>
      <c r="L27">
        <f t="shared" si="1"/>
        <v>0</v>
      </c>
    </row>
    <row r="28" spans="1:12" x14ac:dyDescent="0.25">
      <c r="A28" s="5">
        <v>27</v>
      </c>
      <c r="B28" s="5" t="s">
        <v>14</v>
      </c>
      <c r="C28" s="6">
        <v>350035239236724</v>
      </c>
      <c r="D28" s="5" t="s">
        <v>9</v>
      </c>
      <c r="E28" s="5" t="s">
        <v>10</v>
      </c>
      <c r="F28" s="5" t="s">
        <v>11</v>
      </c>
      <c r="G28" s="5" t="s">
        <v>19</v>
      </c>
      <c r="H28" s="5" t="s">
        <v>13</v>
      </c>
      <c r="I28" s="5">
        <v>920</v>
      </c>
      <c r="J28" s="5">
        <v>920</v>
      </c>
      <c r="K28" s="7">
        <f t="shared" si="0"/>
        <v>3284.3999999999996</v>
      </c>
      <c r="L28">
        <f t="shared" si="1"/>
        <v>0</v>
      </c>
    </row>
    <row r="29" spans="1:12" x14ac:dyDescent="0.25">
      <c r="A29" s="5">
        <v>28</v>
      </c>
      <c r="B29" s="5" t="s">
        <v>21</v>
      </c>
      <c r="C29" s="6">
        <v>350035239495486</v>
      </c>
      <c r="D29" s="5" t="s">
        <v>9</v>
      </c>
      <c r="E29" s="5" t="s">
        <v>18</v>
      </c>
      <c r="F29" s="5" t="s">
        <v>11</v>
      </c>
      <c r="G29" s="5" t="s">
        <v>17</v>
      </c>
      <c r="H29" s="5" t="s">
        <v>20</v>
      </c>
      <c r="I29" s="5">
        <v>850</v>
      </c>
      <c r="J29" s="5">
        <v>850</v>
      </c>
      <c r="K29" s="7">
        <f t="shared" si="0"/>
        <v>3034.5</v>
      </c>
      <c r="L29">
        <f t="shared" si="1"/>
        <v>0</v>
      </c>
    </row>
    <row r="30" spans="1:12" x14ac:dyDescent="0.25">
      <c r="A30" s="5">
        <v>29</v>
      </c>
      <c r="B30" s="5" t="s">
        <v>8</v>
      </c>
      <c r="C30" s="6">
        <v>356392249884272</v>
      </c>
      <c r="D30" s="5" t="s">
        <v>9</v>
      </c>
      <c r="E30" s="5" t="s">
        <v>10</v>
      </c>
      <c r="F30" s="5" t="s">
        <v>11</v>
      </c>
      <c r="G30" s="5" t="s">
        <v>12</v>
      </c>
      <c r="H30" s="5" t="s">
        <v>13</v>
      </c>
      <c r="I30" s="5">
        <v>1200</v>
      </c>
      <c r="J30" s="5">
        <v>1200</v>
      </c>
      <c r="K30" s="7">
        <f t="shared" si="0"/>
        <v>4284</v>
      </c>
      <c r="L30">
        <f t="shared" si="1"/>
        <v>0</v>
      </c>
    </row>
    <row r="31" spans="1:12" x14ac:dyDescent="0.25">
      <c r="A31" s="5">
        <v>30</v>
      </c>
      <c r="B31" s="5" t="s">
        <v>8</v>
      </c>
      <c r="C31" s="6">
        <v>351668140503961</v>
      </c>
      <c r="D31" s="5" t="s">
        <v>9</v>
      </c>
      <c r="E31" s="5" t="s">
        <v>18</v>
      </c>
      <c r="F31" s="5" t="s">
        <v>11</v>
      </c>
      <c r="G31" s="5" t="s">
        <v>12</v>
      </c>
      <c r="H31" s="5" t="s">
        <v>13</v>
      </c>
      <c r="I31" s="5">
        <v>1200</v>
      </c>
      <c r="J31" s="5">
        <v>1200</v>
      </c>
      <c r="K31" s="7">
        <f t="shared" si="0"/>
        <v>4284</v>
      </c>
      <c r="L31">
        <f t="shared" si="1"/>
        <v>0</v>
      </c>
    </row>
    <row r="32" spans="1:12" x14ac:dyDescent="0.25">
      <c r="A32" s="5">
        <v>31</v>
      </c>
      <c r="B32" s="5" t="s">
        <v>14</v>
      </c>
      <c r="C32" s="6">
        <v>350035237211810</v>
      </c>
      <c r="D32" s="5" t="s">
        <v>9</v>
      </c>
      <c r="E32" s="5" t="s">
        <v>18</v>
      </c>
      <c r="F32" s="5" t="s">
        <v>11</v>
      </c>
      <c r="G32" s="5" t="s">
        <v>19</v>
      </c>
      <c r="H32" s="5" t="s">
        <v>13</v>
      </c>
      <c r="I32" s="5">
        <v>850</v>
      </c>
      <c r="J32" s="5">
        <v>850</v>
      </c>
      <c r="K32" s="7">
        <f t="shared" si="0"/>
        <v>3034.5</v>
      </c>
      <c r="L32">
        <f t="shared" si="1"/>
        <v>0</v>
      </c>
    </row>
    <row r="33" spans="1:12" x14ac:dyDescent="0.25">
      <c r="A33" s="5">
        <v>32</v>
      </c>
      <c r="B33" s="5" t="s">
        <v>14</v>
      </c>
      <c r="C33" s="6">
        <v>350552898687138</v>
      </c>
      <c r="D33" s="5" t="s">
        <v>9</v>
      </c>
      <c r="E33" s="5" t="s">
        <v>18</v>
      </c>
      <c r="F33" s="5" t="s">
        <v>11</v>
      </c>
      <c r="G33" s="5" t="s">
        <v>19</v>
      </c>
      <c r="H33" s="5" t="s">
        <v>13</v>
      </c>
      <c r="I33" s="5">
        <v>850</v>
      </c>
      <c r="J33" s="5">
        <v>850</v>
      </c>
      <c r="K33" s="7">
        <f t="shared" si="0"/>
        <v>3034.5</v>
      </c>
      <c r="L33">
        <f t="shared" si="1"/>
        <v>0</v>
      </c>
    </row>
    <row r="34" spans="1:12" x14ac:dyDescent="0.25">
      <c r="A34" s="5">
        <v>33</v>
      </c>
      <c r="B34" s="5" t="s">
        <v>14</v>
      </c>
      <c r="C34" s="6">
        <v>357247253272591</v>
      </c>
      <c r="D34" s="5" t="s">
        <v>9</v>
      </c>
      <c r="E34" s="5" t="s">
        <v>18</v>
      </c>
      <c r="F34" s="5" t="s">
        <v>11</v>
      </c>
      <c r="G34" s="5" t="s">
        <v>17</v>
      </c>
      <c r="H34" s="5" t="s">
        <v>13</v>
      </c>
      <c r="I34" s="5">
        <v>850</v>
      </c>
      <c r="J34" s="5">
        <v>850</v>
      </c>
      <c r="K34" s="7">
        <f t="shared" si="0"/>
        <v>3034.5</v>
      </c>
      <c r="L34">
        <f t="shared" si="1"/>
        <v>0</v>
      </c>
    </row>
    <row r="35" spans="1:12" x14ac:dyDescent="0.25">
      <c r="A35" s="5">
        <v>34</v>
      </c>
      <c r="B35" s="5" t="s">
        <v>14</v>
      </c>
      <c r="C35" s="6">
        <v>357247250352495</v>
      </c>
      <c r="D35" s="5" t="s">
        <v>9</v>
      </c>
      <c r="E35" s="5" t="s">
        <v>10</v>
      </c>
      <c r="F35" s="5" t="s">
        <v>11</v>
      </c>
      <c r="G35" s="5" t="s">
        <v>16</v>
      </c>
      <c r="H35" s="5" t="s">
        <v>13</v>
      </c>
      <c r="I35" s="5">
        <v>920</v>
      </c>
      <c r="J35" s="5">
        <v>920</v>
      </c>
      <c r="K35" s="7">
        <f t="shared" si="0"/>
        <v>3284.3999999999996</v>
      </c>
      <c r="L35">
        <f t="shared" si="1"/>
        <v>0</v>
      </c>
    </row>
    <row r="36" spans="1:12" x14ac:dyDescent="0.25">
      <c r="A36" s="5">
        <v>35</v>
      </c>
      <c r="B36" s="5" t="s">
        <v>14</v>
      </c>
      <c r="C36" s="6">
        <v>353497856334207</v>
      </c>
      <c r="D36" s="5" t="s">
        <v>9</v>
      </c>
      <c r="E36" s="5" t="s">
        <v>18</v>
      </c>
      <c r="F36" s="5" t="s">
        <v>11</v>
      </c>
      <c r="G36" s="5" t="s">
        <v>17</v>
      </c>
      <c r="H36" s="5" t="s">
        <v>20</v>
      </c>
      <c r="I36" s="5">
        <v>850</v>
      </c>
      <c r="J36" s="5">
        <v>850</v>
      </c>
      <c r="K36" s="7">
        <f t="shared" si="0"/>
        <v>3034.5</v>
      </c>
      <c r="L36">
        <f t="shared" si="1"/>
        <v>0</v>
      </c>
    </row>
    <row r="37" spans="1:12" x14ac:dyDescent="0.25">
      <c r="A37" s="5">
        <v>36</v>
      </c>
      <c r="B37" s="5" t="s">
        <v>14</v>
      </c>
      <c r="C37" s="6">
        <v>357329445756028</v>
      </c>
      <c r="D37" s="5" t="s">
        <v>9</v>
      </c>
      <c r="E37" s="5" t="s">
        <v>18</v>
      </c>
      <c r="F37" s="5" t="s">
        <v>11</v>
      </c>
      <c r="G37" s="5" t="s">
        <v>17</v>
      </c>
      <c r="H37" s="5" t="s">
        <v>13</v>
      </c>
      <c r="I37" s="5">
        <v>850</v>
      </c>
      <c r="J37" s="5">
        <v>850</v>
      </c>
      <c r="K37" s="7">
        <f t="shared" si="0"/>
        <v>3034.5</v>
      </c>
      <c r="L37">
        <f t="shared" si="1"/>
        <v>0</v>
      </c>
    </row>
    <row r="38" spans="1:12" x14ac:dyDescent="0.25">
      <c r="A38" s="5">
        <v>37</v>
      </c>
      <c r="B38" s="5" t="s">
        <v>14</v>
      </c>
      <c r="C38" s="6">
        <v>350552892486651</v>
      </c>
      <c r="D38" s="5" t="s">
        <v>9</v>
      </c>
      <c r="E38" s="5" t="s">
        <v>18</v>
      </c>
      <c r="F38" s="5" t="s">
        <v>11</v>
      </c>
      <c r="G38" s="5" t="s">
        <v>17</v>
      </c>
      <c r="H38" s="5" t="s">
        <v>13</v>
      </c>
      <c r="I38" s="5">
        <v>850</v>
      </c>
      <c r="J38" s="5">
        <v>850</v>
      </c>
      <c r="K38" s="7">
        <f t="shared" si="0"/>
        <v>3034.5</v>
      </c>
      <c r="L38">
        <f t="shared" si="1"/>
        <v>0</v>
      </c>
    </row>
    <row r="39" spans="1:12" x14ac:dyDescent="0.25">
      <c r="A39" s="5">
        <v>38</v>
      </c>
      <c r="B39" s="5" t="s">
        <v>14</v>
      </c>
      <c r="C39" s="6">
        <v>350035239452586</v>
      </c>
      <c r="D39" s="5" t="s">
        <v>9</v>
      </c>
      <c r="E39" s="5" t="s">
        <v>10</v>
      </c>
      <c r="F39" s="5" t="s">
        <v>11</v>
      </c>
      <c r="G39" s="5" t="s">
        <v>19</v>
      </c>
      <c r="H39" s="5" t="s">
        <v>13</v>
      </c>
      <c r="I39" s="5">
        <v>920</v>
      </c>
      <c r="J39" s="5">
        <v>920</v>
      </c>
      <c r="K39" s="7">
        <f t="shared" si="0"/>
        <v>3284.3999999999996</v>
      </c>
      <c r="L39">
        <f t="shared" si="1"/>
        <v>0</v>
      </c>
    </row>
    <row r="40" spans="1:12" x14ac:dyDescent="0.25">
      <c r="A40" s="5">
        <v>39</v>
      </c>
      <c r="B40" s="5" t="s">
        <v>8</v>
      </c>
      <c r="C40" s="6">
        <v>350035235795830</v>
      </c>
      <c r="D40" s="5" t="s">
        <v>9</v>
      </c>
      <c r="E40" s="5" t="s">
        <v>15</v>
      </c>
      <c r="F40" s="5" t="s">
        <v>11</v>
      </c>
      <c r="G40" s="5" t="s">
        <v>12</v>
      </c>
      <c r="H40" s="5" t="s">
        <v>13</v>
      </c>
      <c r="I40" s="5">
        <v>1200</v>
      </c>
      <c r="J40" s="5">
        <v>1200</v>
      </c>
      <c r="K40" s="7">
        <f t="shared" si="0"/>
        <v>4284</v>
      </c>
      <c r="L40">
        <f t="shared" si="1"/>
        <v>0</v>
      </c>
    </row>
    <row r="41" spans="1:12" x14ac:dyDescent="0.25">
      <c r="A41" s="5">
        <v>40</v>
      </c>
      <c r="B41" s="5" t="s">
        <v>26</v>
      </c>
      <c r="C41" s="6">
        <v>352355708798048</v>
      </c>
      <c r="D41" s="5" t="s">
        <v>9</v>
      </c>
      <c r="E41" s="5" t="s">
        <v>27</v>
      </c>
      <c r="F41" s="5" t="s">
        <v>11</v>
      </c>
      <c r="G41" s="5" t="s">
        <v>12</v>
      </c>
      <c r="H41" s="5" t="s">
        <v>13</v>
      </c>
      <c r="I41" s="5">
        <v>1070</v>
      </c>
      <c r="J41" s="5">
        <v>1030</v>
      </c>
      <c r="K41" s="7">
        <f t="shared" si="0"/>
        <v>3677.1</v>
      </c>
      <c r="L41">
        <f t="shared" si="1"/>
        <v>-40</v>
      </c>
    </row>
    <row r="42" spans="1:12" x14ac:dyDescent="0.25">
      <c r="A42" s="5">
        <v>41</v>
      </c>
      <c r="B42" s="5" t="s">
        <v>26</v>
      </c>
      <c r="C42" s="6">
        <v>352355701064042</v>
      </c>
      <c r="D42" s="5" t="s">
        <v>9</v>
      </c>
      <c r="E42" s="5" t="s">
        <v>27</v>
      </c>
      <c r="F42" s="5" t="s">
        <v>11</v>
      </c>
      <c r="G42" s="5" t="s">
        <v>12</v>
      </c>
      <c r="H42" s="5" t="s">
        <v>13</v>
      </c>
      <c r="I42" s="5">
        <v>1070</v>
      </c>
      <c r="J42" s="5">
        <v>1030</v>
      </c>
      <c r="K42" s="7">
        <f t="shared" si="0"/>
        <v>3677.1</v>
      </c>
      <c r="L42">
        <f t="shared" si="1"/>
        <v>-40</v>
      </c>
    </row>
    <row r="43" spans="1:12" x14ac:dyDescent="0.25">
      <c r="A43" s="5">
        <v>42</v>
      </c>
      <c r="B43" s="5" t="s">
        <v>26</v>
      </c>
      <c r="C43" s="6">
        <v>352355706086990</v>
      </c>
      <c r="D43" s="5" t="s">
        <v>9</v>
      </c>
      <c r="E43" s="5" t="s">
        <v>10</v>
      </c>
      <c r="F43" s="5" t="s">
        <v>11</v>
      </c>
      <c r="G43" s="5" t="s">
        <v>12</v>
      </c>
      <c r="H43" s="5" t="s">
        <v>13</v>
      </c>
      <c r="I43" s="5">
        <v>1070</v>
      </c>
      <c r="J43" s="5">
        <v>1030</v>
      </c>
      <c r="K43" s="7">
        <f t="shared" si="0"/>
        <v>3677.1</v>
      </c>
      <c r="L43">
        <f t="shared" si="1"/>
        <v>-40</v>
      </c>
    </row>
    <row r="44" spans="1:12" x14ac:dyDescent="0.25">
      <c r="A44" s="5">
        <v>43</v>
      </c>
      <c r="B44" s="5" t="s">
        <v>28</v>
      </c>
      <c r="C44" s="6">
        <v>351682397748443</v>
      </c>
      <c r="D44" s="5" t="s">
        <v>29</v>
      </c>
      <c r="E44" s="5" t="s">
        <v>27</v>
      </c>
      <c r="F44" s="5" t="s">
        <v>11</v>
      </c>
      <c r="G44" s="5" t="s">
        <v>30</v>
      </c>
      <c r="H44" s="5" t="s">
        <v>13</v>
      </c>
      <c r="I44" s="5">
        <v>280</v>
      </c>
      <c r="J44" s="5">
        <v>280</v>
      </c>
      <c r="K44" s="7">
        <f t="shared" si="0"/>
        <v>999.59999999999991</v>
      </c>
      <c r="L44">
        <f t="shared" si="1"/>
        <v>0</v>
      </c>
    </row>
    <row r="45" spans="1:12" x14ac:dyDescent="0.25">
      <c r="A45" s="5">
        <v>44</v>
      </c>
      <c r="B45" s="5" t="s">
        <v>31</v>
      </c>
      <c r="C45" s="6" t="s">
        <v>32</v>
      </c>
      <c r="D45" s="5" t="s">
        <v>33</v>
      </c>
      <c r="E45" s="5" t="s">
        <v>27</v>
      </c>
      <c r="F45" s="5" t="s">
        <v>11</v>
      </c>
      <c r="G45" s="5" t="s">
        <v>34</v>
      </c>
      <c r="H45" s="5" t="s">
        <v>13</v>
      </c>
      <c r="I45" s="5">
        <v>1435</v>
      </c>
      <c r="J45" s="5">
        <v>1435</v>
      </c>
      <c r="K45" s="7">
        <f t="shared" si="0"/>
        <v>5122.95</v>
      </c>
      <c r="L45">
        <f t="shared" si="1"/>
        <v>0</v>
      </c>
    </row>
    <row r="46" spans="1:12" x14ac:dyDescent="0.25">
      <c r="A46" s="5">
        <v>45</v>
      </c>
      <c r="B46" s="5" t="s">
        <v>35</v>
      </c>
      <c r="C46" s="6" t="s">
        <v>36</v>
      </c>
      <c r="D46" s="5" t="s">
        <v>33</v>
      </c>
      <c r="E46" s="5" t="s">
        <v>27</v>
      </c>
      <c r="F46" s="5" t="s">
        <v>11</v>
      </c>
      <c r="G46" s="5" t="s">
        <v>34</v>
      </c>
      <c r="H46" s="5" t="s">
        <v>13</v>
      </c>
      <c r="I46" s="5">
        <v>1750</v>
      </c>
      <c r="J46" s="5">
        <v>1750</v>
      </c>
      <c r="K46" s="7">
        <f t="shared" si="0"/>
        <v>6247.5</v>
      </c>
      <c r="L46">
        <f t="shared" si="1"/>
        <v>0</v>
      </c>
    </row>
    <row r="47" spans="1:12" x14ac:dyDescent="0.25">
      <c r="A47" s="5">
        <v>46</v>
      </c>
      <c r="B47" s="5" t="s">
        <v>37</v>
      </c>
      <c r="C47" s="6" t="s">
        <v>38</v>
      </c>
      <c r="D47" s="5" t="s">
        <v>39</v>
      </c>
      <c r="E47" s="5" t="s">
        <v>40</v>
      </c>
      <c r="F47" s="5" t="s">
        <v>11</v>
      </c>
      <c r="G47" s="5" t="s">
        <v>34</v>
      </c>
      <c r="H47" s="5" t="s">
        <v>13</v>
      </c>
      <c r="I47" s="5">
        <v>1120</v>
      </c>
      <c r="J47" s="5">
        <v>1120</v>
      </c>
      <c r="K47" s="7">
        <f t="shared" si="0"/>
        <v>3998.3999999999996</v>
      </c>
      <c r="L47">
        <f t="shared" si="1"/>
        <v>0</v>
      </c>
    </row>
    <row r="48" spans="1:12" x14ac:dyDescent="0.25">
      <c r="A48" s="5">
        <v>47</v>
      </c>
      <c r="B48" s="5" t="s">
        <v>41</v>
      </c>
      <c r="C48" s="6" t="s">
        <v>42</v>
      </c>
      <c r="D48" s="5" t="s">
        <v>39</v>
      </c>
      <c r="E48" s="5" t="s">
        <v>40</v>
      </c>
      <c r="F48" s="5" t="s">
        <v>11</v>
      </c>
      <c r="G48" s="5" t="s">
        <v>34</v>
      </c>
      <c r="H48" s="5" t="s">
        <v>13</v>
      </c>
      <c r="I48" s="5">
        <v>930</v>
      </c>
      <c r="J48" s="5">
        <v>930</v>
      </c>
      <c r="K48" s="7">
        <f t="shared" si="0"/>
        <v>3320.1</v>
      </c>
      <c r="L48">
        <f t="shared" si="1"/>
        <v>0</v>
      </c>
    </row>
    <row r="49" spans="1:13" x14ac:dyDescent="0.25">
      <c r="A49" s="5">
        <v>48</v>
      </c>
      <c r="B49" s="5" t="s">
        <v>43</v>
      </c>
      <c r="C49" s="6">
        <v>352255851601140</v>
      </c>
      <c r="D49" s="5" t="s">
        <v>29</v>
      </c>
      <c r="E49" s="5" t="s">
        <v>15</v>
      </c>
      <c r="F49" s="5" t="s">
        <v>11</v>
      </c>
      <c r="G49" s="5" t="s">
        <v>12</v>
      </c>
      <c r="H49" s="5" t="s">
        <v>13</v>
      </c>
      <c r="I49" s="5">
        <v>720</v>
      </c>
      <c r="J49" s="5">
        <v>650</v>
      </c>
      <c r="K49" s="7">
        <f t="shared" si="0"/>
        <v>2320.5</v>
      </c>
      <c r="L49">
        <f t="shared" si="1"/>
        <v>-70</v>
      </c>
    </row>
    <row r="50" spans="1:13" x14ac:dyDescent="0.25">
      <c r="A50" s="5">
        <v>49</v>
      </c>
      <c r="B50" s="5" t="s">
        <v>44</v>
      </c>
      <c r="C50" s="6" t="s">
        <v>45</v>
      </c>
      <c r="D50" s="5" t="s">
        <v>23</v>
      </c>
      <c r="E50" s="5" t="s">
        <v>46</v>
      </c>
      <c r="F50" s="5" t="s">
        <v>11</v>
      </c>
      <c r="G50" s="5" t="s">
        <v>34</v>
      </c>
      <c r="H50" s="5" t="s">
        <v>13</v>
      </c>
      <c r="I50" s="5">
        <v>200</v>
      </c>
      <c r="J50" s="5">
        <v>200</v>
      </c>
      <c r="K50" s="7">
        <f t="shared" si="0"/>
        <v>714</v>
      </c>
      <c r="L50">
        <f t="shared" si="1"/>
        <v>0</v>
      </c>
    </row>
    <row r="51" spans="1:13" x14ac:dyDescent="0.25">
      <c r="A51" s="5">
        <v>50</v>
      </c>
      <c r="B51" s="5" t="s">
        <v>44</v>
      </c>
      <c r="C51" s="6" t="s">
        <v>47</v>
      </c>
      <c r="D51" s="5" t="s">
        <v>23</v>
      </c>
      <c r="E51" s="5" t="s">
        <v>46</v>
      </c>
      <c r="F51" s="5" t="s">
        <v>11</v>
      </c>
      <c r="G51" s="5" t="s">
        <v>34</v>
      </c>
      <c r="H51" s="5" t="s">
        <v>13</v>
      </c>
      <c r="I51" s="5">
        <v>200</v>
      </c>
      <c r="J51" s="5">
        <v>200</v>
      </c>
      <c r="K51" s="7">
        <f t="shared" si="0"/>
        <v>714</v>
      </c>
      <c r="L51">
        <f t="shared" si="1"/>
        <v>0</v>
      </c>
    </row>
    <row r="52" spans="1:13" x14ac:dyDescent="0.25">
      <c r="A52" s="5">
        <v>51</v>
      </c>
      <c r="B52" s="5" t="s">
        <v>44</v>
      </c>
      <c r="C52" s="6" t="s">
        <v>48</v>
      </c>
      <c r="D52" s="5" t="s">
        <v>23</v>
      </c>
      <c r="E52" s="5" t="s">
        <v>46</v>
      </c>
      <c r="F52" s="5" t="s">
        <v>11</v>
      </c>
      <c r="G52" s="5" t="s">
        <v>34</v>
      </c>
      <c r="H52" s="5" t="s">
        <v>13</v>
      </c>
      <c r="I52" s="5">
        <v>200</v>
      </c>
      <c r="J52" s="5">
        <v>200</v>
      </c>
      <c r="K52" s="7">
        <f t="shared" si="0"/>
        <v>714</v>
      </c>
      <c r="L52">
        <f t="shared" si="1"/>
        <v>0</v>
      </c>
    </row>
    <row r="53" spans="1:13" x14ac:dyDescent="0.25">
      <c r="A53" s="5">
        <v>52</v>
      </c>
      <c r="B53" s="5" t="s">
        <v>49</v>
      </c>
      <c r="C53" s="6" t="s">
        <v>50</v>
      </c>
      <c r="D53" s="5" t="s">
        <v>23</v>
      </c>
      <c r="E53" s="5" t="s">
        <v>23</v>
      </c>
      <c r="F53" s="5" t="s">
        <v>11</v>
      </c>
      <c r="G53" s="5" t="s">
        <v>34</v>
      </c>
      <c r="H53" s="5" t="s">
        <v>13</v>
      </c>
      <c r="I53" s="5">
        <v>320</v>
      </c>
      <c r="J53" s="5">
        <v>285</v>
      </c>
      <c r="K53" s="7">
        <f t="shared" si="0"/>
        <v>1017.4499999999999</v>
      </c>
      <c r="L53">
        <f t="shared" si="1"/>
        <v>-35</v>
      </c>
    </row>
    <row r="54" spans="1:13" x14ac:dyDescent="0.25">
      <c r="A54" s="5">
        <v>53</v>
      </c>
      <c r="B54" s="5" t="s">
        <v>51</v>
      </c>
      <c r="C54" s="6" t="s">
        <v>52</v>
      </c>
      <c r="D54" s="5" t="s">
        <v>23</v>
      </c>
      <c r="E54" s="5" t="s">
        <v>53</v>
      </c>
      <c r="F54" s="5" t="s">
        <v>11</v>
      </c>
      <c r="G54" s="5" t="s">
        <v>34</v>
      </c>
      <c r="H54" s="5" t="s">
        <v>13</v>
      </c>
      <c r="I54" s="5">
        <v>320</v>
      </c>
      <c r="J54" s="5">
        <v>315</v>
      </c>
      <c r="K54" s="7">
        <f t="shared" si="0"/>
        <v>1124.55</v>
      </c>
      <c r="L54">
        <f t="shared" si="1"/>
        <v>-5</v>
      </c>
    </row>
    <row r="55" spans="1:13" x14ac:dyDescent="0.25">
      <c r="A55" s="5">
        <v>54</v>
      </c>
      <c r="B55" s="5" t="s">
        <v>51</v>
      </c>
      <c r="C55" s="6" t="s">
        <v>54</v>
      </c>
      <c r="D55" s="5" t="s">
        <v>23</v>
      </c>
      <c r="E55" s="5" t="s">
        <v>53</v>
      </c>
      <c r="F55" s="5" t="s">
        <v>11</v>
      </c>
      <c r="G55" s="5" t="s">
        <v>34</v>
      </c>
      <c r="H55" s="5" t="s">
        <v>13</v>
      </c>
      <c r="I55" s="5">
        <v>320</v>
      </c>
      <c r="J55" s="5">
        <v>315</v>
      </c>
      <c r="K55" s="7">
        <f t="shared" si="0"/>
        <v>1124.55</v>
      </c>
      <c r="L55">
        <f t="shared" si="1"/>
        <v>-5</v>
      </c>
    </row>
    <row r="56" spans="1:13" x14ac:dyDescent="0.25">
      <c r="A56" s="5">
        <v>55</v>
      </c>
      <c r="B56" s="5" t="s">
        <v>55</v>
      </c>
      <c r="C56" s="6">
        <v>358112933315757</v>
      </c>
      <c r="D56" s="5" t="s">
        <v>9</v>
      </c>
      <c r="E56" s="5" t="s">
        <v>27</v>
      </c>
      <c r="F56" s="5" t="s">
        <v>11</v>
      </c>
      <c r="G56" s="5" t="s">
        <v>12</v>
      </c>
      <c r="H56" s="5" t="s">
        <v>13</v>
      </c>
      <c r="I56" s="5">
        <v>940</v>
      </c>
      <c r="J56" s="5">
        <v>820</v>
      </c>
      <c r="K56" s="7">
        <f t="shared" si="0"/>
        <v>2927.4</v>
      </c>
      <c r="L56">
        <f t="shared" si="1"/>
        <v>-120</v>
      </c>
    </row>
    <row r="57" spans="1:13" x14ac:dyDescent="0.25">
      <c r="A57" s="5">
        <v>56</v>
      </c>
      <c r="B57" s="5" t="s">
        <v>28</v>
      </c>
      <c r="C57" s="6">
        <v>351682397269283</v>
      </c>
      <c r="D57" s="5" t="s">
        <v>29</v>
      </c>
      <c r="E57" s="5" t="s">
        <v>27</v>
      </c>
      <c r="F57" s="5" t="s">
        <v>11</v>
      </c>
      <c r="G57" s="5" t="s">
        <v>30</v>
      </c>
      <c r="H57" s="5" t="s">
        <v>13</v>
      </c>
      <c r="I57" s="5">
        <v>280</v>
      </c>
      <c r="J57" s="5">
        <v>280</v>
      </c>
      <c r="K57" s="7">
        <f t="shared" si="0"/>
        <v>999.59999999999991</v>
      </c>
      <c r="L57">
        <f t="shared" si="1"/>
        <v>0</v>
      </c>
    </row>
    <row r="58" spans="1:13" x14ac:dyDescent="0.25">
      <c r="A58" s="5">
        <v>57</v>
      </c>
      <c r="B58" s="5" t="s">
        <v>56</v>
      </c>
      <c r="C58" s="6">
        <v>350661235620635</v>
      </c>
      <c r="D58" s="5" t="s">
        <v>9</v>
      </c>
      <c r="E58" s="5" t="s">
        <v>57</v>
      </c>
      <c r="F58" s="5" t="s">
        <v>11</v>
      </c>
      <c r="G58" s="5" t="s">
        <v>19</v>
      </c>
      <c r="H58" s="5" t="s">
        <v>20</v>
      </c>
      <c r="I58" s="5">
        <v>500</v>
      </c>
      <c r="J58" s="5">
        <v>500</v>
      </c>
      <c r="K58" s="7">
        <f t="shared" si="0"/>
        <v>1785</v>
      </c>
      <c r="L58">
        <f t="shared" si="1"/>
        <v>0</v>
      </c>
    </row>
    <row r="59" spans="1:13" x14ac:dyDescent="0.25">
      <c r="A59" s="5">
        <v>58</v>
      </c>
      <c r="B59" s="5" t="s">
        <v>56</v>
      </c>
      <c r="C59" s="6">
        <v>353502587632348</v>
      </c>
      <c r="D59" s="5" t="s">
        <v>9</v>
      </c>
      <c r="E59" s="5" t="s">
        <v>15</v>
      </c>
      <c r="F59" s="5" t="s">
        <v>11</v>
      </c>
      <c r="G59" s="5" t="s">
        <v>19</v>
      </c>
      <c r="H59" s="5" t="s">
        <v>13</v>
      </c>
      <c r="I59" s="5">
        <v>500</v>
      </c>
      <c r="J59" s="5">
        <v>500</v>
      </c>
      <c r="K59" s="7">
        <f t="shared" si="0"/>
        <v>1785</v>
      </c>
      <c r="L59">
        <f t="shared" si="1"/>
        <v>0</v>
      </c>
    </row>
    <row r="60" spans="1:13" x14ac:dyDescent="0.25">
      <c r="A60" s="5">
        <v>59</v>
      </c>
      <c r="B60" s="5" t="s">
        <v>58</v>
      </c>
      <c r="C60" s="6">
        <v>355832519971417</v>
      </c>
      <c r="D60" s="5" t="s">
        <v>9</v>
      </c>
      <c r="E60" s="5" t="s">
        <v>10</v>
      </c>
      <c r="F60" s="5" t="s">
        <v>11</v>
      </c>
      <c r="G60" s="5" t="s">
        <v>19</v>
      </c>
      <c r="H60" s="5" t="s">
        <v>20</v>
      </c>
      <c r="I60" s="5">
        <v>800</v>
      </c>
      <c r="J60" s="5">
        <v>750</v>
      </c>
      <c r="K60" s="7">
        <f t="shared" si="0"/>
        <v>2677.5</v>
      </c>
      <c r="L60">
        <f t="shared" si="1"/>
        <v>-50</v>
      </c>
      <c r="M60" t="s">
        <v>64</v>
      </c>
    </row>
    <row r="61" spans="1:13" x14ac:dyDescent="0.25">
      <c r="A61" s="5">
        <v>60</v>
      </c>
      <c r="B61" s="5" t="s">
        <v>59</v>
      </c>
      <c r="C61" s="6">
        <v>355832516608475</v>
      </c>
      <c r="D61" s="5" t="s">
        <v>33</v>
      </c>
      <c r="E61" s="5" t="s">
        <v>15</v>
      </c>
      <c r="F61" s="5" t="s">
        <v>11</v>
      </c>
      <c r="G61" s="5" t="s">
        <v>12</v>
      </c>
      <c r="H61" s="5" t="s">
        <v>13</v>
      </c>
      <c r="I61" s="5">
        <v>1370</v>
      </c>
      <c r="J61" s="5">
        <v>1370</v>
      </c>
      <c r="K61" s="7">
        <f t="shared" si="0"/>
        <v>4890.8999999999996</v>
      </c>
      <c r="L61">
        <f t="shared" si="1"/>
        <v>0</v>
      </c>
    </row>
    <row r="62" spans="1:13" x14ac:dyDescent="0.25">
      <c r="A62" s="5">
        <v>61</v>
      </c>
      <c r="B62" s="5" t="s">
        <v>14</v>
      </c>
      <c r="C62" s="6">
        <v>359814715589090</v>
      </c>
      <c r="D62" s="5" t="s">
        <v>9</v>
      </c>
      <c r="E62" s="5" t="s">
        <v>18</v>
      </c>
      <c r="F62" s="5" t="s">
        <v>11</v>
      </c>
      <c r="G62" s="5" t="s">
        <v>19</v>
      </c>
      <c r="H62" s="5" t="s">
        <v>13</v>
      </c>
      <c r="I62" s="5">
        <v>850</v>
      </c>
      <c r="J62" s="5">
        <v>850</v>
      </c>
      <c r="K62" s="7">
        <f t="shared" si="0"/>
        <v>3034.5</v>
      </c>
      <c r="L62">
        <f t="shared" si="1"/>
        <v>0</v>
      </c>
    </row>
    <row r="63" spans="1:13" x14ac:dyDescent="0.25">
      <c r="A63" s="5">
        <v>62</v>
      </c>
      <c r="B63" s="5" t="s">
        <v>58</v>
      </c>
      <c r="C63" s="6">
        <v>355079367074833</v>
      </c>
      <c r="D63" s="5" t="s">
        <v>9</v>
      </c>
      <c r="E63" s="5" t="s">
        <v>18</v>
      </c>
      <c r="F63" s="5" t="s">
        <v>11</v>
      </c>
      <c r="G63" s="5" t="s">
        <v>19</v>
      </c>
      <c r="H63" s="5" t="s">
        <v>13</v>
      </c>
      <c r="I63" s="5">
        <v>780</v>
      </c>
      <c r="J63" s="5">
        <v>750</v>
      </c>
      <c r="K63" s="7">
        <f t="shared" si="0"/>
        <v>2677.5</v>
      </c>
      <c r="L63">
        <f t="shared" si="1"/>
        <v>-30</v>
      </c>
    </row>
    <row r="64" spans="1:13" x14ac:dyDescent="0.25">
      <c r="A64" s="5">
        <v>63</v>
      </c>
      <c r="B64" s="5" t="s">
        <v>14</v>
      </c>
      <c r="C64" s="6">
        <v>350035239482591</v>
      </c>
      <c r="D64" s="5" t="s">
        <v>9</v>
      </c>
      <c r="E64" s="5" t="s">
        <v>18</v>
      </c>
      <c r="F64" s="5" t="s">
        <v>11</v>
      </c>
      <c r="G64" s="5" t="s">
        <v>17</v>
      </c>
      <c r="H64" s="5" t="s">
        <v>20</v>
      </c>
      <c r="I64" s="5">
        <v>850</v>
      </c>
      <c r="J64" s="5">
        <v>850</v>
      </c>
      <c r="K64" s="7">
        <f t="shared" si="0"/>
        <v>3034.5</v>
      </c>
      <c r="L64">
        <f t="shared" si="1"/>
        <v>0</v>
      </c>
    </row>
    <row r="65" spans="1:12" x14ac:dyDescent="0.25">
      <c r="A65" s="5">
        <v>64</v>
      </c>
      <c r="B65" s="5" t="s">
        <v>14</v>
      </c>
      <c r="C65" s="6">
        <v>350035239175179</v>
      </c>
      <c r="D65" s="5" t="s">
        <v>9</v>
      </c>
      <c r="E65" s="5" t="s">
        <v>18</v>
      </c>
      <c r="F65" s="5" t="s">
        <v>11</v>
      </c>
      <c r="G65" s="5" t="s">
        <v>25</v>
      </c>
      <c r="H65" s="5" t="s">
        <v>13</v>
      </c>
      <c r="I65" s="5">
        <v>850</v>
      </c>
      <c r="J65" s="5">
        <v>850</v>
      </c>
      <c r="K65" s="7">
        <f t="shared" si="0"/>
        <v>3034.5</v>
      </c>
      <c r="L65">
        <f t="shared" si="1"/>
        <v>0</v>
      </c>
    </row>
    <row r="66" spans="1:12" x14ac:dyDescent="0.25">
      <c r="A66" s="5">
        <v>65</v>
      </c>
      <c r="B66" s="5" t="s">
        <v>14</v>
      </c>
      <c r="C66" s="6">
        <v>350035239005848</v>
      </c>
      <c r="D66" s="5" t="s">
        <v>9</v>
      </c>
      <c r="E66" s="5" t="s">
        <v>10</v>
      </c>
      <c r="F66" s="5" t="s">
        <v>11</v>
      </c>
      <c r="G66" s="5" t="s">
        <v>19</v>
      </c>
      <c r="H66" s="5" t="s">
        <v>13</v>
      </c>
      <c r="I66" s="5">
        <v>920</v>
      </c>
      <c r="J66" s="5">
        <v>920</v>
      </c>
      <c r="K66" s="7">
        <f t="shared" si="0"/>
        <v>3284.3999999999996</v>
      </c>
      <c r="L66">
        <f t="shared" si="1"/>
        <v>0</v>
      </c>
    </row>
    <row r="67" spans="1:12" ht="18.75" x14ac:dyDescent="0.25">
      <c r="I67" s="3">
        <f>SUM(I2:I66)</f>
        <v>54795</v>
      </c>
      <c r="J67" s="3">
        <f>SUM(J2:J66)</f>
        <v>54280</v>
      </c>
      <c r="K67" s="4">
        <f>SUM(K2:K66)</f>
        <v>193779.59999999998</v>
      </c>
    </row>
    <row r="68" spans="1:12" ht="18.75" x14ac:dyDescent="0.25">
      <c r="H68" s="3" t="s">
        <v>63</v>
      </c>
      <c r="I68" s="3">
        <v>515</v>
      </c>
    </row>
    <row r="69" spans="1:12" ht="18.75" x14ac:dyDescent="0.25">
      <c r="I69" s="3">
        <f>I67-I68</f>
        <v>54280</v>
      </c>
    </row>
  </sheetData>
  <autoFilter ref="B1:L69" xr:uid="{E9655BAC-876C-4B7E-A501-CAB792BDF16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2026-04-30T12:40:12Z</dcterms:created>
  <dcterms:modified xsi:type="dcterms:W3CDTF">2026-05-09T15:25:15Z</dcterms:modified>
</cp:coreProperties>
</file>