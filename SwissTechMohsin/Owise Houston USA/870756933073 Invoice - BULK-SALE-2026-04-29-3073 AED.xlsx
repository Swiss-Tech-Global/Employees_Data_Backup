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40" documentId="13_ncr:1_{843CBDBC-CAEB-466B-A405-96C938A0BA3A}" xr6:coauthVersionLast="47" xr6:coauthVersionMax="47" xr10:uidLastSave="{BCB88807-89CC-4C3D-9E51-FD69CABB3267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5" i="1"/>
  <c r="F66" i="1"/>
  <c r="F67" i="1"/>
  <c r="F3" i="1"/>
  <c r="E68" i="1" l="1"/>
  <c r="E70" i="1" l="1"/>
  <c r="F68" i="1"/>
</calcChain>
</file>

<file path=xl/sharedStrings.xml><?xml version="1.0" encoding="utf-8"?>
<sst xmlns="http://schemas.openxmlformats.org/spreadsheetml/2006/main" count="109" uniqueCount="48">
  <si>
    <t>Sr No</t>
  </si>
  <si>
    <t>iPhone 17 Pro Max Cosmic Orange 256 GB</t>
  </si>
  <si>
    <t>Unlock</t>
  </si>
  <si>
    <t>Active</t>
  </si>
  <si>
    <t>iPhone 17 Pro Max Deep Blue 256 GB</t>
  </si>
  <si>
    <t>iPhone 17 Pro Max Silver 256 GB</t>
  </si>
  <si>
    <t>iPhone 17 Pro Cosmic Orange 256 GB</t>
  </si>
  <si>
    <t>iPhone 17 Pro Deep Blue 256 GB</t>
  </si>
  <si>
    <t>iPhone 17 Pro Deep Blue 1 TB</t>
  </si>
  <si>
    <t>iPhone 17 Lavender 256 GB</t>
  </si>
  <si>
    <t>iPhone 17 Mist Blue 256 GB</t>
  </si>
  <si>
    <t>iPhone 15 Black 128 GB</t>
  </si>
  <si>
    <t>T-Mobile</t>
  </si>
  <si>
    <t>iPad Pro M5 13" (W+C) Space Black 256 GB</t>
  </si>
  <si>
    <t>iPad Pro M5 13" (W+C) Silver 256 GB</t>
  </si>
  <si>
    <t>iPad Pro M5 13" (W) Space Black 1 TB</t>
  </si>
  <si>
    <t>SH4MHGXYC2C</t>
  </si>
  <si>
    <t>iPad Pro M5 11" (W+C) Space Black 256 GB</t>
  </si>
  <si>
    <t>Lock</t>
  </si>
  <si>
    <t>iPad Air M4 13" (W+C) Blue 128 GB</t>
  </si>
  <si>
    <t>MacBook Pro M5 14" MJ3D4 Space Black 32 GB, 1 TB</t>
  </si>
  <si>
    <t>SGW639YNXHR</t>
  </si>
  <si>
    <t>MacBook Air M5 15" MDVH4 Midnight 16 GB, 512 GB</t>
  </si>
  <si>
    <t>SJVDF66L9KG</t>
  </si>
  <si>
    <t>Macbook Air M5 13'' MDHE4 Midnight 16 GB, 512 GB</t>
  </si>
  <si>
    <t>SM9PH20PJCD</t>
  </si>
  <si>
    <t>iWatch Series 11 Jetblack 42mm</t>
  </si>
  <si>
    <t>SDW6MXLVFTX</t>
  </si>
  <si>
    <t>iWatch Series 11 Space Gray 46mm</t>
  </si>
  <si>
    <t>iWatch SE 3 Starlight 40mm</t>
  </si>
  <si>
    <t>AirPods Pro 3</t>
  </si>
  <si>
    <t>SKPWMNFJW27</t>
  </si>
  <si>
    <t>Comments</t>
  </si>
  <si>
    <t>USD Prices</t>
  </si>
  <si>
    <t>AED Prices</t>
  </si>
  <si>
    <t>Date</t>
  </si>
  <si>
    <t>Party Name</t>
  </si>
  <si>
    <t>870756933073 Owais HT</t>
  </si>
  <si>
    <t>SC932J3C0YQ</t>
  </si>
  <si>
    <t>SMX6RPQQ4CJ</t>
  </si>
  <si>
    <t>SDDQ29R3XTV</t>
  </si>
  <si>
    <t>SJ7CYTGVCQ6</t>
  </si>
  <si>
    <t>Invoice me Unlock he</t>
  </si>
  <si>
    <t>Invoice me Non Actice he</t>
  </si>
  <si>
    <t>Invoice me Non Active he</t>
  </si>
  <si>
    <t>Discount</t>
  </si>
  <si>
    <t>Invoice Comments</t>
  </si>
  <si>
    <t>Invoice me Silver aya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</si>
</sst>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d\-yyyy;@"/>
    <numFmt numFmtId="165" formatCode="_-[$USD]\ * #,##0.00_-;\-[$USD]\ * #,##0.00_-;_-[$USD]\ * &quot;-&quot;??_-;_-@_-"/>
    <numFmt numFmtId="166" formatCode="_-[$AED]\ * #,##0.00_-;\-[$AED]\ * #,##0.00_-;_-[$AED]\ * &quot;-&quot;??_-;_-@_-"/>
  </numFmts>
  <fonts count="9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b/>
      <sz val="10"/>
      <name val="Arial MT"/>
    </font>
    <font>
      <b/>
      <sz val="10"/>
      <color rgb="FF000000"/>
      <name val="Arial MT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2563EB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6" fillId="4" borderId="3" xfId="0" applyNumberFormat="1" applyFont="1" applyFill="1" applyBorder="1" applyAlignment="1">
      <alignment horizontal="center" vertical="center"/>
    </xf>
    <xf numFmtId="166" fontId="6" fillId="4" borderId="3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left" vertical="top"/>
    </xf>
    <xf numFmtId="0" fontId="3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17" workbookViewId="0">
      <selection activeCell="E22" sqref="E22"/>
    </sheetView>
  </sheetViews>
  <sheetFormatPr defaultRowHeight="12.75"/>
  <cols>
    <col min="1" max="1" width="6.6640625" bestFit="1" customWidth="1"/>
    <col min="2" max="2" width="83" customWidth="1"/>
    <col min="3" max="3" width="34.6640625" customWidth="1"/>
    <col min="4" max="4" width="25.83203125" customWidth="1"/>
    <col min="5" max="5" width="24.5" customWidth="1"/>
    <col min="6" max="6" width="26.6640625" customWidth="1"/>
    <col min="7" max="7" width="33.6640625" customWidth="1"/>
  </cols>
  <sheetData>
    <row r="1" spans="1:7">
      <c r="A1" s="1"/>
      <c r="B1" s="1" t="s">
        <v>35</v>
      </c>
      <c r="C1" s="2">
        <v>46140</v>
      </c>
      <c r="D1" s="3"/>
      <c r="E1" s="3"/>
      <c r="F1" s="3"/>
      <c r="G1" s="3"/>
    </row>
    <row r="2" spans="1:7" ht="25.5">
      <c r="A2" s="1" t="s">
        <v>0</v>
      </c>
      <c r="B2" s="1" t="s">
        <v>36</v>
      </c>
      <c r="C2" s="4" t="s">
        <v>37</v>
      </c>
      <c r="D2" s="3" t="s">
        <v>32</v>
      </c>
      <c r="E2" s="3" t="s">
        <v>33</v>
      </c>
      <c r="F2" s="3" t="s">
        <v>34</v>
      </c>
      <c r="G2" s="3" t="s">
        <v>46</v>
      </c>
    </row>
    <row r="3" spans="1:7">
      <c r="A3" s="7">
        <v>1</v>
      </c>
      <c r="B3" s="8" t="s">
        <v>1</v>
      </c>
      <c r="C3" s="7">
        <v>359814718709844</v>
      </c>
      <c r="D3" s="9"/>
      <c r="E3" s="10">
        <v>850</v>
      </c>
      <c r="F3" s="11">
        <f>E3*3.57</f>
        <v>3034.5</v>
      </c>
      <c r="G3" s="12"/>
    </row>
    <row r="4" spans="1:7">
      <c r="A4" s="7">
        <v>2</v>
      </c>
      <c r="B4" s="8" t="s">
        <v>1</v>
      </c>
      <c r="C4" s="7">
        <v>359814715589090</v>
      </c>
      <c r="D4" s="9"/>
      <c r="E4" s="10">
        <v>850</v>
      </c>
      <c r="F4" s="11">
        <f t="shared" ref="F4:F67" si="0">E4*3.57</f>
        <v>3034.5</v>
      </c>
      <c r="G4" s="12"/>
    </row>
    <row r="5" spans="1:7">
      <c r="A5" s="7">
        <v>3</v>
      </c>
      <c r="B5" s="8" t="s">
        <v>1</v>
      </c>
      <c r="C5" s="7">
        <v>351668140503961</v>
      </c>
      <c r="D5" s="13" t="s">
        <v>2</v>
      </c>
      <c r="E5" s="10">
        <v>1200</v>
      </c>
      <c r="F5" s="11">
        <f t="shared" si="0"/>
        <v>4284</v>
      </c>
      <c r="G5" s="12"/>
    </row>
    <row r="6" spans="1:7">
      <c r="A6" s="7">
        <v>4</v>
      </c>
      <c r="B6" s="8" t="s">
        <v>1</v>
      </c>
      <c r="C6" s="7">
        <v>350552898687138</v>
      </c>
      <c r="D6" s="9"/>
      <c r="E6" s="10">
        <v>850</v>
      </c>
      <c r="F6" s="11">
        <f t="shared" si="0"/>
        <v>3034.5</v>
      </c>
      <c r="G6" s="12"/>
    </row>
    <row r="7" spans="1:7">
      <c r="A7" s="7">
        <v>5</v>
      </c>
      <c r="B7" s="8" t="s">
        <v>1</v>
      </c>
      <c r="C7" s="7">
        <v>350035237211810</v>
      </c>
      <c r="D7" s="9"/>
      <c r="E7" s="10">
        <v>850</v>
      </c>
      <c r="F7" s="11">
        <f t="shared" si="0"/>
        <v>3034.5</v>
      </c>
      <c r="G7" s="12"/>
    </row>
    <row r="8" spans="1:7">
      <c r="A8" s="7">
        <v>6</v>
      </c>
      <c r="B8" s="8" t="s">
        <v>1</v>
      </c>
      <c r="C8" s="7">
        <v>358434709056823</v>
      </c>
      <c r="D8" s="9"/>
      <c r="E8" s="10">
        <v>850</v>
      </c>
      <c r="F8" s="11">
        <f t="shared" si="0"/>
        <v>3034.5</v>
      </c>
      <c r="G8" s="12"/>
    </row>
    <row r="9" spans="1:7">
      <c r="A9" s="7">
        <v>7</v>
      </c>
      <c r="B9" s="8" t="s">
        <v>1</v>
      </c>
      <c r="C9" s="7">
        <v>350035239482591</v>
      </c>
      <c r="D9" s="13" t="s">
        <v>3</v>
      </c>
      <c r="E9" s="10">
        <v>850</v>
      </c>
      <c r="F9" s="11">
        <f t="shared" si="0"/>
        <v>3034.5</v>
      </c>
      <c r="G9" s="12"/>
    </row>
    <row r="10" spans="1:7">
      <c r="A10" s="7">
        <v>8</v>
      </c>
      <c r="B10" s="8" t="s">
        <v>1</v>
      </c>
      <c r="C10" s="7">
        <v>350035237175346</v>
      </c>
      <c r="D10" s="9"/>
      <c r="E10" s="10">
        <v>850</v>
      </c>
      <c r="F10" s="11">
        <f t="shared" si="0"/>
        <v>3034.5</v>
      </c>
      <c r="G10" s="12"/>
    </row>
    <row r="11" spans="1:7">
      <c r="A11" s="7">
        <v>9</v>
      </c>
      <c r="B11" s="8" t="s">
        <v>1</v>
      </c>
      <c r="C11" s="7">
        <v>350035239175179</v>
      </c>
      <c r="D11" s="9"/>
      <c r="E11" s="10">
        <v>850</v>
      </c>
      <c r="F11" s="11">
        <f t="shared" si="0"/>
        <v>3034.5</v>
      </c>
      <c r="G11" s="12"/>
    </row>
    <row r="12" spans="1:7">
      <c r="A12" s="7">
        <v>10</v>
      </c>
      <c r="B12" s="8" t="s">
        <v>1</v>
      </c>
      <c r="C12" s="7">
        <v>358434704706281</v>
      </c>
      <c r="D12" s="9"/>
      <c r="E12" s="10">
        <v>850</v>
      </c>
      <c r="F12" s="11">
        <f t="shared" si="0"/>
        <v>3034.5</v>
      </c>
      <c r="G12" s="12"/>
    </row>
    <row r="13" spans="1:7">
      <c r="A13" s="7">
        <v>11</v>
      </c>
      <c r="B13" s="8" t="s">
        <v>1</v>
      </c>
      <c r="C13" s="7">
        <v>357329445756028</v>
      </c>
      <c r="D13" s="9"/>
      <c r="E13" s="10">
        <v>850</v>
      </c>
      <c r="F13" s="11">
        <f t="shared" si="0"/>
        <v>3034.5</v>
      </c>
      <c r="G13" s="12"/>
    </row>
    <row r="14" spans="1:7" ht="15">
      <c r="A14" s="7">
        <v>12</v>
      </c>
      <c r="B14" s="8" t="s">
        <v>1</v>
      </c>
      <c r="C14" s="7">
        <v>357329447094428</v>
      </c>
      <c r="D14" s="13" t="s">
        <v>3</v>
      </c>
      <c r="E14" s="10">
        <v>850</v>
      </c>
      <c r="F14" s="11">
        <f t="shared" si="0"/>
        <v>3034.5</v>
      </c>
      <c r="G14" s="14" t="s">
        <v>43</v>
      </c>
    </row>
    <row r="15" spans="1:7">
      <c r="A15" s="7">
        <v>13</v>
      </c>
      <c r="B15" s="8" t="s">
        <v>1</v>
      </c>
      <c r="C15" s="7">
        <v>358434709351851</v>
      </c>
      <c r="D15" s="9"/>
      <c r="E15" s="10">
        <v>850</v>
      </c>
      <c r="F15" s="11">
        <f t="shared" si="0"/>
        <v>3034.5</v>
      </c>
      <c r="G15" s="12"/>
    </row>
    <row r="16" spans="1:7">
      <c r="A16" s="7">
        <v>14</v>
      </c>
      <c r="B16" s="8" t="s">
        <v>1</v>
      </c>
      <c r="C16" s="7">
        <v>350035239495486</v>
      </c>
      <c r="D16" s="13" t="s">
        <v>3</v>
      </c>
      <c r="E16" s="10">
        <v>850</v>
      </c>
      <c r="F16" s="11">
        <f t="shared" si="0"/>
        <v>3034.5</v>
      </c>
      <c r="G16" s="12"/>
    </row>
    <row r="17" spans="1:7">
      <c r="A17" s="7">
        <v>15</v>
      </c>
      <c r="B17" s="8" t="s">
        <v>1</v>
      </c>
      <c r="C17" s="7">
        <v>350035238132544</v>
      </c>
      <c r="D17" s="9"/>
      <c r="E17" s="10">
        <v>850</v>
      </c>
      <c r="F17" s="11">
        <f t="shared" si="0"/>
        <v>3034.5</v>
      </c>
      <c r="G17" s="12"/>
    </row>
    <row r="18" spans="1:7">
      <c r="A18" s="7">
        <v>16</v>
      </c>
      <c r="B18" s="8" t="s">
        <v>1</v>
      </c>
      <c r="C18" s="7">
        <v>350552898717703</v>
      </c>
      <c r="D18" s="9"/>
      <c r="E18" s="10">
        <v>850</v>
      </c>
      <c r="F18" s="11">
        <f t="shared" si="0"/>
        <v>3034.5</v>
      </c>
      <c r="G18" s="12"/>
    </row>
    <row r="19" spans="1:7">
      <c r="A19" s="7">
        <v>17</v>
      </c>
      <c r="B19" s="8" t="s">
        <v>1</v>
      </c>
      <c r="C19" s="7">
        <v>358206138447512</v>
      </c>
      <c r="D19" s="9"/>
      <c r="E19" s="10">
        <v>850</v>
      </c>
      <c r="F19" s="11">
        <f t="shared" si="0"/>
        <v>3034.5</v>
      </c>
      <c r="G19" s="12"/>
    </row>
    <row r="20" spans="1:7">
      <c r="A20" s="7">
        <v>18</v>
      </c>
      <c r="B20" s="8" t="s">
        <v>1</v>
      </c>
      <c r="C20" s="7">
        <v>357329447192883</v>
      </c>
      <c r="D20" s="9"/>
      <c r="E20" s="10">
        <v>850</v>
      </c>
      <c r="F20" s="11">
        <f t="shared" si="0"/>
        <v>3034.5</v>
      </c>
      <c r="G20" s="12"/>
    </row>
    <row r="21" spans="1:7">
      <c r="A21" s="7">
        <v>19</v>
      </c>
      <c r="B21" s="8" t="s">
        <v>1</v>
      </c>
      <c r="C21" s="7">
        <v>350035237214657</v>
      </c>
      <c r="D21" s="9"/>
      <c r="E21" s="10">
        <v>850</v>
      </c>
      <c r="F21" s="11">
        <f t="shared" si="0"/>
        <v>3034.5</v>
      </c>
      <c r="G21" s="12"/>
    </row>
    <row r="22" spans="1:7">
      <c r="A22" s="7">
        <v>20</v>
      </c>
      <c r="B22" s="8" t="s">
        <v>1</v>
      </c>
      <c r="C22" s="7">
        <v>350552892486651</v>
      </c>
      <c r="D22" s="9"/>
      <c r="E22" s="10">
        <v>850</v>
      </c>
      <c r="F22" s="11">
        <f t="shared" si="0"/>
        <v>3034.5</v>
      </c>
      <c r="G22" s="12"/>
    </row>
    <row r="23" spans="1:7">
      <c r="A23" s="7">
        <v>21</v>
      </c>
      <c r="B23" s="8" t="s">
        <v>1</v>
      </c>
      <c r="C23" s="7">
        <v>355101474813224</v>
      </c>
      <c r="D23" s="9"/>
      <c r="E23" s="10">
        <v>850</v>
      </c>
      <c r="F23" s="11">
        <f t="shared" si="0"/>
        <v>3034.5</v>
      </c>
      <c r="G23" s="12"/>
    </row>
    <row r="24" spans="1:7">
      <c r="A24" s="7">
        <v>22</v>
      </c>
      <c r="B24" s="8" t="s">
        <v>1</v>
      </c>
      <c r="C24" s="7">
        <v>353497856334207</v>
      </c>
      <c r="D24" s="13" t="s">
        <v>3</v>
      </c>
      <c r="E24" s="10">
        <v>850</v>
      </c>
      <c r="F24" s="11">
        <f t="shared" si="0"/>
        <v>3034.5</v>
      </c>
      <c r="G24" s="12"/>
    </row>
    <row r="25" spans="1:7">
      <c r="A25" s="7">
        <v>23</v>
      </c>
      <c r="B25" s="8" t="s">
        <v>1</v>
      </c>
      <c r="C25" s="7">
        <v>358206138732582</v>
      </c>
      <c r="D25" s="9"/>
      <c r="E25" s="10">
        <v>850</v>
      </c>
      <c r="F25" s="11">
        <f t="shared" si="0"/>
        <v>3034.5</v>
      </c>
      <c r="G25" s="12"/>
    </row>
    <row r="26" spans="1:7">
      <c r="A26" s="7">
        <v>24</v>
      </c>
      <c r="B26" s="8" t="s">
        <v>1</v>
      </c>
      <c r="C26" s="7">
        <v>350552898043670</v>
      </c>
      <c r="D26" s="9"/>
      <c r="E26" s="10">
        <v>850</v>
      </c>
      <c r="F26" s="11">
        <f t="shared" si="0"/>
        <v>3034.5</v>
      </c>
      <c r="G26" s="12"/>
    </row>
    <row r="27" spans="1:7">
      <c r="A27" s="7">
        <v>25</v>
      </c>
      <c r="B27" s="8" t="s">
        <v>1</v>
      </c>
      <c r="C27" s="7">
        <v>357247253272591</v>
      </c>
      <c r="D27" s="9"/>
      <c r="E27" s="10">
        <v>850</v>
      </c>
      <c r="F27" s="11">
        <f t="shared" si="0"/>
        <v>3034.5</v>
      </c>
      <c r="G27" s="12"/>
    </row>
    <row r="28" spans="1:7">
      <c r="A28" s="7">
        <v>26</v>
      </c>
      <c r="B28" s="8" t="s">
        <v>1</v>
      </c>
      <c r="C28" s="7">
        <v>350035237008760</v>
      </c>
      <c r="D28" s="9"/>
      <c r="E28" s="10">
        <v>850</v>
      </c>
      <c r="F28" s="11">
        <f t="shared" si="0"/>
        <v>3034.5</v>
      </c>
      <c r="G28" s="12"/>
    </row>
    <row r="29" spans="1:7">
      <c r="A29" s="7">
        <v>27</v>
      </c>
      <c r="B29" s="8" t="s">
        <v>1</v>
      </c>
      <c r="C29" s="7">
        <v>358902514554042</v>
      </c>
      <c r="D29" s="13" t="s">
        <v>2</v>
      </c>
      <c r="E29" s="10">
        <v>1200</v>
      </c>
      <c r="F29" s="11">
        <f t="shared" si="0"/>
        <v>4284</v>
      </c>
      <c r="G29" s="12"/>
    </row>
    <row r="30" spans="1:7">
      <c r="A30" s="7">
        <v>28</v>
      </c>
      <c r="B30" s="8" t="s">
        <v>4</v>
      </c>
      <c r="C30" s="7">
        <v>355101470846418</v>
      </c>
      <c r="D30" s="9"/>
      <c r="E30" s="10">
        <v>800</v>
      </c>
      <c r="F30" s="11">
        <f t="shared" si="0"/>
        <v>2856</v>
      </c>
      <c r="G30" s="12"/>
    </row>
    <row r="31" spans="1:7">
      <c r="A31" s="7">
        <v>29</v>
      </c>
      <c r="B31" s="8" t="s">
        <v>4</v>
      </c>
      <c r="C31" s="7">
        <v>358434708162994</v>
      </c>
      <c r="D31" s="13" t="s">
        <v>3</v>
      </c>
      <c r="E31" s="10">
        <v>800</v>
      </c>
      <c r="F31" s="11">
        <f t="shared" si="0"/>
        <v>2856</v>
      </c>
      <c r="G31" s="12"/>
    </row>
    <row r="32" spans="1:7">
      <c r="A32" s="7">
        <v>30</v>
      </c>
      <c r="B32" s="8" t="s">
        <v>4</v>
      </c>
      <c r="C32" s="7">
        <v>350035235795830</v>
      </c>
      <c r="D32" s="13" t="s">
        <v>2</v>
      </c>
      <c r="E32" s="10">
        <v>1200</v>
      </c>
      <c r="F32" s="11">
        <f t="shared" si="0"/>
        <v>4284</v>
      </c>
      <c r="G32" s="12"/>
    </row>
    <row r="33" spans="1:7">
      <c r="A33" s="7">
        <v>31</v>
      </c>
      <c r="B33" s="8" t="s">
        <v>5</v>
      </c>
      <c r="C33" s="7">
        <v>359814714159770</v>
      </c>
      <c r="D33" s="13" t="s">
        <v>2</v>
      </c>
      <c r="E33" s="10">
        <v>1200</v>
      </c>
      <c r="F33" s="11">
        <f t="shared" si="0"/>
        <v>4284</v>
      </c>
      <c r="G33" s="12"/>
    </row>
    <row r="34" spans="1:7">
      <c r="A34" s="7">
        <v>32</v>
      </c>
      <c r="B34" s="8" t="s">
        <v>5</v>
      </c>
      <c r="C34" s="7">
        <v>357247250003999</v>
      </c>
      <c r="D34" s="9"/>
      <c r="E34" s="10">
        <v>920</v>
      </c>
      <c r="F34" s="11">
        <f t="shared" si="0"/>
        <v>3284.3999999999996</v>
      </c>
      <c r="G34" s="12"/>
    </row>
    <row r="35" spans="1:7">
      <c r="A35" s="7">
        <v>33</v>
      </c>
      <c r="B35" s="8" t="s">
        <v>5</v>
      </c>
      <c r="C35" s="7">
        <v>350035239452586</v>
      </c>
      <c r="D35" s="9"/>
      <c r="E35" s="10">
        <v>920</v>
      </c>
      <c r="F35" s="11">
        <f t="shared" si="0"/>
        <v>3284.3999999999996</v>
      </c>
      <c r="G35" s="12"/>
    </row>
    <row r="36" spans="1:7">
      <c r="A36" s="7">
        <v>34</v>
      </c>
      <c r="B36" s="8" t="s">
        <v>5</v>
      </c>
      <c r="C36" s="7">
        <v>350035239236724</v>
      </c>
      <c r="D36" s="9"/>
      <c r="E36" s="10">
        <v>920</v>
      </c>
      <c r="F36" s="11">
        <f t="shared" si="0"/>
        <v>3284.3999999999996</v>
      </c>
      <c r="G36" s="12"/>
    </row>
    <row r="37" spans="1:7">
      <c r="A37" s="7">
        <v>35</v>
      </c>
      <c r="B37" s="8" t="s">
        <v>5</v>
      </c>
      <c r="C37" s="7">
        <v>357247250488281</v>
      </c>
      <c r="D37" s="9"/>
      <c r="E37" s="10">
        <v>920</v>
      </c>
      <c r="F37" s="11">
        <f t="shared" si="0"/>
        <v>3284.3999999999996</v>
      </c>
      <c r="G37" s="12"/>
    </row>
    <row r="38" spans="1:7">
      <c r="A38" s="7">
        <v>36</v>
      </c>
      <c r="B38" s="8" t="s">
        <v>5</v>
      </c>
      <c r="C38" s="7">
        <v>357247250352495</v>
      </c>
      <c r="D38" s="9"/>
      <c r="E38" s="10">
        <v>920</v>
      </c>
      <c r="F38" s="11">
        <f t="shared" si="0"/>
        <v>3284.3999999999996</v>
      </c>
      <c r="G38" s="12"/>
    </row>
    <row r="39" spans="1:7">
      <c r="A39" s="7">
        <v>37</v>
      </c>
      <c r="B39" s="8" t="s">
        <v>5</v>
      </c>
      <c r="C39" s="7">
        <v>356392249884272</v>
      </c>
      <c r="D39" s="13" t="s">
        <v>2</v>
      </c>
      <c r="E39" s="10">
        <v>1200</v>
      </c>
      <c r="F39" s="11">
        <f t="shared" si="0"/>
        <v>4284</v>
      </c>
      <c r="G39" s="12"/>
    </row>
    <row r="40" spans="1:7">
      <c r="A40" s="7">
        <v>38</v>
      </c>
      <c r="B40" s="8" t="s">
        <v>5</v>
      </c>
      <c r="C40" s="7">
        <v>350552899043935</v>
      </c>
      <c r="D40" s="9"/>
      <c r="E40" s="10">
        <v>920</v>
      </c>
      <c r="F40" s="11">
        <f t="shared" si="0"/>
        <v>3284.3999999999996</v>
      </c>
      <c r="G40" s="12"/>
    </row>
    <row r="41" spans="1:7">
      <c r="A41" s="7">
        <v>39</v>
      </c>
      <c r="B41" s="8" t="s">
        <v>5</v>
      </c>
      <c r="C41" s="7">
        <v>350599860860169</v>
      </c>
      <c r="D41" s="13" t="s">
        <v>3</v>
      </c>
      <c r="E41" s="10">
        <v>920</v>
      </c>
      <c r="F41" s="11">
        <f t="shared" si="0"/>
        <v>3284.3999999999996</v>
      </c>
      <c r="G41" s="12"/>
    </row>
    <row r="42" spans="1:7">
      <c r="A42" s="7">
        <v>40</v>
      </c>
      <c r="B42" s="8" t="s">
        <v>5</v>
      </c>
      <c r="C42" s="7">
        <v>359814714101855</v>
      </c>
      <c r="D42" s="13" t="s">
        <v>2</v>
      </c>
      <c r="E42" s="10">
        <v>1200</v>
      </c>
      <c r="F42" s="11">
        <f t="shared" si="0"/>
        <v>4284</v>
      </c>
      <c r="G42" s="12"/>
    </row>
    <row r="43" spans="1:7">
      <c r="A43" s="7">
        <v>41</v>
      </c>
      <c r="B43" s="8" t="s">
        <v>5</v>
      </c>
      <c r="C43" s="7">
        <v>357063601317313</v>
      </c>
      <c r="D43" s="9"/>
      <c r="E43" s="10">
        <v>920</v>
      </c>
      <c r="F43" s="11">
        <f t="shared" si="0"/>
        <v>3284.3999999999996</v>
      </c>
      <c r="G43" s="12"/>
    </row>
    <row r="44" spans="1:7">
      <c r="A44" s="7">
        <v>42</v>
      </c>
      <c r="B44" s="8" t="s">
        <v>5</v>
      </c>
      <c r="C44" s="7">
        <v>350035239005848</v>
      </c>
      <c r="D44" s="9"/>
      <c r="E44" s="10">
        <v>920</v>
      </c>
      <c r="F44" s="11">
        <f t="shared" si="0"/>
        <v>3284.3999999999996</v>
      </c>
      <c r="G44" s="12"/>
    </row>
    <row r="45" spans="1:7">
      <c r="A45" s="7">
        <v>43</v>
      </c>
      <c r="B45" s="8" t="s">
        <v>6</v>
      </c>
      <c r="C45" s="7">
        <v>355079367074833</v>
      </c>
      <c r="D45" s="9"/>
      <c r="E45" s="10">
        <v>750</v>
      </c>
      <c r="F45" s="11">
        <f t="shared" si="0"/>
        <v>2677.5</v>
      </c>
      <c r="G45" s="12"/>
    </row>
    <row r="46" spans="1:7">
      <c r="A46" s="7">
        <v>44</v>
      </c>
      <c r="B46" s="8" t="s">
        <v>7</v>
      </c>
      <c r="C46" s="7">
        <v>355832519971417</v>
      </c>
      <c r="D46" s="13" t="s">
        <v>3</v>
      </c>
      <c r="E46" s="10">
        <v>750</v>
      </c>
      <c r="F46" s="11">
        <f t="shared" si="0"/>
        <v>2677.5</v>
      </c>
      <c r="G46" s="15" t="s">
        <v>47</v>
      </c>
    </row>
    <row r="47" spans="1:7">
      <c r="A47" s="7">
        <v>45</v>
      </c>
      <c r="B47" s="8" t="s">
        <v>8</v>
      </c>
      <c r="C47" s="7">
        <v>355832516608475</v>
      </c>
      <c r="D47" s="13" t="s">
        <v>2</v>
      </c>
      <c r="E47" s="10">
        <v>1370</v>
      </c>
      <c r="F47" s="11">
        <f t="shared" si="0"/>
        <v>4890.8999999999996</v>
      </c>
      <c r="G47" s="12"/>
    </row>
    <row r="48" spans="1:7">
      <c r="A48" s="7">
        <v>46</v>
      </c>
      <c r="B48" s="8" t="s">
        <v>9</v>
      </c>
      <c r="C48" s="7">
        <v>350661235620635</v>
      </c>
      <c r="D48" s="13" t="s">
        <v>3</v>
      </c>
      <c r="E48" s="10">
        <v>500</v>
      </c>
      <c r="F48" s="11">
        <f t="shared" si="0"/>
        <v>1785</v>
      </c>
      <c r="G48" s="12"/>
    </row>
    <row r="49" spans="1:7">
      <c r="A49" s="7">
        <v>47</v>
      </c>
      <c r="B49" s="8" t="s">
        <v>10</v>
      </c>
      <c r="C49" s="7">
        <v>353502587632348</v>
      </c>
      <c r="D49" s="9"/>
      <c r="E49" s="10">
        <v>500</v>
      </c>
      <c r="F49" s="11">
        <f t="shared" si="0"/>
        <v>1785</v>
      </c>
      <c r="G49" s="12"/>
    </row>
    <row r="50" spans="1:7">
      <c r="A50" s="7">
        <v>48</v>
      </c>
      <c r="B50" s="8" t="s">
        <v>11</v>
      </c>
      <c r="C50" s="7">
        <v>351682397269283</v>
      </c>
      <c r="D50" s="13" t="s">
        <v>12</v>
      </c>
      <c r="E50" s="10">
        <v>280</v>
      </c>
      <c r="F50" s="11">
        <f t="shared" si="0"/>
        <v>999.59999999999991</v>
      </c>
      <c r="G50" s="12"/>
    </row>
    <row r="51" spans="1:7">
      <c r="A51" s="7">
        <v>49</v>
      </c>
      <c r="B51" s="8" t="s">
        <v>11</v>
      </c>
      <c r="C51" s="7">
        <v>351682397748443</v>
      </c>
      <c r="D51" s="13" t="s">
        <v>12</v>
      </c>
      <c r="E51" s="10">
        <v>280</v>
      </c>
      <c r="F51" s="11">
        <f t="shared" si="0"/>
        <v>999.59999999999991</v>
      </c>
      <c r="G51" s="12"/>
    </row>
    <row r="52" spans="1:7">
      <c r="A52" s="7">
        <v>50</v>
      </c>
      <c r="B52" s="8" t="s">
        <v>13</v>
      </c>
      <c r="C52" s="7">
        <v>352355701064042</v>
      </c>
      <c r="D52" s="9"/>
      <c r="E52" s="10">
        <v>1030</v>
      </c>
      <c r="F52" s="11">
        <f t="shared" si="0"/>
        <v>3677.1</v>
      </c>
      <c r="G52" s="12"/>
    </row>
    <row r="53" spans="1:7">
      <c r="A53" s="7">
        <v>51</v>
      </c>
      <c r="B53" s="8" t="s">
        <v>13</v>
      </c>
      <c r="C53" s="7">
        <v>352355708798048</v>
      </c>
      <c r="D53" s="9"/>
      <c r="E53" s="10">
        <v>1030</v>
      </c>
      <c r="F53" s="11">
        <f t="shared" si="0"/>
        <v>3677.1</v>
      </c>
      <c r="G53" s="12"/>
    </row>
    <row r="54" spans="1:7">
      <c r="A54" s="7">
        <v>52</v>
      </c>
      <c r="B54" s="8" t="s">
        <v>14</v>
      </c>
      <c r="C54" s="7">
        <v>352355706086990</v>
      </c>
      <c r="D54" s="9"/>
      <c r="E54" s="10">
        <v>1030</v>
      </c>
      <c r="F54" s="11">
        <f t="shared" si="0"/>
        <v>3677.1</v>
      </c>
      <c r="G54" s="12"/>
    </row>
    <row r="55" spans="1:7">
      <c r="A55" s="7">
        <v>53</v>
      </c>
      <c r="B55" s="8" t="s">
        <v>15</v>
      </c>
      <c r="C55" s="8" t="s">
        <v>16</v>
      </c>
      <c r="D55" s="9"/>
      <c r="E55" s="10">
        <v>1435</v>
      </c>
      <c r="F55" s="11">
        <f t="shared" si="0"/>
        <v>5122.95</v>
      </c>
      <c r="G55" s="12"/>
    </row>
    <row r="56" spans="1:7" ht="15">
      <c r="A56" s="7">
        <v>54</v>
      </c>
      <c r="B56" s="8" t="s">
        <v>17</v>
      </c>
      <c r="C56" s="7">
        <v>358112933315757</v>
      </c>
      <c r="D56" s="13" t="s">
        <v>18</v>
      </c>
      <c r="E56" s="10">
        <v>820</v>
      </c>
      <c r="F56" s="11">
        <f t="shared" si="0"/>
        <v>2927.4</v>
      </c>
      <c r="G56" s="14" t="s">
        <v>42</v>
      </c>
    </row>
    <row r="57" spans="1:7" ht="15">
      <c r="A57" s="7">
        <v>55</v>
      </c>
      <c r="B57" s="8" t="s">
        <v>19</v>
      </c>
      <c r="C57" s="7">
        <v>352255851601140</v>
      </c>
      <c r="D57" s="13" t="s">
        <v>18</v>
      </c>
      <c r="E57" s="10">
        <v>650</v>
      </c>
      <c r="F57" s="11">
        <f t="shared" si="0"/>
        <v>2320.5</v>
      </c>
      <c r="G57" s="14" t="s">
        <v>42</v>
      </c>
    </row>
    <row r="58" spans="1:7" ht="15">
      <c r="A58" s="7">
        <v>56</v>
      </c>
      <c r="B58" s="8" t="s">
        <v>20</v>
      </c>
      <c r="C58" s="8" t="s">
        <v>21</v>
      </c>
      <c r="D58" s="13" t="s">
        <v>3</v>
      </c>
      <c r="E58" s="10">
        <v>1750</v>
      </c>
      <c r="F58" s="11">
        <f t="shared" si="0"/>
        <v>6247.5</v>
      </c>
      <c r="G58" s="14" t="s">
        <v>44</v>
      </c>
    </row>
    <row r="59" spans="1:7">
      <c r="A59" s="7">
        <v>57</v>
      </c>
      <c r="B59" s="8" t="s">
        <v>22</v>
      </c>
      <c r="C59" s="8" t="s">
        <v>23</v>
      </c>
      <c r="D59" s="9"/>
      <c r="E59" s="10">
        <v>1120</v>
      </c>
      <c r="F59" s="11">
        <f t="shared" si="0"/>
        <v>3998.3999999999996</v>
      </c>
      <c r="G59" s="12"/>
    </row>
    <row r="60" spans="1:7">
      <c r="A60" s="7">
        <v>58</v>
      </c>
      <c r="B60" s="8" t="s">
        <v>24</v>
      </c>
      <c r="C60" s="8" t="s">
        <v>25</v>
      </c>
      <c r="D60" s="9"/>
      <c r="E60" s="10">
        <v>930</v>
      </c>
      <c r="F60" s="11">
        <f t="shared" si="0"/>
        <v>3320.1</v>
      </c>
      <c r="G60" s="12"/>
    </row>
    <row r="61" spans="1:7">
      <c r="A61" s="7">
        <v>59</v>
      </c>
      <c r="B61" s="8" t="s">
        <v>26</v>
      </c>
      <c r="C61" s="8" t="s">
        <v>27</v>
      </c>
      <c r="D61" s="9"/>
      <c r="E61" s="10">
        <v>285</v>
      </c>
      <c r="F61" s="11">
        <f t="shared" si="0"/>
        <v>1017.4499999999999</v>
      </c>
      <c r="G61" s="12"/>
    </row>
    <row r="62" spans="1:7">
      <c r="A62" s="7">
        <v>60</v>
      </c>
      <c r="B62" s="8" t="s">
        <v>28</v>
      </c>
      <c r="C62" s="8" t="s">
        <v>38</v>
      </c>
      <c r="D62" s="9"/>
      <c r="E62" s="10">
        <v>315</v>
      </c>
      <c r="F62" s="11">
        <f t="shared" si="0"/>
        <v>1124.55</v>
      </c>
      <c r="G62" s="12"/>
    </row>
    <row r="63" spans="1:7">
      <c r="A63" s="7">
        <v>61</v>
      </c>
      <c r="B63" s="8" t="s">
        <v>28</v>
      </c>
      <c r="C63" s="8" t="s">
        <v>39</v>
      </c>
      <c r="D63" s="9"/>
      <c r="E63" s="10">
        <v>315</v>
      </c>
      <c r="F63" s="11">
        <f t="shared" si="0"/>
        <v>1124.55</v>
      </c>
      <c r="G63" s="12"/>
    </row>
    <row r="64" spans="1:7">
      <c r="A64" s="7">
        <v>62</v>
      </c>
      <c r="B64" s="8" t="s">
        <v>29</v>
      </c>
      <c r="C64" s="7">
        <v>359132199403468</v>
      </c>
      <c r="D64" s="9"/>
      <c r="E64" s="10">
        <v>210</v>
      </c>
      <c r="F64" s="11">
        <f t="shared" si="0"/>
        <v>749.69999999999993</v>
      </c>
      <c r="G64" s="12"/>
    </row>
    <row r="65" spans="1:7">
      <c r="A65" s="7">
        <v>63</v>
      </c>
      <c r="B65" s="8" t="s">
        <v>30</v>
      </c>
      <c r="C65" s="8" t="s">
        <v>31</v>
      </c>
      <c r="D65" s="9"/>
      <c r="E65" s="10">
        <v>200</v>
      </c>
      <c r="F65" s="11">
        <f t="shared" si="0"/>
        <v>714</v>
      </c>
      <c r="G65" s="12"/>
    </row>
    <row r="66" spans="1:7">
      <c r="A66" s="7">
        <v>64</v>
      </c>
      <c r="B66" s="8" t="s">
        <v>30</v>
      </c>
      <c r="C66" s="8" t="s">
        <v>40</v>
      </c>
      <c r="D66" s="9"/>
      <c r="E66" s="10">
        <v>200</v>
      </c>
      <c r="F66" s="11">
        <f t="shared" si="0"/>
        <v>714</v>
      </c>
      <c r="G66" s="12"/>
    </row>
    <row r="67" spans="1:7">
      <c r="A67" s="7">
        <v>65</v>
      </c>
      <c r="B67" s="8" t="s">
        <v>30</v>
      </c>
      <c r="C67" s="8" t="s">
        <v>41</v>
      </c>
      <c r="D67" s="9"/>
      <c r="E67" s="10">
        <v>200</v>
      </c>
      <c r="F67" s="11">
        <f t="shared" si="0"/>
        <v>714</v>
      </c>
      <c r="G67" s="12"/>
    </row>
    <row r="68" spans="1:7" ht="18.75">
      <c r="E68" s="5">
        <f>SUM(E3:E67)</f>
        <v>54280</v>
      </c>
      <c r="F68" s="6">
        <f t="shared" ref="F68" si="1">E68*3.57</f>
        <v>193779.6</v>
      </c>
    </row>
    <row r="69" spans="1:7" ht="18.75">
      <c r="E69" s="5">
        <v>54795</v>
      </c>
      <c r="F69" s="16"/>
    </row>
    <row r="70" spans="1:7" ht="18.75">
      <c r="D70" s="5" t="s">
        <v>45</v>
      </c>
      <c r="E70" s="5">
        <f>E69-E68</f>
        <v>515</v>
      </c>
      <c r="F70" s="16"/>
    </row>
    <row r="73" spans="1:7" ht="21">
      <c r="C73" s="17"/>
    </row>
    <row r="75" spans="1:7" ht="21">
      <c r="C75" s="17"/>
    </row>
    <row r="76" spans="1:7" ht="21">
      <c r="C76" s="17"/>
    </row>
  </sheetData>
  <autoFilter ref="A2:G70" xr:uid="{00000000-0001-0000-0000-000000000000}"/>
  <conditionalFormatting sqref="C1:C68 C78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2026-04-30T13:27:19Z</dcterms:created>
  <dcterms:modified xsi:type="dcterms:W3CDTF">2026-05-09T13:50:09Z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2026-04-30T00:00:00Z</vt:filetime>
  </property>
</Properties>
</file>