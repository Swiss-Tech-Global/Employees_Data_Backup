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48" documentId="13_ncr:1_{8E7D4FCA-7BDB-44EB-A70C-05EFA9594488}" xr6:coauthVersionLast="47" xr6:coauthVersionMax="47" xr10:uidLastSave="{C4448300-993C-405E-A60F-127CC373622B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_FilterDatabase" localSheetId="0" hidden="1">'Table 1'!$A$2:$H$97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3" i="1"/>
  <c r="F97" i="1" l="1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3" i="1"/>
  <c r="E97" i="1" l="1"/>
  <c r="G97" i="1" l="1"/>
</calcChain>
</file>

<file path=xl/sharedStrings.xml><?xml version="1.0" encoding="utf-8"?>
<sst xmlns="http://schemas.openxmlformats.org/spreadsheetml/2006/main" count="162" uniqueCount="92">
  <si>
    <r>
      <rPr>
        <sz val="9.5"/>
        <rFont val="Arial MT"/>
        <family val="2"/>
      </rPr>
      <t>Date</t>
    </r>
  </si>
  <si>
    <r>
      <rPr>
        <sz val="9.5"/>
        <rFont val="Arial MT"/>
        <family val="2"/>
      </rPr>
      <t>Party Name</t>
    </r>
  </si>
  <si>
    <r>
      <rPr>
        <sz val="9.5"/>
        <rFont val="Arial MT"/>
        <family val="2"/>
      </rPr>
      <t>17626078301 Owais HT</t>
    </r>
  </si>
  <si>
    <t>SHJ2VVHPKJP</t>
  </si>
  <si>
    <t>SLKQLW31JQ6</t>
  </si>
  <si>
    <t>SJ2W4Y9KR67</t>
  </si>
  <si>
    <t>SLXQY0KH3C0</t>
  </si>
  <si>
    <t>SJ7J9XQF2MM</t>
  </si>
  <si>
    <t>SH9V9G96V4T</t>
  </si>
  <si>
    <t>SMD7JTJ9J02</t>
  </si>
  <si>
    <t>SK22D2W3NH3</t>
  </si>
  <si>
    <t>SMCPYNHW9P4</t>
  </si>
  <si>
    <t>SLQP7TVKVYF</t>
  </si>
  <si>
    <t>SH2XX57WJQK</t>
  </si>
  <si>
    <t>2G97BMMHCS00ZP</t>
  </si>
  <si>
    <t>2G97BMMH9G00SX</t>
  </si>
  <si>
    <t>2G97BMMHBG0089</t>
  </si>
  <si>
    <t>2G97BMMHCL02VP</t>
  </si>
  <si>
    <t>2G97BMMHCL02W1</t>
  </si>
  <si>
    <t>2G97BMMHCL02TK</t>
  </si>
  <si>
    <t>2G97BMMHCS0110</t>
  </si>
  <si>
    <t>2G97BMMHCL02R2</t>
  </si>
  <si>
    <t>2G97BMMHCL01QD</t>
  </si>
  <si>
    <t>2G97BMMHCL02X1</t>
  </si>
  <si>
    <t>2G97BMMHCS00CJ</t>
  </si>
  <si>
    <t>2G97BMMHCH037L</t>
  </si>
  <si>
    <t>2G97BMMHCH03CP</t>
  </si>
  <si>
    <t>2G97BMMHCH03JS</t>
  </si>
  <si>
    <t>4V0ZH12HC002C0</t>
  </si>
  <si>
    <t>4V37W23H8G00H6</t>
  </si>
  <si>
    <t>4V0ZH12HC404Y2</t>
  </si>
  <si>
    <t>4V0ZW04HBW05JY</t>
  </si>
  <si>
    <r>
      <rPr>
        <sz val="9.5"/>
        <color theme="1"/>
        <rFont val="Microsoft Sans Serif"/>
        <family val="2"/>
      </rPr>
      <t>Active</t>
    </r>
  </si>
  <si>
    <r>
      <rPr>
        <sz val="9.5"/>
        <color theme="1"/>
        <rFont val="Microsoft Sans Serif"/>
        <family val="2"/>
      </rPr>
      <t>Unlock</t>
    </r>
  </si>
  <si>
    <r>
      <rPr>
        <sz val="9.5"/>
        <color theme="1"/>
        <rFont val="Microsoft Sans Serif"/>
        <family val="2"/>
      </rPr>
      <t>Active Unlock</t>
    </r>
  </si>
  <si>
    <r>
      <rPr>
        <sz val="9.5"/>
        <color theme="1"/>
        <rFont val="Microsoft Sans Serif"/>
        <family val="2"/>
      </rPr>
      <t>Lock</t>
    </r>
  </si>
  <si>
    <r>
      <rPr>
        <sz val="9.5"/>
        <color theme="1"/>
        <rFont val="Microsoft Sans Serif"/>
        <family val="2"/>
      </rPr>
      <t>Nano Texture</t>
    </r>
  </si>
  <si>
    <r>
      <rPr>
        <sz val="9.5"/>
        <color theme="1"/>
        <rFont val="Microsoft Sans Serif"/>
        <family val="2"/>
      </rPr>
      <t>iPhone 17 Pro Max Cosmic Orange 256 GB</t>
    </r>
  </si>
  <si>
    <r>
      <rPr>
        <sz val="9.5"/>
        <color theme="1"/>
        <rFont val="Microsoft Sans Serif"/>
        <family val="2"/>
      </rPr>
      <t>iPhone 17 Pro Max Deep Blue 256 GB</t>
    </r>
  </si>
  <si>
    <r>
      <rPr>
        <sz val="9.5"/>
        <color theme="1"/>
        <rFont val="Microsoft Sans Serif"/>
        <family val="2"/>
      </rPr>
      <t>iPhone 17 Pro Max Silver 256 GB</t>
    </r>
  </si>
  <si>
    <r>
      <rPr>
        <sz val="9.5"/>
        <color theme="1"/>
        <rFont val="Microsoft Sans Serif"/>
        <family val="2"/>
      </rPr>
      <t>iPhone 17 Pro Cosmic Orange 256 GB</t>
    </r>
  </si>
  <si>
    <r>
      <rPr>
        <sz val="9.5"/>
        <color theme="1"/>
        <rFont val="Microsoft Sans Serif"/>
        <family val="2"/>
      </rPr>
      <t>iPhone 17 Pro Deep Blue 256 GB</t>
    </r>
  </si>
  <si>
    <r>
      <rPr>
        <sz val="9.5"/>
        <color theme="1"/>
        <rFont val="Microsoft Sans Serif"/>
        <family val="2"/>
      </rPr>
      <t>iPhone 17 Pro Silver 256 GB</t>
    </r>
  </si>
  <si>
    <r>
      <rPr>
        <sz val="9.5"/>
        <color theme="1"/>
        <rFont val="Microsoft Sans Serif"/>
        <family val="2"/>
      </rPr>
      <t>iPad Pro M5 13" (W+C) Space Black 256 GB</t>
    </r>
  </si>
  <si>
    <r>
      <rPr>
        <sz val="9.5"/>
        <color theme="1"/>
        <rFont val="Microsoft Sans Serif"/>
        <family val="2"/>
      </rPr>
      <t>iPad Pro M5 13" (W) Silver 512 GB</t>
    </r>
  </si>
  <si>
    <r>
      <rPr>
        <sz val="9.5"/>
        <color theme="1"/>
        <rFont val="Microsoft Sans Serif"/>
        <family val="2"/>
      </rPr>
      <t>iPad Pro M5 11" (W+C) Space Black 256 GB</t>
    </r>
  </si>
  <si>
    <r>
      <rPr>
        <sz val="9.5"/>
        <color theme="1"/>
        <rFont val="Microsoft Sans Serif"/>
        <family val="2"/>
      </rPr>
      <t>AirPods Max 2 Blue</t>
    </r>
  </si>
  <si>
    <r>
      <rPr>
        <sz val="9.5"/>
        <color theme="1"/>
        <rFont val="Microsoft Sans Serif"/>
        <family val="2"/>
      </rPr>
      <t>Motorolla Model XT Midnight Blue 128 GB (Kit)</t>
    </r>
  </si>
  <si>
    <r>
      <rPr>
        <sz val="9.5"/>
        <color theme="1"/>
        <rFont val="Microsoft Sans Serif"/>
        <family val="2"/>
      </rPr>
      <t>Motorolla Model XT Ink Blue 64 GB (Kit)</t>
    </r>
  </si>
  <si>
    <r>
      <rPr>
        <sz val="9.5"/>
        <color theme="1"/>
        <rFont val="Microsoft Sans Serif"/>
        <family val="2"/>
      </rPr>
      <t>Motorolla Model XT Sapphire Blue 64 GB (Kit)</t>
    </r>
  </si>
  <si>
    <r>
      <rPr>
        <sz val="9.5"/>
        <color theme="1"/>
        <rFont val="Microsoft Sans Serif"/>
        <family val="2"/>
      </rPr>
      <t>Meta Ǫuest 3 4k 512 GB</t>
    </r>
  </si>
  <si>
    <r>
      <rPr>
        <sz val="9.5"/>
        <color theme="1"/>
        <rFont val="Microsoft Sans Serif"/>
        <family val="2"/>
      </rPr>
      <t>Meta Wayfarer Gen 2 Matte Black, Clear</t>
    </r>
  </si>
  <si>
    <t>Comments</t>
  </si>
  <si>
    <t>USD Prices</t>
  </si>
  <si>
    <t>AED Prices</t>
  </si>
  <si>
    <t>Invoice Comments</t>
  </si>
  <si>
    <t>Invoice me Non Actice he</t>
  </si>
  <si>
    <t>Invoice me Unlock he</t>
  </si>
  <si>
    <t>Invoice me Box pack he</t>
  </si>
  <si>
    <t>Sr No</t>
  </si>
  <si>
    <t>Motorolla Model XT Ink Blue 64 GB (Kit)</t>
  </si>
  <si>
    <t>Motorolla Model XT Sapphire Blue 64 GB (Kit)</t>
  </si>
  <si>
    <t>Motorolla Model XT Midnight Blue 128 GB (Kit)</t>
  </si>
  <si>
    <t>Motorolla Model XT Sage Green 128 GB (Kit)</t>
  </si>
  <si>
    <t>Active, Scratches on Screen</t>
  </si>
  <si>
    <t>iPad 10th Gen (W) Yellow 64 GB (Kit)</t>
  </si>
  <si>
    <t>iPad A16 (W+C) Blue 128 GB</t>
  </si>
  <si>
    <t>iPad A16 (W) Silver 128 GB</t>
  </si>
  <si>
    <t>Meta Headliner Gen 2 Matte Black, Clear</t>
  </si>
  <si>
    <t>Meta Wayfarer Gen 2 Matte Black, Polar Graphite</t>
  </si>
  <si>
    <t>Meta Wayfarer Gen 2 Matte Black, Clear</t>
  </si>
  <si>
    <t>AirPods Max Midgnight</t>
  </si>
  <si>
    <t>AirPods Max 2 Blue</t>
  </si>
  <si>
    <t>iPhone 17 Black 256 GB</t>
  </si>
  <si>
    <t>iPhone 16 Pro Max Black Ti 256 GB (Kit)</t>
  </si>
  <si>
    <t>iPad Air M3 13" (W) Blue 128 GB</t>
  </si>
  <si>
    <t>iWatch Ultra 3 Black Ti, Ocean 49mm</t>
  </si>
  <si>
    <t>iWatch Ultra 3 Black Ti, Trail 49mm</t>
  </si>
  <si>
    <t>iPhone 17 Pro Cosmic Orange 256 GB</t>
  </si>
  <si>
    <t>iPhone 17 Pro Deep Blue 256 GB</t>
  </si>
  <si>
    <t>iPhone 17 Pro Max Deep Blue 256 GB</t>
  </si>
  <si>
    <t>iPad Pro M5 11" (W+C) Space Black 256 GB</t>
  </si>
  <si>
    <t>iPhone 17 Pro Max Cosmic Orange 256 GB</t>
  </si>
  <si>
    <t>iPhone 17 Pro Max Silver 256 GB</t>
  </si>
  <si>
    <t>iPhone 17 Pro Max Cosmic Orange 512 GB</t>
  </si>
  <si>
    <t>iPhone 17 Pro Max Silver 512 GB</t>
  </si>
  <si>
    <t>iPhone 17 Pro Silver 256 GB</t>
  </si>
  <si>
    <t>iPad Pro M5 13" (W+C) Space Black 256 GB</t>
  </si>
  <si>
    <t>iPad Pro M5 13" (W) Silver 512 GB</t>
  </si>
  <si>
    <t>iPad Pro M4 13" (W) Space Black 2 TB</t>
  </si>
  <si>
    <t>MacBook Pro M5 Max 16" MGEE4 Space Black 48 GB, 2 TB</t>
  </si>
  <si>
    <t>Last Purchasing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</si>
</sst>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-dd\-yyyy;@"/>
    <numFmt numFmtId="165" formatCode="_-[$AED]\ * #,##0.00_-;\-[$AED]\ * #,##0.00_-;_-[$AED]\ * &quot;-&quot;??_-;_-@_-"/>
    <numFmt numFmtId="166" formatCode="_-[$USD]\ * #,##0.00_-;\-[$USD]\ * #,##0.00_-;_-[$USD]\ * &quot;-&quot;??_-;_-@_-"/>
  </numFmts>
  <fonts count="8">
    <font>
      <sz val="10"/>
      <color rgb="FF000000"/>
      <name val="Times New Roman"/>
      <charset val="204"/>
    </font>
    <font>
      <sz val="9.5"/>
      <name val="Arial MT"/>
    </font>
    <font>
      <sz val="9.5"/>
      <color rgb="FF000000"/>
      <name val="Arial MT"/>
      <family val="2"/>
    </font>
    <font>
      <sz val="9.5"/>
      <name val="Arial MT"/>
      <family val="2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9.5"/>
      <color theme="1"/>
      <name val="Microsoft Sans Serif"/>
      <family val="2"/>
    </font>
    <font>
      <b/>
      <sz val="14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154CC"/>
      </patternFill>
    </fill>
    <fill>
      <patternFill patternType="solid">
        <fgColor rgb="FF6D9DEB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164" fontId="2" fillId="3" borderId="1" xfId="0" applyNumberFormat="1" applyFont="1" applyFill="1" applyBorder="1" applyAlignment="1">
      <alignment horizontal="center" vertical="top" shrinkToFit="1"/>
    </xf>
    <xf numFmtId="0" fontId="1" fillId="3" borderId="5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5" fontId="7" fillId="4" borderId="3" xfId="0" applyNumberFormat="1" applyFont="1" applyFill="1" applyBorder="1" applyAlignment="1">
      <alignment horizontal="center" vertical="center"/>
    </xf>
    <xf numFmtId="166" fontId="7" fillId="4" borderId="3" xfId="0" applyNumberFormat="1" applyFont="1" applyFill="1" applyBorder="1" applyAlignment="1">
      <alignment horizontal="center" vertical="center"/>
    </xf>
    <xf numFmtId="1" fontId="0" fillId="5" borderId="3" xfId="0" applyNumberFormat="1" applyFill="1" applyBorder="1" applyAlignment="1">
      <alignment horizontal="center" vertical="center"/>
    </xf>
    <xf numFmtId="1" fontId="6" fillId="5" borderId="3" xfId="0" applyNumberFormat="1" applyFont="1" applyFill="1" applyBorder="1" applyAlignment="1">
      <alignment horizontal="center" vertical="center"/>
    </xf>
    <xf numFmtId="1" fontId="5" fillId="5" borderId="6" xfId="0" applyNumberFormat="1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1" fontId="5" fillId="5" borderId="3" xfId="0" applyNumberFormat="1" applyFont="1" applyFill="1" applyBorder="1" applyAlignment="1">
      <alignment horizontal="center" vertical="center"/>
    </xf>
    <xf numFmtId="1" fontId="4" fillId="5" borderId="3" xfId="0" applyNumberFormat="1" applyFont="1" applyFill="1" applyBorder="1" applyAlignment="1">
      <alignment horizontal="center" vertical="center"/>
    </xf>
    <xf numFmtId="1" fontId="6" fillId="5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tabSelected="1" topLeftCell="A81" workbookViewId="0">
      <selection activeCell="D98" sqref="D98"/>
    </sheetView>
  </sheetViews>
  <sheetFormatPr defaultRowHeight="12.75"/>
  <cols>
    <col min="1" max="1" width="9.33203125" bestFit="1" customWidth="1"/>
    <col min="2" max="2" width="62.33203125" bestFit="1" customWidth="1"/>
    <col min="3" max="3" width="29.83203125" bestFit="1" customWidth="1"/>
    <col min="4" max="4" width="29.6640625" bestFit="1" customWidth="1"/>
    <col min="5" max="5" width="24.5" bestFit="1" customWidth="1"/>
    <col min="6" max="6" width="24.5" customWidth="1"/>
    <col min="7" max="7" width="26.6640625" bestFit="1" customWidth="1"/>
    <col min="8" max="8" width="24.6640625" bestFit="1" customWidth="1"/>
    <col min="9" max="9" width="9.83203125" bestFit="1" customWidth="1"/>
  </cols>
  <sheetData>
    <row r="1" spans="1:9" ht="15" customHeight="1">
      <c r="A1" s="3"/>
      <c r="B1" s="4" t="s">
        <v>0</v>
      </c>
      <c r="C1" s="1">
        <v>46141</v>
      </c>
      <c r="D1" s="1"/>
      <c r="E1" s="1"/>
      <c r="F1" s="1"/>
      <c r="G1" s="1"/>
      <c r="H1" s="1"/>
    </row>
    <row r="2" spans="1:9" ht="15" customHeight="1">
      <c r="A2" s="3" t="s">
        <v>59</v>
      </c>
      <c r="B2" s="5" t="s">
        <v>1</v>
      </c>
      <c r="C2" s="2" t="s">
        <v>2</v>
      </c>
      <c r="D2" s="2" t="s">
        <v>52</v>
      </c>
      <c r="E2" s="2" t="s">
        <v>53</v>
      </c>
      <c r="F2" s="2" t="s">
        <v>91</v>
      </c>
      <c r="G2" s="2" t="s">
        <v>54</v>
      </c>
      <c r="H2" s="2" t="s">
        <v>55</v>
      </c>
    </row>
    <row r="3" spans="1:9" ht="15" customHeight="1">
      <c r="A3" s="8">
        <v>1</v>
      </c>
      <c r="B3" s="9" t="s">
        <v>82</v>
      </c>
      <c r="C3" s="8">
        <v>359814717308663</v>
      </c>
      <c r="D3" s="10"/>
      <c r="E3" s="11">
        <v>850</v>
      </c>
      <c r="F3" s="11">
        <v>850</v>
      </c>
      <c r="G3" s="13">
        <f>F3*3.57</f>
        <v>3034.5</v>
      </c>
      <c r="H3" s="11"/>
      <c r="I3">
        <f>F3-E3</f>
        <v>0</v>
      </c>
    </row>
    <row r="4" spans="1:9" ht="15.95" customHeight="1">
      <c r="A4" s="8">
        <v>2</v>
      </c>
      <c r="B4" s="14" t="s">
        <v>37</v>
      </c>
      <c r="C4" s="8">
        <v>357329449588914</v>
      </c>
      <c r="D4" s="10"/>
      <c r="E4" s="11">
        <v>850</v>
      </c>
      <c r="F4" s="11">
        <v>850</v>
      </c>
      <c r="G4" s="13">
        <f t="shared" ref="G4:G67" si="0">F4*3.57</f>
        <v>3034.5</v>
      </c>
      <c r="H4" s="11"/>
      <c r="I4">
        <f t="shared" ref="I4:I67" si="1">F4-E4</f>
        <v>0</v>
      </c>
    </row>
    <row r="5" spans="1:9" ht="15" customHeight="1">
      <c r="A5" s="8">
        <v>3</v>
      </c>
      <c r="B5" s="14" t="s">
        <v>37</v>
      </c>
      <c r="C5" s="8">
        <v>356225420440961</v>
      </c>
      <c r="D5" s="10"/>
      <c r="E5" s="11">
        <v>850</v>
      </c>
      <c r="F5" s="11">
        <v>850</v>
      </c>
      <c r="G5" s="13">
        <f t="shared" si="0"/>
        <v>3034.5</v>
      </c>
      <c r="H5" s="11"/>
      <c r="I5">
        <f t="shared" si="1"/>
        <v>0</v>
      </c>
    </row>
    <row r="6" spans="1:9" ht="15" customHeight="1">
      <c r="A6" s="8">
        <v>4</v>
      </c>
      <c r="B6" s="14" t="s">
        <v>37</v>
      </c>
      <c r="C6" s="8">
        <v>356225420378500</v>
      </c>
      <c r="D6" s="10"/>
      <c r="E6" s="11">
        <v>850</v>
      </c>
      <c r="F6" s="11">
        <v>850</v>
      </c>
      <c r="G6" s="13">
        <f t="shared" si="0"/>
        <v>3034.5</v>
      </c>
      <c r="H6" s="11"/>
      <c r="I6">
        <f t="shared" si="1"/>
        <v>0</v>
      </c>
    </row>
    <row r="7" spans="1:9" ht="15" customHeight="1">
      <c r="A7" s="8">
        <v>5</v>
      </c>
      <c r="B7" s="14" t="s">
        <v>37</v>
      </c>
      <c r="C7" s="8">
        <v>356392246825849</v>
      </c>
      <c r="D7" s="10" t="s">
        <v>32</v>
      </c>
      <c r="E7" s="11">
        <v>850</v>
      </c>
      <c r="F7" s="11">
        <v>850</v>
      </c>
      <c r="G7" s="13">
        <f t="shared" si="0"/>
        <v>3034.5</v>
      </c>
      <c r="H7" s="11"/>
      <c r="I7">
        <f t="shared" si="1"/>
        <v>0</v>
      </c>
    </row>
    <row r="8" spans="1:9" ht="15" customHeight="1">
      <c r="A8" s="8">
        <v>6</v>
      </c>
      <c r="B8" s="14" t="s">
        <v>37</v>
      </c>
      <c r="C8" s="8">
        <v>351668141101187</v>
      </c>
      <c r="D8" s="10"/>
      <c r="E8" s="11">
        <v>850</v>
      </c>
      <c r="F8" s="11">
        <v>850</v>
      </c>
      <c r="G8" s="13">
        <f t="shared" si="0"/>
        <v>3034.5</v>
      </c>
      <c r="H8" s="11"/>
      <c r="I8">
        <f t="shared" si="1"/>
        <v>0</v>
      </c>
    </row>
    <row r="9" spans="1:9" ht="15" customHeight="1">
      <c r="A9" s="8">
        <v>7</v>
      </c>
      <c r="B9" s="14" t="s">
        <v>37</v>
      </c>
      <c r="C9" s="8">
        <v>351668142676005</v>
      </c>
      <c r="D9" s="10"/>
      <c r="E9" s="11">
        <v>850</v>
      </c>
      <c r="F9" s="11">
        <v>850</v>
      </c>
      <c r="G9" s="13">
        <f t="shared" si="0"/>
        <v>3034.5</v>
      </c>
      <c r="H9" s="11"/>
      <c r="I9">
        <f t="shared" si="1"/>
        <v>0</v>
      </c>
    </row>
    <row r="10" spans="1:9" ht="15" customHeight="1">
      <c r="A10" s="8">
        <v>8</v>
      </c>
      <c r="B10" s="14" t="s">
        <v>37</v>
      </c>
      <c r="C10" s="8">
        <v>356225420155569</v>
      </c>
      <c r="D10" s="10"/>
      <c r="E10" s="11">
        <v>850</v>
      </c>
      <c r="F10" s="11">
        <v>850</v>
      </c>
      <c r="G10" s="13">
        <f t="shared" si="0"/>
        <v>3034.5</v>
      </c>
      <c r="H10" s="11"/>
      <c r="I10">
        <f t="shared" si="1"/>
        <v>0</v>
      </c>
    </row>
    <row r="11" spans="1:9" ht="15" customHeight="1">
      <c r="A11" s="8">
        <v>9</v>
      </c>
      <c r="B11" s="14" t="s">
        <v>37</v>
      </c>
      <c r="C11" s="8">
        <v>351668142202596</v>
      </c>
      <c r="D11" s="10"/>
      <c r="E11" s="11">
        <v>850</v>
      </c>
      <c r="F11" s="11">
        <v>850</v>
      </c>
      <c r="G11" s="13">
        <f t="shared" si="0"/>
        <v>3034.5</v>
      </c>
      <c r="H11" s="11"/>
      <c r="I11">
        <f t="shared" si="1"/>
        <v>0</v>
      </c>
    </row>
    <row r="12" spans="1:9" ht="15" customHeight="1">
      <c r="A12" s="8">
        <v>10</v>
      </c>
      <c r="B12" s="14" t="s">
        <v>37</v>
      </c>
      <c r="C12" s="8">
        <v>358206139328836</v>
      </c>
      <c r="D12" s="10"/>
      <c r="E12" s="11">
        <v>850</v>
      </c>
      <c r="F12" s="11">
        <v>850</v>
      </c>
      <c r="G12" s="13">
        <f t="shared" si="0"/>
        <v>3034.5</v>
      </c>
      <c r="H12" s="11"/>
      <c r="I12">
        <f t="shared" si="1"/>
        <v>0</v>
      </c>
    </row>
    <row r="13" spans="1:9" ht="15" customHeight="1">
      <c r="A13" s="8">
        <v>11</v>
      </c>
      <c r="B13" s="9" t="s">
        <v>84</v>
      </c>
      <c r="C13" s="8">
        <v>357329449610254</v>
      </c>
      <c r="D13" s="10"/>
      <c r="E13" s="11">
        <v>1000</v>
      </c>
      <c r="F13" s="11">
        <v>1000</v>
      </c>
      <c r="G13" s="13">
        <f t="shared" si="0"/>
        <v>3570</v>
      </c>
      <c r="H13" s="11"/>
      <c r="I13">
        <f t="shared" si="1"/>
        <v>0</v>
      </c>
    </row>
    <row r="14" spans="1:9" ht="15" customHeight="1">
      <c r="A14" s="8">
        <v>12</v>
      </c>
      <c r="B14" s="9" t="s">
        <v>80</v>
      </c>
      <c r="C14" s="8">
        <v>350035239170766</v>
      </c>
      <c r="D14" s="10"/>
      <c r="E14" s="11">
        <v>800</v>
      </c>
      <c r="F14" s="11">
        <v>800</v>
      </c>
      <c r="G14" s="13">
        <f t="shared" si="0"/>
        <v>2856</v>
      </c>
      <c r="H14" s="11"/>
      <c r="I14">
        <f t="shared" si="1"/>
        <v>0</v>
      </c>
    </row>
    <row r="15" spans="1:9" ht="15" customHeight="1">
      <c r="A15" s="8">
        <v>13</v>
      </c>
      <c r="B15" s="14" t="s">
        <v>38</v>
      </c>
      <c r="C15" s="8">
        <v>351668144233029</v>
      </c>
      <c r="D15" s="10"/>
      <c r="E15" s="11">
        <v>800</v>
      </c>
      <c r="F15" s="11">
        <v>800</v>
      </c>
      <c r="G15" s="13">
        <f t="shared" si="0"/>
        <v>2856</v>
      </c>
      <c r="H15" s="11"/>
      <c r="I15">
        <f t="shared" si="1"/>
        <v>0</v>
      </c>
    </row>
    <row r="16" spans="1:9" ht="15" customHeight="1">
      <c r="A16" s="8">
        <v>14</v>
      </c>
      <c r="B16" s="14" t="s">
        <v>38</v>
      </c>
      <c r="C16" s="8">
        <v>359814713176981</v>
      </c>
      <c r="D16" s="10" t="s">
        <v>32</v>
      </c>
      <c r="E16" s="11">
        <v>800</v>
      </c>
      <c r="F16" s="11">
        <v>800</v>
      </c>
      <c r="G16" s="13">
        <f t="shared" si="0"/>
        <v>2856</v>
      </c>
      <c r="H16" s="11"/>
      <c r="I16">
        <f t="shared" si="1"/>
        <v>0</v>
      </c>
    </row>
    <row r="17" spans="1:9" ht="15" customHeight="1">
      <c r="A17" s="8">
        <v>15</v>
      </c>
      <c r="B17" s="14" t="s">
        <v>38</v>
      </c>
      <c r="C17" s="8">
        <v>350552899384362</v>
      </c>
      <c r="D17" s="10"/>
      <c r="E17" s="11">
        <v>800</v>
      </c>
      <c r="F17" s="11">
        <v>800</v>
      </c>
      <c r="G17" s="13">
        <f t="shared" si="0"/>
        <v>2856</v>
      </c>
      <c r="H17" s="11"/>
      <c r="I17">
        <f t="shared" si="1"/>
        <v>0</v>
      </c>
    </row>
    <row r="18" spans="1:9" ht="15" customHeight="1">
      <c r="A18" s="8">
        <v>16</v>
      </c>
      <c r="B18" s="14" t="s">
        <v>38</v>
      </c>
      <c r="C18" s="8">
        <v>350035236152296</v>
      </c>
      <c r="D18" s="10"/>
      <c r="E18" s="11">
        <v>800</v>
      </c>
      <c r="F18" s="11">
        <v>800</v>
      </c>
      <c r="G18" s="13">
        <f t="shared" si="0"/>
        <v>2856</v>
      </c>
      <c r="H18" s="11"/>
      <c r="I18">
        <f t="shared" si="1"/>
        <v>0</v>
      </c>
    </row>
    <row r="19" spans="1:9" ht="15" customHeight="1">
      <c r="A19" s="8">
        <v>17</v>
      </c>
      <c r="B19" s="9" t="s">
        <v>83</v>
      </c>
      <c r="C19" s="8">
        <v>351668144797411</v>
      </c>
      <c r="D19" s="10"/>
      <c r="E19" s="11">
        <v>920</v>
      </c>
      <c r="F19" s="11">
        <v>920</v>
      </c>
      <c r="G19" s="13">
        <f t="shared" si="0"/>
        <v>3284.3999999999996</v>
      </c>
      <c r="H19" s="11"/>
      <c r="I19">
        <f t="shared" si="1"/>
        <v>0</v>
      </c>
    </row>
    <row r="20" spans="1:9" ht="15" customHeight="1">
      <c r="A20" s="8">
        <v>18</v>
      </c>
      <c r="B20" s="14" t="s">
        <v>39</v>
      </c>
      <c r="C20" s="8">
        <v>350035238871117</v>
      </c>
      <c r="D20" s="10"/>
      <c r="E20" s="11">
        <v>920</v>
      </c>
      <c r="F20" s="11">
        <v>920</v>
      </c>
      <c r="G20" s="13">
        <f t="shared" si="0"/>
        <v>3284.3999999999996</v>
      </c>
      <c r="H20" s="11"/>
      <c r="I20">
        <f t="shared" si="1"/>
        <v>0</v>
      </c>
    </row>
    <row r="21" spans="1:9" ht="15" customHeight="1">
      <c r="A21" s="8">
        <v>19</v>
      </c>
      <c r="B21" s="14" t="s">
        <v>39</v>
      </c>
      <c r="C21" s="8">
        <v>350035238098323</v>
      </c>
      <c r="D21" s="10"/>
      <c r="E21" s="11">
        <v>920</v>
      </c>
      <c r="F21" s="11">
        <v>920</v>
      </c>
      <c r="G21" s="13">
        <f t="shared" si="0"/>
        <v>3284.3999999999996</v>
      </c>
      <c r="H21" s="11"/>
      <c r="I21">
        <f t="shared" si="1"/>
        <v>0</v>
      </c>
    </row>
    <row r="22" spans="1:9" ht="15" customHeight="1">
      <c r="A22" s="8">
        <v>20</v>
      </c>
      <c r="B22" s="14" t="s">
        <v>39</v>
      </c>
      <c r="C22" s="8">
        <v>358434703956861</v>
      </c>
      <c r="D22" s="10"/>
      <c r="E22" s="11">
        <v>920</v>
      </c>
      <c r="F22" s="11">
        <v>920</v>
      </c>
      <c r="G22" s="13">
        <f t="shared" si="0"/>
        <v>3284.3999999999996</v>
      </c>
      <c r="H22" s="11"/>
      <c r="I22">
        <f t="shared" si="1"/>
        <v>0</v>
      </c>
    </row>
    <row r="23" spans="1:9" ht="15" customHeight="1">
      <c r="A23" s="8">
        <v>21</v>
      </c>
      <c r="B23" s="9" t="s">
        <v>83</v>
      </c>
      <c r="C23" s="8">
        <v>358434707486378</v>
      </c>
      <c r="D23" s="10" t="s">
        <v>33</v>
      </c>
      <c r="E23" s="11">
        <v>1200</v>
      </c>
      <c r="F23" s="11">
        <v>1200</v>
      </c>
      <c r="G23" s="13">
        <f t="shared" si="0"/>
        <v>4284</v>
      </c>
      <c r="H23" s="11"/>
      <c r="I23">
        <f t="shared" si="1"/>
        <v>0</v>
      </c>
    </row>
    <row r="24" spans="1:9" ht="15" customHeight="1">
      <c r="A24" s="8">
        <v>22</v>
      </c>
      <c r="B24" s="14" t="s">
        <v>39</v>
      </c>
      <c r="C24" s="8">
        <v>350035238858098</v>
      </c>
      <c r="D24" s="10"/>
      <c r="E24" s="11">
        <v>920</v>
      </c>
      <c r="F24" s="11">
        <v>920</v>
      </c>
      <c r="G24" s="13">
        <f t="shared" si="0"/>
        <v>3284.3999999999996</v>
      </c>
      <c r="H24" s="11"/>
      <c r="I24">
        <f t="shared" si="1"/>
        <v>0</v>
      </c>
    </row>
    <row r="25" spans="1:9" ht="15" customHeight="1">
      <c r="A25" s="8">
        <v>23</v>
      </c>
      <c r="B25" s="14" t="s">
        <v>39</v>
      </c>
      <c r="C25" s="8">
        <v>353837419684269</v>
      </c>
      <c r="D25" s="10" t="s">
        <v>33</v>
      </c>
      <c r="E25" s="11">
        <v>1200</v>
      </c>
      <c r="F25" s="11">
        <v>1200</v>
      </c>
      <c r="G25" s="13">
        <f t="shared" si="0"/>
        <v>4284</v>
      </c>
      <c r="H25" s="11"/>
      <c r="I25">
        <f t="shared" si="1"/>
        <v>0</v>
      </c>
    </row>
    <row r="26" spans="1:9" ht="15" customHeight="1">
      <c r="A26" s="8">
        <v>24</v>
      </c>
      <c r="B26" s="14" t="s">
        <v>39</v>
      </c>
      <c r="C26" s="8">
        <v>351668144778999</v>
      </c>
      <c r="D26" s="10"/>
      <c r="E26" s="11">
        <v>920</v>
      </c>
      <c r="F26" s="11">
        <v>920</v>
      </c>
      <c r="G26" s="13">
        <f t="shared" si="0"/>
        <v>3284.3999999999996</v>
      </c>
      <c r="H26" s="11"/>
      <c r="I26">
        <f t="shared" si="1"/>
        <v>0</v>
      </c>
    </row>
    <row r="27" spans="1:9" ht="15" customHeight="1">
      <c r="A27" s="8">
        <v>25</v>
      </c>
      <c r="B27" s="9" t="s">
        <v>85</v>
      </c>
      <c r="C27" s="8">
        <v>351668143362647</v>
      </c>
      <c r="D27" s="10"/>
      <c r="E27" s="11">
        <v>1000</v>
      </c>
      <c r="F27" s="11">
        <v>1000</v>
      </c>
      <c r="G27" s="13">
        <f t="shared" si="0"/>
        <v>3570</v>
      </c>
      <c r="H27" s="11"/>
      <c r="I27">
        <f t="shared" si="1"/>
        <v>0</v>
      </c>
    </row>
    <row r="28" spans="1:9" ht="15.95" customHeight="1">
      <c r="A28" s="8">
        <v>26</v>
      </c>
      <c r="B28" s="9" t="s">
        <v>78</v>
      </c>
      <c r="C28" s="8">
        <v>351317527571577</v>
      </c>
      <c r="D28" s="10" t="s">
        <v>34</v>
      </c>
      <c r="E28" s="11">
        <v>1050</v>
      </c>
      <c r="F28" s="11">
        <v>1050</v>
      </c>
      <c r="G28" s="13">
        <f t="shared" si="0"/>
        <v>3748.5</v>
      </c>
      <c r="H28" s="11"/>
      <c r="I28">
        <f t="shared" si="1"/>
        <v>0</v>
      </c>
    </row>
    <row r="29" spans="1:9" ht="15" customHeight="1">
      <c r="A29" s="8">
        <v>27</v>
      </c>
      <c r="B29" s="9" t="s">
        <v>78</v>
      </c>
      <c r="C29" s="8">
        <v>354289634595970</v>
      </c>
      <c r="D29" s="10"/>
      <c r="E29" s="11">
        <v>750</v>
      </c>
      <c r="F29" s="11">
        <v>750</v>
      </c>
      <c r="G29" s="13">
        <f t="shared" si="0"/>
        <v>2677.5</v>
      </c>
      <c r="H29" s="11"/>
      <c r="I29">
        <f t="shared" si="1"/>
        <v>0</v>
      </c>
    </row>
    <row r="30" spans="1:9" ht="15" customHeight="1">
      <c r="A30" s="8">
        <v>28</v>
      </c>
      <c r="B30" s="14" t="s">
        <v>40</v>
      </c>
      <c r="C30" s="8">
        <v>359477636296441</v>
      </c>
      <c r="D30" s="10"/>
      <c r="E30" s="11">
        <v>750</v>
      </c>
      <c r="F30" s="11">
        <v>750</v>
      </c>
      <c r="G30" s="13">
        <f t="shared" si="0"/>
        <v>2677.5</v>
      </c>
      <c r="H30" s="11"/>
      <c r="I30">
        <f t="shared" si="1"/>
        <v>0</v>
      </c>
    </row>
    <row r="31" spans="1:9" ht="15" customHeight="1">
      <c r="A31" s="8">
        <v>29</v>
      </c>
      <c r="B31" s="14" t="s">
        <v>40</v>
      </c>
      <c r="C31" s="8">
        <v>351317527167566</v>
      </c>
      <c r="D31" s="10"/>
      <c r="E31" s="11">
        <v>750</v>
      </c>
      <c r="F31" s="11">
        <v>750</v>
      </c>
      <c r="G31" s="13">
        <f t="shared" si="0"/>
        <v>2677.5</v>
      </c>
      <c r="H31" s="11"/>
      <c r="I31">
        <f t="shared" si="1"/>
        <v>0</v>
      </c>
    </row>
    <row r="32" spans="1:9" ht="15" customHeight="1">
      <c r="A32" s="8">
        <v>30</v>
      </c>
      <c r="B32" s="9" t="s">
        <v>79</v>
      </c>
      <c r="C32" s="8">
        <v>356245419984696</v>
      </c>
      <c r="D32" s="10"/>
      <c r="E32" s="11">
        <v>750</v>
      </c>
      <c r="F32" s="11">
        <v>750</v>
      </c>
      <c r="G32" s="13">
        <f t="shared" si="0"/>
        <v>2677.5</v>
      </c>
      <c r="H32" s="11"/>
      <c r="I32">
        <f t="shared" si="1"/>
        <v>0</v>
      </c>
    </row>
    <row r="33" spans="1:9" ht="15" customHeight="1">
      <c r="A33" s="8">
        <v>31</v>
      </c>
      <c r="B33" s="9" t="s">
        <v>79</v>
      </c>
      <c r="C33" s="8">
        <v>355981558177996</v>
      </c>
      <c r="D33" s="10" t="s">
        <v>34</v>
      </c>
      <c r="E33" s="11">
        <v>1050</v>
      </c>
      <c r="F33" s="11">
        <v>1050</v>
      </c>
      <c r="G33" s="13">
        <f t="shared" si="0"/>
        <v>3748.5</v>
      </c>
      <c r="H33" s="11"/>
      <c r="I33">
        <f t="shared" si="1"/>
        <v>0</v>
      </c>
    </row>
    <row r="34" spans="1:9" ht="15" customHeight="1">
      <c r="A34" s="8">
        <v>32</v>
      </c>
      <c r="B34" s="14" t="s">
        <v>41</v>
      </c>
      <c r="C34" s="8">
        <v>357254479609234</v>
      </c>
      <c r="D34" s="10" t="s">
        <v>34</v>
      </c>
      <c r="E34" s="11">
        <v>1050</v>
      </c>
      <c r="F34" s="11">
        <v>1050</v>
      </c>
      <c r="G34" s="13">
        <f t="shared" si="0"/>
        <v>3748.5</v>
      </c>
      <c r="H34" s="11"/>
      <c r="I34">
        <f t="shared" si="1"/>
        <v>0</v>
      </c>
    </row>
    <row r="35" spans="1:9" ht="15" customHeight="1">
      <c r="A35" s="8">
        <v>33</v>
      </c>
      <c r="B35" s="14" t="s">
        <v>41</v>
      </c>
      <c r="C35" s="8">
        <v>355981558892487</v>
      </c>
      <c r="D35" s="10" t="s">
        <v>34</v>
      </c>
      <c r="E35" s="11">
        <v>1050</v>
      </c>
      <c r="F35" s="11">
        <v>1050</v>
      </c>
      <c r="G35" s="13">
        <f t="shared" si="0"/>
        <v>3748.5</v>
      </c>
      <c r="H35" s="11"/>
      <c r="I35">
        <f t="shared" si="1"/>
        <v>0</v>
      </c>
    </row>
    <row r="36" spans="1:9" ht="15" customHeight="1">
      <c r="A36" s="8">
        <v>34</v>
      </c>
      <c r="B36" s="9" t="s">
        <v>86</v>
      </c>
      <c r="C36" s="8">
        <v>355079366859689</v>
      </c>
      <c r="D36" s="10" t="s">
        <v>34</v>
      </c>
      <c r="E36" s="11">
        <v>1050</v>
      </c>
      <c r="F36" s="11">
        <v>1050</v>
      </c>
      <c r="G36" s="13">
        <f t="shared" si="0"/>
        <v>3748.5</v>
      </c>
      <c r="H36" s="11"/>
      <c r="I36">
        <f t="shared" si="1"/>
        <v>0</v>
      </c>
    </row>
    <row r="37" spans="1:9" ht="15" customHeight="1">
      <c r="A37" s="8">
        <v>35</v>
      </c>
      <c r="B37" s="14" t="s">
        <v>42</v>
      </c>
      <c r="C37" s="8">
        <v>355832514469896</v>
      </c>
      <c r="D37" s="10" t="s">
        <v>34</v>
      </c>
      <c r="E37" s="11">
        <v>1050</v>
      </c>
      <c r="F37" s="11">
        <v>1050</v>
      </c>
      <c r="G37" s="13">
        <f t="shared" si="0"/>
        <v>3748.5</v>
      </c>
      <c r="H37" s="11"/>
      <c r="I37">
        <f t="shared" si="1"/>
        <v>0</v>
      </c>
    </row>
    <row r="38" spans="1:9" ht="15" customHeight="1">
      <c r="A38" s="8">
        <v>36</v>
      </c>
      <c r="B38" s="9" t="s">
        <v>86</v>
      </c>
      <c r="C38" s="8">
        <v>355500355592254</v>
      </c>
      <c r="D38" s="10" t="s">
        <v>33</v>
      </c>
      <c r="E38" s="11">
        <v>1100</v>
      </c>
      <c r="F38" s="11">
        <v>1100</v>
      </c>
      <c r="G38" s="13">
        <f t="shared" si="0"/>
        <v>3927</v>
      </c>
      <c r="H38" s="11"/>
      <c r="I38">
        <f t="shared" si="1"/>
        <v>0</v>
      </c>
    </row>
    <row r="39" spans="1:9" ht="15" customHeight="1">
      <c r="A39" s="8">
        <v>37</v>
      </c>
      <c r="B39" s="14" t="s">
        <v>42</v>
      </c>
      <c r="C39" s="8">
        <v>356839675708912</v>
      </c>
      <c r="D39" s="10" t="s">
        <v>33</v>
      </c>
      <c r="E39" s="11">
        <v>1100</v>
      </c>
      <c r="F39" s="11">
        <v>1100</v>
      </c>
      <c r="G39" s="13">
        <f t="shared" si="0"/>
        <v>3927</v>
      </c>
      <c r="H39" s="11"/>
      <c r="I39">
        <f t="shared" si="1"/>
        <v>0</v>
      </c>
    </row>
    <row r="40" spans="1:9" ht="15" customHeight="1">
      <c r="A40" s="8">
        <v>38</v>
      </c>
      <c r="B40" s="9" t="s">
        <v>73</v>
      </c>
      <c r="C40" s="8">
        <v>355785878509295</v>
      </c>
      <c r="D40" s="10" t="s">
        <v>33</v>
      </c>
      <c r="E40" s="11">
        <v>700</v>
      </c>
      <c r="F40" s="11">
        <v>700</v>
      </c>
      <c r="G40" s="13">
        <f t="shared" si="0"/>
        <v>2499</v>
      </c>
      <c r="H40" s="11"/>
      <c r="I40">
        <f t="shared" si="1"/>
        <v>0</v>
      </c>
    </row>
    <row r="41" spans="1:9" ht="15" customHeight="1">
      <c r="A41" s="8">
        <v>39</v>
      </c>
      <c r="B41" s="9" t="s">
        <v>73</v>
      </c>
      <c r="C41" s="8">
        <v>351555247807892</v>
      </c>
      <c r="D41" s="10" t="s">
        <v>32</v>
      </c>
      <c r="E41" s="11">
        <v>500</v>
      </c>
      <c r="F41" s="11">
        <v>500</v>
      </c>
      <c r="G41" s="13">
        <f t="shared" si="0"/>
        <v>1785</v>
      </c>
      <c r="H41" s="11"/>
      <c r="I41">
        <f t="shared" si="1"/>
        <v>0</v>
      </c>
    </row>
    <row r="42" spans="1:9" ht="15" customHeight="1">
      <c r="A42" s="8">
        <v>40</v>
      </c>
      <c r="B42" s="9" t="s">
        <v>74</v>
      </c>
      <c r="C42" s="8">
        <v>351614409967901</v>
      </c>
      <c r="D42" s="10" t="s">
        <v>32</v>
      </c>
      <c r="E42" s="11">
        <v>590</v>
      </c>
      <c r="F42" s="11">
        <v>590</v>
      </c>
      <c r="G42" s="13">
        <f t="shared" si="0"/>
        <v>2106.2999999999997</v>
      </c>
      <c r="H42" s="12" t="s">
        <v>58</v>
      </c>
      <c r="I42">
        <f t="shared" si="1"/>
        <v>0</v>
      </c>
    </row>
    <row r="43" spans="1:9" ht="15" customHeight="1">
      <c r="A43" s="8">
        <v>41</v>
      </c>
      <c r="B43" s="9" t="s">
        <v>87</v>
      </c>
      <c r="C43" s="8">
        <v>352355705514554</v>
      </c>
      <c r="D43" s="10" t="s">
        <v>35</v>
      </c>
      <c r="E43" s="11">
        <v>1050</v>
      </c>
      <c r="F43" s="10">
        <v>980</v>
      </c>
      <c r="G43" s="13">
        <f t="shared" si="0"/>
        <v>3498.6</v>
      </c>
      <c r="H43" s="12" t="s">
        <v>57</v>
      </c>
      <c r="I43">
        <f t="shared" si="1"/>
        <v>-70</v>
      </c>
    </row>
    <row r="44" spans="1:9" ht="15" customHeight="1">
      <c r="A44" s="8">
        <v>42</v>
      </c>
      <c r="B44" s="14" t="s">
        <v>43</v>
      </c>
      <c r="C44" s="8">
        <v>352355703561342</v>
      </c>
      <c r="D44" s="10" t="s">
        <v>35</v>
      </c>
      <c r="E44" s="11">
        <v>1050</v>
      </c>
      <c r="F44" s="10">
        <v>980</v>
      </c>
      <c r="G44" s="13">
        <f t="shared" si="0"/>
        <v>3498.6</v>
      </c>
      <c r="H44" s="12" t="s">
        <v>57</v>
      </c>
      <c r="I44">
        <f t="shared" si="1"/>
        <v>-70</v>
      </c>
    </row>
    <row r="45" spans="1:9" ht="15" customHeight="1">
      <c r="A45" s="8">
        <v>43</v>
      </c>
      <c r="B45" s="9" t="s">
        <v>87</v>
      </c>
      <c r="C45" s="8">
        <v>352355702450729</v>
      </c>
      <c r="D45" s="10"/>
      <c r="E45" s="11">
        <v>1050</v>
      </c>
      <c r="F45" s="10">
        <v>1030</v>
      </c>
      <c r="G45" s="13">
        <f t="shared" si="0"/>
        <v>3677.1</v>
      </c>
      <c r="H45" s="11"/>
      <c r="I45">
        <f t="shared" si="1"/>
        <v>-20</v>
      </c>
    </row>
    <row r="46" spans="1:9" ht="15" customHeight="1">
      <c r="A46" s="8">
        <v>44</v>
      </c>
      <c r="B46" s="9" t="s">
        <v>88</v>
      </c>
      <c r="C46" s="8" t="s">
        <v>3</v>
      </c>
      <c r="D46" s="10"/>
      <c r="E46" s="11">
        <v>1240</v>
      </c>
      <c r="F46" s="11">
        <v>1240</v>
      </c>
      <c r="G46" s="13">
        <f t="shared" si="0"/>
        <v>4426.8</v>
      </c>
      <c r="H46" s="11"/>
      <c r="I46">
        <f t="shared" si="1"/>
        <v>0</v>
      </c>
    </row>
    <row r="47" spans="1:9" ht="15" customHeight="1">
      <c r="A47" s="8">
        <v>45</v>
      </c>
      <c r="B47" s="14" t="s">
        <v>44</v>
      </c>
      <c r="C47" s="8" t="s">
        <v>4</v>
      </c>
      <c r="D47" s="10"/>
      <c r="E47" s="11">
        <v>1240</v>
      </c>
      <c r="F47" s="11">
        <v>1240</v>
      </c>
      <c r="G47" s="13">
        <f t="shared" si="0"/>
        <v>4426.8</v>
      </c>
      <c r="H47" s="11"/>
      <c r="I47">
        <f t="shared" si="1"/>
        <v>0</v>
      </c>
    </row>
    <row r="48" spans="1:9" ht="15" customHeight="1">
      <c r="A48" s="8">
        <v>46</v>
      </c>
      <c r="B48" s="9" t="s">
        <v>81</v>
      </c>
      <c r="C48" s="8">
        <v>358112933195803</v>
      </c>
      <c r="D48" s="10"/>
      <c r="E48" s="11">
        <v>940</v>
      </c>
      <c r="F48" s="10">
        <v>940</v>
      </c>
      <c r="G48" s="13">
        <f t="shared" si="0"/>
        <v>3355.7999999999997</v>
      </c>
      <c r="H48" s="11"/>
      <c r="I48">
        <f t="shared" si="1"/>
        <v>0</v>
      </c>
    </row>
    <row r="49" spans="1:9" ht="15" customHeight="1">
      <c r="A49" s="8">
        <v>47</v>
      </c>
      <c r="B49" s="14" t="s">
        <v>45</v>
      </c>
      <c r="C49" s="8">
        <v>358112934612863</v>
      </c>
      <c r="D49" s="10"/>
      <c r="E49" s="11">
        <v>940</v>
      </c>
      <c r="F49" s="11">
        <v>940</v>
      </c>
      <c r="G49" s="13">
        <f t="shared" si="0"/>
        <v>3355.7999999999997</v>
      </c>
      <c r="H49" s="11"/>
      <c r="I49">
        <f t="shared" si="1"/>
        <v>0</v>
      </c>
    </row>
    <row r="50" spans="1:9" ht="15" customHeight="1">
      <c r="A50" s="8">
        <v>48</v>
      </c>
      <c r="B50" s="9" t="s">
        <v>81</v>
      </c>
      <c r="C50" s="8">
        <v>358112933674385</v>
      </c>
      <c r="D50" s="10" t="s">
        <v>35</v>
      </c>
      <c r="E50" s="11">
        <v>820</v>
      </c>
      <c r="F50" s="11">
        <v>820</v>
      </c>
      <c r="G50" s="13">
        <f t="shared" si="0"/>
        <v>2927.4</v>
      </c>
      <c r="H50" s="12" t="s">
        <v>57</v>
      </c>
      <c r="I50">
        <f t="shared" si="1"/>
        <v>0</v>
      </c>
    </row>
    <row r="51" spans="1:9" ht="15" customHeight="1">
      <c r="A51" s="8">
        <v>49</v>
      </c>
      <c r="B51" s="9" t="s">
        <v>89</v>
      </c>
      <c r="C51" s="8" t="s">
        <v>5</v>
      </c>
      <c r="D51" s="10" t="s">
        <v>36</v>
      </c>
      <c r="E51" s="11">
        <v>1525</v>
      </c>
      <c r="F51" s="12">
        <v>1525</v>
      </c>
      <c r="G51" s="13">
        <f t="shared" si="0"/>
        <v>5444.25</v>
      </c>
      <c r="H51" s="11"/>
      <c r="I51">
        <f t="shared" si="1"/>
        <v>0</v>
      </c>
    </row>
    <row r="52" spans="1:9" ht="15.95" customHeight="1">
      <c r="A52" s="8">
        <v>50</v>
      </c>
      <c r="B52" s="9" t="s">
        <v>75</v>
      </c>
      <c r="C52" s="8" t="s">
        <v>6</v>
      </c>
      <c r="D52" s="10"/>
      <c r="E52" s="11">
        <v>600</v>
      </c>
      <c r="F52" s="11">
        <v>600</v>
      </c>
      <c r="G52" s="13">
        <f t="shared" si="0"/>
        <v>2142</v>
      </c>
      <c r="H52" s="11"/>
      <c r="I52">
        <f t="shared" si="1"/>
        <v>0</v>
      </c>
    </row>
    <row r="53" spans="1:9" ht="15" customHeight="1">
      <c r="A53" s="8">
        <v>51</v>
      </c>
      <c r="B53" s="9" t="s">
        <v>66</v>
      </c>
      <c r="C53" s="8">
        <v>350094265527647</v>
      </c>
      <c r="D53" s="10" t="s">
        <v>35</v>
      </c>
      <c r="E53" s="11">
        <v>285</v>
      </c>
      <c r="F53" s="11">
        <v>250</v>
      </c>
      <c r="G53" s="13">
        <f t="shared" si="0"/>
        <v>892.5</v>
      </c>
      <c r="H53" s="12" t="s">
        <v>57</v>
      </c>
      <c r="I53">
        <f t="shared" si="1"/>
        <v>-35</v>
      </c>
    </row>
    <row r="54" spans="1:9" ht="15" customHeight="1">
      <c r="A54" s="8">
        <v>52</v>
      </c>
      <c r="B54" s="9" t="s">
        <v>67</v>
      </c>
      <c r="C54" s="8" t="s">
        <v>7</v>
      </c>
      <c r="D54" s="10"/>
      <c r="E54" s="11">
        <v>285</v>
      </c>
      <c r="F54" s="11">
        <v>285</v>
      </c>
      <c r="G54" s="13">
        <f t="shared" si="0"/>
        <v>1017.4499999999999</v>
      </c>
      <c r="H54" s="11"/>
      <c r="I54">
        <f t="shared" si="1"/>
        <v>0</v>
      </c>
    </row>
    <row r="55" spans="1:9" ht="15" customHeight="1">
      <c r="A55" s="8">
        <v>53</v>
      </c>
      <c r="B55" s="9" t="s">
        <v>65</v>
      </c>
      <c r="C55" s="15" t="s">
        <v>8</v>
      </c>
      <c r="D55" s="16" t="s">
        <v>64</v>
      </c>
      <c r="E55" s="11">
        <v>175</v>
      </c>
      <c r="F55" s="11">
        <v>150</v>
      </c>
      <c r="G55" s="13">
        <f t="shared" si="0"/>
        <v>535.5</v>
      </c>
      <c r="H55" s="11"/>
      <c r="I55">
        <f t="shared" si="1"/>
        <v>-25</v>
      </c>
    </row>
    <row r="56" spans="1:9" ht="15" customHeight="1">
      <c r="A56" s="8">
        <v>54</v>
      </c>
      <c r="B56" s="9" t="s">
        <v>90</v>
      </c>
      <c r="C56" s="8" t="s">
        <v>9</v>
      </c>
      <c r="D56" s="10"/>
      <c r="E56" s="11">
        <v>3500</v>
      </c>
      <c r="F56" s="12">
        <v>3500</v>
      </c>
      <c r="G56" s="13">
        <f t="shared" si="0"/>
        <v>12495</v>
      </c>
      <c r="H56" s="11"/>
      <c r="I56">
        <f t="shared" si="1"/>
        <v>0</v>
      </c>
    </row>
    <row r="57" spans="1:9" ht="15" customHeight="1">
      <c r="A57" s="8">
        <v>55</v>
      </c>
      <c r="B57" s="9" t="s">
        <v>76</v>
      </c>
      <c r="C57" s="8">
        <v>355827875276963</v>
      </c>
      <c r="D57" s="10"/>
      <c r="E57" s="11">
        <v>665</v>
      </c>
      <c r="F57" s="11">
        <v>655</v>
      </c>
      <c r="G57" s="13">
        <f t="shared" si="0"/>
        <v>2338.35</v>
      </c>
      <c r="H57" s="11"/>
      <c r="I57">
        <f t="shared" si="1"/>
        <v>-10</v>
      </c>
    </row>
    <row r="58" spans="1:9" ht="15" customHeight="1">
      <c r="A58" s="8">
        <v>56</v>
      </c>
      <c r="B58" s="9" t="s">
        <v>77</v>
      </c>
      <c r="C58" s="8">
        <v>356187984081401</v>
      </c>
      <c r="D58" s="10"/>
      <c r="E58" s="11">
        <v>665</v>
      </c>
      <c r="F58" s="11">
        <v>655</v>
      </c>
      <c r="G58" s="13">
        <f t="shared" si="0"/>
        <v>2338.35</v>
      </c>
      <c r="H58" s="11"/>
      <c r="I58">
        <f t="shared" si="1"/>
        <v>-10</v>
      </c>
    </row>
    <row r="59" spans="1:9" ht="15" customHeight="1">
      <c r="A59" s="8">
        <v>57</v>
      </c>
      <c r="B59" s="9" t="s">
        <v>72</v>
      </c>
      <c r="C59" s="8" t="s">
        <v>10</v>
      </c>
      <c r="D59" s="10"/>
      <c r="E59" s="11">
        <v>415</v>
      </c>
      <c r="F59" s="12">
        <v>415</v>
      </c>
      <c r="G59" s="13">
        <f t="shared" si="0"/>
        <v>1481.55</v>
      </c>
      <c r="H59" s="11"/>
      <c r="I59">
        <f t="shared" si="1"/>
        <v>0</v>
      </c>
    </row>
    <row r="60" spans="1:9" ht="15" customHeight="1">
      <c r="A60" s="8">
        <v>58</v>
      </c>
      <c r="B60" s="14" t="s">
        <v>46</v>
      </c>
      <c r="C60" s="8" t="s">
        <v>11</v>
      </c>
      <c r="D60" s="10"/>
      <c r="E60" s="11">
        <v>415</v>
      </c>
      <c r="F60" s="12">
        <v>415</v>
      </c>
      <c r="G60" s="13">
        <f t="shared" si="0"/>
        <v>1481.55</v>
      </c>
      <c r="H60" s="11"/>
      <c r="I60">
        <f t="shared" si="1"/>
        <v>0</v>
      </c>
    </row>
    <row r="61" spans="1:9" ht="15" customHeight="1">
      <c r="A61" s="8">
        <v>59</v>
      </c>
      <c r="B61" s="14" t="s">
        <v>46</v>
      </c>
      <c r="C61" s="8" t="s">
        <v>12</v>
      </c>
      <c r="D61" s="10"/>
      <c r="E61" s="11">
        <v>415</v>
      </c>
      <c r="F61" s="12">
        <v>415</v>
      </c>
      <c r="G61" s="13">
        <f t="shared" si="0"/>
        <v>1481.55</v>
      </c>
      <c r="H61" s="11"/>
      <c r="I61">
        <f t="shared" si="1"/>
        <v>0</v>
      </c>
    </row>
    <row r="62" spans="1:9" ht="15" customHeight="1">
      <c r="A62" s="8">
        <v>60</v>
      </c>
      <c r="B62" s="9" t="s">
        <v>71</v>
      </c>
      <c r="C62" s="8" t="s">
        <v>13</v>
      </c>
      <c r="D62" s="10"/>
      <c r="E62" s="11">
        <v>410</v>
      </c>
      <c r="F62" s="11">
        <v>410</v>
      </c>
      <c r="G62" s="13">
        <f t="shared" si="0"/>
        <v>1463.7</v>
      </c>
      <c r="H62" s="11"/>
      <c r="I62">
        <f t="shared" si="1"/>
        <v>0</v>
      </c>
    </row>
    <row r="63" spans="1:9" ht="15" customHeight="1">
      <c r="A63" s="8">
        <v>61</v>
      </c>
      <c r="B63" s="9" t="s">
        <v>62</v>
      </c>
      <c r="C63" s="8">
        <v>355008321665386</v>
      </c>
      <c r="D63" s="10"/>
      <c r="E63" s="11">
        <v>42</v>
      </c>
      <c r="F63" s="11">
        <v>25</v>
      </c>
      <c r="G63" s="13">
        <f t="shared" si="0"/>
        <v>89.25</v>
      </c>
      <c r="H63" s="11"/>
      <c r="I63">
        <f t="shared" si="1"/>
        <v>-17</v>
      </c>
    </row>
    <row r="64" spans="1:9" ht="15" customHeight="1">
      <c r="A64" s="8">
        <v>62</v>
      </c>
      <c r="B64" s="14" t="s">
        <v>47</v>
      </c>
      <c r="C64" s="8">
        <v>355008321735387</v>
      </c>
      <c r="D64" s="10"/>
      <c r="E64" s="11">
        <v>42</v>
      </c>
      <c r="F64" s="11">
        <v>25</v>
      </c>
      <c r="G64" s="13">
        <f t="shared" si="0"/>
        <v>89.25</v>
      </c>
      <c r="H64" s="11"/>
      <c r="I64">
        <f t="shared" si="1"/>
        <v>-17</v>
      </c>
    </row>
    <row r="65" spans="1:9" ht="15" customHeight="1">
      <c r="A65" s="8">
        <v>63</v>
      </c>
      <c r="B65" s="9" t="s">
        <v>60</v>
      </c>
      <c r="C65" s="8">
        <v>359542652083740</v>
      </c>
      <c r="D65" s="10" t="s">
        <v>32</v>
      </c>
      <c r="E65" s="11">
        <v>34</v>
      </c>
      <c r="F65" s="11">
        <v>25</v>
      </c>
      <c r="G65" s="13">
        <f t="shared" si="0"/>
        <v>89.25</v>
      </c>
      <c r="H65" s="12" t="s">
        <v>56</v>
      </c>
      <c r="I65">
        <f t="shared" si="1"/>
        <v>-9</v>
      </c>
    </row>
    <row r="66" spans="1:9" ht="15" customHeight="1">
      <c r="A66" s="8">
        <v>64</v>
      </c>
      <c r="B66" s="14" t="s">
        <v>48</v>
      </c>
      <c r="C66" s="8">
        <v>353054820697423</v>
      </c>
      <c r="D66" s="10"/>
      <c r="E66" s="11">
        <v>34</v>
      </c>
      <c r="F66" s="11">
        <v>25</v>
      </c>
      <c r="G66" s="13">
        <f t="shared" si="0"/>
        <v>89.25</v>
      </c>
      <c r="H66" s="11"/>
      <c r="I66">
        <f t="shared" si="1"/>
        <v>-9</v>
      </c>
    </row>
    <row r="67" spans="1:9" ht="15" customHeight="1">
      <c r="A67" s="8">
        <v>65</v>
      </c>
      <c r="B67" s="9" t="s">
        <v>61</v>
      </c>
      <c r="C67" s="8">
        <v>350803920641415</v>
      </c>
      <c r="D67" s="10" t="s">
        <v>32</v>
      </c>
      <c r="E67" s="11">
        <v>34</v>
      </c>
      <c r="F67" s="11">
        <v>25</v>
      </c>
      <c r="G67" s="13">
        <f t="shared" si="0"/>
        <v>89.25</v>
      </c>
      <c r="H67" s="12" t="s">
        <v>56</v>
      </c>
      <c r="I67">
        <f t="shared" si="1"/>
        <v>-9</v>
      </c>
    </row>
    <row r="68" spans="1:9" ht="15" customHeight="1">
      <c r="A68" s="8">
        <v>66</v>
      </c>
      <c r="B68" s="14" t="s">
        <v>49</v>
      </c>
      <c r="C68" s="8">
        <v>350803920643619</v>
      </c>
      <c r="D68" s="10"/>
      <c r="E68" s="11">
        <v>34</v>
      </c>
      <c r="F68" s="11">
        <v>25</v>
      </c>
      <c r="G68" s="13">
        <f t="shared" ref="G68:G96" si="2">F68*3.57</f>
        <v>89.25</v>
      </c>
      <c r="H68" s="11"/>
      <c r="I68">
        <f t="shared" ref="I68:I96" si="3">F68-E68</f>
        <v>-9</v>
      </c>
    </row>
    <row r="69" spans="1:9" ht="15" customHeight="1">
      <c r="A69" s="8">
        <v>67</v>
      </c>
      <c r="B69" s="14" t="s">
        <v>49</v>
      </c>
      <c r="C69" s="8">
        <v>350803920641423</v>
      </c>
      <c r="D69" s="10"/>
      <c r="E69" s="11">
        <v>34</v>
      </c>
      <c r="F69" s="11">
        <v>25</v>
      </c>
      <c r="G69" s="13">
        <f t="shared" si="2"/>
        <v>89.25</v>
      </c>
      <c r="H69" s="11"/>
      <c r="I69">
        <f t="shared" si="3"/>
        <v>-9</v>
      </c>
    </row>
    <row r="70" spans="1:9" ht="15" customHeight="1">
      <c r="A70" s="8">
        <v>68</v>
      </c>
      <c r="B70" s="14" t="s">
        <v>49</v>
      </c>
      <c r="C70" s="8">
        <v>350803920649194</v>
      </c>
      <c r="D70" s="10"/>
      <c r="E70" s="11">
        <v>34</v>
      </c>
      <c r="F70" s="11">
        <v>25</v>
      </c>
      <c r="G70" s="13">
        <f t="shared" si="2"/>
        <v>89.25</v>
      </c>
      <c r="H70" s="11"/>
      <c r="I70">
        <f t="shared" si="3"/>
        <v>-9</v>
      </c>
    </row>
    <row r="71" spans="1:9" ht="15" customHeight="1">
      <c r="A71" s="8">
        <v>69</v>
      </c>
      <c r="B71" s="14" t="s">
        <v>49</v>
      </c>
      <c r="C71" s="8">
        <v>350803920931865</v>
      </c>
      <c r="D71" s="10"/>
      <c r="E71" s="11">
        <v>34</v>
      </c>
      <c r="F71" s="11">
        <v>25</v>
      </c>
      <c r="G71" s="13">
        <f t="shared" si="2"/>
        <v>89.25</v>
      </c>
      <c r="H71" s="11"/>
      <c r="I71">
        <f t="shared" si="3"/>
        <v>-9</v>
      </c>
    </row>
    <row r="72" spans="1:9" ht="15" customHeight="1">
      <c r="A72" s="8">
        <v>70</v>
      </c>
      <c r="B72" s="14" t="s">
        <v>49</v>
      </c>
      <c r="C72" s="8">
        <v>350803920918680</v>
      </c>
      <c r="D72" s="10"/>
      <c r="E72" s="11">
        <v>34</v>
      </c>
      <c r="F72" s="11">
        <v>25</v>
      </c>
      <c r="G72" s="13">
        <f t="shared" si="2"/>
        <v>89.25</v>
      </c>
      <c r="H72" s="11"/>
      <c r="I72">
        <f t="shared" si="3"/>
        <v>-9</v>
      </c>
    </row>
    <row r="73" spans="1:9" ht="15" customHeight="1">
      <c r="A73" s="8">
        <v>71</v>
      </c>
      <c r="B73" s="14" t="s">
        <v>49</v>
      </c>
      <c r="C73" s="8">
        <v>350803920831081</v>
      </c>
      <c r="D73" s="10"/>
      <c r="E73" s="11">
        <v>34</v>
      </c>
      <c r="F73" s="11">
        <v>25</v>
      </c>
      <c r="G73" s="13">
        <f t="shared" si="2"/>
        <v>89.25</v>
      </c>
      <c r="H73" s="11"/>
      <c r="I73">
        <f t="shared" si="3"/>
        <v>-9</v>
      </c>
    </row>
    <row r="74" spans="1:9" ht="15.6" customHeight="1">
      <c r="A74" s="8">
        <v>72</v>
      </c>
      <c r="B74" s="14" t="s">
        <v>49</v>
      </c>
      <c r="C74" s="8">
        <v>350803920644005</v>
      </c>
      <c r="D74" s="10"/>
      <c r="E74" s="11">
        <v>34</v>
      </c>
      <c r="F74" s="11">
        <v>25</v>
      </c>
      <c r="G74" s="13">
        <f t="shared" si="2"/>
        <v>89.25</v>
      </c>
      <c r="H74" s="11"/>
      <c r="I74">
        <f t="shared" si="3"/>
        <v>-9</v>
      </c>
    </row>
    <row r="75" spans="1:9" ht="15" customHeight="1">
      <c r="A75" s="8">
        <v>73</v>
      </c>
      <c r="B75" s="14" t="s">
        <v>49</v>
      </c>
      <c r="C75" s="8">
        <v>350803921283555</v>
      </c>
      <c r="D75" s="10"/>
      <c r="E75" s="11">
        <v>34</v>
      </c>
      <c r="F75" s="11">
        <v>25</v>
      </c>
      <c r="G75" s="13">
        <f t="shared" si="2"/>
        <v>89.25</v>
      </c>
      <c r="H75" s="11"/>
      <c r="I75">
        <f t="shared" si="3"/>
        <v>-9</v>
      </c>
    </row>
    <row r="76" spans="1:9" ht="15" customHeight="1">
      <c r="A76" s="8">
        <v>74</v>
      </c>
      <c r="B76" s="14" t="s">
        <v>49</v>
      </c>
      <c r="C76" s="8">
        <v>350803920634865</v>
      </c>
      <c r="D76" s="10"/>
      <c r="E76" s="11">
        <v>34</v>
      </c>
      <c r="F76" s="11">
        <v>25</v>
      </c>
      <c r="G76" s="13">
        <f t="shared" si="2"/>
        <v>89.25</v>
      </c>
      <c r="H76" s="11"/>
      <c r="I76">
        <f t="shared" si="3"/>
        <v>-9</v>
      </c>
    </row>
    <row r="77" spans="1:9" ht="15" customHeight="1">
      <c r="A77" s="8">
        <v>75</v>
      </c>
      <c r="B77" s="14" t="s">
        <v>49</v>
      </c>
      <c r="C77" s="8">
        <v>350803920643718</v>
      </c>
      <c r="D77" s="10"/>
      <c r="E77" s="11">
        <v>34</v>
      </c>
      <c r="F77" s="11">
        <v>25</v>
      </c>
      <c r="G77" s="13">
        <f t="shared" si="2"/>
        <v>89.25</v>
      </c>
      <c r="H77" s="11"/>
      <c r="I77">
        <f t="shared" si="3"/>
        <v>-9</v>
      </c>
    </row>
    <row r="78" spans="1:9" ht="15.95" customHeight="1">
      <c r="A78" s="8">
        <v>76</v>
      </c>
      <c r="B78" s="9" t="s">
        <v>63</v>
      </c>
      <c r="C78" s="8">
        <v>358986550911174</v>
      </c>
      <c r="D78" s="10"/>
      <c r="E78" s="11">
        <v>42</v>
      </c>
      <c r="F78" s="11">
        <v>25</v>
      </c>
      <c r="G78" s="13">
        <f t="shared" si="2"/>
        <v>89.25</v>
      </c>
      <c r="H78" s="11"/>
      <c r="I78">
        <f t="shared" si="3"/>
        <v>-17</v>
      </c>
    </row>
    <row r="79" spans="1:9" ht="15" customHeight="1">
      <c r="A79" s="8">
        <v>77</v>
      </c>
      <c r="B79" s="14" t="s">
        <v>50</v>
      </c>
      <c r="C79" s="8" t="s">
        <v>14</v>
      </c>
      <c r="D79" s="10"/>
      <c r="E79" s="11">
        <v>470</v>
      </c>
      <c r="F79" s="11">
        <v>470</v>
      </c>
      <c r="G79" s="13">
        <f t="shared" si="2"/>
        <v>1677.8999999999999</v>
      </c>
      <c r="H79" s="11"/>
      <c r="I79">
        <f t="shared" si="3"/>
        <v>0</v>
      </c>
    </row>
    <row r="80" spans="1:9" ht="15" customHeight="1">
      <c r="A80" s="8">
        <v>78</v>
      </c>
      <c r="B80" s="14" t="s">
        <v>50</v>
      </c>
      <c r="C80" s="8" t="s">
        <v>15</v>
      </c>
      <c r="D80" s="10"/>
      <c r="E80" s="11">
        <v>470</v>
      </c>
      <c r="F80" s="11">
        <v>470</v>
      </c>
      <c r="G80" s="13">
        <f t="shared" si="2"/>
        <v>1677.8999999999999</v>
      </c>
      <c r="H80" s="11"/>
      <c r="I80">
        <f t="shared" si="3"/>
        <v>0</v>
      </c>
    </row>
    <row r="81" spans="1:9" ht="15" customHeight="1">
      <c r="A81" s="8">
        <v>79</v>
      </c>
      <c r="B81" s="14" t="s">
        <v>50</v>
      </c>
      <c r="C81" s="8" t="s">
        <v>16</v>
      </c>
      <c r="D81" s="10"/>
      <c r="E81" s="11">
        <v>470</v>
      </c>
      <c r="F81" s="11">
        <v>470</v>
      </c>
      <c r="G81" s="13">
        <f t="shared" si="2"/>
        <v>1677.8999999999999</v>
      </c>
      <c r="H81" s="11"/>
      <c r="I81">
        <f t="shared" si="3"/>
        <v>0</v>
      </c>
    </row>
    <row r="82" spans="1:9" ht="15" customHeight="1">
      <c r="A82" s="8">
        <v>80</v>
      </c>
      <c r="B82" s="14" t="s">
        <v>50</v>
      </c>
      <c r="C82" s="8" t="s">
        <v>17</v>
      </c>
      <c r="D82" s="10"/>
      <c r="E82" s="11">
        <v>470</v>
      </c>
      <c r="F82" s="11">
        <v>470</v>
      </c>
      <c r="G82" s="13">
        <f t="shared" si="2"/>
        <v>1677.8999999999999</v>
      </c>
      <c r="H82" s="11"/>
      <c r="I82">
        <f t="shared" si="3"/>
        <v>0</v>
      </c>
    </row>
    <row r="83" spans="1:9" ht="15" customHeight="1">
      <c r="A83" s="8">
        <v>81</v>
      </c>
      <c r="B83" s="14" t="s">
        <v>50</v>
      </c>
      <c r="C83" s="8" t="s">
        <v>18</v>
      </c>
      <c r="D83" s="10"/>
      <c r="E83" s="11">
        <v>470</v>
      </c>
      <c r="F83" s="11">
        <v>470</v>
      </c>
      <c r="G83" s="13">
        <f t="shared" si="2"/>
        <v>1677.8999999999999</v>
      </c>
      <c r="H83" s="11"/>
      <c r="I83">
        <f t="shared" si="3"/>
        <v>0</v>
      </c>
    </row>
    <row r="84" spans="1:9" ht="15" customHeight="1">
      <c r="A84" s="8">
        <v>82</v>
      </c>
      <c r="B84" s="14" t="s">
        <v>50</v>
      </c>
      <c r="C84" s="8" t="s">
        <v>19</v>
      </c>
      <c r="D84" s="10"/>
      <c r="E84" s="11">
        <v>470</v>
      </c>
      <c r="F84" s="11">
        <v>470</v>
      </c>
      <c r="G84" s="13">
        <f t="shared" si="2"/>
        <v>1677.8999999999999</v>
      </c>
      <c r="H84" s="11"/>
      <c r="I84">
        <f t="shared" si="3"/>
        <v>0</v>
      </c>
    </row>
    <row r="85" spans="1:9" ht="15" customHeight="1">
      <c r="A85" s="8">
        <v>83</v>
      </c>
      <c r="B85" s="14" t="s">
        <v>50</v>
      </c>
      <c r="C85" s="8" t="s">
        <v>20</v>
      </c>
      <c r="D85" s="10"/>
      <c r="E85" s="11">
        <v>470</v>
      </c>
      <c r="F85" s="11">
        <v>470</v>
      </c>
      <c r="G85" s="13">
        <f t="shared" si="2"/>
        <v>1677.8999999999999</v>
      </c>
      <c r="H85" s="11"/>
      <c r="I85">
        <f t="shared" si="3"/>
        <v>0</v>
      </c>
    </row>
    <row r="86" spans="1:9" ht="15" customHeight="1">
      <c r="A86" s="8">
        <v>84</v>
      </c>
      <c r="B86" s="14" t="s">
        <v>50</v>
      </c>
      <c r="C86" s="8" t="s">
        <v>21</v>
      </c>
      <c r="D86" s="10"/>
      <c r="E86" s="11">
        <v>470</v>
      </c>
      <c r="F86" s="11">
        <v>470</v>
      </c>
      <c r="G86" s="13">
        <f t="shared" si="2"/>
        <v>1677.8999999999999</v>
      </c>
      <c r="H86" s="11"/>
      <c r="I86">
        <f t="shared" si="3"/>
        <v>0</v>
      </c>
    </row>
    <row r="87" spans="1:9" ht="15" customHeight="1">
      <c r="A87" s="8">
        <v>85</v>
      </c>
      <c r="B87" s="14" t="s">
        <v>50</v>
      </c>
      <c r="C87" s="8" t="s">
        <v>22</v>
      </c>
      <c r="D87" s="10"/>
      <c r="E87" s="11">
        <v>470</v>
      </c>
      <c r="F87" s="11">
        <v>470</v>
      </c>
      <c r="G87" s="13">
        <f t="shared" si="2"/>
        <v>1677.8999999999999</v>
      </c>
      <c r="H87" s="11"/>
      <c r="I87">
        <f t="shared" si="3"/>
        <v>0</v>
      </c>
    </row>
    <row r="88" spans="1:9" ht="15" customHeight="1">
      <c r="A88" s="8">
        <v>86</v>
      </c>
      <c r="B88" s="14" t="s">
        <v>50</v>
      </c>
      <c r="C88" s="8" t="s">
        <v>23</v>
      </c>
      <c r="D88" s="10"/>
      <c r="E88" s="11">
        <v>470</v>
      </c>
      <c r="F88" s="11">
        <v>470</v>
      </c>
      <c r="G88" s="13">
        <f t="shared" si="2"/>
        <v>1677.8999999999999</v>
      </c>
      <c r="H88" s="11"/>
      <c r="I88">
        <f t="shared" si="3"/>
        <v>0</v>
      </c>
    </row>
    <row r="89" spans="1:9" ht="15" customHeight="1">
      <c r="A89" s="8">
        <v>87</v>
      </c>
      <c r="B89" s="14" t="s">
        <v>50</v>
      </c>
      <c r="C89" s="8" t="s">
        <v>24</v>
      </c>
      <c r="D89" s="10"/>
      <c r="E89" s="11">
        <v>470</v>
      </c>
      <c r="F89" s="11">
        <v>470</v>
      </c>
      <c r="G89" s="13">
        <f t="shared" si="2"/>
        <v>1677.8999999999999</v>
      </c>
      <c r="H89" s="11"/>
      <c r="I89">
        <f t="shared" si="3"/>
        <v>0</v>
      </c>
    </row>
    <row r="90" spans="1:9" ht="15" customHeight="1">
      <c r="A90" s="8">
        <v>88</v>
      </c>
      <c r="B90" s="14" t="s">
        <v>50</v>
      </c>
      <c r="C90" s="8" t="s">
        <v>25</v>
      </c>
      <c r="D90" s="10"/>
      <c r="E90" s="11">
        <v>470</v>
      </c>
      <c r="F90" s="11">
        <v>470</v>
      </c>
      <c r="G90" s="13">
        <f t="shared" si="2"/>
        <v>1677.8999999999999</v>
      </c>
      <c r="H90" s="11"/>
      <c r="I90">
        <f t="shared" si="3"/>
        <v>0</v>
      </c>
    </row>
    <row r="91" spans="1:9" ht="15" customHeight="1">
      <c r="A91" s="8">
        <v>89</v>
      </c>
      <c r="B91" s="14" t="s">
        <v>50</v>
      </c>
      <c r="C91" s="8" t="s">
        <v>26</v>
      </c>
      <c r="D91" s="10"/>
      <c r="E91" s="11">
        <v>470</v>
      </c>
      <c r="F91" s="11">
        <v>470</v>
      </c>
      <c r="G91" s="13">
        <f t="shared" si="2"/>
        <v>1677.8999999999999</v>
      </c>
      <c r="H91" s="11"/>
      <c r="I91">
        <f t="shared" si="3"/>
        <v>0</v>
      </c>
    </row>
    <row r="92" spans="1:9" ht="15" customHeight="1">
      <c r="A92" s="8">
        <v>90</v>
      </c>
      <c r="B92" s="14" t="s">
        <v>50</v>
      </c>
      <c r="C92" s="8" t="s">
        <v>27</v>
      </c>
      <c r="D92" s="10"/>
      <c r="E92" s="11">
        <v>470</v>
      </c>
      <c r="F92" s="11">
        <v>470</v>
      </c>
      <c r="G92" s="13">
        <f t="shared" si="2"/>
        <v>1677.8999999999999</v>
      </c>
      <c r="H92" s="11"/>
      <c r="I92">
        <f t="shared" si="3"/>
        <v>0</v>
      </c>
    </row>
    <row r="93" spans="1:9" ht="15" customHeight="1">
      <c r="A93" s="8">
        <v>91</v>
      </c>
      <c r="B93" s="9" t="s">
        <v>68</v>
      </c>
      <c r="C93" s="8" t="s">
        <v>28</v>
      </c>
      <c r="D93" s="10"/>
      <c r="E93" s="11">
        <v>300</v>
      </c>
      <c r="F93" s="11">
        <v>300</v>
      </c>
      <c r="G93" s="13">
        <f t="shared" si="2"/>
        <v>1071</v>
      </c>
      <c r="H93" s="11"/>
      <c r="I93">
        <f t="shared" si="3"/>
        <v>0</v>
      </c>
    </row>
    <row r="94" spans="1:9" ht="15" customHeight="1">
      <c r="A94" s="8">
        <v>92</v>
      </c>
      <c r="B94" s="9" t="s">
        <v>69</v>
      </c>
      <c r="C94" s="8" t="s">
        <v>29</v>
      </c>
      <c r="D94" s="10"/>
      <c r="E94" s="11">
        <v>300</v>
      </c>
      <c r="F94" s="11">
        <v>300</v>
      </c>
      <c r="G94" s="13">
        <f t="shared" si="2"/>
        <v>1071</v>
      </c>
      <c r="H94" s="11"/>
      <c r="I94">
        <f t="shared" si="3"/>
        <v>0</v>
      </c>
    </row>
    <row r="95" spans="1:9" ht="15" customHeight="1">
      <c r="A95" s="8">
        <v>93</v>
      </c>
      <c r="B95" s="9" t="s">
        <v>70</v>
      </c>
      <c r="C95" s="8" t="s">
        <v>30</v>
      </c>
      <c r="D95" s="10"/>
      <c r="E95" s="11">
        <v>300</v>
      </c>
      <c r="F95" s="11">
        <v>300</v>
      </c>
      <c r="G95" s="13">
        <f t="shared" si="2"/>
        <v>1071</v>
      </c>
      <c r="H95" s="11"/>
      <c r="I95">
        <f t="shared" si="3"/>
        <v>0</v>
      </c>
    </row>
    <row r="96" spans="1:9" ht="15.2" customHeight="1">
      <c r="A96" s="8">
        <v>94</v>
      </c>
      <c r="B96" s="14" t="s">
        <v>51</v>
      </c>
      <c r="C96" s="8" t="s">
        <v>31</v>
      </c>
      <c r="D96" s="10"/>
      <c r="E96" s="11">
        <v>300</v>
      </c>
      <c r="F96" s="11">
        <v>300</v>
      </c>
      <c r="G96" s="13">
        <f t="shared" si="2"/>
        <v>1071</v>
      </c>
      <c r="H96" s="11"/>
      <c r="I96">
        <f t="shared" si="3"/>
        <v>0</v>
      </c>
    </row>
    <row r="97" spans="5:7" ht="18.75">
      <c r="E97" s="7">
        <f>SUM(E3:E96)</f>
        <v>61743</v>
      </c>
      <c r="F97" s="7">
        <f>SUM(F3:F96)</f>
        <v>61335</v>
      </c>
      <c r="G97" s="6">
        <f>SUM(G3:G96)</f>
        <v>218965.94999999987</v>
      </c>
    </row>
  </sheetData>
  <autoFilter ref="A2:H97" xr:uid="{00000000-0001-0000-0000-000000000000}"/>
  <conditionalFormatting sqref="C1:C1048576">
    <cfRule type="duplicateValues" dxfId="21" priority="21"/>
    <cfRule type="duplicateValues" dxfId="20" priority="41"/>
  </conditionalFormatting>
  <conditionalFormatting sqref="D1:H1">
    <cfRule type="duplicateValues" dxfId="19" priority="1"/>
    <cfRule type="duplicateValues" dxfId="18" priority="2"/>
    <cfRule type="duplicateValues" dxfId="17" priority="3"/>
    <cfRule type="duplicateValues" dxfId="16" priority="4"/>
    <cfRule type="duplicateValues" dxfId="15" priority="5"/>
    <cfRule type="duplicateValues" dxfId="14" priority="6"/>
    <cfRule type="duplicateValues" dxfId="13" priority="7"/>
    <cfRule type="duplicateValues" dxfId="12" priority="8"/>
    <cfRule type="duplicateValues" dxfId="11" priority="9"/>
    <cfRule type="duplicateValues" dxfId="10" priority="10"/>
  </conditionalFormatting>
  <conditionalFormatting sqref="D2:H2">
    <cfRule type="duplicateValues" dxfId="9" priority="11"/>
    <cfRule type="duplicateValues" dxfId="8" priority="12"/>
    <cfRule type="duplicateValues" dxfId="7" priority="13"/>
    <cfRule type="duplicateValues" dxfId="6" priority="14"/>
    <cfRule type="duplicateValues" dxfId="5" priority="15"/>
    <cfRule type="duplicateValues" dxfId="4" priority="16"/>
    <cfRule type="duplicateValues" dxfId="3" priority="17"/>
    <cfRule type="duplicateValues" dxfId="2" priority="18"/>
    <cfRule type="duplicateValues" dxfId="1" priority="19"/>
    <cfRule type="duplicateValues" dxfId="0" priority="2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Purchases - Google Sheets</dc:title>
  <cp:lastModifiedBy>swiss tech</cp:lastModifiedBy>
  <dcterms:created xsi:type="dcterms:W3CDTF">2026-05-02T09:38:50Z</dcterms:created>
  <dcterms:modified xsi:type="dcterms:W3CDTF">2026-05-09T13:40:21Z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2026-04-29T00:00:00Z</vt:filetime>
  </property>
  <property fmtid="{D5CDD505-2E9C-101B-9397-08002B2CF9AE}" pid="4" name="Creator">
    <vt:lpwstr>Mozilla/5.0 (Windows NT 10.0; Win64; x64) AppleWebKit/537.36 (KHTML, like Gecko) Chrome/147.0.0.0 Safari/537.36 Edg/147.0.0.0</vt:lpwstr>
  </property>
  <property fmtid="{D5CDD505-2E9C-101B-9397-08002B2CF9AE}" pid="5" name="LastSaved">
    <vt:filetime>2026-05-02T00:00:00Z</vt:filetime>
  </property>
  <property fmtid="{D5CDD505-2E9C-101B-9397-08002B2CF9AE}" pid="6" name="Producer">
    <vt:lpwstr>Skia/PDF m147</vt:lpwstr>
  </property>
</Properties>
</file>