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27" documentId="13_ncr:1_{D3270CDC-43A6-4E39-BC5E-018E4B1F98FE}" xr6:coauthVersionLast="47" xr6:coauthVersionMax="47" xr10:uidLastSave="{E23D5785-EEF2-4BDD-9C1E-9AAEC3B1794E}"/>
  <bookViews>
    <workbookView xWindow="20370" yWindow="-120" windowWidth="29040" windowHeight="17520" xr2:uid="{00000000-000D-0000-FFFF-FFFF00000000}"/>
  </bookViews>
  <sheets>
    <sheet name="Table 1" sheetId="1" r:id="rId1"/>
  </sheets>
  <definedNames>
    <definedName name="_xlnm._FilterDatabase" localSheetId="0" hidden="1">'Table 1'!$A$1:$P$114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 l="1"/>
  <c r="J114" i="1"/>
</calcChain>
</file>

<file path=xl/sharedStrings.xml><?xml version="1.0" encoding="utf-8"?>
<sst xmlns="http://schemas.openxmlformats.org/spreadsheetml/2006/main" count="1118" uniqueCount="187">
  <si>
    <r>
      <rPr>
        <sz val="10"/>
        <rFont val="Verdana"/>
        <family val="2"/>
      </rPr>
      <t>iPhone</t>
    </r>
  </si>
  <si>
    <r>
      <rPr>
        <sz val="10"/>
        <rFont val="Verdana"/>
        <family val="2"/>
      </rPr>
      <t>MIDNIGHT</t>
    </r>
  </si>
  <si>
    <r>
      <rPr>
        <sz val="10"/>
        <rFont val="Verdana"/>
        <family val="2"/>
      </rPr>
      <t>HSO</t>
    </r>
  </si>
  <si>
    <r>
      <rPr>
        <sz val="10"/>
        <rFont val="Verdana"/>
        <family val="2"/>
      </rPr>
      <t>ACTIVE</t>
    </r>
  </si>
  <si>
    <r>
      <rPr>
        <sz val="10"/>
        <rFont val="Verdana"/>
        <family val="2"/>
      </rPr>
      <t>TRAC…</t>
    </r>
  </si>
  <si>
    <r>
      <rPr>
        <sz val="10"/>
        <rFont val="Verdana"/>
        <family val="2"/>
      </rPr>
      <t>Mar 28</t>
    </r>
  </si>
  <si>
    <r>
      <rPr>
        <sz val="10"/>
        <rFont val="Verdana"/>
        <family val="2"/>
      </rPr>
      <t>DXB</t>
    </r>
  </si>
  <si>
    <r>
      <rPr>
        <sz val="10"/>
        <rFont val="Verdana"/>
        <family val="2"/>
      </rPr>
      <t>AR 17</t>
    </r>
  </si>
  <si>
    <r>
      <rPr>
        <sz val="10"/>
        <rFont val="Verdana"/>
        <family val="2"/>
      </rPr>
      <t>BLACK</t>
    </r>
  </si>
  <si>
    <r>
      <rPr>
        <sz val="10"/>
        <rFont val="Verdana"/>
        <family val="2"/>
      </rPr>
      <t>BOX</t>
    </r>
  </si>
  <si>
    <r>
      <rPr>
        <sz val="10"/>
        <rFont val="Verdana"/>
        <family val="2"/>
      </rPr>
      <t>NON ACTIVE</t>
    </r>
  </si>
  <si>
    <r>
      <rPr>
        <sz val="10"/>
        <rFont val="Verdana"/>
        <family val="2"/>
      </rPr>
      <t>UNLO…</t>
    </r>
  </si>
  <si>
    <r>
      <rPr>
        <sz val="10"/>
        <rFont val="Verdana"/>
        <family val="2"/>
      </rPr>
      <t>BLUE</t>
    </r>
  </si>
  <si>
    <r>
      <rPr>
        <sz val="10"/>
        <rFont val="Verdana"/>
        <family val="2"/>
      </rPr>
      <t>XFIN…</t>
    </r>
  </si>
  <si>
    <r>
      <rPr>
        <sz val="10"/>
        <rFont val="Verdana"/>
        <family val="2"/>
      </rPr>
      <t>SAGE</t>
    </r>
  </si>
  <si>
    <r>
      <rPr>
        <sz val="10"/>
        <rFont val="Verdana"/>
        <family val="2"/>
      </rPr>
      <t>VZN</t>
    </r>
  </si>
  <si>
    <r>
      <rPr>
        <sz val="10"/>
        <color rgb="FF1B4586"/>
        <rFont val="Verdana"/>
        <family val="2"/>
      </rPr>
      <t>iPhone</t>
    </r>
  </si>
  <si>
    <r>
      <rPr>
        <sz val="10"/>
        <color rgb="FF1B4586"/>
        <rFont val="Verdana"/>
        <family val="2"/>
      </rPr>
      <t>14 Pro Max</t>
    </r>
  </si>
  <si>
    <r>
      <rPr>
        <sz val="10"/>
        <color rgb="FF1B4586"/>
        <rFont val="Verdana"/>
        <family val="2"/>
      </rPr>
      <t>1TB</t>
    </r>
  </si>
  <si>
    <r>
      <rPr>
        <sz val="10"/>
        <color rgb="FF1B4586"/>
        <rFont val="Verdana"/>
        <family val="2"/>
      </rPr>
      <t>PURPLE</t>
    </r>
  </si>
  <si>
    <r>
      <rPr>
        <sz val="10"/>
        <color rgb="FF1B4586"/>
        <rFont val="Verdana"/>
        <family val="2"/>
      </rPr>
      <t>HSO</t>
    </r>
  </si>
  <si>
    <r>
      <rPr>
        <sz val="10"/>
        <color rgb="FF1B4586"/>
        <rFont val="Verdana"/>
        <family val="2"/>
      </rPr>
      <t>ACTIVE</t>
    </r>
  </si>
  <si>
    <r>
      <rPr>
        <sz val="10"/>
        <color rgb="FF1B4586"/>
        <rFont val="Verdana"/>
        <family val="2"/>
      </rPr>
      <t>UNLO…</t>
    </r>
  </si>
  <si>
    <r>
      <rPr>
        <sz val="10"/>
        <color rgb="FF1B4586"/>
        <rFont val="Verdana"/>
        <family val="2"/>
      </rPr>
      <t>15 pro max</t>
    </r>
  </si>
  <si>
    <r>
      <rPr>
        <sz val="10"/>
        <color rgb="FF1B4586"/>
        <rFont val="Verdana"/>
        <family val="2"/>
      </rPr>
      <t>NATURAL</t>
    </r>
  </si>
  <si>
    <r>
      <rPr>
        <sz val="10"/>
        <color rgb="FF1B4586"/>
        <rFont val="Verdana"/>
        <family val="2"/>
      </rPr>
      <t>CRIC…</t>
    </r>
  </si>
  <si>
    <r>
      <rPr>
        <sz val="10"/>
        <color rgb="FF1B4586"/>
        <rFont val="Verdana"/>
        <family val="2"/>
      </rPr>
      <t>ATT</t>
    </r>
  </si>
  <si>
    <r>
      <rPr>
        <sz val="10"/>
        <rFont val="Verdana"/>
        <family val="2"/>
      </rPr>
      <t>16 Plus</t>
    </r>
  </si>
  <si>
    <r>
      <rPr>
        <sz val="10"/>
        <rFont val="Verdana"/>
        <family val="2"/>
      </rPr>
      <t>ULTRAMARINE</t>
    </r>
  </si>
  <si>
    <r>
      <rPr>
        <sz val="10"/>
        <rFont val="Verdana"/>
        <family val="2"/>
      </rPr>
      <t>ATT</t>
    </r>
  </si>
  <si>
    <r>
      <rPr>
        <sz val="10"/>
        <rFont val="Verdana"/>
        <family val="2"/>
      </rPr>
      <t>T-M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</si>
  <si>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</si>
  <si>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ORANGE</t>
    </r>
  </si>
  <si>
    <r>
      <rPr>
        <sz val="10"/>
        <rFont val="Verdana"/>
        <family val="2"/>
      </rPr>
      <t>17 PRO</t>
    </r>
  </si>
  <si>
    <r>
      <rPr>
        <sz val="10"/>
        <rFont val="Verdana"/>
        <family val="2"/>
      </rPr>
      <t>SILVER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</si>
  <si>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</si>
  <si>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17 PRO MAX</t>
    </r>
  </si>
  <si>
    <r>
      <rPr>
        <sz val="10"/>
        <rFont val="Verdana"/>
        <family val="2"/>
      </rPr>
      <t>iPad</t>
    </r>
  </si>
  <si>
    <r>
      <rPr>
        <sz val="10"/>
        <rFont val="Verdana"/>
        <family val="2"/>
      </rPr>
      <t>A16</t>
    </r>
  </si>
  <si>
    <r>
      <rPr>
        <sz val="10"/>
        <rFont val="Verdana"/>
        <family val="2"/>
      </rPr>
      <t>J42MKQN6X1</t>
    </r>
  </si>
  <si>
    <r>
      <rPr>
        <sz val="10"/>
        <rFont val="Verdana"/>
        <family val="2"/>
      </rPr>
      <t>WIFI</t>
    </r>
  </si>
  <si>
    <r>
      <rPr>
        <sz val="10"/>
        <rFont val="Verdana"/>
        <family val="2"/>
      </rPr>
      <t>Air (M4)</t>
    </r>
  </si>
  <si>
    <r>
      <rPr>
        <sz val="10"/>
        <rFont val="Verdana"/>
        <family val="2"/>
      </rPr>
      <t>MVXHCGJX5J</t>
    </r>
  </si>
  <si>
    <r>
      <rPr>
        <sz val="10"/>
        <rFont val="Verdana"/>
        <family val="2"/>
      </rPr>
      <t>Air 11" M3 5</t>
    </r>
  </si>
  <si>
    <r>
      <rPr>
        <sz val="10"/>
        <rFont val="Verdana"/>
        <family val="2"/>
      </rPr>
      <t>GRAY</t>
    </r>
  </si>
  <si>
    <r>
      <rPr>
        <sz val="10"/>
        <rFont val="Verdana"/>
        <family val="2"/>
      </rPr>
      <t>Airpords</t>
    </r>
  </si>
  <si>
    <r>
      <rPr>
        <sz val="10"/>
        <rFont val="Verdana"/>
        <family val="2"/>
      </rPr>
      <t>Max USB C</t>
    </r>
  </si>
  <si>
    <r>
      <rPr>
        <sz val="10"/>
        <rFont val="Verdana"/>
        <family val="2"/>
      </rPr>
      <t>-</t>
    </r>
  </si>
  <si>
    <r>
      <rPr>
        <sz val="10"/>
        <rFont val="Verdana"/>
        <family val="2"/>
      </rPr>
      <t>PURPLE</t>
    </r>
  </si>
  <si>
    <r>
      <rPr>
        <sz val="10"/>
        <rFont val="Verdana"/>
        <family val="2"/>
      </rPr>
      <t>JPX6WC97QD</t>
    </r>
  </si>
  <si>
    <r>
      <rPr>
        <sz val="10"/>
        <rFont val="Verdana"/>
        <family val="2"/>
      </rPr>
      <t>MacBook Pro</t>
    </r>
  </si>
  <si>
    <r>
      <rPr>
        <sz val="10"/>
        <rFont val="Verdana"/>
        <family val="2"/>
      </rPr>
      <t>MDE04</t>
    </r>
  </si>
  <si>
    <r>
      <rPr>
        <sz val="10"/>
        <rFont val="Verdana"/>
        <family val="2"/>
      </rPr>
      <t>LK6MG3JTXR</t>
    </r>
  </si>
  <si>
    <r>
      <rPr>
        <sz val="10"/>
        <rFont val="Verdana"/>
        <family val="2"/>
      </rPr>
      <t>MDE34LL/A</t>
    </r>
  </si>
  <si>
    <r>
      <rPr>
        <sz val="10"/>
        <rFont val="Verdana"/>
        <family val="2"/>
      </rPr>
      <t>1TB</t>
    </r>
  </si>
  <si>
    <r>
      <rPr>
        <sz val="10"/>
        <rFont val="Verdana"/>
        <family val="2"/>
      </rPr>
      <t>SPACE GREY</t>
    </r>
  </si>
  <si>
    <r>
      <rPr>
        <sz val="10"/>
        <rFont val="Verdana"/>
        <family val="2"/>
      </rPr>
      <t>F02XNGH1FH</t>
    </r>
  </si>
  <si>
    <r>
      <rPr>
        <sz val="10"/>
        <color rgb="FF1B4586"/>
        <rFont val="Verdana"/>
        <family val="2"/>
      </rPr>
      <t>MacbBook</t>
    </r>
  </si>
  <si>
    <r>
      <rPr>
        <sz val="10"/>
        <color rgb="FF1B4586"/>
        <rFont val="Verdana"/>
        <family val="2"/>
      </rPr>
      <t>MDHE4</t>
    </r>
  </si>
  <si>
    <r>
      <rPr>
        <sz val="10"/>
        <color rgb="FF1B4586"/>
        <rFont val="Verdana"/>
        <family val="2"/>
      </rPr>
      <t>-</t>
    </r>
  </si>
  <si>
    <r>
      <rPr>
        <sz val="10"/>
        <color rgb="FF1B4586"/>
        <rFont val="Verdana"/>
        <family val="2"/>
      </rPr>
      <t>JQPWJDXGPG</t>
    </r>
  </si>
  <si>
    <r>
      <rPr>
        <sz val="10"/>
        <color rgb="FF1B4586"/>
        <rFont val="Verdana"/>
        <family val="2"/>
      </rPr>
      <t>BOX</t>
    </r>
  </si>
  <si>
    <r>
      <rPr>
        <sz val="10"/>
        <color rgb="FF1B4586"/>
        <rFont val="Verdana"/>
        <family val="2"/>
      </rPr>
      <t>NON ACTIVE</t>
    </r>
  </si>
  <si>
    <r>
      <rPr>
        <sz val="10"/>
        <color rgb="FF1B4586"/>
        <rFont val="Verdana"/>
        <family val="2"/>
      </rPr>
      <t>WIFI</t>
    </r>
  </si>
  <si>
    <r>
      <rPr>
        <sz val="10"/>
        <rFont val="Verdana"/>
        <family val="2"/>
      </rPr>
      <t>MACBOOK PR</t>
    </r>
  </si>
  <si>
    <r>
      <rPr>
        <sz val="10"/>
        <rFont val="Verdana"/>
        <family val="2"/>
      </rPr>
      <t>MGEA4LL/A</t>
    </r>
  </si>
  <si>
    <r>
      <rPr>
        <sz val="10"/>
        <rFont val="Verdana"/>
        <family val="2"/>
      </rPr>
      <t>SPACE BLACK</t>
    </r>
  </si>
  <si>
    <r>
      <rPr>
        <sz val="10"/>
        <rFont val="Verdana"/>
        <family val="2"/>
      </rPr>
      <t>M090X09DD2</t>
    </r>
  </si>
  <si>
    <r>
      <rPr>
        <sz val="10"/>
        <rFont val="Verdana"/>
        <family val="2"/>
      </rPr>
      <t>MGED4LL/A</t>
    </r>
  </si>
  <si>
    <r>
      <rPr>
        <sz val="10"/>
        <rFont val="Verdana"/>
        <family val="2"/>
      </rPr>
      <t>2TB</t>
    </r>
  </si>
  <si>
    <r>
      <rPr>
        <sz val="10"/>
        <rFont val="Verdana"/>
        <family val="2"/>
      </rPr>
      <t>K5VYD6HQY6</t>
    </r>
  </si>
  <si>
    <r>
      <rPr>
        <sz val="10"/>
        <color rgb="FF1B4586"/>
        <rFont val="Verdana"/>
        <family val="2"/>
      </rPr>
      <t>Macbook</t>
    </r>
  </si>
  <si>
    <r>
      <rPr>
        <sz val="10"/>
        <color rgb="FF1B4586"/>
        <rFont val="Verdana"/>
        <family val="2"/>
      </rPr>
      <t>MHFE14</t>
    </r>
  </si>
  <si>
    <r>
      <rPr>
        <sz val="10"/>
        <color rgb="FF1B4586"/>
        <rFont val="Verdana"/>
        <family val="2"/>
      </rPr>
      <t>CITRUS</t>
    </r>
  </si>
  <si>
    <r>
      <rPr>
        <sz val="10"/>
        <color rgb="FF1B4586"/>
        <rFont val="Verdana"/>
        <family val="2"/>
      </rPr>
      <t>SGR4RL2Q519</t>
    </r>
  </si>
  <si>
    <r>
      <rPr>
        <sz val="10"/>
        <color rgb="FF1B4586"/>
        <rFont val="Verdana"/>
        <family val="2"/>
      </rPr>
      <t>SC5P72Q4XVK</t>
    </r>
  </si>
  <si>
    <r>
      <rPr>
        <sz val="10"/>
        <rFont val="Verdana"/>
        <family val="2"/>
      </rPr>
      <t>Airpods</t>
    </r>
  </si>
  <si>
    <r>
      <rPr>
        <sz val="10"/>
        <rFont val="Verdana"/>
        <family val="2"/>
      </rPr>
      <t>MXP63</t>
    </r>
  </si>
  <si>
    <r>
      <rPr>
        <sz val="10"/>
        <rFont val="Verdana"/>
        <family val="2"/>
      </rPr>
      <t>SG560HF37KP</t>
    </r>
  </si>
  <si>
    <r>
      <rPr>
        <sz val="10"/>
        <rFont val="Verdana"/>
        <family val="2"/>
      </rPr>
      <t>SHT4PNQLQYG</t>
    </r>
  </si>
  <si>
    <r>
      <rPr>
        <sz val="10"/>
        <color rgb="FF1B4586"/>
        <rFont val="Verdana"/>
        <family val="2"/>
      </rPr>
      <t>Airpods</t>
    </r>
  </si>
  <si>
    <r>
      <rPr>
        <sz val="10"/>
        <color rgb="FF1B4586"/>
        <rFont val="Verdana"/>
        <family val="2"/>
      </rPr>
      <t>MXP63</t>
    </r>
  </si>
  <si>
    <r>
      <rPr>
        <sz val="10"/>
        <color rgb="FF1B4586"/>
        <rFont val="Verdana"/>
        <family val="2"/>
      </rPr>
      <t>G776JRX4HP</t>
    </r>
  </si>
  <si>
    <r>
      <rPr>
        <sz val="10"/>
        <rFont val="Verdana"/>
        <family val="2"/>
      </rPr>
      <t>WHITE</t>
    </r>
  </si>
  <si>
    <r>
      <rPr>
        <sz val="10"/>
        <rFont val="Verdana"/>
        <family val="2"/>
      </rPr>
      <t>DWRQNWNM9J</t>
    </r>
  </si>
  <si>
    <r>
      <rPr>
        <sz val="10"/>
        <color rgb="FF1B4586"/>
        <rFont val="Verdana"/>
        <family val="2"/>
      </rPr>
      <t>MXP93</t>
    </r>
  </si>
  <si>
    <r>
      <rPr>
        <sz val="10"/>
        <color rgb="FF1B4586"/>
        <rFont val="Verdana"/>
        <family val="2"/>
      </rPr>
      <t>--</t>
    </r>
  </si>
  <si>
    <r>
      <rPr>
        <sz val="10"/>
        <color rgb="FF1B4586"/>
        <rFont val="Verdana"/>
        <family val="2"/>
      </rPr>
      <t>WHITE</t>
    </r>
  </si>
  <si>
    <r>
      <rPr>
        <sz val="10"/>
        <color rgb="FF1B4586"/>
        <rFont val="Verdana"/>
        <family val="2"/>
      </rPr>
      <t>SFT9XW0X7R3</t>
    </r>
  </si>
  <si>
    <r>
      <rPr>
        <sz val="10"/>
        <color rgb="FF1B4586"/>
        <rFont val="Verdana"/>
        <family val="2"/>
      </rPr>
      <t>SLK7PY9PDPF</t>
    </r>
  </si>
  <si>
    <r>
      <rPr>
        <sz val="10"/>
        <color rgb="FF1B4586"/>
        <rFont val="Verdana"/>
        <family val="2"/>
      </rPr>
      <t>H7NWN2KHGV</t>
    </r>
  </si>
  <si>
    <r>
      <rPr>
        <sz val="10"/>
        <color rgb="FF1B4586"/>
        <rFont val="Verdana"/>
        <family val="2"/>
      </rPr>
      <t>J99639XX47</t>
    </r>
  </si>
  <si>
    <r>
      <rPr>
        <sz val="10"/>
        <rFont val="Verdana"/>
        <family val="2"/>
      </rPr>
      <t>Google</t>
    </r>
  </si>
  <si>
    <r>
      <rPr>
        <sz val="10"/>
        <rFont val="Verdana"/>
        <family val="2"/>
      </rPr>
      <t>Pixel Watch 4</t>
    </r>
  </si>
  <si>
    <r>
      <rPr>
        <sz val="10"/>
        <rFont val="Verdana"/>
        <family val="2"/>
      </rPr>
      <t>Pro 11" M5 5</t>
    </r>
  </si>
  <si>
    <r>
      <rPr>
        <sz val="10"/>
        <rFont val="Verdana"/>
        <family val="2"/>
      </rPr>
      <t>PRO 13 M5</t>
    </r>
  </si>
  <si>
    <r>
      <rPr>
        <sz val="10"/>
        <color rgb="FF1B4586"/>
        <rFont val="Verdana"/>
        <family val="2"/>
      </rPr>
      <t>Pro 3</t>
    </r>
  </si>
  <si>
    <r>
      <rPr>
        <sz val="10"/>
        <color rgb="FF1B4586"/>
        <rFont val="Verdana"/>
        <family val="2"/>
      </rPr>
      <t>JX7MTCX45V</t>
    </r>
  </si>
  <si>
    <r>
      <rPr>
        <sz val="10"/>
        <color rgb="FF1B4586"/>
        <rFont val="Verdana"/>
        <family val="2"/>
      </rPr>
      <t>MXRGQL29HM</t>
    </r>
  </si>
  <si>
    <r>
      <rPr>
        <sz val="10"/>
        <color rgb="FF1B4586"/>
        <rFont val="Verdana"/>
        <family val="2"/>
      </rPr>
      <t>Airpords</t>
    </r>
  </si>
  <si>
    <r>
      <rPr>
        <sz val="10"/>
        <color rgb="FF1B4586"/>
        <rFont val="Verdana"/>
        <family val="2"/>
      </rPr>
      <t>GYHC337P6C</t>
    </r>
  </si>
  <si>
    <r>
      <rPr>
        <sz val="10"/>
        <color rgb="FF1B4586"/>
        <rFont val="Verdana"/>
        <family val="2"/>
      </rPr>
      <t>FCF77MQQLT</t>
    </r>
  </si>
  <si>
    <r>
      <rPr>
        <sz val="10"/>
        <color rgb="FF1B4586"/>
        <rFont val="Verdana"/>
        <family val="2"/>
      </rPr>
      <t>J009HD202W</t>
    </r>
  </si>
  <si>
    <r>
      <rPr>
        <sz val="10"/>
        <color rgb="FF1B4586"/>
        <rFont val="Verdana"/>
        <family val="2"/>
      </rPr>
      <t>F4QL2GFV2V</t>
    </r>
  </si>
  <si>
    <r>
      <rPr>
        <sz val="10"/>
        <color rgb="FF1B4586"/>
        <rFont val="Verdana"/>
        <family val="2"/>
      </rPr>
      <t>H77G2PN4RN</t>
    </r>
  </si>
  <si>
    <r>
      <rPr>
        <sz val="10"/>
        <color rgb="FF37751C"/>
        <rFont val="Verdana"/>
        <family val="2"/>
      </rPr>
      <t>Airpods</t>
    </r>
  </si>
  <si>
    <r>
      <rPr>
        <sz val="10"/>
        <color rgb="FF37751C"/>
        <rFont val="Verdana"/>
        <family val="2"/>
      </rPr>
      <t>Pro 3</t>
    </r>
  </si>
  <si>
    <r>
      <rPr>
        <sz val="10"/>
        <color rgb="FF37751C"/>
        <rFont val="Verdana"/>
        <family val="2"/>
      </rPr>
      <t>--</t>
    </r>
  </si>
  <si>
    <r>
      <rPr>
        <sz val="10"/>
        <color rgb="FF37751C"/>
        <rFont val="Verdana"/>
        <family val="2"/>
      </rPr>
      <t>WHITE</t>
    </r>
  </si>
  <si>
    <r>
      <rPr>
        <sz val="10"/>
        <color rgb="FF37751C"/>
        <rFont val="Verdana"/>
        <family val="2"/>
      </rPr>
      <t>SK2YN64GX1J</t>
    </r>
  </si>
  <si>
    <r>
      <rPr>
        <sz val="10"/>
        <color rgb="FF37751C"/>
        <rFont val="Verdana"/>
        <family val="2"/>
      </rPr>
      <t>BOX</t>
    </r>
  </si>
  <si>
    <r>
      <rPr>
        <sz val="10"/>
        <color rgb="FF37751C"/>
        <rFont val="Verdana"/>
        <family val="2"/>
      </rPr>
      <t>NON ACTIVE</t>
    </r>
  </si>
  <si>
    <r>
      <rPr>
        <sz val="10"/>
        <color rgb="FF37751C"/>
        <rFont val="Verdana"/>
        <family val="2"/>
      </rPr>
      <t>WIFI</t>
    </r>
  </si>
  <si>
    <r>
      <rPr>
        <sz val="10"/>
        <color rgb="FF37751C"/>
        <rFont val="Verdana"/>
        <family val="2"/>
      </rPr>
      <t>SKL73DGVXHD</t>
    </r>
  </si>
  <si>
    <r>
      <rPr>
        <sz val="10"/>
        <rFont val="Verdana"/>
        <family val="2"/>
      </rPr>
      <t>Pro 3</t>
    </r>
  </si>
  <si>
    <r>
      <rPr>
        <sz val="10"/>
        <rFont val="Verdana"/>
        <family val="2"/>
      </rPr>
      <t>--</t>
    </r>
  </si>
  <si>
    <r>
      <rPr>
        <sz val="10"/>
        <rFont val="Verdana"/>
        <family val="2"/>
      </rPr>
      <t>SLC91DHJFQ5</t>
    </r>
  </si>
  <si>
    <r>
      <rPr>
        <sz val="10"/>
        <rFont val="Verdana"/>
        <family val="2"/>
      </rPr>
      <t>SM2QXF631JJ</t>
    </r>
  </si>
  <si>
    <r>
      <rPr>
        <sz val="10"/>
        <rFont val="Verdana"/>
        <family val="2"/>
      </rPr>
      <t>SFJQC45JTW1</t>
    </r>
  </si>
  <si>
    <r>
      <rPr>
        <sz val="10"/>
        <rFont val="Verdana"/>
        <family val="2"/>
      </rPr>
      <t>SD2VQND42G9</t>
    </r>
  </si>
  <si>
    <r>
      <rPr>
        <sz val="10"/>
        <rFont val="Verdana"/>
        <family val="2"/>
      </rPr>
      <t>SM5FVRCJYJ3</t>
    </r>
  </si>
  <si>
    <r>
      <rPr>
        <sz val="10"/>
        <rFont val="Verdana"/>
        <family val="2"/>
      </rPr>
      <t>AirPod</t>
    </r>
  </si>
  <si>
    <r>
      <rPr>
        <sz val="10"/>
        <rFont val="Verdana"/>
        <family val="2"/>
      </rPr>
      <t>LPGLW9T6GM</t>
    </r>
  </si>
  <si>
    <r>
      <rPr>
        <sz val="10"/>
        <rFont val="Verdana"/>
        <family val="2"/>
      </rPr>
      <t>LP4JYYQM59</t>
    </r>
  </si>
  <si>
    <r>
      <rPr>
        <sz val="10"/>
        <rFont val="Verdana"/>
        <family val="2"/>
      </rPr>
      <t>JM4JJ70MNF</t>
    </r>
  </si>
  <si>
    <r>
      <rPr>
        <sz val="10"/>
        <rFont val="Verdana"/>
        <family val="2"/>
      </rPr>
      <t>G52HJXQ002</t>
    </r>
  </si>
  <si>
    <r>
      <rPr>
        <sz val="10"/>
        <rFont val="Verdana"/>
        <family val="2"/>
      </rPr>
      <t>LDH7T41W7R</t>
    </r>
  </si>
  <si>
    <r>
      <rPr>
        <sz val="10"/>
        <rFont val="Verdana"/>
        <family val="2"/>
      </rPr>
      <t>DTYG4HCJ7J</t>
    </r>
  </si>
  <si>
    <r>
      <rPr>
        <sz val="10"/>
        <rFont val="Verdana"/>
        <family val="2"/>
      </rPr>
      <t>Pro 4</t>
    </r>
  </si>
  <si>
    <r>
      <rPr>
        <sz val="10"/>
        <rFont val="Verdana"/>
        <family val="2"/>
      </rPr>
      <t>C2W42NJ45Y</t>
    </r>
  </si>
  <si>
    <r>
      <rPr>
        <sz val="10"/>
        <rFont val="Verdana"/>
        <family val="2"/>
      </rPr>
      <t>Pro 4 (ANC)</t>
    </r>
  </si>
  <si>
    <r>
      <rPr>
        <sz val="10"/>
        <rFont val="Verdana"/>
        <family val="2"/>
      </rPr>
      <t>GVW7YF7MHQ</t>
    </r>
  </si>
  <si>
    <r>
      <rPr>
        <sz val="10"/>
        <rFont val="Verdana"/>
        <family val="2"/>
      </rPr>
      <t>KFFQ2V6CM0</t>
    </r>
  </si>
  <si>
    <r>
      <rPr>
        <sz val="10"/>
        <rFont val="Verdana"/>
        <family val="2"/>
      </rPr>
      <t>Pro USB C</t>
    </r>
  </si>
  <si>
    <r>
      <rPr>
        <sz val="10"/>
        <rFont val="Verdana"/>
        <family val="2"/>
      </rPr>
      <t>MPNXQWDXVR</t>
    </r>
  </si>
  <si>
    <r>
      <rPr>
        <sz val="10"/>
        <rFont val="Verdana"/>
        <family val="2"/>
      </rPr>
      <t>Meta</t>
    </r>
  </si>
  <si>
    <r>
      <rPr>
        <sz val="10"/>
        <rFont val="Verdana"/>
        <family val="2"/>
      </rPr>
      <t>RayBan Wayfarer</t>
    </r>
  </si>
  <si>
    <r>
      <rPr>
        <sz val="10"/>
        <rFont val="Verdana"/>
        <family val="2"/>
      </rPr>
      <t>4V37W25HB101WQ</t>
    </r>
  </si>
  <si>
    <r>
      <rPr>
        <sz val="10"/>
        <rFont val="Verdana"/>
        <family val="2"/>
      </rPr>
      <t>4V37W22H8T03JX</t>
    </r>
  </si>
  <si>
    <r>
      <rPr>
        <sz val="10"/>
        <rFont val="Verdana"/>
        <family val="2"/>
      </rPr>
      <t>iWatch</t>
    </r>
  </si>
  <si>
    <r>
      <rPr>
        <sz val="10"/>
        <rFont val="Verdana"/>
        <family val="2"/>
      </rPr>
      <t>S11 42MM</t>
    </r>
  </si>
  <si>
    <r>
      <rPr>
        <sz val="10"/>
        <rFont val="Verdana"/>
        <family val="2"/>
      </rPr>
      <t>ROSE GOLD</t>
    </r>
  </si>
  <si>
    <r>
      <rPr>
        <sz val="10"/>
        <rFont val="Verdana"/>
        <family val="2"/>
      </rPr>
      <t>Apple watch</t>
    </r>
  </si>
  <si>
    <r>
      <rPr>
        <sz val="10"/>
        <rFont val="Verdana"/>
        <family val="2"/>
      </rPr>
      <t>S11 46MM</t>
    </r>
  </si>
  <si>
    <r>
      <rPr>
        <sz val="10"/>
        <rFont val="Verdana"/>
        <family val="2"/>
      </rPr>
      <t>JET BLACK</t>
    </r>
  </si>
  <si>
    <r>
      <rPr>
        <sz val="10"/>
        <rFont val="Verdana"/>
        <family val="2"/>
      </rPr>
      <t>JNW6HH3X47</t>
    </r>
  </si>
  <si>
    <r>
      <rPr>
        <sz val="10"/>
        <rFont val="Verdana"/>
        <family val="2"/>
      </rPr>
      <t>GFQNDH7NCC</t>
    </r>
  </si>
  <si>
    <r>
      <rPr>
        <sz val="10"/>
        <rFont val="Verdana"/>
        <family val="2"/>
      </rPr>
      <t>SE 40MM</t>
    </r>
  </si>
  <si>
    <r>
      <rPr>
        <sz val="10"/>
        <rFont val="Verdana"/>
        <family val="2"/>
      </rPr>
      <t>JYL930J0MM</t>
    </r>
  </si>
  <si>
    <r>
      <rPr>
        <sz val="10"/>
        <rFont val="Verdana"/>
        <family val="2"/>
      </rPr>
      <t>HTFWJR3K25</t>
    </r>
  </si>
  <si>
    <r>
      <rPr>
        <sz val="10"/>
        <rFont val="Verdana"/>
        <family val="2"/>
      </rPr>
      <t>F7NMV46FY6</t>
    </r>
  </si>
  <si>
    <r>
      <rPr>
        <sz val="10"/>
        <rFont val="Verdana"/>
        <family val="2"/>
      </rPr>
      <t>SE 4OMM</t>
    </r>
  </si>
  <si>
    <r>
      <rPr>
        <sz val="10"/>
        <rFont val="Verdana"/>
        <family val="2"/>
      </rPr>
      <t>FGW9717V2P</t>
    </r>
  </si>
  <si>
    <r>
      <rPr>
        <sz val="10"/>
        <rFont val="Verdana"/>
        <family val="2"/>
      </rPr>
      <t>SE3 44MM</t>
    </r>
  </si>
  <si>
    <r>
      <rPr>
        <sz val="10"/>
        <rFont val="Verdana"/>
        <family val="2"/>
      </rPr>
      <t>DQ9DY4Y0Y2</t>
    </r>
  </si>
  <si>
    <r>
      <rPr>
        <sz val="10"/>
        <rFont val="Verdana"/>
        <family val="2"/>
      </rPr>
      <t>STARLIGHT</t>
    </r>
  </si>
  <si>
    <r>
      <rPr>
        <sz val="10"/>
        <rFont val="Verdana"/>
        <family val="2"/>
      </rPr>
      <t>CDHJ94JY4N</t>
    </r>
  </si>
  <si>
    <r>
      <rPr>
        <sz val="10"/>
        <rFont val="Verdana"/>
        <family val="2"/>
      </rPr>
      <t>JF9GT2CKXV</t>
    </r>
  </si>
  <si>
    <r>
      <rPr>
        <sz val="10"/>
        <rFont val="Verdana"/>
        <family val="2"/>
      </rPr>
      <t>LXH4J3CG2D</t>
    </r>
  </si>
  <si>
    <r>
      <rPr>
        <sz val="10"/>
        <rFont val="Verdana"/>
        <family val="2"/>
      </rPr>
      <t>G714DW94HN</t>
    </r>
  </si>
  <si>
    <r>
      <rPr>
        <sz val="10"/>
        <rFont val="Verdana"/>
        <family val="2"/>
      </rPr>
      <t>H623N9G6LD</t>
    </r>
  </si>
  <si>
    <r>
      <rPr>
        <sz val="10"/>
        <rFont val="Verdana"/>
        <family val="2"/>
      </rPr>
      <t>SERIES 11</t>
    </r>
  </si>
  <si>
    <r>
      <rPr>
        <sz val="10"/>
        <rFont val="Verdana"/>
        <family val="2"/>
      </rPr>
      <t>DJ2HK665QP</t>
    </r>
  </si>
  <si>
    <r>
      <rPr>
        <sz val="10"/>
        <rFont val="Arial MT"/>
        <family val="2"/>
      </rPr>
      <t>iWatch</t>
    </r>
  </si>
  <si>
    <r>
      <rPr>
        <sz val="10"/>
        <rFont val="Verdana"/>
        <family val="2"/>
      </rPr>
      <t>M40454DJYL</t>
    </r>
  </si>
  <si>
    <r>
      <rPr>
        <sz val="10"/>
        <rFont val="Verdana"/>
        <family val="2"/>
      </rPr>
      <t>Series 9 45mm</t>
    </r>
  </si>
  <si>
    <r>
      <rPr>
        <sz val="10"/>
        <rFont val="Verdana"/>
        <family val="2"/>
      </rPr>
      <t>Ultra 3</t>
    </r>
  </si>
  <si>
    <r>
      <rPr>
        <sz val="10"/>
        <rFont val="Verdana"/>
        <family val="2"/>
      </rPr>
      <t>ULTRA 3</t>
    </r>
  </si>
  <si>
    <r>
      <rPr>
        <sz val="10"/>
        <rFont val="Verdana"/>
        <family val="2"/>
      </rPr>
      <t>NATURAL</t>
    </r>
  </si>
  <si>
    <r>
      <rPr>
        <sz val="10"/>
        <rFont val="Verdana"/>
        <family val="2"/>
      </rPr>
      <t>Wayfarer</t>
    </r>
  </si>
  <si>
    <r>
      <rPr>
        <sz val="10"/>
        <rFont val="Verdana"/>
        <family val="2"/>
      </rPr>
      <t>2Q9GS11H9Q079Z</t>
    </r>
  </si>
  <si>
    <t>Brand</t>
  </si>
  <si>
    <t>Model</t>
  </si>
  <si>
    <t>Storage</t>
  </si>
  <si>
    <t>Coloue</t>
  </si>
  <si>
    <t>IMEI</t>
  </si>
  <si>
    <t>BOX/HOS</t>
  </si>
  <si>
    <t>Status</t>
  </si>
  <si>
    <t>Carrier</t>
  </si>
  <si>
    <t>USD Prices</t>
  </si>
  <si>
    <t>Date</t>
  </si>
  <si>
    <t>Location</t>
  </si>
  <si>
    <t>Invoice Nu</t>
  </si>
  <si>
    <t>Sr No</t>
  </si>
  <si>
    <t>B0FQF9ZX7P</t>
  </si>
  <si>
    <t>New</t>
  </si>
  <si>
    <t>IMEI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</si>
</sst>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8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name val="Verdana"/>
      <family val="2"/>
    </font>
    <font>
      <sz val="10"/>
      <color rgb="FF1B4586"/>
      <name val="Verdana"/>
      <family val="2"/>
    </font>
    <font>
      <sz val="10"/>
      <color rgb="FF37751C"/>
      <name val="Verdana"/>
      <family val="2"/>
    </font>
    <font>
      <sz val="10"/>
      <name val="Arial MT"/>
      <family val="2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left" vertical="top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5" fontId="7" fillId="2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4"/>
  <sheetViews>
    <sheetView tabSelected="1" topLeftCell="A68" workbookViewId="0">
      <selection sqref="A1:J114"/>
    </sheetView>
  </sheetViews>
  <sheetFormatPr defaultRowHeight="12.75"/>
  <cols>
    <col min="1" max="1" width="7.6640625" bestFit="1" customWidth="1"/>
    <col min="2" max="2" width="15.6640625" bestFit="1" customWidth="1"/>
    <col min="3" max="3" width="20.33203125" bestFit="1" customWidth="1"/>
    <col min="4" max="4" width="9.83203125" bestFit="1" customWidth="1"/>
    <col min="5" max="5" width="16.6640625" bestFit="1" customWidth="1"/>
    <col min="6" max="6" width="22.6640625" style="3" bestFit="1" customWidth="1"/>
    <col min="7" max="7" width="13" bestFit="1" customWidth="1"/>
    <col min="8" max="8" width="15" bestFit="1" customWidth="1"/>
    <col min="9" max="9" width="21.83203125" customWidth="1"/>
    <col min="10" max="10" width="24.5" bestFit="1" customWidth="1"/>
    <col min="11" max="11" width="15.83203125" hidden="1" customWidth="1"/>
    <col min="12" max="12" width="20" hidden="1" customWidth="1"/>
    <col min="13" max="13" width="24" hidden="1" customWidth="1"/>
    <col min="14" max="14" width="26.6640625" bestFit="1" customWidth="1"/>
    <col min="16" max="16" width="9.83203125" bestFit="1" customWidth="1"/>
  </cols>
  <sheetData>
    <row r="1" spans="1:16" ht="15.75">
      <c r="A1" s="4" t="s">
        <v>183</v>
      </c>
      <c r="B1" s="4" t="s">
        <v>171</v>
      </c>
      <c r="C1" s="4" t="s">
        <v>172</v>
      </c>
      <c r="D1" s="4" t="s">
        <v>173</v>
      </c>
      <c r="E1" s="4" t="s">
        <v>174</v>
      </c>
      <c r="F1" s="5" t="s">
        <v>175</v>
      </c>
      <c r="G1" s="4" t="s">
        <v>176</v>
      </c>
      <c r="H1" s="4" t="s">
        <v>177</v>
      </c>
      <c r="I1" s="4" t="s">
        <v>178</v>
      </c>
      <c r="J1" s="4" t="s">
        <v>179</v>
      </c>
      <c r="K1" s="4" t="s">
        <v>180</v>
      </c>
      <c r="L1" s="4" t="s">
        <v>181</v>
      </c>
      <c r="M1" s="4" t="s">
        <v>182</v>
      </c>
      <c r="N1" s="19"/>
    </row>
    <row r="2" spans="1:16">
      <c r="A2" s="13">
        <v>1</v>
      </c>
      <c r="B2" s="14" t="s">
        <v>0</v>
      </c>
      <c r="C2" s="14">
        <v>13</v>
      </c>
      <c r="D2" s="14">
        <v>128</v>
      </c>
      <c r="E2" s="14" t="s">
        <v>1</v>
      </c>
      <c r="F2" s="15">
        <v>355163567615098</v>
      </c>
      <c r="G2" s="14" t="s">
        <v>2</v>
      </c>
      <c r="H2" s="14" t="s">
        <v>3</v>
      </c>
      <c r="I2" s="14" t="s">
        <v>4</v>
      </c>
      <c r="J2" s="14">
        <v>190</v>
      </c>
      <c r="K2" s="2" t="s">
        <v>5</v>
      </c>
      <c r="L2" s="2" t="s">
        <v>6</v>
      </c>
      <c r="M2" s="2" t="s">
        <v>7</v>
      </c>
      <c r="N2" s="14">
        <f>J2*3.57</f>
        <v>678.3</v>
      </c>
      <c r="O2">
        <v>200</v>
      </c>
      <c r="P2">
        <f>O2-J2</f>
        <v>10</v>
      </c>
    </row>
    <row r="3" spans="1:16">
      <c r="A3" s="13">
        <v>2</v>
      </c>
      <c r="B3" s="14" t="s">
        <v>0</v>
      </c>
      <c r="C3" s="14">
        <v>13</v>
      </c>
      <c r="D3" s="14">
        <v>128</v>
      </c>
      <c r="E3" s="14" t="s">
        <v>1</v>
      </c>
      <c r="F3" s="15">
        <v>355163567815128</v>
      </c>
      <c r="G3" s="14" t="s">
        <v>2</v>
      </c>
      <c r="H3" s="14" t="s">
        <v>3</v>
      </c>
      <c r="I3" s="14" t="s">
        <v>4</v>
      </c>
      <c r="J3" s="14">
        <v>190</v>
      </c>
      <c r="K3" s="2" t="s">
        <v>5</v>
      </c>
      <c r="L3" s="2" t="s">
        <v>6</v>
      </c>
      <c r="M3" s="2" t="s">
        <v>7</v>
      </c>
      <c r="N3" s="14">
        <f t="shared" ref="N3:N66" si="0">J3*3.57</f>
        <v>678.3</v>
      </c>
      <c r="O3">
        <v>200</v>
      </c>
      <c r="P3">
        <f t="shared" ref="P3:P66" si="1">O3-J3</f>
        <v>10</v>
      </c>
    </row>
    <row r="4" spans="1:16">
      <c r="A4" s="13">
        <v>3</v>
      </c>
      <c r="B4" s="14" t="s">
        <v>0</v>
      </c>
      <c r="C4" s="14">
        <v>13</v>
      </c>
      <c r="D4" s="14">
        <v>128</v>
      </c>
      <c r="E4" s="14" t="s">
        <v>1</v>
      </c>
      <c r="F4" s="15">
        <v>355163567146540</v>
      </c>
      <c r="G4" s="14" t="s">
        <v>2</v>
      </c>
      <c r="H4" s="14" t="s">
        <v>3</v>
      </c>
      <c r="I4" s="14" t="s">
        <v>4</v>
      </c>
      <c r="J4" s="14">
        <v>190</v>
      </c>
      <c r="K4" s="2" t="s">
        <v>5</v>
      </c>
      <c r="L4" s="2" t="s">
        <v>6</v>
      </c>
      <c r="M4" s="2" t="s">
        <v>7</v>
      </c>
      <c r="N4" s="14">
        <f t="shared" si="0"/>
        <v>678.3</v>
      </c>
      <c r="O4">
        <v>200</v>
      </c>
      <c r="P4">
        <f t="shared" si="1"/>
        <v>10</v>
      </c>
    </row>
    <row r="5" spans="1:16">
      <c r="A5" s="13">
        <v>4</v>
      </c>
      <c r="B5" s="14" t="s">
        <v>0</v>
      </c>
      <c r="C5" s="14">
        <v>16</v>
      </c>
      <c r="D5" s="14">
        <v>128</v>
      </c>
      <c r="E5" s="14" t="s">
        <v>8</v>
      </c>
      <c r="F5" s="15">
        <v>359493734612231</v>
      </c>
      <c r="G5" s="14" t="s">
        <v>9</v>
      </c>
      <c r="H5" s="14" t="s">
        <v>10</v>
      </c>
      <c r="I5" s="14" t="s">
        <v>11</v>
      </c>
      <c r="J5" s="14">
        <v>510</v>
      </c>
      <c r="K5" s="2" t="s">
        <v>5</v>
      </c>
      <c r="L5" s="2" t="s">
        <v>6</v>
      </c>
      <c r="M5" s="2" t="s">
        <v>7</v>
      </c>
      <c r="N5" s="14">
        <f t="shared" si="0"/>
        <v>1820.6999999999998</v>
      </c>
      <c r="O5">
        <v>510</v>
      </c>
      <c r="P5">
        <f t="shared" si="1"/>
        <v>0</v>
      </c>
    </row>
    <row r="6" spans="1:16">
      <c r="A6" s="13">
        <v>5</v>
      </c>
      <c r="B6" s="14" t="s">
        <v>0</v>
      </c>
      <c r="C6" s="14">
        <v>17</v>
      </c>
      <c r="D6" s="14">
        <v>256</v>
      </c>
      <c r="E6" s="14" t="s">
        <v>12</v>
      </c>
      <c r="F6" s="15">
        <v>356305889996099</v>
      </c>
      <c r="G6" s="14" t="s">
        <v>9</v>
      </c>
      <c r="H6" s="14" t="s">
        <v>3</v>
      </c>
      <c r="I6" s="14" t="s">
        <v>13</v>
      </c>
      <c r="J6" s="14">
        <v>530</v>
      </c>
      <c r="K6" s="2" t="s">
        <v>5</v>
      </c>
      <c r="L6" s="2" t="s">
        <v>6</v>
      </c>
      <c r="M6" s="2" t="s">
        <v>7</v>
      </c>
      <c r="N6" s="14">
        <f t="shared" si="0"/>
        <v>1892.1</v>
      </c>
      <c r="O6">
        <v>560</v>
      </c>
      <c r="P6">
        <f t="shared" si="1"/>
        <v>30</v>
      </c>
    </row>
    <row r="7" spans="1:16">
      <c r="A7" s="13">
        <v>6</v>
      </c>
      <c r="B7" s="14" t="s">
        <v>0</v>
      </c>
      <c r="C7" s="14">
        <v>17</v>
      </c>
      <c r="D7" s="14">
        <v>256</v>
      </c>
      <c r="E7" s="14" t="s">
        <v>14</v>
      </c>
      <c r="F7" s="15">
        <v>357208787454352</v>
      </c>
      <c r="G7" s="14" t="s">
        <v>9</v>
      </c>
      <c r="H7" s="14" t="s">
        <v>3</v>
      </c>
      <c r="I7" s="14" t="s">
        <v>15</v>
      </c>
      <c r="J7" s="14">
        <v>530</v>
      </c>
      <c r="K7" s="2" t="s">
        <v>5</v>
      </c>
      <c r="L7" s="2" t="s">
        <v>6</v>
      </c>
      <c r="M7" s="2" t="s">
        <v>7</v>
      </c>
      <c r="N7" s="14">
        <f t="shared" si="0"/>
        <v>1892.1</v>
      </c>
      <c r="O7">
        <v>560</v>
      </c>
      <c r="P7">
        <f t="shared" si="1"/>
        <v>30</v>
      </c>
    </row>
    <row r="8" spans="1:16">
      <c r="A8" s="13">
        <v>7</v>
      </c>
      <c r="B8" s="14" t="s">
        <v>16</v>
      </c>
      <c r="C8" s="14" t="s">
        <v>17</v>
      </c>
      <c r="D8" s="14" t="s">
        <v>18</v>
      </c>
      <c r="E8" s="14" t="s">
        <v>19</v>
      </c>
      <c r="F8" s="15">
        <v>354345293865078</v>
      </c>
      <c r="G8" s="14" t="s">
        <v>20</v>
      </c>
      <c r="H8" s="14" t="s">
        <v>21</v>
      </c>
      <c r="I8" s="14" t="s">
        <v>22</v>
      </c>
      <c r="J8" s="14">
        <v>540</v>
      </c>
      <c r="K8" s="2" t="s">
        <v>5</v>
      </c>
      <c r="L8" s="2" t="s">
        <v>6</v>
      </c>
      <c r="M8" s="2" t="s">
        <v>7</v>
      </c>
      <c r="N8" s="14">
        <f t="shared" si="0"/>
        <v>1927.8</v>
      </c>
      <c r="O8" s="1" t="s">
        <v>185</v>
      </c>
      <c r="P8" t="e">
        <f t="shared" si="1"/>
        <v>#VALUE!</v>
      </c>
    </row>
    <row r="9" spans="1:16">
      <c r="A9" s="13">
        <v>8</v>
      </c>
      <c r="B9" s="14" t="s">
        <v>16</v>
      </c>
      <c r="C9" s="14" t="s">
        <v>23</v>
      </c>
      <c r="D9" s="14">
        <v>256</v>
      </c>
      <c r="E9" s="14" t="s">
        <v>24</v>
      </c>
      <c r="F9" s="15">
        <v>358606711541302</v>
      </c>
      <c r="G9" s="14" t="s">
        <v>20</v>
      </c>
      <c r="H9" s="14" t="s">
        <v>21</v>
      </c>
      <c r="I9" s="14" t="s">
        <v>25</v>
      </c>
      <c r="J9" s="14">
        <v>550</v>
      </c>
      <c r="K9" s="2" t="s">
        <v>5</v>
      </c>
      <c r="L9" s="2" t="s">
        <v>6</v>
      </c>
      <c r="M9" s="2" t="s">
        <v>7</v>
      </c>
      <c r="N9" s="14">
        <f t="shared" si="0"/>
        <v>1963.5</v>
      </c>
      <c r="O9">
        <v>475</v>
      </c>
      <c r="P9">
        <f t="shared" si="1"/>
        <v>-75</v>
      </c>
    </row>
    <row r="10" spans="1:16">
      <c r="A10" s="13">
        <v>9</v>
      </c>
      <c r="B10" s="14" t="s">
        <v>16</v>
      </c>
      <c r="C10" s="14" t="s">
        <v>23</v>
      </c>
      <c r="D10" s="14">
        <v>256</v>
      </c>
      <c r="E10" s="14" t="s">
        <v>24</v>
      </c>
      <c r="F10" s="15">
        <v>354689824617494</v>
      </c>
      <c r="G10" s="14" t="s">
        <v>20</v>
      </c>
      <c r="H10" s="14" t="s">
        <v>21</v>
      </c>
      <c r="I10" s="14" t="s">
        <v>26</v>
      </c>
      <c r="J10" s="14">
        <v>380</v>
      </c>
      <c r="K10" s="2" t="s">
        <v>5</v>
      </c>
      <c r="L10" s="2" t="s">
        <v>6</v>
      </c>
      <c r="M10" s="2" t="s">
        <v>7</v>
      </c>
      <c r="N10" s="14">
        <f t="shared" si="0"/>
        <v>1356.6</v>
      </c>
      <c r="O10">
        <v>475</v>
      </c>
      <c r="P10">
        <f t="shared" si="1"/>
        <v>95</v>
      </c>
    </row>
    <row r="11" spans="1:16">
      <c r="A11" s="13">
        <v>10</v>
      </c>
      <c r="B11" s="14" t="s">
        <v>0</v>
      </c>
      <c r="C11" s="14" t="s">
        <v>27</v>
      </c>
      <c r="D11" s="14">
        <v>128</v>
      </c>
      <c r="E11" s="14" t="s">
        <v>28</v>
      </c>
      <c r="F11" s="15">
        <v>356703573214227</v>
      </c>
      <c r="G11" s="14" t="s">
        <v>2</v>
      </c>
      <c r="H11" s="14" t="s">
        <v>3</v>
      </c>
      <c r="I11" s="14" t="s">
        <v>29</v>
      </c>
      <c r="J11" s="14">
        <v>340</v>
      </c>
      <c r="K11" s="2" t="s">
        <v>5</v>
      </c>
      <c r="L11" s="2" t="s">
        <v>6</v>
      </c>
      <c r="M11" s="2" t="s">
        <v>7</v>
      </c>
      <c r="N11" s="14">
        <f t="shared" si="0"/>
        <v>1213.8</v>
      </c>
      <c r="O11" s="1" t="s">
        <v>185</v>
      </c>
      <c r="P11" t="e">
        <f t="shared" si="1"/>
        <v>#VALUE!</v>
      </c>
    </row>
    <row r="12" spans="1:16">
      <c r="A12" s="13">
        <v>11</v>
      </c>
      <c r="B12" s="14" t="s">
        <v>0</v>
      </c>
      <c r="C12" s="14" t="s">
        <v>27</v>
      </c>
      <c r="D12" s="14">
        <v>128</v>
      </c>
      <c r="E12" s="14" t="s">
        <v>8</v>
      </c>
      <c r="F12" s="15">
        <v>359012141435018</v>
      </c>
      <c r="G12" s="14" t="s">
        <v>9</v>
      </c>
      <c r="H12" s="14" t="s">
        <v>10</v>
      </c>
      <c r="I12" s="14" t="s">
        <v>30</v>
      </c>
      <c r="J12" s="14">
        <v>420</v>
      </c>
      <c r="K12" s="2" t="s">
        <v>5</v>
      </c>
      <c r="L12" s="2" t="s">
        <v>6</v>
      </c>
      <c r="M12" s="2" t="s">
        <v>7</v>
      </c>
      <c r="N12" s="14">
        <f t="shared" si="0"/>
        <v>1499.3999999999999</v>
      </c>
      <c r="O12">
        <v>440</v>
      </c>
      <c r="P12">
        <f t="shared" si="1"/>
        <v>20</v>
      </c>
    </row>
    <row r="13" spans="1:16">
      <c r="A13" s="13">
        <v>12</v>
      </c>
      <c r="B13" s="14" t="s">
        <v>0</v>
      </c>
      <c r="C13" s="14" t="s">
        <v>31</v>
      </c>
      <c r="D13" s="14">
        <v>512</v>
      </c>
      <c r="E13" s="14" t="s">
        <v>32</v>
      </c>
      <c r="F13" s="15">
        <v>357254479878961</v>
      </c>
      <c r="G13" s="14" t="s">
        <v>9</v>
      </c>
      <c r="H13" s="14" t="s">
        <v>10</v>
      </c>
      <c r="I13" s="14" t="s">
        <v>11</v>
      </c>
      <c r="J13" s="14">
        <v>1180</v>
      </c>
      <c r="K13" s="2" t="s">
        <v>5</v>
      </c>
      <c r="L13" s="2" t="s">
        <v>6</v>
      </c>
      <c r="M13" s="2" t="s">
        <v>7</v>
      </c>
      <c r="N13" s="14">
        <f t="shared" si="0"/>
        <v>4212.5999999999995</v>
      </c>
      <c r="O13">
        <v>1160</v>
      </c>
      <c r="P13">
        <f t="shared" si="1"/>
        <v>-20</v>
      </c>
    </row>
    <row r="14" spans="1:16">
      <c r="A14" s="13">
        <v>13</v>
      </c>
      <c r="B14" s="14" t="s">
        <v>0</v>
      </c>
      <c r="C14" s="14" t="s">
        <v>31</v>
      </c>
      <c r="D14" s="14">
        <v>512</v>
      </c>
      <c r="E14" s="14" t="s">
        <v>32</v>
      </c>
      <c r="F14" s="15">
        <v>357254479287817</v>
      </c>
      <c r="G14" s="14" t="s">
        <v>9</v>
      </c>
      <c r="H14" s="14" t="s">
        <v>10</v>
      </c>
      <c r="I14" s="14" t="s">
        <v>11</v>
      </c>
      <c r="J14" s="14">
        <v>1180</v>
      </c>
      <c r="K14" s="2" t="s">
        <v>5</v>
      </c>
      <c r="L14" s="2" t="s">
        <v>6</v>
      </c>
      <c r="M14" s="2" t="s">
        <v>7</v>
      </c>
      <c r="N14" s="14">
        <f t="shared" si="0"/>
        <v>4212.5999999999995</v>
      </c>
      <c r="O14">
        <v>1160</v>
      </c>
      <c r="P14">
        <f t="shared" si="1"/>
        <v>-20</v>
      </c>
    </row>
    <row r="15" spans="1:16">
      <c r="A15" s="13">
        <v>14</v>
      </c>
      <c r="B15" s="14" t="s">
        <v>0</v>
      </c>
      <c r="C15" s="14" t="s">
        <v>33</v>
      </c>
      <c r="D15" s="14">
        <v>256</v>
      </c>
      <c r="E15" s="14" t="s">
        <v>34</v>
      </c>
      <c r="F15" s="15">
        <v>352001993538406</v>
      </c>
      <c r="G15" s="14" t="s">
        <v>9</v>
      </c>
      <c r="H15" s="14" t="s">
        <v>10</v>
      </c>
      <c r="I15" s="14" t="s">
        <v>11</v>
      </c>
      <c r="J15" s="14">
        <v>1065</v>
      </c>
      <c r="K15" s="2" t="s">
        <v>5</v>
      </c>
      <c r="L15" s="2" t="s">
        <v>6</v>
      </c>
      <c r="M15" s="2" t="s">
        <v>7</v>
      </c>
      <c r="N15" s="14">
        <f t="shared" si="0"/>
        <v>3802.0499999999997</v>
      </c>
      <c r="O15">
        <v>1055</v>
      </c>
      <c r="P15">
        <f t="shared" si="1"/>
        <v>-10</v>
      </c>
    </row>
    <row r="16" spans="1:16">
      <c r="A16" s="13">
        <v>15</v>
      </c>
      <c r="B16" s="14" t="s">
        <v>0</v>
      </c>
      <c r="C16" s="14" t="s">
        <v>33</v>
      </c>
      <c r="D16" s="14">
        <v>256</v>
      </c>
      <c r="E16" s="14" t="s">
        <v>34</v>
      </c>
      <c r="F16" s="15">
        <v>352001993194531</v>
      </c>
      <c r="G16" s="14" t="s">
        <v>9</v>
      </c>
      <c r="H16" s="14" t="s">
        <v>10</v>
      </c>
      <c r="I16" s="14" t="s">
        <v>11</v>
      </c>
      <c r="J16" s="14">
        <v>1065</v>
      </c>
      <c r="K16" s="2" t="s">
        <v>5</v>
      </c>
      <c r="L16" s="2" t="s">
        <v>6</v>
      </c>
      <c r="M16" s="2" t="s">
        <v>7</v>
      </c>
      <c r="N16" s="14">
        <f t="shared" si="0"/>
        <v>3802.0499999999997</v>
      </c>
      <c r="O16">
        <v>1055</v>
      </c>
      <c r="P16">
        <f t="shared" si="1"/>
        <v>-10</v>
      </c>
    </row>
    <row r="17" spans="1:16">
      <c r="A17" s="13">
        <v>16</v>
      </c>
      <c r="B17" s="14" t="s">
        <v>0</v>
      </c>
      <c r="C17" s="14" t="s">
        <v>33</v>
      </c>
      <c r="D17" s="14">
        <v>256</v>
      </c>
      <c r="E17" s="14" t="s">
        <v>34</v>
      </c>
      <c r="F17" s="15">
        <v>352001993320755</v>
      </c>
      <c r="G17" s="14" t="s">
        <v>9</v>
      </c>
      <c r="H17" s="14" t="s">
        <v>10</v>
      </c>
      <c r="I17" s="14" t="s">
        <v>11</v>
      </c>
      <c r="J17" s="14">
        <v>1065</v>
      </c>
      <c r="K17" s="2" t="s">
        <v>5</v>
      </c>
      <c r="L17" s="2" t="s">
        <v>6</v>
      </c>
      <c r="M17" s="2" t="s">
        <v>7</v>
      </c>
      <c r="N17" s="14">
        <f t="shared" si="0"/>
        <v>3802.0499999999997</v>
      </c>
      <c r="O17">
        <v>1055</v>
      </c>
      <c r="P17">
        <f t="shared" si="1"/>
        <v>-10</v>
      </c>
    </row>
    <row r="18" spans="1:16">
      <c r="A18" s="13">
        <v>17</v>
      </c>
      <c r="B18" s="14" t="s">
        <v>0</v>
      </c>
      <c r="C18" s="14" t="s">
        <v>33</v>
      </c>
      <c r="D18" s="14">
        <v>256</v>
      </c>
      <c r="E18" s="14" t="s">
        <v>34</v>
      </c>
      <c r="F18" s="15">
        <v>352001993207747</v>
      </c>
      <c r="G18" s="14" t="s">
        <v>9</v>
      </c>
      <c r="H18" s="14" t="s">
        <v>10</v>
      </c>
      <c r="I18" s="14" t="s">
        <v>11</v>
      </c>
      <c r="J18" s="14">
        <v>1065</v>
      </c>
      <c r="K18" s="2" t="s">
        <v>5</v>
      </c>
      <c r="L18" s="2" t="s">
        <v>6</v>
      </c>
      <c r="M18" s="2" t="s">
        <v>7</v>
      </c>
      <c r="N18" s="14">
        <f t="shared" si="0"/>
        <v>3802.0499999999997</v>
      </c>
      <c r="O18">
        <v>1055</v>
      </c>
      <c r="P18">
        <f t="shared" si="1"/>
        <v>-10</v>
      </c>
    </row>
    <row r="19" spans="1:16">
      <c r="A19" s="13">
        <v>18</v>
      </c>
      <c r="B19" s="14" t="s">
        <v>0</v>
      </c>
      <c r="C19" s="14" t="s">
        <v>33</v>
      </c>
      <c r="D19" s="14">
        <v>256</v>
      </c>
      <c r="E19" s="14" t="s">
        <v>32</v>
      </c>
      <c r="F19" s="15">
        <v>352440635277744</v>
      </c>
      <c r="G19" s="14" t="s">
        <v>9</v>
      </c>
      <c r="H19" s="14" t="s">
        <v>3</v>
      </c>
      <c r="I19" s="14"/>
      <c r="J19" s="14">
        <v>810</v>
      </c>
      <c r="K19" s="2" t="s">
        <v>5</v>
      </c>
      <c r="L19" s="2" t="s">
        <v>6</v>
      </c>
      <c r="M19" s="2" t="s">
        <v>7</v>
      </c>
      <c r="N19" s="14">
        <f t="shared" si="0"/>
        <v>2891.7</v>
      </c>
      <c r="O19">
        <v>810</v>
      </c>
      <c r="P19">
        <f t="shared" si="1"/>
        <v>0</v>
      </c>
    </row>
    <row r="20" spans="1:16">
      <c r="A20" s="13">
        <v>19</v>
      </c>
      <c r="B20" s="14" t="s">
        <v>0</v>
      </c>
      <c r="C20" s="14" t="s">
        <v>33</v>
      </c>
      <c r="D20" s="14">
        <v>256</v>
      </c>
      <c r="E20" s="14" t="s">
        <v>32</v>
      </c>
      <c r="F20" s="15">
        <v>355079369331785</v>
      </c>
      <c r="G20" s="14" t="s">
        <v>9</v>
      </c>
      <c r="H20" s="14" t="s">
        <v>10</v>
      </c>
      <c r="I20" s="14" t="s">
        <v>15</v>
      </c>
      <c r="J20" s="14">
        <v>810</v>
      </c>
      <c r="K20" s="2" t="s">
        <v>5</v>
      </c>
      <c r="L20" s="2" t="s">
        <v>6</v>
      </c>
      <c r="M20" s="2" t="s">
        <v>7</v>
      </c>
      <c r="N20" s="14">
        <f t="shared" si="0"/>
        <v>2891.7</v>
      </c>
      <c r="O20">
        <v>825</v>
      </c>
      <c r="P20">
        <f t="shared" si="1"/>
        <v>15</v>
      </c>
    </row>
    <row r="21" spans="1:16">
      <c r="A21" s="13">
        <v>20</v>
      </c>
      <c r="B21" s="14" t="s">
        <v>0</v>
      </c>
      <c r="C21" s="14" t="s">
        <v>33</v>
      </c>
      <c r="D21" s="14">
        <v>512</v>
      </c>
      <c r="E21" s="14" t="s">
        <v>32</v>
      </c>
      <c r="F21" s="15">
        <v>356245416236967</v>
      </c>
      <c r="G21" s="14" t="s">
        <v>9</v>
      </c>
      <c r="H21" s="14" t="s">
        <v>10</v>
      </c>
      <c r="I21" s="14" t="s">
        <v>15</v>
      </c>
      <c r="J21" s="14">
        <v>930</v>
      </c>
      <c r="K21" s="2" t="s">
        <v>5</v>
      </c>
      <c r="L21" s="2" t="s">
        <v>6</v>
      </c>
      <c r="M21" s="2" t="s">
        <v>7</v>
      </c>
      <c r="N21" s="14">
        <f t="shared" si="0"/>
        <v>3320.1</v>
      </c>
      <c r="O21">
        <v>960</v>
      </c>
      <c r="P21">
        <f t="shared" si="1"/>
        <v>30</v>
      </c>
    </row>
    <row r="22" spans="1:16">
      <c r="A22" s="13">
        <v>21</v>
      </c>
      <c r="B22" s="14" t="s">
        <v>0</v>
      </c>
      <c r="C22" s="14" t="s">
        <v>31</v>
      </c>
      <c r="D22" s="14">
        <v>512</v>
      </c>
      <c r="E22" s="14" t="s">
        <v>32</v>
      </c>
      <c r="F22" s="15">
        <v>357254479486039</v>
      </c>
      <c r="G22" s="14" t="s">
        <v>9</v>
      </c>
      <c r="H22" s="14" t="s">
        <v>10</v>
      </c>
      <c r="I22" s="14" t="s">
        <v>11</v>
      </c>
      <c r="J22" s="14">
        <v>1180</v>
      </c>
      <c r="K22" s="2" t="s">
        <v>5</v>
      </c>
      <c r="L22" s="2" t="s">
        <v>6</v>
      </c>
      <c r="M22" s="2" t="s">
        <v>7</v>
      </c>
      <c r="N22" s="14">
        <f t="shared" si="0"/>
        <v>4212.5999999999995</v>
      </c>
      <c r="O22">
        <v>1160</v>
      </c>
      <c r="P22">
        <f t="shared" si="1"/>
        <v>-20</v>
      </c>
    </row>
    <row r="23" spans="1:16">
      <c r="A23" s="13">
        <v>22</v>
      </c>
      <c r="B23" s="14" t="s">
        <v>0</v>
      </c>
      <c r="C23" s="14" t="s">
        <v>31</v>
      </c>
      <c r="D23" s="14">
        <v>256</v>
      </c>
      <c r="E23" s="14" t="s">
        <v>32</v>
      </c>
      <c r="F23" s="15">
        <v>351317524281634</v>
      </c>
      <c r="G23" s="14" t="s">
        <v>9</v>
      </c>
      <c r="H23" s="14" t="s">
        <v>3</v>
      </c>
      <c r="I23" s="14" t="s">
        <v>13</v>
      </c>
      <c r="J23" s="14">
        <v>810</v>
      </c>
      <c r="K23" s="2" t="s">
        <v>5</v>
      </c>
      <c r="L23" s="2" t="s">
        <v>6</v>
      </c>
      <c r="M23" s="2" t="s">
        <v>7</v>
      </c>
      <c r="N23" s="14">
        <f t="shared" si="0"/>
        <v>2891.7</v>
      </c>
      <c r="O23">
        <v>810</v>
      </c>
      <c r="P23">
        <f t="shared" si="1"/>
        <v>0</v>
      </c>
    </row>
    <row r="24" spans="1:16">
      <c r="A24" s="13">
        <v>23</v>
      </c>
      <c r="B24" s="14" t="s">
        <v>0</v>
      </c>
      <c r="C24" s="14" t="s">
        <v>35</v>
      </c>
      <c r="D24" s="14">
        <v>256</v>
      </c>
      <c r="E24" s="14" t="s">
        <v>12</v>
      </c>
      <c r="F24" s="15">
        <v>353497851021437</v>
      </c>
      <c r="G24" s="14" t="s">
        <v>2</v>
      </c>
      <c r="H24" s="14" t="s">
        <v>3</v>
      </c>
      <c r="I24" s="14" t="s">
        <v>29</v>
      </c>
      <c r="J24" s="14">
        <v>840</v>
      </c>
      <c r="K24" s="2" t="s">
        <v>5</v>
      </c>
      <c r="L24" s="2" t="s">
        <v>6</v>
      </c>
      <c r="M24" s="2" t="s">
        <v>7</v>
      </c>
      <c r="N24" s="14">
        <f t="shared" si="0"/>
        <v>2998.7999999999997</v>
      </c>
      <c r="O24" s="1" t="s">
        <v>185</v>
      </c>
      <c r="P24" t="e">
        <f t="shared" si="1"/>
        <v>#VALUE!</v>
      </c>
    </row>
    <row r="25" spans="1:16">
      <c r="A25" s="13">
        <v>24</v>
      </c>
      <c r="B25" s="14" t="s">
        <v>0</v>
      </c>
      <c r="C25" s="14" t="s">
        <v>35</v>
      </c>
      <c r="D25" s="14">
        <v>512</v>
      </c>
      <c r="E25" s="14" t="s">
        <v>32</v>
      </c>
      <c r="F25" s="15">
        <v>358434702802272</v>
      </c>
      <c r="G25" s="14" t="s">
        <v>9</v>
      </c>
      <c r="H25" s="14" t="s">
        <v>3</v>
      </c>
      <c r="I25" s="14" t="s">
        <v>15</v>
      </c>
      <c r="J25" s="14">
        <v>1080</v>
      </c>
      <c r="K25" s="2" t="s">
        <v>5</v>
      </c>
      <c r="L25" s="2" t="s">
        <v>6</v>
      </c>
      <c r="M25" s="2" t="s">
        <v>7</v>
      </c>
      <c r="N25" s="14">
        <f t="shared" si="0"/>
        <v>3855.6</v>
      </c>
      <c r="O25" s="1" t="s">
        <v>185</v>
      </c>
      <c r="P25" t="e">
        <f t="shared" si="1"/>
        <v>#VALUE!</v>
      </c>
    </row>
    <row r="26" spans="1:16">
      <c r="A26" s="13">
        <v>25</v>
      </c>
      <c r="B26" s="14" t="s">
        <v>0</v>
      </c>
      <c r="C26" s="14" t="s">
        <v>35</v>
      </c>
      <c r="D26" s="14">
        <v>512</v>
      </c>
      <c r="E26" s="14" t="s">
        <v>34</v>
      </c>
      <c r="F26" s="15">
        <v>359814719579154</v>
      </c>
      <c r="G26" s="14" t="s">
        <v>9</v>
      </c>
      <c r="H26" s="14" t="s">
        <v>3</v>
      </c>
      <c r="I26" s="14" t="s">
        <v>15</v>
      </c>
      <c r="J26" s="14">
        <v>1080</v>
      </c>
      <c r="K26" s="2" t="s">
        <v>5</v>
      </c>
      <c r="L26" s="2" t="s">
        <v>6</v>
      </c>
      <c r="M26" s="2" t="s">
        <v>7</v>
      </c>
      <c r="N26" s="14">
        <f t="shared" si="0"/>
        <v>3855.6</v>
      </c>
      <c r="O26" s="1" t="s">
        <v>185</v>
      </c>
      <c r="P26" t="e">
        <f t="shared" si="1"/>
        <v>#VALUE!</v>
      </c>
    </row>
    <row r="27" spans="1:16">
      <c r="A27" s="13">
        <v>26</v>
      </c>
      <c r="B27" s="14" t="s">
        <v>0</v>
      </c>
      <c r="C27" s="14" t="s">
        <v>35</v>
      </c>
      <c r="D27" s="14">
        <v>256</v>
      </c>
      <c r="E27" s="14" t="s">
        <v>32</v>
      </c>
      <c r="F27" s="15">
        <v>359814717786751</v>
      </c>
      <c r="G27" s="14" t="s">
        <v>9</v>
      </c>
      <c r="H27" s="14" t="s">
        <v>10</v>
      </c>
      <c r="I27" s="14" t="s">
        <v>15</v>
      </c>
      <c r="J27" s="14">
        <v>920</v>
      </c>
      <c r="K27" s="2" t="s">
        <v>5</v>
      </c>
      <c r="L27" s="2" t="s">
        <v>6</v>
      </c>
      <c r="M27" s="2" t="s">
        <v>7</v>
      </c>
      <c r="N27" s="14">
        <f t="shared" si="0"/>
        <v>3284.3999999999996</v>
      </c>
      <c r="O27">
        <v>910</v>
      </c>
      <c r="P27">
        <f t="shared" si="1"/>
        <v>-10</v>
      </c>
    </row>
    <row r="28" spans="1:16">
      <c r="A28" s="13">
        <v>27</v>
      </c>
      <c r="B28" s="14" t="s">
        <v>0</v>
      </c>
      <c r="C28" s="14" t="s">
        <v>36</v>
      </c>
      <c r="D28" s="14">
        <v>256</v>
      </c>
      <c r="E28" s="14" t="s">
        <v>34</v>
      </c>
      <c r="F28" s="15">
        <v>355246657443701</v>
      </c>
      <c r="G28" s="14" t="s">
        <v>2</v>
      </c>
      <c r="H28" s="14" t="s">
        <v>3</v>
      </c>
      <c r="I28" s="14" t="s">
        <v>13</v>
      </c>
      <c r="J28" s="14">
        <v>830</v>
      </c>
      <c r="K28" s="2" t="s">
        <v>5</v>
      </c>
      <c r="L28" s="2" t="s">
        <v>6</v>
      </c>
      <c r="M28" s="2" t="s">
        <v>7</v>
      </c>
      <c r="N28" s="14">
        <f t="shared" si="0"/>
        <v>2963.1</v>
      </c>
      <c r="O28" s="1" t="s">
        <v>185</v>
      </c>
      <c r="P28" t="e">
        <f t="shared" si="1"/>
        <v>#VALUE!</v>
      </c>
    </row>
    <row r="29" spans="1:16">
      <c r="A29" s="13">
        <v>28</v>
      </c>
      <c r="B29" s="14" t="s">
        <v>0</v>
      </c>
      <c r="C29" s="14" t="s">
        <v>36</v>
      </c>
      <c r="D29" s="14">
        <v>256</v>
      </c>
      <c r="E29" s="14" t="s">
        <v>12</v>
      </c>
      <c r="F29" s="15">
        <v>359614549650955</v>
      </c>
      <c r="G29" s="14" t="s">
        <v>2</v>
      </c>
      <c r="H29" s="14" t="s">
        <v>3</v>
      </c>
      <c r="I29" s="14" t="s">
        <v>13</v>
      </c>
      <c r="J29" s="14">
        <v>830</v>
      </c>
      <c r="K29" s="2" t="s">
        <v>5</v>
      </c>
      <c r="L29" s="2" t="s">
        <v>6</v>
      </c>
      <c r="M29" s="2" t="s">
        <v>7</v>
      </c>
      <c r="N29" s="14">
        <f t="shared" si="0"/>
        <v>2963.1</v>
      </c>
      <c r="O29" s="1" t="s">
        <v>185</v>
      </c>
      <c r="P29" t="e">
        <f t="shared" si="1"/>
        <v>#VALUE!</v>
      </c>
    </row>
    <row r="30" spans="1:16">
      <c r="A30" s="13">
        <v>29</v>
      </c>
      <c r="B30" s="14" t="s">
        <v>0</v>
      </c>
      <c r="C30" s="14" t="s">
        <v>36</v>
      </c>
      <c r="D30" s="14">
        <v>512</v>
      </c>
      <c r="E30" s="14" t="s">
        <v>32</v>
      </c>
      <c r="F30" s="15">
        <v>358434707087002</v>
      </c>
      <c r="G30" s="14" t="s">
        <v>9</v>
      </c>
      <c r="H30" s="14" t="s">
        <v>10</v>
      </c>
      <c r="I30" s="14" t="s">
        <v>29</v>
      </c>
      <c r="J30" s="14">
        <v>1080</v>
      </c>
      <c r="K30" s="2" t="s">
        <v>5</v>
      </c>
      <c r="L30" s="2" t="s">
        <v>6</v>
      </c>
      <c r="M30" s="2" t="s">
        <v>7</v>
      </c>
      <c r="N30" s="14">
        <f t="shared" si="0"/>
        <v>3855.6</v>
      </c>
      <c r="O30">
        <v>1060</v>
      </c>
      <c r="P30">
        <f t="shared" si="1"/>
        <v>-20</v>
      </c>
    </row>
    <row r="31" spans="1:16">
      <c r="A31" s="13">
        <v>30</v>
      </c>
      <c r="B31" s="14" t="s">
        <v>37</v>
      </c>
      <c r="C31" s="14" t="s">
        <v>38</v>
      </c>
      <c r="D31" s="14">
        <v>256</v>
      </c>
      <c r="E31" s="14" t="s">
        <v>12</v>
      </c>
      <c r="F31" s="15">
        <v>357585654513505</v>
      </c>
      <c r="G31" s="14" t="s">
        <v>9</v>
      </c>
      <c r="H31" s="14" t="s">
        <v>10</v>
      </c>
      <c r="I31" s="14" t="s">
        <v>11</v>
      </c>
      <c r="J31" s="14">
        <v>350</v>
      </c>
      <c r="K31" s="2" t="s">
        <v>5</v>
      </c>
      <c r="L31" s="2" t="s">
        <v>6</v>
      </c>
      <c r="M31" s="2" t="s">
        <v>7</v>
      </c>
      <c r="N31" s="14">
        <f t="shared" si="0"/>
        <v>1249.5</v>
      </c>
      <c r="O31">
        <v>350</v>
      </c>
      <c r="P31">
        <f t="shared" si="1"/>
        <v>0</v>
      </c>
    </row>
    <row r="32" spans="1:16">
      <c r="A32" s="13">
        <v>31</v>
      </c>
      <c r="B32" s="14" t="s">
        <v>37</v>
      </c>
      <c r="C32" s="14" t="s">
        <v>38</v>
      </c>
      <c r="D32" s="14">
        <v>256</v>
      </c>
      <c r="E32" s="14" t="s">
        <v>12</v>
      </c>
      <c r="F32" s="15">
        <v>357585654819621</v>
      </c>
      <c r="G32" s="14" t="s">
        <v>9</v>
      </c>
      <c r="H32" s="14" t="s">
        <v>10</v>
      </c>
      <c r="I32" s="14" t="s">
        <v>11</v>
      </c>
      <c r="J32" s="14">
        <v>350</v>
      </c>
      <c r="K32" s="2" t="s">
        <v>5</v>
      </c>
      <c r="L32" s="2" t="s">
        <v>6</v>
      </c>
      <c r="M32" s="2" t="s">
        <v>7</v>
      </c>
      <c r="N32" s="14">
        <f t="shared" si="0"/>
        <v>1249.5</v>
      </c>
      <c r="O32">
        <v>350</v>
      </c>
      <c r="P32">
        <f t="shared" si="1"/>
        <v>0</v>
      </c>
    </row>
    <row r="33" spans="1:16">
      <c r="A33" s="13">
        <v>32</v>
      </c>
      <c r="B33" s="14" t="s">
        <v>37</v>
      </c>
      <c r="C33" s="14" t="s">
        <v>38</v>
      </c>
      <c r="D33" s="14">
        <v>128</v>
      </c>
      <c r="E33" s="14" t="s">
        <v>12</v>
      </c>
      <c r="F33" s="15">
        <v>351159024289281</v>
      </c>
      <c r="G33" s="14" t="s">
        <v>9</v>
      </c>
      <c r="H33" s="14" t="s">
        <v>3</v>
      </c>
      <c r="I33" s="14" t="s">
        <v>11</v>
      </c>
      <c r="J33" s="14">
        <v>350</v>
      </c>
      <c r="K33" s="2" t="s">
        <v>5</v>
      </c>
      <c r="L33" s="2" t="s">
        <v>6</v>
      </c>
      <c r="M33" s="2" t="s">
        <v>7</v>
      </c>
      <c r="N33" s="14">
        <f t="shared" si="0"/>
        <v>1249.5</v>
      </c>
      <c r="O33">
        <v>300</v>
      </c>
      <c r="P33">
        <f t="shared" si="1"/>
        <v>-50</v>
      </c>
    </row>
    <row r="34" spans="1:16">
      <c r="A34" s="13">
        <v>33</v>
      </c>
      <c r="B34" s="14" t="s">
        <v>37</v>
      </c>
      <c r="C34" s="14" t="s">
        <v>38</v>
      </c>
      <c r="D34" s="14">
        <v>128</v>
      </c>
      <c r="E34" s="14" t="s">
        <v>12</v>
      </c>
      <c r="F34" s="15" t="s">
        <v>39</v>
      </c>
      <c r="G34" s="14" t="s">
        <v>9</v>
      </c>
      <c r="H34" s="14" t="s">
        <v>10</v>
      </c>
      <c r="I34" s="14" t="s">
        <v>40</v>
      </c>
      <c r="J34" s="14">
        <v>350</v>
      </c>
      <c r="K34" s="2" t="s">
        <v>5</v>
      </c>
      <c r="L34" s="2" t="s">
        <v>6</v>
      </c>
      <c r="M34" s="2" t="s">
        <v>7</v>
      </c>
      <c r="N34" s="14">
        <f t="shared" si="0"/>
        <v>1249.5</v>
      </c>
      <c r="O34">
        <v>285</v>
      </c>
      <c r="P34">
        <f t="shared" si="1"/>
        <v>-65</v>
      </c>
    </row>
    <row r="35" spans="1:16">
      <c r="A35" s="13">
        <v>34</v>
      </c>
      <c r="B35" s="14" t="s">
        <v>37</v>
      </c>
      <c r="C35" s="14" t="s">
        <v>41</v>
      </c>
      <c r="D35" s="14">
        <v>256</v>
      </c>
      <c r="E35" s="14" t="s">
        <v>12</v>
      </c>
      <c r="F35" s="15" t="s">
        <v>42</v>
      </c>
      <c r="G35" s="14" t="s">
        <v>9</v>
      </c>
      <c r="H35" s="14" t="s">
        <v>10</v>
      </c>
      <c r="I35" s="14" t="s">
        <v>40</v>
      </c>
      <c r="J35" s="14">
        <v>600</v>
      </c>
      <c r="K35" s="2" t="s">
        <v>5</v>
      </c>
      <c r="L35" s="2" t="s">
        <v>6</v>
      </c>
      <c r="M35" s="2" t="s">
        <v>7</v>
      </c>
      <c r="N35" s="14">
        <f t="shared" si="0"/>
        <v>2142</v>
      </c>
      <c r="O35" s="1" t="s">
        <v>185</v>
      </c>
      <c r="P35" t="e">
        <f t="shared" si="1"/>
        <v>#VALUE!</v>
      </c>
    </row>
    <row r="36" spans="1:16">
      <c r="A36" s="13">
        <v>35</v>
      </c>
      <c r="B36" s="14" t="s">
        <v>37</v>
      </c>
      <c r="C36" s="14" t="s">
        <v>43</v>
      </c>
      <c r="D36" s="14">
        <v>256</v>
      </c>
      <c r="E36" s="14" t="s">
        <v>44</v>
      </c>
      <c r="F36" s="15">
        <v>357241834133489</v>
      </c>
      <c r="G36" s="14" t="s">
        <v>9</v>
      </c>
      <c r="H36" s="14" t="s">
        <v>10</v>
      </c>
      <c r="I36" s="14" t="s">
        <v>11</v>
      </c>
      <c r="J36" s="14">
        <v>600</v>
      </c>
      <c r="K36" s="2" t="s">
        <v>5</v>
      </c>
      <c r="L36" s="2" t="s">
        <v>6</v>
      </c>
      <c r="M36" s="2" t="s">
        <v>7</v>
      </c>
      <c r="N36" s="14">
        <f t="shared" si="0"/>
        <v>2142</v>
      </c>
      <c r="O36">
        <v>600</v>
      </c>
      <c r="P36">
        <f t="shared" si="1"/>
        <v>0</v>
      </c>
    </row>
    <row r="37" spans="1:16">
      <c r="A37" s="13">
        <v>36</v>
      </c>
      <c r="B37" s="14" t="s">
        <v>37</v>
      </c>
      <c r="C37" s="14" t="s">
        <v>43</v>
      </c>
      <c r="D37" s="14">
        <v>128</v>
      </c>
      <c r="E37" s="14" t="s">
        <v>44</v>
      </c>
      <c r="F37" s="15">
        <v>353335920723965</v>
      </c>
      <c r="G37" s="14" t="s">
        <v>9</v>
      </c>
      <c r="H37" s="14" t="s">
        <v>10</v>
      </c>
      <c r="I37" s="14" t="s">
        <v>11</v>
      </c>
      <c r="J37" s="14">
        <v>500</v>
      </c>
      <c r="K37" s="2" t="s">
        <v>5</v>
      </c>
      <c r="L37" s="2" t="s">
        <v>6</v>
      </c>
      <c r="M37" s="2" t="s">
        <v>7</v>
      </c>
      <c r="N37" s="14">
        <f t="shared" si="0"/>
        <v>1785</v>
      </c>
      <c r="O37">
        <v>530</v>
      </c>
      <c r="P37">
        <f t="shared" si="1"/>
        <v>30</v>
      </c>
    </row>
    <row r="38" spans="1:16">
      <c r="A38" s="13">
        <v>37</v>
      </c>
      <c r="B38" s="14" t="s">
        <v>45</v>
      </c>
      <c r="C38" s="14" t="s">
        <v>46</v>
      </c>
      <c r="D38" s="14" t="s">
        <v>47</v>
      </c>
      <c r="E38" s="14" t="s">
        <v>48</v>
      </c>
      <c r="F38" s="15" t="s">
        <v>49</v>
      </c>
      <c r="G38" s="14" t="s">
        <v>9</v>
      </c>
      <c r="H38" s="14" t="s">
        <v>10</v>
      </c>
      <c r="I38" s="14" t="s">
        <v>40</v>
      </c>
      <c r="J38" s="14">
        <v>415</v>
      </c>
      <c r="K38" s="2" t="s">
        <v>5</v>
      </c>
      <c r="L38" s="2" t="s">
        <v>6</v>
      </c>
      <c r="M38" s="2" t="s">
        <v>7</v>
      </c>
      <c r="N38" s="14">
        <f t="shared" si="0"/>
        <v>1481.55</v>
      </c>
      <c r="O38">
        <v>425</v>
      </c>
      <c r="P38">
        <f t="shared" si="1"/>
        <v>10</v>
      </c>
    </row>
    <row r="39" spans="1:16">
      <c r="A39" s="13">
        <v>38</v>
      </c>
      <c r="B39" s="14" t="s">
        <v>50</v>
      </c>
      <c r="C39" s="14" t="s">
        <v>51</v>
      </c>
      <c r="D39" s="14">
        <v>512</v>
      </c>
      <c r="E39" s="14" t="s">
        <v>8</v>
      </c>
      <c r="F39" s="15" t="s">
        <v>52</v>
      </c>
      <c r="G39" s="14" t="s">
        <v>9</v>
      </c>
      <c r="H39" s="14" t="s">
        <v>10</v>
      </c>
      <c r="I39" s="14" t="s">
        <v>40</v>
      </c>
      <c r="J39" s="14">
        <v>1375</v>
      </c>
      <c r="K39" s="2" t="s">
        <v>5</v>
      </c>
      <c r="L39" s="2" t="s">
        <v>6</v>
      </c>
      <c r="M39" s="2" t="s">
        <v>7</v>
      </c>
      <c r="N39" s="14">
        <f t="shared" si="0"/>
        <v>4908.75</v>
      </c>
      <c r="O39">
        <v>1375</v>
      </c>
      <c r="P39">
        <f t="shared" si="1"/>
        <v>0</v>
      </c>
    </row>
    <row r="40" spans="1:16">
      <c r="A40" s="13">
        <v>39</v>
      </c>
      <c r="B40" s="14" t="s">
        <v>50</v>
      </c>
      <c r="C40" s="14" t="s">
        <v>53</v>
      </c>
      <c r="D40" s="14" t="s">
        <v>54</v>
      </c>
      <c r="E40" s="14" t="s">
        <v>55</v>
      </c>
      <c r="F40" s="15" t="s">
        <v>56</v>
      </c>
      <c r="G40" s="14" t="s">
        <v>9</v>
      </c>
      <c r="H40" s="14" t="s">
        <v>10</v>
      </c>
      <c r="I40" s="14" t="s">
        <v>40</v>
      </c>
      <c r="J40" s="14">
        <v>1675</v>
      </c>
      <c r="K40" s="2" t="s">
        <v>5</v>
      </c>
      <c r="L40" s="2" t="s">
        <v>6</v>
      </c>
      <c r="M40" s="2" t="s">
        <v>7</v>
      </c>
      <c r="N40" s="14">
        <f t="shared" si="0"/>
        <v>5979.75</v>
      </c>
      <c r="O40">
        <v>1725</v>
      </c>
      <c r="P40">
        <f t="shared" si="1"/>
        <v>50</v>
      </c>
    </row>
    <row r="41" spans="1:16">
      <c r="A41" s="13">
        <v>40</v>
      </c>
      <c r="B41" s="14" t="s">
        <v>57</v>
      </c>
      <c r="C41" s="14" t="s">
        <v>58</v>
      </c>
      <c r="D41" s="14">
        <v>512</v>
      </c>
      <c r="E41" s="14" t="s">
        <v>59</v>
      </c>
      <c r="F41" s="15" t="s">
        <v>60</v>
      </c>
      <c r="G41" s="14" t="s">
        <v>61</v>
      </c>
      <c r="H41" s="14" t="s">
        <v>62</v>
      </c>
      <c r="I41" s="14" t="s">
        <v>63</v>
      </c>
      <c r="J41" s="14">
        <v>1000</v>
      </c>
      <c r="K41" s="2" t="s">
        <v>5</v>
      </c>
      <c r="L41" s="2" t="s">
        <v>6</v>
      </c>
      <c r="M41" s="2" t="s">
        <v>7</v>
      </c>
      <c r="N41" s="14">
        <f t="shared" si="0"/>
        <v>3570</v>
      </c>
      <c r="O41" s="1" t="s">
        <v>185</v>
      </c>
      <c r="P41" t="e">
        <f t="shared" si="1"/>
        <v>#VALUE!</v>
      </c>
    </row>
    <row r="42" spans="1:16">
      <c r="A42" s="13">
        <v>41</v>
      </c>
      <c r="B42" s="14" t="s">
        <v>64</v>
      </c>
      <c r="C42" s="14" t="s">
        <v>65</v>
      </c>
      <c r="D42" s="14" t="s">
        <v>54</v>
      </c>
      <c r="E42" s="14" t="s">
        <v>66</v>
      </c>
      <c r="F42" s="15" t="s">
        <v>67</v>
      </c>
      <c r="G42" s="14" t="s">
        <v>9</v>
      </c>
      <c r="H42" s="14" t="s">
        <v>10</v>
      </c>
      <c r="I42" s="14" t="s">
        <v>40</v>
      </c>
      <c r="J42" s="14">
        <v>2200</v>
      </c>
      <c r="K42" s="2" t="s">
        <v>5</v>
      </c>
      <c r="L42" s="2" t="s">
        <v>6</v>
      </c>
      <c r="M42" s="2" t="s">
        <v>7</v>
      </c>
      <c r="N42" s="14">
        <f t="shared" si="0"/>
        <v>7854</v>
      </c>
      <c r="O42" s="1" t="s">
        <v>185</v>
      </c>
      <c r="P42" t="e">
        <f t="shared" si="1"/>
        <v>#VALUE!</v>
      </c>
    </row>
    <row r="43" spans="1:16">
      <c r="A43" s="13">
        <v>42</v>
      </c>
      <c r="B43" s="14" t="s">
        <v>64</v>
      </c>
      <c r="C43" s="14" t="s">
        <v>68</v>
      </c>
      <c r="D43" s="14" t="s">
        <v>69</v>
      </c>
      <c r="E43" s="14" t="s">
        <v>66</v>
      </c>
      <c r="F43" s="15" t="s">
        <v>70</v>
      </c>
      <c r="G43" s="14" t="s">
        <v>9</v>
      </c>
      <c r="H43" s="14" t="s">
        <v>10</v>
      </c>
      <c r="I43" s="14" t="s">
        <v>40</v>
      </c>
      <c r="J43" s="14">
        <v>3100</v>
      </c>
      <c r="K43" s="2" t="s">
        <v>5</v>
      </c>
      <c r="L43" s="2" t="s">
        <v>6</v>
      </c>
      <c r="M43" s="2" t="s">
        <v>7</v>
      </c>
      <c r="N43" s="14">
        <f t="shared" si="0"/>
        <v>11067</v>
      </c>
      <c r="O43" s="1" t="s">
        <v>185</v>
      </c>
      <c r="P43" t="e">
        <f t="shared" si="1"/>
        <v>#VALUE!</v>
      </c>
    </row>
    <row r="44" spans="1:16">
      <c r="A44" s="13">
        <v>43</v>
      </c>
      <c r="B44" s="14" t="s">
        <v>71</v>
      </c>
      <c r="C44" s="14" t="s">
        <v>72</v>
      </c>
      <c r="D44" s="14">
        <v>512</v>
      </c>
      <c r="E44" s="14" t="s">
        <v>73</v>
      </c>
      <c r="F44" s="15" t="s">
        <v>74</v>
      </c>
      <c r="G44" s="14" t="s">
        <v>61</v>
      </c>
      <c r="H44" s="14" t="s">
        <v>62</v>
      </c>
      <c r="I44" s="14" t="s">
        <v>63</v>
      </c>
      <c r="J44" s="14">
        <v>650</v>
      </c>
      <c r="K44" s="2" t="s">
        <v>5</v>
      </c>
      <c r="L44" s="2" t="s">
        <v>6</v>
      </c>
      <c r="M44" s="2" t="s">
        <v>7</v>
      </c>
      <c r="N44" s="14">
        <f t="shared" si="0"/>
        <v>2320.5</v>
      </c>
      <c r="O44" s="1" t="s">
        <v>185</v>
      </c>
      <c r="P44" t="e">
        <f t="shared" si="1"/>
        <v>#VALUE!</v>
      </c>
    </row>
    <row r="45" spans="1:16">
      <c r="A45" s="13">
        <v>44</v>
      </c>
      <c r="B45" s="14" t="s">
        <v>71</v>
      </c>
      <c r="C45" s="14" t="s">
        <v>72</v>
      </c>
      <c r="D45" s="14">
        <v>512</v>
      </c>
      <c r="E45" s="14" t="s">
        <v>73</v>
      </c>
      <c r="F45" s="15" t="s">
        <v>75</v>
      </c>
      <c r="G45" s="14" t="s">
        <v>61</v>
      </c>
      <c r="H45" s="14" t="s">
        <v>62</v>
      </c>
      <c r="I45" s="14" t="s">
        <v>63</v>
      </c>
      <c r="J45" s="14">
        <v>650</v>
      </c>
      <c r="K45" s="2" t="s">
        <v>5</v>
      </c>
      <c r="L45" s="2" t="s">
        <v>6</v>
      </c>
      <c r="M45" s="2" t="s">
        <v>7</v>
      </c>
      <c r="N45" s="14">
        <f t="shared" si="0"/>
        <v>2320.5</v>
      </c>
      <c r="O45" s="1" t="s">
        <v>185</v>
      </c>
      <c r="P45" t="e">
        <f t="shared" si="1"/>
        <v>#VALUE!</v>
      </c>
    </row>
    <row r="46" spans="1:16">
      <c r="A46" s="13">
        <v>45</v>
      </c>
      <c r="B46" s="14" t="s">
        <v>76</v>
      </c>
      <c r="C46" s="14" t="s">
        <v>77</v>
      </c>
      <c r="D46" s="14"/>
      <c r="E46" s="14"/>
      <c r="F46" s="15" t="s">
        <v>78</v>
      </c>
      <c r="G46" s="14" t="s">
        <v>9</v>
      </c>
      <c r="H46" s="14"/>
      <c r="I46" s="14"/>
      <c r="J46" s="14">
        <v>85</v>
      </c>
      <c r="K46" s="2" t="s">
        <v>5</v>
      </c>
      <c r="L46" s="2" t="s">
        <v>6</v>
      </c>
      <c r="M46" s="2" t="s">
        <v>7</v>
      </c>
      <c r="N46" s="14">
        <f t="shared" si="0"/>
        <v>303.45</v>
      </c>
      <c r="O46">
        <v>85</v>
      </c>
      <c r="P46">
        <f t="shared" si="1"/>
        <v>0</v>
      </c>
    </row>
    <row r="47" spans="1:16">
      <c r="A47" s="13">
        <v>46</v>
      </c>
      <c r="B47" s="14" t="s">
        <v>76</v>
      </c>
      <c r="C47" s="14" t="s">
        <v>77</v>
      </c>
      <c r="D47" s="14"/>
      <c r="E47" s="14"/>
      <c r="F47" s="15" t="s">
        <v>79</v>
      </c>
      <c r="G47" s="14" t="s">
        <v>9</v>
      </c>
      <c r="H47" s="14"/>
      <c r="I47" s="14"/>
      <c r="J47" s="14">
        <v>85</v>
      </c>
      <c r="K47" s="2" t="s">
        <v>5</v>
      </c>
      <c r="L47" s="2" t="s">
        <v>6</v>
      </c>
      <c r="M47" s="2" t="s">
        <v>7</v>
      </c>
      <c r="N47" s="14">
        <f t="shared" si="0"/>
        <v>303.45</v>
      </c>
      <c r="O47">
        <v>85</v>
      </c>
      <c r="P47">
        <f t="shared" si="1"/>
        <v>0</v>
      </c>
    </row>
    <row r="48" spans="1:16">
      <c r="A48" s="13">
        <v>47</v>
      </c>
      <c r="B48" s="14" t="s">
        <v>80</v>
      </c>
      <c r="C48" s="14" t="s">
        <v>81</v>
      </c>
      <c r="D48" s="14"/>
      <c r="E48" s="14"/>
      <c r="F48" s="15" t="s">
        <v>82</v>
      </c>
      <c r="G48" s="14" t="s">
        <v>61</v>
      </c>
      <c r="H48" s="14" t="s">
        <v>62</v>
      </c>
      <c r="I48" s="14" t="s">
        <v>63</v>
      </c>
      <c r="J48" s="14">
        <v>85</v>
      </c>
      <c r="K48" s="2" t="s">
        <v>5</v>
      </c>
      <c r="L48" s="2" t="s">
        <v>6</v>
      </c>
      <c r="M48" s="2" t="s">
        <v>7</v>
      </c>
      <c r="N48" s="14">
        <f t="shared" si="0"/>
        <v>303.45</v>
      </c>
      <c r="O48">
        <v>85</v>
      </c>
      <c r="P48">
        <f t="shared" si="1"/>
        <v>0</v>
      </c>
    </row>
    <row r="49" spans="1:16">
      <c r="A49" s="13">
        <v>48</v>
      </c>
      <c r="B49" s="14" t="s">
        <v>45</v>
      </c>
      <c r="C49" s="14" t="s">
        <v>77</v>
      </c>
      <c r="D49" s="14" t="s">
        <v>47</v>
      </c>
      <c r="E49" s="14" t="s">
        <v>83</v>
      </c>
      <c r="F49" s="15" t="s">
        <v>84</v>
      </c>
      <c r="G49" s="14" t="s">
        <v>9</v>
      </c>
      <c r="H49" s="14" t="s">
        <v>10</v>
      </c>
      <c r="I49" s="14" t="s">
        <v>40</v>
      </c>
      <c r="J49" s="14">
        <v>85</v>
      </c>
      <c r="K49" s="2" t="s">
        <v>5</v>
      </c>
      <c r="L49" s="2" t="s">
        <v>6</v>
      </c>
      <c r="M49" s="2" t="s">
        <v>7</v>
      </c>
      <c r="N49" s="14">
        <f t="shared" si="0"/>
        <v>303.45</v>
      </c>
      <c r="O49">
        <v>85</v>
      </c>
      <c r="P49">
        <f t="shared" si="1"/>
        <v>0</v>
      </c>
    </row>
    <row r="50" spans="1:16">
      <c r="A50" s="13">
        <v>49</v>
      </c>
      <c r="B50" s="14" t="s">
        <v>80</v>
      </c>
      <c r="C50" s="14" t="s">
        <v>85</v>
      </c>
      <c r="D50" s="14" t="s">
        <v>86</v>
      </c>
      <c r="E50" s="14" t="s">
        <v>87</v>
      </c>
      <c r="F50" s="15" t="s">
        <v>88</v>
      </c>
      <c r="G50" s="14" t="s">
        <v>61</v>
      </c>
      <c r="H50" s="14" t="s">
        <v>62</v>
      </c>
      <c r="I50" s="14" t="s">
        <v>63</v>
      </c>
      <c r="J50" s="14">
        <v>125</v>
      </c>
      <c r="K50" s="2" t="s">
        <v>5</v>
      </c>
      <c r="L50" s="2" t="s">
        <v>6</v>
      </c>
      <c r="M50" s="2" t="s">
        <v>7</v>
      </c>
      <c r="N50" s="14">
        <f t="shared" si="0"/>
        <v>446.25</v>
      </c>
      <c r="O50">
        <v>125</v>
      </c>
      <c r="P50">
        <f t="shared" si="1"/>
        <v>0</v>
      </c>
    </row>
    <row r="51" spans="1:16">
      <c r="A51" s="13">
        <v>50</v>
      </c>
      <c r="B51" s="14" t="s">
        <v>80</v>
      </c>
      <c r="C51" s="14" t="s">
        <v>85</v>
      </c>
      <c r="D51" s="14" t="s">
        <v>86</v>
      </c>
      <c r="E51" s="14" t="s">
        <v>87</v>
      </c>
      <c r="F51" s="15" t="s">
        <v>89</v>
      </c>
      <c r="G51" s="14" t="s">
        <v>61</v>
      </c>
      <c r="H51" s="14" t="s">
        <v>62</v>
      </c>
      <c r="I51" s="14" t="s">
        <v>63</v>
      </c>
      <c r="J51" s="14">
        <v>125</v>
      </c>
      <c r="K51" s="2" t="s">
        <v>5</v>
      </c>
      <c r="L51" s="2" t="s">
        <v>6</v>
      </c>
      <c r="M51" s="2" t="s">
        <v>7</v>
      </c>
      <c r="N51" s="14">
        <f t="shared" si="0"/>
        <v>446.25</v>
      </c>
      <c r="O51">
        <v>125</v>
      </c>
      <c r="P51">
        <f t="shared" si="1"/>
        <v>0</v>
      </c>
    </row>
    <row r="52" spans="1:16">
      <c r="A52" s="13">
        <v>51</v>
      </c>
      <c r="B52" s="14" t="s">
        <v>80</v>
      </c>
      <c r="C52" s="14" t="s">
        <v>85</v>
      </c>
      <c r="D52" s="14"/>
      <c r="E52" s="14"/>
      <c r="F52" s="15" t="s">
        <v>90</v>
      </c>
      <c r="G52" s="14" t="s">
        <v>61</v>
      </c>
      <c r="H52" s="14" t="s">
        <v>62</v>
      </c>
      <c r="I52" s="14" t="s">
        <v>63</v>
      </c>
      <c r="J52" s="14">
        <v>125</v>
      </c>
      <c r="K52" s="2" t="s">
        <v>5</v>
      </c>
      <c r="L52" s="2" t="s">
        <v>6</v>
      </c>
      <c r="M52" s="2" t="s">
        <v>7</v>
      </c>
      <c r="N52" s="14">
        <f t="shared" si="0"/>
        <v>446.25</v>
      </c>
      <c r="O52">
        <v>125</v>
      </c>
      <c r="P52">
        <f t="shared" si="1"/>
        <v>0</v>
      </c>
    </row>
    <row r="53" spans="1:16">
      <c r="A53" s="13">
        <v>52</v>
      </c>
      <c r="B53" s="14" t="s">
        <v>80</v>
      </c>
      <c r="C53" s="14" t="s">
        <v>85</v>
      </c>
      <c r="D53" s="14"/>
      <c r="E53" s="14"/>
      <c r="F53" s="15" t="s">
        <v>91</v>
      </c>
      <c r="G53" s="14" t="s">
        <v>61</v>
      </c>
      <c r="H53" s="14" t="s">
        <v>62</v>
      </c>
      <c r="I53" s="14" t="s">
        <v>63</v>
      </c>
      <c r="J53" s="14">
        <v>125</v>
      </c>
      <c r="K53" s="2" t="s">
        <v>5</v>
      </c>
      <c r="L53" s="2" t="s">
        <v>6</v>
      </c>
      <c r="M53" s="2" t="s">
        <v>7</v>
      </c>
      <c r="N53" s="14">
        <f t="shared" si="0"/>
        <v>446.25</v>
      </c>
      <c r="O53">
        <v>125</v>
      </c>
      <c r="P53">
        <f t="shared" si="1"/>
        <v>0</v>
      </c>
    </row>
    <row r="54" spans="1:16">
      <c r="A54" s="13">
        <v>53</v>
      </c>
      <c r="B54" s="14" t="s">
        <v>92</v>
      </c>
      <c r="C54" s="14" t="s">
        <v>93</v>
      </c>
      <c r="D54" s="14"/>
      <c r="E54" s="14"/>
      <c r="F54" s="15">
        <v>357079530476970</v>
      </c>
      <c r="G54" s="14" t="s">
        <v>9</v>
      </c>
      <c r="H54" s="14" t="s">
        <v>10</v>
      </c>
      <c r="I54" s="14" t="s">
        <v>30</v>
      </c>
      <c r="J54" s="14">
        <v>220</v>
      </c>
      <c r="K54" s="2" t="s">
        <v>5</v>
      </c>
      <c r="L54" s="2" t="s">
        <v>6</v>
      </c>
      <c r="M54" s="2" t="s">
        <v>7</v>
      </c>
      <c r="N54" s="14">
        <f t="shared" si="0"/>
        <v>785.4</v>
      </c>
      <c r="O54" s="1" t="s">
        <v>185</v>
      </c>
      <c r="P54" t="e">
        <f t="shared" si="1"/>
        <v>#VALUE!</v>
      </c>
    </row>
    <row r="55" spans="1:16">
      <c r="A55" s="13">
        <v>54</v>
      </c>
      <c r="B55" s="14" t="s">
        <v>92</v>
      </c>
      <c r="C55" s="14" t="s">
        <v>93</v>
      </c>
      <c r="D55" s="14"/>
      <c r="E55" s="14"/>
      <c r="F55" s="15">
        <v>357079530535114</v>
      </c>
      <c r="G55" s="14" t="s">
        <v>9</v>
      </c>
      <c r="H55" s="14" t="s">
        <v>10</v>
      </c>
      <c r="I55" s="14" t="s">
        <v>30</v>
      </c>
      <c r="J55" s="14">
        <v>220</v>
      </c>
      <c r="K55" s="2" t="s">
        <v>5</v>
      </c>
      <c r="L55" s="2" t="s">
        <v>6</v>
      </c>
      <c r="M55" s="2" t="s">
        <v>7</v>
      </c>
      <c r="N55" s="14">
        <f t="shared" si="0"/>
        <v>785.4</v>
      </c>
      <c r="O55" s="1" t="s">
        <v>185</v>
      </c>
      <c r="P55" t="e">
        <f t="shared" si="1"/>
        <v>#VALUE!</v>
      </c>
    </row>
    <row r="56" spans="1:16">
      <c r="A56" s="13">
        <v>55</v>
      </c>
      <c r="B56" s="14" t="s">
        <v>37</v>
      </c>
      <c r="C56" s="14" t="s">
        <v>94</v>
      </c>
      <c r="D56" s="14">
        <v>256</v>
      </c>
      <c r="E56" s="14" t="s">
        <v>34</v>
      </c>
      <c r="F56" s="15">
        <v>358112933156094</v>
      </c>
      <c r="G56" s="14" t="s">
        <v>9</v>
      </c>
      <c r="H56" s="14" t="s">
        <v>10</v>
      </c>
      <c r="I56" s="14" t="s">
        <v>11</v>
      </c>
      <c r="J56" s="14">
        <v>950</v>
      </c>
      <c r="K56" s="2" t="s">
        <v>5</v>
      </c>
      <c r="L56" s="2" t="s">
        <v>6</v>
      </c>
      <c r="M56" s="2" t="s">
        <v>7</v>
      </c>
      <c r="N56" s="14">
        <f t="shared" si="0"/>
        <v>3391.5</v>
      </c>
      <c r="O56">
        <v>980</v>
      </c>
      <c r="P56">
        <f t="shared" si="1"/>
        <v>30</v>
      </c>
    </row>
    <row r="57" spans="1:16">
      <c r="A57" s="13">
        <v>56</v>
      </c>
      <c r="B57" s="14" t="s">
        <v>37</v>
      </c>
      <c r="C57" s="14" t="s">
        <v>94</v>
      </c>
      <c r="D57" s="14">
        <v>256</v>
      </c>
      <c r="E57" s="14" t="s">
        <v>34</v>
      </c>
      <c r="F57" s="15">
        <v>358112933070584</v>
      </c>
      <c r="G57" s="14" t="s">
        <v>9</v>
      </c>
      <c r="H57" s="14" t="s">
        <v>10</v>
      </c>
      <c r="I57" s="14" t="s">
        <v>11</v>
      </c>
      <c r="J57" s="14">
        <v>950</v>
      </c>
      <c r="K57" s="2" t="s">
        <v>5</v>
      </c>
      <c r="L57" s="2" t="s">
        <v>6</v>
      </c>
      <c r="M57" s="2" t="s">
        <v>7</v>
      </c>
      <c r="N57" s="14">
        <f t="shared" si="0"/>
        <v>3391.5</v>
      </c>
      <c r="O57">
        <v>980</v>
      </c>
      <c r="P57">
        <f t="shared" si="1"/>
        <v>30</v>
      </c>
    </row>
    <row r="58" spans="1:16">
      <c r="A58" s="13">
        <v>57</v>
      </c>
      <c r="B58" s="14" t="s">
        <v>37</v>
      </c>
      <c r="C58" s="14" t="s">
        <v>94</v>
      </c>
      <c r="D58" s="14">
        <v>256</v>
      </c>
      <c r="E58" s="14" t="s">
        <v>34</v>
      </c>
      <c r="F58" s="15">
        <v>358112934368599</v>
      </c>
      <c r="G58" s="14" t="s">
        <v>9</v>
      </c>
      <c r="H58" s="14" t="s">
        <v>10</v>
      </c>
      <c r="I58" s="14" t="s">
        <v>11</v>
      </c>
      <c r="J58" s="14">
        <v>950</v>
      </c>
      <c r="K58" s="2" t="s">
        <v>5</v>
      </c>
      <c r="L58" s="2" t="s">
        <v>6</v>
      </c>
      <c r="M58" s="2" t="s">
        <v>7</v>
      </c>
      <c r="N58" s="14">
        <f t="shared" si="0"/>
        <v>3391.5</v>
      </c>
      <c r="O58">
        <v>980</v>
      </c>
      <c r="P58">
        <f t="shared" si="1"/>
        <v>30</v>
      </c>
    </row>
    <row r="59" spans="1:16">
      <c r="A59" s="13">
        <v>58</v>
      </c>
      <c r="B59" s="14" t="s">
        <v>37</v>
      </c>
      <c r="C59" s="14" t="s">
        <v>94</v>
      </c>
      <c r="D59" s="14">
        <v>256</v>
      </c>
      <c r="E59" s="14" t="s">
        <v>34</v>
      </c>
      <c r="F59" s="15">
        <v>358112934723512</v>
      </c>
      <c r="G59" s="14" t="s">
        <v>9</v>
      </c>
      <c r="H59" s="14" t="s">
        <v>10</v>
      </c>
      <c r="I59" s="14" t="s">
        <v>11</v>
      </c>
      <c r="J59" s="14">
        <v>950</v>
      </c>
      <c r="K59" s="2" t="s">
        <v>5</v>
      </c>
      <c r="L59" s="2" t="s">
        <v>6</v>
      </c>
      <c r="M59" s="2" t="s">
        <v>7</v>
      </c>
      <c r="N59" s="14">
        <f t="shared" si="0"/>
        <v>3391.5</v>
      </c>
      <c r="O59">
        <v>980</v>
      </c>
      <c r="P59">
        <f t="shared" si="1"/>
        <v>30</v>
      </c>
    </row>
    <row r="60" spans="1:16">
      <c r="A60" s="13">
        <v>59</v>
      </c>
      <c r="B60" s="14" t="s">
        <v>37</v>
      </c>
      <c r="C60" s="14" t="s">
        <v>94</v>
      </c>
      <c r="D60" s="14">
        <v>256</v>
      </c>
      <c r="E60" s="14" t="s">
        <v>34</v>
      </c>
      <c r="F60" s="15">
        <v>358112933664790</v>
      </c>
      <c r="G60" s="14" t="s">
        <v>9</v>
      </c>
      <c r="H60" s="14" t="s">
        <v>10</v>
      </c>
      <c r="I60" s="14" t="s">
        <v>11</v>
      </c>
      <c r="J60" s="14">
        <v>950</v>
      </c>
      <c r="K60" s="2" t="s">
        <v>5</v>
      </c>
      <c r="L60" s="2" t="s">
        <v>6</v>
      </c>
      <c r="M60" s="2" t="s">
        <v>7</v>
      </c>
      <c r="N60" s="14">
        <f t="shared" si="0"/>
        <v>3391.5</v>
      </c>
      <c r="O60">
        <v>980</v>
      </c>
      <c r="P60">
        <f t="shared" si="1"/>
        <v>30</v>
      </c>
    </row>
    <row r="61" spans="1:16">
      <c r="A61" s="13">
        <v>60</v>
      </c>
      <c r="B61" s="14" t="s">
        <v>37</v>
      </c>
      <c r="C61" s="14" t="s">
        <v>95</v>
      </c>
      <c r="D61" s="14">
        <v>256</v>
      </c>
      <c r="E61" s="14"/>
      <c r="F61" s="15">
        <v>352355703207664</v>
      </c>
      <c r="G61" s="14" t="s">
        <v>9</v>
      </c>
      <c r="H61" s="14" t="s">
        <v>10</v>
      </c>
      <c r="I61" s="14" t="s">
        <v>11</v>
      </c>
      <c r="J61" s="14">
        <v>1080</v>
      </c>
      <c r="K61" s="2" t="s">
        <v>5</v>
      </c>
      <c r="L61" s="2" t="s">
        <v>6</v>
      </c>
      <c r="M61" s="2" t="s">
        <v>7</v>
      </c>
      <c r="N61" s="14">
        <f t="shared" si="0"/>
        <v>3855.6</v>
      </c>
      <c r="O61">
        <v>1080</v>
      </c>
      <c r="P61">
        <f t="shared" si="1"/>
        <v>0</v>
      </c>
    </row>
    <row r="62" spans="1:16">
      <c r="A62" s="13">
        <v>61</v>
      </c>
      <c r="B62" s="14" t="s">
        <v>80</v>
      </c>
      <c r="C62" s="14" t="s">
        <v>96</v>
      </c>
      <c r="D62" s="14" t="s">
        <v>59</v>
      </c>
      <c r="E62" s="14" t="s">
        <v>59</v>
      </c>
      <c r="F62" s="15" t="s">
        <v>97</v>
      </c>
      <c r="G62" s="14" t="s">
        <v>61</v>
      </c>
      <c r="H62" s="14" t="s">
        <v>62</v>
      </c>
      <c r="I62" s="14" t="s">
        <v>63</v>
      </c>
      <c r="J62" s="14">
        <v>200</v>
      </c>
      <c r="K62" s="2" t="s">
        <v>5</v>
      </c>
      <c r="L62" s="2" t="s">
        <v>6</v>
      </c>
      <c r="M62" s="2" t="s">
        <v>7</v>
      </c>
      <c r="N62" s="14">
        <f t="shared" si="0"/>
        <v>714</v>
      </c>
      <c r="O62">
        <v>200</v>
      </c>
      <c r="P62">
        <f t="shared" si="1"/>
        <v>0</v>
      </c>
    </row>
    <row r="63" spans="1:16">
      <c r="A63" s="13">
        <v>62</v>
      </c>
      <c r="B63" s="14" t="s">
        <v>80</v>
      </c>
      <c r="C63" s="14" t="s">
        <v>96</v>
      </c>
      <c r="D63" s="14" t="s">
        <v>59</v>
      </c>
      <c r="E63" s="14" t="s">
        <v>59</v>
      </c>
      <c r="F63" s="15" t="s">
        <v>98</v>
      </c>
      <c r="G63" s="14" t="s">
        <v>61</v>
      </c>
      <c r="H63" s="14" t="s">
        <v>62</v>
      </c>
      <c r="I63" s="14" t="s">
        <v>63</v>
      </c>
      <c r="J63" s="14">
        <v>200</v>
      </c>
      <c r="K63" s="2" t="s">
        <v>5</v>
      </c>
      <c r="L63" s="2" t="s">
        <v>6</v>
      </c>
      <c r="M63" s="2" t="s">
        <v>7</v>
      </c>
      <c r="N63" s="14">
        <f t="shared" si="0"/>
        <v>714</v>
      </c>
      <c r="O63">
        <v>200</v>
      </c>
      <c r="P63">
        <f t="shared" si="1"/>
        <v>0</v>
      </c>
    </row>
    <row r="64" spans="1:16">
      <c r="A64" s="13">
        <v>63</v>
      </c>
      <c r="B64" s="14" t="s">
        <v>99</v>
      </c>
      <c r="C64" s="14" t="s">
        <v>96</v>
      </c>
      <c r="D64" s="14" t="s">
        <v>59</v>
      </c>
      <c r="E64" s="14" t="s">
        <v>87</v>
      </c>
      <c r="F64" s="15" t="s">
        <v>100</v>
      </c>
      <c r="G64" s="14" t="s">
        <v>61</v>
      </c>
      <c r="H64" s="14" t="s">
        <v>62</v>
      </c>
      <c r="I64" s="14" t="s">
        <v>63</v>
      </c>
      <c r="J64" s="14">
        <v>200</v>
      </c>
      <c r="K64" s="2" t="s">
        <v>5</v>
      </c>
      <c r="L64" s="2" t="s">
        <v>6</v>
      </c>
      <c r="M64" s="2" t="s">
        <v>7</v>
      </c>
      <c r="N64" s="14">
        <f t="shared" si="0"/>
        <v>714</v>
      </c>
      <c r="O64">
        <v>200</v>
      </c>
      <c r="P64">
        <f t="shared" si="1"/>
        <v>0</v>
      </c>
    </row>
    <row r="65" spans="1:16">
      <c r="A65" s="13">
        <v>64</v>
      </c>
      <c r="B65" s="14" t="s">
        <v>99</v>
      </c>
      <c r="C65" s="14" t="s">
        <v>96</v>
      </c>
      <c r="D65" s="14" t="s">
        <v>59</v>
      </c>
      <c r="E65" s="14" t="s">
        <v>87</v>
      </c>
      <c r="F65" s="15" t="s">
        <v>101</v>
      </c>
      <c r="G65" s="14" t="s">
        <v>61</v>
      </c>
      <c r="H65" s="14" t="s">
        <v>62</v>
      </c>
      <c r="I65" s="14" t="s">
        <v>63</v>
      </c>
      <c r="J65" s="14">
        <v>200</v>
      </c>
      <c r="K65" s="2" t="s">
        <v>5</v>
      </c>
      <c r="L65" s="2" t="s">
        <v>6</v>
      </c>
      <c r="M65" s="2" t="s">
        <v>7</v>
      </c>
      <c r="N65" s="14">
        <f t="shared" si="0"/>
        <v>714</v>
      </c>
      <c r="O65">
        <v>200</v>
      </c>
      <c r="P65">
        <f t="shared" si="1"/>
        <v>0</v>
      </c>
    </row>
    <row r="66" spans="1:16">
      <c r="A66" s="13">
        <v>65</v>
      </c>
      <c r="B66" s="14" t="s">
        <v>99</v>
      </c>
      <c r="C66" s="14" t="s">
        <v>96</v>
      </c>
      <c r="D66" s="14" t="s">
        <v>59</v>
      </c>
      <c r="E66" s="14" t="s">
        <v>87</v>
      </c>
      <c r="F66" s="15" t="s">
        <v>102</v>
      </c>
      <c r="G66" s="14" t="s">
        <v>61</v>
      </c>
      <c r="H66" s="14" t="s">
        <v>62</v>
      </c>
      <c r="I66" s="14" t="s">
        <v>63</v>
      </c>
      <c r="J66" s="14">
        <v>200</v>
      </c>
      <c r="K66" s="2" t="s">
        <v>5</v>
      </c>
      <c r="L66" s="2" t="s">
        <v>6</v>
      </c>
      <c r="M66" s="2" t="s">
        <v>7</v>
      </c>
      <c r="N66" s="14">
        <f t="shared" si="0"/>
        <v>714</v>
      </c>
      <c r="O66">
        <v>200</v>
      </c>
      <c r="P66">
        <f t="shared" si="1"/>
        <v>0</v>
      </c>
    </row>
    <row r="67" spans="1:16">
      <c r="A67" s="13">
        <v>66</v>
      </c>
      <c r="B67" s="14" t="s">
        <v>99</v>
      </c>
      <c r="C67" s="14" t="s">
        <v>96</v>
      </c>
      <c r="D67" s="14" t="s">
        <v>59</v>
      </c>
      <c r="E67" s="14" t="s">
        <v>87</v>
      </c>
      <c r="F67" s="15" t="s">
        <v>103</v>
      </c>
      <c r="G67" s="14" t="s">
        <v>61</v>
      </c>
      <c r="H67" s="14" t="s">
        <v>62</v>
      </c>
      <c r="I67" s="14" t="s">
        <v>63</v>
      </c>
      <c r="J67" s="14">
        <v>200</v>
      </c>
      <c r="K67" s="2" t="s">
        <v>5</v>
      </c>
      <c r="L67" s="2" t="s">
        <v>6</v>
      </c>
      <c r="M67" s="2" t="s">
        <v>7</v>
      </c>
      <c r="N67" s="14">
        <f t="shared" ref="N67:N113" si="2">J67*3.57</f>
        <v>714</v>
      </c>
      <c r="O67">
        <v>200</v>
      </c>
      <c r="P67">
        <f t="shared" ref="P67:P113" si="3">O67-J67</f>
        <v>0</v>
      </c>
    </row>
    <row r="68" spans="1:16">
      <c r="A68" s="13">
        <v>67</v>
      </c>
      <c r="B68" s="14" t="s">
        <v>99</v>
      </c>
      <c r="C68" s="14" t="s">
        <v>96</v>
      </c>
      <c r="D68" s="14" t="s">
        <v>59</v>
      </c>
      <c r="E68" s="14" t="s">
        <v>87</v>
      </c>
      <c r="F68" s="15" t="s">
        <v>104</v>
      </c>
      <c r="G68" s="14" t="s">
        <v>61</v>
      </c>
      <c r="H68" s="14" t="s">
        <v>62</v>
      </c>
      <c r="I68" s="14" t="s">
        <v>63</v>
      </c>
      <c r="J68" s="14">
        <v>200</v>
      </c>
      <c r="K68" s="2" t="s">
        <v>5</v>
      </c>
      <c r="L68" s="2" t="s">
        <v>6</v>
      </c>
      <c r="M68" s="2" t="s">
        <v>7</v>
      </c>
      <c r="N68" s="14">
        <f t="shared" si="2"/>
        <v>714</v>
      </c>
      <c r="O68">
        <v>200</v>
      </c>
      <c r="P68">
        <f t="shared" si="3"/>
        <v>0</v>
      </c>
    </row>
    <row r="69" spans="1:16">
      <c r="A69" s="13">
        <v>68</v>
      </c>
      <c r="B69" s="14" t="s">
        <v>105</v>
      </c>
      <c r="C69" s="14" t="s">
        <v>106</v>
      </c>
      <c r="D69" s="14" t="s">
        <v>107</v>
      </c>
      <c r="E69" s="14" t="s">
        <v>108</v>
      </c>
      <c r="F69" s="15" t="s">
        <v>109</v>
      </c>
      <c r="G69" s="14" t="s">
        <v>110</v>
      </c>
      <c r="H69" s="14" t="s">
        <v>111</v>
      </c>
      <c r="I69" s="14" t="s">
        <v>112</v>
      </c>
      <c r="J69" s="14">
        <v>200</v>
      </c>
      <c r="K69" s="2" t="s">
        <v>5</v>
      </c>
      <c r="L69" s="2" t="s">
        <v>6</v>
      </c>
      <c r="M69" s="2" t="s">
        <v>7</v>
      </c>
      <c r="N69" s="14">
        <f t="shared" si="2"/>
        <v>714</v>
      </c>
      <c r="O69">
        <v>200</v>
      </c>
      <c r="P69">
        <f t="shared" si="3"/>
        <v>0</v>
      </c>
    </row>
    <row r="70" spans="1:16">
      <c r="A70" s="13">
        <v>69</v>
      </c>
      <c r="B70" s="14" t="s">
        <v>105</v>
      </c>
      <c r="C70" s="14" t="s">
        <v>106</v>
      </c>
      <c r="D70" s="14" t="s">
        <v>107</v>
      </c>
      <c r="E70" s="14" t="s">
        <v>108</v>
      </c>
      <c r="F70" s="15" t="s">
        <v>113</v>
      </c>
      <c r="G70" s="14" t="s">
        <v>110</v>
      </c>
      <c r="H70" s="14" t="s">
        <v>111</v>
      </c>
      <c r="I70" s="14" t="s">
        <v>112</v>
      </c>
      <c r="J70" s="14">
        <v>200</v>
      </c>
      <c r="K70" s="2" t="s">
        <v>5</v>
      </c>
      <c r="L70" s="2" t="s">
        <v>6</v>
      </c>
      <c r="M70" s="2" t="s">
        <v>7</v>
      </c>
      <c r="N70" s="14">
        <f t="shared" si="2"/>
        <v>714</v>
      </c>
      <c r="O70">
        <v>200</v>
      </c>
      <c r="P70">
        <f t="shared" si="3"/>
        <v>0</v>
      </c>
    </row>
    <row r="71" spans="1:16">
      <c r="A71" s="13">
        <v>70</v>
      </c>
      <c r="B71" s="14" t="s">
        <v>76</v>
      </c>
      <c r="C71" s="14" t="s">
        <v>114</v>
      </c>
      <c r="D71" s="14" t="s">
        <v>115</v>
      </c>
      <c r="E71" s="14" t="s">
        <v>83</v>
      </c>
      <c r="F71" s="15" t="s">
        <v>116</v>
      </c>
      <c r="G71" s="14" t="s">
        <v>9</v>
      </c>
      <c r="H71" s="14" t="s">
        <v>10</v>
      </c>
      <c r="I71" s="14" t="s">
        <v>40</v>
      </c>
      <c r="J71" s="14">
        <v>200</v>
      </c>
      <c r="K71" s="2" t="s">
        <v>5</v>
      </c>
      <c r="L71" s="2" t="s">
        <v>6</v>
      </c>
      <c r="M71" s="2" t="s">
        <v>7</v>
      </c>
      <c r="N71" s="14">
        <f t="shared" si="2"/>
        <v>714</v>
      </c>
      <c r="O71">
        <v>200</v>
      </c>
      <c r="P71">
        <f t="shared" si="3"/>
        <v>0</v>
      </c>
    </row>
    <row r="72" spans="1:16">
      <c r="A72" s="13">
        <v>71</v>
      </c>
      <c r="B72" s="14" t="s">
        <v>76</v>
      </c>
      <c r="C72" s="14" t="s">
        <v>114</v>
      </c>
      <c r="D72" s="14" t="s">
        <v>115</v>
      </c>
      <c r="E72" s="14" t="s">
        <v>83</v>
      </c>
      <c r="F72" s="15" t="s">
        <v>117</v>
      </c>
      <c r="G72" s="14" t="s">
        <v>9</v>
      </c>
      <c r="H72" s="14" t="s">
        <v>10</v>
      </c>
      <c r="I72" s="14" t="s">
        <v>40</v>
      </c>
      <c r="J72" s="14">
        <v>200</v>
      </c>
      <c r="K72" s="2" t="s">
        <v>5</v>
      </c>
      <c r="L72" s="2" t="s">
        <v>6</v>
      </c>
      <c r="M72" s="2" t="s">
        <v>7</v>
      </c>
      <c r="N72" s="14">
        <f t="shared" si="2"/>
        <v>714</v>
      </c>
      <c r="O72">
        <v>200</v>
      </c>
      <c r="P72">
        <f t="shared" si="3"/>
        <v>0</v>
      </c>
    </row>
    <row r="73" spans="1:16">
      <c r="A73" s="13">
        <v>72</v>
      </c>
      <c r="B73" s="14" t="s">
        <v>76</v>
      </c>
      <c r="C73" s="14" t="s">
        <v>114</v>
      </c>
      <c r="D73" s="14" t="s">
        <v>115</v>
      </c>
      <c r="E73" s="14" t="s">
        <v>83</v>
      </c>
      <c r="F73" s="15" t="s">
        <v>118</v>
      </c>
      <c r="G73" s="14" t="s">
        <v>9</v>
      </c>
      <c r="H73" s="14" t="s">
        <v>10</v>
      </c>
      <c r="I73" s="14" t="s">
        <v>40</v>
      </c>
      <c r="J73" s="14">
        <v>200</v>
      </c>
      <c r="K73" s="2" t="s">
        <v>5</v>
      </c>
      <c r="L73" s="2" t="s">
        <v>6</v>
      </c>
      <c r="M73" s="2" t="s">
        <v>7</v>
      </c>
      <c r="N73" s="14">
        <f t="shared" si="2"/>
        <v>714</v>
      </c>
      <c r="O73">
        <v>200</v>
      </c>
      <c r="P73">
        <f t="shared" si="3"/>
        <v>0</v>
      </c>
    </row>
    <row r="74" spans="1:16">
      <c r="A74" s="13">
        <v>73</v>
      </c>
      <c r="B74" s="14" t="s">
        <v>76</v>
      </c>
      <c r="C74" s="14" t="s">
        <v>114</v>
      </c>
      <c r="D74" s="14" t="s">
        <v>115</v>
      </c>
      <c r="E74" s="14" t="s">
        <v>83</v>
      </c>
      <c r="F74" s="15" t="s">
        <v>119</v>
      </c>
      <c r="G74" s="14" t="s">
        <v>9</v>
      </c>
      <c r="H74" s="14" t="s">
        <v>10</v>
      </c>
      <c r="I74" s="14" t="s">
        <v>40</v>
      </c>
      <c r="J74" s="14">
        <v>200</v>
      </c>
      <c r="K74" s="2" t="s">
        <v>5</v>
      </c>
      <c r="L74" s="2" t="s">
        <v>6</v>
      </c>
      <c r="M74" s="2" t="s">
        <v>7</v>
      </c>
      <c r="N74" s="14">
        <f t="shared" si="2"/>
        <v>714</v>
      </c>
      <c r="O74">
        <v>200</v>
      </c>
      <c r="P74">
        <f t="shared" si="3"/>
        <v>0</v>
      </c>
    </row>
    <row r="75" spans="1:16">
      <c r="A75" s="13">
        <v>74</v>
      </c>
      <c r="B75" s="14" t="s">
        <v>76</v>
      </c>
      <c r="C75" s="14" t="s">
        <v>114</v>
      </c>
      <c r="D75" s="14" t="s">
        <v>115</v>
      </c>
      <c r="E75" s="14" t="s">
        <v>83</v>
      </c>
      <c r="F75" s="15" t="s">
        <v>120</v>
      </c>
      <c r="G75" s="14" t="s">
        <v>9</v>
      </c>
      <c r="H75" s="14" t="s">
        <v>10</v>
      </c>
      <c r="I75" s="14" t="s">
        <v>40</v>
      </c>
      <c r="J75" s="14">
        <v>200</v>
      </c>
      <c r="K75" s="2" t="s">
        <v>5</v>
      </c>
      <c r="L75" s="2" t="s">
        <v>6</v>
      </c>
      <c r="M75" s="2" t="s">
        <v>7</v>
      </c>
      <c r="N75" s="14">
        <f t="shared" si="2"/>
        <v>714</v>
      </c>
      <c r="O75">
        <v>200</v>
      </c>
      <c r="P75">
        <f t="shared" si="3"/>
        <v>0</v>
      </c>
    </row>
    <row r="76" spans="1:16">
      <c r="A76" s="13">
        <v>75</v>
      </c>
      <c r="B76" s="14" t="s">
        <v>121</v>
      </c>
      <c r="C76" s="14" t="s">
        <v>114</v>
      </c>
      <c r="D76" s="14" t="s">
        <v>115</v>
      </c>
      <c r="E76" s="14" t="s">
        <v>115</v>
      </c>
      <c r="F76" s="15" t="s">
        <v>122</v>
      </c>
      <c r="G76" s="14" t="s">
        <v>9</v>
      </c>
      <c r="H76" s="14" t="s">
        <v>10</v>
      </c>
      <c r="I76" s="14" t="s">
        <v>40</v>
      </c>
      <c r="J76" s="14">
        <v>200</v>
      </c>
      <c r="K76" s="2" t="s">
        <v>5</v>
      </c>
      <c r="L76" s="2" t="s">
        <v>6</v>
      </c>
      <c r="M76" s="2" t="s">
        <v>7</v>
      </c>
      <c r="N76" s="14">
        <f t="shared" si="2"/>
        <v>714</v>
      </c>
      <c r="O76">
        <v>200</v>
      </c>
      <c r="P76">
        <f t="shared" si="3"/>
        <v>0</v>
      </c>
    </row>
    <row r="77" spans="1:16">
      <c r="A77" s="13">
        <v>76</v>
      </c>
      <c r="B77" s="14" t="s">
        <v>121</v>
      </c>
      <c r="C77" s="14" t="s">
        <v>114</v>
      </c>
      <c r="D77" s="14" t="s">
        <v>115</v>
      </c>
      <c r="E77" s="14" t="s">
        <v>115</v>
      </c>
      <c r="F77" s="15" t="s">
        <v>123</v>
      </c>
      <c r="G77" s="14" t="s">
        <v>9</v>
      </c>
      <c r="H77" s="14" t="s">
        <v>10</v>
      </c>
      <c r="I77" s="14" t="s">
        <v>40</v>
      </c>
      <c r="J77" s="14">
        <v>200</v>
      </c>
      <c r="K77" s="2" t="s">
        <v>5</v>
      </c>
      <c r="L77" s="2" t="s">
        <v>6</v>
      </c>
      <c r="M77" s="2" t="s">
        <v>7</v>
      </c>
      <c r="N77" s="14">
        <f t="shared" si="2"/>
        <v>714</v>
      </c>
      <c r="O77">
        <v>200</v>
      </c>
      <c r="P77">
        <f t="shared" si="3"/>
        <v>0</v>
      </c>
    </row>
    <row r="78" spans="1:16">
      <c r="A78" s="13">
        <v>77</v>
      </c>
      <c r="B78" s="14" t="s">
        <v>121</v>
      </c>
      <c r="C78" s="14" t="s">
        <v>114</v>
      </c>
      <c r="D78" s="14" t="s">
        <v>115</v>
      </c>
      <c r="E78" s="14" t="s">
        <v>115</v>
      </c>
      <c r="F78" s="15" t="s">
        <v>124</v>
      </c>
      <c r="G78" s="14" t="s">
        <v>9</v>
      </c>
      <c r="H78" s="14" t="s">
        <v>10</v>
      </c>
      <c r="I78" s="14" t="s">
        <v>40</v>
      </c>
      <c r="J78" s="14">
        <v>200</v>
      </c>
      <c r="K78" s="2" t="s">
        <v>5</v>
      </c>
      <c r="L78" s="2" t="s">
        <v>6</v>
      </c>
      <c r="M78" s="2" t="s">
        <v>7</v>
      </c>
      <c r="N78" s="14">
        <f t="shared" si="2"/>
        <v>714</v>
      </c>
      <c r="O78">
        <v>200</v>
      </c>
      <c r="P78">
        <f t="shared" si="3"/>
        <v>0</v>
      </c>
    </row>
    <row r="79" spans="1:16">
      <c r="A79" s="13">
        <v>78</v>
      </c>
      <c r="B79" s="14" t="s">
        <v>121</v>
      </c>
      <c r="C79" s="14" t="s">
        <v>114</v>
      </c>
      <c r="D79" s="14" t="s">
        <v>115</v>
      </c>
      <c r="E79" s="14" t="s">
        <v>115</v>
      </c>
      <c r="F79" s="15" t="s">
        <v>125</v>
      </c>
      <c r="G79" s="14" t="s">
        <v>9</v>
      </c>
      <c r="H79" s="14" t="s">
        <v>10</v>
      </c>
      <c r="I79" s="14" t="s">
        <v>40</v>
      </c>
      <c r="J79" s="14">
        <v>200</v>
      </c>
      <c r="K79" s="2" t="s">
        <v>5</v>
      </c>
      <c r="L79" s="2" t="s">
        <v>6</v>
      </c>
      <c r="M79" s="2" t="s">
        <v>7</v>
      </c>
      <c r="N79" s="14">
        <f t="shared" si="2"/>
        <v>714</v>
      </c>
      <c r="O79">
        <v>200</v>
      </c>
      <c r="P79">
        <f t="shared" si="3"/>
        <v>0</v>
      </c>
    </row>
    <row r="80" spans="1:16">
      <c r="A80" s="10">
        <v>79</v>
      </c>
      <c r="B80" s="11" t="s">
        <v>121</v>
      </c>
      <c r="C80" s="11" t="s">
        <v>114</v>
      </c>
      <c r="D80" s="11"/>
      <c r="E80" s="11" t="s">
        <v>83</v>
      </c>
      <c r="F80" s="12" t="s">
        <v>126</v>
      </c>
      <c r="G80" s="11" t="s">
        <v>9</v>
      </c>
      <c r="H80" s="11" t="s">
        <v>10</v>
      </c>
      <c r="I80" s="11" t="s">
        <v>40</v>
      </c>
      <c r="J80" s="11">
        <v>200</v>
      </c>
      <c r="K80" s="21" t="s">
        <v>5</v>
      </c>
      <c r="L80" s="21" t="s">
        <v>6</v>
      </c>
      <c r="M80" s="21" t="s">
        <v>7</v>
      </c>
      <c r="N80" s="21">
        <f t="shared" si="2"/>
        <v>714</v>
      </c>
      <c r="O80">
        <v>200</v>
      </c>
      <c r="P80">
        <f t="shared" si="3"/>
        <v>0</v>
      </c>
    </row>
    <row r="81" spans="1:17">
      <c r="A81" s="10">
        <v>80</v>
      </c>
      <c r="B81" s="11" t="s">
        <v>121</v>
      </c>
      <c r="C81" s="11" t="s">
        <v>114</v>
      </c>
      <c r="D81" s="11"/>
      <c r="E81" s="11" t="s">
        <v>83</v>
      </c>
      <c r="F81" s="12" t="s">
        <v>127</v>
      </c>
      <c r="G81" s="11" t="s">
        <v>9</v>
      </c>
      <c r="H81" s="11" t="s">
        <v>10</v>
      </c>
      <c r="I81" s="11" t="s">
        <v>40</v>
      </c>
      <c r="J81" s="11">
        <v>200</v>
      </c>
      <c r="K81" s="21" t="s">
        <v>5</v>
      </c>
      <c r="L81" s="21" t="s">
        <v>6</v>
      </c>
      <c r="M81" s="21" t="s">
        <v>7</v>
      </c>
      <c r="N81" s="21">
        <f t="shared" si="2"/>
        <v>714</v>
      </c>
      <c r="O81">
        <v>200</v>
      </c>
      <c r="P81">
        <f t="shared" si="3"/>
        <v>0</v>
      </c>
    </row>
    <row r="82" spans="1:17">
      <c r="A82" s="13">
        <v>81</v>
      </c>
      <c r="B82" s="14" t="s">
        <v>121</v>
      </c>
      <c r="C82" s="14" t="s">
        <v>128</v>
      </c>
      <c r="D82" s="14" t="s">
        <v>115</v>
      </c>
      <c r="E82" s="14" t="s">
        <v>115</v>
      </c>
      <c r="F82" s="15" t="s">
        <v>129</v>
      </c>
      <c r="G82" s="14" t="s">
        <v>9</v>
      </c>
      <c r="H82" s="14" t="s">
        <v>10</v>
      </c>
      <c r="I82" s="14" t="s">
        <v>40</v>
      </c>
      <c r="J82" s="14">
        <v>85</v>
      </c>
      <c r="K82" s="2" t="s">
        <v>5</v>
      </c>
      <c r="L82" s="2" t="s">
        <v>6</v>
      </c>
      <c r="M82" s="2" t="s">
        <v>7</v>
      </c>
      <c r="N82" s="14">
        <f t="shared" si="2"/>
        <v>303.45</v>
      </c>
      <c r="O82">
        <v>85</v>
      </c>
      <c r="P82">
        <f t="shared" si="3"/>
        <v>0</v>
      </c>
    </row>
    <row r="83" spans="1:17">
      <c r="A83" s="13">
        <v>82</v>
      </c>
      <c r="B83" s="14" t="s">
        <v>121</v>
      </c>
      <c r="C83" s="14" t="s">
        <v>130</v>
      </c>
      <c r="D83" s="14" t="s">
        <v>115</v>
      </c>
      <c r="E83" s="14" t="s">
        <v>115</v>
      </c>
      <c r="F83" s="15" t="s">
        <v>131</v>
      </c>
      <c r="G83" s="14" t="s">
        <v>9</v>
      </c>
      <c r="H83" s="14" t="s">
        <v>10</v>
      </c>
      <c r="I83" s="14" t="s">
        <v>40</v>
      </c>
      <c r="J83" s="14">
        <v>125</v>
      </c>
      <c r="K83" s="2" t="s">
        <v>5</v>
      </c>
      <c r="L83" s="2" t="s">
        <v>6</v>
      </c>
      <c r="M83" s="2" t="s">
        <v>7</v>
      </c>
      <c r="N83" s="14">
        <f t="shared" si="2"/>
        <v>446.25</v>
      </c>
      <c r="O83">
        <v>125</v>
      </c>
      <c r="P83">
        <f t="shared" si="3"/>
        <v>0</v>
      </c>
    </row>
    <row r="84" spans="1:17">
      <c r="A84" s="13">
        <v>83</v>
      </c>
      <c r="B84" s="14" t="s">
        <v>121</v>
      </c>
      <c r="C84" s="14" t="s">
        <v>130</v>
      </c>
      <c r="D84" s="14" t="s">
        <v>115</v>
      </c>
      <c r="E84" s="14" t="s">
        <v>115</v>
      </c>
      <c r="F84" s="15" t="s">
        <v>132</v>
      </c>
      <c r="G84" s="14" t="s">
        <v>9</v>
      </c>
      <c r="H84" s="14" t="s">
        <v>10</v>
      </c>
      <c r="I84" s="14" t="s">
        <v>40</v>
      </c>
      <c r="J84" s="14">
        <v>125</v>
      </c>
      <c r="K84" s="2" t="s">
        <v>5</v>
      </c>
      <c r="L84" s="2" t="s">
        <v>6</v>
      </c>
      <c r="M84" s="2" t="s">
        <v>7</v>
      </c>
      <c r="N84" s="14">
        <f t="shared" si="2"/>
        <v>446.25</v>
      </c>
      <c r="O84">
        <v>125</v>
      </c>
      <c r="P84">
        <f t="shared" si="3"/>
        <v>0</v>
      </c>
    </row>
    <row r="85" spans="1:17">
      <c r="A85" s="13">
        <v>84</v>
      </c>
      <c r="B85" s="14" t="s">
        <v>45</v>
      </c>
      <c r="C85" s="14" t="s">
        <v>133</v>
      </c>
      <c r="D85" s="14"/>
      <c r="E85" s="14"/>
      <c r="F85" s="15" t="s">
        <v>134</v>
      </c>
      <c r="G85" s="14" t="s">
        <v>9</v>
      </c>
      <c r="H85" s="14" t="s">
        <v>10</v>
      </c>
      <c r="I85" s="14" t="s">
        <v>40</v>
      </c>
      <c r="J85" s="14">
        <v>415</v>
      </c>
      <c r="K85" s="2" t="s">
        <v>5</v>
      </c>
      <c r="L85" s="2" t="s">
        <v>6</v>
      </c>
      <c r="M85" s="2" t="s">
        <v>7</v>
      </c>
      <c r="N85" s="14">
        <f t="shared" si="2"/>
        <v>1481.55</v>
      </c>
      <c r="O85">
        <v>200</v>
      </c>
      <c r="P85">
        <f t="shared" si="3"/>
        <v>-215</v>
      </c>
    </row>
    <row r="86" spans="1:17">
      <c r="A86" s="13">
        <v>85</v>
      </c>
      <c r="B86" s="14" t="s">
        <v>135</v>
      </c>
      <c r="C86" s="14" t="s">
        <v>136</v>
      </c>
      <c r="D86" s="14"/>
      <c r="E86" s="14" t="s">
        <v>44</v>
      </c>
      <c r="F86" s="15" t="s">
        <v>137</v>
      </c>
      <c r="G86" s="14" t="s">
        <v>9</v>
      </c>
      <c r="H86" s="14" t="s">
        <v>10</v>
      </c>
      <c r="I86" s="14" t="s">
        <v>40</v>
      </c>
      <c r="J86" s="14">
        <v>350</v>
      </c>
      <c r="K86" s="2" t="s">
        <v>5</v>
      </c>
      <c r="L86" s="2" t="s">
        <v>6</v>
      </c>
      <c r="M86" s="2" t="s">
        <v>7</v>
      </c>
      <c r="N86" s="14">
        <f t="shared" si="2"/>
        <v>1249.5</v>
      </c>
      <c r="O86">
        <v>350</v>
      </c>
      <c r="P86">
        <f t="shared" si="3"/>
        <v>0</v>
      </c>
    </row>
    <row r="87" spans="1:17">
      <c r="A87" s="13">
        <v>86</v>
      </c>
      <c r="B87" s="14" t="s">
        <v>135</v>
      </c>
      <c r="C87" s="14" t="s">
        <v>136</v>
      </c>
      <c r="D87" s="14"/>
      <c r="E87" s="14" t="s">
        <v>8</v>
      </c>
      <c r="F87" s="15" t="s">
        <v>138</v>
      </c>
      <c r="G87" s="14" t="s">
        <v>9</v>
      </c>
      <c r="H87" s="14" t="s">
        <v>10</v>
      </c>
      <c r="I87" s="14" t="s">
        <v>40</v>
      </c>
      <c r="J87" s="14">
        <v>350</v>
      </c>
      <c r="K87" s="2" t="s">
        <v>5</v>
      </c>
      <c r="L87" s="2" t="s">
        <v>6</v>
      </c>
      <c r="M87" s="2" t="s">
        <v>7</v>
      </c>
      <c r="N87" s="14">
        <f t="shared" si="2"/>
        <v>1249.5</v>
      </c>
      <c r="O87">
        <v>350</v>
      </c>
      <c r="P87">
        <f t="shared" si="3"/>
        <v>0</v>
      </c>
    </row>
    <row r="88" spans="1:17">
      <c r="A88" s="16">
        <v>87</v>
      </c>
      <c r="B88" s="17" t="s">
        <v>139</v>
      </c>
      <c r="C88" s="17" t="s">
        <v>140</v>
      </c>
      <c r="D88" s="17"/>
      <c r="E88" s="17" t="s">
        <v>141</v>
      </c>
      <c r="F88" s="18" t="s">
        <v>184</v>
      </c>
      <c r="G88" s="17" t="s">
        <v>9</v>
      </c>
      <c r="H88" s="17" t="s">
        <v>10</v>
      </c>
      <c r="I88" s="17" t="s">
        <v>40</v>
      </c>
      <c r="J88" s="17">
        <v>285</v>
      </c>
      <c r="K88" s="2" t="s">
        <v>5</v>
      </c>
      <c r="L88" s="2" t="s">
        <v>6</v>
      </c>
      <c r="M88" s="2" t="s">
        <v>7</v>
      </c>
      <c r="N88" s="14">
        <f t="shared" si="2"/>
        <v>1017.4499999999999</v>
      </c>
      <c r="O88">
        <v>290</v>
      </c>
      <c r="P88">
        <f t="shared" si="3"/>
        <v>5</v>
      </c>
      <c r="Q88" s="1" t="s">
        <v>186</v>
      </c>
    </row>
    <row r="89" spans="1:17">
      <c r="A89" s="13">
        <v>88</v>
      </c>
      <c r="B89" s="14" t="s">
        <v>142</v>
      </c>
      <c r="C89" s="14" t="s">
        <v>143</v>
      </c>
      <c r="D89" s="14" t="s">
        <v>115</v>
      </c>
      <c r="E89" s="14" t="s">
        <v>144</v>
      </c>
      <c r="F89" s="15" t="s">
        <v>145</v>
      </c>
      <c r="G89" s="14" t="s">
        <v>9</v>
      </c>
      <c r="H89" s="14" t="s">
        <v>10</v>
      </c>
      <c r="I89" s="14" t="s">
        <v>40</v>
      </c>
      <c r="J89" s="14">
        <v>315</v>
      </c>
      <c r="K89" s="2" t="s">
        <v>5</v>
      </c>
      <c r="L89" s="2" t="s">
        <v>6</v>
      </c>
      <c r="M89" s="2" t="s">
        <v>7</v>
      </c>
      <c r="N89" s="14">
        <f t="shared" si="2"/>
        <v>1124.55</v>
      </c>
      <c r="O89">
        <v>320</v>
      </c>
      <c r="P89">
        <f t="shared" si="3"/>
        <v>5</v>
      </c>
    </row>
    <row r="90" spans="1:17">
      <c r="A90" s="13">
        <v>89</v>
      </c>
      <c r="B90" s="14" t="s">
        <v>139</v>
      </c>
      <c r="C90" s="14" t="s">
        <v>143</v>
      </c>
      <c r="D90" s="14" t="s">
        <v>47</v>
      </c>
      <c r="E90" s="14" t="s">
        <v>141</v>
      </c>
      <c r="F90" s="15" t="s">
        <v>146</v>
      </c>
      <c r="G90" s="14" t="s">
        <v>9</v>
      </c>
      <c r="H90" s="14" t="s">
        <v>10</v>
      </c>
      <c r="I90" s="14" t="s">
        <v>40</v>
      </c>
      <c r="J90" s="14">
        <v>315</v>
      </c>
      <c r="K90" s="2" t="s">
        <v>5</v>
      </c>
      <c r="L90" s="2" t="s">
        <v>6</v>
      </c>
      <c r="M90" s="2" t="s">
        <v>7</v>
      </c>
      <c r="N90" s="14">
        <f t="shared" si="2"/>
        <v>1124.55</v>
      </c>
      <c r="O90">
        <v>320</v>
      </c>
      <c r="P90">
        <f t="shared" si="3"/>
        <v>5</v>
      </c>
    </row>
    <row r="91" spans="1:17">
      <c r="A91" s="13">
        <v>90</v>
      </c>
      <c r="B91" s="14" t="s">
        <v>139</v>
      </c>
      <c r="C91" s="14" t="s">
        <v>147</v>
      </c>
      <c r="D91" s="14"/>
      <c r="E91" s="14" t="s">
        <v>1</v>
      </c>
      <c r="F91" s="15" t="s">
        <v>148</v>
      </c>
      <c r="G91" s="14" t="s">
        <v>9</v>
      </c>
      <c r="H91" s="14" t="s">
        <v>10</v>
      </c>
      <c r="I91" s="14" t="s">
        <v>40</v>
      </c>
      <c r="J91" s="14">
        <v>130</v>
      </c>
      <c r="K91" s="2" t="s">
        <v>5</v>
      </c>
      <c r="L91" s="2" t="s">
        <v>6</v>
      </c>
      <c r="M91" s="2" t="s">
        <v>7</v>
      </c>
      <c r="N91" s="14">
        <f t="shared" si="2"/>
        <v>464.09999999999997</v>
      </c>
      <c r="O91">
        <v>135</v>
      </c>
      <c r="P91">
        <f t="shared" si="3"/>
        <v>5</v>
      </c>
    </row>
    <row r="92" spans="1:17">
      <c r="A92" s="13">
        <v>91</v>
      </c>
      <c r="B92" s="14" t="s">
        <v>139</v>
      </c>
      <c r="C92" s="14" t="s">
        <v>147</v>
      </c>
      <c r="D92" s="14"/>
      <c r="E92" s="14" t="s">
        <v>1</v>
      </c>
      <c r="F92" s="15" t="s">
        <v>149</v>
      </c>
      <c r="G92" s="14" t="s">
        <v>9</v>
      </c>
      <c r="H92" s="14" t="s">
        <v>10</v>
      </c>
      <c r="I92" s="14" t="s">
        <v>40</v>
      </c>
      <c r="J92" s="14">
        <v>130</v>
      </c>
      <c r="K92" s="2" t="s">
        <v>5</v>
      </c>
      <c r="L92" s="2" t="s">
        <v>6</v>
      </c>
      <c r="M92" s="2" t="s">
        <v>7</v>
      </c>
      <c r="N92" s="14">
        <f t="shared" si="2"/>
        <v>464.09999999999997</v>
      </c>
      <c r="O92">
        <v>135</v>
      </c>
      <c r="P92">
        <f t="shared" si="3"/>
        <v>5</v>
      </c>
    </row>
    <row r="93" spans="1:17">
      <c r="A93" s="13">
        <v>92</v>
      </c>
      <c r="B93" s="14" t="s">
        <v>139</v>
      </c>
      <c r="C93" s="14" t="s">
        <v>147</v>
      </c>
      <c r="D93" s="14"/>
      <c r="E93" s="14" t="s">
        <v>1</v>
      </c>
      <c r="F93" s="15" t="s">
        <v>150</v>
      </c>
      <c r="G93" s="14" t="s">
        <v>9</v>
      </c>
      <c r="H93" s="14" t="s">
        <v>10</v>
      </c>
      <c r="I93" s="14" t="s">
        <v>40</v>
      </c>
      <c r="J93" s="14">
        <v>130</v>
      </c>
      <c r="K93" s="2" t="s">
        <v>5</v>
      </c>
      <c r="L93" s="2" t="s">
        <v>6</v>
      </c>
      <c r="M93" s="2" t="s">
        <v>7</v>
      </c>
      <c r="N93" s="14">
        <f t="shared" si="2"/>
        <v>464.09999999999997</v>
      </c>
      <c r="O93">
        <v>135</v>
      </c>
      <c r="P93">
        <f t="shared" si="3"/>
        <v>5</v>
      </c>
    </row>
    <row r="94" spans="1:17">
      <c r="A94" s="13">
        <v>93</v>
      </c>
      <c r="B94" s="14" t="s">
        <v>139</v>
      </c>
      <c r="C94" s="14" t="s">
        <v>151</v>
      </c>
      <c r="D94" s="14"/>
      <c r="E94" s="14" t="s">
        <v>1</v>
      </c>
      <c r="F94" s="15" t="s">
        <v>152</v>
      </c>
      <c r="G94" s="14" t="s">
        <v>9</v>
      </c>
      <c r="H94" s="14" t="s">
        <v>10</v>
      </c>
      <c r="I94" s="14" t="s">
        <v>40</v>
      </c>
      <c r="J94" s="14">
        <v>130</v>
      </c>
      <c r="K94" s="2" t="s">
        <v>5</v>
      </c>
      <c r="L94" s="2" t="s">
        <v>6</v>
      </c>
      <c r="M94" s="2" t="s">
        <v>7</v>
      </c>
      <c r="N94" s="14">
        <f t="shared" si="2"/>
        <v>464.09999999999997</v>
      </c>
      <c r="O94">
        <v>135</v>
      </c>
      <c r="P94">
        <f t="shared" si="3"/>
        <v>5</v>
      </c>
    </row>
    <row r="95" spans="1:17">
      <c r="A95" s="13">
        <v>94</v>
      </c>
      <c r="B95" s="14" t="s">
        <v>139</v>
      </c>
      <c r="C95" s="14" t="s">
        <v>153</v>
      </c>
      <c r="D95" s="14"/>
      <c r="E95" s="14" t="s">
        <v>1</v>
      </c>
      <c r="F95" s="15" t="s">
        <v>154</v>
      </c>
      <c r="G95" s="14" t="s">
        <v>9</v>
      </c>
      <c r="H95" s="14" t="s">
        <v>10</v>
      </c>
      <c r="I95" s="14" t="s">
        <v>11</v>
      </c>
      <c r="J95" s="14">
        <v>225</v>
      </c>
      <c r="K95" s="2" t="s">
        <v>5</v>
      </c>
      <c r="L95" s="2" t="s">
        <v>6</v>
      </c>
      <c r="M95" s="2" t="s">
        <v>7</v>
      </c>
      <c r="N95" s="14">
        <f t="shared" si="2"/>
        <v>803.25</v>
      </c>
      <c r="O95">
        <v>210</v>
      </c>
      <c r="P95">
        <f t="shared" si="3"/>
        <v>-15</v>
      </c>
    </row>
    <row r="96" spans="1:17">
      <c r="A96" s="13">
        <v>95</v>
      </c>
      <c r="B96" s="14" t="s">
        <v>139</v>
      </c>
      <c r="C96" s="14" t="s">
        <v>153</v>
      </c>
      <c r="D96" s="14"/>
      <c r="E96" s="14" t="s">
        <v>155</v>
      </c>
      <c r="F96" s="15" t="s">
        <v>156</v>
      </c>
      <c r="G96" s="14" t="s">
        <v>9</v>
      </c>
      <c r="H96" s="14" t="s">
        <v>10</v>
      </c>
      <c r="I96" s="14" t="s">
        <v>40</v>
      </c>
      <c r="J96" s="14">
        <v>225</v>
      </c>
      <c r="K96" s="2" t="s">
        <v>5</v>
      </c>
      <c r="L96" s="2" t="s">
        <v>6</v>
      </c>
      <c r="M96" s="2" t="s">
        <v>7</v>
      </c>
      <c r="N96" s="14">
        <f t="shared" si="2"/>
        <v>803.25</v>
      </c>
      <c r="O96">
        <v>210</v>
      </c>
      <c r="P96">
        <f t="shared" si="3"/>
        <v>-15</v>
      </c>
    </row>
    <row r="97" spans="1:16">
      <c r="A97" s="13">
        <v>96</v>
      </c>
      <c r="B97" s="14" t="s">
        <v>139</v>
      </c>
      <c r="C97" s="14" t="s">
        <v>153</v>
      </c>
      <c r="D97" s="14"/>
      <c r="E97" s="14" t="s">
        <v>155</v>
      </c>
      <c r="F97" s="15" t="s">
        <v>157</v>
      </c>
      <c r="G97" s="14" t="s">
        <v>9</v>
      </c>
      <c r="H97" s="14" t="s">
        <v>10</v>
      </c>
      <c r="I97" s="14" t="s">
        <v>40</v>
      </c>
      <c r="J97" s="14">
        <v>225</v>
      </c>
      <c r="K97" s="2" t="s">
        <v>5</v>
      </c>
      <c r="L97" s="2" t="s">
        <v>6</v>
      </c>
      <c r="M97" s="2" t="s">
        <v>7</v>
      </c>
      <c r="N97" s="14">
        <f t="shared" si="2"/>
        <v>803.25</v>
      </c>
      <c r="O97">
        <v>210</v>
      </c>
      <c r="P97">
        <f t="shared" si="3"/>
        <v>-15</v>
      </c>
    </row>
    <row r="98" spans="1:16">
      <c r="A98" s="13">
        <v>97</v>
      </c>
      <c r="B98" s="14" t="s">
        <v>139</v>
      </c>
      <c r="C98" s="14" t="s">
        <v>153</v>
      </c>
      <c r="D98" s="14"/>
      <c r="E98" s="14" t="s">
        <v>155</v>
      </c>
      <c r="F98" s="15" t="s">
        <v>158</v>
      </c>
      <c r="G98" s="14" t="s">
        <v>9</v>
      </c>
      <c r="H98" s="14" t="s">
        <v>10</v>
      </c>
      <c r="I98" s="14" t="s">
        <v>40</v>
      </c>
      <c r="J98" s="14">
        <v>225</v>
      </c>
      <c r="K98" s="2" t="s">
        <v>5</v>
      </c>
      <c r="L98" s="2" t="s">
        <v>6</v>
      </c>
      <c r="M98" s="2" t="s">
        <v>7</v>
      </c>
      <c r="N98" s="14">
        <f t="shared" si="2"/>
        <v>803.25</v>
      </c>
      <c r="O98">
        <v>210</v>
      </c>
      <c r="P98">
        <f t="shared" si="3"/>
        <v>-15</v>
      </c>
    </row>
    <row r="99" spans="1:16">
      <c r="A99" s="13">
        <v>98</v>
      </c>
      <c r="B99" s="14" t="s">
        <v>139</v>
      </c>
      <c r="C99" s="14" t="s">
        <v>153</v>
      </c>
      <c r="D99" s="14"/>
      <c r="E99" s="14" t="s">
        <v>155</v>
      </c>
      <c r="F99" s="15" t="s">
        <v>159</v>
      </c>
      <c r="G99" s="14" t="s">
        <v>9</v>
      </c>
      <c r="H99" s="14" t="s">
        <v>10</v>
      </c>
      <c r="I99" s="14" t="s">
        <v>40</v>
      </c>
      <c r="J99" s="14">
        <v>225</v>
      </c>
      <c r="K99" s="2" t="s">
        <v>5</v>
      </c>
      <c r="L99" s="2" t="s">
        <v>6</v>
      </c>
      <c r="M99" s="2" t="s">
        <v>7</v>
      </c>
      <c r="N99" s="14">
        <f t="shared" si="2"/>
        <v>803.25</v>
      </c>
      <c r="O99">
        <v>210</v>
      </c>
      <c r="P99">
        <f t="shared" si="3"/>
        <v>-15</v>
      </c>
    </row>
    <row r="100" spans="1:16">
      <c r="A100" s="13">
        <v>99</v>
      </c>
      <c r="B100" s="14" t="s">
        <v>139</v>
      </c>
      <c r="C100" s="14" t="s">
        <v>153</v>
      </c>
      <c r="D100" s="14"/>
      <c r="E100" s="14" t="s">
        <v>155</v>
      </c>
      <c r="F100" s="15" t="s">
        <v>160</v>
      </c>
      <c r="G100" s="14" t="s">
        <v>9</v>
      </c>
      <c r="H100" s="14" t="s">
        <v>10</v>
      </c>
      <c r="I100" s="14" t="s">
        <v>40</v>
      </c>
      <c r="J100" s="14">
        <v>225</v>
      </c>
      <c r="K100" s="2" t="s">
        <v>5</v>
      </c>
      <c r="L100" s="2" t="s">
        <v>6</v>
      </c>
      <c r="M100" s="2" t="s">
        <v>7</v>
      </c>
      <c r="N100" s="14">
        <f t="shared" si="2"/>
        <v>803.25</v>
      </c>
      <c r="O100">
        <v>210</v>
      </c>
      <c r="P100">
        <f t="shared" si="3"/>
        <v>-15</v>
      </c>
    </row>
    <row r="101" spans="1:16">
      <c r="A101" s="13">
        <v>100</v>
      </c>
      <c r="B101" s="14" t="s">
        <v>139</v>
      </c>
      <c r="C101" s="14" t="s">
        <v>161</v>
      </c>
      <c r="D101" s="14" t="s">
        <v>115</v>
      </c>
      <c r="E101" s="14" t="s">
        <v>141</v>
      </c>
      <c r="F101" s="15" t="s">
        <v>162</v>
      </c>
      <c r="G101" s="14" t="s">
        <v>9</v>
      </c>
      <c r="H101" s="14" t="s">
        <v>10</v>
      </c>
      <c r="I101" s="14" t="s">
        <v>40</v>
      </c>
      <c r="J101" s="14">
        <v>315</v>
      </c>
      <c r="K101" s="2" t="s">
        <v>5</v>
      </c>
      <c r="L101" s="2" t="s">
        <v>6</v>
      </c>
      <c r="M101" s="2" t="s">
        <v>7</v>
      </c>
      <c r="N101" s="14">
        <f t="shared" si="2"/>
        <v>1124.55</v>
      </c>
      <c r="O101">
        <v>320</v>
      </c>
      <c r="P101">
        <f t="shared" si="3"/>
        <v>5</v>
      </c>
    </row>
    <row r="102" spans="1:16">
      <c r="A102" s="13">
        <v>101</v>
      </c>
      <c r="B102" s="14" t="s">
        <v>163</v>
      </c>
      <c r="C102" s="14" t="s">
        <v>161</v>
      </c>
      <c r="D102" s="14" t="s">
        <v>115</v>
      </c>
      <c r="E102" s="14" t="s">
        <v>141</v>
      </c>
      <c r="F102" s="15" t="s">
        <v>164</v>
      </c>
      <c r="G102" s="14" t="s">
        <v>9</v>
      </c>
      <c r="H102" s="14" t="s">
        <v>10</v>
      </c>
      <c r="I102" s="14" t="s">
        <v>40</v>
      </c>
      <c r="J102" s="14">
        <v>315</v>
      </c>
      <c r="K102" s="2" t="s">
        <v>5</v>
      </c>
      <c r="L102" s="2" t="s">
        <v>6</v>
      </c>
      <c r="M102" s="2" t="s">
        <v>7</v>
      </c>
      <c r="N102" s="14">
        <f t="shared" si="2"/>
        <v>1124.55</v>
      </c>
      <c r="O102">
        <v>320</v>
      </c>
      <c r="P102">
        <f t="shared" si="3"/>
        <v>5</v>
      </c>
    </row>
    <row r="103" spans="1:16">
      <c r="A103" s="7">
        <v>102</v>
      </c>
      <c r="B103" s="8" t="s">
        <v>139</v>
      </c>
      <c r="C103" s="8" t="s">
        <v>165</v>
      </c>
      <c r="D103" s="8"/>
      <c r="E103" s="8"/>
      <c r="F103" s="9">
        <v>358654262465307</v>
      </c>
      <c r="G103" s="8" t="s">
        <v>9</v>
      </c>
      <c r="H103" s="8"/>
      <c r="I103" s="8" t="s">
        <v>11</v>
      </c>
      <c r="J103" s="8">
        <v>280</v>
      </c>
      <c r="K103" s="8" t="s">
        <v>5</v>
      </c>
      <c r="L103" s="8" t="s">
        <v>6</v>
      </c>
      <c r="M103" s="8" t="s">
        <v>7</v>
      </c>
      <c r="N103" s="8">
        <f t="shared" si="2"/>
        <v>999.59999999999991</v>
      </c>
      <c r="O103">
        <v>280</v>
      </c>
      <c r="P103">
        <f t="shared" si="3"/>
        <v>0</v>
      </c>
    </row>
    <row r="104" spans="1:16">
      <c r="A104" s="13">
        <v>103</v>
      </c>
      <c r="B104" s="14" t="s">
        <v>139</v>
      </c>
      <c r="C104" s="14" t="s">
        <v>166</v>
      </c>
      <c r="D104" s="14" t="s">
        <v>115</v>
      </c>
      <c r="E104" s="14" t="s">
        <v>8</v>
      </c>
      <c r="F104" s="15">
        <v>353938645737499</v>
      </c>
      <c r="G104" s="14" t="s">
        <v>9</v>
      </c>
      <c r="H104" s="14" t="s">
        <v>10</v>
      </c>
      <c r="I104" s="14" t="s">
        <v>11</v>
      </c>
      <c r="J104" s="14">
        <v>655</v>
      </c>
      <c r="K104" s="2" t="s">
        <v>5</v>
      </c>
      <c r="L104" s="2" t="s">
        <v>6</v>
      </c>
      <c r="M104" s="2" t="s">
        <v>7</v>
      </c>
      <c r="N104" s="14">
        <f t="shared" si="2"/>
        <v>2338.35</v>
      </c>
      <c r="O104">
        <v>670</v>
      </c>
      <c r="P104">
        <f t="shared" si="3"/>
        <v>15</v>
      </c>
    </row>
    <row r="105" spans="1:16">
      <c r="A105" s="13">
        <v>104</v>
      </c>
      <c r="B105" s="14" t="s">
        <v>139</v>
      </c>
      <c r="C105" s="14" t="s">
        <v>166</v>
      </c>
      <c r="D105" s="14" t="s">
        <v>115</v>
      </c>
      <c r="E105" s="14" t="s">
        <v>8</v>
      </c>
      <c r="F105" s="15">
        <v>358135794647208</v>
      </c>
      <c r="G105" s="14" t="s">
        <v>9</v>
      </c>
      <c r="H105" s="14" t="s">
        <v>10</v>
      </c>
      <c r="I105" s="14" t="s">
        <v>11</v>
      </c>
      <c r="J105" s="14">
        <v>655</v>
      </c>
      <c r="K105" s="2" t="s">
        <v>5</v>
      </c>
      <c r="L105" s="2" t="s">
        <v>6</v>
      </c>
      <c r="M105" s="2" t="s">
        <v>7</v>
      </c>
      <c r="N105" s="14">
        <f t="shared" si="2"/>
        <v>2338.35</v>
      </c>
      <c r="O105">
        <v>670</v>
      </c>
      <c r="P105">
        <f t="shared" si="3"/>
        <v>15</v>
      </c>
    </row>
    <row r="106" spans="1:16">
      <c r="A106" s="13">
        <v>105</v>
      </c>
      <c r="B106" s="14" t="s">
        <v>139</v>
      </c>
      <c r="C106" s="14" t="s">
        <v>167</v>
      </c>
      <c r="D106" s="14" t="s">
        <v>115</v>
      </c>
      <c r="E106" s="14" t="s">
        <v>8</v>
      </c>
      <c r="F106" s="15">
        <v>358135795547894</v>
      </c>
      <c r="G106" s="14" t="s">
        <v>9</v>
      </c>
      <c r="H106" s="14" t="s">
        <v>10</v>
      </c>
      <c r="I106" s="14" t="s">
        <v>11</v>
      </c>
      <c r="J106" s="14">
        <v>655</v>
      </c>
      <c r="K106" s="2" t="s">
        <v>5</v>
      </c>
      <c r="L106" s="2" t="s">
        <v>6</v>
      </c>
      <c r="M106" s="2" t="s">
        <v>7</v>
      </c>
      <c r="N106" s="14">
        <f t="shared" si="2"/>
        <v>2338.35</v>
      </c>
      <c r="O106">
        <v>670</v>
      </c>
      <c r="P106">
        <f t="shared" si="3"/>
        <v>15</v>
      </c>
    </row>
    <row r="107" spans="1:16">
      <c r="A107" s="13">
        <v>106</v>
      </c>
      <c r="B107" s="14" t="s">
        <v>139</v>
      </c>
      <c r="C107" s="14" t="s">
        <v>167</v>
      </c>
      <c r="D107" s="14" t="s">
        <v>115</v>
      </c>
      <c r="E107" s="14" t="s">
        <v>8</v>
      </c>
      <c r="F107" s="15">
        <v>358135795323072</v>
      </c>
      <c r="G107" s="14" t="s">
        <v>9</v>
      </c>
      <c r="H107" s="14" t="s">
        <v>10</v>
      </c>
      <c r="I107" s="14" t="s">
        <v>11</v>
      </c>
      <c r="J107" s="14">
        <v>655</v>
      </c>
      <c r="K107" s="2" t="s">
        <v>5</v>
      </c>
      <c r="L107" s="2" t="s">
        <v>6</v>
      </c>
      <c r="M107" s="2" t="s">
        <v>7</v>
      </c>
      <c r="N107" s="14">
        <f t="shared" si="2"/>
        <v>2338.35</v>
      </c>
      <c r="O107">
        <v>670</v>
      </c>
      <c r="P107">
        <f t="shared" si="3"/>
        <v>15</v>
      </c>
    </row>
    <row r="108" spans="1:16">
      <c r="A108" s="13">
        <v>107</v>
      </c>
      <c r="B108" s="14" t="s">
        <v>139</v>
      </c>
      <c r="C108" s="14" t="s">
        <v>167</v>
      </c>
      <c r="D108" s="14" t="s">
        <v>115</v>
      </c>
      <c r="E108" s="14" t="s">
        <v>8</v>
      </c>
      <c r="F108" s="15">
        <v>358135795012592</v>
      </c>
      <c r="G108" s="14" t="s">
        <v>9</v>
      </c>
      <c r="H108" s="14" t="s">
        <v>10</v>
      </c>
      <c r="I108" s="14" t="s">
        <v>11</v>
      </c>
      <c r="J108" s="14">
        <v>655</v>
      </c>
      <c r="K108" s="2" t="s">
        <v>5</v>
      </c>
      <c r="L108" s="2" t="s">
        <v>6</v>
      </c>
      <c r="M108" s="2" t="s">
        <v>7</v>
      </c>
      <c r="N108" s="14">
        <f t="shared" si="2"/>
        <v>2338.35</v>
      </c>
      <c r="O108">
        <v>670</v>
      </c>
      <c r="P108">
        <f t="shared" si="3"/>
        <v>15</v>
      </c>
    </row>
    <row r="109" spans="1:16">
      <c r="A109" s="13">
        <v>108</v>
      </c>
      <c r="B109" s="14" t="s">
        <v>139</v>
      </c>
      <c r="C109" s="14" t="s">
        <v>167</v>
      </c>
      <c r="D109" s="14" t="s">
        <v>115</v>
      </c>
      <c r="E109" s="14" t="s">
        <v>8</v>
      </c>
      <c r="F109" s="15">
        <v>358135795730227</v>
      </c>
      <c r="G109" s="14" t="s">
        <v>9</v>
      </c>
      <c r="H109" s="14" t="s">
        <v>10</v>
      </c>
      <c r="I109" s="14" t="s">
        <v>11</v>
      </c>
      <c r="J109" s="14">
        <v>655</v>
      </c>
      <c r="K109" s="2" t="s">
        <v>5</v>
      </c>
      <c r="L109" s="2" t="s">
        <v>6</v>
      </c>
      <c r="M109" s="2" t="s">
        <v>7</v>
      </c>
      <c r="N109" s="14">
        <f t="shared" si="2"/>
        <v>2338.35</v>
      </c>
      <c r="O109">
        <v>670</v>
      </c>
      <c r="P109">
        <f t="shared" si="3"/>
        <v>15</v>
      </c>
    </row>
    <row r="110" spans="1:16">
      <c r="A110" s="13">
        <v>109</v>
      </c>
      <c r="B110" s="14" t="s">
        <v>139</v>
      </c>
      <c r="C110" s="14" t="s">
        <v>167</v>
      </c>
      <c r="D110" s="14" t="s">
        <v>115</v>
      </c>
      <c r="E110" s="14" t="s">
        <v>168</v>
      </c>
      <c r="F110" s="15">
        <v>358135795096694</v>
      </c>
      <c r="G110" s="14" t="s">
        <v>9</v>
      </c>
      <c r="H110" s="14" t="s">
        <v>10</v>
      </c>
      <c r="I110" s="14" t="s">
        <v>11</v>
      </c>
      <c r="J110" s="14">
        <v>544</v>
      </c>
      <c r="K110" s="2" t="s">
        <v>5</v>
      </c>
      <c r="L110" s="2" t="s">
        <v>6</v>
      </c>
      <c r="M110" s="2" t="s">
        <v>7</v>
      </c>
      <c r="N110" s="14">
        <f t="shared" si="2"/>
        <v>1942.08</v>
      </c>
      <c r="O110">
        <v>670</v>
      </c>
      <c r="P110">
        <f t="shared" si="3"/>
        <v>126</v>
      </c>
    </row>
    <row r="111" spans="1:16">
      <c r="A111" s="13">
        <v>110</v>
      </c>
      <c r="B111" s="14" t="s">
        <v>139</v>
      </c>
      <c r="C111" s="14" t="s">
        <v>167</v>
      </c>
      <c r="D111" s="14" t="s">
        <v>115</v>
      </c>
      <c r="E111" s="14" t="s">
        <v>8</v>
      </c>
      <c r="F111" s="15">
        <v>355827875606623</v>
      </c>
      <c r="G111" s="14" t="s">
        <v>9</v>
      </c>
      <c r="H111" s="14" t="s">
        <v>10</v>
      </c>
      <c r="I111" s="14" t="s">
        <v>11</v>
      </c>
      <c r="J111" s="14">
        <v>655</v>
      </c>
      <c r="K111" s="2" t="s">
        <v>5</v>
      </c>
      <c r="L111" s="2" t="s">
        <v>6</v>
      </c>
      <c r="M111" s="2" t="s">
        <v>7</v>
      </c>
      <c r="N111" s="14">
        <f t="shared" si="2"/>
        <v>2338.35</v>
      </c>
      <c r="O111">
        <v>670</v>
      </c>
      <c r="P111">
        <f t="shared" si="3"/>
        <v>15</v>
      </c>
    </row>
    <row r="112" spans="1:16">
      <c r="A112" s="13">
        <v>111</v>
      </c>
      <c r="B112" s="14" t="s">
        <v>139</v>
      </c>
      <c r="C112" s="14" t="s">
        <v>167</v>
      </c>
      <c r="D112" s="14" t="s">
        <v>115</v>
      </c>
      <c r="E112" s="14" t="s">
        <v>8</v>
      </c>
      <c r="F112" s="15">
        <v>358135791880125</v>
      </c>
      <c r="G112" s="14" t="s">
        <v>9</v>
      </c>
      <c r="H112" s="14" t="s">
        <v>10</v>
      </c>
      <c r="I112" s="14" t="s">
        <v>11</v>
      </c>
      <c r="J112" s="14">
        <v>655</v>
      </c>
      <c r="K112" s="2" t="s">
        <v>5</v>
      </c>
      <c r="L112" s="2" t="s">
        <v>6</v>
      </c>
      <c r="M112" s="2" t="s">
        <v>7</v>
      </c>
      <c r="N112" s="14">
        <f t="shared" si="2"/>
        <v>2338.35</v>
      </c>
      <c r="O112">
        <v>670</v>
      </c>
      <c r="P112">
        <f t="shared" si="3"/>
        <v>15</v>
      </c>
    </row>
    <row r="113" spans="1:16">
      <c r="A113" s="13">
        <v>112</v>
      </c>
      <c r="B113" s="14" t="s">
        <v>135</v>
      </c>
      <c r="C113" s="14" t="s">
        <v>169</v>
      </c>
      <c r="D113" s="14" t="s">
        <v>115</v>
      </c>
      <c r="E113" s="14" t="s">
        <v>8</v>
      </c>
      <c r="F113" s="15" t="s">
        <v>170</v>
      </c>
      <c r="G113" s="14" t="s">
        <v>9</v>
      </c>
      <c r="H113" s="14" t="s">
        <v>10</v>
      </c>
      <c r="I113" s="14" t="s">
        <v>40</v>
      </c>
      <c r="J113" s="14">
        <v>175</v>
      </c>
      <c r="K113" s="2" t="s">
        <v>5</v>
      </c>
      <c r="L113" s="2" t="s">
        <v>6</v>
      </c>
      <c r="M113" s="2" t="s">
        <v>7</v>
      </c>
      <c r="N113" s="14">
        <f t="shared" si="2"/>
        <v>624.75</v>
      </c>
      <c r="O113">
        <v>175</v>
      </c>
      <c r="P113">
        <f t="shared" si="3"/>
        <v>0</v>
      </c>
    </row>
    <row r="114" spans="1:16" ht="18.75">
      <c r="J114" s="6">
        <f>SUM(J2:J113)</f>
        <v>58569</v>
      </c>
      <c r="N114" s="20">
        <f>SUM(N2:N113)</f>
        <v>209091.33000000002</v>
      </c>
    </row>
  </sheetData>
  <autoFilter ref="A1:P114" xr:uid="{00000000-0001-0000-0000-000000000000}"/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dcterms:created xsi:type="dcterms:W3CDTF">2026-04-25T09:17:57Z</dcterms:created>
  <dcterms:modified xsi:type="dcterms:W3CDTF">2026-06-03T17:30:59Z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2026-04-24T00:00:00Z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2026-04-25T00:00:00Z</vt:filetime>
  </property>
  <property fmtid="{D5CDD505-2E9C-101B-9397-08002B2CF9AE}" pid="6" name="Producer">
    <vt:lpwstr>Skia/PDF m147</vt:lpwstr>
  </property>
</Properties>
</file>