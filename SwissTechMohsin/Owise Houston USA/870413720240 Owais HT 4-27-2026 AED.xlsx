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65" documentId="13_ncr:1_{66C86204-DFE1-42DE-9469-9E05F6E06146}" xr6:coauthVersionLast="47" xr6:coauthVersionMax="47" xr10:uidLastSave="{1DD750F2-AA53-41CC-91F0-04B5E3F48023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E81" i="1"/>
  <c r="E83" i="1" s="1"/>
  <c r="F8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3" i="1"/>
  <c r="F81" i="1" l="1"/>
</calcChain>
</file>

<file path=xl/sharedStrings.xml><?xml version="1.0" encoding="utf-8"?>
<sst xmlns="http://schemas.openxmlformats.org/spreadsheetml/2006/main" count="128" uniqueCount="46">
  <si>
    <r>
      <rPr>
        <sz val="10"/>
        <rFont val="Arial MT"/>
        <family val="2"/>
      </rPr>
      <t>Date</t>
    </r>
  </si>
  <si>
    <t>iPhone 17 Pro Max Cosmic Orange 256 GB</t>
  </si>
  <si>
    <t>Active</t>
  </si>
  <si>
    <t>Active Unlock</t>
  </si>
  <si>
    <t>iPhone 17 Pro Max Deep Blue 256 GB</t>
  </si>
  <si>
    <t>Unlock</t>
  </si>
  <si>
    <t>iPhone 17 Pro Max Silver 256 GB</t>
  </si>
  <si>
    <t>iPhone 17 Pro Cosmic Orange 256 GB</t>
  </si>
  <si>
    <t>iPhone 17 Pro Cosmic Orange 512 GB</t>
  </si>
  <si>
    <t>iPhone 17 Pro Deep Blue 256 GB</t>
  </si>
  <si>
    <t>iPhone 17 Pro Deep Blue 512 GB</t>
  </si>
  <si>
    <t>iPhone 17 Pro Silver 256 GB</t>
  </si>
  <si>
    <t>iPhone 17 Air Sky Blue 256 GB</t>
  </si>
  <si>
    <t>iPhone 17 White 256 GB</t>
  </si>
  <si>
    <t>iPhone 17e Black 256 GB</t>
  </si>
  <si>
    <t>iPhone 15 Pro Max Natural Ti 256 GB</t>
  </si>
  <si>
    <t>iPad Pro M5 13" (W) Space Black 256 GB</t>
  </si>
  <si>
    <t>iPad Air M4 13" (W+C) Blue 128 GB</t>
  </si>
  <si>
    <t>iPad A16 (W+C) Blue 128 GB</t>
  </si>
  <si>
    <t>iPad A16 (W+C) Silver 256 GB</t>
  </si>
  <si>
    <t>Macbook Air M5 13'' MDHE4 Midnight 16 GB, 512 GB</t>
  </si>
  <si>
    <t>SDH22XWF23T</t>
  </si>
  <si>
    <t>iWatch Series 11 Jetblack 46mm</t>
  </si>
  <si>
    <t>Meta Wayfarer Gen 2 Matte Black, Grey</t>
  </si>
  <si>
    <t>4V0ZW25J0L05XN</t>
  </si>
  <si>
    <t>4V0ZW25J0H051X</t>
  </si>
  <si>
    <t>4V37W25J1600VH</t>
  </si>
  <si>
    <t>4V37W25J0X00SD</t>
  </si>
  <si>
    <t>4V37W25HC200SS</t>
  </si>
  <si>
    <t>Sr No</t>
  </si>
  <si>
    <t>Party Name</t>
  </si>
  <si>
    <t>870413720240 Owais HT</t>
  </si>
  <si>
    <t>USD Prices</t>
  </si>
  <si>
    <t>AED Prices</t>
  </si>
  <si>
    <t>SJ6H3DQ3QLY</t>
  </si>
  <si>
    <t>Invoice me Lock he Non Active he</t>
  </si>
  <si>
    <t>Invoice me active he</t>
  </si>
  <si>
    <t>Invoice me Kit he</t>
  </si>
  <si>
    <t>Invoice me Silver he</t>
  </si>
  <si>
    <t>Invoice me IMEI Change he C76PWF4PHP</t>
  </si>
  <si>
    <t>Invoice me IMEI Change he FQRVQXMGYH</t>
  </si>
  <si>
    <t>Discount Amout</t>
  </si>
  <si>
    <t>Total Amount</t>
  </si>
  <si>
    <t>Owais Total Invoice Amount</t>
  </si>
  <si>
    <t>Comments</t>
  </si>
  <si>
    <t>Invoice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</si>
</sst>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9">
    <font>
      <sz val="10"/>
      <color rgb="FF000000"/>
      <name val="Times New Roman"/>
      <charset val="204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b/>
      <sz val="10"/>
      <name val="Arial MT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6C9EE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165" fontId="8" fillId="3" borderId="3" xfId="0" applyNumberFormat="1" applyFont="1" applyFill="1" applyBorder="1" applyAlignment="1">
      <alignment horizontal="center" vertical="center"/>
    </xf>
    <xf numFmtId="166" fontId="8" fillId="3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top" shrinkToFit="1"/>
    </xf>
    <xf numFmtId="0" fontId="5" fillId="5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63" workbookViewId="0">
      <selection activeCell="C74" sqref="C74"/>
    </sheetView>
  </sheetViews>
  <sheetFormatPr defaultRowHeight="12.75"/>
  <cols>
    <col min="1" max="1" width="9.83203125" customWidth="1"/>
    <col min="2" max="2" width="61.6640625" customWidth="1"/>
    <col min="3" max="3" width="34.6640625" customWidth="1"/>
    <col min="4" max="4" width="28" customWidth="1"/>
    <col min="5" max="5" width="27.5" customWidth="1"/>
    <col min="6" max="6" width="26.6640625" customWidth="1"/>
    <col min="7" max="7" width="42" bestFit="1" customWidth="1"/>
  </cols>
  <sheetData>
    <row r="1" spans="1:7">
      <c r="A1" s="1"/>
      <c r="B1" s="1" t="s">
        <v>0</v>
      </c>
      <c r="C1" s="1">
        <v>46139</v>
      </c>
      <c r="D1" s="2"/>
    </row>
    <row r="2" spans="1:7" ht="12.75" customHeight="1">
      <c r="A2" s="3" t="s">
        <v>29</v>
      </c>
      <c r="B2" s="3" t="s">
        <v>30</v>
      </c>
      <c r="C2" s="3" t="s">
        <v>31</v>
      </c>
      <c r="D2" s="4" t="s">
        <v>44</v>
      </c>
      <c r="E2" s="4" t="s">
        <v>32</v>
      </c>
      <c r="F2" s="4" t="s">
        <v>33</v>
      </c>
      <c r="G2" s="4" t="s">
        <v>45</v>
      </c>
    </row>
    <row r="3" spans="1:7">
      <c r="A3" s="8">
        <v>1</v>
      </c>
      <c r="B3" s="9" t="s">
        <v>1</v>
      </c>
      <c r="C3" s="8">
        <v>353497859837347</v>
      </c>
      <c r="D3" s="10"/>
      <c r="E3" s="11">
        <v>850</v>
      </c>
      <c r="F3" s="12">
        <f>E3*3.57</f>
        <v>3034.5</v>
      </c>
      <c r="G3" s="11"/>
    </row>
    <row r="4" spans="1:7">
      <c r="A4" s="8">
        <v>2</v>
      </c>
      <c r="B4" s="9" t="s">
        <v>1</v>
      </c>
      <c r="C4" s="8">
        <v>359814716516431</v>
      </c>
      <c r="D4" s="10"/>
      <c r="E4" s="11">
        <v>850</v>
      </c>
      <c r="F4" s="12">
        <f t="shared" ref="F4:F67" si="0">E4*3.57</f>
        <v>3034.5</v>
      </c>
      <c r="G4" s="11"/>
    </row>
    <row r="5" spans="1:7">
      <c r="A5" s="8">
        <v>3</v>
      </c>
      <c r="B5" s="9" t="s">
        <v>1</v>
      </c>
      <c r="C5" s="8">
        <v>356392247045561</v>
      </c>
      <c r="D5" s="13"/>
      <c r="E5" s="11">
        <v>850</v>
      </c>
      <c r="F5" s="12">
        <f t="shared" si="0"/>
        <v>3034.5</v>
      </c>
      <c r="G5" s="11"/>
    </row>
    <row r="6" spans="1:7">
      <c r="A6" s="8">
        <v>4</v>
      </c>
      <c r="B6" s="9" t="s">
        <v>1</v>
      </c>
      <c r="C6" s="8">
        <v>358206136682698</v>
      </c>
      <c r="D6" s="10"/>
      <c r="E6" s="11">
        <v>850</v>
      </c>
      <c r="F6" s="12">
        <f t="shared" si="0"/>
        <v>3034.5</v>
      </c>
      <c r="G6" s="11"/>
    </row>
    <row r="7" spans="1:7">
      <c r="A7" s="8">
        <v>5</v>
      </c>
      <c r="B7" s="9" t="s">
        <v>1</v>
      </c>
      <c r="C7" s="8">
        <v>357329445885850</v>
      </c>
      <c r="D7" s="10"/>
      <c r="E7" s="11">
        <v>850</v>
      </c>
      <c r="F7" s="12">
        <f t="shared" si="0"/>
        <v>3034.5</v>
      </c>
      <c r="G7" s="11"/>
    </row>
    <row r="8" spans="1:7">
      <c r="A8" s="8">
        <v>6</v>
      </c>
      <c r="B8" s="9" t="s">
        <v>1</v>
      </c>
      <c r="C8" s="8">
        <v>355246657672010</v>
      </c>
      <c r="D8" s="10"/>
      <c r="E8" s="11">
        <v>850</v>
      </c>
      <c r="F8" s="12">
        <f t="shared" si="0"/>
        <v>3034.5</v>
      </c>
      <c r="G8" s="11"/>
    </row>
    <row r="9" spans="1:7">
      <c r="A9" s="8">
        <v>7</v>
      </c>
      <c r="B9" s="9" t="s">
        <v>1</v>
      </c>
      <c r="C9" s="8">
        <v>356392247282958</v>
      </c>
      <c r="D9" s="10"/>
      <c r="E9" s="11">
        <v>850</v>
      </c>
      <c r="F9" s="12">
        <f t="shared" si="0"/>
        <v>3034.5</v>
      </c>
      <c r="G9" s="11"/>
    </row>
    <row r="10" spans="1:7">
      <c r="A10" s="8">
        <v>8</v>
      </c>
      <c r="B10" s="9" t="s">
        <v>1</v>
      </c>
      <c r="C10" s="8">
        <v>357329446954648</v>
      </c>
      <c r="D10" s="10"/>
      <c r="E10" s="11">
        <v>850</v>
      </c>
      <c r="F10" s="12">
        <f t="shared" si="0"/>
        <v>3034.5</v>
      </c>
      <c r="G10" s="11"/>
    </row>
    <row r="11" spans="1:7">
      <c r="A11" s="8">
        <v>9</v>
      </c>
      <c r="B11" s="9" t="s">
        <v>1</v>
      </c>
      <c r="C11" s="8">
        <v>353497858288153</v>
      </c>
      <c r="D11" s="15" t="s">
        <v>2</v>
      </c>
      <c r="E11" s="11">
        <v>760</v>
      </c>
      <c r="F11" s="12">
        <f t="shared" si="0"/>
        <v>2713.2</v>
      </c>
      <c r="G11" s="14" t="s">
        <v>37</v>
      </c>
    </row>
    <row r="12" spans="1:7">
      <c r="A12" s="8">
        <v>10</v>
      </c>
      <c r="B12" s="9" t="s">
        <v>1</v>
      </c>
      <c r="C12" s="8">
        <v>350599869907516</v>
      </c>
      <c r="D12" s="15" t="s">
        <v>3</v>
      </c>
      <c r="E12" s="11">
        <v>1150</v>
      </c>
      <c r="F12" s="12">
        <f t="shared" si="0"/>
        <v>4105.5</v>
      </c>
      <c r="G12" s="11"/>
    </row>
    <row r="13" spans="1:7">
      <c r="A13" s="8">
        <v>11</v>
      </c>
      <c r="B13" s="9" t="s">
        <v>1</v>
      </c>
      <c r="C13" s="8">
        <v>356605222677607</v>
      </c>
      <c r="D13" s="15" t="s">
        <v>2</v>
      </c>
      <c r="E13" s="11">
        <v>850</v>
      </c>
      <c r="F13" s="12">
        <f t="shared" si="0"/>
        <v>3034.5</v>
      </c>
      <c r="G13" s="11"/>
    </row>
    <row r="14" spans="1:7">
      <c r="A14" s="8">
        <v>12</v>
      </c>
      <c r="B14" s="9" t="s">
        <v>1</v>
      </c>
      <c r="C14" s="8">
        <v>358434702781393</v>
      </c>
      <c r="D14" s="15" t="s">
        <v>2</v>
      </c>
      <c r="E14" s="11">
        <v>850</v>
      </c>
      <c r="F14" s="12">
        <f t="shared" si="0"/>
        <v>3034.5</v>
      </c>
      <c r="G14" s="11"/>
    </row>
    <row r="15" spans="1:7">
      <c r="A15" s="8">
        <v>13</v>
      </c>
      <c r="B15" s="9" t="s">
        <v>1</v>
      </c>
      <c r="C15" s="8">
        <v>355246658415617</v>
      </c>
      <c r="D15" s="15" t="s">
        <v>3</v>
      </c>
      <c r="E15" s="11">
        <v>1150</v>
      </c>
      <c r="F15" s="12">
        <f t="shared" si="0"/>
        <v>4105.5</v>
      </c>
      <c r="G15" s="11"/>
    </row>
    <row r="16" spans="1:7">
      <c r="A16" s="8">
        <v>14</v>
      </c>
      <c r="B16" s="9" t="s">
        <v>1</v>
      </c>
      <c r="C16" s="8">
        <v>356392249976268</v>
      </c>
      <c r="D16" s="15" t="s">
        <v>2</v>
      </c>
      <c r="E16" s="11">
        <v>850</v>
      </c>
      <c r="F16" s="12">
        <f t="shared" si="0"/>
        <v>3034.5</v>
      </c>
      <c r="G16" s="11"/>
    </row>
    <row r="17" spans="1:7">
      <c r="A17" s="8">
        <v>15</v>
      </c>
      <c r="B17" s="9" t="s">
        <v>4</v>
      </c>
      <c r="C17" s="8">
        <v>358051329919980</v>
      </c>
      <c r="D17" s="10"/>
      <c r="E17" s="11">
        <v>800</v>
      </c>
      <c r="F17" s="12">
        <f t="shared" si="0"/>
        <v>2856</v>
      </c>
      <c r="G17" s="11"/>
    </row>
    <row r="18" spans="1:7">
      <c r="A18" s="8">
        <v>16</v>
      </c>
      <c r="B18" s="9" t="s">
        <v>4</v>
      </c>
      <c r="C18" s="8">
        <v>350035234381541</v>
      </c>
      <c r="D18" s="10"/>
      <c r="E18" s="11">
        <v>800</v>
      </c>
      <c r="F18" s="12">
        <f t="shared" si="0"/>
        <v>2856</v>
      </c>
      <c r="G18" s="11"/>
    </row>
    <row r="19" spans="1:7">
      <c r="A19" s="8">
        <v>17</v>
      </c>
      <c r="B19" s="9" t="s">
        <v>4</v>
      </c>
      <c r="C19" s="8">
        <v>358434707235312</v>
      </c>
      <c r="D19" s="15" t="s">
        <v>5</v>
      </c>
      <c r="E19" s="11">
        <v>1200</v>
      </c>
      <c r="F19" s="12">
        <f t="shared" si="0"/>
        <v>4284</v>
      </c>
      <c r="G19" s="11"/>
    </row>
    <row r="20" spans="1:7">
      <c r="A20" s="8">
        <v>18</v>
      </c>
      <c r="B20" s="9" t="s">
        <v>4</v>
      </c>
      <c r="C20" s="8">
        <v>356392241855841</v>
      </c>
      <c r="D20" s="15" t="s">
        <v>2</v>
      </c>
      <c r="E20" s="11">
        <v>800</v>
      </c>
      <c r="F20" s="12">
        <f t="shared" si="0"/>
        <v>2856</v>
      </c>
      <c r="G20" s="11"/>
    </row>
    <row r="21" spans="1:7">
      <c r="A21" s="8">
        <v>19</v>
      </c>
      <c r="B21" s="9" t="s">
        <v>4</v>
      </c>
      <c r="C21" s="8">
        <v>356225420603311</v>
      </c>
      <c r="D21" s="10"/>
      <c r="E21" s="11">
        <v>800</v>
      </c>
      <c r="F21" s="12">
        <f t="shared" si="0"/>
        <v>2856</v>
      </c>
      <c r="G21" s="11"/>
    </row>
    <row r="22" spans="1:7">
      <c r="A22" s="8">
        <v>20</v>
      </c>
      <c r="B22" s="9" t="s">
        <v>4</v>
      </c>
      <c r="C22" s="8">
        <v>353497852912188</v>
      </c>
      <c r="D22" s="13"/>
      <c r="E22" s="11">
        <v>800</v>
      </c>
      <c r="F22" s="12">
        <f t="shared" si="0"/>
        <v>2856</v>
      </c>
      <c r="G22" s="11"/>
    </row>
    <row r="23" spans="1:7">
      <c r="A23" s="8">
        <v>21</v>
      </c>
      <c r="B23" s="9" t="s">
        <v>4</v>
      </c>
      <c r="C23" s="8">
        <v>358434709902778</v>
      </c>
      <c r="D23" s="10"/>
      <c r="E23" s="11">
        <v>800</v>
      </c>
      <c r="F23" s="12">
        <f t="shared" si="0"/>
        <v>2856</v>
      </c>
      <c r="G23" s="11"/>
    </row>
    <row r="24" spans="1:7">
      <c r="A24" s="8">
        <v>22</v>
      </c>
      <c r="B24" s="9" t="s">
        <v>4</v>
      </c>
      <c r="C24" s="8">
        <v>358434701361627</v>
      </c>
      <c r="D24" s="10"/>
      <c r="E24" s="11">
        <v>800</v>
      </c>
      <c r="F24" s="12">
        <f t="shared" si="0"/>
        <v>2856</v>
      </c>
      <c r="G24" s="11"/>
    </row>
    <row r="25" spans="1:7">
      <c r="A25" s="8">
        <v>23</v>
      </c>
      <c r="B25" s="9" t="s">
        <v>4</v>
      </c>
      <c r="C25" s="8">
        <v>353497858328033</v>
      </c>
      <c r="D25" s="15" t="s">
        <v>5</v>
      </c>
      <c r="E25" s="11">
        <v>1200</v>
      </c>
      <c r="F25" s="12">
        <f t="shared" si="0"/>
        <v>4284</v>
      </c>
      <c r="G25" s="11"/>
    </row>
    <row r="26" spans="1:7">
      <c r="A26" s="8">
        <v>24</v>
      </c>
      <c r="B26" s="9" t="s">
        <v>4</v>
      </c>
      <c r="C26" s="8">
        <v>350035235459031</v>
      </c>
      <c r="D26" s="15" t="s">
        <v>2</v>
      </c>
      <c r="E26" s="11">
        <v>800</v>
      </c>
      <c r="F26" s="12">
        <f t="shared" si="0"/>
        <v>2856</v>
      </c>
      <c r="G26" s="11"/>
    </row>
    <row r="27" spans="1:7">
      <c r="A27" s="8">
        <v>25</v>
      </c>
      <c r="B27" s="9" t="s">
        <v>4</v>
      </c>
      <c r="C27" s="8">
        <v>358434709995608</v>
      </c>
      <c r="D27" s="13"/>
      <c r="E27" s="11">
        <v>800</v>
      </c>
      <c r="F27" s="12">
        <f t="shared" si="0"/>
        <v>2856</v>
      </c>
      <c r="G27" s="11"/>
    </row>
    <row r="28" spans="1:7">
      <c r="A28" s="8">
        <v>26</v>
      </c>
      <c r="B28" s="9" t="s">
        <v>6</v>
      </c>
      <c r="C28" s="8">
        <v>359814713912641</v>
      </c>
      <c r="D28" s="10"/>
      <c r="E28" s="11">
        <v>920</v>
      </c>
      <c r="F28" s="12">
        <f t="shared" si="0"/>
        <v>3284.3999999999996</v>
      </c>
      <c r="G28" s="11"/>
    </row>
    <row r="29" spans="1:7">
      <c r="A29" s="8">
        <v>27</v>
      </c>
      <c r="B29" s="9" t="s">
        <v>6</v>
      </c>
      <c r="C29" s="8">
        <v>358206136736437</v>
      </c>
      <c r="D29" s="10"/>
      <c r="E29" s="11">
        <v>920</v>
      </c>
      <c r="F29" s="12">
        <f t="shared" si="0"/>
        <v>3284.3999999999996</v>
      </c>
      <c r="G29" s="11"/>
    </row>
    <row r="30" spans="1:7">
      <c r="A30" s="8">
        <v>28</v>
      </c>
      <c r="B30" s="9" t="s">
        <v>6</v>
      </c>
      <c r="C30" s="8">
        <v>359814713596311</v>
      </c>
      <c r="D30" s="10"/>
      <c r="E30" s="11">
        <v>920</v>
      </c>
      <c r="F30" s="12">
        <f t="shared" si="0"/>
        <v>3284.3999999999996</v>
      </c>
      <c r="G30" s="11"/>
    </row>
    <row r="31" spans="1:7">
      <c r="A31" s="8">
        <v>29</v>
      </c>
      <c r="B31" s="9" t="s">
        <v>6</v>
      </c>
      <c r="C31" s="8">
        <v>359814713932755</v>
      </c>
      <c r="D31" s="10"/>
      <c r="E31" s="11">
        <v>920</v>
      </c>
      <c r="F31" s="12">
        <f t="shared" si="0"/>
        <v>3284.3999999999996</v>
      </c>
      <c r="G31" s="11"/>
    </row>
    <row r="32" spans="1:7">
      <c r="A32" s="8">
        <v>30</v>
      </c>
      <c r="B32" s="9" t="s">
        <v>6</v>
      </c>
      <c r="C32" s="8">
        <v>356225420186861</v>
      </c>
      <c r="D32" s="13"/>
      <c r="E32" s="11">
        <v>920</v>
      </c>
      <c r="F32" s="12">
        <f t="shared" si="0"/>
        <v>3284.3999999999996</v>
      </c>
      <c r="G32" s="11"/>
    </row>
    <row r="33" spans="1:7">
      <c r="A33" s="8">
        <v>31</v>
      </c>
      <c r="B33" s="9" t="s">
        <v>6</v>
      </c>
      <c r="C33" s="8">
        <v>359814714049740</v>
      </c>
      <c r="D33" s="10"/>
      <c r="E33" s="11">
        <v>920</v>
      </c>
      <c r="F33" s="12">
        <f t="shared" si="0"/>
        <v>3284.3999999999996</v>
      </c>
      <c r="G33" s="11"/>
    </row>
    <row r="34" spans="1:7">
      <c r="A34" s="8">
        <v>32</v>
      </c>
      <c r="B34" s="9" t="s">
        <v>6</v>
      </c>
      <c r="C34" s="8">
        <v>358206132521668</v>
      </c>
      <c r="D34" s="10"/>
      <c r="E34" s="11">
        <v>920</v>
      </c>
      <c r="F34" s="12">
        <f t="shared" si="0"/>
        <v>3284.3999999999996</v>
      </c>
      <c r="G34" s="11"/>
    </row>
    <row r="35" spans="1:7">
      <c r="A35" s="8">
        <v>33</v>
      </c>
      <c r="B35" s="9" t="s">
        <v>6</v>
      </c>
      <c r="C35" s="8">
        <v>359814714137933</v>
      </c>
      <c r="D35" s="10"/>
      <c r="E35" s="11">
        <v>920</v>
      </c>
      <c r="F35" s="12">
        <f t="shared" si="0"/>
        <v>3284.3999999999996</v>
      </c>
      <c r="G35" s="11"/>
    </row>
    <row r="36" spans="1:7">
      <c r="A36" s="8">
        <v>34</v>
      </c>
      <c r="B36" s="9" t="s">
        <v>6</v>
      </c>
      <c r="C36" s="8">
        <v>358206132512436</v>
      </c>
      <c r="D36" s="10"/>
      <c r="E36" s="11">
        <v>920</v>
      </c>
      <c r="F36" s="12">
        <f t="shared" si="0"/>
        <v>3284.3999999999996</v>
      </c>
      <c r="G36" s="11"/>
    </row>
    <row r="37" spans="1:7">
      <c r="A37" s="8">
        <v>35</v>
      </c>
      <c r="B37" s="9" t="s">
        <v>6</v>
      </c>
      <c r="C37" s="8">
        <v>359814713965052</v>
      </c>
      <c r="D37" s="10"/>
      <c r="E37" s="11">
        <v>920</v>
      </c>
      <c r="F37" s="12">
        <f t="shared" si="0"/>
        <v>3284.3999999999996</v>
      </c>
      <c r="G37" s="11"/>
    </row>
    <row r="38" spans="1:7">
      <c r="A38" s="8">
        <v>36</v>
      </c>
      <c r="B38" s="9" t="s">
        <v>7</v>
      </c>
      <c r="C38" s="8">
        <v>355820205154547</v>
      </c>
      <c r="D38" s="13"/>
      <c r="E38" s="11">
        <v>750</v>
      </c>
      <c r="F38" s="12">
        <f t="shared" si="0"/>
        <v>2677.5</v>
      </c>
      <c r="G38" s="11"/>
    </row>
    <row r="39" spans="1:7">
      <c r="A39" s="8">
        <v>37</v>
      </c>
      <c r="B39" s="9" t="s">
        <v>7</v>
      </c>
      <c r="C39" s="8">
        <v>359477638023728</v>
      </c>
      <c r="D39" s="10"/>
      <c r="E39" s="11">
        <v>750</v>
      </c>
      <c r="F39" s="12">
        <f t="shared" si="0"/>
        <v>2677.5</v>
      </c>
      <c r="G39" s="11"/>
    </row>
    <row r="40" spans="1:7">
      <c r="A40" s="8">
        <v>38</v>
      </c>
      <c r="B40" s="9" t="s">
        <v>7</v>
      </c>
      <c r="C40" s="8">
        <v>352176456423948</v>
      </c>
      <c r="D40" s="15" t="s">
        <v>2</v>
      </c>
      <c r="E40" s="11">
        <v>750</v>
      </c>
      <c r="F40" s="12">
        <f t="shared" si="0"/>
        <v>2677.5</v>
      </c>
      <c r="G40" s="11"/>
    </row>
    <row r="41" spans="1:7">
      <c r="A41" s="8">
        <v>39</v>
      </c>
      <c r="B41" s="9" t="s">
        <v>7</v>
      </c>
      <c r="C41" s="8">
        <v>354956974060332</v>
      </c>
      <c r="D41" s="10"/>
      <c r="E41" s="11">
        <v>750</v>
      </c>
      <c r="F41" s="12">
        <f t="shared" si="0"/>
        <v>2677.5</v>
      </c>
      <c r="G41" s="11"/>
    </row>
    <row r="42" spans="1:7">
      <c r="A42" s="8">
        <v>40</v>
      </c>
      <c r="B42" s="9" t="s">
        <v>7</v>
      </c>
      <c r="C42" s="8">
        <v>355981559639101</v>
      </c>
      <c r="D42" s="10"/>
      <c r="E42" s="11">
        <v>750</v>
      </c>
      <c r="F42" s="12">
        <f t="shared" si="0"/>
        <v>2677.5</v>
      </c>
      <c r="G42" s="11"/>
    </row>
    <row r="43" spans="1:7">
      <c r="A43" s="8">
        <v>41</v>
      </c>
      <c r="B43" s="9" t="s">
        <v>7</v>
      </c>
      <c r="C43" s="8">
        <v>352190320767356</v>
      </c>
      <c r="D43" s="13"/>
      <c r="E43" s="11">
        <v>750</v>
      </c>
      <c r="F43" s="12">
        <f t="shared" si="0"/>
        <v>2677.5</v>
      </c>
      <c r="G43" s="11"/>
    </row>
    <row r="44" spans="1:7">
      <c r="A44" s="8">
        <v>42</v>
      </c>
      <c r="B44" s="9" t="s">
        <v>7</v>
      </c>
      <c r="C44" s="8">
        <v>352176456359761</v>
      </c>
      <c r="D44" s="15" t="s">
        <v>2</v>
      </c>
      <c r="E44" s="11">
        <v>750</v>
      </c>
      <c r="F44" s="12">
        <f t="shared" si="0"/>
        <v>2677.5</v>
      </c>
      <c r="G44" s="11"/>
    </row>
    <row r="45" spans="1:7">
      <c r="A45" s="8">
        <v>43</v>
      </c>
      <c r="B45" s="9" t="s">
        <v>7</v>
      </c>
      <c r="C45" s="8">
        <v>359477635863308</v>
      </c>
      <c r="D45" s="10"/>
      <c r="E45" s="11">
        <v>750</v>
      </c>
      <c r="F45" s="12">
        <f t="shared" si="0"/>
        <v>2677.5</v>
      </c>
      <c r="G45" s="11"/>
    </row>
    <row r="46" spans="1:7">
      <c r="A46" s="8">
        <v>44</v>
      </c>
      <c r="B46" s="9" t="s">
        <v>7</v>
      </c>
      <c r="C46" s="8">
        <v>355981559118304</v>
      </c>
      <c r="D46" s="10"/>
      <c r="E46" s="11">
        <v>750</v>
      </c>
      <c r="F46" s="12">
        <f t="shared" si="0"/>
        <v>2677.5</v>
      </c>
      <c r="G46" s="11"/>
    </row>
    <row r="47" spans="1:7">
      <c r="A47" s="8">
        <v>45</v>
      </c>
      <c r="B47" s="9" t="s">
        <v>7</v>
      </c>
      <c r="C47" s="8">
        <v>357633132789246</v>
      </c>
      <c r="D47" s="15" t="s">
        <v>2</v>
      </c>
      <c r="E47" s="11">
        <v>750</v>
      </c>
      <c r="F47" s="12">
        <f t="shared" si="0"/>
        <v>2677.5</v>
      </c>
      <c r="G47" s="11"/>
    </row>
    <row r="48" spans="1:7">
      <c r="A48" s="8">
        <v>46</v>
      </c>
      <c r="B48" s="9" t="s">
        <v>7</v>
      </c>
      <c r="C48" s="8">
        <v>351030795758160</v>
      </c>
      <c r="D48" s="15" t="s">
        <v>2</v>
      </c>
      <c r="E48" s="11">
        <v>750</v>
      </c>
      <c r="F48" s="12">
        <f t="shared" si="0"/>
        <v>2677.5</v>
      </c>
      <c r="G48" s="11"/>
    </row>
    <row r="49" spans="1:7">
      <c r="A49" s="8">
        <v>47</v>
      </c>
      <c r="B49" s="9" t="s">
        <v>8</v>
      </c>
      <c r="C49" s="8">
        <v>355820206992580</v>
      </c>
      <c r="D49" s="15" t="s">
        <v>5</v>
      </c>
      <c r="E49" s="11">
        <v>1200</v>
      </c>
      <c r="F49" s="12">
        <f t="shared" si="0"/>
        <v>4284</v>
      </c>
      <c r="G49" s="11"/>
    </row>
    <row r="50" spans="1:7">
      <c r="A50" s="8">
        <v>48</v>
      </c>
      <c r="B50" s="9" t="s">
        <v>8</v>
      </c>
      <c r="C50" s="8">
        <v>356245419462222</v>
      </c>
      <c r="D50" s="15" t="s">
        <v>5</v>
      </c>
      <c r="E50" s="11">
        <v>1200</v>
      </c>
      <c r="F50" s="12">
        <f t="shared" si="0"/>
        <v>4284</v>
      </c>
      <c r="G50" s="11"/>
    </row>
    <row r="51" spans="1:7">
      <c r="A51" s="8">
        <v>49</v>
      </c>
      <c r="B51" s="9" t="s">
        <v>8</v>
      </c>
      <c r="C51" s="8">
        <v>357254479390454</v>
      </c>
      <c r="D51" s="15" t="s">
        <v>5</v>
      </c>
      <c r="E51" s="11">
        <v>1200</v>
      </c>
      <c r="F51" s="12">
        <f t="shared" si="0"/>
        <v>4284</v>
      </c>
      <c r="G51" s="11"/>
    </row>
    <row r="52" spans="1:7">
      <c r="A52" s="8">
        <v>50</v>
      </c>
      <c r="B52" s="9" t="s">
        <v>9</v>
      </c>
      <c r="C52" s="8">
        <v>355820209403627</v>
      </c>
      <c r="D52" s="10"/>
      <c r="E52" s="11">
        <v>750</v>
      </c>
      <c r="F52" s="12">
        <f t="shared" si="0"/>
        <v>2677.5</v>
      </c>
      <c r="G52" s="11"/>
    </row>
    <row r="53" spans="1:7">
      <c r="A53" s="8">
        <v>51</v>
      </c>
      <c r="B53" s="9" t="s">
        <v>9</v>
      </c>
      <c r="C53" s="8">
        <v>353748536449801</v>
      </c>
      <c r="D53" s="15" t="s">
        <v>3</v>
      </c>
      <c r="E53" s="11">
        <v>1050</v>
      </c>
      <c r="F53" s="12">
        <f t="shared" si="0"/>
        <v>3748.5</v>
      </c>
      <c r="G53" s="11"/>
    </row>
    <row r="54" spans="1:7">
      <c r="A54" s="8">
        <v>52</v>
      </c>
      <c r="B54" s="9" t="s">
        <v>9</v>
      </c>
      <c r="C54" s="8">
        <v>359477637575447</v>
      </c>
      <c r="D54" s="13"/>
      <c r="E54" s="11">
        <v>750</v>
      </c>
      <c r="F54" s="12">
        <f t="shared" si="0"/>
        <v>2677.5</v>
      </c>
      <c r="G54" s="11"/>
    </row>
    <row r="55" spans="1:7">
      <c r="A55" s="8">
        <v>53</v>
      </c>
      <c r="B55" s="9" t="s">
        <v>9</v>
      </c>
      <c r="C55" s="8">
        <v>356245419857652</v>
      </c>
      <c r="D55" s="10"/>
      <c r="E55" s="11">
        <v>750</v>
      </c>
      <c r="F55" s="12">
        <f t="shared" si="0"/>
        <v>2677.5</v>
      </c>
      <c r="G55" s="11"/>
    </row>
    <row r="56" spans="1:7">
      <c r="A56" s="8">
        <v>54</v>
      </c>
      <c r="B56" s="9" t="s">
        <v>9</v>
      </c>
      <c r="C56" s="8">
        <v>355500356041160</v>
      </c>
      <c r="D56" s="15" t="s">
        <v>5</v>
      </c>
      <c r="E56" s="11">
        <v>1100</v>
      </c>
      <c r="F56" s="12">
        <f t="shared" si="0"/>
        <v>3927</v>
      </c>
      <c r="G56" s="11"/>
    </row>
    <row r="57" spans="1:7">
      <c r="A57" s="8">
        <v>55</v>
      </c>
      <c r="B57" s="9" t="s">
        <v>9</v>
      </c>
      <c r="C57" s="8">
        <v>352001993936436</v>
      </c>
      <c r="D57" s="15" t="s">
        <v>5</v>
      </c>
      <c r="E57" s="11">
        <v>1100</v>
      </c>
      <c r="F57" s="12">
        <f t="shared" si="0"/>
        <v>3927</v>
      </c>
      <c r="G57" s="11"/>
    </row>
    <row r="58" spans="1:7">
      <c r="A58" s="8">
        <v>56</v>
      </c>
      <c r="B58" s="9" t="s">
        <v>10</v>
      </c>
      <c r="C58" s="8">
        <v>359477639163648</v>
      </c>
      <c r="D58" s="15" t="s">
        <v>5</v>
      </c>
      <c r="E58" s="11">
        <v>1200</v>
      </c>
      <c r="F58" s="12">
        <f t="shared" si="0"/>
        <v>4284</v>
      </c>
      <c r="G58" s="11"/>
    </row>
    <row r="59" spans="1:7">
      <c r="A59" s="8">
        <v>57</v>
      </c>
      <c r="B59" s="9" t="s">
        <v>11</v>
      </c>
      <c r="C59" s="8">
        <v>352440630597278</v>
      </c>
      <c r="D59" s="15" t="s">
        <v>5</v>
      </c>
      <c r="E59" s="11">
        <v>1100</v>
      </c>
      <c r="F59" s="12">
        <f t="shared" si="0"/>
        <v>3927</v>
      </c>
      <c r="G59" s="11"/>
    </row>
    <row r="60" spans="1:7">
      <c r="A60" s="8">
        <v>58</v>
      </c>
      <c r="B60" s="9" t="s">
        <v>11</v>
      </c>
      <c r="C60" s="8">
        <v>352001991602402</v>
      </c>
      <c r="D60" s="15" t="s">
        <v>5</v>
      </c>
      <c r="E60" s="11">
        <v>1100</v>
      </c>
      <c r="F60" s="12">
        <f t="shared" si="0"/>
        <v>3927</v>
      </c>
      <c r="G60" s="11"/>
    </row>
    <row r="61" spans="1:7">
      <c r="A61" s="8">
        <v>59</v>
      </c>
      <c r="B61" s="9" t="s">
        <v>12</v>
      </c>
      <c r="C61" s="8">
        <v>358271523802036</v>
      </c>
      <c r="D61" s="15" t="s">
        <v>3</v>
      </c>
      <c r="E61" s="11">
        <v>490</v>
      </c>
      <c r="F61" s="12">
        <f t="shared" si="0"/>
        <v>1749.3</v>
      </c>
      <c r="G61" s="14" t="s">
        <v>35</v>
      </c>
    </row>
    <row r="62" spans="1:7">
      <c r="A62" s="8">
        <v>60</v>
      </c>
      <c r="B62" s="9" t="s">
        <v>13</v>
      </c>
      <c r="C62" s="8">
        <v>354666654247014</v>
      </c>
      <c r="D62" s="15" t="s">
        <v>5</v>
      </c>
      <c r="E62" s="11">
        <v>650</v>
      </c>
      <c r="F62" s="12">
        <f t="shared" si="0"/>
        <v>2320.5</v>
      </c>
      <c r="G62" s="14" t="s">
        <v>36</v>
      </c>
    </row>
    <row r="63" spans="1:7">
      <c r="A63" s="8">
        <v>61</v>
      </c>
      <c r="B63" s="9" t="s">
        <v>13</v>
      </c>
      <c r="C63" s="8">
        <v>353502588851301</v>
      </c>
      <c r="D63" s="10"/>
      <c r="E63" s="11">
        <v>700</v>
      </c>
      <c r="F63" s="12">
        <f t="shared" si="0"/>
        <v>2499</v>
      </c>
      <c r="G63" s="11"/>
    </row>
    <row r="64" spans="1:7">
      <c r="A64" s="8">
        <v>62</v>
      </c>
      <c r="B64" s="9" t="s">
        <v>14</v>
      </c>
      <c r="C64" s="8">
        <v>358835894417226</v>
      </c>
      <c r="D64" s="10"/>
      <c r="E64" s="11">
        <v>320</v>
      </c>
      <c r="F64" s="12">
        <f t="shared" si="0"/>
        <v>1142.3999999999999</v>
      </c>
      <c r="G64" s="11"/>
    </row>
    <row r="65" spans="1:7">
      <c r="A65" s="8">
        <v>63</v>
      </c>
      <c r="B65" s="9" t="s">
        <v>15</v>
      </c>
      <c r="C65" s="8">
        <v>354570354691424</v>
      </c>
      <c r="D65" s="15" t="s">
        <v>2</v>
      </c>
      <c r="E65" s="11">
        <v>490</v>
      </c>
      <c r="F65" s="12">
        <f t="shared" si="0"/>
        <v>1749.3</v>
      </c>
      <c r="G65" s="11"/>
    </row>
    <row r="66" spans="1:7">
      <c r="A66" s="8">
        <v>64</v>
      </c>
      <c r="B66" s="9" t="s">
        <v>16</v>
      </c>
      <c r="C66" s="8">
        <v>352355706556117</v>
      </c>
      <c r="D66" s="13"/>
      <c r="E66" s="11">
        <v>1030</v>
      </c>
      <c r="F66" s="12">
        <f t="shared" si="0"/>
        <v>3677.1</v>
      </c>
      <c r="G66" s="14" t="s">
        <v>38</v>
      </c>
    </row>
    <row r="67" spans="1:7">
      <c r="A67" s="8">
        <v>65</v>
      </c>
      <c r="B67" s="9" t="s">
        <v>17</v>
      </c>
      <c r="C67" s="8">
        <v>352255850784186</v>
      </c>
      <c r="D67" s="10"/>
      <c r="E67" s="11">
        <v>720</v>
      </c>
      <c r="F67" s="12">
        <f t="shared" si="0"/>
        <v>2570.4</v>
      </c>
      <c r="G67" s="11"/>
    </row>
    <row r="68" spans="1:7">
      <c r="A68" s="8">
        <v>66</v>
      </c>
      <c r="B68" s="9" t="s">
        <v>18</v>
      </c>
      <c r="C68" s="8">
        <v>350094264077032</v>
      </c>
      <c r="D68" s="10"/>
      <c r="E68" s="11">
        <v>340</v>
      </c>
      <c r="F68" s="12">
        <f t="shared" ref="F68:F80" si="1">E68*3.57</f>
        <v>1213.8</v>
      </c>
      <c r="G68" s="14" t="s">
        <v>39</v>
      </c>
    </row>
    <row r="69" spans="1:7">
      <c r="A69" s="8">
        <v>67</v>
      </c>
      <c r="B69" s="9" t="s">
        <v>18</v>
      </c>
      <c r="C69" s="8">
        <v>351159024325184</v>
      </c>
      <c r="D69" s="10"/>
      <c r="E69" s="11">
        <v>340</v>
      </c>
      <c r="F69" s="12">
        <f t="shared" si="1"/>
        <v>1213.8</v>
      </c>
      <c r="G69" s="11"/>
    </row>
    <row r="70" spans="1:7">
      <c r="A70" s="8">
        <v>68</v>
      </c>
      <c r="B70" s="9" t="s">
        <v>18</v>
      </c>
      <c r="C70" s="8">
        <v>350094264606632</v>
      </c>
      <c r="D70" s="10"/>
      <c r="E70" s="11">
        <v>340</v>
      </c>
      <c r="F70" s="12">
        <f t="shared" si="1"/>
        <v>1213.8</v>
      </c>
      <c r="G70" s="14" t="s">
        <v>40</v>
      </c>
    </row>
    <row r="71" spans="1:7">
      <c r="A71" s="8">
        <v>69</v>
      </c>
      <c r="B71" s="9" t="s">
        <v>19</v>
      </c>
      <c r="C71" s="8">
        <v>357879853765416</v>
      </c>
      <c r="D71" s="10"/>
      <c r="E71" s="11">
        <v>480</v>
      </c>
      <c r="F71" s="12">
        <f t="shared" si="1"/>
        <v>1713.6</v>
      </c>
      <c r="G71" s="11"/>
    </row>
    <row r="72" spans="1:7">
      <c r="A72" s="8">
        <v>70</v>
      </c>
      <c r="B72" s="9" t="s">
        <v>19</v>
      </c>
      <c r="C72" s="8">
        <v>357879853903678</v>
      </c>
      <c r="D72" s="13"/>
      <c r="E72" s="11">
        <v>480</v>
      </c>
      <c r="F72" s="12">
        <f t="shared" si="1"/>
        <v>1713.6</v>
      </c>
      <c r="G72" s="11"/>
    </row>
    <row r="73" spans="1:7" ht="15.75" customHeight="1">
      <c r="A73" s="8">
        <v>71</v>
      </c>
      <c r="B73" s="9" t="s">
        <v>20</v>
      </c>
      <c r="C73" s="9" t="s">
        <v>21</v>
      </c>
      <c r="D73" s="10"/>
      <c r="E73" s="11">
        <v>930</v>
      </c>
      <c r="F73" s="12">
        <f t="shared" si="1"/>
        <v>3320.1</v>
      </c>
      <c r="G73" s="11"/>
    </row>
    <row r="74" spans="1:7" ht="14.25" customHeight="1">
      <c r="A74" s="8">
        <v>72</v>
      </c>
      <c r="B74" s="9" t="s">
        <v>20</v>
      </c>
      <c r="C74" s="9" t="s">
        <v>34</v>
      </c>
      <c r="D74" s="10"/>
      <c r="E74" s="11">
        <v>930</v>
      </c>
      <c r="F74" s="12">
        <f t="shared" si="1"/>
        <v>3320.1</v>
      </c>
      <c r="G74" s="11"/>
    </row>
    <row r="75" spans="1:7">
      <c r="A75" s="8">
        <v>73</v>
      </c>
      <c r="B75" s="9" t="s">
        <v>22</v>
      </c>
      <c r="C75" s="8">
        <v>357324132333306</v>
      </c>
      <c r="D75" s="10"/>
      <c r="E75" s="11">
        <v>315</v>
      </c>
      <c r="F75" s="12">
        <f t="shared" si="1"/>
        <v>1124.55</v>
      </c>
      <c r="G75" s="11"/>
    </row>
    <row r="76" spans="1:7">
      <c r="A76" s="8">
        <v>74</v>
      </c>
      <c r="B76" s="9" t="s">
        <v>23</v>
      </c>
      <c r="C76" s="9" t="s">
        <v>24</v>
      </c>
      <c r="D76" s="10"/>
      <c r="E76" s="11">
        <v>300</v>
      </c>
      <c r="F76" s="12">
        <f t="shared" si="1"/>
        <v>1071</v>
      </c>
      <c r="G76" s="11"/>
    </row>
    <row r="77" spans="1:7">
      <c r="A77" s="8">
        <v>75</v>
      </c>
      <c r="B77" s="9" t="s">
        <v>23</v>
      </c>
      <c r="C77" s="9" t="s">
        <v>25</v>
      </c>
      <c r="D77" s="13"/>
      <c r="E77" s="11">
        <v>300</v>
      </c>
      <c r="F77" s="12">
        <f t="shared" si="1"/>
        <v>1071</v>
      </c>
      <c r="G77" s="11"/>
    </row>
    <row r="78" spans="1:7">
      <c r="A78" s="8">
        <v>76</v>
      </c>
      <c r="B78" s="9" t="s">
        <v>23</v>
      </c>
      <c r="C78" s="9" t="s">
        <v>26</v>
      </c>
      <c r="D78" s="10"/>
      <c r="E78" s="11">
        <v>300</v>
      </c>
      <c r="F78" s="12">
        <f t="shared" si="1"/>
        <v>1071</v>
      </c>
      <c r="G78" s="11"/>
    </row>
    <row r="79" spans="1:7">
      <c r="A79" s="8">
        <v>77</v>
      </c>
      <c r="B79" s="9" t="s">
        <v>23</v>
      </c>
      <c r="C79" s="9" t="s">
        <v>27</v>
      </c>
      <c r="D79" s="10"/>
      <c r="E79" s="11">
        <v>300</v>
      </c>
      <c r="F79" s="12">
        <f t="shared" si="1"/>
        <v>1071</v>
      </c>
      <c r="G79" s="11"/>
    </row>
    <row r="80" spans="1:7">
      <c r="A80" s="8">
        <v>78</v>
      </c>
      <c r="B80" s="9" t="s">
        <v>23</v>
      </c>
      <c r="C80" s="9" t="s">
        <v>28</v>
      </c>
      <c r="D80" s="10"/>
      <c r="E80" s="11">
        <v>300</v>
      </c>
      <c r="F80" s="12">
        <f t="shared" si="1"/>
        <v>1071</v>
      </c>
      <c r="G80" s="11"/>
    </row>
    <row r="81" spans="5:7" ht="18.75">
      <c r="E81" s="5">
        <f>SUM(E3:E80)</f>
        <v>62015</v>
      </c>
      <c r="F81" s="6">
        <f>SUM(F3:F80)</f>
        <v>221393.5499999999</v>
      </c>
      <c r="G81" s="7" t="s">
        <v>42</v>
      </c>
    </row>
    <row r="82" spans="5:7" ht="18.75">
      <c r="E82" s="5">
        <v>64470</v>
      </c>
      <c r="F82" s="6">
        <f>E82*3.57</f>
        <v>230157.9</v>
      </c>
      <c r="G82" s="7" t="s">
        <v>43</v>
      </c>
    </row>
    <row r="83" spans="5:7" ht="18.75">
      <c r="E83" s="5">
        <f>E82-E81</f>
        <v>2455</v>
      </c>
      <c r="F83" s="6">
        <f>E83*3.57</f>
        <v>8764.35</v>
      </c>
      <c r="G83" s="7" t="s">
        <v>41</v>
      </c>
    </row>
  </sheetData>
  <autoFilter ref="A2:G83" xr:uid="{00000000-0001-0000-0000-000000000000}"/>
  <conditionalFormatting sqref="A1:B2">
    <cfRule type="duplicateValues" dxfId="7" priority="11"/>
  </conditionalFormatting>
  <conditionalFormatting sqref="C1:C1048576">
    <cfRule type="duplicateValues" dxfId="6" priority="1"/>
    <cfRule type="duplicateValues" dxfId="5" priority="12"/>
    <cfRule type="duplicateValues" dxfId="4" priority="65"/>
  </conditionalFormatting>
  <conditionalFormatting sqref="C85:C1048576">
    <cfRule type="duplicateValues" dxfId="3" priority="51"/>
    <cfRule type="duplicateValues" dxfId="2" priority="55"/>
    <cfRule type="duplicateValues" dxfId="1" priority="58"/>
    <cfRule type="duplicateValues" dxfId="0" priority="6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2026-04-30T10:58:47Z</dcterms:created>
  <dcterms:modified xsi:type="dcterms:W3CDTF">2026-05-09T13:57:32Z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2026-04-30T00:00:00Z</vt:filetime>
  </property>
</Properties>
</file>