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45" documentId="13_ncr:1_{125BBAC9-C858-4A28-88DC-399321845D90}" xr6:coauthVersionLast="47" xr6:coauthVersionMax="47" xr10:uidLastSave="{21736E1F-2CC7-4BB2-B5AE-E54D5AAB3E0C}"/>
  <bookViews>
    <workbookView xWindow="20370" yWindow="-120" windowWidth="29040" windowHeight="17520" xr2:uid="{00000000-000D-0000-FFFF-FFFF00000000}"/>
  </bookViews>
  <sheets>
    <sheet name="Table 1" sheetId="1" r:id="rId1"/>
  </sheets>
  <definedNames>
    <definedName name="_xlnm._FilterDatabase" localSheetId="0" hidden="1">'Table 1'!$A$2:$E$78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E78" i="1"/>
  <c r="E80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3" i="1"/>
  <c r="D78" i="1" l="1"/>
</calcChain>
</file>

<file path=xl/sharedStrings.xml><?xml version="1.0" encoding="utf-8"?>
<sst xmlns="http://schemas.openxmlformats.org/spreadsheetml/2006/main" count="157" uniqueCount="96">
  <si>
    <r>
      <rPr>
        <sz val="9.5"/>
        <rFont val="Arial MT"/>
        <family val="2"/>
      </rPr>
      <t>Date</t>
    </r>
  </si>
  <si>
    <r>
      <rPr>
        <sz val="9.5"/>
        <rFont val="Arial MT"/>
        <family val="2"/>
      </rPr>
      <t>Party Name</t>
    </r>
  </si>
  <si>
    <r>
      <rPr>
        <sz val="9.5"/>
        <rFont val="Arial MT"/>
        <family val="2"/>
      </rPr>
      <t>870029785624 Owais HT</t>
    </r>
  </si>
  <si>
    <r>
      <rPr>
        <sz val="9.5"/>
        <rFont val="Microsoft Sans Serif"/>
        <family val="2"/>
      </rPr>
      <t>SLCYH34KH90</t>
    </r>
  </si>
  <si>
    <r>
      <rPr>
        <sz val="9.5"/>
        <rFont val="Microsoft Sans Serif"/>
        <family val="2"/>
      </rPr>
      <t>Ps5 Pro</t>
    </r>
  </si>
  <si>
    <r>
      <rPr>
        <sz val="9.5"/>
        <rFont val="Microsoft Sans Serif"/>
        <family val="2"/>
      </rPr>
      <t>S01F14A01GH910814953</t>
    </r>
  </si>
  <si>
    <r>
      <rPr>
        <sz val="9.5"/>
        <rFont val="Microsoft Sans Serif"/>
        <family val="2"/>
      </rPr>
      <t>S01K25701VJ910344064</t>
    </r>
  </si>
  <si>
    <r>
      <rPr>
        <sz val="9.5"/>
        <rFont val="Microsoft Sans Serif"/>
        <family val="2"/>
      </rPr>
      <t>S01K25701VJ910362006</t>
    </r>
  </si>
  <si>
    <r>
      <rPr>
        <sz val="9.5"/>
        <rFont val="Microsoft Sans Serif"/>
        <family val="2"/>
      </rPr>
      <t>S01K25901VJ910463962</t>
    </r>
  </si>
  <si>
    <r>
      <rPr>
        <sz val="9.5"/>
        <rFont val="Microsoft Sans Serif"/>
        <family val="2"/>
      </rPr>
      <t>S01K25801VJ910374308</t>
    </r>
  </si>
  <si>
    <r>
      <rPr>
        <sz val="9.5"/>
        <rFont val="Microsoft Sans Serif"/>
        <family val="2"/>
      </rPr>
      <t>S01F14C01GH910960732</t>
    </r>
  </si>
  <si>
    <r>
      <rPr>
        <sz val="9.5"/>
        <rFont val="Microsoft Sans Serif"/>
        <family val="2"/>
      </rPr>
      <t>Ps5 Slim Disc</t>
    </r>
  </si>
  <si>
    <r>
      <rPr>
        <sz val="9.5"/>
        <rFont val="Microsoft Sans Serif"/>
        <family val="2"/>
      </rPr>
      <t>S01V55601Z1L10439954</t>
    </r>
  </si>
  <si>
    <r>
      <rPr>
        <sz val="9.5"/>
        <rFont val="Microsoft Sans Serif"/>
        <family val="2"/>
      </rPr>
      <t>S01V55901Z1L11498027</t>
    </r>
  </si>
  <si>
    <r>
      <rPr>
        <sz val="9.5"/>
        <rFont val="Microsoft Sans Serif"/>
        <family val="2"/>
      </rPr>
      <t>S01V55901Z1L11488224</t>
    </r>
  </si>
  <si>
    <r>
      <rPr>
        <sz val="9.5"/>
        <rFont val="Microsoft Sans Serif"/>
        <family val="2"/>
      </rPr>
      <t>S01V55601Z1L10510866</t>
    </r>
  </si>
  <si>
    <r>
      <rPr>
        <sz val="9.5"/>
        <rFont val="Microsoft Sans Serif"/>
        <family val="2"/>
      </rPr>
      <t>S01M55901VAR10392743</t>
    </r>
  </si>
  <si>
    <r>
      <rPr>
        <sz val="9.5"/>
        <rFont val="Microsoft Sans Serif"/>
        <family val="2"/>
      </rPr>
      <t>S01V55901Z1L11292410</t>
    </r>
  </si>
  <si>
    <r>
      <rPr>
        <sz val="9.5"/>
        <rFont val="Microsoft Sans Serif"/>
        <family val="2"/>
      </rPr>
      <t>S01M55901VAR10393069</t>
    </r>
  </si>
  <si>
    <r>
      <rPr>
        <sz val="9.5"/>
        <rFont val="Microsoft Sans Serif"/>
        <family val="2"/>
      </rPr>
      <t>S01V55901Z1L11498026</t>
    </r>
  </si>
  <si>
    <r>
      <rPr>
        <sz val="9.5"/>
        <rFont val="Microsoft Sans Serif"/>
        <family val="2"/>
      </rPr>
      <t>S01V55901Z1L11490425</t>
    </r>
  </si>
  <si>
    <r>
      <rPr>
        <sz val="9.5"/>
        <rFont val="Microsoft Sans Serif"/>
        <family val="2"/>
      </rPr>
      <t>S01M55801VAR10361184</t>
    </r>
  </si>
  <si>
    <r>
      <rPr>
        <sz val="9.5"/>
        <rFont val="Microsoft Sans Serif"/>
        <family val="2"/>
      </rPr>
      <t>S01V55901Z1L11240133</t>
    </r>
  </si>
  <si>
    <r>
      <rPr>
        <sz val="9.5"/>
        <rFont val="Microsoft Sans Serif"/>
        <family val="2"/>
      </rPr>
      <t>S01V55901Z1L11491610</t>
    </r>
  </si>
  <si>
    <r>
      <rPr>
        <sz val="9.5"/>
        <rFont val="Microsoft Sans Serif"/>
        <family val="2"/>
      </rPr>
      <t>S01V55901Z1L11240144</t>
    </r>
  </si>
  <si>
    <r>
      <rPr>
        <sz val="9.5"/>
        <rFont val="Microsoft Sans Serif"/>
        <family val="2"/>
      </rPr>
      <t>Ps Portal</t>
    </r>
  </si>
  <si>
    <r>
      <rPr>
        <sz val="9.5"/>
        <rFont val="Microsoft Sans Serif"/>
        <family val="2"/>
      </rPr>
      <t>S017712124A</t>
    </r>
  </si>
  <si>
    <r>
      <rPr>
        <sz val="9.5"/>
        <rFont val="Microsoft Sans Serif"/>
        <family val="2"/>
      </rPr>
      <t>Meta Ǫuest 3S Batman 128 GB</t>
    </r>
  </si>
  <si>
    <r>
      <rPr>
        <sz val="9.5"/>
        <rFont val="Microsoft Sans Serif"/>
        <family val="2"/>
      </rPr>
      <t>3497BM1HC104YB</t>
    </r>
  </si>
  <si>
    <r>
      <rPr>
        <sz val="9.5"/>
        <rFont val="Microsoft Sans Serif"/>
        <family val="2"/>
      </rPr>
      <t>3497BM1HC104Z4</t>
    </r>
  </si>
  <si>
    <r>
      <rPr>
        <sz val="9.5"/>
        <rFont val="Microsoft Sans Serif"/>
        <family val="2"/>
      </rPr>
      <t>3497BM1HC104Z6</t>
    </r>
  </si>
  <si>
    <r>
      <rPr>
        <sz val="9.5"/>
        <rFont val="Microsoft Sans Serif"/>
        <family val="2"/>
      </rPr>
      <t>3497BM1HC104YJ</t>
    </r>
  </si>
  <si>
    <r>
      <rPr>
        <sz val="9.5"/>
        <rFont val="Microsoft Sans Serif"/>
        <family val="2"/>
      </rPr>
      <t>3497BM1HC104YY</t>
    </r>
  </si>
  <si>
    <r>
      <rPr>
        <sz val="9.5"/>
        <rFont val="Microsoft Sans Serif"/>
        <family val="2"/>
      </rPr>
      <t>3497BM1HC104YR</t>
    </r>
  </si>
  <si>
    <r>
      <rPr>
        <sz val="9.5"/>
        <rFont val="Microsoft Sans Serif"/>
        <family val="2"/>
      </rPr>
      <t>3497BM1HC104SH</t>
    </r>
  </si>
  <si>
    <r>
      <rPr>
        <sz val="9.5"/>
        <rFont val="Microsoft Sans Serif"/>
        <family val="2"/>
      </rPr>
      <t>3497BM1HC104LC</t>
    </r>
  </si>
  <si>
    <r>
      <rPr>
        <sz val="9.5"/>
        <rFont val="Microsoft Sans Serif"/>
        <family val="2"/>
      </rPr>
      <t>3497BM1HC104Y9</t>
    </r>
  </si>
  <si>
    <r>
      <rPr>
        <sz val="9.5"/>
        <rFont val="Microsoft Sans Serif"/>
        <family val="2"/>
      </rPr>
      <t>3497BM1HC104X8</t>
    </r>
  </si>
  <si>
    <r>
      <rPr>
        <sz val="9.5"/>
        <rFont val="Microsoft Sans Serif"/>
        <family val="2"/>
      </rPr>
      <t>3497BM1HC104XC</t>
    </r>
  </si>
  <si>
    <r>
      <rPr>
        <sz val="9.5"/>
        <rFont val="Microsoft Sans Serif"/>
        <family val="2"/>
      </rPr>
      <t>3497BM1HC104T3</t>
    </r>
  </si>
  <si>
    <r>
      <rPr>
        <sz val="9.5"/>
        <rFont val="Microsoft Sans Serif"/>
        <family val="2"/>
      </rPr>
      <t>3497BM1HC104YH</t>
    </r>
  </si>
  <si>
    <r>
      <rPr>
        <sz val="9.5"/>
        <rFont val="Microsoft Sans Serif"/>
        <family val="2"/>
      </rPr>
      <t>3497BM1HC104Y4</t>
    </r>
  </si>
  <si>
    <r>
      <rPr>
        <sz val="9.5"/>
        <rFont val="Microsoft Sans Serif"/>
        <family val="2"/>
      </rPr>
      <t>3497BM1HC104LY</t>
    </r>
  </si>
  <si>
    <r>
      <rPr>
        <sz val="9.5"/>
        <rFont val="Microsoft Sans Serif"/>
        <family val="2"/>
      </rPr>
      <t>3497BM1HC104XT</t>
    </r>
  </si>
  <si>
    <r>
      <rPr>
        <sz val="9.5"/>
        <rFont val="Microsoft Sans Serif"/>
        <family val="2"/>
      </rPr>
      <t>3497BM1HC104WN</t>
    </r>
  </si>
  <si>
    <r>
      <rPr>
        <sz val="9.5"/>
        <rFont val="Microsoft Sans Serif"/>
        <family val="2"/>
      </rPr>
      <t>3497BM1HC104P4</t>
    </r>
  </si>
  <si>
    <r>
      <rPr>
        <sz val="9.5"/>
        <rFont val="Microsoft Sans Serif"/>
        <family val="2"/>
      </rPr>
      <t>3497BM1HC104YS</t>
    </r>
  </si>
  <si>
    <r>
      <rPr>
        <sz val="9.5"/>
        <rFont val="Microsoft Sans Serif"/>
        <family val="2"/>
      </rPr>
      <t>3497BM1HC104X5</t>
    </r>
  </si>
  <si>
    <r>
      <rPr>
        <sz val="9.5"/>
        <rFont val="Microsoft Sans Serif"/>
        <family val="2"/>
      </rPr>
      <t>3497BM1HC104W8</t>
    </r>
  </si>
  <si>
    <r>
      <rPr>
        <sz val="9.5"/>
        <rFont val="Microsoft Sans Serif"/>
        <family val="2"/>
      </rPr>
      <t>3497BM1HC104N9</t>
    </r>
  </si>
  <si>
    <r>
      <rPr>
        <sz val="9.5"/>
        <rFont val="Microsoft Sans Serif"/>
        <family val="2"/>
      </rPr>
      <t>3497BM1HC104DW</t>
    </r>
  </si>
  <si>
    <r>
      <rPr>
        <sz val="9.5"/>
        <rFont val="Microsoft Sans Serif"/>
        <family val="2"/>
      </rPr>
      <t>3497BM1HC104WF</t>
    </r>
  </si>
  <si>
    <r>
      <rPr>
        <sz val="9.5"/>
        <rFont val="Microsoft Sans Serif"/>
        <family val="2"/>
      </rPr>
      <t>3497BM1HC104YD</t>
    </r>
  </si>
  <si>
    <r>
      <rPr>
        <sz val="9.5"/>
        <rFont val="Microsoft Sans Serif"/>
        <family val="2"/>
      </rPr>
      <t>3497BM1HC104L2</t>
    </r>
  </si>
  <si>
    <r>
      <rPr>
        <sz val="9.5"/>
        <rFont val="Microsoft Sans Serif"/>
        <family val="2"/>
      </rPr>
      <t>3497BM1HC104RW</t>
    </r>
  </si>
  <si>
    <r>
      <rPr>
        <sz val="9.5"/>
        <rFont val="Microsoft Sans Serif"/>
        <family val="2"/>
      </rPr>
      <t>3497BM1HC104FC</t>
    </r>
  </si>
  <si>
    <r>
      <rPr>
        <sz val="9.5"/>
        <rFont val="Microsoft Sans Serif"/>
        <family val="2"/>
      </rPr>
      <t>3497BM1HC104XP</t>
    </r>
  </si>
  <si>
    <r>
      <rPr>
        <sz val="9.5"/>
        <rFont val="Microsoft Sans Serif"/>
        <family val="2"/>
      </rPr>
      <t>3497BM1HC104NX</t>
    </r>
  </si>
  <si>
    <r>
      <rPr>
        <sz val="9.5"/>
        <rFont val="Microsoft Sans Serif"/>
        <family val="2"/>
      </rPr>
      <t>3497BM1HC104P1</t>
    </r>
  </si>
  <si>
    <r>
      <rPr>
        <sz val="9.5"/>
        <rFont val="Microsoft Sans Serif"/>
        <family val="2"/>
      </rPr>
      <t>3497BM1HC104X9</t>
    </r>
  </si>
  <si>
    <r>
      <rPr>
        <sz val="9.5"/>
        <rFont val="Microsoft Sans Serif"/>
        <family val="2"/>
      </rPr>
      <t>3497BM1HC104YK</t>
    </r>
  </si>
  <si>
    <r>
      <rPr>
        <sz val="9.5"/>
        <rFont val="Microsoft Sans Serif"/>
        <family val="2"/>
      </rPr>
      <t>3497BM1HC104KK</t>
    </r>
  </si>
  <si>
    <r>
      <rPr>
        <sz val="9.5"/>
        <rFont val="Microsoft Sans Serif"/>
        <family val="2"/>
      </rPr>
      <t>3497BM1HC104XW</t>
    </r>
  </si>
  <si>
    <r>
      <rPr>
        <sz val="9.5"/>
        <rFont val="Microsoft Sans Serif"/>
        <family val="2"/>
      </rPr>
      <t>4V0ZW04HC30BNG</t>
    </r>
  </si>
  <si>
    <r>
      <rPr>
        <sz val="9.5"/>
        <rFont val="Microsoft Sans Serif"/>
        <family val="2"/>
      </rPr>
      <t>Dell 16 Plus Ice Blue 16 GB, 1 TB</t>
    </r>
  </si>
  <si>
    <r>
      <rPr>
        <sz val="9.5"/>
        <rFont val="Microsoft Sans Serif"/>
        <family val="2"/>
      </rPr>
      <t>VN0GTRY5WSV005BB2051</t>
    </r>
  </si>
  <si>
    <r>
      <rPr>
        <sz val="9.5"/>
        <rFont val="Microsoft Sans Serif"/>
        <family val="2"/>
      </rPr>
      <t>E10G1US1BLK</t>
    </r>
  </si>
  <si>
    <r>
      <rPr>
        <sz val="9.5"/>
        <rFont val="Microsoft Sans Serif"/>
        <family val="2"/>
      </rPr>
      <t>NoteBook with Wireless Mouse</t>
    </r>
  </si>
  <si>
    <r>
      <rPr>
        <sz val="9.5"/>
        <rFont val="Microsoft Sans Serif"/>
        <family val="2"/>
      </rPr>
      <t>NTB001</t>
    </r>
  </si>
  <si>
    <r>
      <rPr>
        <sz val="9.5"/>
        <rFont val="Microsoft Sans Serif"/>
        <family val="2"/>
      </rPr>
      <t>NTB002</t>
    </r>
  </si>
  <si>
    <r>
      <rPr>
        <sz val="9.5"/>
        <rFont val="Microsoft Sans Serif"/>
        <family val="2"/>
      </rPr>
      <t>NTB003</t>
    </r>
  </si>
  <si>
    <t>Starlink V4</t>
  </si>
  <si>
    <t>PS5 DUAL SENSE CONTROLLER</t>
  </si>
  <si>
    <t>playstationportal00003</t>
  </si>
  <si>
    <t>playstationportal00004</t>
  </si>
  <si>
    <t>3497BM1HC104QR</t>
  </si>
  <si>
    <t>3497BM1HC104QP</t>
  </si>
  <si>
    <t>strlinkv41637</t>
  </si>
  <si>
    <t>strlinkv41638</t>
  </si>
  <si>
    <t>strlinkv41639</t>
  </si>
  <si>
    <t>USD Prices</t>
  </si>
  <si>
    <t>AED Prices</t>
  </si>
  <si>
    <t>Sony Noise Cancelling Wireless Headphone</t>
  </si>
  <si>
    <t>Sonos Era 100 Speaker Black</t>
  </si>
  <si>
    <t>Meta Wayfarer Gen 2 Matte Black, Clear</t>
  </si>
  <si>
    <t>AirPods Max Starlight</t>
  </si>
  <si>
    <t>Meta Ǫuest 3S Batman 128 GB</t>
  </si>
  <si>
    <t>dualsensewirelesscontroller00061</t>
  </si>
  <si>
    <t>dualsensewirelesscontroller00062</t>
  </si>
  <si>
    <t>dualsensewirelesscontroller00063</t>
  </si>
  <si>
    <t>dualsensewirelesscontroller00064</t>
  </si>
  <si>
    <t>dualsensewirelesscontroller00065</t>
  </si>
  <si>
    <t>dualsensewirelesscontroller00066</t>
  </si>
  <si>
    <t>Discount</t>
  </si>
  <si>
    <t>Total Amount</t>
  </si>
  <si>
    <t>Ps5 Slim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</si>
</sst>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\-d\-yyyy;@"/>
    <numFmt numFmtId="165" formatCode="\$0.00"/>
    <numFmt numFmtId="166" formatCode="_-[$AED]\ * #,##0.00_-;\-[$AED]\ * #,##0.00_-;_-[$AED]\ * &quot;-&quot;??_-;_-@_-"/>
    <numFmt numFmtId="167" formatCode="_-[$USD]\ * #,##0.00_-;\-[$USD]\ * #,##0.00_-;_-[$USD]\ * &quot;-&quot;??_-;_-@_-"/>
  </numFmts>
  <fonts count="11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  <font>
      <sz val="9.5"/>
      <color rgb="FF000000"/>
      <name val="Microsoft Sans Serif"/>
      <family val="2"/>
    </font>
    <font>
      <sz val="9.5"/>
      <name val="Microsoft Sans Serif"/>
      <family val="2"/>
    </font>
    <font>
      <sz val="9.5"/>
      <name val="Arial MT"/>
      <family val="2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0"/>
      <color rgb="FF000000"/>
      <name val="Verdana"/>
      <family val="2"/>
    </font>
    <font>
      <sz val="10"/>
      <name val="Verdana"/>
      <family val="2"/>
    </font>
    <font>
      <b/>
      <sz val="16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155CC"/>
      </patternFill>
    </fill>
    <fill>
      <patternFill patternType="solid">
        <fgColor rgb="FF6C9EEB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164" fontId="2" fillId="3" borderId="1" xfId="0" applyNumberFormat="1" applyFont="1" applyFill="1" applyBorder="1" applyAlignment="1">
      <alignment horizontal="center" vertical="top" shrinkToFit="1"/>
    </xf>
    <xf numFmtId="0" fontId="1" fillId="3" borderId="2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/>
    </xf>
    <xf numFmtId="1" fontId="3" fillId="4" borderId="1" xfId="0" applyNumberFormat="1" applyFont="1" applyFill="1" applyBorder="1" applyAlignment="1">
      <alignment horizontal="right" vertical="top" indent="1" shrinkToFit="1"/>
    </xf>
    <xf numFmtId="0" fontId="4" fillId="4" borderId="1" xfId="0" applyFont="1" applyFill="1" applyBorder="1" applyAlignment="1">
      <alignment horizontal="center" vertical="top" wrapText="1"/>
    </xf>
    <xf numFmtId="1" fontId="3" fillId="4" borderId="2" xfId="0" applyNumberFormat="1" applyFont="1" applyFill="1" applyBorder="1" applyAlignment="1">
      <alignment horizontal="center" vertical="top" shrinkToFit="1"/>
    </xf>
    <xf numFmtId="165" fontId="8" fillId="4" borderId="4" xfId="0" applyNumberFormat="1" applyFont="1" applyFill="1" applyBorder="1" applyAlignment="1">
      <alignment horizontal="left" vertical="top" indent="1" shrinkToFit="1"/>
    </xf>
    <xf numFmtId="0" fontId="0" fillId="4" borderId="4" xfId="0" applyFill="1" applyBorder="1" applyAlignment="1">
      <alignment horizontal="left" vertical="top"/>
    </xf>
    <xf numFmtId="0" fontId="4" fillId="4" borderId="2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center" vertical="top" wrapText="1"/>
    </xf>
    <xf numFmtId="1" fontId="3" fillId="5" borderId="1" xfId="0" applyNumberFormat="1" applyFont="1" applyFill="1" applyBorder="1" applyAlignment="1">
      <alignment horizontal="right" vertical="top" indent="1" shrinkToFit="1"/>
    </xf>
    <xf numFmtId="0" fontId="4" fillId="5" borderId="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0" fillId="5" borderId="4" xfId="0" applyFill="1" applyBorder="1" applyAlignment="1">
      <alignment horizontal="left" vertical="top"/>
    </xf>
    <xf numFmtId="167" fontId="10" fillId="6" borderId="4" xfId="0" applyNumberFormat="1" applyFont="1" applyFill="1" applyBorder="1" applyAlignment="1">
      <alignment horizontal="left" vertical="top"/>
    </xf>
    <xf numFmtId="166" fontId="10" fillId="6" borderId="4" xfId="0" applyNumberFormat="1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B10" sqref="B10"/>
    </sheetView>
  </sheetViews>
  <sheetFormatPr defaultRowHeight="12.75"/>
  <cols>
    <col min="1" max="1" width="5.83203125" customWidth="1"/>
    <col min="2" max="2" width="70" customWidth="1"/>
    <col min="3" max="3" width="34.83203125" customWidth="1"/>
    <col min="4" max="4" width="26.83203125" bestFit="1" customWidth="1"/>
    <col min="5" max="5" width="27.1640625" customWidth="1"/>
    <col min="6" max="6" width="25" bestFit="1" customWidth="1"/>
  </cols>
  <sheetData>
    <row r="1" spans="1:5" ht="15" customHeight="1">
      <c r="A1" s="17" t="s">
        <v>0</v>
      </c>
      <c r="B1" s="18"/>
      <c r="C1" s="1">
        <v>46116</v>
      </c>
    </row>
    <row r="2" spans="1:5" ht="15.95" customHeight="1">
      <c r="A2" s="17" t="s">
        <v>1</v>
      </c>
      <c r="B2" s="18"/>
      <c r="C2" s="2" t="s">
        <v>2</v>
      </c>
      <c r="D2" s="3" t="s">
        <v>80</v>
      </c>
      <c r="E2" s="3" t="s">
        <v>81</v>
      </c>
    </row>
    <row r="3" spans="1:5" ht="17.100000000000001" customHeight="1">
      <c r="A3" s="4">
        <v>1</v>
      </c>
      <c r="B3" s="5" t="s">
        <v>85</v>
      </c>
      <c r="C3" s="9" t="s">
        <v>3</v>
      </c>
      <c r="D3" s="7">
        <v>425</v>
      </c>
      <c r="E3" s="8">
        <f>D3*3.58</f>
        <v>1521.5</v>
      </c>
    </row>
    <row r="4" spans="1:5" ht="18" customHeight="1">
      <c r="A4" s="4">
        <v>2</v>
      </c>
      <c r="B4" s="5" t="s">
        <v>4</v>
      </c>
      <c r="C4" s="9" t="s">
        <v>5</v>
      </c>
      <c r="D4" s="7">
        <v>590</v>
      </c>
      <c r="E4" s="8">
        <f t="shared" ref="E4:E67" si="0">D4*3.58</f>
        <v>2112.1999999999998</v>
      </c>
    </row>
    <row r="5" spans="1:5" ht="17.100000000000001" customHeight="1">
      <c r="A5" s="4">
        <v>3</v>
      </c>
      <c r="B5" s="5" t="s">
        <v>4</v>
      </c>
      <c r="C5" s="9" t="s">
        <v>6</v>
      </c>
      <c r="D5" s="7">
        <v>590</v>
      </c>
      <c r="E5" s="8">
        <f t="shared" si="0"/>
        <v>2112.1999999999998</v>
      </c>
    </row>
    <row r="6" spans="1:5" ht="17.100000000000001" customHeight="1">
      <c r="A6" s="4">
        <v>4</v>
      </c>
      <c r="B6" s="5" t="s">
        <v>4</v>
      </c>
      <c r="C6" s="9" t="s">
        <v>7</v>
      </c>
      <c r="D6" s="7">
        <v>590</v>
      </c>
      <c r="E6" s="8">
        <f t="shared" si="0"/>
        <v>2112.1999999999998</v>
      </c>
    </row>
    <row r="7" spans="1:5" ht="17.100000000000001" customHeight="1">
      <c r="A7" s="4">
        <v>5</v>
      </c>
      <c r="B7" s="5" t="s">
        <v>4</v>
      </c>
      <c r="C7" s="9" t="s">
        <v>8</v>
      </c>
      <c r="D7" s="7">
        <v>590</v>
      </c>
      <c r="E7" s="8">
        <f t="shared" si="0"/>
        <v>2112.1999999999998</v>
      </c>
    </row>
    <row r="8" spans="1:5" ht="18" customHeight="1">
      <c r="A8" s="4">
        <v>6</v>
      </c>
      <c r="B8" s="5" t="s">
        <v>4</v>
      </c>
      <c r="C8" s="9" t="s">
        <v>9</v>
      </c>
      <c r="D8" s="7">
        <v>590</v>
      </c>
      <c r="E8" s="8">
        <f t="shared" si="0"/>
        <v>2112.1999999999998</v>
      </c>
    </row>
    <row r="9" spans="1:5" ht="17.100000000000001" customHeight="1">
      <c r="A9" s="4">
        <v>7</v>
      </c>
      <c r="B9" s="5" t="s">
        <v>4</v>
      </c>
      <c r="C9" s="9" t="s">
        <v>10</v>
      </c>
      <c r="D9" s="7">
        <v>590</v>
      </c>
      <c r="E9" s="8">
        <f t="shared" si="0"/>
        <v>2112.1999999999998</v>
      </c>
    </row>
    <row r="10" spans="1:5" ht="17.100000000000001" customHeight="1">
      <c r="A10" s="4">
        <v>8</v>
      </c>
      <c r="B10" s="5" t="s">
        <v>95</v>
      </c>
      <c r="C10" s="9" t="s">
        <v>12</v>
      </c>
      <c r="D10" s="7">
        <v>420</v>
      </c>
      <c r="E10" s="8">
        <f t="shared" si="0"/>
        <v>1503.6000000000001</v>
      </c>
    </row>
    <row r="11" spans="1:5" ht="17.100000000000001" customHeight="1">
      <c r="A11" s="4">
        <v>9</v>
      </c>
      <c r="B11" s="5" t="s">
        <v>11</v>
      </c>
      <c r="C11" s="9" t="s">
        <v>13</v>
      </c>
      <c r="D11" s="7">
        <v>420</v>
      </c>
      <c r="E11" s="8">
        <f t="shared" si="0"/>
        <v>1503.6000000000001</v>
      </c>
    </row>
    <row r="12" spans="1:5" ht="18" customHeight="1">
      <c r="A12" s="4">
        <v>10</v>
      </c>
      <c r="B12" s="5" t="s">
        <v>11</v>
      </c>
      <c r="C12" s="9" t="s">
        <v>14</v>
      </c>
      <c r="D12" s="7">
        <v>420</v>
      </c>
      <c r="E12" s="8">
        <f t="shared" si="0"/>
        <v>1503.6000000000001</v>
      </c>
    </row>
    <row r="13" spans="1:5" ht="17.100000000000001" customHeight="1">
      <c r="A13" s="4">
        <v>11</v>
      </c>
      <c r="B13" s="5" t="s">
        <v>11</v>
      </c>
      <c r="C13" s="9" t="s">
        <v>15</v>
      </c>
      <c r="D13" s="7">
        <v>420</v>
      </c>
      <c r="E13" s="8">
        <f t="shared" si="0"/>
        <v>1503.6000000000001</v>
      </c>
    </row>
    <row r="14" spans="1:5" ht="17.100000000000001" customHeight="1">
      <c r="A14" s="4">
        <v>12</v>
      </c>
      <c r="B14" s="5" t="s">
        <v>11</v>
      </c>
      <c r="C14" s="9" t="s">
        <v>16</v>
      </c>
      <c r="D14" s="7">
        <v>420</v>
      </c>
      <c r="E14" s="8">
        <f t="shared" si="0"/>
        <v>1503.6000000000001</v>
      </c>
    </row>
    <row r="15" spans="1:5" ht="17.100000000000001" customHeight="1">
      <c r="A15" s="4">
        <v>13</v>
      </c>
      <c r="B15" s="5" t="s">
        <v>11</v>
      </c>
      <c r="C15" s="9" t="s">
        <v>17</v>
      </c>
      <c r="D15" s="7">
        <v>420</v>
      </c>
      <c r="E15" s="8">
        <f t="shared" si="0"/>
        <v>1503.6000000000001</v>
      </c>
    </row>
    <row r="16" spans="1:5" ht="18" customHeight="1">
      <c r="A16" s="4">
        <v>14</v>
      </c>
      <c r="B16" s="5" t="s">
        <v>11</v>
      </c>
      <c r="C16" s="9" t="s">
        <v>18</v>
      </c>
      <c r="D16" s="7">
        <v>420</v>
      </c>
      <c r="E16" s="8">
        <f t="shared" si="0"/>
        <v>1503.6000000000001</v>
      </c>
    </row>
    <row r="17" spans="1:5" ht="17.100000000000001" customHeight="1">
      <c r="A17" s="4">
        <v>15</v>
      </c>
      <c r="B17" s="5" t="s">
        <v>11</v>
      </c>
      <c r="C17" s="9" t="s">
        <v>19</v>
      </c>
      <c r="D17" s="7">
        <v>420</v>
      </c>
      <c r="E17" s="8">
        <f t="shared" si="0"/>
        <v>1503.6000000000001</v>
      </c>
    </row>
    <row r="18" spans="1:5" ht="17.100000000000001" customHeight="1">
      <c r="A18" s="4">
        <v>16</v>
      </c>
      <c r="B18" s="5" t="s">
        <v>11</v>
      </c>
      <c r="C18" s="9" t="s">
        <v>20</v>
      </c>
      <c r="D18" s="7">
        <v>420</v>
      </c>
      <c r="E18" s="8">
        <f t="shared" si="0"/>
        <v>1503.6000000000001</v>
      </c>
    </row>
    <row r="19" spans="1:5" ht="17.100000000000001" customHeight="1">
      <c r="A19" s="4">
        <v>17</v>
      </c>
      <c r="B19" s="5" t="s">
        <v>11</v>
      </c>
      <c r="C19" s="9" t="s">
        <v>21</v>
      </c>
      <c r="D19" s="7">
        <v>420</v>
      </c>
      <c r="E19" s="8">
        <f t="shared" si="0"/>
        <v>1503.6000000000001</v>
      </c>
    </row>
    <row r="20" spans="1:5" ht="18" customHeight="1">
      <c r="A20" s="4">
        <v>18</v>
      </c>
      <c r="B20" s="5" t="s">
        <v>11</v>
      </c>
      <c r="C20" s="9" t="s">
        <v>22</v>
      </c>
      <c r="D20" s="7">
        <v>420</v>
      </c>
      <c r="E20" s="8">
        <f t="shared" si="0"/>
        <v>1503.6000000000001</v>
      </c>
    </row>
    <row r="21" spans="1:5" ht="17.100000000000001" customHeight="1">
      <c r="A21" s="4">
        <v>19</v>
      </c>
      <c r="B21" s="5" t="s">
        <v>11</v>
      </c>
      <c r="C21" s="9" t="s">
        <v>23</v>
      </c>
      <c r="D21" s="7">
        <v>420</v>
      </c>
      <c r="E21" s="8">
        <f t="shared" si="0"/>
        <v>1503.6000000000001</v>
      </c>
    </row>
    <row r="22" spans="1:5" ht="17.100000000000001" customHeight="1">
      <c r="A22" s="4">
        <v>20</v>
      </c>
      <c r="B22" s="5" t="s">
        <v>11</v>
      </c>
      <c r="C22" s="9" t="s">
        <v>24</v>
      </c>
      <c r="D22" s="7">
        <v>420</v>
      </c>
      <c r="E22" s="8">
        <f t="shared" si="0"/>
        <v>1503.6000000000001</v>
      </c>
    </row>
    <row r="23" spans="1:5" ht="17.100000000000001" customHeight="1">
      <c r="A23" s="4">
        <v>21</v>
      </c>
      <c r="B23" s="5" t="s">
        <v>25</v>
      </c>
      <c r="C23" s="9" t="s">
        <v>73</v>
      </c>
      <c r="D23" s="7">
        <v>140</v>
      </c>
      <c r="E23" s="8">
        <f t="shared" si="0"/>
        <v>501.2</v>
      </c>
    </row>
    <row r="24" spans="1:5" ht="17.100000000000001" customHeight="1">
      <c r="A24" s="4">
        <v>22</v>
      </c>
      <c r="B24" s="5" t="s">
        <v>25</v>
      </c>
      <c r="C24" s="9" t="s">
        <v>74</v>
      </c>
      <c r="D24" s="7">
        <v>140</v>
      </c>
      <c r="E24" s="8">
        <f t="shared" si="0"/>
        <v>501.2</v>
      </c>
    </row>
    <row r="25" spans="1:5" ht="18" customHeight="1">
      <c r="A25" s="4">
        <v>23</v>
      </c>
      <c r="B25" s="5" t="s">
        <v>72</v>
      </c>
      <c r="C25" s="6" t="s">
        <v>87</v>
      </c>
      <c r="D25" s="7">
        <v>40</v>
      </c>
      <c r="E25" s="8">
        <f t="shared" si="0"/>
        <v>143.19999999999999</v>
      </c>
    </row>
    <row r="26" spans="1:5" ht="18" customHeight="1">
      <c r="A26" s="4">
        <v>24</v>
      </c>
      <c r="B26" s="5" t="s">
        <v>72</v>
      </c>
      <c r="C26" s="6" t="s">
        <v>88</v>
      </c>
      <c r="D26" s="7">
        <v>40</v>
      </c>
      <c r="E26" s="8">
        <f t="shared" si="0"/>
        <v>143.19999999999999</v>
      </c>
    </row>
    <row r="27" spans="1:5" ht="17.100000000000001" customHeight="1">
      <c r="A27" s="4">
        <v>25</v>
      </c>
      <c r="B27" s="5" t="s">
        <v>72</v>
      </c>
      <c r="C27" s="6" t="s">
        <v>89</v>
      </c>
      <c r="D27" s="7">
        <v>40</v>
      </c>
      <c r="E27" s="8">
        <f t="shared" si="0"/>
        <v>143.19999999999999</v>
      </c>
    </row>
    <row r="28" spans="1:5" ht="17.100000000000001" customHeight="1">
      <c r="A28" s="4">
        <v>26</v>
      </c>
      <c r="B28" s="5" t="s">
        <v>72</v>
      </c>
      <c r="C28" s="6" t="s">
        <v>90</v>
      </c>
      <c r="D28" s="7">
        <v>40</v>
      </c>
      <c r="E28" s="8">
        <f t="shared" si="0"/>
        <v>143.19999999999999</v>
      </c>
    </row>
    <row r="29" spans="1:5" ht="17.100000000000001" customHeight="1">
      <c r="A29" s="4">
        <v>27</v>
      </c>
      <c r="B29" s="5" t="s">
        <v>72</v>
      </c>
      <c r="C29" s="6" t="s">
        <v>91</v>
      </c>
      <c r="D29" s="7">
        <v>40</v>
      </c>
      <c r="E29" s="8">
        <f t="shared" si="0"/>
        <v>143.19999999999999</v>
      </c>
    </row>
    <row r="30" spans="1:5" ht="17.100000000000001" customHeight="1">
      <c r="A30" s="4">
        <v>28</v>
      </c>
      <c r="B30" s="5" t="s">
        <v>72</v>
      </c>
      <c r="C30" s="6" t="s">
        <v>92</v>
      </c>
      <c r="D30" s="7">
        <v>40</v>
      </c>
      <c r="E30" s="8">
        <f t="shared" si="0"/>
        <v>143.19999999999999</v>
      </c>
    </row>
    <row r="31" spans="1:5" ht="18" customHeight="1">
      <c r="A31" s="4">
        <v>29</v>
      </c>
      <c r="B31" s="5" t="s">
        <v>82</v>
      </c>
      <c r="C31" s="9" t="s">
        <v>26</v>
      </c>
      <c r="D31" s="7">
        <v>75</v>
      </c>
      <c r="E31" s="8">
        <f t="shared" si="0"/>
        <v>268.5</v>
      </c>
    </row>
    <row r="32" spans="1:5" ht="16.7" customHeight="1">
      <c r="A32" s="4">
        <v>30</v>
      </c>
      <c r="B32" s="5" t="s">
        <v>27</v>
      </c>
      <c r="C32" s="9" t="s">
        <v>28</v>
      </c>
      <c r="D32" s="7">
        <v>225</v>
      </c>
      <c r="E32" s="8">
        <f t="shared" si="0"/>
        <v>805.5</v>
      </c>
    </row>
    <row r="33" spans="1:5" ht="17.100000000000001" customHeight="1">
      <c r="A33" s="4">
        <v>31</v>
      </c>
      <c r="B33" s="5" t="s">
        <v>27</v>
      </c>
      <c r="C33" s="9" t="s">
        <v>29</v>
      </c>
      <c r="D33" s="7">
        <v>225</v>
      </c>
      <c r="E33" s="8">
        <f t="shared" si="0"/>
        <v>805.5</v>
      </c>
    </row>
    <row r="34" spans="1:5" ht="17.100000000000001" customHeight="1">
      <c r="A34" s="4">
        <v>32</v>
      </c>
      <c r="B34" s="5" t="s">
        <v>27</v>
      </c>
      <c r="C34" s="9" t="s">
        <v>30</v>
      </c>
      <c r="D34" s="7">
        <v>225</v>
      </c>
      <c r="E34" s="8">
        <f t="shared" si="0"/>
        <v>805.5</v>
      </c>
    </row>
    <row r="35" spans="1:5" ht="17.100000000000001" customHeight="1">
      <c r="A35" s="4">
        <v>33</v>
      </c>
      <c r="B35" s="5" t="s">
        <v>27</v>
      </c>
      <c r="C35" s="9" t="s">
        <v>31</v>
      </c>
      <c r="D35" s="7">
        <v>225</v>
      </c>
      <c r="E35" s="8">
        <f t="shared" si="0"/>
        <v>805.5</v>
      </c>
    </row>
    <row r="36" spans="1:5" ht="18" customHeight="1">
      <c r="A36" s="11">
        <v>34</v>
      </c>
      <c r="B36" s="12" t="s">
        <v>86</v>
      </c>
      <c r="C36" s="13" t="s">
        <v>32</v>
      </c>
      <c r="D36" s="14">
        <v>0</v>
      </c>
      <c r="E36" s="14">
        <v>0</v>
      </c>
    </row>
    <row r="37" spans="1:5" ht="17.100000000000001" customHeight="1">
      <c r="A37" s="4">
        <v>35</v>
      </c>
      <c r="B37" s="5" t="s">
        <v>27</v>
      </c>
      <c r="C37" s="9" t="s">
        <v>33</v>
      </c>
      <c r="D37" s="7">
        <v>225</v>
      </c>
      <c r="E37" s="8">
        <f t="shared" si="0"/>
        <v>805.5</v>
      </c>
    </row>
    <row r="38" spans="1:5" ht="17.100000000000001" customHeight="1">
      <c r="A38" s="4">
        <v>36</v>
      </c>
      <c r="B38" s="5" t="s">
        <v>27</v>
      </c>
      <c r="C38" s="9" t="s">
        <v>34</v>
      </c>
      <c r="D38" s="7">
        <v>225</v>
      </c>
      <c r="E38" s="8">
        <f t="shared" si="0"/>
        <v>805.5</v>
      </c>
    </row>
    <row r="39" spans="1:5" ht="17.100000000000001" customHeight="1">
      <c r="A39" s="4">
        <v>37</v>
      </c>
      <c r="B39" s="5" t="s">
        <v>27</v>
      </c>
      <c r="C39" s="9" t="s">
        <v>35</v>
      </c>
      <c r="D39" s="7">
        <v>225</v>
      </c>
      <c r="E39" s="8">
        <f t="shared" si="0"/>
        <v>805.5</v>
      </c>
    </row>
    <row r="40" spans="1:5" ht="18" customHeight="1">
      <c r="A40" s="4">
        <v>38</v>
      </c>
      <c r="B40" s="5" t="s">
        <v>27</v>
      </c>
      <c r="C40" s="9" t="s">
        <v>36</v>
      </c>
      <c r="D40" s="7">
        <v>225</v>
      </c>
      <c r="E40" s="8">
        <f t="shared" si="0"/>
        <v>805.5</v>
      </c>
    </row>
    <row r="41" spans="1:5" ht="17.100000000000001" customHeight="1">
      <c r="A41" s="4">
        <v>39</v>
      </c>
      <c r="B41" s="5" t="s">
        <v>27</v>
      </c>
      <c r="C41" s="9" t="s">
        <v>37</v>
      </c>
      <c r="D41" s="7">
        <v>225</v>
      </c>
      <c r="E41" s="8">
        <f t="shared" si="0"/>
        <v>805.5</v>
      </c>
    </row>
    <row r="42" spans="1:5" ht="17.100000000000001" customHeight="1">
      <c r="A42" s="4">
        <v>40</v>
      </c>
      <c r="B42" s="5" t="s">
        <v>27</v>
      </c>
      <c r="C42" s="9" t="s">
        <v>38</v>
      </c>
      <c r="D42" s="7">
        <v>225</v>
      </c>
      <c r="E42" s="8">
        <f t="shared" si="0"/>
        <v>805.5</v>
      </c>
    </row>
    <row r="43" spans="1:5" ht="17.100000000000001" customHeight="1">
      <c r="A43" s="4">
        <v>41</v>
      </c>
      <c r="B43" s="5" t="s">
        <v>27</v>
      </c>
      <c r="C43" s="9" t="s">
        <v>39</v>
      </c>
      <c r="D43" s="7">
        <v>225</v>
      </c>
      <c r="E43" s="8">
        <f t="shared" si="0"/>
        <v>805.5</v>
      </c>
    </row>
    <row r="44" spans="1:5" ht="18" customHeight="1">
      <c r="A44" s="4">
        <v>42</v>
      </c>
      <c r="B44" s="5" t="s">
        <v>27</v>
      </c>
      <c r="C44" s="9" t="s">
        <v>40</v>
      </c>
      <c r="D44" s="7">
        <v>225</v>
      </c>
      <c r="E44" s="8">
        <f t="shared" si="0"/>
        <v>805.5</v>
      </c>
    </row>
    <row r="45" spans="1:5" ht="17.100000000000001" customHeight="1">
      <c r="A45" s="4">
        <v>43</v>
      </c>
      <c r="B45" s="5" t="s">
        <v>27</v>
      </c>
      <c r="C45" s="9" t="s">
        <v>41</v>
      </c>
      <c r="D45" s="7">
        <v>225</v>
      </c>
      <c r="E45" s="8">
        <f t="shared" si="0"/>
        <v>805.5</v>
      </c>
    </row>
    <row r="46" spans="1:5" ht="17.100000000000001" customHeight="1">
      <c r="A46" s="4">
        <v>44</v>
      </c>
      <c r="B46" s="5" t="s">
        <v>27</v>
      </c>
      <c r="C46" s="9" t="s">
        <v>42</v>
      </c>
      <c r="D46" s="7">
        <v>225</v>
      </c>
      <c r="E46" s="8">
        <f t="shared" si="0"/>
        <v>805.5</v>
      </c>
    </row>
    <row r="47" spans="1:5" ht="17.100000000000001" customHeight="1">
      <c r="A47" s="4">
        <v>45</v>
      </c>
      <c r="B47" s="5" t="s">
        <v>27</v>
      </c>
      <c r="C47" s="10" t="s">
        <v>76</v>
      </c>
      <c r="D47" s="7">
        <v>225</v>
      </c>
      <c r="E47" s="8">
        <f t="shared" si="0"/>
        <v>805.5</v>
      </c>
    </row>
    <row r="48" spans="1:5" ht="18" customHeight="1">
      <c r="A48" s="4">
        <v>46</v>
      </c>
      <c r="B48" s="5" t="s">
        <v>27</v>
      </c>
      <c r="C48" s="9" t="s">
        <v>43</v>
      </c>
      <c r="D48" s="7">
        <v>225</v>
      </c>
      <c r="E48" s="8">
        <f t="shared" si="0"/>
        <v>805.5</v>
      </c>
    </row>
    <row r="49" spans="1:5" ht="17.100000000000001" customHeight="1">
      <c r="A49" s="4">
        <v>47</v>
      </c>
      <c r="B49" s="5" t="s">
        <v>27</v>
      </c>
      <c r="C49" s="9" t="s">
        <v>44</v>
      </c>
      <c r="D49" s="7">
        <v>225</v>
      </c>
      <c r="E49" s="8">
        <f t="shared" si="0"/>
        <v>805.5</v>
      </c>
    </row>
    <row r="50" spans="1:5" ht="17.100000000000001" customHeight="1">
      <c r="A50" s="4">
        <v>48</v>
      </c>
      <c r="B50" s="5" t="s">
        <v>27</v>
      </c>
      <c r="C50" s="9" t="s">
        <v>45</v>
      </c>
      <c r="D50" s="7">
        <v>225</v>
      </c>
      <c r="E50" s="8">
        <f t="shared" si="0"/>
        <v>805.5</v>
      </c>
    </row>
    <row r="51" spans="1:5" ht="17.100000000000001" customHeight="1">
      <c r="A51" s="4">
        <v>49</v>
      </c>
      <c r="B51" s="5" t="s">
        <v>27</v>
      </c>
      <c r="C51" s="9" t="s">
        <v>46</v>
      </c>
      <c r="D51" s="7">
        <v>225</v>
      </c>
      <c r="E51" s="8">
        <f t="shared" si="0"/>
        <v>805.5</v>
      </c>
    </row>
    <row r="52" spans="1:5" ht="18" customHeight="1">
      <c r="A52" s="4">
        <v>50</v>
      </c>
      <c r="B52" s="5" t="s">
        <v>27</v>
      </c>
      <c r="C52" s="9" t="s">
        <v>47</v>
      </c>
      <c r="D52" s="7">
        <v>225</v>
      </c>
      <c r="E52" s="8">
        <f t="shared" si="0"/>
        <v>805.5</v>
      </c>
    </row>
    <row r="53" spans="1:5" ht="17.100000000000001" customHeight="1">
      <c r="A53" s="4">
        <v>51</v>
      </c>
      <c r="B53" s="5" t="s">
        <v>27</v>
      </c>
      <c r="C53" s="9" t="s">
        <v>48</v>
      </c>
      <c r="D53" s="7">
        <v>225</v>
      </c>
      <c r="E53" s="8">
        <f t="shared" si="0"/>
        <v>805.5</v>
      </c>
    </row>
    <row r="54" spans="1:5" ht="17.100000000000001" customHeight="1">
      <c r="A54" s="4">
        <v>52</v>
      </c>
      <c r="B54" s="5" t="s">
        <v>27</v>
      </c>
      <c r="C54" s="9" t="s">
        <v>49</v>
      </c>
      <c r="D54" s="7">
        <v>225</v>
      </c>
      <c r="E54" s="8">
        <f t="shared" si="0"/>
        <v>805.5</v>
      </c>
    </row>
    <row r="55" spans="1:5" ht="17.100000000000001" customHeight="1">
      <c r="A55" s="4">
        <v>53</v>
      </c>
      <c r="B55" s="5" t="s">
        <v>27</v>
      </c>
      <c r="C55" s="9" t="s">
        <v>50</v>
      </c>
      <c r="D55" s="7">
        <v>225</v>
      </c>
      <c r="E55" s="8">
        <f t="shared" si="0"/>
        <v>805.5</v>
      </c>
    </row>
    <row r="56" spans="1:5" ht="18" customHeight="1">
      <c r="A56" s="4">
        <v>54</v>
      </c>
      <c r="B56" s="5" t="s">
        <v>27</v>
      </c>
      <c r="C56" s="9" t="s">
        <v>51</v>
      </c>
      <c r="D56" s="7">
        <v>225</v>
      </c>
      <c r="E56" s="8">
        <f t="shared" si="0"/>
        <v>805.5</v>
      </c>
    </row>
    <row r="57" spans="1:5" ht="17.100000000000001" customHeight="1">
      <c r="A57" s="4">
        <v>55</v>
      </c>
      <c r="B57" s="5" t="s">
        <v>27</v>
      </c>
      <c r="C57" s="9" t="s">
        <v>52</v>
      </c>
      <c r="D57" s="7">
        <v>225</v>
      </c>
      <c r="E57" s="8">
        <f t="shared" si="0"/>
        <v>805.5</v>
      </c>
    </row>
    <row r="58" spans="1:5" ht="17.100000000000001" customHeight="1">
      <c r="A58" s="4">
        <v>56</v>
      </c>
      <c r="B58" s="5" t="s">
        <v>27</v>
      </c>
      <c r="C58" s="9" t="s">
        <v>53</v>
      </c>
      <c r="D58" s="7">
        <v>225</v>
      </c>
      <c r="E58" s="8">
        <f t="shared" si="0"/>
        <v>805.5</v>
      </c>
    </row>
    <row r="59" spans="1:5" ht="17.100000000000001" customHeight="1">
      <c r="A59" s="4">
        <v>57</v>
      </c>
      <c r="B59" s="5" t="s">
        <v>27</v>
      </c>
      <c r="C59" s="9" t="s">
        <v>54</v>
      </c>
      <c r="D59" s="7">
        <v>225</v>
      </c>
      <c r="E59" s="8">
        <f t="shared" si="0"/>
        <v>805.5</v>
      </c>
    </row>
    <row r="60" spans="1:5" ht="18" customHeight="1">
      <c r="A60" s="4">
        <v>58</v>
      </c>
      <c r="B60" s="5" t="s">
        <v>27</v>
      </c>
      <c r="C60" s="9" t="s">
        <v>55</v>
      </c>
      <c r="D60" s="7">
        <v>225</v>
      </c>
      <c r="E60" s="8">
        <f t="shared" si="0"/>
        <v>805.5</v>
      </c>
    </row>
    <row r="61" spans="1:5" ht="16.7" customHeight="1">
      <c r="A61" s="4">
        <v>59</v>
      </c>
      <c r="B61" s="5" t="s">
        <v>27</v>
      </c>
      <c r="C61" s="9" t="s">
        <v>56</v>
      </c>
      <c r="D61" s="7">
        <v>225</v>
      </c>
      <c r="E61" s="8">
        <f t="shared" si="0"/>
        <v>805.5</v>
      </c>
    </row>
    <row r="62" spans="1:5" ht="17.100000000000001" customHeight="1">
      <c r="A62" s="4">
        <v>60</v>
      </c>
      <c r="B62" s="5" t="s">
        <v>27</v>
      </c>
      <c r="C62" s="9" t="s">
        <v>57</v>
      </c>
      <c r="D62" s="7">
        <v>225</v>
      </c>
      <c r="E62" s="8">
        <f t="shared" si="0"/>
        <v>805.5</v>
      </c>
    </row>
    <row r="63" spans="1:5" ht="17.100000000000001" customHeight="1">
      <c r="A63" s="4">
        <v>61</v>
      </c>
      <c r="B63" s="5" t="s">
        <v>27</v>
      </c>
      <c r="C63" s="9" t="s">
        <v>58</v>
      </c>
      <c r="D63" s="7">
        <v>225</v>
      </c>
      <c r="E63" s="8">
        <f t="shared" si="0"/>
        <v>805.5</v>
      </c>
    </row>
    <row r="64" spans="1:5" ht="17.100000000000001" customHeight="1">
      <c r="A64" s="4">
        <v>62</v>
      </c>
      <c r="B64" s="5" t="s">
        <v>27</v>
      </c>
      <c r="C64" s="9" t="s">
        <v>59</v>
      </c>
      <c r="D64" s="7">
        <v>225</v>
      </c>
      <c r="E64" s="8">
        <f t="shared" si="0"/>
        <v>805.5</v>
      </c>
    </row>
    <row r="65" spans="1:6" ht="18" customHeight="1">
      <c r="A65" s="4">
        <v>63</v>
      </c>
      <c r="B65" s="5" t="s">
        <v>27</v>
      </c>
      <c r="C65" s="9" t="s">
        <v>60</v>
      </c>
      <c r="D65" s="7">
        <v>225</v>
      </c>
      <c r="E65" s="8">
        <f t="shared" si="0"/>
        <v>805.5</v>
      </c>
    </row>
    <row r="66" spans="1:6" ht="17.100000000000001" customHeight="1">
      <c r="A66" s="4">
        <v>64</v>
      </c>
      <c r="B66" s="5" t="s">
        <v>27</v>
      </c>
      <c r="C66" s="9" t="s">
        <v>61</v>
      </c>
      <c r="D66" s="7">
        <v>225</v>
      </c>
      <c r="E66" s="8">
        <f t="shared" si="0"/>
        <v>805.5</v>
      </c>
    </row>
    <row r="67" spans="1:6" ht="17.100000000000001" customHeight="1">
      <c r="A67" s="4">
        <v>65</v>
      </c>
      <c r="B67" s="5" t="s">
        <v>27</v>
      </c>
      <c r="C67" s="10" t="s">
        <v>75</v>
      </c>
      <c r="D67" s="7">
        <v>225</v>
      </c>
      <c r="E67" s="8">
        <f t="shared" si="0"/>
        <v>805.5</v>
      </c>
    </row>
    <row r="68" spans="1:6" ht="17.100000000000001" customHeight="1">
      <c r="A68" s="4">
        <v>66</v>
      </c>
      <c r="B68" s="5" t="s">
        <v>27</v>
      </c>
      <c r="C68" s="9" t="s">
        <v>62</v>
      </c>
      <c r="D68" s="7">
        <v>225</v>
      </c>
      <c r="E68" s="8">
        <f t="shared" ref="E68:E77" si="1">D68*3.58</f>
        <v>805.5</v>
      </c>
    </row>
    <row r="69" spans="1:6" ht="18" customHeight="1">
      <c r="A69" s="4">
        <v>67</v>
      </c>
      <c r="B69" s="5" t="s">
        <v>84</v>
      </c>
      <c r="C69" s="9" t="s">
        <v>63</v>
      </c>
      <c r="D69" s="7">
        <v>350</v>
      </c>
      <c r="E69" s="8">
        <f t="shared" si="1"/>
        <v>1253</v>
      </c>
    </row>
    <row r="70" spans="1:6" ht="17.100000000000001" customHeight="1">
      <c r="A70" s="4">
        <v>68</v>
      </c>
      <c r="B70" s="5" t="s">
        <v>64</v>
      </c>
      <c r="C70" s="9" t="s">
        <v>65</v>
      </c>
      <c r="D70" s="7">
        <v>450</v>
      </c>
      <c r="E70" s="8">
        <f t="shared" si="1"/>
        <v>1611</v>
      </c>
    </row>
    <row r="71" spans="1:6" ht="17.100000000000001" customHeight="1">
      <c r="A71" s="4">
        <v>69</v>
      </c>
      <c r="B71" s="5" t="s">
        <v>83</v>
      </c>
      <c r="C71" s="9" t="s">
        <v>66</v>
      </c>
      <c r="D71" s="7">
        <v>220</v>
      </c>
      <c r="E71" s="8">
        <f t="shared" si="1"/>
        <v>787.6</v>
      </c>
    </row>
    <row r="72" spans="1:6" ht="17.100000000000001" customHeight="1">
      <c r="A72" s="4">
        <v>70</v>
      </c>
      <c r="B72" s="5" t="s">
        <v>67</v>
      </c>
      <c r="C72" s="9" t="s">
        <v>68</v>
      </c>
      <c r="D72" s="7">
        <v>100</v>
      </c>
      <c r="E72" s="8">
        <f t="shared" si="1"/>
        <v>358</v>
      </c>
    </row>
    <row r="73" spans="1:6" ht="18" customHeight="1">
      <c r="A73" s="4">
        <v>71</v>
      </c>
      <c r="B73" s="5" t="s">
        <v>67</v>
      </c>
      <c r="C73" s="9" t="s">
        <v>69</v>
      </c>
      <c r="D73" s="7">
        <v>100</v>
      </c>
      <c r="E73" s="8">
        <f t="shared" si="1"/>
        <v>358</v>
      </c>
    </row>
    <row r="74" spans="1:6" ht="16.7" customHeight="1">
      <c r="A74" s="4">
        <v>72</v>
      </c>
      <c r="B74" s="5" t="s">
        <v>67</v>
      </c>
      <c r="C74" s="9" t="s">
        <v>70</v>
      </c>
      <c r="D74" s="7">
        <v>100</v>
      </c>
      <c r="E74" s="8">
        <f t="shared" si="1"/>
        <v>358</v>
      </c>
    </row>
    <row r="75" spans="1:6">
      <c r="A75" s="4">
        <v>73</v>
      </c>
      <c r="B75" s="5" t="s">
        <v>71</v>
      </c>
      <c r="C75" s="9" t="s">
        <v>77</v>
      </c>
      <c r="D75" s="7">
        <v>275</v>
      </c>
      <c r="E75" s="8">
        <f t="shared" si="1"/>
        <v>984.5</v>
      </c>
    </row>
    <row r="76" spans="1:6">
      <c r="A76" s="4">
        <v>74</v>
      </c>
      <c r="B76" s="5" t="s">
        <v>71</v>
      </c>
      <c r="C76" s="9" t="s">
        <v>78</v>
      </c>
      <c r="D76" s="7">
        <v>275</v>
      </c>
      <c r="E76" s="8">
        <f t="shared" si="1"/>
        <v>984.5</v>
      </c>
    </row>
    <row r="77" spans="1:6">
      <c r="A77" s="4">
        <v>75</v>
      </c>
      <c r="B77" s="5" t="s">
        <v>71</v>
      </c>
      <c r="C77" s="9" t="s">
        <v>79</v>
      </c>
      <c r="D77" s="7">
        <v>275</v>
      </c>
      <c r="E77" s="8">
        <f t="shared" si="1"/>
        <v>984.5</v>
      </c>
    </row>
    <row r="78" spans="1:6" ht="20.25">
      <c r="D78" s="15">
        <f>SUM(D3:D77)</f>
        <v>20265</v>
      </c>
      <c r="E78" s="16">
        <f>SUM(E3:E77)</f>
        <v>72548.699999999968</v>
      </c>
    </row>
    <row r="79" spans="1:6" ht="20.25">
      <c r="D79" s="15">
        <v>195</v>
      </c>
      <c r="E79" s="16">
        <v>698.1</v>
      </c>
      <c r="F79" s="16" t="s">
        <v>93</v>
      </c>
    </row>
    <row r="80" spans="1:6" ht="20.25">
      <c r="D80" s="15">
        <f>D78-D79</f>
        <v>20070</v>
      </c>
      <c r="E80" s="16">
        <f>E78-E79</f>
        <v>71850.599999999962</v>
      </c>
      <c r="F80" s="16" t="s">
        <v>94</v>
      </c>
    </row>
  </sheetData>
  <autoFilter ref="A2:E78" xr:uid="{00000000-0001-0000-0000-000000000000}">
    <filterColumn colId="0" showButton="0"/>
  </autoFilter>
  <mergeCells count="2">
    <mergeCell ref="A1:B1"/>
    <mergeCell ref="A2:B2"/>
  </mergeCells>
  <phoneticPr fontId="7" type="noConversion"/>
  <conditionalFormatting sqref="C1:C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Purchases</dc:title>
  <cp:lastModifiedBy>swiss tech</cp:lastModifiedBy>
  <dcterms:created xsi:type="dcterms:W3CDTF">2026-04-14T10:28:09Z</dcterms:created>
  <dcterms:modified xsi:type="dcterms:W3CDTF">2026-06-23T15:20:26Z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2026-04-14T00:00:00Z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2026-04-14T00:00:00Z</vt:filetime>
  </property>
</Properties>
</file>