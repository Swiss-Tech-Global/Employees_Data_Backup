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67" documentId="13_ncr:1_{76D01E64-F43F-466E-B2DE-042BD4C4C952}" xr6:coauthVersionLast="47" xr6:coauthVersionMax="47" xr10:uidLastSave="{9D329FDF-6EAA-4602-84B9-A167B204AC9F}"/>
  <bookViews>
    <workbookView xWindow="-120" yWindow="-120" windowWidth="20730" windowHeight="11040" xr2:uid="{00000000-000D-0000-FFFF-FFFF00000000}"/>
  </bookViews>
  <sheets>
    <sheet name="Table 1" sheetId="1" r:id="rId1"/>
    <sheet name="Sheet1" sheetId="2" r:id="rId2"/>
  </sheets>
  <definedNames>
    <definedName name="_xlnm._FilterDatabase" localSheetId="0" hidden="1">'Table 1'!$A$2:$F$117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3" i="1" l="1"/>
  <c r="J95" i="1"/>
  <c r="I95" i="1"/>
  <c r="K95" i="1" s="1"/>
  <c r="J97" i="1"/>
  <c r="J98" i="1"/>
  <c r="J99" i="1"/>
  <c r="J100" i="1"/>
  <c r="J101" i="1"/>
  <c r="J102" i="1"/>
  <c r="J96" i="1"/>
  <c r="I97" i="1"/>
  <c r="K97" i="1" s="1"/>
  <c r="I98" i="1"/>
  <c r="K98" i="1" s="1"/>
  <c r="I99" i="1"/>
  <c r="K99" i="1" s="1"/>
  <c r="I100" i="1"/>
  <c r="K100" i="1" s="1"/>
  <c r="I101" i="1"/>
  <c r="K101" i="1" s="1"/>
  <c r="I102" i="1"/>
  <c r="K102" i="1" s="1"/>
  <c r="I96" i="1"/>
  <c r="K96" i="1" s="1"/>
  <c r="E115" i="1"/>
  <c r="E117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3" i="1"/>
  <c r="J103" i="1" l="1"/>
  <c r="I103" i="1"/>
  <c r="K103" i="1"/>
  <c r="F115" i="1"/>
  <c r="F117" i="1" s="1"/>
</calcChain>
</file>

<file path=xl/sharedStrings.xml><?xml version="1.0" encoding="utf-8"?>
<sst xmlns="http://schemas.openxmlformats.org/spreadsheetml/2006/main" count="209" uniqueCount="125">
  <si>
    <r>
      <rPr>
        <sz val="10"/>
        <rFont val="Arial MT"/>
        <family val="2"/>
      </rPr>
      <t>Date</t>
    </r>
  </si>
  <si>
    <t>iPhone 17 Pro Max Cosmic Orange 256 GB</t>
  </si>
  <si>
    <t>iPhone 17 Pro Max Cosmic Orange 512 GB</t>
  </si>
  <si>
    <t>Active</t>
  </si>
  <si>
    <t>iPhone 17 Pro Max Deep Blue 256 GB (Kit)</t>
  </si>
  <si>
    <t>iPhone 17 Pro Max Silver 256 GB (Kit)</t>
  </si>
  <si>
    <t>iPhone 17 Pro Max Silver 512 GB</t>
  </si>
  <si>
    <t>iPhone 17 Pro Cosmic Orange 256 GB</t>
  </si>
  <si>
    <t>iPhone 17 Pro Cosmic Orange 512 GB</t>
  </si>
  <si>
    <t>Unlock</t>
  </si>
  <si>
    <t>iPhone 17 Pro Silver 256 GB</t>
  </si>
  <si>
    <t>iPhone 17 Sage 256 GB</t>
  </si>
  <si>
    <t>iPhone 17 Mist Blue 256 GB</t>
  </si>
  <si>
    <t>iPhone 16 Plus Ultramarine 128 GB (Kit)</t>
  </si>
  <si>
    <t>iPhone 16 Plus Black 128 GB</t>
  </si>
  <si>
    <t>T-Mobile</t>
  </si>
  <si>
    <t>iPhone 16 Black 128 GB</t>
  </si>
  <si>
    <t>iPhone 15 Pro Max Natural Ti 256 GB (Kit)</t>
  </si>
  <si>
    <t>Active, Screen Damaged and Scratches</t>
  </si>
  <si>
    <t>iPhone 14 Pro Max Deep Purple 1 TB (Kit)</t>
  </si>
  <si>
    <t>Active Unlock</t>
  </si>
  <si>
    <t>iPhone 13 Midnight 128 GB</t>
  </si>
  <si>
    <t>iPad Pro M5 13" (W+C) Silver 256 GB</t>
  </si>
  <si>
    <t>iPad Pro M5 11" (W+C) Silver 256 GB</t>
  </si>
  <si>
    <t>iPad Air M4 11" (W) Blue 256 GB</t>
  </si>
  <si>
    <t>SMVXHCGJX5J</t>
  </si>
  <si>
    <t>iPad Air M3 11" (W+C) Space Gray 128 GB</t>
  </si>
  <si>
    <t>iPad Air M3 11" (W+C) Space Gray 256 GB</t>
  </si>
  <si>
    <t>iPad A16 (W+C) Blue 128 GB</t>
  </si>
  <si>
    <t>iPad A16 (W+C) Blue 256 GB</t>
  </si>
  <si>
    <t>iPad A16 (W) Blue 128 GB</t>
  </si>
  <si>
    <t>Macbook Pro M5 16'' MGEA4 Space Black 24 GB, 1 TB</t>
  </si>
  <si>
    <t>SM090X09DD2</t>
  </si>
  <si>
    <t>Macbook Pro M5 16'' MGED4 Space Black 32 GB, 2 TB</t>
  </si>
  <si>
    <t>MacBook Pro M5 14" MDE04 Space Black 16 GB, 512 GB</t>
  </si>
  <si>
    <t>SLK6MG3JTXR</t>
  </si>
  <si>
    <t>MacBook Pro M5 14" MDE34 Space Black 24 GB, 1 TB</t>
  </si>
  <si>
    <t>SF02XNGH1FH</t>
  </si>
  <si>
    <t>Macbook Air M5 13'' MDHE4 Midnight 16 GB, 512 GB</t>
  </si>
  <si>
    <t>MacBook Neo A18 Pro 13" MHFE4 Citrus 8 GB, 512 GB</t>
  </si>
  <si>
    <t>iWatch Ultra 3 Black Ti, Ocean 49mm</t>
  </si>
  <si>
    <t>iWatch Ultra 3 Black Ti, Trail 49mm</t>
  </si>
  <si>
    <t>iWatch Ultra 3 Black Ti, Milanese 49mm</t>
  </si>
  <si>
    <t>iWatch Series 11 Jetblack 46mm</t>
  </si>
  <si>
    <t>SJNW6HH3X47</t>
  </si>
  <si>
    <t>iWatch Series 11 Rose Gold 46mm</t>
  </si>
  <si>
    <t>SM40454DJYL</t>
  </si>
  <si>
    <t>iWatch Series 11 Rose Gold 42mm</t>
  </si>
  <si>
    <t>iWatch Series 9 Midnight 45mm</t>
  </si>
  <si>
    <t>iWatch SE 3 Midnight 44mm</t>
  </si>
  <si>
    <t>iWatch SE 3 Starlight 44mm</t>
  </si>
  <si>
    <t>SLXH4J3CG2D</t>
  </si>
  <si>
    <t>SJF9GT2CKXV</t>
  </si>
  <si>
    <t>SCDHJ94JY4N</t>
  </si>
  <si>
    <t>SG714DW94HN</t>
  </si>
  <si>
    <t>SH623N9G6LD</t>
  </si>
  <si>
    <t>iWatch SE 2 Midnight 40mm</t>
  </si>
  <si>
    <t>SHTFWJR3K25</t>
  </si>
  <si>
    <t>SJYL930J0MM</t>
  </si>
  <si>
    <t>SFGW9717V2P</t>
  </si>
  <si>
    <t>SF7NMV46FY6</t>
  </si>
  <si>
    <t>AirPods Pro 3</t>
  </si>
  <si>
    <t>SKL73DGVXHD</t>
  </si>
  <si>
    <t>SLPGLW9T6GM</t>
  </si>
  <si>
    <t>SJM4JJ70MNF</t>
  </si>
  <si>
    <t>SM5FVRCJYJ3</t>
  </si>
  <si>
    <t>SJ009HD202W</t>
  </si>
  <si>
    <t>SH77G2PN4RN</t>
  </si>
  <si>
    <t>SJX7MTCX45V</t>
  </si>
  <si>
    <t>SGYHC337P6C</t>
  </si>
  <si>
    <t>SK2YN64GX1J</t>
  </si>
  <si>
    <t>AirPods Pro 2 with Magsafe</t>
  </si>
  <si>
    <t>Airpods 4</t>
  </si>
  <si>
    <t>SG560HF37KP</t>
  </si>
  <si>
    <t>SC2W42NJ45Y</t>
  </si>
  <si>
    <t>SG776JRX4HP</t>
  </si>
  <si>
    <t>SLDH7T41W7R</t>
  </si>
  <si>
    <t>SDTYG4HCJ7J</t>
  </si>
  <si>
    <t>Airpod 4 ANC</t>
  </si>
  <si>
    <t>SH7NWN2KHGV</t>
  </si>
  <si>
    <t>SJ99639XX47</t>
  </si>
  <si>
    <t>SLK7PY9PDPF</t>
  </si>
  <si>
    <t>SFT9XW0X7R3</t>
  </si>
  <si>
    <t>AirPods Max with Case Purple</t>
  </si>
  <si>
    <t>Google Pixel Watch 4 Matte Black 32 GB 45mm</t>
  </si>
  <si>
    <t>Google Pixel Watch 4 Blue Satin Moonstone 32 GB 45mm</t>
  </si>
  <si>
    <t>Meta Wayfarer Gen 2 Shiny Black, G15 Green</t>
  </si>
  <si>
    <t>4V37W22H8T03JX</t>
  </si>
  <si>
    <t>Meta Wayfarer Gen 2 Matte Black, Grey</t>
  </si>
  <si>
    <t>Meta Wayfarer Matte Black, Graphite Green</t>
  </si>
  <si>
    <t>SJ42MKQN6X1</t>
  </si>
  <si>
    <t>SK5VYD6HQY6</t>
  </si>
  <si>
    <t>SJQPWJDXGPG</t>
  </si>
  <si>
    <t>SGR4RL2Q519</t>
  </si>
  <si>
    <t>SC5P72Q4XVK</t>
  </si>
  <si>
    <t>SDJ2HK665QP</t>
  </si>
  <si>
    <t>SGFQNDH7NCC</t>
  </si>
  <si>
    <t>SCH4X41Q4VQ</t>
  </si>
  <si>
    <t>SM2QXF631JJ</t>
  </si>
  <si>
    <t>SF4QL2GFV2V</t>
  </si>
  <si>
    <t>SMXRGQL29HM</t>
  </si>
  <si>
    <t>SD2VQND42G9</t>
  </si>
  <si>
    <t>SG52HJXQ002</t>
  </si>
  <si>
    <t>SFCF77MQQLT</t>
  </si>
  <si>
    <t>SFJQC45JTW1</t>
  </si>
  <si>
    <t>SLP4JYYQM59</t>
  </si>
  <si>
    <t>SLC91DHJFQ5</t>
  </si>
  <si>
    <t>SMPNXQWDXVR</t>
  </si>
  <si>
    <t>SDWRQNWNM9J</t>
  </si>
  <si>
    <t>SHT4PNQLQYG</t>
  </si>
  <si>
    <t>SKFFQ2V6CM0</t>
  </si>
  <si>
    <t>SGVW7YF7MHQ</t>
  </si>
  <si>
    <t>SJPX6WC97QD</t>
  </si>
  <si>
    <t>4V37W25HB101WQ</t>
  </si>
  <si>
    <t>2Q9GS11H9Q079Z</t>
  </si>
  <si>
    <t>Return</t>
  </si>
  <si>
    <t>USD Prices</t>
  </si>
  <si>
    <t>Commintes</t>
  </si>
  <si>
    <t>AED Prices</t>
  </si>
  <si>
    <t>Party Name</t>
  </si>
  <si>
    <t>870611708620 Owais HT</t>
  </si>
  <si>
    <t>Prices update karni he</t>
  </si>
  <si>
    <t>Discount</t>
  </si>
  <si>
    <t>Total Amount</t>
  </si>
  <si>
    <r>
      <rPr>
        <sz val="10"/>
        <rFont val="Verdana"/>
        <family val="2"/>
      </rPr>
      <t>DQ9DY4Y0Y2</t>
    </r>
    <r>
      <rPr>
        <sz val="10"/>
        <color rgb="FF000000"/>
        <rFont val="Times New Roman"/>
        <family val="1"/>
      </rPr>
      <t xml:space="preserve"> IMEI Chanhe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</si>
</sst>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-dd\-yyyy;@"/>
    <numFmt numFmtId="165" formatCode="_-[$USD]\ * #,##0.00_-;\-[$USD]\ * #,##0.00_-;_-[$USD]\ * &quot;-&quot;??_-;_-@_-"/>
    <numFmt numFmtId="166" formatCode="_-[$AED]\ * #,##0.00_-;\-[$AED]\ * #,##0.00_-;_-[$AED]\ * &quot;-&quot;??_-;_-@_-"/>
  </numFmts>
  <fonts count="11">
    <font>
      <sz val="10"/>
      <color rgb="FF000000"/>
      <name val="Times New Roman"/>
      <charset val="204"/>
    </font>
    <font>
      <sz val="10"/>
      <name val="Arial MT"/>
    </font>
    <font>
      <sz val="10"/>
      <name val="Arial MT"/>
      <family val="2"/>
    </font>
    <font>
      <sz val="10"/>
      <color rgb="FF000000"/>
      <name val="Arial MT"/>
      <family val="2"/>
    </font>
    <font>
      <sz val="10"/>
      <color rgb="FF000000"/>
      <name val="Times New Roman"/>
      <family val="1"/>
    </font>
    <font>
      <sz val="10"/>
      <color rgb="FF000000"/>
      <name val="Microsoft Sans Serif"/>
      <family val="2"/>
    </font>
    <font>
      <sz val="10"/>
      <name val="Microsoft Sans Serif"/>
      <family val="2"/>
    </font>
    <font>
      <b/>
      <sz val="11"/>
      <name val="Arial MT"/>
    </font>
    <font>
      <b/>
      <sz val="14"/>
      <color rgb="FF000000"/>
      <name val="Times New Roman"/>
      <family val="1"/>
    </font>
    <font>
      <sz val="10"/>
      <name val="Verdana"/>
      <family val="2"/>
    </font>
    <font>
      <sz val="10"/>
      <color rgb="FF000000"/>
      <name val="Times New Roman"/>
      <family val="2"/>
    </font>
  </fonts>
  <fills count="9">
    <fill>
      <patternFill patternType="none"/>
    </fill>
    <fill>
      <patternFill patternType="gray125"/>
    </fill>
    <fill>
      <patternFill patternType="solid">
        <fgColor rgb="FF1155CC"/>
      </patternFill>
    </fill>
    <fill>
      <patternFill patternType="solid">
        <fgColor rgb="FF6C9EEB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164" fontId="3" fillId="3" borderId="2" xfId="0" applyNumberFormat="1" applyFont="1" applyFill="1" applyBorder="1" applyAlignment="1">
      <alignment horizontal="center" vertical="top" shrinkToFit="1"/>
    </xf>
    <xf numFmtId="0" fontId="4" fillId="4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7" fillId="3" borderId="2" xfId="0" applyFont="1" applyFill="1" applyBorder="1" applyAlignment="1">
      <alignment horizontal="center" vertical="center" wrapText="1"/>
    </xf>
    <xf numFmtId="165" fontId="8" fillId="5" borderId="4" xfId="0" applyNumberFormat="1" applyFont="1" applyFill="1" applyBorder="1" applyAlignment="1">
      <alignment horizontal="center" vertical="center"/>
    </xf>
    <xf numFmtId="166" fontId="8" fillId="5" borderId="4" xfId="0" applyNumberFormat="1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top" shrinkToFit="1"/>
    </xf>
    <xf numFmtId="0" fontId="6" fillId="6" borderId="1" xfId="0" applyFont="1" applyFill="1" applyBorder="1" applyAlignment="1">
      <alignment horizontal="center" vertical="top" wrapText="1"/>
    </xf>
    <xf numFmtId="1" fontId="6" fillId="6" borderId="2" xfId="0" applyNumberFormat="1" applyFont="1" applyFill="1" applyBorder="1" applyAlignment="1">
      <alignment horizontal="center" vertical="top" wrapText="1"/>
    </xf>
    <xf numFmtId="0" fontId="0" fillId="6" borderId="4" xfId="0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" fontId="5" fillId="7" borderId="1" xfId="0" applyNumberFormat="1" applyFont="1" applyFill="1" applyBorder="1" applyAlignment="1">
      <alignment horizontal="center" vertical="top" shrinkToFit="1"/>
    </xf>
    <xf numFmtId="0" fontId="6" fillId="7" borderId="1" xfId="0" applyFont="1" applyFill="1" applyBorder="1" applyAlignment="1">
      <alignment horizontal="center" vertical="top" wrapText="1"/>
    </xf>
    <xf numFmtId="1" fontId="6" fillId="7" borderId="2" xfId="0" applyNumberFormat="1" applyFont="1" applyFill="1" applyBorder="1" applyAlignment="1">
      <alignment horizontal="center" vertical="top" wrapText="1"/>
    </xf>
    <xf numFmtId="0" fontId="0" fillId="7" borderId="4" xfId="0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top" shrinkToFit="1"/>
    </xf>
    <xf numFmtId="0" fontId="6" fillId="4" borderId="1" xfId="0" applyFont="1" applyFill="1" applyBorder="1" applyAlignment="1">
      <alignment horizontal="center" vertical="top" wrapText="1"/>
    </xf>
    <xf numFmtId="1" fontId="6" fillId="4" borderId="2" xfId="0" applyNumberFormat="1" applyFont="1" applyFill="1" applyBorder="1" applyAlignment="1">
      <alignment horizontal="center" vertical="top" wrapText="1"/>
    </xf>
    <xf numFmtId="166" fontId="0" fillId="0" borderId="0" xfId="0" applyNumberFormat="1" applyAlignment="1">
      <alignment horizontal="left" vertical="top"/>
    </xf>
    <xf numFmtId="1" fontId="10" fillId="8" borderId="4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"/>
  <sheetViews>
    <sheetView tabSelected="1" workbookViewId="0">
      <selection activeCell="B10" sqref="B10:F16"/>
    </sheetView>
  </sheetViews>
  <sheetFormatPr defaultRowHeight="12.75"/>
  <cols>
    <col min="1" max="1" width="4.6640625" customWidth="1"/>
    <col min="2" max="2" width="70.83203125" customWidth="1"/>
    <col min="3" max="3" width="36.6640625" customWidth="1"/>
    <col min="4" max="4" width="42.83203125" customWidth="1"/>
    <col min="5" max="5" width="24.5" customWidth="1"/>
    <col min="6" max="6" width="26.6640625" bestFit="1" customWidth="1"/>
    <col min="7" max="7" width="28.6640625" bestFit="1" customWidth="1"/>
  </cols>
  <sheetData>
    <row r="1" spans="1:6" ht="11.1" customHeight="1">
      <c r="A1" s="22" t="s">
        <v>0</v>
      </c>
      <c r="B1" s="23"/>
      <c r="C1" s="1">
        <v>46135</v>
      </c>
      <c r="D1" s="1"/>
      <c r="E1" s="1"/>
      <c r="F1" s="1"/>
    </row>
    <row r="2" spans="1:6" ht="24" customHeight="1">
      <c r="B2" s="24" t="s">
        <v>119</v>
      </c>
      <c r="C2" s="4" t="s">
        <v>120</v>
      </c>
      <c r="D2" s="4" t="s">
        <v>117</v>
      </c>
      <c r="E2" s="4" t="s">
        <v>116</v>
      </c>
      <c r="F2" s="4" t="s">
        <v>118</v>
      </c>
    </row>
    <row r="3" spans="1:6">
      <c r="A3" s="7">
        <v>1</v>
      </c>
      <c r="B3" s="8" t="s">
        <v>1</v>
      </c>
      <c r="C3" s="9">
        <v>359814717786751</v>
      </c>
      <c r="D3" s="10"/>
      <c r="E3" s="11">
        <v>920</v>
      </c>
      <c r="F3" s="11">
        <f>E3*3.57</f>
        <v>3284.3999999999996</v>
      </c>
    </row>
    <row r="4" spans="1:6">
      <c r="A4" s="7">
        <v>2</v>
      </c>
      <c r="B4" s="8" t="s">
        <v>2</v>
      </c>
      <c r="C4" s="9">
        <v>358434702802272</v>
      </c>
      <c r="D4" s="10" t="s">
        <v>3</v>
      </c>
      <c r="E4" s="11">
        <v>1080</v>
      </c>
      <c r="F4" s="11">
        <f t="shared" ref="F4:F67" si="0">E4*3.57</f>
        <v>3855.6</v>
      </c>
    </row>
    <row r="5" spans="1:6">
      <c r="A5" s="7">
        <v>3</v>
      </c>
      <c r="B5" s="8" t="s">
        <v>2</v>
      </c>
      <c r="C5" s="9">
        <v>358434707087002</v>
      </c>
      <c r="D5" s="10"/>
      <c r="E5" s="11">
        <v>1080</v>
      </c>
      <c r="F5" s="11">
        <f t="shared" si="0"/>
        <v>3855.6</v>
      </c>
    </row>
    <row r="6" spans="1:6">
      <c r="A6" s="7">
        <v>4</v>
      </c>
      <c r="B6" s="8" t="s">
        <v>4</v>
      </c>
      <c r="C6" s="9">
        <v>359614549650955</v>
      </c>
      <c r="D6" s="10" t="s">
        <v>3</v>
      </c>
      <c r="E6" s="11">
        <v>830</v>
      </c>
      <c r="F6" s="11">
        <f t="shared" si="0"/>
        <v>2963.1</v>
      </c>
    </row>
    <row r="7" spans="1:6">
      <c r="A7" s="7">
        <v>5</v>
      </c>
      <c r="B7" s="8" t="s">
        <v>4</v>
      </c>
      <c r="C7" s="9">
        <v>353497851021437</v>
      </c>
      <c r="D7" s="10" t="s">
        <v>3</v>
      </c>
      <c r="E7" s="11">
        <v>840</v>
      </c>
      <c r="F7" s="11">
        <f t="shared" si="0"/>
        <v>2998.7999999999997</v>
      </c>
    </row>
    <row r="8" spans="1:6">
      <c r="A8" s="7">
        <v>6</v>
      </c>
      <c r="B8" s="8" t="s">
        <v>5</v>
      </c>
      <c r="C8" s="9">
        <v>355246657443701</v>
      </c>
      <c r="D8" s="10" t="s">
        <v>3</v>
      </c>
      <c r="E8" s="11">
        <v>830</v>
      </c>
      <c r="F8" s="11">
        <f t="shared" si="0"/>
        <v>2963.1</v>
      </c>
    </row>
    <row r="9" spans="1:6">
      <c r="A9" s="7">
        <v>7</v>
      </c>
      <c r="B9" s="8" t="s">
        <v>6</v>
      </c>
      <c r="C9" s="9">
        <v>359814719579154</v>
      </c>
      <c r="D9" s="10" t="s">
        <v>3</v>
      </c>
      <c r="E9" s="11">
        <v>1080</v>
      </c>
      <c r="F9" s="11">
        <f t="shared" si="0"/>
        <v>3855.6</v>
      </c>
    </row>
    <row r="10" spans="1:6">
      <c r="A10" s="7">
        <v>8</v>
      </c>
      <c r="B10" s="8" t="s">
        <v>7</v>
      </c>
      <c r="C10" s="9">
        <v>351317524281634</v>
      </c>
      <c r="D10" s="10" t="s">
        <v>3</v>
      </c>
      <c r="E10" s="11">
        <v>810</v>
      </c>
      <c r="F10" s="11">
        <f t="shared" si="0"/>
        <v>2891.7</v>
      </c>
    </row>
    <row r="11" spans="1:6">
      <c r="A11" s="7">
        <v>9</v>
      </c>
      <c r="B11" s="8" t="s">
        <v>7</v>
      </c>
      <c r="C11" s="9">
        <v>355079369331785</v>
      </c>
      <c r="D11" s="10"/>
      <c r="E11" s="11">
        <v>810</v>
      </c>
      <c r="F11" s="11">
        <f t="shared" si="0"/>
        <v>2891.7</v>
      </c>
    </row>
    <row r="12" spans="1:6">
      <c r="A12" s="7">
        <v>10</v>
      </c>
      <c r="B12" s="8" t="s">
        <v>7</v>
      </c>
      <c r="C12" s="9">
        <v>352440635277744</v>
      </c>
      <c r="D12" s="10" t="s">
        <v>3</v>
      </c>
      <c r="E12" s="11">
        <v>810</v>
      </c>
      <c r="F12" s="11">
        <f t="shared" si="0"/>
        <v>2891.7</v>
      </c>
    </row>
    <row r="13" spans="1:6">
      <c r="A13" s="7">
        <v>11</v>
      </c>
      <c r="B13" s="8" t="s">
        <v>8</v>
      </c>
      <c r="C13" s="9">
        <v>356245416236967</v>
      </c>
      <c r="D13" s="10"/>
      <c r="E13" s="11">
        <v>930</v>
      </c>
      <c r="F13" s="11">
        <f t="shared" si="0"/>
        <v>3320.1</v>
      </c>
    </row>
    <row r="14" spans="1:6">
      <c r="A14" s="7">
        <v>12</v>
      </c>
      <c r="B14" s="8" t="s">
        <v>8</v>
      </c>
      <c r="C14" s="9">
        <v>357254479486039</v>
      </c>
      <c r="D14" s="10" t="s">
        <v>9</v>
      </c>
      <c r="E14" s="11">
        <v>1180</v>
      </c>
      <c r="F14" s="11">
        <f t="shared" si="0"/>
        <v>4212.5999999999995</v>
      </c>
    </row>
    <row r="15" spans="1:6">
      <c r="A15" s="7">
        <v>13</v>
      </c>
      <c r="B15" s="8" t="s">
        <v>8</v>
      </c>
      <c r="C15" s="9">
        <v>357254479878961</v>
      </c>
      <c r="D15" s="10" t="s">
        <v>9</v>
      </c>
      <c r="E15" s="11">
        <v>1180</v>
      </c>
      <c r="F15" s="11">
        <f t="shared" si="0"/>
        <v>4212.5999999999995</v>
      </c>
    </row>
    <row r="16" spans="1:6">
      <c r="A16" s="7">
        <v>14</v>
      </c>
      <c r="B16" s="8" t="s">
        <v>8</v>
      </c>
      <c r="C16" s="9">
        <v>357254479287817</v>
      </c>
      <c r="D16" s="10" t="s">
        <v>9</v>
      </c>
      <c r="E16" s="11">
        <v>1180</v>
      </c>
      <c r="F16" s="11">
        <f t="shared" si="0"/>
        <v>4212.5999999999995</v>
      </c>
    </row>
    <row r="17" spans="1:6">
      <c r="A17" s="7">
        <v>15</v>
      </c>
      <c r="B17" s="8" t="s">
        <v>10</v>
      </c>
      <c r="C17" s="9">
        <v>352001993320755</v>
      </c>
      <c r="D17" s="10" t="s">
        <v>9</v>
      </c>
      <c r="E17" s="11">
        <v>1065</v>
      </c>
      <c r="F17" s="11">
        <f t="shared" si="0"/>
        <v>3802.0499999999997</v>
      </c>
    </row>
    <row r="18" spans="1:6">
      <c r="A18" s="7">
        <v>16</v>
      </c>
      <c r="B18" s="8" t="s">
        <v>10</v>
      </c>
      <c r="C18" s="9">
        <v>352001993538406</v>
      </c>
      <c r="D18" s="10" t="s">
        <v>9</v>
      </c>
      <c r="E18" s="11">
        <v>1065</v>
      </c>
      <c r="F18" s="11">
        <f t="shared" si="0"/>
        <v>3802.0499999999997</v>
      </c>
    </row>
    <row r="19" spans="1:6">
      <c r="A19" s="7">
        <v>17</v>
      </c>
      <c r="B19" s="8" t="s">
        <v>10</v>
      </c>
      <c r="C19" s="9">
        <v>352001993194531</v>
      </c>
      <c r="D19" s="10" t="s">
        <v>9</v>
      </c>
      <c r="E19" s="11">
        <v>1065</v>
      </c>
      <c r="F19" s="11">
        <f t="shared" si="0"/>
        <v>3802.0499999999997</v>
      </c>
    </row>
    <row r="20" spans="1:6">
      <c r="A20" s="7">
        <v>18</v>
      </c>
      <c r="B20" s="8" t="s">
        <v>10</v>
      </c>
      <c r="C20" s="9">
        <v>352001993207747</v>
      </c>
      <c r="D20" s="10" t="s">
        <v>9</v>
      </c>
      <c r="E20" s="11">
        <v>1065</v>
      </c>
      <c r="F20" s="11">
        <f t="shared" si="0"/>
        <v>3802.0499999999997</v>
      </c>
    </row>
    <row r="21" spans="1:6">
      <c r="A21" s="7">
        <v>19</v>
      </c>
      <c r="B21" s="8" t="s">
        <v>11</v>
      </c>
      <c r="C21" s="9">
        <v>357208787454352</v>
      </c>
      <c r="D21" s="10" t="s">
        <v>3</v>
      </c>
      <c r="E21" s="11">
        <v>530</v>
      </c>
      <c r="F21" s="11">
        <f t="shared" si="0"/>
        <v>1892.1</v>
      </c>
    </row>
    <row r="22" spans="1:6">
      <c r="A22" s="7">
        <v>20</v>
      </c>
      <c r="B22" s="8" t="s">
        <v>12</v>
      </c>
      <c r="C22" s="9">
        <v>356305889996099</v>
      </c>
      <c r="D22" s="10" t="s">
        <v>3</v>
      </c>
      <c r="E22" s="11">
        <v>530</v>
      </c>
      <c r="F22" s="11">
        <f t="shared" si="0"/>
        <v>1892.1</v>
      </c>
    </row>
    <row r="23" spans="1:6">
      <c r="A23" s="7">
        <v>21</v>
      </c>
      <c r="B23" s="8" t="s">
        <v>13</v>
      </c>
      <c r="C23" s="9">
        <v>356703573214227</v>
      </c>
      <c r="D23" s="10" t="s">
        <v>3</v>
      </c>
      <c r="E23" s="11">
        <v>340</v>
      </c>
      <c r="F23" s="11">
        <f t="shared" si="0"/>
        <v>1213.8</v>
      </c>
    </row>
    <row r="24" spans="1:6">
      <c r="A24" s="7">
        <v>22</v>
      </c>
      <c r="B24" s="8" t="s">
        <v>14</v>
      </c>
      <c r="C24" s="9">
        <v>359012141435018</v>
      </c>
      <c r="D24" s="10" t="s">
        <v>15</v>
      </c>
      <c r="E24" s="11">
        <v>420</v>
      </c>
      <c r="F24" s="11">
        <f t="shared" si="0"/>
        <v>1499.3999999999999</v>
      </c>
    </row>
    <row r="25" spans="1:6">
      <c r="A25" s="7">
        <v>23</v>
      </c>
      <c r="B25" s="8" t="s">
        <v>16</v>
      </c>
      <c r="C25" s="9">
        <v>359493734612231</v>
      </c>
      <c r="D25" s="10" t="s">
        <v>9</v>
      </c>
      <c r="E25" s="11">
        <v>510</v>
      </c>
      <c r="F25" s="11">
        <f t="shared" si="0"/>
        <v>1820.6999999999998</v>
      </c>
    </row>
    <row r="26" spans="1:6">
      <c r="A26" s="7">
        <v>24</v>
      </c>
      <c r="B26" s="8" t="s">
        <v>17</v>
      </c>
      <c r="C26" s="9">
        <v>358606711541302</v>
      </c>
      <c r="D26" s="10" t="s">
        <v>3</v>
      </c>
      <c r="E26" s="11">
        <v>550</v>
      </c>
      <c r="F26" s="11">
        <f t="shared" si="0"/>
        <v>1963.5</v>
      </c>
    </row>
    <row r="27" spans="1:6">
      <c r="A27" s="7">
        <v>25</v>
      </c>
      <c r="B27" s="8" t="s">
        <v>17</v>
      </c>
      <c r="C27" s="9">
        <v>354689824617494</v>
      </c>
      <c r="D27" s="11" t="s">
        <v>18</v>
      </c>
      <c r="E27" s="11">
        <v>380</v>
      </c>
      <c r="F27" s="11">
        <f t="shared" si="0"/>
        <v>1356.6</v>
      </c>
    </row>
    <row r="28" spans="1:6">
      <c r="A28" s="7">
        <v>26</v>
      </c>
      <c r="B28" s="8" t="s">
        <v>19</v>
      </c>
      <c r="C28" s="9">
        <v>354345293865078</v>
      </c>
      <c r="D28" s="10" t="s">
        <v>20</v>
      </c>
      <c r="E28" s="11">
        <v>540</v>
      </c>
      <c r="F28" s="11">
        <f t="shared" si="0"/>
        <v>1927.8</v>
      </c>
    </row>
    <row r="29" spans="1:6">
      <c r="A29" s="7">
        <v>27</v>
      </c>
      <c r="B29" s="8" t="s">
        <v>21</v>
      </c>
      <c r="C29" s="9">
        <v>355163567815128</v>
      </c>
      <c r="D29" s="10" t="s">
        <v>3</v>
      </c>
      <c r="E29" s="11">
        <v>190</v>
      </c>
      <c r="F29" s="11">
        <f t="shared" si="0"/>
        <v>678.3</v>
      </c>
    </row>
    <row r="30" spans="1:6">
      <c r="A30" s="7">
        <v>28</v>
      </c>
      <c r="B30" s="8" t="s">
        <v>21</v>
      </c>
      <c r="C30" s="9">
        <v>355163567146540</v>
      </c>
      <c r="D30" s="10" t="s">
        <v>3</v>
      </c>
      <c r="E30" s="11">
        <v>190</v>
      </c>
      <c r="F30" s="11">
        <f t="shared" si="0"/>
        <v>678.3</v>
      </c>
    </row>
    <row r="31" spans="1:6">
      <c r="A31" s="7">
        <v>29</v>
      </c>
      <c r="B31" s="8" t="s">
        <v>21</v>
      </c>
      <c r="C31" s="9">
        <v>355163567615098</v>
      </c>
      <c r="D31" s="10" t="s">
        <v>3</v>
      </c>
      <c r="E31" s="11">
        <v>190</v>
      </c>
      <c r="F31" s="11">
        <f t="shared" si="0"/>
        <v>678.3</v>
      </c>
    </row>
    <row r="32" spans="1:6">
      <c r="A32" s="7">
        <v>30</v>
      </c>
      <c r="B32" s="8" t="s">
        <v>22</v>
      </c>
      <c r="C32" s="9">
        <v>352355703207664</v>
      </c>
      <c r="D32" s="10"/>
      <c r="E32" s="11">
        <v>1080</v>
      </c>
      <c r="F32" s="11">
        <f t="shared" si="0"/>
        <v>3855.6</v>
      </c>
    </row>
    <row r="33" spans="1:6">
      <c r="A33" s="7">
        <v>31</v>
      </c>
      <c r="B33" s="8" t="s">
        <v>23</v>
      </c>
      <c r="C33" s="9">
        <v>358112933070584</v>
      </c>
      <c r="D33" s="10"/>
      <c r="E33" s="11">
        <v>950</v>
      </c>
      <c r="F33" s="11">
        <f t="shared" si="0"/>
        <v>3391.5</v>
      </c>
    </row>
    <row r="34" spans="1:6">
      <c r="A34" s="7">
        <v>32</v>
      </c>
      <c r="B34" s="8" t="s">
        <v>23</v>
      </c>
      <c r="C34" s="9">
        <v>358112934723512</v>
      </c>
      <c r="D34" s="10"/>
      <c r="E34" s="11">
        <v>950</v>
      </c>
      <c r="F34" s="11">
        <f t="shared" si="0"/>
        <v>3391.5</v>
      </c>
    </row>
    <row r="35" spans="1:6">
      <c r="A35" s="7">
        <v>33</v>
      </c>
      <c r="B35" s="8" t="s">
        <v>23</v>
      </c>
      <c r="C35" s="9">
        <v>358112933664790</v>
      </c>
      <c r="D35" s="10"/>
      <c r="E35" s="11">
        <v>950</v>
      </c>
      <c r="F35" s="11">
        <f t="shared" si="0"/>
        <v>3391.5</v>
      </c>
    </row>
    <row r="36" spans="1:6">
      <c r="A36" s="7">
        <v>34</v>
      </c>
      <c r="B36" s="8" t="s">
        <v>23</v>
      </c>
      <c r="C36" s="9">
        <v>358112933156094</v>
      </c>
      <c r="D36" s="10"/>
      <c r="E36" s="11">
        <v>950</v>
      </c>
      <c r="F36" s="11">
        <f t="shared" si="0"/>
        <v>3391.5</v>
      </c>
    </row>
    <row r="37" spans="1:6">
      <c r="A37" s="7">
        <v>35</v>
      </c>
      <c r="B37" s="8" t="s">
        <v>23</v>
      </c>
      <c r="C37" s="9">
        <v>358112934368599</v>
      </c>
      <c r="D37" s="10"/>
      <c r="E37" s="11">
        <v>950</v>
      </c>
      <c r="F37" s="11">
        <f t="shared" si="0"/>
        <v>3391.5</v>
      </c>
    </row>
    <row r="38" spans="1:6">
      <c r="A38" s="7">
        <v>36</v>
      </c>
      <c r="B38" s="8" t="s">
        <v>24</v>
      </c>
      <c r="C38" s="9" t="s">
        <v>25</v>
      </c>
      <c r="D38" s="10"/>
      <c r="E38" s="11">
        <v>600</v>
      </c>
      <c r="F38" s="11">
        <f t="shared" si="0"/>
        <v>2142</v>
      </c>
    </row>
    <row r="39" spans="1:6">
      <c r="A39" s="7">
        <v>37</v>
      </c>
      <c r="B39" s="8" t="s">
        <v>26</v>
      </c>
      <c r="C39" s="9">
        <v>353335920723965</v>
      </c>
      <c r="D39" s="10"/>
      <c r="E39" s="11">
        <v>500</v>
      </c>
      <c r="F39" s="11">
        <f t="shared" si="0"/>
        <v>1785</v>
      </c>
    </row>
    <row r="40" spans="1:6">
      <c r="A40" s="7">
        <v>38</v>
      </c>
      <c r="B40" s="8" t="s">
        <v>27</v>
      </c>
      <c r="C40" s="9">
        <v>357241834133489</v>
      </c>
      <c r="D40" s="10"/>
      <c r="E40" s="11">
        <v>600</v>
      </c>
      <c r="F40" s="11">
        <f t="shared" si="0"/>
        <v>2142</v>
      </c>
    </row>
    <row r="41" spans="1:6">
      <c r="A41" s="7">
        <v>39</v>
      </c>
      <c r="B41" s="8" t="s">
        <v>28</v>
      </c>
      <c r="C41" s="9">
        <v>351159024289281</v>
      </c>
      <c r="D41" s="10" t="s">
        <v>3</v>
      </c>
      <c r="E41" s="11">
        <v>350</v>
      </c>
      <c r="F41" s="11">
        <f t="shared" si="0"/>
        <v>1249.5</v>
      </c>
    </row>
    <row r="42" spans="1:6">
      <c r="A42" s="7">
        <v>40</v>
      </c>
      <c r="B42" s="8" t="s">
        <v>29</v>
      </c>
      <c r="C42" s="9">
        <v>357585654513505</v>
      </c>
      <c r="D42" s="10"/>
      <c r="E42" s="11">
        <v>350</v>
      </c>
      <c r="F42" s="11">
        <f t="shared" si="0"/>
        <v>1249.5</v>
      </c>
    </row>
    <row r="43" spans="1:6">
      <c r="A43" s="7">
        <v>41</v>
      </c>
      <c r="B43" s="8" t="s">
        <v>29</v>
      </c>
      <c r="C43" s="9">
        <v>357585654819621</v>
      </c>
      <c r="D43" s="10"/>
      <c r="E43" s="11">
        <v>350</v>
      </c>
      <c r="F43" s="11">
        <f t="shared" si="0"/>
        <v>1249.5</v>
      </c>
    </row>
    <row r="44" spans="1:6">
      <c r="A44" s="7">
        <v>42</v>
      </c>
      <c r="B44" s="8" t="s">
        <v>30</v>
      </c>
      <c r="C44" s="9" t="s">
        <v>90</v>
      </c>
      <c r="D44" s="10"/>
      <c r="E44" s="11">
        <v>350</v>
      </c>
      <c r="F44" s="11">
        <f t="shared" si="0"/>
        <v>1249.5</v>
      </c>
    </row>
    <row r="45" spans="1:6">
      <c r="A45" s="7">
        <v>43</v>
      </c>
      <c r="B45" s="8" t="s">
        <v>31</v>
      </c>
      <c r="C45" s="9" t="s">
        <v>32</v>
      </c>
      <c r="D45" s="10"/>
      <c r="E45" s="11">
        <v>2200</v>
      </c>
      <c r="F45" s="11">
        <f t="shared" si="0"/>
        <v>7854</v>
      </c>
    </row>
    <row r="46" spans="1:6">
      <c r="A46" s="7">
        <v>44</v>
      </c>
      <c r="B46" s="8" t="s">
        <v>33</v>
      </c>
      <c r="C46" s="9" t="s">
        <v>91</v>
      </c>
      <c r="D46" s="10"/>
      <c r="E46" s="11">
        <v>3100</v>
      </c>
      <c r="F46" s="11">
        <f t="shared" si="0"/>
        <v>11067</v>
      </c>
    </row>
    <row r="47" spans="1:6">
      <c r="A47" s="7">
        <v>45</v>
      </c>
      <c r="B47" s="8" t="s">
        <v>34</v>
      </c>
      <c r="C47" s="9" t="s">
        <v>35</v>
      </c>
      <c r="D47" s="10"/>
      <c r="E47" s="11">
        <v>1375</v>
      </c>
      <c r="F47" s="11">
        <f t="shared" si="0"/>
        <v>4908.75</v>
      </c>
    </row>
    <row r="48" spans="1:6">
      <c r="A48" s="7">
        <v>46</v>
      </c>
      <c r="B48" s="8" t="s">
        <v>36</v>
      </c>
      <c r="C48" s="9" t="s">
        <v>37</v>
      </c>
      <c r="D48" s="10"/>
      <c r="E48" s="11">
        <v>1675</v>
      </c>
      <c r="F48" s="11">
        <f t="shared" si="0"/>
        <v>5979.75</v>
      </c>
    </row>
    <row r="49" spans="1:6">
      <c r="A49" s="7">
        <v>47</v>
      </c>
      <c r="B49" s="8" t="s">
        <v>38</v>
      </c>
      <c r="C49" s="9" t="s">
        <v>92</v>
      </c>
      <c r="D49" s="10"/>
      <c r="E49" s="11">
        <v>1000</v>
      </c>
      <c r="F49" s="11">
        <f t="shared" si="0"/>
        <v>3570</v>
      </c>
    </row>
    <row r="50" spans="1:6">
      <c r="A50" s="7">
        <v>48</v>
      </c>
      <c r="B50" s="8" t="s">
        <v>39</v>
      </c>
      <c r="C50" s="9" t="s">
        <v>93</v>
      </c>
      <c r="D50" s="10"/>
      <c r="E50" s="11">
        <v>650</v>
      </c>
      <c r="F50" s="11">
        <f t="shared" si="0"/>
        <v>2320.5</v>
      </c>
    </row>
    <row r="51" spans="1:6">
      <c r="A51" s="7">
        <v>49</v>
      </c>
      <c r="B51" s="8" t="s">
        <v>39</v>
      </c>
      <c r="C51" s="9" t="s">
        <v>94</v>
      </c>
      <c r="D51" s="10"/>
      <c r="E51" s="11">
        <v>650</v>
      </c>
      <c r="F51" s="11">
        <f t="shared" si="0"/>
        <v>2320.5</v>
      </c>
    </row>
    <row r="52" spans="1:6">
      <c r="A52" s="7">
        <v>50</v>
      </c>
      <c r="B52" s="8" t="s">
        <v>40</v>
      </c>
      <c r="C52" s="9">
        <v>358135794647208</v>
      </c>
      <c r="D52" s="10"/>
      <c r="E52" s="11">
        <v>655</v>
      </c>
      <c r="F52" s="11">
        <f t="shared" si="0"/>
        <v>2338.35</v>
      </c>
    </row>
    <row r="53" spans="1:6">
      <c r="A53" s="7">
        <v>51</v>
      </c>
      <c r="B53" s="8" t="s">
        <v>40</v>
      </c>
      <c r="C53" s="9">
        <v>355827875606623</v>
      </c>
      <c r="D53" s="10"/>
      <c r="E53" s="11">
        <v>655</v>
      </c>
      <c r="F53" s="11">
        <f t="shared" si="0"/>
        <v>2338.35</v>
      </c>
    </row>
    <row r="54" spans="1:6">
      <c r="A54" s="7">
        <v>52</v>
      </c>
      <c r="B54" s="8" t="s">
        <v>40</v>
      </c>
      <c r="C54" s="9">
        <v>353938645737499</v>
      </c>
      <c r="D54" s="10"/>
      <c r="E54" s="11">
        <v>655</v>
      </c>
      <c r="F54" s="11">
        <f t="shared" si="0"/>
        <v>2338.35</v>
      </c>
    </row>
    <row r="55" spans="1:6">
      <c r="A55" s="7">
        <v>53</v>
      </c>
      <c r="B55" s="8" t="s">
        <v>41</v>
      </c>
      <c r="C55" s="9">
        <v>358135795730227</v>
      </c>
      <c r="D55" s="10"/>
      <c r="E55" s="11">
        <v>655</v>
      </c>
      <c r="F55" s="11">
        <f t="shared" si="0"/>
        <v>2338.35</v>
      </c>
    </row>
    <row r="56" spans="1:6">
      <c r="A56" s="7">
        <v>54</v>
      </c>
      <c r="B56" s="8" t="s">
        <v>42</v>
      </c>
      <c r="C56" s="9">
        <v>358135795547894</v>
      </c>
      <c r="D56" s="10"/>
      <c r="E56" s="11">
        <v>655</v>
      </c>
      <c r="F56" s="11">
        <f t="shared" si="0"/>
        <v>2338.35</v>
      </c>
    </row>
    <row r="57" spans="1:6">
      <c r="A57" s="7">
        <v>55</v>
      </c>
      <c r="B57" s="8" t="s">
        <v>42</v>
      </c>
      <c r="C57" s="9">
        <v>358135791880125</v>
      </c>
      <c r="D57" s="10"/>
      <c r="E57" s="11">
        <v>655</v>
      </c>
      <c r="F57" s="11">
        <f t="shared" si="0"/>
        <v>2338.35</v>
      </c>
    </row>
    <row r="58" spans="1:6">
      <c r="A58" s="7">
        <v>56</v>
      </c>
      <c r="B58" s="8" t="s">
        <v>42</v>
      </c>
      <c r="C58" s="9">
        <v>358135795012592</v>
      </c>
      <c r="D58" s="10"/>
      <c r="E58" s="11">
        <v>655</v>
      </c>
      <c r="F58" s="11">
        <f t="shared" si="0"/>
        <v>2338.35</v>
      </c>
    </row>
    <row r="59" spans="1:6">
      <c r="A59" s="7">
        <v>57</v>
      </c>
      <c r="B59" s="8" t="s">
        <v>42</v>
      </c>
      <c r="C59" s="9">
        <v>358135795323072</v>
      </c>
      <c r="D59" s="10"/>
      <c r="E59" s="11">
        <v>655</v>
      </c>
      <c r="F59" s="11">
        <f t="shared" si="0"/>
        <v>2338.35</v>
      </c>
    </row>
    <row r="60" spans="1:6">
      <c r="A60" s="7">
        <v>58</v>
      </c>
      <c r="B60" s="8" t="s">
        <v>42</v>
      </c>
      <c r="C60" s="9">
        <v>358135795096694</v>
      </c>
      <c r="D60" s="10"/>
      <c r="E60" s="11">
        <v>544</v>
      </c>
      <c r="F60" s="11">
        <f t="shared" si="0"/>
        <v>1942.08</v>
      </c>
    </row>
    <row r="61" spans="1:6">
      <c r="A61" s="7">
        <v>59</v>
      </c>
      <c r="B61" s="8" t="s">
        <v>43</v>
      </c>
      <c r="C61" s="9" t="s">
        <v>44</v>
      </c>
      <c r="D61" s="10"/>
      <c r="E61" s="11">
        <v>315</v>
      </c>
      <c r="F61" s="11">
        <f t="shared" si="0"/>
        <v>1124.55</v>
      </c>
    </row>
    <row r="62" spans="1:6">
      <c r="A62" s="7">
        <v>60</v>
      </c>
      <c r="B62" s="8" t="s">
        <v>45</v>
      </c>
      <c r="C62" s="9" t="s">
        <v>46</v>
      </c>
      <c r="D62" s="10"/>
      <c r="E62" s="11">
        <v>315</v>
      </c>
      <c r="F62" s="11">
        <f t="shared" si="0"/>
        <v>1124.55</v>
      </c>
    </row>
    <row r="63" spans="1:6">
      <c r="A63" s="7">
        <v>61</v>
      </c>
      <c r="B63" s="8" t="s">
        <v>45</v>
      </c>
      <c r="C63" s="9" t="s">
        <v>95</v>
      </c>
      <c r="D63" s="10"/>
      <c r="E63" s="11">
        <v>315</v>
      </c>
      <c r="F63" s="11">
        <f t="shared" si="0"/>
        <v>1124.55</v>
      </c>
    </row>
    <row r="64" spans="1:6">
      <c r="A64" s="7">
        <v>62</v>
      </c>
      <c r="B64" s="8" t="s">
        <v>45</v>
      </c>
      <c r="C64" s="9" t="s">
        <v>96</v>
      </c>
      <c r="D64" s="10"/>
      <c r="E64" s="11">
        <v>315</v>
      </c>
      <c r="F64" s="11">
        <f t="shared" si="0"/>
        <v>1124.55</v>
      </c>
    </row>
    <row r="65" spans="1:7">
      <c r="A65" s="7">
        <v>63</v>
      </c>
      <c r="B65" s="8" t="s">
        <v>47</v>
      </c>
      <c r="C65" s="9" t="s">
        <v>97</v>
      </c>
      <c r="D65" s="10"/>
      <c r="E65" s="11">
        <v>285</v>
      </c>
      <c r="F65" s="11">
        <f t="shared" si="0"/>
        <v>1017.4499999999999</v>
      </c>
    </row>
    <row r="66" spans="1:7">
      <c r="A66" s="17">
        <v>64</v>
      </c>
      <c r="B66" s="18" t="s">
        <v>48</v>
      </c>
      <c r="C66" s="19">
        <v>358654262465307</v>
      </c>
      <c r="D66" s="2" t="s">
        <v>115</v>
      </c>
      <c r="E66" s="2">
        <v>280</v>
      </c>
      <c r="F66" s="2">
        <f t="shared" si="0"/>
        <v>999.59999999999991</v>
      </c>
    </row>
    <row r="67" spans="1:7">
      <c r="A67" s="7">
        <v>65</v>
      </c>
      <c r="B67" s="8" t="s">
        <v>49</v>
      </c>
      <c r="C67" s="9">
        <v>357550248131511</v>
      </c>
      <c r="D67" s="10"/>
      <c r="E67" s="11">
        <v>225</v>
      </c>
      <c r="F67" s="11">
        <f t="shared" si="0"/>
        <v>803.25</v>
      </c>
      <c r="G67" s="21" t="s">
        <v>124</v>
      </c>
    </row>
    <row r="68" spans="1:7">
      <c r="A68" s="7">
        <v>66</v>
      </c>
      <c r="B68" s="8" t="s">
        <v>50</v>
      </c>
      <c r="C68" s="9" t="s">
        <v>51</v>
      </c>
      <c r="D68" s="10"/>
      <c r="E68" s="11">
        <v>225</v>
      </c>
      <c r="F68" s="11">
        <f t="shared" ref="F68:F114" si="1">E68*3.57</f>
        <v>803.25</v>
      </c>
    </row>
    <row r="69" spans="1:7">
      <c r="A69" s="7">
        <v>67</v>
      </c>
      <c r="B69" s="8" t="s">
        <v>50</v>
      </c>
      <c r="C69" s="9" t="s">
        <v>52</v>
      </c>
      <c r="D69" s="10"/>
      <c r="E69" s="11">
        <v>225</v>
      </c>
      <c r="F69" s="11">
        <f t="shared" si="1"/>
        <v>803.25</v>
      </c>
    </row>
    <row r="70" spans="1:7">
      <c r="A70" s="7">
        <v>68</v>
      </c>
      <c r="B70" s="8" t="s">
        <v>50</v>
      </c>
      <c r="C70" s="9" t="s">
        <v>53</v>
      </c>
      <c r="D70" s="10"/>
      <c r="E70" s="11">
        <v>225</v>
      </c>
      <c r="F70" s="11">
        <f t="shared" si="1"/>
        <v>803.25</v>
      </c>
    </row>
    <row r="71" spans="1:7">
      <c r="A71" s="7">
        <v>69</v>
      </c>
      <c r="B71" s="8" t="s">
        <v>50</v>
      </c>
      <c r="C71" s="9" t="s">
        <v>54</v>
      </c>
      <c r="D71" s="10"/>
      <c r="E71" s="11">
        <v>225</v>
      </c>
      <c r="F71" s="11">
        <f t="shared" si="1"/>
        <v>803.25</v>
      </c>
    </row>
    <row r="72" spans="1:7">
      <c r="A72" s="7">
        <v>70</v>
      </c>
      <c r="B72" s="8" t="s">
        <v>50</v>
      </c>
      <c r="C72" s="9" t="s">
        <v>55</v>
      </c>
      <c r="D72" s="10"/>
      <c r="E72" s="11">
        <v>225</v>
      </c>
      <c r="F72" s="11">
        <f t="shared" si="1"/>
        <v>803.25</v>
      </c>
    </row>
    <row r="73" spans="1:7">
      <c r="A73" s="7">
        <v>71</v>
      </c>
      <c r="B73" s="8" t="s">
        <v>56</v>
      </c>
      <c r="C73" s="9" t="s">
        <v>57</v>
      </c>
      <c r="D73" s="10"/>
      <c r="E73" s="11">
        <v>130</v>
      </c>
      <c r="F73" s="11">
        <f t="shared" si="1"/>
        <v>464.09999999999997</v>
      </c>
    </row>
    <row r="74" spans="1:7">
      <c r="A74" s="7">
        <v>72</v>
      </c>
      <c r="B74" s="8" t="s">
        <v>56</v>
      </c>
      <c r="C74" s="9" t="s">
        <v>58</v>
      </c>
      <c r="D74" s="10"/>
      <c r="E74" s="11">
        <v>130</v>
      </c>
      <c r="F74" s="11">
        <f t="shared" si="1"/>
        <v>464.09999999999997</v>
      </c>
    </row>
    <row r="75" spans="1:7">
      <c r="A75" s="7">
        <v>73</v>
      </c>
      <c r="B75" s="8" t="s">
        <v>56</v>
      </c>
      <c r="C75" s="9" t="s">
        <v>59</v>
      </c>
      <c r="D75" s="10"/>
      <c r="E75" s="11">
        <v>130</v>
      </c>
      <c r="F75" s="11">
        <f t="shared" si="1"/>
        <v>464.09999999999997</v>
      </c>
    </row>
    <row r="76" spans="1:7">
      <c r="A76" s="7">
        <v>74</v>
      </c>
      <c r="B76" s="8" t="s">
        <v>56</v>
      </c>
      <c r="C76" s="9" t="s">
        <v>60</v>
      </c>
      <c r="D76" s="10"/>
      <c r="E76" s="11">
        <v>130</v>
      </c>
      <c r="F76" s="11">
        <f t="shared" si="1"/>
        <v>464.09999999999997</v>
      </c>
    </row>
    <row r="77" spans="1:7">
      <c r="A77" s="7">
        <v>75</v>
      </c>
      <c r="B77" s="8" t="s">
        <v>61</v>
      </c>
      <c r="C77" s="9" t="s">
        <v>98</v>
      </c>
      <c r="D77" s="10"/>
      <c r="E77" s="11">
        <v>200</v>
      </c>
      <c r="F77" s="11">
        <f t="shared" si="1"/>
        <v>714</v>
      </c>
    </row>
    <row r="78" spans="1:7">
      <c r="A78" s="7">
        <v>76</v>
      </c>
      <c r="B78" s="8" t="s">
        <v>61</v>
      </c>
      <c r="C78" s="9" t="s">
        <v>62</v>
      </c>
      <c r="D78" s="10"/>
      <c r="E78" s="11">
        <v>200</v>
      </c>
      <c r="F78" s="11">
        <f t="shared" si="1"/>
        <v>714</v>
      </c>
    </row>
    <row r="79" spans="1:7">
      <c r="A79" s="7">
        <v>77</v>
      </c>
      <c r="B79" s="8" t="s">
        <v>61</v>
      </c>
      <c r="C79" s="9" t="s">
        <v>63</v>
      </c>
      <c r="D79" s="10"/>
      <c r="E79" s="11">
        <v>200</v>
      </c>
      <c r="F79" s="11">
        <f t="shared" si="1"/>
        <v>714</v>
      </c>
    </row>
    <row r="80" spans="1:7">
      <c r="A80" s="7">
        <v>78</v>
      </c>
      <c r="B80" s="8" t="s">
        <v>61</v>
      </c>
      <c r="C80" s="9" t="s">
        <v>99</v>
      </c>
      <c r="D80" s="10"/>
      <c r="E80" s="11">
        <v>200</v>
      </c>
      <c r="F80" s="11">
        <f t="shared" si="1"/>
        <v>714</v>
      </c>
    </row>
    <row r="81" spans="1:11">
      <c r="A81" s="7">
        <v>79</v>
      </c>
      <c r="B81" s="8" t="s">
        <v>61</v>
      </c>
      <c r="C81" s="9" t="s">
        <v>64</v>
      </c>
      <c r="D81" s="10"/>
      <c r="E81" s="11">
        <v>200</v>
      </c>
      <c r="F81" s="11">
        <f t="shared" si="1"/>
        <v>714</v>
      </c>
    </row>
    <row r="82" spans="1:11">
      <c r="A82" s="7">
        <v>80</v>
      </c>
      <c r="B82" s="8" t="s">
        <v>61</v>
      </c>
      <c r="C82" s="9" t="s">
        <v>100</v>
      </c>
      <c r="D82" s="10"/>
      <c r="E82" s="11">
        <v>200</v>
      </c>
      <c r="F82" s="11">
        <f t="shared" si="1"/>
        <v>714</v>
      </c>
    </row>
    <row r="83" spans="1:11">
      <c r="A83" s="7">
        <v>81</v>
      </c>
      <c r="B83" s="8" t="s">
        <v>61</v>
      </c>
      <c r="C83" s="9" t="s">
        <v>65</v>
      </c>
      <c r="D83" s="10"/>
      <c r="E83" s="11">
        <v>200</v>
      </c>
      <c r="F83" s="11">
        <f t="shared" si="1"/>
        <v>714</v>
      </c>
    </row>
    <row r="84" spans="1:11">
      <c r="A84" s="7">
        <v>82</v>
      </c>
      <c r="B84" s="8" t="s">
        <v>61</v>
      </c>
      <c r="C84" s="9" t="s">
        <v>101</v>
      </c>
      <c r="D84" s="10"/>
      <c r="E84" s="11">
        <v>200</v>
      </c>
      <c r="F84" s="11">
        <f t="shared" si="1"/>
        <v>714</v>
      </c>
    </row>
    <row r="85" spans="1:11">
      <c r="A85" s="7">
        <v>83</v>
      </c>
      <c r="B85" s="8" t="s">
        <v>61</v>
      </c>
      <c r="C85" s="9" t="s">
        <v>102</v>
      </c>
      <c r="D85" s="10"/>
      <c r="E85" s="11">
        <v>200</v>
      </c>
      <c r="F85" s="11">
        <f t="shared" si="1"/>
        <v>714</v>
      </c>
    </row>
    <row r="86" spans="1:11">
      <c r="A86" s="7">
        <v>84</v>
      </c>
      <c r="B86" s="8" t="s">
        <v>61</v>
      </c>
      <c r="C86" s="9" t="s">
        <v>103</v>
      </c>
      <c r="D86" s="10"/>
      <c r="E86" s="11">
        <v>200</v>
      </c>
      <c r="F86" s="11">
        <f t="shared" si="1"/>
        <v>714</v>
      </c>
    </row>
    <row r="87" spans="1:11">
      <c r="A87" s="7">
        <v>85</v>
      </c>
      <c r="B87" s="8" t="s">
        <v>61</v>
      </c>
      <c r="C87" s="9" t="s">
        <v>66</v>
      </c>
      <c r="D87" s="10"/>
      <c r="E87" s="11">
        <v>200</v>
      </c>
      <c r="F87" s="11">
        <f t="shared" si="1"/>
        <v>714</v>
      </c>
    </row>
    <row r="88" spans="1:11">
      <c r="A88" s="7">
        <v>86</v>
      </c>
      <c r="B88" s="8" t="s">
        <v>61</v>
      </c>
      <c r="C88" s="9" t="s">
        <v>67</v>
      </c>
      <c r="D88" s="10"/>
      <c r="E88" s="11">
        <v>200</v>
      </c>
      <c r="F88" s="11">
        <f t="shared" si="1"/>
        <v>714</v>
      </c>
    </row>
    <row r="89" spans="1:11">
      <c r="A89" s="7">
        <v>87</v>
      </c>
      <c r="B89" s="8" t="s">
        <v>61</v>
      </c>
      <c r="C89" s="9" t="s">
        <v>68</v>
      </c>
      <c r="D89" s="10"/>
      <c r="E89" s="11">
        <v>200</v>
      </c>
      <c r="F89" s="11">
        <f t="shared" si="1"/>
        <v>714</v>
      </c>
    </row>
    <row r="90" spans="1:11">
      <c r="A90" s="7">
        <v>88</v>
      </c>
      <c r="B90" s="8" t="s">
        <v>61</v>
      </c>
      <c r="C90" s="9" t="s">
        <v>104</v>
      </c>
      <c r="D90" s="10"/>
      <c r="E90" s="11">
        <v>200</v>
      </c>
      <c r="F90" s="11">
        <f t="shared" si="1"/>
        <v>714</v>
      </c>
    </row>
    <row r="91" spans="1:11">
      <c r="A91" s="7">
        <v>89</v>
      </c>
      <c r="B91" s="8" t="s">
        <v>61</v>
      </c>
      <c r="C91" s="9" t="s">
        <v>69</v>
      </c>
      <c r="D91" s="10"/>
      <c r="E91" s="11">
        <v>200</v>
      </c>
      <c r="F91" s="11">
        <f t="shared" si="1"/>
        <v>714</v>
      </c>
    </row>
    <row r="92" spans="1:11">
      <c r="A92" s="7">
        <v>90</v>
      </c>
      <c r="B92" s="8" t="s">
        <v>61</v>
      </c>
      <c r="C92" s="9" t="s">
        <v>105</v>
      </c>
      <c r="D92" s="10"/>
      <c r="E92" s="11">
        <v>200</v>
      </c>
      <c r="F92" s="11">
        <f t="shared" si="1"/>
        <v>714</v>
      </c>
    </row>
    <row r="93" spans="1:11">
      <c r="A93" s="7">
        <v>91</v>
      </c>
      <c r="B93" s="8" t="s">
        <v>61</v>
      </c>
      <c r="C93" s="9" t="s">
        <v>106</v>
      </c>
      <c r="D93" s="10"/>
      <c r="E93" s="11">
        <v>200</v>
      </c>
      <c r="F93" s="11">
        <f t="shared" si="1"/>
        <v>714</v>
      </c>
    </row>
    <row r="94" spans="1:11">
      <c r="A94" s="7">
        <v>92</v>
      </c>
      <c r="B94" s="8" t="s">
        <v>61</v>
      </c>
      <c r="C94" s="9" t="s">
        <v>70</v>
      </c>
      <c r="D94" s="10"/>
      <c r="E94" s="11">
        <v>200</v>
      </c>
      <c r="F94" s="11">
        <f t="shared" si="1"/>
        <v>714</v>
      </c>
    </row>
    <row r="95" spans="1:11">
      <c r="A95" s="7">
        <v>93</v>
      </c>
      <c r="B95" s="8" t="s">
        <v>71</v>
      </c>
      <c r="C95" s="9" t="s">
        <v>107</v>
      </c>
      <c r="D95" s="10"/>
      <c r="E95" s="11">
        <v>415</v>
      </c>
      <c r="F95" s="11">
        <f t="shared" si="1"/>
        <v>1481.55</v>
      </c>
      <c r="H95">
        <v>200</v>
      </c>
      <c r="I95">
        <f>E95-H95</f>
        <v>215</v>
      </c>
      <c r="J95">
        <f>H95*3.57</f>
        <v>714</v>
      </c>
      <c r="K95">
        <f>I95*3.57</f>
        <v>767.55</v>
      </c>
    </row>
    <row r="96" spans="1:11">
      <c r="A96" s="7">
        <v>94</v>
      </c>
      <c r="B96" s="8" t="s">
        <v>72</v>
      </c>
      <c r="C96" s="9" t="s">
        <v>73</v>
      </c>
      <c r="D96" s="10"/>
      <c r="E96" s="11">
        <v>85</v>
      </c>
      <c r="F96" s="11">
        <f t="shared" si="1"/>
        <v>303.45</v>
      </c>
      <c r="H96">
        <v>80</v>
      </c>
      <c r="I96">
        <f>E96-H96</f>
        <v>5</v>
      </c>
      <c r="J96">
        <f>H96*3.57</f>
        <v>285.59999999999997</v>
      </c>
      <c r="K96">
        <f>I96*3.57</f>
        <v>17.849999999999998</v>
      </c>
    </row>
    <row r="97" spans="1:11">
      <c r="A97" s="7">
        <v>95</v>
      </c>
      <c r="B97" s="8" t="s">
        <v>72</v>
      </c>
      <c r="C97" s="9" t="s">
        <v>108</v>
      </c>
      <c r="D97" s="10"/>
      <c r="E97" s="11">
        <v>85</v>
      </c>
      <c r="F97" s="11">
        <f t="shared" si="1"/>
        <v>303.45</v>
      </c>
      <c r="H97">
        <v>80</v>
      </c>
      <c r="I97">
        <f t="shared" ref="I97:I102" si="2">E97-H97</f>
        <v>5</v>
      </c>
      <c r="J97">
        <f t="shared" ref="J97:J102" si="3">H97*3.57</f>
        <v>285.59999999999997</v>
      </c>
      <c r="K97">
        <f t="shared" ref="K97:K102" si="4">I97*3.57</f>
        <v>17.849999999999998</v>
      </c>
    </row>
    <row r="98" spans="1:11">
      <c r="A98" s="7">
        <v>96</v>
      </c>
      <c r="B98" s="8" t="s">
        <v>72</v>
      </c>
      <c r="C98" s="9" t="s">
        <v>74</v>
      </c>
      <c r="D98" s="10"/>
      <c r="E98" s="11">
        <v>85</v>
      </c>
      <c r="F98" s="11">
        <f t="shared" si="1"/>
        <v>303.45</v>
      </c>
      <c r="H98">
        <v>80</v>
      </c>
      <c r="I98">
        <f t="shared" si="2"/>
        <v>5</v>
      </c>
      <c r="J98">
        <f t="shared" si="3"/>
        <v>285.59999999999997</v>
      </c>
      <c r="K98">
        <f t="shared" si="4"/>
        <v>17.849999999999998</v>
      </c>
    </row>
    <row r="99" spans="1:11">
      <c r="A99" s="7">
        <v>97</v>
      </c>
      <c r="B99" s="8" t="s">
        <v>72</v>
      </c>
      <c r="C99" s="9" t="s">
        <v>109</v>
      </c>
      <c r="D99" s="10"/>
      <c r="E99" s="11">
        <v>85</v>
      </c>
      <c r="F99" s="11">
        <f t="shared" si="1"/>
        <v>303.45</v>
      </c>
      <c r="H99">
        <v>80</v>
      </c>
      <c r="I99">
        <f t="shared" si="2"/>
        <v>5</v>
      </c>
      <c r="J99">
        <f t="shared" si="3"/>
        <v>285.59999999999997</v>
      </c>
      <c r="K99">
        <f t="shared" si="4"/>
        <v>17.849999999999998</v>
      </c>
    </row>
    <row r="100" spans="1:11">
      <c r="A100" s="7">
        <v>98</v>
      </c>
      <c r="B100" s="8" t="s">
        <v>72</v>
      </c>
      <c r="C100" s="9" t="s">
        <v>75</v>
      </c>
      <c r="D100" s="10"/>
      <c r="E100" s="11">
        <v>85</v>
      </c>
      <c r="F100" s="11">
        <f t="shared" si="1"/>
        <v>303.45</v>
      </c>
      <c r="H100">
        <v>80</v>
      </c>
      <c r="I100">
        <f t="shared" si="2"/>
        <v>5</v>
      </c>
      <c r="J100">
        <f t="shared" si="3"/>
        <v>285.59999999999997</v>
      </c>
      <c r="K100">
        <f t="shared" si="4"/>
        <v>17.849999999999998</v>
      </c>
    </row>
    <row r="101" spans="1:11">
      <c r="A101" s="12">
        <v>99</v>
      </c>
      <c r="B101" s="13" t="s">
        <v>72</v>
      </c>
      <c r="C101" s="14" t="s">
        <v>76</v>
      </c>
      <c r="D101" s="15"/>
      <c r="E101" s="16">
        <v>200</v>
      </c>
      <c r="F101" s="16">
        <f t="shared" si="1"/>
        <v>714</v>
      </c>
      <c r="G101" s="3" t="s">
        <v>121</v>
      </c>
      <c r="H101">
        <v>80</v>
      </c>
      <c r="I101">
        <f t="shared" si="2"/>
        <v>120</v>
      </c>
      <c r="J101">
        <f t="shared" si="3"/>
        <v>285.59999999999997</v>
      </c>
      <c r="K101">
        <f t="shared" si="4"/>
        <v>428.4</v>
      </c>
    </row>
    <row r="102" spans="1:11">
      <c r="A102" s="12">
        <v>100</v>
      </c>
      <c r="B102" s="13" t="s">
        <v>72</v>
      </c>
      <c r="C102" s="14" t="s">
        <v>77</v>
      </c>
      <c r="D102" s="15"/>
      <c r="E102" s="16">
        <v>200</v>
      </c>
      <c r="F102" s="16">
        <f t="shared" si="1"/>
        <v>714</v>
      </c>
      <c r="G102" s="3" t="s">
        <v>121</v>
      </c>
      <c r="H102">
        <v>80</v>
      </c>
      <c r="I102">
        <f t="shared" si="2"/>
        <v>120</v>
      </c>
      <c r="J102">
        <f t="shared" si="3"/>
        <v>285.59999999999997</v>
      </c>
      <c r="K102">
        <f t="shared" si="4"/>
        <v>428.4</v>
      </c>
    </row>
    <row r="103" spans="1:11">
      <c r="A103" s="7">
        <v>101</v>
      </c>
      <c r="B103" s="8" t="s">
        <v>78</v>
      </c>
      <c r="C103" s="9" t="s">
        <v>79</v>
      </c>
      <c r="D103" s="10"/>
      <c r="E103" s="11">
        <v>125</v>
      </c>
      <c r="F103" s="11">
        <f t="shared" si="1"/>
        <v>446.25</v>
      </c>
      <c r="H103">
        <f>SUM(H95:H102)</f>
        <v>760</v>
      </c>
      <c r="I103">
        <f>SUM(I95:I102)</f>
        <v>480</v>
      </c>
      <c r="J103">
        <f>SUM(J95:J102)</f>
        <v>2713.1999999999994</v>
      </c>
      <c r="K103">
        <f>SUM(K95:K102)</f>
        <v>1713.6</v>
      </c>
    </row>
    <row r="104" spans="1:11">
      <c r="A104" s="7">
        <v>102</v>
      </c>
      <c r="B104" s="8" t="s">
        <v>78</v>
      </c>
      <c r="C104" s="9" t="s">
        <v>110</v>
      </c>
      <c r="D104" s="10"/>
      <c r="E104" s="11">
        <v>125</v>
      </c>
      <c r="F104" s="11">
        <f t="shared" si="1"/>
        <v>446.25</v>
      </c>
    </row>
    <row r="105" spans="1:11">
      <c r="A105" s="7">
        <v>103</v>
      </c>
      <c r="B105" s="8" t="s">
        <v>78</v>
      </c>
      <c r="C105" s="9" t="s">
        <v>111</v>
      </c>
      <c r="D105" s="10"/>
      <c r="E105" s="11">
        <v>125</v>
      </c>
      <c r="F105" s="11">
        <f t="shared" si="1"/>
        <v>446.25</v>
      </c>
    </row>
    <row r="106" spans="1:11">
      <c r="A106" s="7">
        <v>104</v>
      </c>
      <c r="B106" s="8" t="s">
        <v>78</v>
      </c>
      <c r="C106" s="9" t="s">
        <v>80</v>
      </c>
      <c r="D106" s="10"/>
      <c r="E106" s="11">
        <v>125</v>
      </c>
      <c r="F106" s="11">
        <f t="shared" si="1"/>
        <v>446.25</v>
      </c>
    </row>
    <row r="107" spans="1:11">
      <c r="A107" s="7">
        <v>105</v>
      </c>
      <c r="B107" s="8" t="s">
        <v>78</v>
      </c>
      <c r="C107" s="9" t="s">
        <v>81</v>
      </c>
      <c r="D107" s="10"/>
      <c r="E107" s="11">
        <v>125</v>
      </c>
      <c r="F107" s="11">
        <f t="shared" si="1"/>
        <v>446.25</v>
      </c>
    </row>
    <row r="108" spans="1:11">
      <c r="A108" s="7">
        <v>106</v>
      </c>
      <c r="B108" s="8" t="s">
        <v>78</v>
      </c>
      <c r="C108" s="9" t="s">
        <v>82</v>
      </c>
      <c r="D108" s="10"/>
      <c r="E108" s="11">
        <v>125</v>
      </c>
      <c r="F108" s="11">
        <f t="shared" si="1"/>
        <v>446.25</v>
      </c>
    </row>
    <row r="109" spans="1:11">
      <c r="A109" s="7">
        <v>107</v>
      </c>
      <c r="B109" s="8" t="s">
        <v>83</v>
      </c>
      <c r="C109" s="9" t="s">
        <v>112</v>
      </c>
      <c r="D109" s="10"/>
      <c r="E109" s="11">
        <v>415</v>
      </c>
      <c r="F109" s="11">
        <f t="shared" si="1"/>
        <v>1481.55</v>
      </c>
    </row>
    <row r="110" spans="1:11">
      <c r="A110" s="7">
        <v>108</v>
      </c>
      <c r="B110" s="8" t="s">
        <v>84</v>
      </c>
      <c r="C110" s="9">
        <v>357079530535114</v>
      </c>
      <c r="D110" s="10"/>
      <c r="E110" s="11">
        <v>220</v>
      </c>
      <c r="F110" s="11">
        <f t="shared" si="1"/>
        <v>785.4</v>
      </c>
    </row>
    <row r="111" spans="1:11">
      <c r="A111" s="7">
        <v>109</v>
      </c>
      <c r="B111" s="8" t="s">
        <v>85</v>
      </c>
      <c r="C111" s="9">
        <v>357079530476970</v>
      </c>
      <c r="D111" s="10"/>
      <c r="E111" s="11">
        <v>220</v>
      </c>
      <c r="F111" s="11">
        <f t="shared" si="1"/>
        <v>785.4</v>
      </c>
    </row>
    <row r="112" spans="1:11">
      <c r="A112" s="7">
        <v>110</v>
      </c>
      <c r="B112" s="8" t="s">
        <v>86</v>
      </c>
      <c r="C112" s="9" t="s">
        <v>87</v>
      </c>
      <c r="D112" s="10"/>
      <c r="E112" s="11">
        <v>350</v>
      </c>
      <c r="F112" s="11">
        <f t="shared" si="1"/>
        <v>1249.5</v>
      </c>
    </row>
    <row r="113" spans="1:7">
      <c r="A113" s="7">
        <v>111</v>
      </c>
      <c r="B113" s="8" t="s">
        <v>88</v>
      </c>
      <c r="C113" s="9" t="s">
        <v>113</v>
      </c>
      <c r="D113" s="10"/>
      <c r="E113" s="11">
        <v>350</v>
      </c>
      <c r="F113" s="11">
        <f t="shared" si="1"/>
        <v>1249.5</v>
      </c>
    </row>
    <row r="114" spans="1:7">
      <c r="A114" s="7">
        <v>112</v>
      </c>
      <c r="B114" s="8" t="s">
        <v>89</v>
      </c>
      <c r="C114" s="9" t="s">
        <v>114</v>
      </c>
      <c r="D114" s="10"/>
      <c r="E114" s="11">
        <v>175</v>
      </c>
      <c r="F114" s="11">
        <f t="shared" si="1"/>
        <v>624.75</v>
      </c>
    </row>
    <row r="115" spans="1:7" ht="18.75">
      <c r="E115" s="5">
        <f>SUM(E3:E114)</f>
        <v>58569</v>
      </c>
      <c r="F115" s="6">
        <f>SUM(F3:F114)</f>
        <v>209091.33000000007</v>
      </c>
    </row>
    <row r="116" spans="1:7" ht="18.75">
      <c r="E116" s="5">
        <v>1470</v>
      </c>
      <c r="F116" s="6">
        <v>5247.9</v>
      </c>
      <c r="G116" s="6" t="s">
        <v>122</v>
      </c>
    </row>
    <row r="117" spans="1:7" ht="18.75">
      <c r="E117" s="5">
        <f>E115-E116</f>
        <v>57099</v>
      </c>
      <c r="F117" s="6">
        <f>F115-F116</f>
        <v>203843.43000000008</v>
      </c>
      <c r="G117" s="6" t="s">
        <v>123</v>
      </c>
    </row>
    <row r="120" spans="1:7">
      <c r="F120" s="20"/>
    </row>
  </sheetData>
  <autoFilter ref="A2:F117" xr:uid="{00000000-0001-0000-0000-000000000000}"/>
  <mergeCells count="1">
    <mergeCell ref="A1:B1"/>
  </mergeCells>
  <conditionalFormatting sqref="C1:C1048576">
    <cfRule type="duplicateValues" dxfId="4" priority="5"/>
  </conditionalFormatting>
  <conditionalFormatting sqref="D2">
    <cfRule type="duplicateValues" dxfId="3" priority="3"/>
  </conditionalFormatting>
  <conditionalFormatting sqref="D1:F1">
    <cfRule type="duplicateValues" dxfId="2" priority="2"/>
  </conditionalFormatting>
  <conditionalFormatting sqref="E2:F2">
    <cfRule type="duplicateValues" dxfId="1" priority="4"/>
  </conditionalFormatting>
  <conditionalFormatting sqref="G67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CFA1-3002-4F3A-B314-9E327C760CAF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</dc:title>
  <cp:lastModifiedBy>swiss tech</cp:lastModifiedBy>
  <dcterms:created xsi:type="dcterms:W3CDTF">2026-04-25T12:06:39Z</dcterms:created>
  <dcterms:modified xsi:type="dcterms:W3CDTF">2026-05-06T16:16:35Z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2026-04-25T00:00:00Z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2026-04-25T00:00:00Z</vt:filetime>
  </property>
</Properties>
</file>