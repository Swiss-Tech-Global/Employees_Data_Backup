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24" documentId="13_ncr:1_{1073E612-76EA-403A-9983-0AB5E861419A}" xr6:coauthVersionLast="47" xr6:coauthVersionMax="47" xr10:uidLastSave="{454425B4-EA28-45D8-B98E-2251ED30F77E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1'!$A$2:$F$60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61" i="1"/>
  <c r="F62" i="1"/>
  <c r="H19" i="1"/>
  <c r="G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3" i="1"/>
  <c r="E60" i="1"/>
  <c r="F60" i="1" l="1"/>
</calcChain>
</file>

<file path=xl/sharedStrings.xml><?xml version="1.0" encoding="utf-8"?>
<sst xmlns="http://schemas.openxmlformats.org/spreadsheetml/2006/main" count="89" uniqueCount="39">
  <si>
    <r>
      <rPr>
        <sz val="11"/>
        <rFont val="Arial MT"/>
        <family val="2"/>
      </rPr>
      <t>Date</t>
    </r>
  </si>
  <si>
    <r>
      <rPr>
        <sz val="11"/>
        <rFont val="Arial MT"/>
        <family val="2"/>
      </rPr>
      <t>Party Name</t>
    </r>
  </si>
  <si>
    <r>
      <rPr>
        <sz val="11"/>
        <rFont val="Arial MT"/>
        <family val="2"/>
      </rPr>
      <t>870453667113 Owais HT</t>
    </r>
  </si>
  <si>
    <t>iPhone 17 Pro Max Cosmic Orange 256 GB</t>
  </si>
  <si>
    <t>Active</t>
  </si>
  <si>
    <t>iPhone 17 Pro Max Deep Blue 256 GB</t>
  </si>
  <si>
    <t>iPhone 17 Pro Max Silver 256 GB</t>
  </si>
  <si>
    <t>System Active</t>
  </si>
  <si>
    <t>iPad Pro M5 13" (W+C) Space Black 512 GB</t>
  </si>
  <si>
    <t>iPad Air M4 13" (W+C) Space Gray 128 GB</t>
  </si>
  <si>
    <t>iPad Air M4 13" (W+C) Starlight 128 GB</t>
  </si>
  <si>
    <t>MacBook Air M5 15" MDVN4 Midnight 24 GB, 1 TB</t>
  </si>
  <si>
    <t>SL42F5W4K1W</t>
  </si>
  <si>
    <t>iWatch Series 11 Jetblack 42mm</t>
  </si>
  <si>
    <t>SLXMǪKRX7ǪY</t>
  </si>
  <si>
    <t>SC6407PXǪMG</t>
  </si>
  <si>
    <t>iWatch Series 11 Rose Gold 42mm</t>
  </si>
  <si>
    <t>SC233N9L7P1</t>
  </si>
  <si>
    <t>SDR749F2D22</t>
  </si>
  <si>
    <t>SCR64Ǫ07XG4</t>
  </si>
  <si>
    <t>SF37NJXPF7G</t>
  </si>
  <si>
    <t>AirPods 4</t>
  </si>
  <si>
    <t>SMW62X0GJJ9</t>
  </si>
  <si>
    <t>SCGYJXY7LL7</t>
  </si>
  <si>
    <t>SL4ǪNN6375T</t>
  </si>
  <si>
    <t>SHW4WY7L309</t>
  </si>
  <si>
    <t>SC4RNVDJX9K</t>
  </si>
  <si>
    <t>SCPFVPǪH091</t>
  </si>
  <si>
    <t>SM4C2Ǫ9GGKX</t>
  </si>
  <si>
    <t>SDW4G332132</t>
  </si>
  <si>
    <t>Meta Ǫuest 3 4k 512 GB</t>
  </si>
  <si>
    <t>2G97BMMH9H022V</t>
  </si>
  <si>
    <t>2G97BMMHB600GG</t>
  </si>
  <si>
    <t>Comments</t>
  </si>
  <si>
    <t>USD Prices</t>
  </si>
  <si>
    <t>AED Prices</t>
  </si>
  <si>
    <t>Purchasing 910</t>
  </si>
  <si>
    <t>Discount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</si>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</sst>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d\-yyyy;@"/>
    <numFmt numFmtId="165" formatCode="_-[$USD]\ * #,##0.00_-;\-[$USD]\ * #,##0.00_-;_-[$USD]\ * &quot;-&quot;??_-;_-@_-"/>
    <numFmt numFmtId="166" formatCode="_-[$AED]\ * #,##0.00_-;\-[$AED]\ * #,##0.00_-;_-[$AED]\ * &quot;-&quot;??_-;_-@_-"/>
  </numFmts>
  <fonts count="7">
    <font>
      <sz val="10"/>
      <color rgb="FF000000"/>
      <name val="Times New Roman"/>
      <charset val="204"/>
    </font>
    <font>
      <sz val="11"/>
      <name val="Arial MT"/>
    </font>
    <font>
      <sz val="11"/>
      <name val="Arial MT"/>
      <family val="2"/>
    </font>
    <font>
      <sz val="11"/>
      <color rgb="FF000000"/>
      <name val="Arial MT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164" fontId="3" fillId="3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wrapText="1"/>
    </xf>
    <xf numFmtId="0" fontId="1" fillId="3" borderId="4" xfId="0" applyFont="1" applyFill="1" applyBorder="1" applyAlignment="1">
      <alignment horizontal="center" vertical="top" wrapText="1"/>
    </xf>
    <xf numFmtId="2" fontId="0" fillId="0" borderId="0" xfId="0" applyNumberFormat="1" applyAlignment="1">
      <alignment horizontal="left" vertical="top"/>
    </xf>
    <xf numFmtId="0" fontId="0" fillId="4" borderId="5" xfId="0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166" fontId="6" fillId="5" borderId="5" xfId="0" applyNumberFormat="1" applyFont="1" applyFill="1" applyBorder="1" applyAlignment="1">
      <alignment horizontal="left" vertical="top"/>
    </xf>
    <xf numFmtId="165" fontId="6" fillId="5" borderId="5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49" workbookViewId="0">
      <selection activeCell="C65" sqref="C65:C69"/>
    </sheetView>
  </sheetViews>
  <sheetFormatPr defaultRowHeight="12.75"/>
  <cols>
    <col min="1" max="1" width="3.83203125" bestFit="1" customWidth="1"/>
    <col min="2" max="2" width="66" customWidth="1"/>
    <col min="3" max="3" width="30" customWidth="1"/>
    <col min="4" max="4" width="25" customWidth="1"/>
    <col min="5" max="5" width="24.5" bestFit="1" customWidth="1"/>
    <col min="6" max="6" width="26.6640625" bestFit="1" customWidth="1"/>
    <col min="7" max="7" width="22.83203125" bestFit="1" customWidth="1"/>
  </cols>
  <sheetData>
    <row r="1" spans="1:6" ht="15">
      <c r="A1" s="9" t="s">
        <v>0</v>
      </c>
      <c r="B1" s="10"/>
      <c r="C1" s="1">
        <v>46132</v>
      </c>
      <c r="D1" s="2"/>
    </row>
    <row r="2" spans="1:6" ht="14.25">
      <c r="A2" s="11" t="s">
        <v>1</v>
      </c>
      <c r="B2" s="12"/>
      <c r="C2" s="3" t="s">
        <v>2</v>
      </c>
      <c r="D2" s="3" t="s">
        <v>33</v>
      </c>
      <c r="E2" s="3" t="s">
        <v>34</v>
      </c>
      <c r="F2" s="3" t="s">
        <v>35</v>
      </c>
    </row>
    <row r="3" spans="1:6">
      <c r="A3" s="5">
        <v>1</v>
      </c>
      <c r="B3" s="8" t="s">
        <v>3</v>
      </c>
      <c r="C3" s="6">
        <v>359614542055715</v>
      </c>
      <c r="D3" s="5" t="s">
        <v>4</v>
      </c>
      <c r="E3" s="5">
        <v>910</v>
      </c>
      <c r="F3" s="7">
        <f>E3*3.57</f>
        <v>3248.7</v>
      </c>
    </row>
    <row r="4" spans="1:6">
      <c r="A4" s="5">
        <v>2</v>
      </c>
      <c r="B4" s="5" t="s">
        <v>3</v>
      </c>
      <c r="C4" s="6">
        <v>357329443565710</v>
      </c>
      <c r="D4" s="5" t="s">
        <v>4</v>
      </c>
      <c r="E4" s="5">
        <v>910</v>
      </c>
      <c r="F4" s="7">
        <f t="shared" ref="F4:F59" si="0">E4*3.57</f>
        <v>3248.7</v>
      </c>
    </row>
    <row r="5" spans="1:6">
      <c r="A5" s="5">
        <v>3</v>
      </c>
      <c r="B5" s="5" t="s">
        <v>3</v>
      </c>
      <c r="C5" s="6">
        <v>358902514996631</v>
      </c>
      <c r="D5" s="5" t="s">
        <v>4</v>
      </c>
      <c r="E5" s="5">
        <v>910</v>
      </c>
      <c r="F5" s="7">
        <f t="shared" si="0"/>
        <v>3248.7</v>
      </c>
    </row>
    <row r="6" spans="1:6">
      <c r="A6" s="5">
        <v>4</v>
      </c>
      <c r="B6" s="5" t="s">
        <v>3</v>
      </c>
      <c r="C6" s="6">
        <v>357329447162654</v>
      </c>
      <c r="D6" s="5"/>
      <c r="E6" s="5">
        <v>910</v>
      </c>
      <c r="F6" s="7">
        <f t="shared" si="0"/>
        <v>3248.7</v>
      </c>
    </row>
    <row r="7" spans="1:6">
      <c r="A7" s="5">
        <v>5</v>
      </c>
      <c r="B7" s="5" t="s">
        <v>3</v>
      </c>
      <c r="C7" s="6">
        <v>358206139332127</v>
      </c>
      <c r="D7" s="5" t="s">
        <v>4</v>
      </c>
      <c r="E7" s="5">
        <v>910</v>
      </c>
      <c r="F7" s="7">
        <f t="shared" si="0"/>
        <v>3248.7</v>
      </c>
    </row>
    <row r="8" spans="1:6">
      <c r="A8" s="5">
        <v>6</v>
      </c>
      <c r="B8" s="5" t="s">
        <v>3</v>
      </c>
      <c r="C8" s="6">
        <v>350035238459939</v>
      </c>
      <c r="D8" s="5"/>
      <c r="E8" s="5">
        <v>910</v>
      </c>
      <c r="F8" s="7">
        <f t="shared" si="0"/>
        <v>3248.7</v>
      </c>
    </row>
    <row r="9" spans="1:6">
      <c r="A9" s="5">
        <v>7</v>
      </c>
      <c r="B9" s="5" t="s">
        <v>3</v>
      </c>
      <c r="C9" s="6">
        <v>350552898824673</v>
      </c>
      <c r="D9" s="5"/>
      <c r="E9" s="5">
        <v>910</v>
      </c>
      <c r="F9" s="7">
        <f t="shared" si="0"/>
        <v>3248.7</v>
      </c>
    </row>
    <row r="10" spans="1:6">
      <c r="A10" s="5">
        <v>8</v>
      </c>
      <c r="B10" s="5" t="s">
        <v>3</v>
      </c>
      <c r="C10" s="6">
        <v>350552898592916</v>
      </c>
      <c r="D10" s="5"/>
      <c r="E10" s="5">
        <v>910</v>
      </c>
      <c r="F10" s="7">
        <f t="shared" si="0"/>
        <v>3248.7</v>
      </c>
    </row>
    <row r="11" spans="1:6">
      <c r="A11" s="5">
        <v>9</v>
      </c>
      <c r="B11" s="5" t="s">
        <v>3</v>
      </c>
      <c r="C11" s="6">
        <v>350552898446782</v>
      </c>
      <c r="D11" s="5"/>
      <c r="E11" s="5">
        <v>910</v>
      </c>
      <c r="F11" s="7">
        <f t="shared" si="0"/>
        <v>3248.7</v>
      </c>
    </row>
    <row r="12" spans="1:6">
      <c r="A12" s="5">
        <v>10</v>
      </c>
      <c r="B12" s="5" t="s">
        <v>3</v>
      </c>
      <c r="C12" s="6">
        <v>356225420483342</v>
      </c>
      <c r="D12" s="5"/>
      <c r="E12" s="5">
        <v>910</v>
      </c>
      <c r="F12" s="7">
        <f t="shared" si="0"/>
        <v>3248.7</v>
      </c>
    </row>
    <row r="13" spans="1:6">
      <c r="A13" s="5">
        <v>11</v>
      </c>
      <c r="B13" s="5" t="s">
        <v>3</v>
      </c>
      <c r="C13" s="6">
        <v>356225422846504</v>
      </c>
      <c r="D13" s="5"/>
      <c r="E13" s="5">
        <v>910</v>
      </c>
      <c r="F13" s="7">
        <f t="shared" si="0"/>
        <v>3248.7</v>
      </c>
    </row>
    <row r="14" spans="1:6">
      <c r="A14" s="5">
        <v>12</v>
      </c>
      <c r="B14" s="5" t="s">
        <v>3</v>
      </c>
      <c r="C14" s="6">
        <v>358206139869052</v>
      </c>
      <c r="D14" s="5"/>
      <c r="E14" s="5">
        <v>910</v>
      </c>
      <c r="F14" s="7">
        <f t="shared" si="0"/>
        <v>3248.7</v>
      </c>
    </row>
    <row r="15" spans="1:6">
      <c r="A15" s="5">
        <v>13</v>
      </c>
      <c r="B15" s="5" t="s">
        <v>3</v>
      </c>
      <c r="C15" s="6">
        <v>357329446447478</v>
      </c>
      <c r="D15" s="5"/>
      <c r="E15" s="5">
        <v>910</v>
      </c>
      <c r="F15" s="7">
        <f t="shared" si="0"/>
        <v>3248.7</v>
      </c>
    </row>
    <row r="16" spans="1:6">
      <c r="A16" s="5">
        <v>14</v>
      </c>
      <c r="B16" s="5" t="s">
        <v>3</v>
      </c>
      <c r="C16" s="6">
        <v>350035237281888</v>
      </c>
      <c r="D16" s="5"/>
      <c r="E16" s="5">
        <v>910</v>
      </c>
      <c r="F16" s="7">
        <f t="shared" si="0"/>
        <v>3248.7</v>
      </c>
    </row>
    <row r="17" spans="1:8">
      <c r="A17" s="5">
        <v>15</v>
      </c>
      <c r="B17" s="5" t="s">
        <v>3</v>
      </c>
      <c r="C17" s="6">
        <v>356225420168455</v>
      </c>
      <c r="D17" s="5"/>
      <c r="E17" s="5">
        <v>910</v>
      </c>
      <c r="F17" s="7">
        <f t="shared" si="0"/>
        <v>3248.7</v>
      </c>
    </row>
    <row r="18" spans="1:8">
      <c r="A18" s="5">
        <v>16</v>
      </c>
      <c r="B18" s="5" t="s">
        <v>3</v>
      </c>
      <c r="C18" s="6">
        <v>358902516870768</v>
      </c>
      <c r="D18" s="5"/>
      <c r="E18" s="5">
        <v>910</v>
      </c>
      <c r="F18" s="7">
        <f t="shared" si="0"/>
        <v>3248.7</v>
      </c>
    </row>
    <row r="19" spans="1:8">
      <c r="A19" s="5">
        <v>17</v>
      </c>
      <c r="B19" s="5" t="s">
        <v>3</v>
      </c>
      <c r="C19" s="6">
        <v>356225420016183</v>
      </c>
      <c r="D19" s="8" t="s">
        <v>36</v>
      </c>
      <c r="E19" s="5">
        <v>940</v>
      </c>
      <c r="F19" s="7">
        <f t="shared" si="0"/>
        <v>3355.7999999999997</v>
      </c>
      <c r="G19" s="4">
        <f>910*3.57</f>
        <v>3248.7</v>
      </c>
      <c r="H19" s="4">
        <f>F19-G19</f>
        <v>107.09999999999991</v>
      </c>
    </row>
    <row r="20" spans="1:8">
      <c r="A20" s="5">
        <v>18</v>
      </c>
      <c r="B20" s="5" t="s">
        <v>3</v>
      </c>
      <c r="C20" s="6">
        <v>358902517417577</v>
      </c>
      <c r="D20" s="5"/>
      <c r="E20" s="5">
        <v>910</v>
      </c>
      <c r="F20" s="7">
        <f t="shared" si="0"/>
        <v>3248.7</v>
      </c>
    </row>
    <row r="21" spans="1:8">
      <c r="A21" s="5">
        <v>19</v>
      </c>
      <c r="B21" s="5" t="s">
        <v>3</v>
      </c>
      <c r="C21" s="6">
        <v>358206138929733</v>
      </c>
      <c r="D21" s="5"/>
      <c r="E21" s="5">
        <v>910</v>
      </c>
      <c r="F21" s="7">
        <f t="shared" si="0"/>
        <v>3248.7</v>
      </c>
    </row>
    <row r="22" spans="1:8">
      <c r="A22" s="5">
        <v>20</v>
      </c>
      <c r="B22" s="5" t="s">
        <v>3</v>
      </c>
      <c r="C22" s="6">
        <v>358434702428409</v>
      </c>
      <c r="D22" s="5"/>
      <c r="E22" s="5">
        <v>910</v>
      </c>
      <c r="F22" s="7">
        <f t="shared" si="0"/>
        <v>3248.7</v>
      </c>
    </row>
    <row r="23" spans="1:8">
      <c r="A23" s="5">
        <v>21</v>
      </c>
      <c r="B23" s="5" t="s">
        <v>3</v>
      </c>
      <c r="C23" s="6">
        <v>350552898203746</v>
      </c>
      <c r="D23" s="5"/>
      <c r="E23" s="5">
        <v>910</v>
      </c>
      <c r="F23" s="7">
        <f t="shared" si="0"/>
        <v>3248.7</v>
      </c>
    </row>
    <row r="24" spans="1:8">
      <c r="A24" s="5">
        <v>22</v>
      </c>
      <c r="B24" s="5" t="s">
        <v>3</v>
      </c>
      <c r="C24" s="6">
        <v>353497859674955</v>
      </c>
      <c r="D24" s="5"/>
      <c r="E24" s="5">
        <v>940</v>
      </c>
      <c r="F24" s="7">
        <f t="shared" si="0"/>
        <v>3355.7999999999997</v>
      </c>
    </row>
    <row r="25" spans="1:8">
      <c r="A25" s="5">
        <v>23</v>
      </c>
      <c r="B25" s="5" t="s">
        <v>3</v>
      </c>
      <c r="C25" s="6">
        <v>350035237171329</v>
      </c>
      <c r="D25" s="5"/>
      <c r="E25" s="5">
        <v>910</v>
      </c>
      <c r="F25" s="7">
        <f t="shared" si="0"/>
        <v>3248.7</v>
      </c>
    </row>
    <row r="26" spans="1:8" ht="14.25" customHeight="1">
      <c r="A26" s="5">
        <v>24</v>
      </c>
      <c r="B26" s="5" t="s">
        <v>5</v>
      </c>
      <c r="C26" s="6">
        <v>350035233820630</v>
      </c>
      <c r="D26" s="5"/>
      <c r="E26" s="5">
        <v>890</v>
      </c>
      <c r="F26" s="7">
        <f t="shared" si="0"/>
        <v>3177.2999999999997</v>
      </c>
    </row>
    <row r="27" spans="1:8" ht="14.25" customHeight="1">
      <c r="A27" s="5">
        <v>25</v>
      </c>
      <c r="B27" s="5" t="s">
        <v>5</v>
      </c>
      <c r="C27" s="6">
        <v>358434709168842</v>
      </c>
      <c r="D27" s="5"/>
      <c r="E27" s="5">
        <v>890</v>
      </c>
      <c r="F27" s="7">
        <f t="shared" si="0"/>
        <v>3177.2999999999997</v>
      </c>
    </row>
    <row r="28" spans="1:8" ht="14.25" customHeight="1">
      <c r="A28" s="5">
        <v>26</v>
      </c>
      <c r="B28" s="5" t="s">
        <v>5</v>
      </c>
      <c r="C28" s="6">
        <v>357329449293614</v>
      </c>
      <c r="D28" s="5"/>
      <c r="E28" s="5">
        <v>890</v>
      </c>
      <c r="F28" s="7">
        <f t="shared" si="0"/>
        <v>3177.2999999999997</v>
      </c>
    </row>
    <row r="29" spans="1:8" ht="14.25" customHeight="1">
      <c r="A29" s="5">
        <v>27</v>
      </c>
      <c r="B29" s="5" t="s">
        <v>5</v>
      </c>
      <c r="C29" s="6">
        <v>358434709475783</v>
      </c>
      <c r="D29" s="5"/>
      <c r="E29" s="5">
        <v>890</v>
      </c>
      <c r="F29" s="7">
        <f t="shared" si="0"/>
        <v>3177.2999999999997</v>
      </c>
    </row>
    <row r="30" spans="1:8" ht="14.25" customHeight="1">
      <c r="A30" s="5">
        <v>28</v>
      </c>
      <c r="B30" s="5" t="s">
        <v>5</v>
      </c>
      <c r="C30" s="6">
        <v>350552898189374</v>
      </c>
      <c r="D30" s="5"/>
      <c r="E30" s="5">
        <v>890</v>
      </c>
      <c r="F30" s="7">
        <f t="shared" si="0"/>
        <v>3177.2999999999997</v>
      </c>
    </row>
    <row r="31" spans="1:8" ht="14.25" customHeight="1">
      <c r="A31" s="5">
        <v>29</v>
      </c>
      <c r="B31" s="5" t="s">
        <v>5</v>
      </c>
      <c r="C31" s="6">
        <v>359814718786685</v>
      </c>
      <c r="D31" s="5"/>
      <c r="E31" s="5">
        <v>890</v>
      </c>
      <c r="F31" s="7">
        <f t="shared" si="0"/>
        <v>3177.2999999999997</v>
      </c>
    </row>
    <row r="32" spans="1:8">
      <c r="A32" s="5">
        <v>30</v>
      </c>
      <c r="B32" s="5" t="s">
        <v>5</v>
      </c>
      <c r="C32" s="6">
        <v>357329448436974</v>
      </c>
      <c r="D32" s="5"/>
      <c r="E32" s="5">
        <v>890</v>
      </c>
      <c r="F32" s="7">
        <f t="shared" si="0"/>
        <v>3177.2999999999997</v>
      </c>
    </row>
    <row r="33" spans="1:6" ht="14.25" customHeight="1">
      <c r="A33" s="5">
        <v>31</v>
      </c>
      <c r="B33" s="5" t="s">
        <v>5</v>
      </c>
      <c r="C33" s="6">
        <v>357329448679995</v>
      </c>
      <c r="D33" s="5"/>
      <c r="E33" s="5">
        <v>890</v>
      </c>
      <c r="F33" s="7">
        <f t="shared" si="0"/>
        <v>3177.2999999999997</v>
      </c>
    </row>
    <row r="34" spans="1:6" ht="14.25" customHeight="1">
      <c r="A34" s="5">
        <v>32</v>
      </c>
      <c r="B34" s="8" t="s">
        <v>6</v>
      </c>
      <c r="C34" s="6">
        <v>353497857476999</v>
      </c>
      <c r="D34" s="5"/>
      <c r="E34" s="5">
        <v>940</v>
      </c>
      <c r="F34" s="7">
        <f t="shared" si="0"/>
        <v>3355.7999999999997</v>
      </c>
    </row>
    <row r="35" spans="1:6" ht="14.25" customHeight="1">
      <c r="A35" s="5">
        <v>33</v>
      </c>
      <c r="B35" s="5" t="s">
        <v>6</v>
      </c>
      <c r="C35" s="6">
        <v>356225420649777</v>
      </c>
      <c r="D35" s="5"/>
      <c r="E35" s="5">
        <v>940</v>
      </c>
      <c r="F35" s="7">
        <f t="shared" si="0"/>
        <v>3355.7999999999997</v>
      </c>
    </row>
    <row r="36" spans="1:6" ht="14.25" customHeight="1">
      <c r="A36" s="5">
        <v>34</v>
      </c>
      <c r="B36" s="5" t="s">
        <v>6</v>
      </c>
      <c r="C36" s="6">
        <v>353497857457718</v>
      </c>
      <c r="D36" s="5"/>
      <c r="E36" s="5">
        <v>940</v>
      </c>
      <c r="F36" s="7">
        <f t="shared" si="0"/>
        <v>3355.7999999999997</v>
      </c>
    </row>
    <row r="37" spans="1:6" ht="14.25" customHeight="1">
      <c r="A37" s="5">
        <v>35</v>
      </c>
      <c r="B37" s="5" t="s">
        <v>6</v>
      </c>
      <c r="C37" s="6">
        <v>358902516190852</v>
      </c>
      <c r="D37" s="5"/>
      <c r="E37" s="5">
        <v>940</v>
      </c>
      <c r="F37" s="7">
        <f t="shared" si="0"/>
        <v>3355.7999999999997</v>
      </c>
    </row>
    <row r="38" spans="1:6" ht="14.25" customHeight="1">
      <c r="A38" s="5">
        <v>36</v>
      </c>
      <c r="B38" s="5" t="s">
        <v>6</v>
      </c>
      <c r="C38" s="6">
        <v>356225420213871</v>
      </c>
      <c r="D38" s="5"/>
      <c r="E38" s="5">
        <v>940</v>
      </c>
      <c r="F38" s="7">
        <f t="shared" si="0"/>
        <v>3355.7999999999997</v>
      </c>
    </row>
    <row r="39" spans="1:6">
      <c r="A39" s="5">
        <v>37</v>
      </c>
      <c r="B39" s="8" t="s">
        <v>6</v>
      </c>
      <c r="C39" s="6">
        <v>359814719223902</v>
      </c>
      <c r="D39" s="5" t="s">
        <v>7</v>
      </c>
      <c r="E39" s="5">
        <v>910</v>
      </c>
      <c r="F39" s="7">
        <f t="shared" si="0"/>
        <v>3248.7</v>
      </c>
    </row>
    <row r="40" spans="1:6">
      <c r="A40" s="5">
        <v>38</v>
      </c>
      <c r="B40" s="8" t="s">
        <v>8</v>
      </c>
      <c r="C40" s="6">
        <v>352355708043148</v>
      </c>
      <c r="D40" s="5"/>
      <c r="E40" s="5">
        <v>1320</v>
      </c>
      <c r="F40" s="7">
        <f t="shared" si="0"/>
        <v>4712.3999999999996</v>
      </c>
    </row>
    <row r="41" spans="1:6">
      <c r="A41" s="5">
        <v>39</v>
      </c>
      <c r="B41" s="8" t="s">
        <v>9</v>
      </c>
      <c r="C41" s="6">
        <v>352255852984487</v>
      </c>
      <c r="D41" s="5"/>
      <c r="E41" s="5">
        <v>720</v>
      </c>
      <c r="F41" s="7">
        <f t="shared" si="0"/>
        <v>2570.4</v>
      </c>
    </row>
    <row r="42" spans="1:6">
      <c r="A42" s="5">
        <v>40</v>
      </c>
      <c r="B42" s="8" t="s">
        <v>10</v>
      </c>
      <c r="C42" s="6">
        <v>352255854683442</v>
      </c>
      <c r="D42" s="5"/>
      <c r="E42" s="5">
        <v>720</v>
      </c>
      <c r="F42" s="7">
        <f t="shared" si="0"/>
        <v>2570.4</v>
      </c>
    </row>
    <row r="43" spans="1:6">
      <c r="A43" s="5">
        <v>41</v>
      </c>
      <c r="B43" s="8" t="s">
        <v>11</v>
      </c>
      <c r="C43" s="6" t="s">
        <v>12</v>
      </c>
      <c r="D43" s="5" t="s">
        <v>7</v>
      </c>
      <c r="E43" s="5">
        <v>1375</v>
      </c>
      <c r="F43" s="7">
        <f t="shared" si="0"/>
        <v>4908.75</v>
      </c>
    </row>
    <row r="44" spans="1:6">
      <c r="A44" s="5">
        <v>42</v>
      </c>
      <c r="B44" s="5" t="s">
        <v>13</v>
      </c>
      <c r="C44" s="6" t="s">
        <v>14</v>
      </c>
      <c r="D44" s="5"/>
      <c r="E44" s="5">
        <v>325</v>
      </c>
      <c r="F44" s="7">
        <f t="shared" si="0"/>
        <v>1160.25</v>
      </c>
    </row>
    <row r="45" spans="1:6">
      <c r="A45" s="5">
        <v>43</v>
      </c>
      <c r="B45" s="5" t="s">
        <v>13</v>
      </c>
      <c r="C45" s="6" t="s">
        <v>15</v>
      </c>
      <c r="D45" s="5"/>
      <c r="E45" s="5">
        <v>325</v>
      </c>
      <c r="F45" s="7">
        <f t="shared" si="0"/>
        <v>1160.25</v>
      </c>
    </row>
    <row r="46" spans="1:6">
      <c r="A46" s="5">
        <v>44</v>
      </c>
      <c r="B46" s="5" t="s">
        <v>16</v>
      </c>
      <c r="C46" s="6" t="s">
        <v>17</v>
      </c>
      <c r="D46" s="5"/>
      <c r="E46" s="5">
        <v>325</v>
      </c>
      <c r="F46" s="7">
        <f t="shared" si="0"/>
        <v>1160.25</v>
      </c>
    </row>
    <row r="47" spans="1:6">
      <c r="A47" s="5">
        <v>45</v>
      </c>
      <c r="B47" s="5" t="s">
        <v>16</v>
      </c>
      <c r="C47" s="6" t="s">
        <v>18</v>
      </c>
      <c r="D47" s="5"/>
      <c r="E47" s="5">
        <v>325</v>
      </c>
      <c r="F47" s="7">
        <f t="shared" si="0"/>
        <v>1160.25</v>
      </c>
    </row>
    <row r="48" spans="1:6">
      <c r="A48" s="5">
        <v>46</v>
      </c>
      <c r="B48" s="5" t="s">
        <v>16</v>
      </c>
      <c r="C48" s="6" t="s">
        <v>19</v>
      </c>
      <c r="D48" s="5"/>
      <c r="E48" s="5">
        <v>325</v>
      </c>
      <c r="F48" s="7">
        <f t="shared" si="0"/>
        <v>1160.25</v>
      </c>
    </row>
    <row r="49" spans="1:7">
      <c r="A49" s="5">
        <v>47</v>
      </c>
      <c r="B49" s="5" t="s">
        <v>16</v>
      </c>
      <c r="C49" s="6" t="s">
        <v>20</v>
      </c>
      <c r="D49" s="5"/>
      <c r="E49" s="5">
        <v>325</v>
      </c>
      <c r="F49" s="7">
        <f t="shared" si="0"/>
        <v>1160.25</v>
      </c>
    </row>
    <row r="50" spans="1:7">
      <c r="A50" s="5">
        <v>48</v>
      </c>
      <c r="B50" s="5" t="s">
        <v>21</v>
      </c>
      <c r="C50" s="6" t="s">
        <v>22</v>
      </c>
      <c r="D50" s="5"/>
      <c r="E50" s="5">
        <v>85</v>
      </c>
      <c r="F50" s="7">
        <f t="shared" si="0"/>
        <v>303.45</v>
      </c>
    </row>
    <row r="51" spans="1:7">
      <c r="A51" s="5">
        <v>49</v>
      </c>
      <c r="B51" s="5" t="s">
        <v>21</v>
      </c>
      <c r="C51" s="6" t="s">
        <v>23</v>
      </c>
      <c r="D51" s="5"/>
      <c r="E51" s="5">
        <v>85</v>
      </c>
      <c r="F51" s="7">
        <f t="shared" si="0"/>
        <v>303.45</v>
      </c>
    </row>
    <row r="52" spans="1:7">
      <c r="A52" s="5">
        <v>50</v>
      </c>
      <c r="B52" s="5" t="s">
        <v>21</v>
      </c>
      <c r="C52" s="6" t="s">
        <v>24</v>
      </c>
      <c r="D52" s="5"/>
      <c r="E52" s="5">
        <v>85</v>
      </c>
      <c r="F52" s="7">
        <f t="shared" si="0"/>
        <v>303.45</v>
      </c>
    </row>
    <row r="53" spans="1:7">
      <c r="A53" s="5">
        <v>51</v>
      </c>
      <c r="B53" s="5" t="s">
        <v>21</v>
      </c>
      <c r="C53" s="6" t="s">
        <v>25</v>
      </c>
      <c r="D53" s="5"/>
      <c r="E53" s="5">
        <v>85</v>
      </c>
      <c r="F53" s="7">
        <f t="shared" si="0"/>
        <v>303.45</v>
      </c>
    </row>
    <row r="54" spans="1:7">
      <c r="A54" s="5">
        <v>52</v>
      </c>
      <c r="B54" s="5" t="s">
        <v>21</v>
      </c>
      <c r="C54" s="6" t="s">
        <v>26</v>
      </c>
      <c r="D54" s="5"/>
      <c r="E54" s="5">
        <v>85</v>
      </c>
      <c r="F54" s="7">
        <f t="shared" si="0"/>
        <v>303.45</v>
      </c>
    </row>
    <row r="55" spans="1:7">
      <c r="A55" s="5">
        <v>53</v>
      </c>
      <c r="B55" s="5" t="s">
        <v>21</v>
      </c>
      <c r="C55" s="6" t="s">
        <v>27</v>
      </c>
      <c r="D55" s="5"/>
      <c r="E55" s="5">
        <v>85</v>
      </c>
      <c r="F55" s="7">
        <f t="shared" si="0"/>
        <v>303.45</v>
      </c>
    </row>
    <row r="56" spans="1:7">
      <c r="A56" s="5">
        <v>54</v>
      </c>
      <c r="B56" s="5" t="s">
        <v>21</v>
      </c>
      <c r="C56" s="6" t="s">
        <v>28</v>
      </c>
      <c r="D56" s="5"/>
      <c r="E56" s="5">
        <v>85</v>
      </c>
      <c r="F56" s="7">
        <f t="shared" si="0"/>
        <v>303.45</v>
      </c>
    </row>
    <row r="57" spans="1:7">
      <c r="A57" s="5">
        <v>55</v>
      </c>
      <c r="B57" s="5" t="s">
        <v>21</v>
      </c>
      <c r="C57" s="6" t="s">
        <v>29</v>
      </c>
      <c r="D57" s="5"/>
      <c r="E57" s="5">
        <v>85</v>
      </c>
      <c r="F57" s="7">
        <f t="shared" si="0"/>
        <v>303.45</v>
      </c>
    </row>
    <row r="58" spans="1:7">
      <c r="A58" s="5">
        <v>56</v>
      </c>
      <c r="B58" s="5" t="s">
        <v>30</v>
      </c>
      <c r="C58" s="6" t="s">
        <v>31</v>
      </c>
      <c r="D58" s="5"/>
      <c r="E58" s="5">
        <v>425</v>
      </c>
      <c r="F58" s="7">
        <f t="shared" si="0"/>
        <v>1517.25</v>
      </c>
    </row>
    <row r="59" spans="1:7">
      <c r="A59" s="5">
        <v>57</v>
      </c>
      <c r="B59" s="5" t="s">
        <v>30</v>
      </c>
      <c r="C59" s="6" t="s">
        <v>32</v>
      </c>
      <c r="D59" s="5"/>
      <c r="E59" s="5">
        <v>425</v>
      </c>
      <c r="F59" s="7">
        <f t="shared" si="0"/>
        <v>1517.25</v>
      </c>
    </row>
    <row r="60" spans="1:7" ht="18.75">
      <c r="E60" s="14">
        <f>SUM(E3:E59)</f>
        <v>41335</v>
      </c>
      <c r="F60" s="13">
        <f>SUM(F3:F59)</f>
        <v>147565.9500000001</v>
      </c>
    </row>
    <row r="61" spans="1:7" ht="18.75">
      <c r="E61" s="14">
        <f>F61/3.57</f>
        <v>270.00000000000489</v>
      </c>
      <c r="F61" s="13">
        <v>963.90000000001749</v>
      </c>
      <c r="G61" s="13" t="s">
        <v>37</v>
      </c>
    </row>
    <row r="62" spans="1:7" ht="18.75">
      <c r="E62" s="14">
        <f>E60-E61</f>
        <v>41064.999999999993</v>
      </c>
      <c r="F62" s="13">
        <f>F60-F61</f>
        <v>146602.05000000008</v>
      </c>
      <c r="G62" s="13" t="s">
        <v>38</v>
      </c>
    </row>
  </sheetData>
  <autoFilter ref="A2:F60" xr:uid="{00000000-0001-0000-0000-000000000000}">
    <filterColumn colId="0" showButton="0"/>
  </autoFilter>
  <mergeCells count="2">
    <mergeCell ref="A1:B1"/>
    <mergeCell ref="A2:B2"/>
  </mergeCells>
  <conditionalFormatting sqref="C1:C1048576">
    <cfRule type="duplicateValues" dxfId="3" priority="1"/>
    <cfRule type="duplicateValues" dxfId="2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2026-04-21T10:45:31Z</dcterms:created>
  <dcterms:modified xsi:type="dcterms:W3CDTF">2026-04-28T10:23:39Z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2026-04-21T00:00:00Z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2026-04-21T00:00:00Z</vt:filetime>
  </property>
</Properties>
</file>