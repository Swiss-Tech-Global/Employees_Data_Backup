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3EF9B5B0-347D-4E56-92FA-916C818316A1}" xr6:coauthVersionLast="47" xr6:coauthVersionMax="47" xr10:uidLastSave="{00000000-0000-0000-0000-000000000000}"/>
  <bookViews>
    <workbookView xWindow="20370" yWindow="-120" windowWidth="29040" windowHeight="17520" xr2:uid="{78B80D7C-8F37-44B6-B437-0FD72362EEB4}"/>
  </bookViews>
  <sheets>
    <sheet name="invoice" sheetId="1" r:id="rId1"/>
    <sheet name="Invoice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5" i="2" l="1"/>
  <c r="I291" i="2"/>
  <c r="J291" i="2"/>
  <c r="K291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66" i="2"/>
  <c r="C262" i="2" l="1"/>
  <c r="I258" i="2"/>
  <c r="J258" i="2"/>
  <c r="K258" i="2"/>
  <c r="K257" i="2"/>
  <c r="K256" i="2"/>
  <c r="K255" i="2"/>
  <c r="K254" i="2"/>
  <c r="K253" i="2"/>
  <c r="K252" i="2"/>
  <c r="C248" i="2" l="1"/>
  <c r="I244" i="2"/>
  <c r="J244" i="2"/>
  <c r="K244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05" i="2"/>
  <c r="C201" i="2" l="1"/>
  <c r="I197" i="2" l="1"/>
  <c r="J197" i="2"/>
  <c r="K191" i="2"/>
  <c r="K192" i="2"/>
  <c r="K193" i="2"/>
  <c r="K194" i="2"/>
  <c r="K195" i="2"/>
  <c r="K196" i="2"/>
  <c r="K190" i="2"/>
  <c r="K197" i="2" l="1"/>
  <c r="C186" i="2" l="1"/>
  <c r="I182" i="2" l="1"/>
  <c r="J182" i="2"/>
  <c r="K182" i="2"/>
  <c r="C166" i="2" l="1"/>
  <c r="I162" i="2"/>
  <c r="J162" i="2"/>
  <c r="K162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05" i="2"/>
  <c r="C99" i="2" l="1"/>
  <c r="I95" i="2"/>
  <c r="J95" i="2"/>
  <c r="K95" i="2"/>
  <c r="K84" i="2"/>
  <c r="K85" i="2"/>
  <c r="K86" i="2"/>
  <c r="K87" i="2"/>
  <c r="K88" i="2"/>
  <c r="K89" i="2"/>
  <c r="K90" i="2"/>
  <c r="K91" i="2"/>
  <c r="K92" i="2"/>
  <c r="K93" i="2"/>
  <c r="K94" i="2"/>
  <c r="K83" i="2"/>
  <c r="C79" i="2" l="1"/>
  <c r="I75" i="2"/>
  <c r="J75" i="2"/>
  <c r="K75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39" i="2"/>
  <c r="C34" i="2" l="1"/>
  <c r="I30" i="2"/>
  <c r="J30" i="2"/>
  <c r="K30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2" i="2"/>
  <c r="B31" i="1"/>
  <c r="C31" i="1"/>
  <c r="B21" i="1"/>
  <c r="C21" i="1"/>
  <c r="D30" i="1"/>
  <c r="D12" i="1"/>
  <c r="D29" i="1"/>
  <c r="D13" i="1"/>
  <c r="D14" i="1"/>
  <c r="D15" i="1"/>
  <c r="D16" i="1"/>
  <c r="D17" i="1"/>
  <c r="D18" i="1"/>
  <c r="D19" i="1"/>
  <c r="D20" i="1"/>
  <c r="D31" i="1" l="1"/>
  <c r="D21" i="1"/>
</calcChain>
</file>

<file path=xl/sharedStrings.xml><?xml version="1.0" encoding="utf-8"?>
<sst xmlns="http://schemas.openxmlformats.org/spreadsheetml/2006/main" count="1476" uniqueCount="249">
  <si>
    <t>INVOICE AR 1</t>
  </si>
  <si>
    <t>INVOICE AR 4</t>
  </si>
  <si>
    <t>INVOICE AR 2</t>
  </si>
  <si>
    <t>INVOICE AR 5</t>
  </si>
  <si>
    <t>INVOICE AR 6</t>
  </si>
  <si>
    <t>INVOICE AR 7/AR AR 7 PALLET</t>
  </si>
  <si>
    <t>INVOICE AR 9</t>
  </si>
  <si>
    <t>INVOICE AR P10</t>
  </si>
  <si>
    <t>INVOICE AR 11</t>
  </si>
  <si>
    <t>INVOICE AR 12</t>
  </si>
  <si>
    <t>INVOICE AR 13</t>
  </si>
  <si>
    <t>INVOICE AR 14/16 PHONES ON</t>
  </si>
  <si>
    <t>INVOICE AR 15</t>
  </si>
  <si>
    <t>AR 16 EST LEFT pending invoice</t>
  </si>
  <si>
    <t>AR18 pallet</t>
  </si>
  <si>
    <t>INVOICE</t>
  </si>
  <si>
    <t>AR 17 EST</t>
  </si>
  <si>
    <t>Invoice Number</t>
  </si>
  <si>
    <t>Owais Invoice</t>
  </si>
  <si>
    <t>Updated Invoice</t>
  </si>
  <si>
    <t>Different</t>
  </si>
  <si>
    <t>Different Amount</t>
  </si>
  <si>
    <t>Sr No</t>
  </si>
  <si>
    <t>ITEM DESCRIPTION</t>
  </si>
  <si>
    <t>IMEI/SN:</t>
  </si>
  <si>
    <t>STORAGE</t>
  </si>
  <si>
    <t>COLOR</t>
  </si>
  <si>
    <t>BOX/HSO</t>
  </si>
  <si>
    <t>CARRIER</t>
  </si>
  <si>
    <t>STATUS</t>
  </si>
  <si>
    <t>PRICE</t>
  </si>
  <si>
    <t>Last Purchasing</t>
  </si>
  <si>
    <t>IPAD AIR 13 M4 128GB</t>
  </si>
  <si>
    <t>128GB</t>
  </si>
  <si>
    <t>GRAY</t>
  </si>
  <si>
    <t>BOX</t>
  </si>
  <si>
    <t>UNLOCK</t>
  </si>
  <si>
    <t>NON ACTIVE</t>
  </si>
  <si>
    <t>iPad Pro 13-inch 8th Gen 256GB 5G</t>
  </si>
  <si>
    <t>LV191YXDT9</t>
  </si>
  <si>
    <t>256GB</t>
  </si>
  <si>
    <t>BLACK</t>
  </si>
  <si>
    <t>WIFI</t>
  </si>
  <si>
    <t>iPad Pro 13-inch 8th Gen 256GB Wi-Fi</t>
  </si>
  <si>
    <t>MXJLWQK7V4</t>
  </si>
  <si>
    <t>SILVER</t>
  </si>
  <si>
    <t>JR64XQW5DD</t>
  </si>
  <si>
    <t>Apple Watch Ultra 3 49MM 2025</t>
  </si>
  <si>
    <t>-</t>
  </si>
  <si>
    <t>FLW13Q6YL0</t>
  </si>
  <si>
    <t>G33QFP000K</t>
  </si>
  <si>
    <t>iPad Pro 13-inch 8th Gen 512GB 5G</t>
  </si>
  <si>
    <t>512GB</t>
  </si>
  <si>
    <t>CV7K2KHF12</t>
  </si>
  <si>
    <t>K6L34PR734</t>
  </si>
  <si>
    <t>IPAD A16 128GB</t>
  </si>
  <si>
    <t>BLUE</t>
  </si>
  <si>
    <t>ACTIVE</t>
  </si>
  <si>
    <t>JKMH4VGGYK</t>
  </si>
  <si>
    <t>K6N7J6W1YH</t>
  </si>
  <si>
    <t>iPhone 17 Air 256GB (Unlocked)</t>
  </si>
  <si>
    <t>GOLD</t>
  </si>
  <si>
    <t>J7N9H7WJY3</t>
  </si>
  <si>
    <t>HCR7PV27HQ</t>
  </si>
  <si>
    <t>CP4413HNYH</t>
  </si>
  <si>
    <t>LV6GHCXM02</t>
  </si>
  <si>
    <t>JTYY4PQ7VL</t>
  </si>
  <si>
    <t>iPhone 17 Pro Max Unlocked 512GB (Unlocked)</t>
  </si>
  <si>
    <t>ORANGE</t>
  </si>
  <si>
    <t>HP4D52DWD9</t>
  </si>
  <si>
    <t>CYF7NTJ24N</t>
  </si>
  <si>
    <t>LK2CQYV6KH</t>
  </si>
  <si>
    <t>Last Purchasing Invoice</t>
  </si>
  <si>
    <t>Total Invoice Amount</t>
  </si>
  <si>
    <t>iPhone 17 Pro Max Locked 256GB (Locked)</t>
  </si>
  <si>
    <t>BOOST</t>
  </si>
  <si>
    <t>iPhone 17 Pro Max 256GB (Locked)</t>
  </si>
  <si>
    <t>AT&amp;T</t>
  </si>
  <si>
    <t>VERIZON</t>
  </si>
  <si>
    <t>iPhone 17 Pro 256GB (Locked)</t>
  </si>
  <si>
    <t>Motorola Moto G 128GB</t>
  </si>
  <si>
    <t>HSO</t>
  </si>
  <si>
    <t>Motorola Moto G 64GB</t>
  </si>
  <si>
    <t>64GB</t>
  </si>
  <si>
    <t>Meta Ray Ban Headliner Gen 2</t>
  </si>
  <si>
    <t>4V0ZH12HC404Y2</t>
  </si>
  <si>
    <t>4V0ZH12HC002C0</t>
  </si>
  <si>
    <t>Ray-Ban Wayfarer Gen 2</t>
  </si>
  <si>
    <t>4V0ZW04HBW05JY</t>
  </si>
  <si>
    <t>AirPods Max USB-C</t>
  </si>
  <si>
    <t>H2XX57WJQK</t>
  </si>
  <si>
    <t>MIDNIGHT</t>
  </si>
  <si>
    <t>iPad 2022 10th (10.9 inch) 64GB Wi-Fi</t>
  </si>
  <si>
    <t>H9V9G96V4T</t>
  </si>
  <si>
    <t>YELLOW</t>
  </si>
  <si>
    <t>4V37W23H8G00H6</t>
  </si>
  <si>
    <t>GREEN</t>
  </si>
  <si>
    <t>XFINITY</t>
  </si>
  <si>
    <t>Apple Watch S11 42MM GPS</t>
  </si>
  <si>
    <t>DW6MXLVFTX</t>
  </si>
  <si>
    <t>Apple Watch S11 46MM GPS</t>
  </si>
  <si>
    <t>MX6RPQQ4CJ</t>
  </si>
  <si>
    <t>C932J3C0YQ</t>
  </si>
  <si>
    <t>iPad Pro 11-inch 6th Gen 256GB 5G</t>
  </si>
  <si>
    <t>Apple Watch S11 46MM Cellular</t>
  </si>
  <si>
    <t>C76PWF4PHP</t>
  </si>
  <si>
    <t>FQRVQXMGYH</t>
  </si>
  <si>
    <t>SPECTRUM</t>
  </si>
  <si>
    <t>iPhone 17 Pro Locked 256GB</t>
  </si>
  <si>
    <t>Bell</t>
  </si>
  <si>
    <t>iPhone 17 Pro Locked 256GB (Locked)</t>
  </si>
  <si>
    <t>CRICKET</t>
  </si>
  <si>
    <t>iPhone 17e 256GB (Locked)</t>
  </si>
  <si>
    <t>8056262721377-4</t>
  </si>
  <si>
    <t>8056262721377-1</t>
  </si>
  <si>
    <t>8056262721377-2</t>
  </si>
  <si>
    <t>8056262721377-3</t>
  </si>
  <si>
    <t>iPhone 17 Pro Max Locked 256GB(Locked)</t>
  </si>
  <si>
    <t>NONACTIVE</t>
  </si>
  <si>
    <t>ROSEGOLD</t>
  </si>
  <si>
    <t>SC233N9L7P1</t>
  </si>
  <si>
    <t>SCR64Ǫ07XG4</t>
  </si>
  <si>
    <t>SDR749F2D22</t>
  </si>
  <si>
    <t>SF37NJXPF7G</t>
  </si>
  <si>
    <t>SLXMǪKRX7ǪY</t>
  </si>
  <si>
    <t>SC6407PXǪMG</t>
  </si>
  <si>
    <t>Xbox X</t>
  </si>
  <si>
    <t>XBOX X</t>
  </si>
  <si>
    <r>
      <rPr>
        <sz val="11"/>
        <rFont val="Verdana"/>
        <family val="2"/>
      </rPr>
      <t>PS5 Digital</t>
    </r>
  </si>
  <si>
    <r>
      <rPr>
        <sz val="11"/>
        <rFont val="Verdana"/>
        <family val="2"/>
      </rPr>
      <t>S01V55901UNL11544723</t>
    </r>
  </si>
  <si>
    <r>
      <rPr>
        <sz val="11"/>
        <rFont val="Verdana"/>
        <family val="2"/>
      </rPr>
      <t>BOX</t>
    </r>
  </si>
  <si>
    <r>
      <rPr>
        <sz val="11"/>
        <rFont val="Verdana"/>
        <family val="2"/>
      </rPr>
      <t>NON ACTIVE</t>
    </r>
  </si>
  <si>
    <r>
      <rPr>
        <sz val="11"/>
        <rFont val="Verdana"/>
        <family val="2"/>
      </rPr>
      <t>WIFI</t>
    </r>
  </si>
  <si>
    <r>
      <rPr>
        <sz val="11"/>
        <rFont val="Verdana"/>
        <family val="2"/>
      </rPr>
      <t>WHITE</t>
    </r>
  </si>
  <si>
    <r>
      <rPr>
        <sz val="11"/>
        <rFont val="Verdana"/>
        <family val="2"/>
      </rPr>
      <t>S01M55901RU310372360</t>
    </r>
  </si>
  <si>
    <r>
      <rPr>
        <sz val="11"/>
        <rFont val="Verdana"/>
        <family val="2"/>
      </rPr>
      <t>S01V55901UNL11465636</t>
    </r>
  </si>
  <si>
    <r>
      <rPr>
        <sz val="11"/>
        <rFont val="Verdana"/>
        <family val="2"/>
      </rPr>
      <t>PS5-Digital</t>
    </r>
  </si>
  <si>
    <r>
      <rPr>
        <sz val="11"/>
        <rFont val="Verdana"/>
        <family val="2"/>
      </rPr>
      <t>S01V55901UNL11549135</t>
    </r>
  </si>
  <si>
    <r>
      <rPr>
        <sz val="11"/>
        <rFont val="Verdana"/>
        <family val="2"/>
      </rPr>
      <t>SERIES X</t>
    </r>
  </si>
  <si>
    <r>
      <rPr>
        <sz val="11"/>
        <rFont val="Verdana"/>
        <family val="2"/>
      </rPr>
      <t>1TB</t>
    </r>
  </si>
  <si>
    <r>
      <rPr>
        <sz val="11"/>
        <rFont val="Verdana"/>
        <family val="2"/>
      </rPr>
      <t>-</t>
    </r>
  </si>
  <si>
    <t>ok</t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</si>
  <si>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</si>
  <si>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</si>
  <si>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</si>
  <si>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</si>
  <si>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A16</t>
    </r>
  </si>
  <si>
    <r>
      <rPr>
        <sz val="10"/>
        <rFont val="Verdana"/>
        <family val="2"/>
      </rPr>
      <t>SE3 44MM</t>
    </r>
  </si>
  <si>
    <r>
      <rPr>
        <sz val="10"/>
        <rFont val="Verdana"/>
        <family val="2"/>
      </rPr>
      <t>Pro 3</t>
    </r>
  </si>
  <si>
    <r>
      <rPr>
        <sz val="10"/>
        <color theme="1"/>
        <rFont val="Verdana"/>
        <family val="2"/>
      </rPr>
      <t>15 pro max</t>
    </r>
  </si>
  <si>
    <r>
      <rPr>
        <sz val="10"/>
        <color theme="1"/>
        <rFont val="Verdana"/>
        <family val="2"/>
      </rPr>
      <t>14 Pro Max</t>
    </r>
  </si>
  <si>
    <r>
      <rPr>
        <sz val="10"/>
        <color theme="1"/>
        <rFont val="Verdana"/>
        <family val="2"/>
      </rPr>
      <t>MXP63</t>
    </r>
  </si>
  <si>
    <r>
      <rPr>
        <sz val="10"/>
        <color theme="1"/>
        <rFont val="Verdana"/>
        <family val="2"/>
      </rPr>
      <t>Pro 4</t>
    </r>
  </si>
  <si>
    <r>
      <rPr>
        <sz val="10"/>
        <color theme="1"/>
        <rFont val="Verdana"/>
        <family val="2"/>
      </rPr>
      <t>Max USB C</t>
    </r>
  </si>
  <si>
    <r>
      <rPr>
        <sz val="10"/>
        <color theme="1"/>
        <rFont val="Verdana"/>
        <family val="2"/>
      </rPr>
      <t>MXP93</t>
    </r>
  </si>
  <si>
    <r>
      <rPr>
        <sz val="10"/>
        <color theme="1"/>
        <rFont val="Verdana"/>
        <family val="2"/>
      </rPr>
      <t>Pro 4 (ANC)</t>
    </r>
  </si>
  <si>
    <r>
      <rPr>
        <sz val="10"/>
        <color theme="1"/>
        <rFont val="Verdana"/>
        <family val="2"/>
      </rPr>
      <t>SE3 44MM</t>
    </r>
  </si>
  <si>
    <r>
      <rPr>
        <sz val="10"/>
        <color theme="1"/>
        <rFont val="Verdana"/>
        <family val="2"/>
      </rPr>
      <t>1TB</t>
    </r>
  </si>
  <si>
    <r>
      <rPr>
        <sz val="10"/>
        <color theme="1"/>
        <rFont val="Verdana"/>
        <family val="2"/>
      </rPr>
      <t>-</t>
    </r>
  </si>
  <si>
    <r>
      <rPr>
        <sz val="10"/>
        <color theme="1"/>
        <rFont val="Verdana"/>
        <family val="2"/>
      </rPr>
      <t>--</t>
    </r>
  </si>
  <si>
    <r>
      <rPr>
        <sz val="10"/>
        <rFont val="Verdana"/>
        <family val="2"/>
      </rPr>
      <t>J42MKQN6X1</t>
    </r>
  </si>
  <si>
    <r>
      <rPr>
        <sz val="10"/>
        <rFont val="Verdana"/>
        <family val="2"/>
      </rPr>
      <t>MPNXQWDXVR</t>
    </r>
  </si>
  <si>
    <r>
      <rPr>
        <sz val="10"/>
        <rFont val="Verdana"/>
        <family val="2"/>
      </rPr>
      <t>CDHJ94JY4N</t>
    </r>
  </si>
  <si>
    <r>
      <rPr>
        <sz val="10"/>
        <rFont val="Verdana"/>
        <family val="2"/>
      </rPr>
      <t>JF9GT2CKXV</t>
    </r>
  </si>
  <si>
    <r>
      <rPr>
        <sz val="10"/>
        <rFont val="Verdana"/>
        <family val="2"/>
      </rPr>
      <t>LXH4J3CG2D</t>
    </r>
  </si>
  <si>
    <r>
      <rPr>
        <sz val="10"/>
        <rFont val="Verdana"/>
        <family val="2"/>
      </rPr>
      <t>G714DW94HN</t>
    </r>
  </si>
  <si>
    <r>
      <rPr>
        <sz val="10"/>
        <rFont val="Verdana"/>
        <family val="2"/>
      </rPr>
      <t>H623N9G6LD</t>
    </r>
  </si>
  <si>
    <r>
      <rPr>
        <sz val="10"/>
        <rFont val="Verdana"/>
        <family val="2"/>
      </rPr>
      <t>LDH7T41W7R</t>
    </r>
  </si>
  <si>
    <t>DTYG4HCJ7J</t>
  </si>
  <si>
    <r>
      <rPr>
        <sz val="10"/>
        <color theme="1"/>
        <rFont val="Verdana"/>
        <family val="2"/>
      </rPr>
      <t>SG560HF37KP</t>
    </r>
  </si>
  <si>
    <r>
      <rPr>
        <sz val="10"/>
        <color theme="1"/>
        <rFont val="Verdana"/>
        <family val="2"/>
      </rPr>
      <t>SHT4PNQLQYG</t>
    </r>
  </si>
  <si>
    <r>
      <rPr>
        <sz val="10"/>
        <color theme="1"/>
        <rFont val="Verdana"/>
        <family val="2"/>
      </rPr>
      <t>G776JRX4HP</t>
    </r>
  </si>
  <si>
    <r>
      <rPr>
        <sz val="10"/>
        <color theme="1"/>
        <rFont val="Verdana"/>
        <family val="2"/>
      </rPr>
      <t>DWRQNWNM9J</t>
    </r>
  </si>
  <si>
    <r>
      <rPr>
        <sz val="10"/>
        <color theme="1"/>
        <rFont val="Verdana"/>
        <family val="2"/>
      </rPr>
      <t>C2W42NJ45Y</t>
    </r>
  </si>
  <si>
    <r>
      <rPr>
        <sz val="10"/>
        <color theme="1"/>
        <rFont val="Verdana"/>
        <family val="2"/>
      </rPr>
      <t>JPX6WC97QD</t>
    </r>
  </si>
  <si>
    <r>
      <rPr>
        <sz val="10"/>
        <color theme="1"/>
        <rFont val="Verdana"/>
        <family val="2"/>
      </rPr>
      <t>SFT9XW0X7R3</t>
    </r>
  </si>
  <si>
    <r>
      <rPr>
        <sz val="10"/>
        <color theme="1"/>
        <rFont val="Verdana"/>
        <family val="2"/>
      </rPr>
      <t>SLK7PY9PDPF</t>
    </r>
  </si>
  <si>
    <r>
      <rPr>
        <sz val="10"/>
        <color theme="1"/>
        <rFont val="Verdana"/>
        <family val="2"/>
      </rPr>
      <t>H7NWN2KHGV</t>
    </r>
  </si>
  <si>
    <r>
      <rPr>
        <sz val="10"/>
        <color theme="1"/>
        <rFont val="Verdana"/>
        <family val="2"/>
      </rPr>
      <t>J99639XX47</t>
    </r>
  </si>
  <si>
    <r>
      <rPr>
        <sz val="10"/>
        <color theme="1"/>
        <rFont val="Verdana"/>
        <family val="2"/>
      </rPr>
      <t>GVW7YF7MHQ</t>
    </r>
  </si>
  <si>
    <r>
      <rPr>
        <sz val="10"/>
        <color theme="1"/>
        <rFont val="Verdana"/>
        <family val="2"/>
      </rPr>
      <t>KFFQ2V6CM0</t>
    </r>
  </si>
  <si>
    <r>
      <rPr>
        <sz val="10"/>
        <color theme="1"/>
        <rFont val="Verdana"/>
        <family val="2"/>
      </rPr>
      <t>DQ9DY4Y0Y2</t>
    </r>
  </si>
  <si>
    <r>
      <rPr>
        <sz val="10"/>
        <rFont val="Verdana"/>
        <family val="2"/>
      </rPr>
      <t>ORANGE</t>
    </r>
  </si>
  <si>
    <r>
      <rPr>
        <sz val="10"/>
        <rFont val="Verdana"/>
        <family val="2"/>
      </rPr>
      <t>SILVER</t>
    </r>
  </si>
  <si>
    <r>
      <rPr>
        <sz val="10"/>
        <rFont val="Verdana"/>
        <family val="2"/>
      </rPr>
      <t>BLUE</t>
    </r>
  </si>
  <si>
    <r>
      <rPr>
        <sz val="10"/>
        <rFont val="Verdana"/>
        <family val="2"/>
      </rPr>
      <t>STARLIGHT</t>
    </r>
  </si>
  <si>
    <r>
      <rPr>
        <sz val="10"/>
        <rFont val="Verdana"/>
        <family val="2"/>
      </rPr>
      <t>WHITE</t>
    </r>
  </si>
  <si>
    <r>
      <rPr>
        <sz val="10"/>
        <color theme="1"/>
        <rFont val="Verdana"/>
        <family val="2"/>
      </rPr>
      <t>NATURAL</t>
    </r>
  </si>
  <si>
    <r>
      <rPr>
        <sz val="10"/>
        <color theme="1"/>
        <rFont val="Verdana"/>
        <family val="2"/>
      </rPr>
      <t>PURPLE</t>
    </r>
  </si>
  <si>
    <r>
      <rPr>
        <sz val="10"/>
        <color theme="1"/>
        <rFont val="Verdana"/>
        <family val="2"/>
      </rPr>
      <t>WHITE</t>
    </r>
  </si>
  <si>
    <r>
      <rPr>
        <sz val="10"/>
        <color theme="1"/>
        <rFont val="Verdana"/>
        <family val="2"/>
      </rPr>
      <t>MIDNIGHT</t>
    </r>
  </si>
  <si>
    <r>
      <rPr>
        <sz val="10"/>
        <rFont val="Verdana"/>
        <family val="2"/>
      </rPr>
      <t>BOX</t>
    </r>
  </si>
  <si>
    <r>
      <rPr>
        <sz val="10"/>
        <color theme="1"/>
        <rFont val="Verdana"/>
        <family val="2"/>
      </rPr>
      <t>HSO</t>
    </r>
  </si>
  <si>
    <r>
      <rPr>
        <sz val="10"/>
        <rFont val="Verdana"/>
        <family val="2"/>
      </rPr>
      <t>HSO</t>
    </r>
  </si>
  <si>
    <r>
      <rPr>
        <sz val="10"/>
        <color theme="1"/>
        <rFont val="Verdana"/>
        <family val="2"/>
      </rPr>
      <t>BOX</t>
    </r>
  </si>
  <si>
    <r>
      <rPr>
        <sz val="10"/>
        <rFont val="Verdana"/>
        <family val="2"/>
      </rPr>
      <t>UNLO…</t>
    </r>
  </si>
  <si>
    <r>
      <rPr>
        <sz val="10"/>
        <rFont val="Verdana"/>
        <family val="2"/>
      </rPr>
      <t>VZN</t>
    </r>
  </si>
  <si>
    <r>
      <rPr>
        <sz val="10"/>
        <rFont val="Verdana"/>
        <family val="2"/>
      </rPr>
      <t>ATT</t>
    </r>
  </si>
  <si>
    <r>
      <rPr>
        <sz val="10"/>
        <rFont val="Verdana"/>
        <family val="2"/>
      </rPr>
      <t>WIFI</t>
    </r>
  </si>
  <si>
    <r>
      <rPr>
        <sz val="10"/>
        <color theme="1"/>
        <rFont val="Verdana"/>
        <family val="2"/>
      </rPr>
      <t>ATT</t>
    </r>
  </si>
  <si>
    <r>
      <rPr>
        <sz val="10"/>
        <color theme="1"/>
        <rFont val="Verdana"/>
        <family val="2"/>
      </rPr>
      <t>UNLO…</t>
    </r>
  </si>
  <si>
    <r>
      <rPr>
        <sz val="10"/>
        <rFont val="Verdana"/>
        <family val="2"/>
      </rPr>
      <t>XFIN…</t>
    </r>
  </si>
  <si>
    <r>
      <rPr>
        <sz val="10"/>
        <color theme="1"/>
        <rFont val="Verdana"/>
        <family val="2"/>
      </rPr>
      <t>CRIC…</t>
    </r>
  </si>
  <si>
    <r>
      <rPr>
        <sz val="10"/>
        <color theme="1"/>
        <rFont val="Verdana"/>
        <family val="2"/>
      </rPr>
      <t>WIFI</t>
    </r>
  </si>
  <si>
    <r>
      <rPr>
        <sz val="10"/>
        <rFont val="Verdana"/>
        <family val="2"/>
      </rPr>
      <t>NON ACTIVE</t>
    </r>
  </si>
  <si>
    <r>
      <rPr>
        <sz val="10"/>
        <rFont val="Verdana"/>
        <family val="2"/>
      </rPr>
      <t>ACTIVE</t>
    </r>
  </si>
  <si>
    <r>
      <rPr>
        <sz val="10"/>
        <color theme="1"/>
        <rFont val="Verdana"/>
        <family val="2"/>
      </rPr>
      <t>ACTIVE</t>
    </r>
  </si>
  <si>
    <r>
      <rPr>
        <sz val="10"/>
        <color theme="1"/>
        <rFont val="Verdana"/>
        <family val="2"/>
      </rPr>
      <t>NON ACTIVE</t>
    </r>
  </si>
  <si>
    <t>14 Pro</t>
  </si>
  <si>
    <t>14 Pro Max</t>
  </si>
  <si>
    <t>UNLO…</t>
  </si>
  <si>
    <t>A16</t>
  </si>
  <si>
    <t>A16 5G</t>
  </si>
  <si>
    <t>MDE04</t>
  </si>
  <si>
    <t>MDE44</t>
  </si>
  <si>
    <t>Quest 3S</t>
  </si>
  <si>
    <t>S11 42MM</t>
  </si>
  <si>
    <t>S11 46MM</t>
  </si>
  <si>
    <t>SE3 44MM</t>
  </si>
  <si>
    <t>Series 11 GPS</t>
  </si>
  <si>
    <t>MC6L</t>
  </si>
  <si>
    <t>MW1M</t>
  </si>
  <si>
    <t>--</t>
  </si>
  <si>
    <t>PINK</t>
  </si>
  <si>
    <t>WHITE</t>
  </si>
  <si>
    <t>ROSE GOLD</t>
  </si>
  <si>
    <t>STARLIGHT</t>
  </si>
  <si>
    <t>SJ6P4RQG524</t>
  </si>
  <si>
    <t>SHJWX61F9JN</t>
  </si>
  <si>
    <t>SKHGJM6JRR6</t>
  </si>
  <si>
    <t>3497BM1HC104FB</t>
  </si>
  <si>
    <t>3497BM1HC104P0</t>
  </si>
  <si>
    <t>3497BM1HC104NZ</t>
  </si>
  <si>
    <t>SG3P7X0195G</t>
  </si>
  <si>
    <t>SK3VWH23DXR</t>
  </si>
  <si>
    <t>SH0KWJ9G354</t>
  </si>
  <si>
    <t>SHD4V96WL0J</t>
  </si>
  <si>
    <t>SJV476XR62J</t>
  </si>
  <si>
    <t>SL3X7PWQ43D</t>
  </si>
  <si>
    <t>SDNJ14HR2XJ</t>
  </si>
  <si>
    <t>SJRFN22CYWV</t>
  </si>
  <si>
    <t>SJ4P007NG34</t>
  </si>
  <si>
    <t>SK3Y49J4MNP</t>
  </si>
  <si>
    <t>SG1FV3VWL2W</t>
  </si>
  <si>
    <t>SGR7PTW594R</t>
  </si>
  <si>
    <t>T-M</t>
  </si>
  <si>
    <t>Received Lock</t>
  </si>
  <si>
    <t>Received Airpods 4</t>
  </si>
  <si>
    <t>Pro USB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</si>
</sst>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2" fillId="0" borderId="1" xfId="0" applyNumberFormat="1" applyFont="1" applyBorder="1"/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2" fillId="2" borderId="1" xfId="0" applyNumberFormat="1" applyFont="1" applyFill="1" applyBorder="1"/>
    <xf numFmtId="164" fontId="2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/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1" fillId="5" borderId="0" xfId="0" applyFont="1" applyFill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FDB2D-D9DF-43B1-8C5D-500357782290}">
  <dimension ref="A1:G31"/>
  <sheetViews>
    <sheetView tabSelected="1" workbookViewId="0">
      <selection activeCell="K18" sqref="K18"/>
    </sheetView>
  </sheetViews>
  <sheetFormatPr defaultRowHeight="15" x14ac:dyDescent="0.25"/>
  <cols>
    <col min="1" max="1" width="44.7109375" customWidth="1"/>
    <col min="2" max="2" width="23.7109375" bestFit="1" customWidth="1"/>
    <col min="3" max="3" width="28.42578125" customWidth="1"/>
    <col min="4" max="4" width="23.85546875" customWidth="1"/>
    <col min="7" max="7" width="12.28515625" bestFit="1" customWidth="1"/>
  </cols>
  <sheetData>
    <row r="1" spans="1:7" ht="15.75" x14ac:dyDescent="0.25">
      <c r="A1" s="2" t="s">
        <v>17</v>
      </c>
      <c r="B1" s="2" t="s">
        <v>18</v>
      </c>
      <c r="C1" s="2" t="s">
        <v>19</v>
      </c>
      <c r="D1" s="2" t="s">
        <v>21</v>
      </c>
    </row>
    <row r="2" spans="1:7" x14ac:dyDescent="0.25">
      <c r="A2" s="1" t="s">
        <v>0</v>
      </c>
      <c r="B2" s="3">
        <v>31410</v>
      </c>
      <c r="C2" s="3">
        <v>31410</v>
      </c>
      <c r="D2" s="3"/>
    </row>
    <row r="3" spans="1:7" x14ac:dyDescent="0.25">
      <c r="A3" s="1" t="s">
        <v>2</v>
      </c>
      <c r="B3" s="3">
        <v>77430</v>
      </c>
      <c r="C3" s="3">
        <v>76450</v>
      </c>
      <c r="D3" s="3"/>
    </row>
    <row r="4" spans="1:7" x14ac:dyDescent="0.25">
      <c r="A4" s="1" t="s">
        <v>1</v>
      </c>
      <c r="B4" s="3">
        <v>63705</v>
      </c>
      <c r="C4" s="3">
        <v>62565</v>
      </c>
      <c r="D4" s="3"/>
    </row>
    <row r="5" spans="1:7" x14ac:dyDescent="0.25">
      <c r="A5" s="1" t="s">
        <v>3</v>
      </c>
      <c r="B5" s="3">
        <v>44640</v>
      </c>
      <c r="C5" s="3">
        <v>44610</v>
      </c>
      <c r="D5" s="3"/>
    </row>
    <row r="6" spans="1:7" x14ac:dyDescent="0.25">
      <c r="A6" s="1" t="s">
        <v>5</v>
      </c>
      <c r="B6" s="3">
        <v>125855</v>
      </c>
      <c r="C6" s="3">
        <v>125855</v>
      </c>
      <c r="D6" s="3"/>
    </row>
    <row r="7" spans="1:7" x14ac:dyDescent="0.25">
      <c r="A7" s="1" t="s">
        <v>6</v>
      </c>
      <c r="B7" s="3">
        <v>95355</v>
      </c>
      <c r="C7" s="3">
        <v>93880</v>
      </c>
      <c r="D7" s="3"/>
    </row>
    <row r="8" spans="1:7" x14ac:dyDescent="0.25">
      <c r="A8" s="1" t="s">
        <v>7</v>
      </c>
      <c r="B8" s="3">
        <v>63805</v>
      </c>
      <c r="C8" s="3">
        <v>63805</v>
      </c>
      <c r="D8" s="3"/>
    </row>
    <row r="9" spans="1:7" x14ac:dyDescent="0.25">
      <c r="A9" s="1" t="s">
        <v>8</v>
      </c>
      <c r="B9" s="3">
        <v>29880</v>
      </c>
      <c r="C9" s="3">
        <v>29880</v>
      </c>
      <c r="D9" s="3"/>
    </row>
    <row r="10" spans="1:7" x14ac:dyDescent="0.25">
      <c r="A10" s="1" t="s">
        <v>9</v>
      </c>
      <c r="B10" s="3">
        <v>84985</v>
      </c>
      <c r="C10" s="3">
        <v>84985</v>
      </c>
      <c r="D10" s="3"/>
    </row>
    <row r="11" spans="1:7" x14ac:dyDescent="0.25">
      <c r="A11" s="1" t="s">
        <v>10</v>
      </c>
      <c r="B11" s="3">
        <v>52285</v>
      </c>
      <c r="C11" s="3">
        <v>52285</v>
      </c>
      <c r="D11" s="3"/>
    </row>
    <row r="12" spans="1:7" x14ac:dyDescent="0.25">
      <c r="A12" s="1" t="s">
        <v>11</v>
      </c>
      <c r="B12" s="3">
        <v>129070</v>
      </c>
      <c r="C12" s="3">
        <v>128590</v>
      </c>
      <c r="D12" s="3">
        <f t="shared" ref="D12:D20" si="0">C12-B12</f>
        <v>-480</v>
      </c>
      <c r="E12" t="s">
        <v>141</v>
      </c>
    </row>
    <row r="13" spans="1:7" x14ac:dyDescent="0.25">
      <c r="A13" s="1" t="s">
        <v>13</v>
      </c>
      <c r="B13" s="3">
        <v>34065</v>
      </c>
      <c r="C13" s="3">
        <v>33528</v>
      </c>
      <c r="D13" s="3">
        <f t="shared" si="0"/>
        <v>-537</v>
      </c>
      <c r="E13" t="s">
        <v>141</v>
      </c>
      <c r="G13" s="25"/>
    </row>
    <row r="14" spans="1:7" x14ac:dyDescent="0.25">
      <c r="A14" s="1" t="s">
        <v>16</v>
      </c>
      <c r="B14" s="3">
        <v>58569</v>
      </c>
      <c r="C14" s="3">
        <v>57099</v>
      </c>
      <c r="D14" s="3">
        <f t="shared" si="0"/>
        <v>-1470</v>
      </c>
      <c r="E14" t="s">
        <v>141</v>
      </c>
    </row>
    <row r="15" spans="1:7" x14ac:dyDescent="0.25">
      <c r="A15" s="1" t="s">
        <v>14</v>
      </c>
      <c r="B15" s="3">
        <v>46030</v>
      </c>
      <c r="C15" s="3">
        <v>45495</v>
      </c>
      <c r="D15" s="3">
        <f t="shared" si="0"/>
        <v>-535</v>
      </c>
      <c r="E15" t="s">
        <v>141</v>
      </c>
    </row>
    <row r="16" spans="1:7" x14ac:dyDescent="0.25">
      <c r="A16" s="1" t="s">
        <v>15</v>
      </c>
      <c r="B16" s="3">
        <v>41335</v>
      </c>
      <c r="C16" s="3">
        <v>41064.999999999993</v>
      </c>
      <c r="D16" s="3">
        <f t="shared" si="0"/>
        <v>-270.00000000000728</v>
      </c>
      <c r="E16" t="s">
        <v>141</v>
      </c>
    </row>
    <row r="17" spans="1:5" x14ac:dyDescent="0.25">
      <c r="A17" s="1" t="s">
        <v>15</v>
      </c>
      <c r="B17" s="3">
        <v>64110</v>
      </c>
      <c r="C17" s="3">
        <v>62015</v>
      </c>
      <c r="D17" s="3">
        <f t="shared" si="0"/>
        <v>-2095</v>
      </c>
      <c r="E17" t="s">
        <v>141</v>
      </c>
    </row>
    <row r="18" spans="1:5" x14ac:dyDescent="0.25">
      <c r="A18" s="1" t="s">
        <v>15</v>
      </c>
      <c r="B18" s="3">
        <v>54750</v>
      </c>
      <c r="C18" s="3">
        <v>54280</v>
      </c>
      <c r="D18" s="3">
        <f t="shared" si="0"/>
        <v>-470</v>
      </c>
      <c r="E18" t="s">
        <v>141</v>
      </c>
    </row>
    <row r="19" spans="1:5" x14ac:dyDescent="0.25">
      <c r="A19" s="1" t="s">
        <v>15</v>
      </c>
      <c r="B19" s="3">
        <v>62158</v>
      </c>
      <c r="C19" s="3">
        <v>61335</v>
      </c>
      <c r="D19" s="3">
        <f t="shared" si="0"/>
        <v>-823</v>
      </c>
      <c r="E19" t="s">
        <v>141</v>
      </c>
    </row>
    <row r="20" spans="1:5" x14ac:dyDescent="0.25">
      <c r="A20" s="1" t="s">
        <v>15</v>
      </c>
      <c r="B20" s="3">
        <v>67995</v>
      </c>
      <c r="C20" s="3">
        <v>66915</v>
      </c>
      <c r="D20" s="3">
        <f t="shared" si="0"/>
        <v>-1080</v>
      </c>
      <c r="E20" t="s">
        <v>141</v>
      </c>
    </row>
    <row r="21" spans="1:5" ht="18.75" x14ac:dyDescent="0.3">
      <c r="B21" s="4">
        <f>SUM(B2:B20)</f>
        <v>1227432</v>
      </c>
      <c r="C21" s="4">
        <f>SUM(C2:C20)</f>
        <v>1216047</v>
      </c>
      <c r="D21" s="4">
        <f>SUM(D2:D20)</f>
        <v>-7760.0000000000073</v>
      </c>
    </row>
    <row r="28" spans="1:5" ht="15.75" x14ac:dyDescent="0.25">
      <c r="A28" s="2" t="s">
        <v>17</v>
      </c>
      <c r="B28" s="2" t="s">
        <v>18</v>
      </c>
      <c r="C28" s="2" t="s">
        <v>19</v>
      </c>
      <c r="D28" s="2" t="s">
        <v>21</v>
      </c>
    </row>
    <row r="29" spans="1:5" x14ac:dyDescent="0.25">
      <c r="A29" s="1" t="s">
        <v>12</v>
      </c>
      <c r="B29" s="5">
        <v>19705</v>
      </c>
      <c r="C29" s="5">
        <v>20071</v>
      </c>
      <c r="D29" s="5">
        <f>C29-B29</f>
        <v>366</v>
      </c>
    </row>
    <row r="30" spans="1:5" x14ac:dyDescent="0.25">
      <c r="A30" s="1" t="s">
        <v>4</v>
      </c>
      <c r="B30" s="5">
        <v>67610</v>
      </c>
      <c r="C30" s="5">
        <v>68726</v>
      </c>
      <c r="D30" s="5">
        <f>C30-B30</f>
        <v>1116</v>
      </c>
    </row>
    <row r="31" spans="1:5" ht="18.75" x14ac:dyDescent="0.25">
      <c r="B31" s="6">
        <f>SUM(B29:B30)</f>
        <v>87315</v>
      </c>
      <c r="C31" s="6">
        <f>SUM(C29:C30)</f>
        <v>88797</v>
      </c>
      <c r="D31" s="6">
        <f>SUM(D29:D30)</f>
        <v>1482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3F8E4-50CC-4E4C-9AC4-53F6CCA4931C}">
  <dimension ref="A1:L306"/>
  <sheetViews>
    <sheetView topLeftCell="A259" zoomScaleNormal="100" workbookViewId="0">
      <selection activeCell="B293" sqref="B293:C295"/>
    </sheetView>
  </sheetViews>
  <sheetFormatPr defaultRowHeight="15" x14ac:dyDescent="0.25"/>
  <cols>
    <col min="2" max="2" width="42.85546875" bestFit="1" customWidth="1"/>
    <col min="3" max="3" width="30.85546875" bestFit="1" customWidth="1"/>
    <col min="4" max="5" width="26.5703125" customWidth="1"/>
    <col min="6" max="6" width="30.85546875" bestFit="1" customWidth="1"/>
    <col min="7" max="7" width="16" customWidth="1"/>
    <col min="8" max="8" width="14.42578125" bestFit="1" customWidth="1"/>
    <col min="9" max="9" width="15.5703125" bestFit="1" customWidth="1"/>
    <col min="10" max="10" width="17.42578125" customWidth="1"/>
    <col min="11" max="11" width="15" bestFit="1" customWidth="1"/>
    <col min="12" max="12" width="18.42578125" bestFit="1" customWidth="1"/>
  </cols>
  <sheetData>
    <row r="1" spans="1:11" x14ac:dyDescent="0.25">
      <c r="A1" s="7" t="s">
        <v>22</v>
      </c>
      <c r="B1" s="7" t="s">
        <v>23</v>
      </c>
      <c r="C1" s="8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  <c r="K1" s="9" t="s">
        <v>20</v>
      </c>
    </row>
    <row r="2" spans="1:11" x14ac:dyDescent="0.25">
      <c r="A2" s="10">
        <v>1</v>
      </c>
      <c r="B2" s="10" t="s">
        <v>32</v>
      </c>
      <c r="C2" s="11">
        <v>352255852418742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  <c r="I2" s="12">
        <v>700</v>
      </c>
      <c r="J2" s="12">
        <v>650</v>
      </c>
      <c r="K2" s="12">
        <f>J2-I2</f>
        <v>-50</v>
      </c>
    </row>
    <row r="3" spans="1:11" x14ac:dyDescent="0.25">
      <c r="A3" s="10">
        <v>2</v>
      </c>
      <c r="B3" s="10" t="s">
        <v>38</v>
      </c>
      <c r="C3" s="11" t="s">
        <v>39</v>
      </c>
      <c r="D3" s="10" t="s">
        <v>40</v>
      </c>
      <c r="E3" s="10" t="s">
        <v>41</v>
      </c>
      <c r="F3" s="10" t="s">
        <v>35</v>
      </c>
      <c r="G3" s="10" t="s">
        <v>42</v>
      </c>
      <c r="H3" s="10" t="s">
        <v>37</v>
      </c>
      <c r="I3" s="12">
        <v>1050</v>
      </c>
      <c r="J3" s="12">
        <v>1000</v>
      </c>
      <c r="K3" s="12">
        <f t="shared" ref="K3:K29" si="0">J3-I3</f>
        <v>-50</v>
      </c>
    </row>
    <row r="4" spans="1:11" x14ac:dyDescent="0.25">
      <c r="A4" s="10">
        <v>3</v>
      </c>
      <c r="B4" s="10" t="s">
        <v>43</v>
      </c>
      <c r="C4" s="11" t="s">
        <v>44</v>
      </c>
      <c r="D4" s="10" t="s">
        <v>40</v>
      </c>
      <c r="E4" s="10" t="s">
        <v>45</v>
      </c>
      <c r="F4" s="10" t="s">
        <v>35</v>
      </c>
      <c r="G4" s="10" t="s">
        <v>42</v>
      </c>
      <c r="H4" s="10" t="s">
        <v>37</v>
      </c>
      <c r="I4" s="12">
        <v>1050</v>
      </c>
      <c r="J4" s="12">
        <v>1000</v>
      </c>
      <c r="K4" s="12">
        <f t="shared" si="0"/>
        <v>-50</v>
      </c>
    </row>
    <row r="5" spans="1:11" x14ac:dyDescent="0.25">
      <c r="A5" s="10">
        <v>4</v>
      </c>
      <c r="B5" s="10" t="s">
        <v>43</v>
      </c>
      <c r="C5" s="11" t="s">
        <v>46</v>
      </c>
      <c r="D5" s="10" t="s">
        <v>40</v>
      </c>
      <c r="E5" s="10" t="s">
        <v>41</v>
      </c>
      <c r="F5" s="10" t="s">
        <v>35</v>
      </c>
      <c r="G5" s="10" t="s">
        <v>42</v>
      </c>
      <c r="H5" s="10" t="s">
        <v>37</v>
      </c>
      <c r="I5" s="12">
        <v>1050</v>
      </c>
      <c r="J5" s="12">
        <v>1000</v>
      </c>
      <c r="K5" s="12">
        <f t="shared" si="0"/>
        <v>-50</v>
      </c>
    </row>
    <row r="6" spans="1:11" x14ac:dyDescent="0.25">
      <c r="A6" s="10">
        <v>5</v>
      </c>
      <c r="B6" s="10" t="s">
        <v>47</v>
      </c>
      <c r="C6" s="11">
        <v>355827875039627</v>
      </c>
      <c r="D6" s="10" t="s">
        <v>48</v>
      </c>
      <c r="E6" s="10" t="s">
        <v>41</v>
      </c>
      <c r="F6" s="10" t="s">
        <v>35</v>
      </c>
      <c r="G6" s="10" t="s">
        <v>36</v>
      </c>
      <c r="H6" s="10" t="s">
        <v>37</v>
      </c>
      <c r="I6" s="12">
        <v>665</v>
      </c>
      <c r="J6" s="12">
        <v>655</v>
      </c>
      <c r="K6" s="12">
        <f t="shared" si="0"/>
        <v>-10</v>
      </c>
    </row>
    <row r="7" spans="1:11" x14ac:dyDescent="0.25">
      <c r="A7" s="10">
        <v>6</v>
      </c>
      <c r="B7" s="10" t="s">
        <v>43</v>
      </c>
      <c r="C7" s="11" t="s">
        <v>49</v>
      </c>
      <c r="D7" s="10" t="s">
        <v>40</v>
      </c>
      <c r="E7" s="10" t="s">
        <v>41</v>
      </c>
      <c r="F7" s="10" t="s">
        <v>35</v>
      </c>
      <c r="G7" s="10" t="s">
        <v>42</v>
      </c>
      <c r="H7" s="10" t="s">
        <v>37</v>
      </c>
      <c r="I7" s="12">
        <v>1050</v>
      </c>
      <c r="J7" s="12">
        <v>1000</v>
      </c>
      <c r="K7" s="12">
        <f t="shared" si="0"/>
        <v>-50</v>
      </c>
    </row>
    <row r="8" spans="1:11" x14ac:dyDescent="0.25">
      <c r="A8" s="10">
        <v>7</v>
      </c>
      <c r="B8" s="10" t="s">
        <v>43</v>
      </c>
      <c r="C8" s="11" t="s">
        <v>50</v>
      </c>
      <c r="D8" s="10" t="s">
        <v>40</v>
      </c>
      <c r="E8" s="10" t="s">
        <v>41</v>
      </c>
      <c r="F8" s="10" t="s">
        <v>35</v>
      </c>
      <c r="G8" s="10" t="s">
        <v>42</v>
      </c>
      <c r="H8" s="10" t="s">
        <v>37</v>
      </c>
      <c r="I8" s="12">
        <v>1050</v>
      </c>
      <c r="J8" s="12">
        <v>1000</v>
      </c>
      <c r="K8" s="12">
        <f t="shared" si="0"/>
        <v>-50</v>
      </c>
    </row>
    <row r="9" spans="1:11" x14ac:dyDescent="0.25">
      <c r="A9" s="10">
        <v>8</v>
      </c>
      <c r="B9" s="10" t="s">
        <v>51</v>
      </c>
      <c r="C9" s="11">
        <v>352355704745696</v>
      </c>
      <c r="D9" s="10" t="s">
        <v>52</v>
      </c>
      <c r="E9" s="10" t="s">
        <v>41</v>
      </c>
      <c r="F9" s="10" t="s">
        <v>35</v>
      </c>
      <c r="G9" s="10" t="s">
        <v>36</v>
      </c>
      <c r="H9" s="10" t="s">
        <v>37</v>
      </c>
      <c r="I9" s="12">
        <v>1320</v>
      </c>
      <c r="J9" s="12">
        <v>1300</v>
      </c>
      <c r="K9" s="12">
        <f t="shared" si="0"/>
        <v>-20</v>
      </c>
    </row>
    <row r="10" spans="1:11" x14ac:dyDescent="0.25">
      <c r="A10" s="10">
        <v>9</v>
      </c>
      <c r="B10" s="10" t="s">
        <v>43</v>
      </c>
      <c r="C10" s="11" t="s">
        <v>53</v>
      </c>
      <c r="D10" s="10" t="s">
        <v>40</v>
      </c>
      <c r="E10" s="10" t="s">
        <v>41</v>
      </c>
      <c r="F10" s="10" t="s">
        <v>35</v>
      </c>
      <c r="G10" s="10" t="s">
        <v>42</v>
      </c>
      <c r="H10" s="10" t="s">
        <v>37</v>
      </c>
      <c r="I10" s="12">
        <v>1050</v>
      </c>
      <c r="J10" s="12">
        <v>1030</v>
      </c>
      <c r="K10" s="12">
        <f t="shared" si="0"/>
        <v>-20</v>
      </c>
    </row>
    <row r="11" spans="1:11" x14ac:dyDescent="0.25">
      <c r="A11" s="10">
        <v>10</v>
      </c>
      <c r="B11" s="10" t="s">
        <v>43</v>
      </c>
      <c r="C11" s="11" t="s">
        <v>54</v>
      </c>
      <c r="D11" s="10" t="s">
        <v>40</v>
      </c>
      <c r="E11" s="10" t="s">
        <v>41</v>
      </c>
      <c r="F11" s="10" t="s">
        <v>35</v>
      </c>
      <c r="G11" s="10" t="s">
        <v>42</v>
      </c>
      <c r="H11" s="10" t="s">
        <v>37</v>
      </c>
      <c r="I11" s="12">
        <v>1050</v>
      </c>
      <c r="J11" s="12">
        <v>1000</v>
      </c>
      <c r="K11" s="12">
        <f t="shared" si="0"/>
        <v>-50</v>
      </c>
    </row>
    <row r="12" spans="1:11" x14ac:dyDescent="0.25">
      <c r="A12" s="10">
        <v>11</v>
      </c>
      <c r="B12" s="10" t="s">
        <v>55</v>
      </c>
      <c r="C12" s="11">
        <v>350094263789470</v>
      </c>
      <c r="D12" s="10" t="s">
        <v>33</v>
      </c>
      <c r="E12" s="10" t="s">
        <v>56</v>
      </c>
      <c r="F12" s="10" t="s">
        <v>35</v>
      </c>
      <c r="G12" s="10" t="s">
        <v>36</v>
      </c>
      <c r="H12" s="10" t="s">
        <v>57</v>
      </c>
      <c r="I12" s="12">
        <v>300</v>
      </c>
      <c r="J12" s="12">
        <v>285</v>
      </c>
      <c r="K12" s="12">
        <f t="shared" si="0"/>
        <v>-15</v>
      </c>
    </row>
    <row r="13" spans="1:11" x14ac:dyDescent="0.25">
      <c r="A13" s="10">
        <v>12</v>
      </c>
      <c r="B13" s="10" t="s">
        <v>38</v>
      </c>
      <c r="C13" s="11">
        <v>352355705337196</v>
      </c>
      <c r="D13" s="10" t="s">
        <v>40</v>
      </c>
      <c r="E13" s="10" t="s">
        <v>41</v>
      </c>
      <c r="F13" s="10" t="s">
        <v>35</v>
      </c>
      <c r="G13" s="10" t="s">
        <v>36</v>
      </c>
      <c r="H13" s="10" t="s">
        <v>37</v>
      </c>
      <c r="I13" s="12">
        <v>1050</v>
      </c>
      <c r="J13" s="12">
        <v>1030</v>
      </c>
      <c r="K13" s="12">
        <f t="shared" si="0"/>
        <v>-20</v>
      </c>
    </row>
    <row r="14" spans="1:11" x14ac:dyDescent="0.25">
      <c r="A14" s="10">
        <v>13</v>
      </c>
      <c r="B14" s="10" t="s">
        <v>43</v>
      </c>
      <c r="C14" s="11" t="s">
        <v>58</v>
      </c>
      <c r="D14" s="10" t="s">
        <v>40</v>
      </c>
      <c r="E14" s="10" t="s">
        <v>45</v>
      </c>
      <c r="F14" s="10" t="s">
        <v>35</v>
      </c>
      <c r="G14" s="10" t="s">
        <v>42</v>
      </c>
      <c r="H14" s="10" t="s">
        <v>37</v>
      </c>
      <c r="I14" s="12">
        <v>1050</v>
      </c>
      <c r="J14" s="12">
        <v>1000</v>
      </c>
      <c r="K14" s="12">
        <f t="shared" si="0"/>
        <v>-50</v>
      </c>
    </row>
    <row r="15" spans="1:11" x14ac:dyDescent="0.25">
      <c r="A15" s="10">
        <v>14</v>
      </c>
      <c r="B15" s="10" t="s">
        <v>38</v>
      </c>
      <c r="C15" s="11">
        <v>352355707110757</v>
      </c>
      <c r="D15" s="10" t="s">
        <v>40</v>
      </c>
      <c r="E15" s="10" t="s">
        <v>41</v>
      </c>
      <c r="F15" s="10" t="s">
        <v>35</v>
      </c>
      <c r="G15" s="10" t="s">
        <v>36</v>
      </c>
      <c r="H15" s="10" t="s">
        <v>57</v>
      </c>
      <c r="I15" s="12">
        <v>1000</v>
      </c>
      <c r="J15" s="12">
        <v>980</v>
      </c>
      <c r="K15" s="12">
        <f t="shared" si="0"/>
        <v>-20</v>
      </c>
    </row>
    <row r="16" spans="1:11" x14ac:dyDescent="0.25">
      <c r="A16" s="10">
        <v>15</v>
      </c>
      <c r="B16" s="10" t="s">
        <v>43</v>
      </c>
      <c r="C16" s="11" t="s">
        <v>59</v>
      </c>
      <c r="D16" s="10" t="s">
        <v>40</v>
      </c>
      <c r="E16" s="10" t="s">
        <v>45</v>
      </c>
      <c r="F16" s="10" t="s">
        <v>35</v>
      </c>
      <c r="G16" s="10" t="s">
        <v>42</v>
      </c>
      <c r="H16" s="10" t="s">
        <v>37</v>
      </c>
      <c r="I16" s="12">
        <v>1050</v>
      </c>
      <c r="J16" s="12">
        <v>1000</v>
      </c>
      <c r="K16" s="12">
        <f t="shared" si="0"/>
        <v>-50</v>
      </c>
    </row>
    <row r="17" spans="1:11" x14ac:dyDescent="0.25">
      <c r="A17" s="10">
        <v>16</v>
      </c>
      <c r="B17" s="10" t="s">
        <v>60</v>
      </c>
      <c r="C17" s="11">
        <v>350795045818052</v>
      </c>
      <c r="D17" s="10" t="s">
        <v>40</v>
      </c>
      <c r="E17" s="10" t="s">
        <v>61</v>
      </c>
      <c r="F17" s="10" t="s">
        <v>35</v>
      </c>
      <c r="G17" s="10" t="s">
        <v>36</v>
      </c>
      <c r="H17" s="10" t="s">
        <v>37</v>
      </c>
      <c r="I17" s="12">
        <v>800</v>
      </c>
      <c r="J17" s="12">
        <v>770</v>
      </c>
      <c r="K17" s="12">
        <f t="shared" si="0"/>
        <v>-30</v>
      </c>
    </row>
    <row r="18" spans="1:11" x14ac:dyDescent="0.25">
      <c r="A18" s="10">
        <v>17</v>
      </c>
      <c r="B18" s="10" t="s">
        <v>43</v>
      </c>
      <c r="C18" s="11" t="s">
        <v>62</v>
      </c>
      <c r="D18" s="10" t="s">
        <v>40</v>
      </c>
      <c r="E18" s="10" t="s">
        <v>41</v>
      </c>
      <c r="F18" s="10" t="s">
        <v>35</v>
      </c>
      <c r="G18" s="10" t="s">
        <v>42</v>
      </c>
      <c r="H18" s="10" t="s">
        <v>37</v>
      </c>
      <c r="I18" s="12">
        <v>1050</v>
      </c>
      <c r="J18" s="12">
        <v>1000</v>
      </c>
      <c r="K18" s="12">
        <f t="shared" si="0"/>
        <v>-50</v>
      </c>
    </row>
    <row r="19" spans="1:11" x14ac:dyDescent="0.25">
      <c r="A19" s="10">
        <v>18</v>
      </c>
      <c r="B19" s="10" t="s">
        <v>55</v>
      </c>
      <c r="C19" s="11">
        <v>357585652192856</v>
      </c>
      <c r="D19" s="10" t="s">
        <v>33</v>
      </c>
      <c r="E19" s="10" t="s">
        <v>56</v>
      </c>
      <c r="F19" s="10" t="s">
        <v>35</v>
      </c>
      <c r="G19" s="10" t="s">
        <v>36</v>
      </c>
      <c r="H19" s="10" t="s">
        <v>57</v>
      </c>
      <c r="I19" s="12">
        <v>300</v>
      </c>
      <c r="J19" s="12">
        <v>285</v>
      </c>
      <c r="K19" s="12">
        <f t="shared" si="0"/>
        <v>-15</v>
      </c>
    </row>
    <row r="20" spans="1:11" x14ac:dyDescent="0.25">
      <c r="A20" s="10">
        <v>19</v>
      </c>
      <c r="B20" s="10" t="s">
        <v>38</v>
      </c>
      <c r="C20" s="11">
        <v>352355705295931</v>
      </c>
      <c r="D20" s="10" t="s">
        <v>40</v>
      </c>
      <c r="E20" s="10" t="s">
        <v>41</v>
      </c>
      <c r="F20" s="10" t="s">
        <v>35</v>
      </c>
      <c r="G20" s="10" t="s">
        <v>36</v>
      </c>
      <c r="H20" s="10" t="s">
        <v>37</v>
      </c>
      <c r="I20" s="12">
        <v>1050</v>
      </c>
      <c r="J20" s="12">
        <v>1030</v>
      </c>
      <c r="K20" s="12">
        <f t="shared" si="0"/>
        <v>-20</v>
      </c>
    </row>
    <row r="21" spans="1:11" x14ac:dyDescent="0.25">
      <c r="A21" s="10">
        <v>20</v>
      </c>
      <c r="B21" s="10" t="s">
        <v>43</v>
      </c>
      <c r="C21" s="11" t="s">
        <v>63</v>
      </c>
      <c r="D21" s="10" t="s">
        <v>40</v>
      </c>
      <c r="E21" s="10" t="s">
        <v>41</v>
      </c>
      <c r="F21" s="10" t="s">
        <v>35</v>
      </c>
      <c r="G21" s="10" t="s">
        <v>42</v>
      </c>
      <c r="H21" s="10" t="s">
        <v>37</v>
      </c>
      <c r="I21" s="12">
        <v>1050</v>
      </c>
      <c r="J21" s="12">
        <v>1000</v>
      </c>
      <c r="K21" s="12">
        <f t="shared" si="0"/>
        <v>-50</v>
      </c>
    </row>
    <row r="22" spans="1:11" x14ac:dyDescent="0.25">
      <c r="A22" s="10">
        <v>21</v>
      </c>
      <c r="B22" s="10" t="s">
        <v>43</v>
      </c>
      <c r="C22" s="11" t="s">
        <v>64</v>
      </c>
      <c r="D22" s="10" t="s">
        <v>40</v>
      </c>
      <c r="E22" s="10" t="s">
        <v>41</v>
      </c>
      <c r="F22" s="10" t="s">
        <v>35</v>
      </c>
      <c r="G22" s="10" t="s">
        <v>42</v>
      </c>
      <c r="H22" s="10" t="s">
        <v>37</v>
      </c>
      <c r="I22" s="12">
        <v>1050</v>
      </c>
      <c r="J22" s="12">
        <v>1000</v>
      </c>
      <c r="K22" s="12">
        <f t="shared" si="0"/>
        <v>-50</v>
      </c>
    </row>
    <row r="23" spans="1:11" x14ac:dyDescent="0.25">
      <c r="A23" s="10">
        <v>22</v>
      </c>
      <c r="B23" s="10" t="s">
        <v>43</v>
      </c>
      <c r="C23" s="11" t="s">
        <v>65</v>
      </c>
      <c r="D23" s="10" t="s">
        <v>40</v>
      </c>
      <c r="E23" s="10" t="s">
        <v>41</v>
      </c>
      <c r="F23" s="10" t="s">
        <v>35</v>
      </c>
      <c r="G23" s="10" t="s">
        <v>42</v>
      </c>
      <c r="H23" s="10" t="s">
        <v>37</v>
      </c>
      <c r="I23" s="12">
        <v>1050</v>
      </c>
      <c r="J23" s="12">
        <v>1000</v>
      </c>
      <c r="K23" s="12">
        <f t="shared" si="0"/>
        <v>-50</v>
      </c>
    </row>
    <row r="24" spans="1:11" x14ac:dyDescent="0.25">
      <c r="A24" s="10">
        <v>23</v>
      </c>
      <c r="B24" s="10" t="s">
        <v>43</v>
      </c>
      <c r="C24" s="11" t="s">
        <v>66</v>
      </c>
      <c r="D24" s="10" t="s">
        <v>40</v>
      </c>
      <c r="E24" s="10" t="s">
        <v>41</v>
      </c>
      <c r="F24" s="10" t="s">
        <v>35</v>
      </c>
      <c r="G24" s="10" t="s">
        <v>42</v>
      </c>
      <c r="H24" s="10" t="s">
        <v>37</v>
      </c>
      <c r="I24" s="12">
        <v>1050</v>
      </c>
      <c r="J24" s="12">
        <v>1000</v>
      </c>
      <c r="K24" s="12">
        <f t="shared" si="0"/>
        <v>-50</v>
      </c>
    </row>
    <row r="25" spans="1:11" x14ac:dyDescent="0.25">
      <c r="A25" s="10">
        <v>24</v>
      </c>
      <c r="B25" s="10" t="s">
        <v>67</v>
      </c>
      <c r="C25" s="11">
        <v>359814715575735</v>
      </c>
      <c r="D25" s="10" t="s">
        <v>52</v>
      </c>
      <c r="E25" s="10" t="s">
        <v>68</v>
      </c>
      <c r="F25" s="10" t="s">
        <v>35</v>
      </c>
      <c r="G25" s="10" t="s">
        <v>36</v>
      </c>
      <c r="H25" s="10" t="s">
        <v>57</v>
      </c>
      <c r="I25" s="12">
        <v>1270</v>
      </c>
      <c r="J25" s="12">
        <v>1250</v>
      </c>
      <c r="K25" s="12">
        <f t="shared" si="0"/>
        <v>-20</v>
      </c>
    </row>
    <row r="26" spans="1:11" x14ac:dyDescent="0.25">
      <c r="A26" s="10">
        <v>25</v>
      </c>
      <c r="B26" s="10" t="s">
        <v>38</v>
      </c>
      <c r="C26" s="11" t="s">
        <v>69</v>
      </c>
      <c r="D26" s="10" t="s">
        <v>40</v>
      </c>
      <c r="E26" s="10" t="s">
        <v>41</v>
      </c>
      <c r="F26" s="10" t="s">
        <v>35</v>
      </c>
      <c r="G26" s="10" t="s">
        <v>42</v>
      </c>
      <c r="H26" s="10" t="s">
        <v>37</v>
      </c>
      <c r="I26" s="12">
        <v>1050</v>
      </c>
      <c r="J26" s="12">
        <v>1000</v>
      </c>
      <c r="K26" s="12">
        <f t="shared" si="0"/>
        <v>-50</v>
      </c>
    </row>
    <row r="27" spans="1:11" x14ac:dyDescent="0.25">
      <c r="A27" s="10">
        <v>26</v>
      </c>
      <c r="B27" s="10" t="s">
        <v>43</v>
      </c>
      <c r="C27" s="11" t="s">
        <v>70</v>
      </c>
      <c r="D27" s="10" t="s">
        <v>40</v>
      </c>
      <c r="E27" s="10" t="s">
        <v>41</v>
      </c>
      <c r="F27" s="10" t="s">
        <v>35</v>
      </c>
      <c r="G27" s="10" t="s">
        <v>36</v>
      </c>
      <c r="H27" s="10" t="s">
        <v>37</v>
      </c>
      <c r="I27" s="12">
        <v>1050</v>
      </c>
      <c r="J27" s="12">
        <v>950</v>
      </c>
      <c r="K27" s="12">
        <f t="shared" si="0"/>
        <v>-100</v>
      </c>
    </row>
    <row r="28" spans="1:11" x14ac:dyDescent="0.25">
      <c r="A28" s="10">
        <v>27</v>
      </c>
      <c r="B28" s="10" t="s">
        <v>51</v>
      </c>
      <c r="C28" s="11">
        <v>352355702253099</v>
      </c>
      <c r="D28" s="10" t="s">
        <v>52</v>
      </c>
      <c r="E28" s="10" t="s">
        <v>41</v>
      </c>
      <c r="F28" s="10" t="s">
        <v>35</v>
      </c>
      <c r="G28" s="10" t="s">
        <v>36</v>
      </c>
      <c r="H28" s="10" t="s">
        <v>37</v>
      </c>
      <c r="I28" s="12">
        <v>1320</v>
      </c>
      <c r="J28" s="12">
        <v>1300</v>
      </c>
      <c r="K28" s="12">
        <f t="shared" si="0"/>
        <v>-20</v>
      </c>
    </row>
    <row r="29" spans="1:11" x14ac:dyDescent="0.25">
      <c r="A29" s="10">
        <v>28</v>
      </c>
      <c r="B29" s="10" t="s">
        <v>43</v>
      </c>
      <c r="C29" s="11" t="s">
        <v>71</v>
      </c>
      <c r="D29" s="10" t="s">
        <v>40</v>
      </c>
      <c r="E29" s="10" t="s">
        <v>41</v>
      </c>
      <c r="F29" s="10" t="s">
        <v>35</v>
      </c>
      <c r="G29" s="10" t="s">
        <v>36</v>
      </c>
      <c r="H29" s="10" t="s">
        <v>37</v>
      </c>
      <c r="I29" s="12">
        <v>1050</v>
      </c>
      <c r="J29" s="12">
        <v>1030</v>
      </c>
      <c r="K29" s="12">
        <f t="shared" si="0"/>
        <v>-20</v>
      </c>
    </row>
    <row r="30" spans="1:11" ht="18.75" x14ac:dyDescent="0.3">
      <c r="I30" s="13">
        <f>SUM(I2:I29)</f>
        <v>27625</v>
      </c>
      <c r="J30" s="13">
        <f>SUM(J2:J29)</f>
        <v>26545</v>
      </c>
      <c r="K30" s="14">
        <f>SUM(K2:K29)</f>
        <v>-1080</v>
      </c>
    </row>
    <row r="32" spans="1:11" ht="15.75" x14ac:dyDescent="0.25">
      <c r="B32" s="15" t="s">
        <v>18</v>
      </c>
      <c r="C32" s="16">
        <v>67995</v>
      </c>
    </row>
    <row r="33" spans="1:11" ht="15.75" x14ac:dyDescent="0.25">
      <c r="B33" s="15" t="s">
        <v>72</v>
      </c>
      <c r="C33" s="16">
        <v>1080</v>
      </c>
    </row>
    <row r="34" spans="1:11" ht="15.75" x14ac:dyDescent="0.25">
      <c r="B34" s="15" t="s">
        <v>73</v>
      </c>
      <c r="C34" s="16">
        <f>C32-C33</f>
        <v>66915</v>
      </c>
    </row>
    <row r="38" spans="1:11" x14ac:dyDescent="0.25">
      <c r="A38" s="7" t="s">
        <v>22</v>
      </c>
      <c r="B38" s="7" t="s">
        <v>23</v>
      </c>
      <c r="C38" s="8" t="s">
        <v>24</v>
      </c>
      <c r="D38" s="7" t="s">
        <v>25</v>
      </c>
      <c r="E38" s="7" t="s">
        <v>26</v>
      </c>
      <c r="F38" s="7" t="s">
        <v>27</v>
      </c>
      <c r="G38" s="7" t="s">
        <v>28</v>
      </c>
      <c r="H38" s="7" t="s">
        <v>29</v>
      </c>
      <c r="I38" s="7" t="s">
        <v>30</v>
      </c>
      <c r="J38" s="7" t="s">
        <v>31</v>
      </c>
      <c r="K38" s="9" t="s">
        <v>20</v>
      </c>
    </row>
    <row r="39" spans="1:11" x14ac:dyDescent="0.25">
      <c r="A39" s="17">
        <v>1</v>
      </c>
      <c r="B39" s="17" t="s">
        <v>74</v>
      </c>
      <c r="C39" s="18">
        <v>359814713176981</v>
      </c>
      <c r="D39" s="17" t="s">
        <v>40</v>
      </c>
      <c r="E39" s="17" t="s">
        <v>56</v>
      </c>
      <c r="F39" s="17" t="s">
        <v>35</v>
      </c>
      <c r="G39" s="17" t="s">
        <v>75</v>
      </c>
      <c r="H39" s="19" t="s">
        <v>57</v>
      </c>
      <c r="I39" s="20">
        <v>840</v>
      </c>
      <c r="J39" s="20">
        <v>800</v>
      </c>
      <c r="K39" s="20">
        <f>J39-I39</f>
        <v>-40</v>
      </c>
    </row>
    <row r="40" spans="1:11" x14ac:dyDescent="0.25">
      <c r="A40" s="17">
        <v>2</v>
      </c>
      <c r="B40" s="17" t="s">
        <v>76</v>
      </c>
      <c r="C40" s="18">
        <v>350035239170766</v>
      </c>
      <c r="D40" s="17" t="s">
        <v>40</v>
      </c>
      <c r="E40" s="17" t="s">
        <v>56</v>
      </c>
      <c r="F40" s="17" t="s">
        <v>35</v>
      </c>
      <c r="G40" s="17" t="s">
        <v>77</v>
      </c>
      <c r="H40" s="19" t="s">
        <v>37</v>
      </c>
      <c r="I40" s="20">
        <v>840</v>
      </c>
      <c r="J40" s="20">
        <v>800</v>
      </c>
      <c r="K40" s="20">
        <f t="shared" ref="K40:K74" si="1">J40-I40</f>
        <v>-40</v>
      </c>
    </row>
    <row r="41" spans="1:11" x14ac:dyDescent="0.25">
      <c r="A41" s="17">
        <v>3</v>
      </c>
      <c r="B41" s="17" t="s">
        <v>76</v>
      </c>
      <c r="C41" s="18">
        <v>350552899384362</v>
      </c>
      <c r="D41" s="17" t="s">
        <v>40</v>
      </c>
      <c r="E41" s="17" t="s">
        <v>56</v>
      </c>
      <c r="F41" s="17" t="s">
        <v>35</v>
      </c>
      <c r="G41" s="17" t="s">
        <v>78</v>
      </c>
      <c r="H41" s="19" t="s">
        <v>37</v>
      </c>
      <c r="I41" s="20">
        <v>840</v>
      </c>
      <c r="J41" s="20">
        <v>800</v>
      </c>
      <c r="K41" s="20">
        <f t="shared" si="1"/>
        <v>-40</v>
      </c>
    </row>
    <row r="42" spans="1:11" x14ac:dyDescent="0.25">
      <c r="A42" s="17">
        <v>4</v>
      </c>
      <c r="B42" s="17" t="s">
        <v>79</v>
      </c>
      <c r="C42" s="18">
        <v>359477636296441</v>
      </c>
      <c r="D42" s="17" t="s">
        <v>40</v>
      </c>
      <c r="E42" s="17" t="s">
        <v>68</v>
      </c>
      <c r="F42" s="17" t="s">
        <v>35</v>
      </c>
      <c r="G42" s="17" t="s">
        <v>78</v>
      </c>
      <c r="H42" s="19" t="s">
        <v>37</v>
      </c>
      <c r="I42" s="20">
        <v>780</v>
      </c>
      <c r="J42" s="20">
        <v>750</v>
      </c>
      <c r="K42" s="20">
        <f t="shared" si="1"/>
        <v>-30</v>
      </c>
    </row>
    <row r="43" spans="1:11" x14ac:dyDescent="0.25">
      <c r="A43" s="17">
        <v>5</v>
      </c>
      <c r="B43" s="17" t="s">
        <v>38</v>
      </c>
      <c r="C43" s="18">
        <v>352355702450729</v>
      </c>
      <c r="D43" s="17" t="s">
        <v>40</v>
      </c>
      <c r="E43" s="17" t="s">
        <v>41</v>
      </c>
      <c r="F43" s="17" t="s">
        <v>35</v>
      </c>
      <c r="G43" s="17" t="s">
        <v>36</v>
      </c>
      <c r="H43" s="19" t="s">
        <v>37</v>
      </c>
      <c r="I43" s="20">
        <v>1050</v>
      </c>
      <c r="J43" s="20">
        <v>1030</v>
      </c>
      <c r="K43" s="20">
        <f t="shared" si="1"/>
        <v>-20</v>
      </c>
    </row>
    <row r="44" spans="1:11" x14ac:dyDescent="0.25">
      <c r="A44" s="17">
        <v>6</v>
      </c>
      <c r="B44" s="17" t="s">
        <v>80</v>
      </c>
      <c r="C44" s="18">
        <v>355008321735387</v>
      </c>
      <c r="D44" s="17" t="s">
        <v>33</v>
      </c>
      <c r="E44" s="17" t="s">
        <v>56</v>
      </c>
      <c r="F44" s="17" t="s">
        <v>81</v>
      </c>
      <c r="G44" s="17" t="s">
        <v>77</v>
      </c>
      <c r="H44" s="19" t="s">
        <v>37</v>
      </c>
      <c r="I44" s="20">
        <v>42</v>
      </c>
      <c r="J44" s="20">
        <v>25</v>
      </c>
      <c r="K44" s="20">
        <f t="shared" si="1"/>
        <v>-17</v>
      </c>
    </row>
    <row r="45" spans="1:11" x14ac:dyDescent="0.25">
      <c r="A45" s="17">
        <v>7</v>
      </c>
      <c r="B45" s="17" t="s">
        <v>82</v>
      </c>
      <c r="C45" s="18">
        <v>350803920641415</v>
      </c>
      <c r="D45" s="17" t="s">
        <v>83</v>
      </c>
      <c r="E45" s="17" t="s">
        <v>56</v>
      </c>
      <c r="F45" s="17" t="s">
        <v>81</v>
      </c>
      <c r="G45" s="17" t="s">
        <v>77</v>
      </c>
      <c r="H45" s="19" t="s">
        <v>37</v>
      </c>
      <c r="I45" s="20">
        <v>34</v>
      </c>
      <c r="J45" s="20">
        <v>25</v>
      </c>
      <c r="K45" s="20">
        <f t="shared" si="1"/>
        <v>-9</v>
      </c>
    </row>
    <row r="46" spans="1:11" x14ac:dyDescent="0.25">
      <c r="A46" s="17">
        <v>8</v>
      </c>
      <c r="B46" s="17" t="s">
        <v>38</v>
      </c>
      <c r="C46" s="18">
        <v>352355705514554</v>
      </c>
      <c r="D46" s="17" t="s">
        <v>40</v>
      </c>
      <c r="E46" s="17" t="s">
        <v>41</v>
      </c>
      <c r="F46" s="17" t="s">
        <v>35</v>
      </c>
      <c r="G46" s="17" t="s">
        <v>36</v>
      </c>
      <c r="H46" s="19" t="s">
        <v>37</v>
      </c>
      <c r="I46" s="20">
        <v>1050</v>
      </c>
      <c r="J46" s="20">
        <v>980</v>
      </c>
      <c r="K46" s="20">
        <f t="shared" si="1"/>
        <v>-70</v>
      </c>
    </row>
    <row r="47" spans="1:11" x14ac:dyDescent="0.25">
      <c r="A47" s="17">
        <v>9</v>
      </c>
      <c r="B47" s="17" t="s">
        <v>84</v>
      </c>
      <c r="C47" s="18" t="s">
        <v>85</v>
      </c>
      <c r="D47" s="17" t="s">
        <v>48</v>
      </c>
      <c r="E47" s="17" t="s">
        <v>41</v>
      </c>
      <c r="F47" s="17" t="s">
        <v>35</v>
      </c>
      <c r="G47" s="17" t="s">
        <v>42</v>
      </c>
      <c r="H47" s="19" t="s">
        <v>37</v>
      </c>
      <c r="I47" s="20">
        <v>310</v>
      </c>
      <c r="J47" s="20">
        <v>300</v>
      </c>
      <c r="K47" s="20">
        <f t="shared" si="1"/>
        <v>-10</v>
      </c>
    </row>
    <row r="48" spans="1:11" x14ac:dyDescent="0.25">
      <c r="A48" s="17">
        <v>10</v>
      </c>
      <c r="B48" s="17" t="s">
        <v>82</v>
      </c>
      <c r="C48" s="18">
        <v>350803920649194</v>
      </c>
      <c r="D48" s="17" t="s">
        <v>83</v>
      </c>
      <c r="E48" s="17" t="s">
        <v>56</v>
      </c>
      <c r="F48" s="17" t="s">
        <v>81</v>
      </c>
      <c r="G48" s="17" t="s">
        <v>77</v>
      </c>
      <c r="H48" s="19" t="s">
        <v>37</v>
      </c>
      <c r="I48" s="20">
        <v>34</v>
      </c>
      <c r="J48" s="20">
        <v>25</v>
      </c>
      <c r="K48" s="20">
        <f t="shared" si="1"/>
        <v>-9</v>
      </c>
    </row>
    <row r="49" spans="1:11" x14ac:dyDescent="0.25">
      <c r="A49" s="17">
        <v>11</v>
      </c>
      <c r="B49" s="17" t="s">
        <v>80</v>
      </c>
      <c r="C49" s="18">
        <v>355008321665386</v>
      </c>
      <c r="D49" s="17" t="s">
        <v>33</v>
      </c>
      <c r="E49" s="17" t="s">
        <v>56</v>
      </c>
      <c r="F49" s="17" t="s">
        <v>81</v>
      </c>
      <c r="G49" s="17" t="s">
        <v>77</v>
      </c>
      <c r="H49" s="19" t="s">
        <v>37</v>
      </c>
      <c r="I49" s="20">
        <v>42</v>
      </c>
      <c r="J49" s="20">
        <v>25</v>
      </c>
      <c r="K49" s="20">
        <f t="shared" si="1"/>
        <v>-17</v>
      </c>
    </row>
    <row r="50" spans="1:11" x14ac:dyDescent="0.25">
      <c r="A50" s="17">
        <v>12</v>
      </c>
      <c r="B50" s="17" t="s">
        <v>84</v>
      </c>
      <c r="C50" s="18" t="s">
        <v>86</v>
      </c>
      <c r="D50" s="17" t="s">
        <v>48</v>
      </c>
      <c r="E50" s="17" t="s">
        <v>41</v>
      </c>
      <c r="F50" s="17" t="s">
        <v>35</v>
      </c>
      <c r="G50" s="17" t="s">
        <v>42</v>
      </c>
      <c r="H50" s="19" t="s">
        <v>37</v>
      </c>
      <c r="I50" s="20">
        <v>310</v>
      </c>
      <c r="J50" s="20">
        <v>300</v>
      </c>
      <c r="K50" s="20">
        <f t="shared" si="1"/>
        <v>-10</v>
      </c>
    </row>
    <row r="51" spans="1:11" x14ac:dyDescent="0.25">
      <c r="A51" s="17">
        <v>13</v>
      </c>
      <c r="B51" s="17" t="s">
        <v>82</v>
      </c>
      <c r="C51" s="18">
        <v>350803921283555</v>
      </c>
      <c r="D51" s="17" t="s">
        <v>83</v>
      </c>
      <c r="E51" s="17" t="s">
        <v>56</v>
      </c>
      <c r="F51" s="17" t="s">
        <v>81</v>
      </c>
      <c r="G51" s="17" t="s">
        <v>77</v>
      </c>
      <c r="H51" s="19" t="s">
        <v>37</v>
      </c>
      <c r="I51" s="20">
        <v>34</v>
      </c>
      <c r="J51" s="20">
        <v>25</v>
      </c>
      <c r="K51" s="20">
        <f t="shared" si="1"/>
        <v>-9</v>
      </c>
    </row>
    <row r="52" spans="1:11" x14ac:dyDescent="0.25">
      <c r="A52" s="17">
        <v>14</v>
      </c>
      <c r="B52" s="17" t="s">
        <v>82</v>
      </c>
      <c r="C52" s="18">
        <v>359542652083740</v>
      </c>
      <c r="D52" s="17" t="s">
        <v>83</v>
      </c>
      <c r="E52" s="17" t="s">
        <v>56</v>
      </c>
      <c r="F52" s="17" t="s">
        <v>81</v>
      </c>
      <c r="G52" s="17" t="s">
        <v>77</v>
      </c>
      <c r="H52" s="19" t="s">
        <v>37</v>
      </c>
      <c r="I52" s="20">
        <v>34</v>
      </c>
      <c r="J52" s="20">
        <v>25</v>
      </c>
      <c r="K52" s="20">
        <f t="shared" si="1"/>
        <v>-9</v>
      </c>
    </row>
    <row r="53" spans="1:11" x14ac:dyDescent="0.25">
      <c r="A53" s="17">
        <v>15</v>
      </c>
      <c r="B53" s="17" t="s">
        <v>47</v>
      </c>
      <c r="C53" s="18">
        <v>355827875276963</v>
      </c>
      <c r="D53" s="17" t="s">
        <v>48</v>
      </c>
      <c r="E53" s="17" t="s">
        <v>48</v>
      </c>
      <c r="F53" s="17" t="s">
        <v>35</v>
      </c>
      <c r="G53" s="17" t="s">
        <v>36</v>
      </c>
      <c r="H53" s="19" t="s">
        <v>37</v>
      </c>
      <c r="I53" s="20">
        <v>665</v>
      </c>
      <c r="J53" s="20">
        <v>655</v>
      </c>
      <c r="K53" s="20">
        <f t="shared" si="1"/>
        <v>-10</v>
      </c>
    </row>
    <row r="54" spans="1:11" x14ac:dyDescent="0.25">
      <c r="A54" s="17">
        <v>16</v>
      </c>
      <c r="B54" s="17" t="s">
        <v>76</v>
      </c>
      <c r="C54" s="18">
        <v>351668144233029</v>
      </c>
      <c r="D54" s="17" t="s">
        <v>40</v>
      </c>
      <c r="E54" s="17" t="s">
        <v>56</v>
      </c>
      <c r="F54" s="17" t="s">
        <v>35</v>
      </c>
      <c r="G54" s="17" t="s">
        <v>78</v>
      </c>
      <c r="H54" s="19" t="s">
        <v>37</v>
      </c>
      <c r="I54" s="20">
        <v>840</v>
      </c>
      <c r="J54" s="20">
        <v>800</v>
      </c>
      <c r="K54" s="20">
        <f t="shared" si="1"/>
        <v>-40</v>
      </c>
    </row>
    <row r="55" spans="1:11" x14ac:dyDescent="0.25">
      <c r="A55" s="17">
        <v>17</v>
      </c>
      <c r="B55" s="17" t="s">
        <v>87</v>
      </c>
      <c r="C55" s="18" t="s">
        <v>88</v>
      </c>
      <c r="D55" s="17" t="s">
        <v>48</v>
      </c>
      <c r="E55" s="17" t="s">
        <v>48</v>
      </c>
      <c r="F55" s="17" t="s">
        <v>35</v>
      </c>
      <c r="G55" s="17" t="s">
        <v>42</v>
      </c>
      <c r="H55" s="19" t="s">
        <v>37</v>
      </c>
      <c r="I55" s="20">
        <v>350</v>
      </c>
      <c r="J55" s="20">
        <v>300</v>
      </c>
      <c r="K55" s="20">
        <f t="shared" si="1"/>
        <v>-50</v>
      </c>
    </row>
    <row r="56" spans="1:11" x14ac:dyDescent="0.25">
      <c r="A56" s="17">
        <v>18</v>
      </c>
      <c r="B56" s="17" t="s">
        <v>82</v>
      </c>
      <c r="C56" s="18">
        <v>353054820697423</v>
      </c>
      <c r="D56" s="17" t="s">
        <v>83</v>
      </c>
      <c r="E56" s="17" t="s">
        <v>56</v>
      </c>
      <c r="F56" s="17" t="s">
        <v>81</v>
      </c>
      <c r="G56" s="17" t="s">
        <v>77</v>
      </c>
      <c r="H56" s="19" t="s">
        <v>37</v>
      </c>
      <c r="I56" s="20">
        <v>34</v>
      </c>
      <c r="J56" s="20">
        <v>25</v>
      </c>
      <c r="K56" s="20">
        <f t="shared" si="1"/>
        <v>-9</v>
      </c>
    </row>
    <row r="57" spans="1:11" x14ac:dyDescent="0.25">
      <c r="A57" s="17">
        <v>19</v>
      </c>
      <c r="B57" s="17" t="s">
        <v>82</v>
      </c>
      <c r="C57" s="18">
        <v>350803920831081</v>
      </c>
      <c r="D57" s="17" t="s">
        <v>83</v>
      </c>
      <c r="E57" s="17" t="s">
        <v>56</v>
      </c>
      <c r="F57" s="17" t="s">
        <v>81</v>
      </c>
      <c r="G57" s="17" t="s">
        <v>77</v>
      </c>
      <c r="H57" s="19" t="s">
        <v>37</v>
      </c>
      <c r="I57" s="20">
        <v>34</v>
      </c>
      <c r="J57" s="20">
        <v>25</v>
      </c>
      <c r="K57" s="20">
        <f t="shared" si="1"/>
        <v>-9</v>
      </c>
    </row>
    <row r="58" spans="1:11" x14ac:dyDescent="0.25">
      <c r="A58" s="17">
        <v>20</v>
      </c>
      <c r="B58" s="17" t="s">
        <v>89</v>
      </c>
      <c r="C58" s="18" t="s">
        <v>90</v>
      </c>
      <c r="D58" s="17" t="s">
        <v>48</v>
      </c>
      <c r="E58" s="17" t="s">
        <v>91</v>
      </c>
      <c r="F58" s="17" t="s">
        <v>35</v>
      </c>
      <c r="G58" s="17" t="s">
        <v>42</v>
      </c>
      <c r="H58" s="19" t="s">
        <v>37</v>
      </c>
      <c r="I58" s="20">
        <v>415</v>
      </c>
      <c r="J58" s="20">
        <v>410</v>
      </c>
      <c r="K58" s="20">
        <f t="shared" si="1"/>
        <v>-5</v>
      </c>
    </row>
    <row r="59" spans="1:11" x14ac:dyDescent="0.25">
      <c r="A59" s="17">
        <v>21</v>
      </c>
      <c r="B59" s="17" t="s">
        <v>92</v>
      </c>
      <c r="C59" s="18" t="s">
        <v>93</v>
      </c>
      <c r="D59" s="17" t="s">
        <v>83</v>
      </c>
      <c r="E59" s="17" t="s">
        <v>94</v>
      </c>
      <c r="F59" s="17" t="s">
        <v>81</v>
      </c>
      <c r="G59" s="17" t="s">
        <v>42</v>
      </c>
      <c r="H59" s="19" t="s">
        <v>57</v>
      </c>
      <c r="I59" s="20">
        <v>175</v>
      </c>
      <c r="J59" s="20">
        <v>150</v>
      </c>
      <c r="K59" s="20">
        <f t="shared" si="1"/>
        <v>-25</v>
      </c>
    </row>
    <row r="60" spans="1:11" x14ac:dyDescent="0.25">
      <c r="A60" s="17">
        <v>22</v>
      </c>
      <c r="B60" s="17" t="s">
        <v>82</v>
      </c>
      <c r="C60" s="18">
        <v>350803920643718</v>
      </c>
      <c r="D60" s="17" t="s">
        <v>83</v>
      </c>
      <c r="E60" s="17" t="s">
        <v>56</v>
      </c>
      <c r="F60" s="17" t="s">
        <v>81</v>
      </c>
      <c r="G60" s="17" t="s">
        <v>77</v>
      </c>
      <c r="H60" s="19" t="s">
        <v>37</v>
      </c>
      <c r="I60" s="20">
        <v>34</v>
      </c>
      <c r="J60" s="20">
        <v>25</v>
      </c>
      <c r="K60" s="20">
        <f t="shared" si="1"/>
        <v>-9</v>
      </c>
    </row>
    <row r="61" spans="1:11" x14ac:dyDescent="0.25">
      <c r="A61" s="17">
        <v>23</v>
      </c>
      <c r="B61" s="17" t="s">
        <v>82</v>
      </c>
      <c r="C61" s="18">
        <v>350803920644005</v>
      </c>
      <c r="D61" s="17" t="s">
        <v>83</v>
      </c>
      <c r="E61" s="17" t="s">
        <v>56</v>
      </c>
      <c r="F61" s="17" t="s">
        <v>81</v>
      </c>
      <c r="G61" s="17" t="s">
        <v>77</v>
      </c>
      <c r="H61" s="19" t="s">
        <v>37</v>
      </c>
      <c r="I61" s="20">
        <v>34</v>
      </c>
      <c r="J61" s="20">
        <v>25</v>
      </c>
      <c r="K61" s="20">
        <f t="shared" si="1"/>
        <v>-9</v>
      </c>
    </row>
    <row r="62" spans="1:11" x14ac:dyDescent="0.25">
      <c r="A62" s="17">
        <v>24</v>
      </c>
      <c r="B62" s="17" t="s">
        <v>47</v>
      </c>
      <c r="C62" s="18">
        <v>356187984081401</v>
      </c>
      <c r="D62" s="17" t="s">
        <v>48</v>
      </c>
      <c r="E62" s="17" t="s">
        <v>48</v>
      </c>
      <c r="F62" s="17" t="s">
        <v>35</v>
      </c>
      <c r="G62" s="17" t="s">
        <v>36</v>
      </c>
      <c r="H62" s="19" t="s">
        <v>37</v>
      </c>
      <c r="I62" s="20">
        <v>665</v>
      </c>
      <c r="J62" s="20">
        <v>655</v>
      </c>
      <c r="K62" s="20">
        <f t="shared" si="1"/>
        <v>-10</v>
      </c>
    </row>
    <row r="63" spans="1:11" x14ac:dyDescent="0.25">
      <c r="A63" s="17">
        <v>25</v>
      </c>
      <c r="B63" s="17" t="s">
        <v>79</v>
      </c>
      <c r="C63" s="18">
        <v>351317527167566</v>
      </c>
      <c r="D63" s="17" t="s">
        <v>40</v>
      </c>
      <c r="E63" s="17" t="s">
        <v>68</v>
      </c>
      <c r="F63" s="17" t="s">
        <v>35</v>
      </c>
      <c r="G63" s="17" t="s">
        <v>78</v>
      </c>
      <c r="H63" s="19" t="s">
        <v>37</v>
      </c>
      <c r="I63" s="20">
        <v>780</v>
      </c>
      <c r="J63" s="20">
        <v>750</v>
      </c>
      <c r="K63" s="20">
        <f t="shared" si="1"/>
        <v>-30</v>
      </c>
    </row>
    <row r="64" spans="1:11" x14ac:dyDescent="0.25">
      <c r="A64" s="17">
        <v>26</v>
      </c>
      <c r="B64" s="17" t="s">
        <v>38</v>
      </c>
      <c r="C64" s="18">
        <v>352355703561342</v>
      </c>
      <c r="D64" s="17" t="s">
        <v>40</v>
      </c>
      <c r="E64" s="17" t="s">
        <v>41</v>
      </c>
      <c r="F64" s="17" t="s">
        <v>35</v>
      </c>
      <c r="G64" s="17" t="s">
        <v>36</v>
      </c>
      <c r="H64" s="19" t="s">
        <v>37</v>
      </c>
      <c r="I64" s="20">
        <v>1050</v>
      </c>
      <c r="J64" s="20">
        <v>980</v>
      </c>
      <c r="K64" s="20">
        <f t="shared" si="1"/>
        <v>-70</v>
      </c>
    </row>
    <row r="65" spans="1:11" x14ac:dyDescent="0.25">
      <c r="A65" s="17">
        <v>27</v>
      </c>
      <c r="B65" s="17" t="s">
        <v>87</v>
      </c>
      <c r="C65" s="18" t="s">
        <v>95</v>
      </c>
      <c r="D65" s="17" t="s">
        <v>48</v>
      </c>
      <c r="E65" s="17" t="s">
        <v>41</v>
      </c>
      <c r="F65" s="17" t="s">
        <v>35</v>
      </c>
      <c r="G65" s="17" t="s">
        <v>42</v>
      </c>
      <c r="H65" s="19" t="s">
        <v>37</v>
      </c>
      <c r="I65" s="20">
        <v>350</v>
      </c>
      <c r="J65" s="20">
        <v>300</v>
      </c>
      <c r="K65" s="20">
        <f t="shared" si="1"/>
        <v>-50</v>
      </c>
    </row>
    <row r="66" spans="1:11" x14ac:dyDescent="0.25">
      <c r="A66" s="17">
        <v>28</v>
      </c>
      <c r="B66" s="17" t="s">
        <v>82</v>
      </c>
      <c r="C66" s="18">
        <v>350803920641423</v>
      </c>
      <c r="D66" s="17" t="s">
        <v>83</v>
      </c>
      <c r="E66" s="17" t="s">
        <v>56</v>
      </c>
      <c r="F66" s="17" t="s">
        <v>81</v>
      </c>
      <c r="G66" s="17" t="s">
        <v>77</v>
      </c>
      <c r="H66" s="19" t="s">
        <v>37</v>
      </c>
      <c r="I66" s="20">
        <v>34</v>
      </c>
      <c r="J66" s="20">
        <v>25</v>
      </c>
      <c r="K66" s="20">
        <f t="shared" si="1"/>
        <v>-9</v>
      </c>
    </row>
    <row r="67" spans="1:11" x14ac:dyDescent="0.25">
      <c r="A67" s="17">
        <v>29</v>
      </c>
      <c r="B67" s="17" t="s">
        <v>82</v>
      </c>
      <c r="C67" s="18">
        <v>350803920634865</v>
      </c>
      <c r="D67" s="17" t="s">
        <v>83</v>
      </c>
      <c r="E67" s="17" t="s">
        <v>56</v>
      </c>
      <c r="F67" s="17" t="s">
        <v>81</v>
      </c>
      <c r="G67" s="17" t="s">
        <v>77</v>
      </c>
      <c r="H67" s="19" t="s">
        <v>37</v>
      </c>
      <c r="I67" s="20">
        <v>34</v>
      </c>
      <c r="J67" s="20">
        <v>25</v>
      </c>
      <c r="K67" s="20">
        <f t="shared" si="1"/>
        <v>-9</v>
      </c>
    </row>
    <row r="68" spans="1:11" x14ac:dyDescent="0.25">
      <c r="A68" s="17">
        <v>30</v>
      </c>
      <c r="B68" s="17" t="s">
        <v>79</v>
      </c>
      <c r="C68" s="18">
        <v>354289634595970</v>
      </c>
      <c r="D68" s="17" t="s">
        <v>40</v>
      </c>
      <c r="E68" s="17" t="s">
        <v>68</v>
      </c>
      <c r="F68" s="17" t="s">
        <v>35</v>
      </c>
      <c r="G68" s="17" t="s">
        <v>78</v>
      </c>
      <c r="H68" s="19" t="s">
        <v>37</v>
      </c>
      <c r="I68" s="20">
        <v>780</v>
      </c>
      <c r="J68" s="20">
        <v>750</v>
      </c>
      <c r="K68" s="20">
        <f t="shared" si="1"/>
        <v>-30</v>
      </c>
    </row>
    <row r="69" spans="1:11" x14ac:dyDescent="0.25">
      <c r="A69" s="17">
        <v>31</v>
      </c>
      <c r="B69" s="17" t="s">
        <v>80</v>
      </c>
      <c r="C69" s="18">
        <v>358986550911174</v>
      </c>
      <c r="D69" s="17" t="s">
        <v>33</v>
      </c>
      <c r="E69" s="17" t="s">
        <v>96</v>
      </c>
      <c r="F69" s="17" t="s">
        <v>81</v>
      </c>
      <c r="G69" s="17" t="s">
        <v>77</v>
      </c>
      <c r="H69" s="19" t="s">
        <v>37</v>
      </c>
      <c r="I69" s="20">
        <v>42</v>
      </c>
      <c r="J69" s="20">
        <v>25</v>
      </c>
      <c r="K69" s="20">
        <f t="shared" si="1"/>
        <v>-17</v>
      </c>
    </row>
    <row r="70" spans="1:11" x14ac:dyDescent="0.25">
      <c r="A70" s="17">
        <v>32</v>
      </c>
      <c r="B70" s="17" t="s">
        <v>82</v>
      </c>
      <c r="C70" s="18">
        <v>350803920918680</v>
      </c>
      <c r="D70" s="17" t="s">
        <v>83</v>
      </c>
      <c r="E70" s="17" t="s">
        <v>56</v>
      </c>
      <c r="F70" s="17" t="s">
        <v>81</v>
      </c>
      <c r="G70" s="17" t="s">
        <v>77</v>
      </c>
      <c r="H70" s="19" t="s">
        <v>37</v>
      </c>
      <c r="I70" s="20">
        <v>34</v>
      </c>
      <c r="J70" s="20">
        <v>25</v>
      </c>
      <c r="K70" s="20">
        <f t="shared" si="1"/>
        <v>-9</v>
      </c>
    </row>
    <row r="71" spans="1:11" x14ac:dyDescent="0.25">
      <c r="A71" s="17">
        <v>33</v>
      </c>
      <c r="B71" s="17" t="s">
        <v>76</v>
      </c>
      <c r="C71" s="18">
        <v>350035236152296</v>
      </c>
      <c r="D71" s="17" t="s">
        <v>40</v>
      </c>
      <c r="E71" s="17" t="s">
        <v>56</v>
      </c>
      <c r="F71" s="17" t="s">
        <v>35</v>
      </c>
      <c r="G71" s="17" t="s">
        <v>78</v>
      </c>
      <c r="H71" s="19" t="s">
        <v>37</v>
      </c>
      <c r="I71" s="20">
        <v>840</v>
      </c>
      <c r="J71" s="20">
        <v>800</v>
      </c>
      <c r="K71" s="20">
        <f t="shared" si="1"/>
        <v>-40</v>
      </c>
    </row>
    <row r="72" spans="1:11" x14ac:dyDescent="0.25">
      <c r="A72" s="17">
        <v>34</v>
      </c>
      <c r="B72" s="17" t="s">
        <v>82</v>
      </c>
      <c r="C72" s="18">
        <v>350803920931865</v>
      </c>
      <c r="D72" s="17" t="s">
        <v>83</v>
      </c>
      <c r="E72" s="17" t="s">
        <v>56</v>
      </c>
      <c r="F72" s="17" t="s">
        <v>81</v>
      </c>
      <c r="G72" s="17" t="s">
        <v>77</v>
      </c>
      <c r="H72" s="19" t="s">
        <v>37</v>
      </c>
      <c r="I72" s="20">
        <v>34</v>
      </c>
      <c r="J72" s="20">
        <v>25</v>
      </c>
      <c r="K72" s="20">
        <f t="shared" si="1"/>
        <v>-9</v>
      </c>
    </row>
    <row r="73" spans="1:11" x14ac:dyDescent="0.25">
      <c r="A73" s="17">
        <v>35</v>
      </c>
      <c r="B73" s="17" t="s">
        <v>82</v>
      </c>
      <c r="C73" s="18">
        <v>350803920643619</v>
      </c>
      <c r="D73" s="17" t="s">
        <v>83</v>
      </c>
      <c r="E73" s="17" t="s">
        <v>56</v>
      </c>
      <c r="F73" s="17" t="s">
        <v>81</v>
      </c>
      <c r="G73" s="17" t="s">
        <v>77</v>
      </c>
      <c r="H73" s="19" t="s">
        <v>37</v>
      </c>
      <c r="I73" s="20">
        <v>34</v>
      </c>
      <c r="J73" s="20">
        <v>25</v>
      </c>
      <c r="K73" s="20">
        <f t="shared" si="1"/>
        <v>-9</v>
      </c>
    </row>
    <row r="74" spans="1:11" x14ac:dyDescent="0.25">
      <c r="A74" s="17">
        <v>36</v>
      </c>
      <c r="B74" s="17" t="s">
        <v>55</v>
      </c>
      <c r="C74" s="18">
        <v>350094265527647</v>
      </c>
      <c r="D74" s="17" t="s">
        <v>33</v>
      </c>
      <c r="E74" s="17" t="s">
        <v>56</v>
      </c>
      <c r="F74" s="17" t="s">
        <v>35</v>
      </c>
      <c r="G74" s="17" t="s">
        <v>36</v>
      </c>
      <c r="H74" s="19" t="s">
        <v>37</v>
      </c>
      <c r="I74" s="20">
        <v>285</v>
      </c>
      <c r="J74" s="20">
        <v>250</v>
      </c>
      <c r="K74" s="20">
        <f t="shared" si="1"/>
        <v>-35</v>
      </c>
    </row>
    <row r="75" spans="1:11" ht="18.75" x14ac:dyDescent="0.3">
      <c r="I75" s="13">
        <f>SUM(I39:I74)</f>
        <v>13783</v>
      </c>
      <c r="J75" s="13">
        <f>SUM(J39:J74)</f>
        <v>12960</v>
      </c>
      <c r="K75" s="14">
        <f>SUM(K39:K74)</f>
        <v>-823</v>
      </c>
    </row>
    <row r="77" spans="1:11" ht="15.75" x14ac:dyDescent="0.25">
      <c r="B77" s="15" t="s">
        <v>18</v>
      </c>
      <c r="C77" s="16">
        <v>62158</v>
      </c>
    </row>
    <row r="78" spans="1:11" ht="15.75" x14ac:dyDescent="0.25">
      <c r="B78" s="15" t="s">
        <v>72</v>
      </c>
      <c r="C78" s="16">
        <v>823</v>
      </c>
    </row>
    <row r="79" spans="1:11" ht="15.75" x14ac:dyDescent="0.25">
      <c r="B79" s="15" t="s">
        <v>73</v>
      </c>
      <c r="C79" s="16">
        <f>C77-C78</f>
        <v>61335</v>
      </c>
    </row>
    <row r="82" spans="1:12" x14ac:dyDescent="0.25">
      <c r="A82" s="7" t="s">
        <v>22</v>
      </c>
      <c r="B82" s="7" t="s">
        <v>23</v>
      </c>
      <c r="C82" s="8" t="s">
        <v>24</v>
      </c>
      <c r="D82" s="7" t="s">
        <v>25</v>
      </c>
      <c r="E82" s="7" t="s">
        <v>26</v>
      </c>
      <c r="F82" s="7" t="s">
        <v>27</v>
      </c>
      <c r="G82" s="7" t="s">
        <v>28</v>
      </c>
      <c r="H82" s="7" t="s">
        <v>29</v>
      </c>
      <c r="I82" s="7" t="s">
        <v>30</v>
      </c>
      <c r="J82" s="7" t="s">
        <v>31</v>
      </c>
      <c r="K82" s="9" t="s">
        <v>20</v>
      </c>
    </row>
    <row r="83" spans="1:12" x14ac:dyDescent="0.25">
      <c r="A83" s="17">
        <v>1</v>
      </c>
      <c r="B83" s="17" t="s">
        <v>76</v>
      </c>
      <c r="C83" s="18">
        <v>355101470846418</v>
      </c>
      <c r="D83" s="17" t="s">
        <v>40</v>
      </c>
      <c r="E83" s="17" t="s">
        <v>56</v>
      </c>
      <c r="F83" s="17" t="s">
        <v>35</v>
      </c>
      <c r="G83" s="17" t="s">
        <v>97</v>
      </c>
      <c r="H83" s="17" t="s">
        <v>37</v>
      </c>
      <c r="I83" s="20">
        <v>840</v>
      </c>
      <c r="J83" s="20">
        <v>800</v>
      </c>
      <c r="K83" s="20">
        <f>J83-I83</f>
        <v>-40</v>
      </c>
    </row>
    <row r="84" spans="1:12" x14ac:dyDescent="0.25">
      <c r="A84" s="17">
        <v>2</v>
      </c>
      <c r="B84" s="17" t="s">
        <v>76</v>
      </c>
      <c r="C84" s="18">
        <v>358434708162994</v>
      </c>
      <c r="D84" s="17" t="s">
        <v>40</v>
      </c>
      <c r="E84" s="17" t="s">
        <v>56</v>
      </c>
      <c r="F84" s="17" t="s">
        <v>35</v>
      </c>
      <c r="G84" s="17" t="s">
        <v>78</v>
      </c>
      <c r="H84" s="17" t="s">
        <v>57</v>
      </c>
      <c r="I84" s="20">
        <v>840</v>
      </c>
      <c r="J84" s="20">
        <v>800</v>
      </c>
      <c r="K84" s="20">
        <f t="shared" ref="K84:K94" si="2">J84-I84</f>
        <v>-40</v>
      </c>
    </row>
    <row r="85" spans="1:12" x14ac:dyDescent="0.25">
      <c r="A85" s="17">
        <v>3</v>
      </c>
      <c r="B85" s="17" t="s">
        <v>38</v>
      </c>
      <c r="C85" s="18">
        <v>352355708798048</v>
      </c>
      <c r="D85" s="17" t="s">
        <v>40</v>
      </c>
      <c r="E85" s="17" t="s">
        <v>41</v>
      </c>
      <c r="F85" s="17" t="s">
        <v>35</v>
      </c>
      <c r="G85" s="17" t="s">
        <v>36</v>
      </c>
      <c r="H85" s="17" t="s">
        <v>37</v>
      </c>
      <c r="I85" s="20">
        <v>1070</v>
      </c>
      <c r="J85" s="20">
        <v>1030</v>
      </c>
      <c r="K85" s="20">
        <f t="shared" si="2"/>
        <v>-40</v>
      </c>
    </row>
    <row r="86" spans="1:12" x14ac:dyDescent="0.25">
      <c r="A86" s="17">
        <v>4</v>
      </c>
      <c r="B86" s="17" t="s">
        <v>38</v>
      </c>
      <c r="C86" s="18">
        <v>352355701064042</v>
      </c>
      <c r="D86" s="17" t="s">
        <v>40</v>
      </c>
      <c r="E86" s="17" t="s">
        <v>41</v>
      </c>
      <c r="F86" s="17" t="s">
        <v>35</v>
      </c>
      <c r="G86" s="17" t="s">
        <v>36</v>
      </c>
      <c r="H86" s="17" t="s">
        <v>37</v>
      </c>
      <c r="I86" s="20">
        <v>1070</v>
      </c>
      <c r="J86" s="20">
        <v>1030</v>
      </c>
      <c r="K86" s="20">
        <f t="shared" si="2"/>
        <v>-40</v>
      </c>
    </row>
    <row r="87" spans="1:12" x14ac:dyDescent="0.25">
      <c r="A87" s="17">
        <v>5</v>
      </c>
      <c r="B87" s="17" t="s">
        <v>38</v>
      </c>
      <c r="C87" s="18">
        <v>352355706086990</v>
      </c>
      <c r="D87" s="17" t="s">
        <v>40</v>
      </c>
      <c r="E87" s="17" t="s">
        <v>45</v>
      </c>
      <c r="F87" s="17" t="s">
        <v>35</v>
      </c>
      <c r="G87" s="17" t="s">
        <v>36</v>
      </c>
      <c r="H87" s="17" t="s">
        <v>37</v>
      </c>
      <c r="I87" s="20">
        <v>1070</v>
      </c>
      <c r="J87" s="20">
        <v>1030</v>
      </c>
      <c r="K87" s="20">
        <f t="shared" si="2"/>
        <v>-40</v>
      </c>
    </row>
    <row r="88" spans="1:12" x14ac:dyDescent="0.25">
      <c r="A88" s="28">
        <v>6</v>
      </c>
      <c r="B88" s="28" t="s">
        <v>32</v>
      </c>
      <c r="C88" s="29">
        <v>352255851601140</v>
      </c>
      <c r="D88" s="28" t="s">
        <v>33</v>
      </c>
      <c r="E88" s="28" t="s">
        <v>56</v>
      </c>
      <c r="F88" s="28" t="s">
        <v>35</v>
      </c>
      <c r="G88" s="28" t="s">
        <v>36</v>
      </c>
      <c r="H88" s="28" t="s">
        <v>37</v>
      </c>
      <c r="I88" s="30">
        <v>720</v>
      </c>
      <c r="J88" s="30">
        <v>650</v>
      </c>
      <c r="K88" s="30">
        <f t="shared" si="2"/>
        <v>-70</v>
      </c>
      <c r="L88" s="31" t="s">
        <v>246</v>
      </c>
    </row>
    <row r="89" spans="1:12" x14ac:dyDescent="0.25">
      <c r="A89" s="17">
        <v>7</v>
      </c>
      <c r="B89" s="17" t="s">
        <v>98</v>
      </c>
      <c r="C89" s="18" t="s">
        <v>99</v>
      </c>
      <c r="D89" s="17" t="s">
        <v>48</v>
      </c>
      <c r="E89" s="17" t="s">
        <v>48</v>
      </c>
      <c r="F89" s="17" t="s">
        <v>35</v>
      </c>
      <c r="G89" s="17" t="s">
        <v>42</v>
      </c>
      <c r="H89" s="17" t="s">
        <v>37</v>
      </c>
      <c r="I89" s="20">
        <v>320</v>
      </c>
      <c r="J89" s="20">
        <v>285</v>
      </c>
      <c r="K89" s="20">
        <f t="shared" si="2"/>
        <v>-35</v>
      </c>
    </row>
    <row r="90" spans="1:12" x14ac:dyDescent="0.25">
      <c r="A90" s="17">
        <v>8</v>
      </c>
      <c r="B90" s="17" t="s">
        <v>100</v>
      </c>
      <c r="C90" s="18" t="s">
        <v>101</v>
      </c>
      <c r="D90" s="17" t="s">
        <v>48</v>
      </c>
      <c r="E90" s="17" t="s">
        <v>34</v>
      </c>
      <c r="F90" s="17" t="s">
        <v>35</v>
      </c>
      <c r="G90" s="17" t="s">
        <v>42</v>
      </c>
      <c r="H90" s="17" t="s">
        <v>37</v>
      </c>
      <c r="I90" s="20">
        <v>320</v>
      </c>
      <c r="J90" s="20">
        <v>315</v>
      </c>
      <c r="K90" s="20">
        <f t="shared" si="2"/>
        <v>-5</v>
      </c>
    </row>
    <row r="91" spans="1:12" x14ac:dyDescent="0.25">
      <c r="A91" s="17">
        <v>9</v>
      </c>
      <c r="B91" s="17" t="s">
        <v>100</v>
      </c>
      <c r="C91" s="18" t="s">
        <v>102</v>
      </c>
      <c r="D91" s="17" t="s">
        <v>48</v>
      </c>
      <c r="E91" s="17" t="s">
        <v>34</v>
      </c>
      <c r="F91" s="17" t="s">
        <v>35</v>
      </c>
      <c r="G91" s="17" t="s">
        <v>42</v>
      </c>
      <c r="H91" s="17" t="s">
        <v>37</v>
      </c>
      <c r="I91" s="20">
        <v>320</v>
      </c>
      <c r="J91" s="20">
        <v>315</v>
      </c>
      <c r="K91" s="20">
        <f t="shared" si="2"/>
        <v>-5</v>
      </c>
    </row>
    <row r="92" spans="1:12" x14ac:dyDescent="0.25">
      <c r="A92" s="28">
        <v>10</v>
      </c>
      <c r="B92" s="28" t="s">
        <v>103</v>
      </c>
      <c r="C92" s="29">
        <v>358112933315757</v>
      </c>
      <c r="D92" s="28" t="s">
        <v>40</v>
      </c>
      <c r="E92" s="28" t="s">
        <v>41</v>
      </c>
      <c r="F92" s="28" t="s">
        <v>35</v>
      </c>
      <c r="G92" s="28" t="s">
        <v>36</v>
      </c>
      <c r="H92" s="28" t="s">
        <v>37</v>
      </c>
      <c r="I92" s="30">
        <v>940</v>
      </c>
      <c r="J92" s="30">
        <v>820</v>
      </c>
      <c r="K92" s="30">
        <f t="shared" si="2"/>
        <v>-120</v>
      </c>
      <c r="L92" s="31" t="s">
        <v>246</v>
      </c>
    </row>
    <row r="93" spans="1:12" x14ac:dyDescent="0.25">
      <c r="A93" s="17">
        <v>11</v>
      </c>
      <c r="B93" s="17" t="s">
        <v>79</v>
      </c>
      <c r="C93" s="18">
        <v>355832519971417</v>
      </c>
      <c r="D93" s="17" t="s">
        <v>40</v>
      </c>
      <c r="E93" s="17" t="s">
        <v>45</v>
      </c>
      <c r="F93" s="17" t="s">
        <v>35</v>
      </c>
      <c r="G93" s="17" t="s">
        <v>78</v>
      </c>
      <c r="H93" s="17" t="s">
        <v>57</v>
      </c>
      <c r="I93" s="20">
        <v>800</v>
      </c>
      <c r="J93" s="20">
        <v>750</v>
      </c>
      <c r="K93" s="20">
        <f t="shared" si="2"/>
        <v>-50</v>
      </c>
    </row>
    <row r="94" spans="1:12" x14ac:dyDescent="0.25">
      <c r="A94" s="17">
        <v>12</v>
      </c>
      <c r="B94" s="17" t="s">
        <v>79</v>
      </c>
      <c r="C94" s="18">
        <v>355079367074833</v>
      </c>
      <c r="D94" s="17" t="s">
        <v>40</v>
      </c>
      <c r="E94" s="17" t="s">
        <v>68</v>
      </c>
      <c r="F94" s="17" t="s">
        <v>35</v>
      </c>
      <c r="G94" s="17" t="s">
        <v>78</v>
      </c>
      <c r="H94" s="17" t="s">
        <v>37</v>
      </c>
      <c r="I94" s="20">
        <v>780</v>
      </c>
      <c r="J94" s="20">
        <v>750</v>
      </c>
      <c r="K94" s="20">
        <f t="shared" si="2"/>
        <v>-30</v>
      </c>
    </row>
    <row r="95" spans="1:12" ht="18.75" x14ac:dyDescent="0.3">
      <c r="I95" s="13">
        <f>SUM(I83:I94)</f>
        <v>9090</v>
      </c>
      <c r="J95" s="13">
        <f>SUM(J83:J94)</f>
        <v>8575</v>
      </c>
      <c r="K95" s="14">
        <f>SUM(K83:K94)</f>
        <v>-515</v>
      </c>
    </row>
    <row r="97" spans="1:11" ht="15.75" x14ac:dyDescent="0.25">
      <c r="B97" s="15" t="s">
        <v>18</v>
      </c>
      <c r="C97" s="16">
        <v>54795</v>
      </c>
    </row>
    <row r="98" spans="1:11" ht="15.75" x14ac:dyDescent="0.25">
      <c r="B98" s="15" t="s">
        <v>72</v>
      </c>
      <c r="C98" s="16">
        <v>515</v>
      </c>
    </row>
    <row r="99" spans="1:11" ht="15.75" x14ac:dyDescent="0.25">
      <c r="B99" s="15" t="s">
        <v>73</v>
      </c>
      <c r="C99" s="16">
        <f>C97-C98</f>
        <v>54280</v>
      </c>
    </row>
    <row r="104" spans="1:11" x14ac:dyDescent="0.25">
      <c r="A104" s="7" t="s">
        <v>22</v>
      </c>
      <c r="B104" s="7" t="s">
        <v>23</v>
      </c>
      <c r="C104" s="8" t="s">
        <v>24</v>
      </c>
      <c r="D104" s="7" t="s">
        <v>25</v>
      </c>
      <c r="E104" s="7" t="s">
        <v>26</v>
      </c>
      <c r="F104" s="7" t="s">
        <v>27</v>
      </c>
      <c r="G104" s="7" t="s">
        <v>28</v>
      </c>
      <c r="H104" s="7" t="s">
        <v>29</v>
      </c>
      <c r="I104" s="7" t="s">
        <v>30</v>
      </c>
      <c r="J104" s="7" t="s">
        <v>31</v>
      </c>
      <c r="K104" s="9" t="s">
        <v>20</v>
      </c>
    </row>
    <row r="105" spans="1:11" x14ac:dyDescent="0.25">
      <c r="A105" s="17">
        <v>1</v>
      </c>
      <c r="B105" s="17" t="s">
        <v>104</v>
      </c>
      <c r="C105" s="18">
        <v>357324132333306</v>
      </c>
      <c r="D105" s="17" t="s">
        <v>48</v>
      </c>
      <c r="E105" s="17" t="s">
        <v>41</v>
      </c>
      <c r="F105" s="17" t="s">
        <v>35</v>
      </c>
      <c r="G105" s="17" t="s">
        <v>48</v>
      </c>
      <c r="H105" s="17" t="s">
        <v>37</v>
      </c>
      <c r="I105" s="20">
        <v>320</v>
      </c>
      <c r="J105" s="20">
        <v>315</v>
      </c>
      <c r="K105" s="20">
        <f>J105-I105</f>
        <v>-5</v>
      </c>
    </row>
    <row r="106" spans="1:11" x14ac:dyDescent="0.25">
      <c r="A106" s="17">
        <v>2</v>
      </c>
      <c r="B106" s="17" t="s">
        <v>55</v>
      </c>
      <c r="C106" s="18" t="s">
        <v>105</v>
      </c>
      <c r="D106" s="17" t="s">
        <v>33</v>
      </c>
      <c r="E106" s="17" t="s">
        <v>56</v>
      </c>
      <c r="F106" s="17" t="s">
        <v>35</v>
      </c>
      <c r="G106" s="17" t="s">
        <v>36</v>
      </c>
      <c r="H106" s="17" t="s">
        <v>37</v>
      </c>
      <c r="I106" s="20">
        <v>350</v>
      </c>
      <c r="J106" s="20">
        <v>340</v>
      </c>
      <c r="K106" s="20">
        <f t="shared" ref="K106:K161" si="3">J106-I106</f>
        <v>-10</v>
      </c>
    </row>
    <row r="107" spans="1:11" x14ac:dyDescent="0.25">
      <c r="A107" s="17">
        <v>3</v>
      </c>
      <c r="B107" s="17" t="s">
        <v>55</v>
      </c>
      <c r="C107" s="18" t="s">
        <v>106</v>
      </c>
      <c r="D107" s="17" t="s">
        <v>33</v>
      </c>
      <c r="E107" s="17" t="s">
        <v>56</v>
      </c>
      <c r="F107" s="17" t="s">
        <v>35</v>
      </c>
      <c r="G107" s="17" t="s">
        <v>36</v>
      </c>
      <c r="H107" s="17" t="s">
        <v>37</v>
      </c>
      <c r="I107" s="20">
        <v>350</v>
      </c>
      <c r="J107" s="20">
        <v>340</v>
      </c>
      <c r="K107" s="20">
        <f t="shared" si="3"/>
        <v>-10</v>
      </c>
    </row>
    <row r="108" spans="1:11" x14ac:dyDescent="0.25">
      <c r="A108" s="17">
        <v>4</v>
      </c>
      <c r="B108" s="17" t="s">
        <v>55</v>
      </c>
      <c r="C108" s="18">
        <v>351159024325184</v>
      </c>
      <c r="D108" s="17" t="s">
        <v>33</v>
      </c>
      <c r="E108" s="17" t="s">
        <v>56</v>
      </c>
      <c r="F108" s="17" t="s">
        <v>35</v>
      </c>
      <c r="G108" s="17" t="s">
        <v>36</v>
      </c>
      <c r="H108" s="17" t="s">
        <v>37</v>
      </c>
      <c r="I108" s="20">
        <v>350</v>
      </c>
      <c r="J108" s="20">
        <v>340</v>
      </c>
      <c r="K108" s="20">
        <f t="shared" si="3"/>
        <v>-10</v>
      </c>
    </row>
    <row r="109" spans="1:11" x14ac:dyDescent="0.25">
      <c r="A109" s="17">
        <v>5</v>
      </c>
      <c r="B109" s="17" t="s">
        <v>32</v>
      </c>
      <c r="C109" s="18">
        <v>352255850784186</v>
      </c>
      <c r="D109" s="17" t="s">
        <v>33</v>
      </c>
      <c r="E109" s="17" t="s">
        <v>56</v>
      </c>
      <c r="F109" s="17" t="s">
        <v>35</v>
      </c>
      <c r="G109" s="17" t="s">
        <v>36</v>
      </c>
      <c r="H109" s="17" t="s">
        <v>37</v>
      </c>
      <c r="I109" s="20">
        <v>750</v>
      </c>
      <c r="J109" s="20">
        <v>720</v>
      </c>
      <c r="K109" s="20">
        <f t="shared" si="3"/>
        <v>-30</v>
      </c>
    </row>
    <row r="110" spans="1:11" x14ac:dyDescent="0.25">
      <c r="A110" s="17">
        <v>6</v>
      </c>
      <c r="B110" s="17" t="s">
        <v>38</v>
      </c>
      <c r="C110" s="18">
        <v>352355706556117</v>
      </c>
      <c r="D110" s="17" t="s">
        <v>40</v>
      </c>
      <c r="E110" s="17" t="s">
        <v>45</v>
      </c>
      <c r="F110" s="17" t="s">
        <v>35</v>
      </c>
      <c r="G110" s="17" t="s">
        <v>36</v>
      </c>
      <c r="H110" s="17" t="s">
        <v>37</v>
      </c>
      <c r="I110" s="20">
        <v>1050</v>
      </c>
      <c r="J110" s="20">
        <v>1030</v>
      </c>
      <c r="K110" s="20">
        <f t="shared" si="3"/>
        <v>-20</v>
      </c>
    </row>
    <row r="111" spans="1:11" x14ac:dyDescent="0.25">
      <c r="A111" s="17">
        <v>7</v>
      </c>
      <c r="B111" s="17" t="s">
        <v>79</v>
      </c>
      <c r="C111" s="18">
        <v>359477637575447</v>
      </c>
      <c r="D111" s="17" t="s">
        <v>40</v>
      </c>
      <c r="E111" s="17" t="s">
        <v>56</v>
      </c>
      <c r="F111" s="17" t="s">
        <v>35</v>
      </c>
      <c r="G111" s="17" t="s">
        <v>107</v>
      </c>
      <c r="H111" s="17" t="s">
        <v>37</v>
      </c>
      <c r="I111" s="20">
        <v>790</v>
      </c>
      <c r="J111" s="20">
        <v>750</v>
      </c>
      <c r="K111" s="20">
        <f t="shared" si="3"/>
        <v>-40</v>
      </c>
    </row>
    <row r="112" spans="1:11" x14ac:dyDescent="0.25">
      <c r="A112" s="17">
        <v>8</v>
      </c>
      <c r="B112" s="17" t="s">
        <v>79</v>
      </c>
      <c r="C112" s="18">
        <v>355820209403627</v>
      </c>
      <c r="D112" s="17" t="s">
        <v>40</v>
      </c>
      <c r="E112" s="17" t="s">
        <v>56</v>
      </c>
      <c r="F112" s="17" t="s">
        <v>35</v>
      </c>
      <c r="G112" s="17" t="s">
        <v>77</v>
      </c>
      <c r="H112" s="17" t="s">
        <v>37</v>
      </c>
      <c r="I112" s="20">
        <v>790</v>
      </c>
      <c r="J112" s="20">
        <v>750</v>
      </c>
      <c r="K112" s="20">
        <f t="shared" si="3"/>
        <v>-40</v>
      </c>
    </row>
    <row r="113" spans="1:11" x14ac:dyDescent="0.25">
      <c r="A113" s="17">
        <v>9</v>
      </c>
      <c r="B113" s="17" t="s">
        <v>79</v>
      </c>
      <c r="C113" s="18">
        <v>356245419857652</v>
      </c>
      <c r="D113" s="17" t="s">
        <v>40</v>
      </c>
      <c r="E113" s="17" t="s">
        <v>56</v>
      </c>
      <c r="F113" s="17" t="s">
        <v>35</v>
      </c>
      <c r="G113" s="17" t="s">
        <v>78</v>
      </c>
      <c r="H113" s="17" t="s">
        <v>37</v>
      </c>
      <c r="I113" s="20">
        <v>790</v>
      </c>
      <c r="J113" s="20">
        <v>750</v>
      </c>
      <c r="K113" s="20">
        <f t="shared" si="3"/>
        <v>-40</v>
      </c>
    </row>
    <row r="114" spans="1:11" x14ac:dyDescent="0.25">
      <c r="A114" s="17">
        <v>10</v>
      </c>
      <c r="B114" s="17" t="s">
        <v>79</v>
      </c>
      <c r="C114" s="18">
        <v>352190320767356</v>
      </c>
      <c r="D114" s="17" t="s">
        <v>40</v>
      </c>
      <c r="E114" s="17" t="s">
        <v>68</v>
      </c>
      <c r="F114" s="17" t="s">
        <v>35</v>
      </c>
      <c r="G114" s="17" t="s">
        <v>107</v>
      </c>
      <c r="H114" s="17" t="s">
        <v>37</v>
      </c>
      <c r="I114" s="20">
        <v>800</v>
      </c>
      <c r="J114" s="20">
        <v>750</v>
      </c>
      <c r="K114" s="20">
        <f t="shared" si="3"/>
        <v>-50</v>
      </c>
    </row>
    <row r="115" spans="1:11" x14ac:dyDescent="0.25">
      <c r="A115" s="17">
        <v>11</v>
      </c>
      <c r="B115" s="17" t="s">
        <v>79</v>
      </c>
      <c r="C115" s="18">
        <v>354956974060332</v>
      </c>
      <c r="D115" s="17" t="s">
        <v>40</v>
      </c>
      <c r="E115" s="17" t="s">
        <v>68</v>
      </c>
      <c r="F115" s="17" t="s">
        <v>35</v>
      </c>
      <c r="G115" s="17" t="s">
        <v>77</v>
      </c>
      <c r="H115" s="17" t="s">
        <v>37</v>
      </c>
      <c r="I115" s="20">
        <v>800</v>
      </c>
      <c r="J115" s="20">
        <v>750</v>
      </c>
      <c r="K115" s="20">
        <f t="shared" si="3"/>
        <v>-50</v>
      </c>
    </row>
    <row r="116" spans="1:11" x14ac:dyDescent="0.25">
      <c r="A116" s="17">
        <v>12</v>
      </c>
      <c r="B116" s="17" t="s">
        <v>79</v>
      </c>
      <c r="C116" s="18">
        <v>359477635863308</v>
      </c>
      <c r="D116" s="17" t="s">
        <v>40</v>
      </c>
      <c r="E116" s="17" t="s">
        <v>68</v>
      </c>
      <c r="F116" s="17" t="s">
        <v>35</v>
      </c>
      <c r="G116" s="17" t="s">
        <v>78</v>
      </c>
      <c r="H116" s="17" t="s">
        <v>37</v>
      </c>
      <c r="I116" s="20">
        <v>800</v>
      </c>
      <c r="J116" s="20">
        <v>750</v>
      </c>
      <c r="K116" s="20">
        <f t="shared" si="3"/>
        <v>-50</v>
      </c>
    </row>
    <row r="117" spans="1:11" x14ac:dyDescent="0.25">
      <c r="A117" s="17">
        <v>13</v>
      </c>
      <c r="B117" s="17" t="s">
        <v>79</v>
      </c>
      <c r="C117" s="18">
        <v>359477638023728</v>
      </c>
      <c r="D117" s="17" t="s">
        <v>40</v>
      </c>
      <c r="E117" s="17" t="s">
        <v>68</v>
      </c>
      <c r="F117" s="17" t="s">
        <v>35</v>
      </c>
      <c r="G117" s="17" t="s">
        <v>77</v>
      </c>
      <c r="H117" s="17" t="s">
        <v>37</v>
      </c>
      <c r="I117" s="20">
        <v>800</v>
      </c>
      <c r="J117" s="20">
        <v>750</v>
      </c>
      <c r="K117" s="20">
        <f t="shared" si="3"/>
        <v>-50</v>
      </c>
    </row>
    <row r="118" spans="1:11" x14ac:dyDescent="0.25">
      <c r="A118" s="17">
        <v>14</v>
      </c>
      <c r="B118" s="17" t="s">
        <v>79</v>
      </c>
      <c r="C118" s="18">
        <v>355820205154547</v>
      </c>
      <c r="D118" s="17" t="s">
        <v>40</v>
      </c>
      <c r="E118" s="17" t="s">
        <v>68</v>
      </c>
      <c r="F118" s="17" t="s">
        <v>35</v>
      </c>
      <c r="G118" s="17" t="s">
        <v>78</v>
      </c>
      <c r="H118" s="17" t="s">
        <v>37</v>
      </c>
      <c r="I118" s="20">
        <v>800</v>
      </c>
      <c r="J118" s="20">
        <v>750</v>
      </c>
      <c r="K118" s="20">
        <f t="shared" si="3"/>
        <v>-50</v>
      </c>
    </row>
    <row r="119" spans="1:11" x14ac:dyDescent="0.25">
      <c r="A119" s="17">
        <v>15</v>
      </c>
      <c r="B119" s="17" t="s">
        <v>79</v>
      </c>
      <c r="C119" s="18">
        <v>355981559639101</v>
      </c>
      <c r="D119" s="17" t="s">
        <v>40</v>
      </c>
      <c r="E119" s="17" t="s">
        <v>68</v>
      </c>
      <c r="F119" s="17" t="s">
        <v>35</v>
      </c>
      <c r="G119" s="17" t="s">
        <v>78</v>
      </c>
      <c r="H119" s="17" t="s">
        <v>37</v>
      </c>
      <c r="I119" s="20">
        <v>800</v>
      </c>
      <c r="J119" s="20">
        <v>750</v>
      </c>
      <c r="K119" s="20">
        <f t="shared" si="3"/>
        <v>-50</v>
      </c>
    </row>
    <row r="120" spans="1:11" x14ac:dyDescent="0.25">
      <c r="A120" s="17">
        <v>16</v>
      </c>
      <c r="B120" s="17" t="s">
        <v>79</v>
      </c>
      <c r="C120" s="18">
        <v>355981559118304</v>
      </c>
      <c r="D120" s="17" t="s">
        <v>40</v>
      </c>
      <c r="E120" s="17" t="s">
        <v>68</v>
      </c>
      <c r="F120" s="17" t="s">
        <v>35</v>
      </c>
      <c r="G120" s="17" t="s">
        <v>78</v>
      </c>
      <c r="H120" s="17" t="s">
        <v>37</v>
      </c>
      <c r="I120" s="20">
        <v>800</v>
      </c>
      <c r="J120" s="20">
        <v>750</v>
      </c>
      <c r="K120" s="20">
        <f t="shared" si="3"/>
        <v>-50</v>
      </c>
    </row>
    <row r="121" spans="1:11" x14ac:dyDescent="0.25">
      <c r="A121" s="17">
        <v>17</v>
      </c>
      <c r="B121" s="17" t="s">
        <v>108</v>
      </c>
      <c r="C121" s="18">
        <v>351030795758160</v>
      </c>
      <c r="D121" s="17" t="s">
        <v>40</v>
      </c>
      <c r="E121" s="17" t="s">
        <v>68</v>
      </c>
      <c r="F121" s="17" t="s">
        <v>35</v>
      </c>
      <c r="G121" s="17" t="s">
        <v>109</v>
      </c>
      <c r="H121" s="17" t="s">
        <v>57</v>
      </c>
      <c r="I121" s="20">
        <v>800</v>
      </c>
      <c r="J121" s="20">
        <v>750</v>
      </c>
      <c r="K121" s="20">
        <f t="shared" si="3"/>
        <v>-50</v>
      </c>
    </row>
    <row r="122" spans="1:11" x14ac:dyDescent="0.25">
      <c r="A122" s="17">
        <v>18</v>
      </c>
      <c r="B122" s="17" t="s">
        <v>110</v>
      </c>
      <c r="C122" s="18">
        <v>352176456423948</v>
      </c>
      <c r="D122" s="17" t="s">
        <v>40</v>
      </c>
      <c r="E122" s="17" t="s">
        <v>68</v>
      </c>
      <c r="F122" s="17" t="s">
        <v>35</v>
      </c>
      <c r="G122" s="17" t="s">
        <v>109</v>
      </c>
      <c r="H122" s="17" t="s">
        <v>57</v>
      </c>
      <c r="I122" s="20">
        <v>800</v>
      </c>
      <c r="J122" s="20">
        <v>750</v>
      </c>
      <c r="K122" s="20">
        <f t="shared" si="3"/>
        <v>-50</v>
      </c>
    </row>
    <row r="123" spans="1:11" x14ac:dyDescent="0.25">
      <c r="A123" s="17">
        <v>19</v>
      </c>
      <c r="B123" s="17" t="s">
        <v>110</v>
      </c>
      <c r="C123" s="18">
        <v>352176456359761</v>
      </c>
      <c r="D123" s="17" t="s">
        <v>40</v>
      </c>
      <c r="E123" s="17" t="s">
        <v>68</v>
      </c>
      <c r="F123" s="17" t="s">
        <v>35</v>
      </c>
      <c r="G123" s="17" t="s">
        <v>109</v>
      </c>
      <c r="H123" s="17" t="s">
        <v>57</v>
      </c>
      <c r="I123" s="20">
        <v>800</v>
      </c>
      <c r="J123" s="20">
        <v>750</v>
      </c>
      <c r="K123" s="20">
        <f t="shared" si="3"/>
        <v>-50</v>
      </c>
    </row>
    <row r="124" spans="1:11" x14ac:dyDescent="0.25">
      <c r="A124" s="17">
        <v>20</v>
      </c>
      <c r="B124" s="17" t="s">
        <v>110</v>
      </c>
      <c r="C124" s="18">
        <v>357633132789246</v>
      </c>
      <c r="D124" s="17" t="s">
        <v>40</v>
      </c>
      <c r="E124" s="17" t="s">
        <v>68</v>
      </c>
      <c r="F124" s="17" t="s">
        <v>35</v>
      </c>
      <c r="G124" s="17" t="s">
        <v>109</v>
      </c>
      <c r="H124" s="17" t="s">
        <v>57</v>
      </c>
      <c r="I124" s="20">
        <v>800</v>
      </c>
      <c r="J124" s="20">
        <v>750</v>
      </c>
      <c r="K124" s="20">
        <f t="shared" si="3"/>
        <v>-50</v>
      </c>
    </row>
    <row r="125" spans="1:11" x14ac:dyDescent="0.25">
      <c r="A125" s="17">
        <v>21</v>
      </c>
      <c r="B125" s="17" t="s">
        <v>76</v>
      </c>
      <c r="C125" s="18">
        <v>353497852912188</v>
      </c>
      <c r="D125" s="17" t="s">
        <v>40</v>
      </c>
      <c r="E125" s="17" t="s">
        <v>56</v>
      </c>
      <c r="F125" s="17" t="s">
        <v>35</v>
      </c>
      <c r="G125" s="17" t="s">
        <v>78</v>
      </c>
      <c r="H125" s="17" t="s">
        <v>37</v>
      </c>
      <c r="I125" s="20">
        <v>860</v>
      </c>
      <c r="J125" s="20">
        <v>800</v>
      </c>
      <c r="K125" s="20">
        <f t="shared" si="3"/>
        <v>-60</v>
      </c>
    </row>
    <row r="126" spans="1:11" x14ac:dyDescent="0.25">
      <c r="A126" s="17">
        <v>22</v>
      </c>
      <c r="B126" s="17" t="s">
        <v>76</v>
      </c>
      <c r="C126" s="18">
        <v>358434709995608</v>
      </c>
      <c r="D126" s="17" t="s">
        <v>40</v>
      </c>
      <c r="E126" s="17" t="s">
        <v>56</v>
      </c>
      <c r="F126" s="17" t="s">
        <v>35</v>
      </c>
      <c r="G126" s="17" t="s">
        <v>107</v>
      </c>
      <c r="H126" s="17" t="s">
        <v>37</v>
      </c>
      <c r="I126" s="20">
        <v>860</v>
      </c>
      <c r="J126" s="20">
        <v>800</v>
      </c>
      <c r="K126" s="20">
        <f t="shared" si="3"/>
        <v>-60</v>
      </c>
    </row>
    <row r="127" spans="1:11" x14ac:dyDescent="0.25">
      <c r="A127" s="17">
        <v>23</v>
      </c>
      <c r="B127" s="17" t="s">
        <v>76</v>
      </c>
      <c r="C127" s="18">
        <v>356225420603311</v>
      </c>
      <c r="D127" s="17" t="s">
        <v>40</v>
      </c>
      <c r="E127" s="17" t="s">
        <v>56</v>
      </c>
      <c r="F127" s="17" t="s">
        <v>35</v>
      </c>
      <c r="G127" s="17" t="s">
        <v>78</v>
      </c>
      <c r="H127" s="17" t="s">
        <v>37</v>
      </c>
      <c r="I127" s="20">
        <v>860</v>
      </c>
      <c r="J127" s="20">
        <v>800</v>
      </c>
      <c r="K127" s="20">
        <f t="shared" si="3"/>
        <v>-60</v>
      </c>
    </row>
    <row r="128" spans="1:11" x14ac:dyDescent="0.25">
      <c r="A128" s="17">
        <v>24</v>
      </c>
      <c r="B128" s="17" t="s">
        <v>76</v>
      </c>
      <c r="C128" s="18">
        <v>350035234381541</v>
      </c>
      <c r="D128" s="17" t="s">
        <v>40</v>
      </c>
      <c r="E128" s="17" t="s">
        <v>56</v>
      </c>
      <c r="F128" s="17" t="s">
        <v>35</v>
      </c>
      <c r="G128" s="17" t="s">
        <v>77</v>
      </c>
      <c r="H128" s="17" t="s">
        <v>37</v>
      </c>
      <c r="I128" s="20">
        <v>860</v>
      </c>
      <c r="J128" s="20">
        <v>800</v>
      </c>
      <c r="K128" s="20">
        <f t="shared" si="3"/>
        <v>-60</v>
      </c>
    </row>
    <row r="129" spans="1:11" x14ac:dyDescent="0.25">
      <c r="A129" s="17">
        <v>25</v>
      </c>
      <c r="B129" s="17" t="s">
        <v>76</v>
      </c>
      <c r="C129" s="18">
        <v>358434701361627</v>
      </c>
      <c r="D129" s="17" t="s">
        <v>40</v>
      </c>
      <c r="E129" s="17" t="s">
        <v>56</v>
      </c>
      <c r="F129" s="17" t="s">
        <v>35</v>
      </c>
      <c r="G129" s="17" t="s">
        <v>78</v>
      </c>
      <c r="H129" s="17" t="s">
        <v>37</v>
      </c>
      <c r="I129" s="20">
        <v>860</v>
      </c>
      <c r="J129" s="20">
        <v>800</v>
      </c>
      <c r="K129" s="20">
        <f t="shared" si="3"/>
        <v>-60</v>
      </c>
    </row>
    <row r="130" spans="1:11" x14ac:dyDescent="0.25">
      <c r="A130" s="17">
        <v>26</v>
      </c>
      <c r="B130" s="17" t="s">
        <v>76</v>
      </c>
      <c r="C130" s="18">
        <v>358051329919980</v>
      </c>
      <c r="D130" s="17" t="s">
        <v>40</v>
      </c>
      <c r="E130" s="17" t="s">
        <v>56</v>
      </c>
      <c r="F130" s="17" t="s">
        <v>35</v>
      </c>
      <c r="G130" s="17" t="s">
        <v>111</v>
      </c>
      <c r="H130" s="17" t="s">
        <v>37</v>
      </c>
      <c r="I130" s="20">
        <v>860</v>
      </c>
      <c r="J130" s="20">
        <v>800</v>
      </c>
      <c r="K130" s="20">
        <f t="shared" si="3"/>
        <v>-60</v>
      </c>
    </row>
    <row r="131" spans="1:11" x14ac:dyDescent="0.25">
      <c r="A131" s="17">
        <v>27</v>
      </c>
      <c r="B131" s="17" t="s">
        <v>76</v>
      </c>
      <c r="C131" s="18">
        <v>358434709902778</v>
      </c>
      <c r="D131" s="17" t="s">
        <v>40</v>
      </c>
      <c r="E131" s="17" t="s">
        <v>56</v>
      </c>
      <c r="F131" s="17" t="s">
        <v>35</v>
      </c>
      <c r="G131" s="17" t="s">
        <v>77</v>
      </c>
      <c r="H131" s="17" t="s">
        <v>37</v>
      </c>
      <c r="I131" s="20">
        <v>860</v>
      </c>
      <c r="J131" s="20">
        <v>800</v>
      </c>
      <c r="K131" s="20">
        <f t="shared" si="3"/>
        <v>-60</v>
      </c>
    </row>
    <row r="132" spans="1:11" x14ac:dyDescent="0.25">
      <c r="A132" s="17">
        <v>28</v>
      </c>
      <c r="B132" s="17" t="s">
        <v>76</v>
      </c>
      <c r="C132" s="18">
        <v>355246657672010</v>
      </c>
      <c r="D132" s="17" t="s">
        <v>40</v>
      </c>
      <c r="E132" s="17" t="s">
        <v>68</v>
      </c>
      <c r="F132" s="17" t="s">
        <v>35</v>
      </c>
      <c r="G132" s="17" t="s">
        <v>78</v>
      </c>
      <c r="H132" s="17" t="s">
        <v>37</v>
      </c>
      <c r="I132" s="20">
        <v>900</v>
      </c>
      <c r="J132" s="20">
        <v>850</v>
      </c>
      <c r="K132" s="20">
        <f t="shared" si="3"/>
        <v>-50</v>
      </c>
    </row>
    <row r="133" spans="1:11" x14ac:dyDescent="0.25">
      <c r="A133" s="17">
        <v>29</v>
      </c>
      <c r="B133" s="17" t="s">
        <v>76</v>
      </c>
      <c r="C133" s="18">
        <v>357329446954648</v>
      </c>
      <c r="D133" s="17" t="s">
        <v>40</v>
      </c>
      <c r="E133" s="17" t="s">
        <v>68</v>
      </c>
      <c r="F133" s="17" t="s">
        <v>35</v>
      </c>
      <c r="G133" s="17" t="s">
        <v>97</v>
      </c>
      <c r="H133" s="17" t="s">
        <v>37</v>
      </c>
      <c r="I133" s="20">
        <v>900</v>
      </c>
      <c r="J133" s="20">
        <v>850</v>
      </c>
      <c r="K133" s="20">
        <f t="shared" si="3"/>
        <v>-50</v>
      </c>
    </row>
    <row r="134" spans="1:11" x14ac:dyDescent="0.25">
      <c r="A134" s="17">
        <v>30</v>
      </c>
      <c r="B134" s="17" t="s">
        <v>76</v>
      </c>
      <c r="C134" s="18">
        <v>359814716516431</v>
      </c>
      <c r="D134" s="17" t="s">
        <v>40</v>
      </c>
      <c r="E134" s="17" t="s">
        <v>68</v>
      </c>
      <c r="F134" s="17" t="s">
        <v>35</v>
      </c>
      <c r="G134" s="17" t="s">
        <v>78</v>
      </c>
      <c r="H134" s="17" t="s">
        <v>37</v>
      </c>
      <c r="I134" s="20">
        <v>900</v>
      </c>
      <c r="J134" s="20">
        <v>850</v>
      </c>
      <c r="K134" s="20">
        <f t="shared" si="3"/>
        <v>-50</v>
      </c>
    </row>
    <row r="135" spans="1:11" x14ac:dyDescent="0.25">
      <c r="A135" s="17">
        <v>31</v>
      </c>
      <c r="B135" s="17" t="s">
        <v>76</v>
      </c>
      <c r="C135" s="18">
        <v>353497859837347</v>
      </c>
      <c r="D135" s="17" t="s">
        <v>40</v>
      </c>
      <c r="E135" s="17" t="s">
        <v>68</v>
      </c>
      <c r="F135" s="17" t="s">
        <v>35</v>
      </c>
      <c r="G135" s="17" t="s">
        <v>78</v>
      </c>
      <c r="H135" s="17" t="s">
        <v>37</v>
      </c>
      <c r="I135" s="20">
        <v>900</v>
      </c>
      <c r="J135" s="20">
        <v>850</v>
      </c>
      <c r="K135" s="20">
        <f t="shared" si="3"/>
        <v>-50</v>
      </c>
    </row>
    <row r="136" spans="1:11" x14ac:dyDescent="0.25">
      <c r="A136" s="17">
        <v>32</v>
      </c>
      <c r="B136" s="17" t="s">
        <v>76</v>
      </c>
      <c r="C136" s="18">
        <v>358206136682698</v>
      </c>
      <c r="D136" s="17" t="s">
        <v>40</v>
      </c>
      <c r="E136" s="17" t="s">
        <v>68</v>
      </c>
      <c r="F136" s="17" t="s">
        <v>35</v>
      </c>
      <c r="G136" s="17" t="s">
        <v>77</v>
      </c>
      <c r="H136" s="17" t="s">
        <v>37</v>
      </c>
      <c r="I136" s="20">
        <v>900</v>
      </c>
      <c r="J136" s="20">
        <v>850</v>
      </c>
      <c r="K136" s="20">
        <f t="shared" si="3"/>
        <v>-50</v>
      </c>
    </row>
    <row r="137" spans="1:11" x14ac:dyDescent="0.25">
      <c r="A137" s="17">
        <v>33</v>
      </c>
      <c r="B137" s="17" t="s">
        <v>76</v>
      </c>
      <c r="C137" s="18">
        <v>356392247045561</v>
      </c>
      <c r="D137" s="17" t="s">
        <v>40</v>
      </c>
      <c r="E137" s="17" t="s">
        <v>68</v>
      </c>
      <c r="F137" s="17" t="s">
        <v>35</v>
      </c>
      <c r="G137" s="17" t="s">
        <v>77</v>
      </c>
      <c r="H137" s="17" t="s">
        <v>37</v>
      </c>
      <c r="I137" s="20">
        <v>900</v>
      </c>
      <c r="J137" s="20">
        <v>850</v>
      </c>
      <c r="K137" s="20">
        <f t="shared" si="3"/>
        <v>-50</v>
      </c>
    </row>
    <row r="138" spans="1:11" x14ac:dyDescent="0.25">
      <c r="A138" s="17">
        <v>34</v>
      </c>
      <c r="B138" s="17" t="s">
        <v>76</v>
      </c>
      <c r="C138" s="18">
        <v>357329445885850</v>
      </c>
      <c r="D138" s="17" t="s">
        <v>40</v>
      </c>
      <c r="E138" s="17" t="s">
        <v>68</v>
      </c>
      <c r="F138" s="17" t="s">
        <v>35</v>
      </c>
      <c r="G138" s="17" t="s">
        <v>107</v>
      </c>
      <c r="H138" s="17" t="s">
        <v>37</v>
      </c>
      <c r="I138" s="20">
        <v>900</v>
      </c>
      <c r="J138" s="20">
        <v>850</v>
      </c>
      <c r="K138" s="20">
        <f t="shared" si="3"/>
        <v>-50</v>
      </c>
    </row>
    <row r="139" spans="1:11" x14ac:dyDescent="0.25">
      <c r="A139" s="17">
        <v>35</v>
      </c>
      <c r="B139" s="17" t="s">
        <v>76</v>
      </c>
      <c r="C139" s="18">
        <v>356392247282958</v>
      </c>
      <c r="D139" s="17" t="s">
        <v>40</v>
      </c>
      <c r="E139" s="17" t="s">
        <v>68</v>
      </c>
      <c r="F139" s="17" t="s">
        <v>35</v>
      </c>
      <c r="G139" s="17" t="s">
        <v>78</v>
      </c>
      <c r="H139" s="17" t="s">
        <v>37</v>
      </c>
      <c r="I139" s="20">
        <v>900</v>
      </c>
      <c r="J139" s="20">
        <v>850</v>
      </c>
      <c r="K139" s="20">
        <f t="shared" si="3"/>
        <v>-50</v>
      </c>
    </row>
    <row r="140" spans="1:11" x14ac:dyDescent="0.25">
      <c r="A140" s="17">
        <v>36</v>
      </c>
      <c r="B140" s="17" t="s">
        <v>76</v>
      </c>
      <c r="C140" s="18">
        <v>359814714049740</v>
      </c>
      <c r="D140" s="17" t="s">
        <v>40</v>
      </c>
      <c r="E140" s="17" t="s">
        <v>45</v>
      </c>
      <c r="F140" s="17" t="s">
        <v>35</v>
      </c>
      <c r="G140" s="17" t="s">
        <v>77</v>
      </c>
      <c r="H140" s="17" t="s">
        <v>37</v>
      </c>
      <c r="I140" s="20">
        <v>940</v>
      </c>
      <c r="J140" s="20">
        <v>920</v>
      </c>
      <c r="K140" s="20">
        <f t="shared" si="3"/>
        <v>-20</v>
      </c>
    </row>
    <row r="141" spans="1:11" x14ac:dyDescent="0.25">
      <c r="A141" s="17">
        <v>37</v>
      </c>
      <c r="B141" s="17" t="s">
        <v>76</v>
      </c>
      <c r="C141" s="18">
        <v>358206132512436</v>
      </c>
      <c r="D141" s="17" t="s">
        <v>40</v>
      </c>
      <c r="E141" s="17" t="s">
        <v>45</v>
      </c>
      <c r="F141" s="17" t="s">
        <v>35</v>
      </c>
      <c r="G141" s="17" t="s">
        <v>77</v>
      </c>
      <c r="H141" s="17" t="s">
        <v>37</v>
      </c>
      <c r="I141" s="20">
        <v>940</v>
      </c>
      <c r="J141" s="20">
        <v>920</v>
      </c>
      <c r="K141" s="20">
        <f t="shared" si="3"/>
        <v>-20</v>
      </c>
    </row>
    <row r="142" spans="1:11" x14ac:dyDescent="0.25">
      <c r="A142" s="17">
        <v>38</v>
      </c>
      <c r="B142" s="17" t="s">
        <v>76</v>
      </c>
      <c r="C142" s="18">
        <v>359814713965052</v>
      </c>
      <c r="D142" s="17" t="s">
        <v>40</v>
      </c>
      <c r="E142" s="17" t="s">
        <v>45</v>
      </c>
      <c r="F142" s="17" t="s">
        <v>35</v>
      </c>
      <c r="G142" s="17" t="s">
        <v>77</v>
      </c>
      <c r="H142" s="17" t="s">
        <v>37</v>
      </c>
      <c r="I142" s="20">
        <v>940</v>
      </c>
      <c r="J142" s="20">
        <v>920</v>
      </c>
      <c r="K142" s="20">
        <f t="shared" si="3"/>
        <v>-20</v>
      </c>
    </row>
    <row r="143" spans="1:11" x14ac:dyDescent="0.25">
      <c r="A143" s="17">
        <v>39</v>
      </c>
      <c r="B143" s="17" t="s">
        <v>76</v>
      </c>
      <c r="C143" s="18">
        <v>358206136736437</v>
      </c>
      <c r="D143" s="17" t="s">
        <v>40</v>
      </c>
      <c r="E143" s="17" t="s">
        <v>45</v>
      </c>
      <c r="F143" s="17" t="s">
        <v>35</v>
      </c>
      <c r="G143" s="17" t="s">
        <v>77</v>
      </c>
      <c r="H143" s="17" t="s">
        <v>37</v>
      </c>
      <c r="I143" s="20">
        <v>940</v>
      </c>
      <c r="J143" s="20">
        <v>920</v>
      </c>
      <c r="K143" s="20">
        <f t="shared" si="3"/>
        <v>-20</v>
      </c>
    </row>
    <row r="144" spans="1:11" x14ac:dyDescent="0.25">
      <c r="A144" s="17">
        <v>40</v>
      </c>
      <c r="B144" s="17" t="s">
        <v>76</v>
      </c>
      <c r="C144" s="18">
        <v>359814713932755</v>
      </c>
      <c r="D144" s="17" t="s">
        <v>40</v>
      </c>
      <c r="E144" s="17" t="s">
        <v>45</v>
      </c>
      <c r="F144" s="17" t="s">
        <v>35</v>
      </c>
      <c r="G144" s="17" t="s">
        <v>78</v>
      </c>
      <c r="H144" s="17" t="s">
        <v>37</v>
      </c>
      <c r="I144" s="20">
        <v>940</v>
      </c>
      <c r="J144" s="20">
        <v>920</v>
      </c>
      <c r="K144" s="20">
        <f t="shared" si="3"/>
        <v>-20</v>
      </c>
    </row>
    <row r="145" spans="1:11" x14ac:dyDescent="0.25">
      <c r="A145" s="17">
        <v>41</v>
      </c>
      <c r="B145" s="17" t="s">
        <v>76</v>
      </c>
      <c r="C145" s="18">
        <v>359814713596311</v>
      </c>
      <c r="D145" s="17" t="s">
        <v>40</v>
      </c>
      <c r="E145" s="17" t="s">
        <v>45</v>
      </c>
      <c r="F145" s="17" t="s">
        <v>35</v>
      </c>
      <c r="G145" s="17" t="s">
        <v>77</v>
      </c>
      <c r="H145" s="17" t="s">
        <v>37</v>
      </c>
      <c r="I145" s="20">
        <v>940</v>
      </c>
      <c r="J145" s="20">
        <v>920</v>
      </c>
      <c r="K145" s="20">
        <f t="shared" si="3"/>
        <v>-20</v>
      </c>
    </row>
    <row r="146" spans="1:11" x14ac:dyDescent="0.25">
      <c r="A146" s="17">
        <v>42</v>
      </c>
      <c r="B146" s="17" t="s">
        <v>76</v>
      </c>
      <c r="C146" s="18">
        <v>358206132521668</v>
      </c>
      <c r="D146" s="17" t="s">
        <v>40</v>
      </c>
      <c r="E146" s="17" t="s">
        <v>45</v>
      </c>
      <c r="F146" s="17" t="s">
        <v>35</v>
      </c>
      <c r="G146" s="17" t="s">
        <v>77</v>
      </c>
      <c r="H146" s="17" t="s">
        <v>37</v>
      </c>
      <c r="I146" s="20">
        <v>940</v>
      </c>
      <c r="J146" s="20">
        <v>920</v>
      </c>
      <c r="K146" s="20">
        <f t="shared" si="3"/>
        <v>-20</v>
      </c>
    </row>
    <row r="147" spans="1:11" x14ac:dyDescent="0.25">
      <c r="A147" s="17">
        <v>43</v>
      </c>
      <c r="B147" s="17" t="s">
        <v>76</v>
      </c>
      <c r="C147" s="18">
        <v>356225420186861</v>
      </c>
      <c r="D147" s="17" t="s">
        <v>40</v>
      </c>
      <c r="E147" s="17" t="s">
        <v>45</v>
      </c>
      <c r="F147" s="17" t="s">
        <v>35</v>
      </c>
      <c r="G147" s="17" t="s">
        <v>107</v>
      </c>
      <c r="H147" s="17" t="s">
        <v>37</v>
      </c>
      <c r="I147" s="20">
        <v>940</v>
      </c>
      <c r="J147" s="20">
        <v>920</v>
      </c>
      <c r="K147" s="20">
        <f t="shared" si="3"/>
        <v>-20</v>
      </c>
    </row>
    <row r="148" spans="1:11" x14ac:dyDescent="0.25">
      <c r="A148" s="17">
        <v>44</v>
      </c>
      <c r="B148" s="17" t="s">
        <v>76</v>
      </c>
      <c r="C148" s="18">
        <v>359814713912641</v>
      </c>
      <c r="D148" s="17" t="s">
        <v>40</v>
      </c>
      <c r="E148" s="17" t="s">
        <v>45</v>
      </c>
      <c r="F148" s="17" t="s">
        <v>35</v>
      </c>
      <c r="G148" s="17" t="s">
        <v>77</v>
      </c>
      <c r="H148" s="17" t="s">
        <v>37</v>
      </c>
      <c r="I148" s="20">
        <v>940</v>
      </c>
      <c r="J148" s="20">
        <v>920</v>
      </c>
      <c r="K148" s="20">
        <f t="shared" si="3"/>
        <v>-20</v>
      </c>
    </row>
    <row r="149" spans="1:11" x14ac:dyDescent="0.25">
      <c r="A149" s="17">
        <v>45</v>
      </c>
      <c r="B149" s="17" t="s">
        <v>76</v>
      </c>
      <c r="C149" s="18">
        <v>359814714137933</v>
      </c>
      <c r="D149" s="17" t="s">
        <v>40</v>
      </c>
      <c r="E149" s="17" t="s">
        <v>45</v>
      </c>
      <c r="F149" s="17" t="s">
        <v>35</v>
      </c>
      <c r="G149" s="17" t="s">
        <v>78</v>
      </c>
      <c r="H149" s="17" t="s">
        <v>37</v>
      </c>
      <c r="I149" s="20">
        <v>940</v>
      </c>
      <c r="J149" s="20">
        <v>920</v>
      </c>
      <c r="K149" s="20">
        <f t="shared" si="3"/>
        <v>-20</v>
      </c>
    </row>
    <row r="150" spans="1:11" x14ac:dyDescent="0.25">
      <c r="A150" s="17">
        <v>46</v>
      </c>
      <c r="B150" s="17" t="s">
        <v>74</v>
      </c>
      <c r="C150" s="18">
        <v>356392241855841</v>
      </c>
      <c r="D150" s="17" t="s">
        <v>40</v>
      </c>
      <c r="E150" s="17" t="s">
        <v>56</v>
      </c>
      <c r="F150" s="17" t="s">
        <v>35</v>
      </c>
      <c r="G150" s="17" t="s">
        <v>77</v>
      </c>
      <c r="H150" s="17" t="s">
        <v>57</v>
      </c>
      <c r="I150" s="20">
        <v>860</v>
      </c>
      <c r="J150" s="20">
        <v>800</v>
      </c>
      <c r="K150" s="20">
        <f t="shared" si="3"/>
        <v>-60</v>
      </c>
    </row>
    <row r="151" spans="1:11" x14ac:dyDescent="0.25">
      <c r="A151" s="17">
        <v>47</v>
      </c>
      <c r="B151" s="17" t="s">
        <v>74</v>
      </c>
      <c r="C151" s="18">
        <v>350035235459031</v>
      </c>
      <c r="D151" s="17" t="s">
        <v>40</v>
      </c>
      <c r="E151" s="17" t="s">
        <v>56</v>
      </c>
      <c r="F151" s="17" t="s">
        <v>35</v>
      </c>
      <c r="G151" s="17" t="s">
        <v>77</v>
      </c>
      <c r="H151" s="17" t="s">
        <v>57</v>
      </c>
      <c r="I151" s="20">
        <v>860</v>
      </c>
      <c r="J151" s="20">
        <v>800</v>
      </c>
      <c r="K151" s="20">
        <f t="shared" si="3"/>
        <v>-60</v>
      </c>
    </row>
    <row r="152" spans="1:11" x14ac:dyDescent="0.25">
      <c r="A152" s="17">
        <v>48</v>
      </c>
      <c r="B152" s="17" t="s">
        <v>74</v>
      </c>
      <c r="C152" s="18">
        <v>353497858288153</v>
      </c>
      <c r="D152" s="17" t="s">
        <v>40</v>
      </c>
      <c r="E152" s="17" t="s">
        <v>68</v>
      </c>
      <c r="F152" s="17" t="s">
        <v>81</v>
      </c>
      <c r="G152" s="17" t="s">
        <v>77</v>
      </c>
      <c r="H152" s="17" t="s">
        <v>57</v>
      </c>
      <c r="I152" s="20">
        <v>900</v>
      </c>
      <c r="J152" s="20">
        <v>760</v>
      </c>
      <c r="K152" s="20">
        <f t="shared" si="3"/>
        <v>-140</v>
      </c>
    </row>
    <row r="153" spans="1:11" x14ac:dyDescent="0.25">
      <c r="A153" s="17">
        <v>49</v>
      </c>
      <c r="B153" s="17" t="s">
        <v>74</v>
      </c>
      <c r="C153" s="18">
        <v>356392249976268</v>
      </c>
      <c r="D153" s="17" t="s">
        <v>40</v>
      </c>
      <c r="E153" s="17" t="s">
        <v>68</v>
      </c>
      <c r="F153" s="17" t="s">
        <v>35</v>
      </c>
      <c r="G153" s="17" t="s">
        <v>77</v>
      </c>
      <c r="H153" s="17" t="s">
        <v>57</v>
      </c>
      <c r="I153" s="20">
        <v>900</v>
      </c>
      <c r="J153" s="20">
        <v>850</v>
      </c>
      <c r="K153" s="20">
        <f t="shared" si="3"/>
        <v>-50</v>
      </c>
    </row>
    <row r="154" spans="1:11" x14ac:dyDescent="0.25">
      <c r="A154" s="17">
        <v>50</v>
      </c>
      <c r="B154" s="17" t="s">
        <v>74</v>
      </c>
      <c r="C154" s="18">
        <v>358434702781393</v>
      </c>
      <c r="D154" s="17" t="s">
        <v>40</v>
      </c>
      <c r="E154" s="17" t="s">
        <v>68</v>
      </c>
      <c r="F154" s="17" t="s">
        <v>35</v>
      </c>
      <c r="G154" s="17" t="s">
        <v>78</v>
      </c>
      <c r="H154" s="17" t="s">
        <v>57</v>
      </c>
      <c r="I154" s="20">
        <v>900</v>
      </c>
      <c r="J154" s="20">
        <v>850</v>
      </c>
      <c r="K154" s="20">
        <f t="shared" si="3"/>
        <v>-50</v>
      </c>
    </row>
    <row r="155" spans="1:11" x14ac:dyDescent="0.25">
      <c r="A155" s="17">
        <v>51</v>
      </c>
      <c r="B155" s="17" t="s">
        <v>74</v>
      </c>
      <c r="C155" s="18">
        <v>356605222677607</v>
      </c>
      <c r="D155" s="17" t="s">
        <v>40</v>
      </c>
      <c r="E155" s="17" t="s">
        <v>68</v>
      </c>
      <c r="F155" s="17" t="s">
        <v>35</v>
      </c>
      <c r="G155" s="17" t="s">
        <v>78</v>
      </c>
      <c r="H155" s="17" t="s">
        <v>57</v>
      </c>
      <c r="I155" s="20">
        <v>900</v>
      </c>
      <c r="J155" s="20">
        <v>850</v>
      </c>
      <c r="K155" s="20">
        <f t="shared" si="3"/>
        <v>-50</v>
      </c>
    </row>
    <row r="156" spans="1:11" x14ac:dyDescent="0.25">
      <c r="A156" s="17">
        <v>52</v>
      </c>
      <c r="B156" s="17" t="s">
        <v>112</v>
      </c>
      <c r="C156" s="18">
        <v>358835894417226</v>
      </c>
      <c r="D156" s="17" t="s">
        <v>40</v>
      </c>
      <c r="E156" s="17" t="s">
        <v>41</v>
      </c>
      <c r="F156" s="17" t="s">
        <v>35</v>
      </c>
      <c r="G156" s="17" t="s">
        <v>78</v>
      </c>
      <c r="H156" s="17" t="s">
        <v>37</v>
      </c>
      <c r="I156" s="20">
        <v>340</v>
      </c>
      <c r="J156" s="20">
        <v>320</v>
      </c>
      <c r="K156" s="20">
        <f t="shared" si="3"/>
        <v>-20</v>
      </c>
    </row>
    <row r="157" spans="1:11" x14ac:dyDescent="0.25">
      <c r="A157" s="17">
        <v>53</v>
      </c>
      <c r="B157" s="17" t="s">
        <v>87</v>
      </c>
      <c r="C157" s="18" t="s">
        <v>113</v>
      </c>
      <c r="D157" s="17" t="s">
        <v>48</v>
      </c>
      <c r="E157" s="17" t="s">
        <v>48</v>
      </c>
      <c r="F157" s="17" t="s">
        <v>35</v>
      </c>
      <c r="G157" s="17" t="s">
        <v>42</v>
      </c>
      <c r="H157" s="17" t="s">
        <v>37</v>
      </c>
      <c r="I157" s="20">
        <v>350</v>
      </c>
      <c r="J157" s="20">
        <v>300</v>
      </c>
      <c r="K157" s="20">
        <f t="shared" si="3"/>
        <v>-50</v>
      </c>
    </row>
    <row r="158" spans="1:11" x14ac:dyDescent="0.25">
      <c r="A158" s="17">
        <v>54</v>
      </c>
      <c r="B158" s="17" t="s">
        <v>87</v>
      </c>
      <c r="C158" s="18" t="s">
        <v>114</v>
      </c>
      <c r="D158" s="17" t="s">
        <v>48</v>
      </c>
      <c r="E158" s="17" t="s">
        <v>48</v>
      </c>
      <c r="F158" s="17" t="s">
        <v>35</v>
      </c>
      <c r="G158" s="17" t="s">
        <v>42</v>
      </c>
      <c r="H158" s="17" t="s">
        <v>37</v>
      </c>
      <c r="I158" s="20">
        <v>350</v>
      </c>
      <c r="J158" s="20">
        <v>300</v>
      </c>
      <c r="K158" s="20">
        <f t="shared" si="3"/>
        <v>-50</v>
      </c>
    </row>
    <row r="159" spans="1:11" x14ac:dyDescent="0.25">
      <c r="A159" s="17">
        <v>55</v>
      </c>
      <c r="B159" s="17" t="s">
        <v>87</v>
      </c>
      <c r="C159" s="18" t="s">
        <v>115</v>
      </c>
      <c r="D159" s="17" t="s">
        <v>48</v>
      </c>
      <c r="E159" s="17" t="s">
        <v>48</v>
      </c>
      <c r="F159" s="17" t="s">
        <v>35</v>
      </c>
      <c r="G159" s="17" t="s">
        <v>42</v>
      </c>
      <c r="H159" s="17" t="s">
        <v>37</v>
      </c>
      <c r="I159" s="20">
        <v>350</v>
      </c>
      <c r="J159" s="20">
        <v>300</v>
      </c>
      <c r="K159" s="20">
        <f t="shared" si="3"/>
        <v>-50</v>
      </c>
    </row>
    <row r="160" spans="1:11" x14ac:dyDescent="0.25">
      <c r="A160" s="17">
        <v>56</v>
      </c>
      <c r="B160" s="17" t="s">
        <v>87</v>
      </c>
      <c r="C160" s="18" t="s">
        <v>116</v>
      </c>
      <c r="D160" s="17" t="s">
        <v>48</v>
      </c>
      <c r="E160" s="17" t="s">
        <v>48</v>
      </c>
      <c r="F160" s="17" t="s">
        <v>35</v>
      </c>
      <c r="G160" s="17" t="s">
        <v>42</v>
      </c>
      <c r="H160" s="17" t="s">
        <v>37</v>
      </c>
      <c r="I160" s="20">
        <v>350</v>
      </c>
      <c r="J160" s="20">
        <v>300</v>
      </c>
      <c r="K160" s="20">
        <f t="shared" si="3"/>
        <v>-50</v>
      </c>
    </row>
    <row r="161" spans="1:11" x14ac:dyDescent="0.25">
      <c r="A161" s="17">
        <v>57</v>
      </c>
      <c r="B161" s="17" t="s">
        <v>87</v>
      </c>
      <c r="C161" s="18">
        <v>8056262721377</v>
      </c>
      <c r="D161" s="17" t="s">
        <v>48</v>
      </c>
      <c r="E161" s="17" t="s">
        <v>48</v>
      </c>
      <c r="F161" s="17" t="s">
        <v>35</v>
      </c>
      <c r="G161" s="17" t="s">
        <v>42</v>
      </c>
      <c r="H161" s="17" t="s">
        <v>37</v>
      </c>
      <c r="I161" s="20">
        <v>350</v>
      </c>
      <c r="J161" s="20">
        <v>300</v>
      </c>
      <c r="K161" s="20">
        <f t="shared" si="3"/>
        <v>-50</v>
      </c>
    </row>
    <row r="162" spans="1:11" ht="18.75" x14ac:dyDescent="0.3">
      <c r="I162" s="13">
        <f>SUM(I105:I161)</f>
        <v>44370</v>
      </c>
      <c r="J162" s="13">
        <f>SUM(J105:J161)</f>
        <v>41915</v>
      </c>
      <c r="K162" s="14">
        <f>SUM(K105:K161)</f>
        <v>-2455</v>
      </c>
    </row>
    <row r="164" spans="1:11" ht="15.75" x14ac:dyDescent="0.25">
      <c r="B164" s="15" t="s">
        <v>18</v>
      </c>
      <c r="C164" s="16">
        <v>64470</v>
      </c>
    </row>
    <row r="165" spans="1:11" ht="15.75" x14ac:dyDescent="0.25">
      <c r="B165" s="15" t="s">
        <v>72</v>
      </c>
      <c r="C165" s="16">
        <v>2455</v>
      </c>
    </row>
    <row r="166" spans="1:11" ht="15.75" x14ac:dyDescent="0.25">
      <c r="B166" s="15" t="s">
        <v>73</v>
      </c>
      <c r="C166" s="16">
        <f>C164-C165</f>
        <v>62015</v>
      </c>
    </row>
    <row r="171" spans="1:11" x14ac:dyDescent="0.25">
      <c r="A171" s="7" t="s">
        <v>22</v>
      </c>
      <c r="B171" s="7" t="s">
        <v>23</v>
      </c>
      <c r="C171" s="8" t="s">
        <v>24</v>
      </c>
      <c r="D171" s="7" t="s">
        <v>25</v>
      </c>
      <c r="E171" s="7" t="s">
        <v>26</v>
      </c>
      <c r="F171" s="7" t="s">
        <v>27</v>
      </c>
      <c r="G171" s="7" t="s">
        <v>28</v>
      </c>
      <c r="H171" s="7" t="s">
        <v>29</v>
      </c>
      <c r="I171" s="7" t="s">
        <v>30</v>
      </c>
      <c r="J171" s="7" t="s">
        <v>31</v>
      </c>
      <c r="K171" s="9" t="s">
        <v>20</v>
      </c>
    </row>
    <row r="172" spans="1:11" x14ac:dyDescent="0.25">
      <c r="A172" s="17">
        <v>1</v>
      </c>
      <c r="B172" s="17" t="s">
        <v>117</v>
      </c>
      <c r="C172" s="17" t="s">
        <v>40</v>
      </c>
      <c r="D172" s="17" t="s">
        <v>68</v>
      </c>
      <c r="E172" s="18">
        <v>358206139332127</v>
      </c>
      <c r="F172" s="17" t="s">
        <v>35</v>
      </c>
      <c r="G172" s="17" t="s">
        <v>78</v>
      </c>
      <c r="H172" s="19" t="s">
        <v>57</v>
      </c>
      <c r="I172" s="20">
        <v>910</v>
      </c>
      <c r="J172" s="20">
        <v>900</v>
      </c>
      <c r="K172" s="12">
        <v>-10</v>
      </c>
    </row>
    <row r="173" spans="1:11" x14ac:dyDescent="0.25">
      <c r="A173" s="17">
        <v>2</v>
      </c>
      <c r="B173" s="17" t="s">
        <v>76</v>
      </c>
      <c r="C173" s="17" t="s">
        <v>40</v>
      </c>
      <c r="D173" s="17" t="s">
        <v>68</v>
      </c>
      <c r="E173" s="18">
        <v>356225420016183</v>
      </c>
      <c r="F173" s="17" t="s">
        <v>35</v>
      </c>
      <c r="G173" s="17" t="s">
        <v>78</v>
      </c>
      <c r="H173" s="19" t="s">
        <v>118</v>
      </c>
      <c r="I173" s="20">
        <v>940</v>
      </c>
      <c r="J173" s="20">
        <v>910</v>
      </c>
      <c r="K173" s="12">
        <v>-30</v>
      </c>
    </row>
    <row r="174" spans="1:11" x14ac:dyDescent="0.25">
      <c r="A174" s="17">
        <v>3</v>
      </c>
      <c r="B174" s="17" t="s">
        <v>98</v>
      </c>
      <c r="C174" s="17" t="s">
        <v>48</v>
      </c>
      <c r="D174" s="17" t="s">
        <v>119</v>
      </c>
      <c r="E174" s="18" t="s">
        <v>120</v>
      </c>
      <c r="F174" s="17" t="s">
        <v>35</v>
      </c>
      <c r="G174" s="17" t="s">
        <v>42</v>
      </c>
      <c r="H174" s="19" t="s">
        <v>118</v>
      </c>
      <c r="I174" s="20">
        <v>325</v>
      </c>
      <c r="J174" s="20">
        <v>290</v>
      </c>
      <c r="K174" s="12">
        <v>-35</v>
      </c>
    </row>
    <row r="175" spans="1:11" x14ac:dyDescent="0.25">
      <c r="A175" s="17">
        <v>4</v>
      </c>
      <c r="B175" s="17" t="s">
        <v>98</v>
      </c>
      <c r="C175" s="17" t="s">
        <v>48</v>
      </c>
      <c r="D175" s="17" t="s">
        <v>119</v>
      </c>
      <c r="E175" s="18" t="s">
        <v>121</v>
      </c>
      <c r="F175" s="17" t="s">
        <v>35</v>
      </c>
      <c r="G175" s="17" t="s">
        <v>42</v>
      </c>
      <c r="H175" s="19" t="s">
        <v>118</v>
      </c>
      <c r="I175" s="20">
        <v>325</v>
      </c>
      <c r="J175" s="20">
        <v>290</v>
      </c>
      <c r="K175" s="12">
        <v>-35</v>
      </c>
    </row>
    <row r="176" spans="1:11" x14ac:dyDescent="0.25">
      <c r="A176" s="17">
        <v>5</v>
      </c>
      <c r="B176" s="17" t="s">
        <v>76</v>
      </c>
      <c r="C176" s="17" t="s">
        <v>40</v>
      </c>
      <c r="D176" s="17" t="s">
        <v>68</v>
      </c>
      <c r="E176" s="18">
        <v>353497859674955</v>
      </c>
      <c r="F176" s="17" t="s">
        <v>35</v>
      </c>
      <c r="G176" s="17" t="s">
        <v>77</v>
      </c>
      <c r="H176" s="19" t="s">
        <v>118</v>
      </c>
      <c r="I176" s="20">
        <v>940</v>
      </c>
      <c r="J176" s="20">
        <v>930</v>
      </c>
      <c r="K176" s="12">
        <v>-10</v>
      </c>
    </row>
    <row r="177" spans="1:11" x14ac:dyDescent="0.25">
      <c r="A177" s="17">
        <v>6</v>
      </c>
      <c r="B177" s="17" t="s">
        <v>98</v>
      </c>
      <c r="C177" s="17" t="s">
        <v>48</v>
      </c>
      <c r="D177" s="17" t="s">
        <v>119</v>
      </c>
      <c r="E177" s="18" t="s">
        <v>122</v>
      </c>
      <c r="F177" s="17" t="s">
        <v>35</v>
      </c>
      <c r="G177" s="17" t="s">
        <v>42</v>
      </c>
      <c r="H177" s="19" t="s">
        <v>118</v>
      </c>
      <c r="I177" s="20">
        <v>325</v>
      </c>
      <c r="J177" s="20">
        <v>290</v>
      </c>
      <c r="K177" s="12">
        <v>-35</v>
      </c>
    </row>
    <row r="178" spans="1:11" x14ac:dyDescent="0.25">
      <c r="A178" s="17">
        <v>7</v>
      </c>
      <c r="B178" s="17" t="s">
        <v>98</v>
      </c>
      <c r="C178" s="17" t="s">
        <v>48</v>
      </c>
      <c r="D178" s="17" t="s">
        <v>119</v>
      </c>
      <c r="E178" s="18" t="s">
        <v>123</v>
      </c>
      <c r="F178" s="17" t="s">
        <v>35</v>
      </c>
      <c r="G178" s="17" t="s">
        <v>42</v>
      </c>
      <c r="H178" s="19" t="s">
        <v>118</v>
      </c>
      <c r="I178" s="20">
        <v>325</v>
      </c>
      <c r="J178" s="20">
        <v>290</v>
      </c>
      <c r="K178" s="12">
        <v>-35</v>
      </c>
    </row>
    <row r="179" spans="1:11" x14ac:dyDescent="0.25">
      <c r="A179" s="17">
        <v>8</v>
      </c>
      <c r="B179" s="17" t="s">
        <v>117</v>
      </c>
      <c r="C179" s="17" t="s">
        <v>40</v>
      </c>
      <c r="D179" s="17" t="s">
        <v>68</v>
      </c>
      <c r="E179" s="18">
        <v>358902514996631</v>
      </c>
      <c r="F179" s="17" t="s">
        <v>35</v>
      </c>
      <c r="G179" s="17" t="s">
        <v>78</v>
      </c>
      <c r="H179" s="19" t="s">
        <v>57</v>
      </c>
      <c r="I179" s="20">
        <v>910</v>
      </c>
      <c r="J179" s="20">
        <v>900</v>
      </c>
      <c r="K179" s="12">
        <v>-10</v>
      </c>
    </row>
    <row r="180" spans="1:11" x14ac:dyDescent="0.25">
      <c r="A180" s="17">
        <v>9</v>
      </c>
      <c r="B180" s="17" t="s">
        <v>98</v>
      </c>
      <c r="C180" s="17" t="s">
        <v>48</v>
      </c>
      <c r="D180" s="17" t="s">
        <v>41</v>
      </c>
      <c r="E180" s="18" t="s">
        <v>124</v>
      </c>
      <c r="F180" s="17" t="s">
        <v>35</v>
      </c>
      <c r="G180" s="17" t="s">
        <v>42</v>
      </c>
      <c r="H180" s="19" t="s">
        <v>118</v>
      </c>
      <c r="I180" s="20">
        <v>325</v>
      </c>
      <c r="J180" s="20">
        <v>290</v>
      </c>
      <c r="K180" s="12">
        <v>-35</v>
      </c>
    </row>
    <row r="181" spans="1:11" x14ac:dyDescent="0.25">
      <c r="A181" s="17">
        <v>10</v>
      </c>
      <c r="B181" s="17" t="s">
        <v>98</v>
      </c>
      <c r="C181" s="17" t="s">
        <v>48</v>
      </c>
      <c r="D181" s="17" t="s">
        <v>41</v>
      </c>
      <c r="E181" s="18" t="s">
        <v>125</v>
      </c>
      <c r="F181" s="17" t="s">
        <v>35</v>
      </c>
      <c r="G181" s="17" t="s">
        <v>42</v>
      </c>
      <c r="H181" s="19" t="s">
        <v>118</v>
      </c>
      <c r="I181" s="20">
        <v>325</v>
      </c>
      <c r="J181" s="20">
        <v>290</v>
      </c>
      <c r="K181" s="12">
        <v>-35</v>
      </c>
    </row>
    <row r="182" spans="1:11" ht="18.75" x14ac:dyDescent="0.3">
      <c r="I182" s="13">
        <f>SUM(I172:I181)</f>
        <v>5650</v>
      </c>
      <c r="J182" s="13">
        <f>SUM(J172:J181)</f>
        <v>5380</v>
      </c>
      <c r="K182" s="14">
        <f>SUM(K172:K181)</f>
        <v>-270</v>
      </c>
    </row>
    <row r="184" spans="1:11" ht="15.75" x14ac:dyDescent="0.25">
      <c r="B184" s="15" t="s">
        <v>18</v>
      </c>
      <c r="C184" s="16">
        <v>41335</v>
      </c>
    </row>
    <row r="185" spans="1:11" ht="15.75" x14ac:dyDescent="0.25">
      <c r="B185" s="15" t="s">
        <v>72</v>
      </c>
      <c r="C185" s="16">
        <v>270</v>
      </c>
    </row>
    <row r="186" spans="1:11" ht="15.75" x14ac:dyDescent="0.25">
      <c r="B186" s="15" t="s">
        <v>73</v>
      </c>
      <c r="C186" s="16">
        <f>C184-C185</f>
        <v>41065</v>
      </c>
    </row>
    <row r="189" spans="1:11" x14ac:dyDescent="0.25">
      <c r="A189" s="7" t="s">
        <v>22</v>
      </c>
      <c r="B189" s="7" t="s">
        <v>23</v>
      </c>
      <c r="C189" s="8" t="s">
        <v>24</v>
      </c>
      <c r="D189" s="7" t="s">
        <v>25</v>
      </c>
      <c r="E189" s="7" t="s">
        <v>26</v>
      </c>
      <c r="F189" s="7" t="s">
        <v>27</v>
      </c>
      <c r="G189" s="7" t="s">
        <v>28</v>
      </c>
      <c r="H189" s="7" t="s">
        <v>29</v>
      </c>
      <c r="I189" s="24" t="s">
        <v>30</v>
      </c>
      <c r="J189" s="24" t="s">
        <v>31</v>
      </c>
      <c r="K189" s="9" t="s">
        <v>20</v>
      </c>
    </row>
    <row r="190" spans="1:11" x14ac:dyDescent="0.25">
      <c r="A190" s="21">
        <v>1</v>
      </c>
      <c r="B190" s="21" t="s">
        <v>128</v>
      </c>
      <c r="C190" s="22" t="s">
        <v>129</v>
      </c>
      <c r="D190" s="21">
        <v>825</v>
      </c>
      <c r="E190" s="21"/>
      <c r="F190" s="21" t="s">
        <v>130</v>
      </c>
      <c r="G190" s="21" t="s">
        <v>132</v>
      </c>
      <c r="H190" s="23" t="s">
        <v>131</v>
      </c>
      <c r="I190" s="20">
        <v>350</v>
      </c>
      <c r="J190" s="20">
        <v>340</v>
      </c>
      <c r="K190" s="20">
        <f>J190-I190</f>
        <v>-10</v>
      </c>
    </row>
    <row r="191" spans="1:11" x14ac:dyDescent="0.25">
      <c r="A191" s="21">
        <v>2</v>
      </c>
      <c r="B191" s="21" t="s">
        <v>128</v>
      </c>
      <c r="C191" s="22" t="s">
        <v>134</v>
      </c>
      <c r="D191" s="21">
        <v>825</v>
      </c>
      <c r="E191" s="21" t="s">
        <v>133</v>
      </c>
      <c r="F191" s="21" t="s">
        <v>130</v>
      </c>
      <c r="G191" s="21" t="s">
        <v>132</v>
      </c>
      <c r="H191" s="23" t="s">
        <v>131</v>
      </c>
      <c r="I191" s="20">
        <v>350</v>
      </c>
      <c r="J191" s="20">
        <v>340</v>
      </c>
      <c r="K191" s="20">
        <f t="shared" ref="K191:K196" si="4">J191-I191</f>
        <v>-10</v>
      </c>
    </row>
    <row r="192" spans="1:11" x14ac:dyDescent="0.25">
      <c r="A192" s="21">
        <v>3</v>
      </c>
      <c r="B192" s="21" t="s">
        <v>128</v>
      </c>
      <c r="C192" s="22" t="s">
        <v>135</v>
      </c>
      <c r="D192" s="21">
        <v>825</v>
      </c>
      <c r="E192" s="21" t="s">
        <v>133</v>
      </c>
      <c r="F192" s="21" t="s">
        <v>130</v>
      </c>
      <c r="G192" s="21" t="s">
        <v>132</v>
      </c>
      <c r="H192" s="23" t="s">
        <v>131</v>
      </c>
      <c r="I192" s="20">
        <v>350</v>
      </c>
      <c r="J192" s="20">
        <v>340</v>
      </c>
      <c r="K192" s="20">
        <f t="shared" si="4"/>
        <v>-10</v>
      </c>
    </row>
    <row r="193" spans="1:11" x14ac:dyDescent="0.25">
      <c r="A193" s="21">
        <v>4</v>
      </c>
      <c r="B193" s="21" t="s">
        <v>136</v>
      </c>
      <c r="C193" s="22" t="s">
        <v>137</v>
      </c>
      <c r="D193" s="21">
        <v>825</v>
      </c>
      <c r="E193" s="21" t="s">
        <v>133</v>
      </c>
      <c r="F193" s="21" t="s">
        <v>130</v>
      </c>
      <c r="G193" s="21" t="s">
        <v>132</v>
      </c>
      <c r="H193" s="23" t="s">
        <v>131</v>
      </c>
      <c r="I193" s="20">
        <v>350</v>
      </c>
      <c r="J193" s="20">
        <v>340</v>
      </c>
      <c r="K193" s="20">
        <f t="shared" si="4"/>
        <v>-10</v>
      </c>
    </row>
    <row r="194" spans="1:11" x14ac:dyDescent="0.25">
      <c r="A194" s="21">
        <v>5</v>
      </c>
      <c r="B194" s="21" t="s">
        <v>126</v>
      </c>
      <c r="C194" s="22">
        <v>601110254121</v>
      </c>
      <c r="D194" s="21"/>
      <c r="E194" s="21" t="s">
        <v>41</v>
      </c>
      <c r="F194" s="21" t="s">
        <v>35</v>
      </c>
      <c r="G194" s="21" t="s">
        <v>42</v>
      </c>
      <c r="H194" s="23" t="s">
        <v>37</v>
      </c>
      <c r="I194" s="20">
        <v>480</v>
      </c>
      <c r="J194" s="20">
        <v>475</v>
      </c>
      <c r="K194" s="20">
        <f t="shared" si="4"/>
        <v>-5</v>
      </c>
    </row>
    <row r="195" spans="1:11" x14ac:dyDescent="0.25">
      <c r="A195" s="21">
        <v>6</v>
      </c>
      <c r="B195" s="21" t="s">
        <v>138</v>
      </c>
      <c r="C195" s="22">
        <v>605454253921</v>
      </c>
      <c r="D195" s="21" t="s">
        <v>139</v>
      </c>
      <c r="E195" s="21" t="s">
        <v>140</v>
      </c>
      <c r="F195" s="21" t="s">
        <v>130</v>
      </c>
      <c r="G195" s="21" t="s">
        <v>132</v>
      </c>
      <c r="H195" s="23" t="s">
        <v>131</v>
      </c>
      <c r="I195" s="20">
        <v>480</v>
      </c>
      <c r="J195" s="20">
        <v>475</v>
      </c>
      <c r="K195" s="20">
        <f t="shared" si="4"/>
        <v>-5</v>
      </c>
    </row>
    <row r="196" spans="1:11" x14ac:dyDescent="0.25">
      <c r="A196" s="21">
        <v>7</v>
      </c>
      <c r="B196" s="21" t="s">
        <v>127</v>
      </c>
      <c r="C196" s="22">
        <v>53017225217</v>
      </c>
      <c r="D196" s="21" t="s">
        <v>48</v>
      </c>
      <c r="E196" s="21" t="s">
        <v>48</v>
      </c>
      <c r="F196" s="21" t="s">
        <v>35</v>
      </c>
      <c r="G196" s="21" t="s">
        <v>42</v>
      </c>
      <c r="H196" s="23" t="s">
        <v>37</v>
      </c>
      <c r="I196" s="20">
        <v>520</v>
      </c>
      <c r="J196" s="20">
        <v>475</v>
      </c>
      <c r="K196" s="20">
        <f t="shared" si="4"/>
        <v>-45</v>
      </c>
    </row>
    <row r="197" spans="1:11" ht="18.75" x14ac:dyDescent="0.3">
      <c r="I197" s="13">
        <f>SUM(I190:I196)</f>
        <v>2880</v>
      </c>
      <c r="J197" s="13">
        <f>SUM(J190:J196)</f>
        <v>2785</v>
      </c>
      <c r="K197" s="14">
        <f>SUM(K190:K196)</f>
        <v>-95</v>
      </c>
    </row>
    <row r="199" spans="1:11" ht="15.75" x14ac:dyDescent="0.25">
      <c r="B199" s="15" t="s">
        <v>18</v>
      </c>
      <c r="C199" s="16">
        <v>45590</v>
      </c>
    </row>
    <row r="200" spans="1:11" ht="15.75" x14ac:dyDescent="0.25">
      <c r="B200" s="15" t="s">
        <v>72</v>
      </c>
      <c r="C200" s="16">
        <v>95</v>
      </c>
    </row>
    <row r="201" spans="1:11" ht="15.75" x14ac:dyDescent="0.25">
      <c r="B201" s="15" t="s">
        <v>73</v>
      </c>
      <c r="C201" s="16">
        <f>C199-C200</f>
        <v>45495</v>
      </c>
    </row>
    <row r="204" spans="1:11" x14ac:dyDescent="0.25">
      <c r="A204" s="7" t="s">
        <v>22</v>
      </c>
      <c r="B204" s="7" t="s">
        <v>23</v>
      </c>
      <c r="C204" s="8" t="s">
        <v>24</v>
      </c>
      <c r="D204" s="7" t="s">
        <v>25</v>
      </c>
      <c r="E204" s="7" t="s">
        <v>26</v>
      </c>
      <c r="F204" s="7" t="s">
        <v>27</v>
      </c>
      <c r="G204" s="7" t="s">
        <v>28</v>
      </c>
      <c r="H204" s="7" t="s">
        <v>29</v>
      </c>
      <c r="I204" s="24" t="s">
        <v>30</v>
      </c>
      <c r="J204" s="24" t="s">
        <v>31</v>
      </c>
      <c r="K204" s="9" t="s">
        <v>20</v>
      </c>
    </row>
    <row r="205" spans="1:11" x14ac:dyDescent="0.25">
      <c r="A205" s="21">
        <v>1</v>
      </c>
      <c r="B205" s="21" t="s">
        <v>142</v>
      </c>
      <c r="C205" s="22">
        <v>357254479878961</v>
      </c>
      <c r="D205" s="21">
        <v>512</v>
      </c>
      <c r="E205" s="21" t="s">
        <v>182</v>
      </c>
      <c r="F205" s="21" t="s">
        <v>191</v>
      </c>
      <c r="G205" s="21" t="s">
        <v>195</v>
      </c>
      <c r="H205" s="23" t="s">
        <v>204</v>
      </c>
      <c r="I205" s="20">
        <v>1180</v>
      </c>
      <c r="J205" s="20">
        <v>1160</v>
      </c>
      <c r="K205" s="20">
        <f>J205-I205</f>
        <v>-20</v>
      </c>
    </row>
    <row r="206" spans="1:11" x14ac:dyDescent="0.25">
      <c r="A206" s="21">
        <v>2</v>
      </c>
      <c r="B206" s="21" t="s">
        <v>142</v>
      </c>
      <c r="C206" s="22">
        <v>357254479287817</v>
      </c>
      <c r="D206" s="21">
        <v>512</v>
      </c>
      <c r="E206" s="21" t="s">
        <v>182</v>
      </c>
      <c r="F206" s="21" t="s">
        <v>191</v>
      </c>
      <c r="G206" s="21" t="s">
        <v>195</v>
      </c>
      <c r="H206" s="23" t="s">
        <v>204</v>
      </c>
      <c r="I206" s="20">
        <v>1180</v>
      </c>
      <c r="J206" s="20">
        <v>1160</v>
      </c>
      <c r="K206" s="20">
        <f t="shared" ref="K206:K243" si="5">J206-I206</f>
        <v>-20</v>
      </c>
    </row>
    <row r="207" spans="1:11" x14ac:dyDescent="0.25">
      <c r="A207" s="21">
        <v>3</v>
      </c>
      <c r="B207" s="21" t="s">
        <v>143</v>
      </c>
      <c r="C207" s="22">
        <v>352001993538406</v>
      </c>
      <c r="D207" s="21">
        <v>256</v>
      </c>
      <c r="E207" s="21" t="s">
        <v>183</v>
      </c>
      <c r="F207" s="21" t="s">
        <v>191</v>
      </c>
      <c r="G207" s="21" t="s">
        <v>195</v>
      </c>
      <c r="H207" s="23" t="s">
        <v>204</v>
      </c>
      <c r="I207" s="20">
        <v>1065</v>
      </c>
      <c r="J207" s="20">
        <v>1055</v>
      </c>
      <c r="K207" s="20">
        <f t="shared" si="5"/>
        <v>-10</v>
      </c>
    </row>
    <row r="208" spans="1:11" x14ac:dyDescent="0.25">
      <c r="A208" s="21">
        <v>4</v>
      </c>
      <c r="B208" s="21" t="s">
        <v>143</v>
      </c>
      <c r="C208" s="22">
        <v>352001993194531</v>
      </c>
      <c r="D208" s="21">
        <v>256</v>
      </c>
      <c r="E208" s="21" t="s">
        <v>183</v>
      </c>
      <c r="F208" s="21" t="s">
        <v>191</v>
      </c>
      <c r="G208" s="21" t="s">
        <v>195</v>
      </c>
      <c r="H208" s="23" t="s">
        <v>204</v>
      </c>
      <c r="I208" s="20">
        <v>1065</v>
      </c>
      <c r="J208" s="20">
        <v>1055</v>
      </c>
      <c r="K208" s="20">
        <f t="shared" si="5"/>
        <v>-10</v>
      </c>
    </row>
    <row r="209" spans="1:12" x14ac:dyDescent="0.25">
      <c r="A209" s="21">
        <v>5</v>
      </c>
      <c r="B209" s="21" t="s">
        <v>143</v>
      </c>
      <c r="C209" s="22">
        <v>352001993320755</v>
      </c>
      <c r="D209" s="21">
        <v>256</v>
      </c>
      <c r="E209" s="21" t="s">
        <v>183</v>
      </c>
      <c r="F209" s="21" t="s">
        <v>191</v>
      </c>
      <c r="G209" s="21" t="s">
        <v>195</v>
      </c>
      <c r="H209" s="23" t="s">
        <v>204</v>
      </c>
      <c r="I209" s="20">
        <v>1065</v>
      </c>
      <c r="J209" s="20">
        <v>1055</v>
      </c>
      <c r="K209" s="20">
        <f t="shared" si="5"/>
        <v>-10</v>
      </c>
    </row>
    <row r="210" spans="1:12" x14ac:dyDescent="0.25">
      <c r="A210" s="21">
        <v>6</v>
      </c>
      <c r="B210" s="21" t="s">
        <v>143</v>
      </c>
      <c r="C210" s="22">
        <v>352001993207747</v>
      </c>
      <c r="D210" s="21">
        <v>256</v>
      </c>
      <c r="E210" s="21" t="s">
        <v>183</v>
      </c>
      <c r="F210" s="21" t="s">
        <v>191</v>
      </c>
      <c r="G210" s="21" t="s">
        <v>195</v>
      </c>
      <c r="H210" s="23" t="s">
        <v>204</v>
      </c>
      <c r="I210" s="20">
        <v>1065</v>
      </c>
      <c r="J210" s="20">
        <v>1055</v>
      </c>
      <c r="K210" s="20">
        <f t="shared" si="5"/>
        <v>-10</v>
      </c>
    </row>
    <row r="211" spans="1:12" x14ac:dyDescent="0.25">
      <c r="A211" s="21">
        <v>7</v>
      </c>
      <c r="B211" s="21" t="s">
        <v>142</v>
      </c>
      <c r="C211" s="22">
        <v>357254479486039</v>
      </c>
      <c r="D211" s="21">
        <v>512</v>
      </c>
      <c r="E211" s="21" t="s">
        <v>182</v>
      </c>
      <c r="F211" s="21" t="s">
        <v>191</v>
      </c>
      <c r="G211" s="21" t="s">
        <v>195</v>
      </c>
      <c r="H211" s="23" t="s">
        <v>204</v>
      </c>
      <c r="I211" s="20">
        <v>1180</v>
      </c>
      <c r="J211" s="20">
        <v>1160</v>
      </c>
      <c r="K211" s="20">
        <f t="shared" si="5"/>
        <v>-20</v>
      </c>
    </row>
    <row r="212" spans="1:12" x14ac:dyDescent="0.25">
      <c r="A212" s="21">
        <v>8</v>
      </c>
      <c r="B212" s="21" t="s">
        <v>144</v>
      </c>
      <c r="C212" s="22">
        <v>359814717786751</v>
      </c>
      <c r="D212" s="21">
        <v>256</v>
      </c>
      <c r="E212" s="21" t="s">
        <v>182</v>
      </c>
      <c r="F212" s="21" t="s">
        <v>191</v>
      </c>
      <c r="G212" s="21" t="s">
        <v>196</v>
      </c>
      <c r="H212" s="23" t="s">
        <v>204</v>
      </c>
      <c r="I212" s="20">
        <v>920</v>
      </c>
      <c r="J212" s="20">
        <v>910</v>
      </c>
      <c r="K212" s="20">
        <f t="shared" si="5"/>
        <v>-10</v>
      </c>
    </row>
    <row r="213" spans="1:12" x14ac:dyDescent="0.25">
      <c r="A213" s="21">
        <v>9</v>
      </c>
      <c r="B213" s="21" t="s">
        <v>145</v>
      </c>
      <c r="C213" s="22">
        <v>358434707087002</v>
      </c>
      <c r="D213" s="21">
        <v>512</v>
      </c>
      <c r="E213" s="21" t="s">
        <v>182</v>
      </c>
      <c r="F213" s="21" t="s">
        <v>191</v>
      </c>
      <c r="G213" s="21" t="s">
        <v>197</v>
      </c>
      <c r="H213" s="23" t="s">
        <v>204</v>
      </c>
      <c r="I213" s="20">
        <v>1080</v>
      </c>
      <c r="J213" s="20">
        <v>1060</v>
      </c>
      <c r="K213" s="20">
        <f t="shared" si="5"/>
        <v>-20</v>
      </c>
    </row>
    <row r="214" spans="1:12" x14ac:dyDescent="0.25">
      <c r="A214" s="21">
        <v>10</v>
      </c>
      <c r="B214" s="21" t="s">
        <v>146</v>
      </c>
      <c r="C214" s="22">
        <v>351159024289281</v>
      </c>
      <c r="D214" s="21">
        <v>128</v>
      </c>
      <c r="E214" s="21" t="s">
        <v>184</v>
      </c>
      <c r="F214" s="21" t="s">
        <v>191</v>
      </c>
      <c r="G214" s="21" t="s">
        <v>195</v>
      </c>
      <c r="H214" s="23" t="s">
        <v>205</v>
      </c>
      <c r="I214" s="20">
        <v>350</v>
      </c>
      <c r="J214" s="20">
        <v>300</v>
      </c>
      <c r="K214" s="20">
        <f t="shared" si="5"/>
        <v>-50</v>
      </c>
    </row>
    <row r="215" spans="1:12" x14ac:dyDescent="0.25">
      <c r="A215" s="21">
        <v>11</v>
      </c>
      <c r="B215" s="21" t="s">
        <v>146</v>
      </c>
      <c r="C215" s="22" t="s">
        <v>160</v>
      </c>
      <c r="D215" s="21">
        <v>128</v>
      </c>
      <c r="E215" s="21" t="s">
        <v>184</v>
      </c>
      <c r="F215" s="21" t="s">
        <v>191</v>
      </c>
      <c r="G215" s="21" t="s">
        <v>198</v>
      </c>
      <c r="H215" s="23" t="s">
        <v>204</v>
      </c>
      <c r="I215" s="20">
        <v>350</v>
      </c>
      <c r="J215" s="20">
        <v>285</v>
      </c>
      <c r="K215" s="20">
        <f t="shared" si="5"/>
        <v>-65</v>
      </c>
    </row>
    <row r="216" spans="1:12" x14ac:dyDescent="0.25">
      <c r="A216" s="21">
        <v>12</v>
      </c>
      <c r="B216" s="32" t="s">
        <v>248</v>
      </c>
      <c r="C216" s="22" t="s">
        <v>161</v>
      </c>
      <c r="D216" s="21"/>
      <c r="E216" s="21"/>
      <c r="F216" s="21" t="s">
        <v>191</v>
      </c>
      <c r="G216" s="21" t="s">
        <v>198</v>
      </c>
      <c r="H216" s="23" t="s">
        <v>204</v>
      </c>
      <c r="I216" s="20">
        <v>415</v>
      </c>
      <c r="J216" s="20">
        <v>200</v>
      </c>
      <c r="K216" s="20">
        <f t="shared" si="5"/>
        <v>-215</v>
      </c>
    </row>
    <row r="217" spans="1:12" x14ac:dyDescent="0.25">
      <c r="A217" s="21">
        <v>13</v>
      </c>
      <c r="B217" s="21" t="s">
        <v>147</v>
      </c>
      <c r="C217" s="22" t="s">
        <v>162</v>
      </c>
      <c r="D217" s="21"/>
      <c r="E217" s="21" t="s">
        <v>185</v>
      </c>
      <c r="F217" s="21" t="s">
        <v>191</v>
      </c>
      <c r="G217" s="21" t="s">
        <v>198</v>
      </c>
      <c r="H217" s="23" t="s">
        <v>204</v>
      </c>
      <c r="I217" s="20">
        <v>225</v>
      </c>
      <c r="J217" s="20">
        <v>210</v>
      </c>
      <c r="K217" s="20">
        <f t="shared" si="5"/>
        <v>-15</v>
      </c>
    </row>
    <row r="218" spans="1:12" x14ac:dyDescent="0.25">
      <c r="A218" s="21">
        <v>14</v>
      </c>
      <c r="B218" s="21" t="s">
        <v>147</v>
      </c>
      <c r="C218" s="22" t="s">
        <v>163</v>
      </c>
      <c r="D218" s="21"/>
      <c r="E218" s="21" t="s">
        <v>185</v>
      </c>
      <c r="F218" s="21" t="s">
        <v>191</v>
      </c>
      <c r="G218" s="21" t="s">
        <v>198</v>
      </c>
      <c r="H218" s="23" t="s">
        <v>204</v>
      </c>
      <c r="I218" s="20">
        <v>225</v>
      </c>
      <c r="J218" s="20">
        <v>210</v>
      </c>
      <c r="K218" s="20">
        <f t="shared" si="5"/>
        <v>-15</v>
      </c>
    </row>
    <row r="219" spans="1:12" x14ac:dyDescent="0.25">
      <c r="A219" s="21">
        <v>15</v>
      </c>
      <c r="B219" s="21" t="s">
        <v>147</v>
      </c>
      <c r="C219" s="22" t="s">
        <v>164</v>
      </c>
      <c r="D219" s="21"/>
      <c r="E219" s="21" t="s">
        <v>185</v>
      </c>
      <c r="F219" s="21" t="s">
        <v>191</v>
      </c>
      <c r="G219" s="21" t="s">
        <v>198</v>
      </c>
      <c r="H219" s="23" t="s">
        <v>204</v>
      </c>
      <c r="I219" s="20">
        <v>225</v>
      </c>
      <c r="J219" s="20">
        <v>210</v>
      </c>
      <c r="K219" s="20">
        <f t="shared" si="5"/>
        <v>-15</v>
      </c>
    </row>
    <row r="220" spans="1:12" x14ac:dyDescent="0.25">
      <c r="A220" s="21">
        <v>16</v>
      </c>
      <c r="B220" s="21" t="s">
        <v>147</v>
      </c>
      <c r="C220" s="22" t="s">
        <v>165</v>
      </c>
      <c r="D220" s="21"/>
      <c r="E220" s="21" t="s">
        <v>185</v>
      </c>
      <c r="F220" s="21" t="s">
        <v>191</v>
      </c>
      <c r="G220" s="21" t="s">
        <v>198</v>
      </c>
      <c r="H220" s="23" t="s">
        <v>204</v>
      </c>
      <c r="I220" s="20">
        <v>225</v>
      </c>
      <c r="J220" s="20">
        <v>210</v>
      </c>
      <c r="K220" s="20">
        <f t="shared" si="5"/>
        <v>-15</v>
      </c>
    </row>
    <row r="221" spans="1:12" x14ac:dyDescent="0.25">
      <c r="A221" s="21">
        <v>17</v>
      </c>
      <c r="B221" s="21" t="s">
        <v>147</v>
      </c>
      <c r="C221" s="22" t="s">
        <v>166</v>
      </c>
      <c r="D221" s="21"/>
      <c r="E221" s="21" t="s">
        <v>185</v>
      </c>
      <c r="F221" s="21" t="s">
        <v>191</v>
      </c>
      <c r="G221" s="21" t="s">
        <v>198</v>
      </c>
      <c r="H221" s="23" t="s">
        <v>204</v>
      </c>
      <c r="I221" s="20">
        <v>225</v>
      </c>
      <c r="J221" s="20">
        <v>210</v>
      </c>
      <c r="K221" s="20">
        <f t="shared" si="5"/>
        <v>-15</v>
      </c>
    </row>
    <row r="222" spans="1:12" x14ac:dyDescent="0.25">
      <c r="A222" s="21">
        <v>18</v>
      </c>
      <c r="B222" s="21" t="s">
        <v>148</v>
      </c>
      <c r="C222" s="22" t="s">
        <v>167</v>
      </c>
      <c r="D222" s="21"/>
      <c r="E222" s="21" t="s">
        <v>186</v>
      </c>
      <c r="F222" s="21" t="s">
        <v>191</v>
      </c>
      <c r="G222" s="21" t="s">
        <v>198</v>
      </c>
      <c r="H222" s="23" t="s">
        <v>204</v>
      </c>
      <c r="I222" s="20">
        <v>200</v>
      </c>
      <c r="J222" s="20">
        <v>80</v>
      </c>
      <c r="K222" s="20">
        <f t="shared" si="5"/>
        <v>-120</v>
      </c>
      <c r="L222" s="27" t="s">
        <v>247</v>
      </c>
    </row>
    <row r="223" spans="1:12" x14ac:dyDescent="0.25">
      <c r="A223" s="21">
        <v>19</v>
      </c>
      <c r="B223" s="21" t="s">
        <v>148</v>
      </c>
      <c r="C223" s="22" t="s">
        <v>168</v>
      </c>
      <c r="D223" s="21"/>
      <c r="E223" s="21" t="s">
        <v>186</v>
      </c>
      <c r="F223" s="21" t="s">
        <v>191</v>
      </c>
      <c r="G223" s="21" t="s">
        <v>198</v>
      </c>
      <c r="H223" s="23" t="s">
        <v>204</v>
      </c>
      <c r="I223" s="20">
        <v>200</v>
      </c>
      <c r="J223" s="20">
        <v>80</v>
      </c>
      <c r="K223" s="20">
        <f t="shared" si="5"/>
        <v>-120</v>
      </c>
      <c r="L223" s="27" t="s">
        <v>247</v>
      </c>
    </row>
    <row r="224" spans="1:12" x14ac:dyDescent="0.25">
      <c r="A224" s="21">
        <v>20</v>
      </c>
      <c r="B224" s="21" t="s">
        <v>149</v>
      </c>
      <c r="C224" s="22">
        <v>354689824617494</v>
      </c>
      <c r="D224" s="21">
        <v>256</v>
      </c>
      <c r="E224" s="21" t="s">
        <v>187</v>
      </c>
      <c r="F224" s="21" t="s">
        <v>192</v>
      </c>
      <c r="G224" s="21" t="s">
        <v>199</v>
      </c>
      <c r="H224" s="23" t="s">
        <v>206</v>
      </c>
      <c r="I224" s="20">
        <v>380</v>
      </c>
      <c r="J224" s="20">
        <v>300</v>
      </c>
      <c r="K224" s="20">
        <f t="shared" si="5"/>
        <v>-80</v>
      </c>
    </row>
    <row r="225" spans="1:11" x14ac:dyDescent="0.25">
      <c r="A225" s="21">
        <v>21</v>
      </c>
      <c r="B225" s="21" t="s">
        <v>150</v>
      </c>
      <c r="C225" s="22">
        <v>354345293865078</v>
      </c>
      <c r="D225" s="21" t="s">
        <v>157</v>
      </c>
      <c r="E225" s="21" t="s">
        <v>188</v>
      </c>
      <c r="F225" s="21" t="s">
        <v>192</v>
      </c>
      <c r="G225" s="21" t="s">
        <v>200</v>
      </c>
      <c r="H225" s="23" t="s">
        <v>206</v>
      </c>
      <c r="I225" s="20">
        <v>540</v>
      </c>
      <c r="J225" s="20">
        <v>400</v>
      </c>
      <c r="K225" s="20">
        <f t="shared" si="5"/>
        <v>-140</v>
      </c>
    </row>
    <row r="226" spans="1:11" x14ac:dyDescent="0.25">
      <c r="A226" s="21">
        <v>22</v>
      </c>
      <c r="B226" s="21" t="s">
        <v>144</v>
      </c>
      <c r="C226" s="22">
        <v>353497851021437</v>
      </c>
      <c r="D226" s="21">
        <v>256</v>
      </c>
      <c r="E226" s="21" t="s">
        <v>184</v>
      </c>
      <c r="F226" s="21" t="s">
        <v>193</v>
      </c>
      <c r="G226" s="21" t="s">
        <v>197</v>
      </c>
      <c r="H226" s="23" t="s">
        <v>205</v>
      </c>
      <c r="I226" s="20">
        <v>840</v>
      </c>
      <c r="J226" s="20">
        <v>790</v>
      </c>
      <c r="K226" s="20">
        <f t="shared" si="5"/>
        <v>-50</v>
      </c>
    </row>
    <row r="227" spans="1:11" x14ac:dyDescent="0.25">
      <c r="A227" s="21">
        <v>23</v>
      </c>
      <c r="B227" s="21" t="s">
        <v>145</v>
      </c>
      <c r="C227" s="22">
        <v>359614549650955</v>
      </c>
      <c r="D227" s="21">
        <v>256</v>
      </c>
      <c r="E227" s="21" t="s">
        <v>184</v>
      </c>
      <c r="F227" s="21" t="s">
        <v>193</v>
      </c>
      <c r="G227" s="21" t="s">
        <v>201</v>
      </c>
      <c r="H227" s="23" t="s">
        <v>205</v>
      </c>
      <c r="I227" s="20">
        <v>830</v>
      </c>
      <c r="J227" s="20">
        <v>790</v>
      </c>
      <c r="K227" s="20">
        <f t="shared" si="5"/>
        <v>-40</v>
      </c>
    </row>
    <row r="228" spans="1:11" x14ac:dyDescent="0.25">
      <c r="A228" s="21">
        <v>24</v>
      </c>
      <c r="B228" s="21" t="s">
        <v>149</v>
      </c>
      <c r="C228" s="22">
        <v>358606711541302</v>
      </c>
      <c r="D228" s="21">
        <v>256</v>
      </c>
      <c r="E228" s="21" t="s">
        <v>187</v>
      </c>
      <c r="F228" s="21" t="s">
        <v>192</v>
      </c>
      <c r="G228" s="21" t="s">
        <v>202</v>
      </c>
      <c r="H228" s="23" t="s">
        <v>206</v>
      </c>
      <c r="I228" s="20">
        <v>550</v>
      </c>
      <c r="J228" s="20">
        <v>380</v>
      </c>
      <c r="K228" s="20">
        <f t="shared" si="5"/>
        <v>-170</v>
      </c>
    </row>
    <row r="229" spans="1:11" x14ac:dyDescent="0.25">
      <c r="A229" s="21">
        <v>25</v>
      </c>
      <c r="B229" s="21" t="s">
        <v>151</v>
      </c>
      <c r="C229" s="22" t="s">
        <v>169</v>
      </c>
      <c r="D229" s="21"/>
      <c r="E229" s="21"/>
      <c r="F229" s="21" t="s">
        <v>194</v>
      </c>
      <c r="G229" s="21"/>
      <c r="H229" s="23"/>
      <c r="I229" s="20">
        <v>85</v>
      </c>
      <c r="J229" s="20">
        <v>80</v>
      </c>
      <c r="K229" s="20">
        <f t="shared" si="5"/>
        <v>-5</v>
      </c>
    </row>
    <row r="230" spans="1:11" x14ac:dyDescent="0.25">
      <c r="A230" s="21">
        <v>26</v>
      </c>
      <c r="B230" s="21" t="s">
        <v>151</v>
      </c>
      <c r="C230" s="22" t="s">
        <v>170</v>
      </c>
      <c r="D230" s="21"/>
      <c r="E230" s="21"/>
      <c r="F230" s="21" t="s">
        <v>194</v>
      </c>
      <c r="G230" s="21"/>
      <c r="H230" s="23"/>
      <c r="I230" s="20">
        <v>85</v>
      </c>
      <c r="J230" s="20">
        <v>80</v>
      </c>
      <c r="K230" s="20">
        <f t="shared" si="5"/>
        <v>-5</v>
      </c>
    </row>
    <row r="231" spans="1:11" x14ac:dyDescent="0.25">
      <c r="A231" s="21">
        <v>27</v>
      </c>
      <c r="B231" s="21" t="s">
        <v>151</v>
      </c>
      <c r="C231" s="22" t="s">
        <v>171</v>
      </c>
      <c r="D231" s="21"/>
      <c r="E231" s="21"/>
      <c r="F231" s="21" t="s">
        <v>194</v>
      </c>
      <c r="G231" s="21" t="s">
        <v>203</v>
      </c>
      <c r="H231" s="23" t="s">
        <v>207</v>
      </c>
      <c r="I231" s="20">
        <v>85</v>
      </c>
      <c r="J231" s="20">
        <v>80</v>
      </c>
      <c r="K231" s="20">
        <f t="shared" si="5"/>
        <v>-5</v>
      </c>
    </row>
    <row r="232" spans="1:11" x14ac:dyDescent="0.25">
      <c r="A232" s="21">
        <v>28</v>
      </c>
      <c r="B232" s="21" t="s">
        <v>151</v>
      </c>
      <c r="C232" s="22" t="s">
        <v>172</v>
      </c>
      <c r="D232" s="21" t="s">
        <v>158</v>
      </c>
      <c r="E232" s="21" t="s">
        <v>189</v>
      </c>
      <c r="F232" s="21" t="s">
        <v>194</v>
      </c>
      <c r="G232" s="21" t="s">
        <v>203</v>
      </c>
      <c r="H232" s="23" t="s">
        <v>207</v>
      </c>
      <c r="I232" s="20">
        <v>85</v>
      </c>
      <c r="J232" s="20">
        <v>80</v>
      </c>
      <c r="K232" s="20">
        <f t="shared" si="5"/>
        <v>-5</v>
      </c>
    </row>
    <row r="233" spans="1:11" x14ac:dyDescent="0.25">
      <c r="A233" s="21">
        <v>29</v>
      </c>
      <c r="B233" s="21" t="s">
        <v>152</v>
      </c>
      <c r="C233" s="22" t="s">
        <v>173</v>
      </c>
      <c r="D233" s="21" t="s">
        <v>159</v>
      </c>
      <c r="E233" s="21" t="s">
        <v>159</v>
      </c>
      <c r="F233" s="21" t="s">
        <v>194</v>
      </c>
      <c r="G233" s="21" t="s">
        <v>203</v>
      </c>
      <c r="H233" s="23" t="s">
        <v>207</v>
      </c>
      <c r="I233" s="20">
        <v>85</v>
      </c>
      <c r="J233" s="20">
        <v>80</v>
      </c>
      <c r="K233" s="20">
        <f t="shared" si="5"/>
        <v>-5</v>
      </c>
    </row>
    <row r="234" spans="1:11" x14ac:dyDescent="0.25">
      <c r="A234" s="21">
        <v>30</v>
      </c>
      <c r="B234" s="21" t="s">
        <v>153</v>
      </c>
      <c r="C234" s="22" t="s">
        <v>174</v>
      </c>
      <c r="D234" s="21" t="s">
        <v>158</v>
      </c>
      <c r="E234" s="21" t="s">
        <v>188</v>
      </c>
      <c r="F234" s="21" t="s">
        <v>194</v>
      </c>
      <c r="G234" s="21" t="s">
        <v>203</v>
      </c>
      <c r="H234" s="23" t="s">
        <v>207</v>
      </c>
      <c r="I234" s="20">
        <v>415</v>
      </c>
      <c r="J234" s="20">
        <v>350</v>
      </c>
      <c r="K234" s="20">
        <f t="shared" si="5"/>
        <v>-65</v>
      </c>
    </row>
    <row r="235" spans="1:11" x14ac:dyDescent="0.25">
      <c r="A235" s="21">
        <v>31</v>
      </c>
      <c r="B235" s="21" t="s">
        <v>154</v>
      </c>
      <c r="C235" s="22" t="s">
        <v>175</v>
      </c>
      <c r="D235" s="21" t="s">
        <v>159</v>
      </c>
      <c r="E235" s="21" t="s">
        <v>189</v>
      </c>
      <c r="F235" s="21" t="s">
        <v>194</v>
      </c>
      <c r="G235" s="21" t="s">
        <v>203</v>
      </c>
      <c r="H235" s="23" t="s">
        <v>207</v>
      </c>
      <c r="I235" s="20">
        <v>125</v>
      </c>
      <c r="J235" s="20">
        <v>120</v>
      </c>
      <c r="K235" s="20">
        <f t="shared" si="5"/>
        <v>-5</v>
      </c>
    </row>
    <row r="236" spans="1:11" x14ac:dyDescent="0.25">
      <c r="A236" s="21">
        <v>32</v>
      </c>
      <c r="B236" s="21" t="s">
        <v>154</v>
      </c>
      <c r="C236" s="22" t="s">
        <v>176</v>
      </c>
      <c r="D236" s="21" t="s">
        <v>159</v>
      </c>
      <c r="E236" s="21" t="s">
        <v>189</v>
      </c>
      <c r="F236" s="21" t="s">
        <v>194</v>
      </c>
      <c r="G236" s="21" t="s">
        <v>203</v>
      </c>
      <c r="H236" s="23" t="s">
        <v>207</v>
      </c>
      <c r="I236" s="20">
        <v>125</v>
      </c>
      <c r="J236" s="20">
        <v>120</v>
      </c>
      <c r="K236" s="20">
        <f t="shared" si="5"/>
        <v>-5</v>
      </c>
    </row>
    <row r="237" spans="1:11" x14ac:dyDescent="0.25">
      <c r="A237" s="21">
        <v>33</v>
      </c>
      <c r="B237" s="21" t="s">
        <v>154</v>
      </c>
      <c r="C237" s="22" t="s">
        <v>177</v>
      </c>
      <c r="D237" s="21"/>
      <c r="E237" s="21"/>
      <c r="F237" s="21" t="s">
        <v>194</v>
      </c>
      <c r="G237" s="21" t="s">
        <v>203</v>
      </c>
      <c r="H237" s="23" t="s">
        <v>207</v>
      </c>
      <c r="I237" s="20">
        <v>125</v>
      </c>
      <c r="J237" s="20">
        <v>120</v>
      </c>
      <c r="K237" s="20">
        <f t="shared" si="5"/>
        <v>-5</v>
      </c>
    </row>
    <row r="238" spans="1:11" x14ac:dyDescent="0.25">
      <c r="A238" s="21">
        <v>34</v>
      </c>
      <c r="B238" s="21" t="s">
        <v>154</v>
      </c>
      <c r="C238" s="22" t="s">
        <v>178</v>
      </c>
      <c r="D238" s="21"/>
      <c r="E238" s="21"/>
      <c r="F238" s="21" t="s">
        <v>194</v>
      </c>
      <c r="G238" s="21" t="s">
        <v>203</v>
      </c>
      <c r="H238" s="23" t="s">
        <v>207</v>
      </c>
      <c r="I238" s="20">
        <v>125</v>
      </c>
      <c r="J238" s="20">
        <v>120</v>
      </c>
      <c r="K238" s="20">
        <f t="shared" si="5"/>
        <v>-5</v>
      </c>
    </row>
    <row r="239" spans="1:11" x14ac:dyDescent="0.25">
      <c r="A239" s="21">
        <v>35</v>
      </c>
      <c r="B239" s="21" t="s">
        <v>155</v>
      </c>
      <c r="C239" s="22" t="s">
        <v>179</v>
      </c>
      <c r="D239" s="21" t="s">
        <v>159</v>
      </c>
      <c r="E239" s="21" t="s">
        <v>159</v>
      </c>
      <c r="F239" s="21" t="s">
        <v>194</v>
      </c>
      <c r="G239" s="21" t="s">
        <v>203</v>
      </c>
      <c r="H239" s="23" t="s">
        <v>207</v>
      </c>
      <c r="I239" s="20">
        <v>125</v>
      </c>
      <c r="J239" s="20">
        <v>120</v>
      </c>
      <c r="K239" s="20">
        <f t="shared" si="5"/>
        <v>-5</v>
      </c>
    </row>
    <row r="240" spans="1:11" x14ac:dyDescent="0.25">
      <c r="A240" s="21">
        <v>36</v>
      </c>
      <c r="B240" s="21" t="s">
        <v>155</v>
      </c>
      <c r="C240" s="22" t="s">
        <v>180</v>
      </c>
      <c r="D240" s="21" t="s">
        <v>159</v>
      </c>
      <c r="E240" s="21" t="s">
        <v>159</v>
      </c>
      <c r="F240" s="21" t="s">
        <v>194</v>
      </c>
      <c r="G240" s="21" t="s">
        <v>203</v>
      </c>
      <c r="H240" s="23" t="s">
        <v>207</v>
      </c>
      <c r="I240" s="20">
        <v>125</v>
      </c>
      <c r="J240" s="20">
        <v>120</v>
      </c>
      <c r="K240" s="20">
        <f t="shared" si="5"/>
        <v>-5</v>
      </c>
    </row>
    <row r="241" spans="1:11" x14ac:dyDescent="0.25">
      <c r="A241" s="21">
        <v>37</v>
      </c>
      <c r="B241" s="21" t="s">
        <v>156</v>
      </c>
      <c r="C241" s="22" t="s">
        <v>181</v>
      </c>
      <c r="D241" s="21"/>
      <c r="E241" s="21" t="s">
        <v>190</v>
      </c>
      <c r="F241" s="21" t="s">
        <v>194</v>
      </c>
      <c r="G241" s="21" t="s">
        <v>200</v>
      </c>
      <c r="H241" s="23" t="s">
        <v>207</v>
      </c>
      <c r="I241" s="20">
        <v>225</v>
      </c>
      <c r="J241" s="20">
        <v>210</v>
      </c>
      <c r="K241" s="20">
        <f t="shared" si="5"/>
        <v>-15</v>
      </c>
    </row>
    <row r="242" spans="1:11" x14ac:dyDescent="0.25">
      <c r="A242" s="21">
        <v>38</v>
      </c>
      <c r="B242" s="21" t="s">
        <v>144</v>
      </c>
      <c r="C242" s="22">
        <v>358434702802272</v>
      </c>
      <c r="D242" s="21">
        <v>512</v>
      </c>
      <c r="E242" s="21" t="s">
        <v>182</v>
      </c>
      <c r="F242" s="21" t="s">
        <v>191</v>
      </c>
      <c r="G242" s="21" t="s">
        <v>196</v>
      </c>
      <c r="H242" s="23" t="s">
        <v>205</v>
      </c>
      <c r="I242" s="20">
        <v>1080</v>
      </c>
      <c r="J242" s="20">
        <v>1040</v>
      </c>
      <c r="K242" s="20">
        <f t="shared" si="5"/>
        <v>-40</v>
      </c>
    </row>
    <row r="243" spans="1:11" x14ac:dyDescent="0.25">
      <c r="A243" s="21">
        <v>39</v>
      </c>
      <c r="B243" s="21" t="s">
        <v>144</v>
      </c>
      <c r="C243" s="22">
        <v>359814719579154</v>
      </c>
      <c r="D243" s="21">
        <v>512</v>
      </c>
      <c r="E243" s="21" t="s">
        <v>183</v>
      </c>
      <c r="F243" s="21" t="s">
        <v>191</v>
      </c>
      <c r="G243" s="21" t="s">
        <v>196</v>
      </c>
      <c r="H243" s="23" t="s">
        <v>205</v>
      </c>
      <c r="I243" s="20">
        <v>1080</v>
      </c>
      <c r="J243" s="20">
        <v>1040</v>
      </c>
      <c r="K243" s="20">
        <f t="shared" si="5"/>
        <v>-40</v>
      </c>
    </row>
    <row r="244" spans="1:11" ht="18.75" x14ac:dyDescent="0.3">
      <c r="I244" s="13">
        <f>SUM(I205:I243)</f>
        <v>19555</v>
      </c>
      <c r="J244" s="13">
        <f>SUM(J205:J243)</f>
        <v>18085</v>
      </c>
      <c r="K244" s="14">
        <f>SUM(K205:K243)</f>
        <v>-1470</v>
      </c>
    </row>
    <row r="246" spans="1:11" ht="15.75" x14ac:dyDescent="0.25">
      <c r="B246" s="15" t="s">
        <v>18</v>
      </c>
      <c r="C246" s="16">
        <v>58569</v>
      </c>
    </row>
    <row r="247" spans="1:11" ht="15.75" x14ac:dyDescent="0.25">
      <c r="B247" s="15" t="s">
        <v>72</v>
      </c>
      <c r="C247" s="16">
        <v>1470</v>
      </c>
    </row>
    <row r="248" spans="1:11" ht="15.75" x14ac:dyDescent="0.25">
      <c r="B248" s="15" t="s">
        <v>73</v>
      </c>
      <c r="C248" s="16">
        <f>C246-C247</f>
        <v>57099</v>
      </c>
    </row>
    <row r="251" spans="1:11" x14ac:dyDescent="0.25">
      <c r="A251" s="7" t="s">
        <v>22</v>
      </c>
      <c r="B251" s="7" t="s">
        <v>23</v>
      </c>
      <c r="C251" s="8" t="s">
        <v>24</v>
      </c>
      <c r="D251" s="7" t="s">
        <v>25</v>
      </c>
      <c r="E251" s="7" t="s">
        <v>26</v>
      </c>
      <c r="F251" s="7" t="s">
        <v>27</v>
      </c>
      <c r="G251" s="7" t="s">
        <v>28</v>
      </c>
      <c r="H251" s="7" t="s">
        <v>29</v>
      </c>
      <c r="I251" s="24" t="s">
        <v>30</v>
      </c>
      <c r="J251" s="24" t="s">
        <v>31</v>
      </c>
      <c r="K251" s="9" t="s">
        <v>20</v>
      </c>
    </row>
    <row r="252" spans="1:11" x14ac:dyDescent="0.25">
      <c r="A252" s="21">
        <v>1</v>
      </c>
      <c r="B252" s="21" t="s">
        <v>208</v>
      </c>
      <c r="C252" s="22">
        <v>353501806982914</v>
      </c>
      <c r="D252" s="21">
        <v>128</v>
      </c>
      <c r="E252" s="21" t="s">
        <v>41</v>
      </c>
      <c r="F252" s="21" t="s">
        <v>35</v>
      </c>
      <c r="G252" s="21" t="s">
        <v>210</v>
      </c>
      <c r="H252" s="23" t="s">
        <v>37</v>
      </c>
      <c r="I252" s="20">
        <v>620</v>
      </c>
      <c r="J252" s="20">
        <v>570</v>
      </c>
      <c r="K252" s="20">
        <f>J252-I252</f>
        <v>-50</v>
      </c>
    </row>
    <row r="253" spans="1:11" x14ac:dyDescent="0.25">
      <c r="A253" s="21">
        <v>2</v>
      </c>
      <c r="B253" s="21" t="s">
        <v>208</v>
      </c>
      <c r="C253" s="22">
        <v>350923386872948</v>
      </c>
      <c r="D253" s="21">
        <v>128</v>
      </c>
      <c r="E253" s="21" t="s">
        <v>41</v>
      </c>
      <c r="F253" s="21" t="s">
        <v>35</v>
      </c>
      <c r="G253" s="21" t="s">
        <v>210</v>
      </c>
      <c r="H253" s="23" t="s">
        <v>37</v>
      </c>
      <c r="I253" s="20">
        <v>620</v>
      </c>
      <c r="J253" s="20">
        <v>570</v>
      </c>
      <c r="K253" s="20">
        <f t="shared" ref="K253:K257" si="6">J253-I253</f>
        <v>-50</v>
      </c>
    </row>
    <row r="254" spans="1:11" x14ac:dyDescent="0.25">
      <c r="A254" s="21">
        <v>3</v>
      </c>
      <c r="B254" s="21" t="s">
        <v>208</v>
      </c>
      <c r="C254" s="22">
        <v>352130219598785</v>
      </c>
      <c r="D254" s="21">
        <v>256</v>
      </c>
      <c r="E254" s="21" t="s">
        <v>41</v>
      </c>
      <c r="F254" s="21" t="s">
        <v>35</v>
      </c>
      <c r="G254" s="21" t="s">
        <v>210</v>
      </c>
      <c r="H254" s="23" t="s">
        <v>37</v>
      </c>
      <c r="I254" s="20">
        <v>720</v>
      </c>
      <c r="J254" s="20">
        <v>600</v>
      </c>
      <c r="K254" s="20">
        <f t="shared" si="6"/>
        <v>-120</v>
      </c>
    </row>
    <row r="255" spans="1:11" x14ac:dyDescent="0.25">
      <c r="A255" s="21">
        <v>4</v>
      </c>
      <c r="B255" s="21" t="s">
        <v>209</v>
      </c>
      <c r="C255" s="22">
        <v>357828281944143</v>
      </c>
      <c r="D255" s="21">
        <v>512</v>
      </c>
      <c r="E255" s="21" t="s">
        <v>45</v>
      </c>
      <c r="F255" s="21" t="s">
        <v>35</v>
      </c>
      <c r="G255" s="21" t="s">
        <v>210</v>
      </c>
      <c r="H255" s="23" t="s">
        <v>37</v>
      </c>
      <c r="I255" s="20">
        <v>720</v>
      </c>
      <c r="J255" s="20">
        <v>650</v>
      </c>
      <c r="K255" s="20">
        <f t="shared" si="6"/>
        <v>-70</v>
      </c>
    </row>
    <row r="256" spans="1:11" x14ac:dyDescent="0.25">
      <c r="A256" s="21">
        <v>5</v>
      </c>
      <c r="B256" s="21" t="s">
        <v>209</v>
      </c>
      <c r="C256" s="22">
        <v>353360949986039</v>
      </c>
      <c r="D256" s="21">
        <v>512</v>
      </c>
      <c r="E256" s="21" t="s">
        <v>45</v>
      </c>
      <c r="F256" s="21" t="s">
        <v>35</v>
      </c>
      <c r="G256" s="21" t="s">
        <v>210</v>
      </c>
      <c r="H256" s="23" t="s">
        <v>37</v>
      </c>
      <c r="I256" s="20">
        <v>720</v>
      </c>
      <c r="J256" s="20">
        <v>650</v>
      </c>
      <c r="K256" s="20">
        <f t="shared" si="6"/>
        <v>-70</v>
      </c>
    </row>
    <row r="257" spans="1:11" x14ac:dyDescent="0.25">
      <c r="A257" s="21">
        <v>6</v>
      </c>
      <c r="B257" s="21" t="s">
        <v>209</v>
      </c>
      <c r="C257" s="22">
        <v>357828281694722</v>
      </c>
      <c r="D257" s="21">
        <v>512</v>
      </c>
      <c r="E257" s="21" t="s">
        <v>45</v>
      </c>
      <c r="F257" s="21" t="s">
        <v>35</v>
      </c>
      <c r="G257" s="21" t="s">
        <v>210</v>
      </c>
      <c r="H257" s="23" t="s">
        <v>37</v>
      </c>
      <c r="I257" s="20">
        <v>720</v>
      </c>
      <c r="J257" s="20">
        <v>650</v>
      </c>
      <c r="K257" s="20">
        <f t="shared" si="6"/>
        <v>-70</v>
      </c>
    </row>
    <row r="258" spans="1:11" ht="18.75" x14ac:dyDescent="0.3">
      <c r="I258" s="13">
        <f>SUM(I252:I257)</f>
        <v>4120</v>
      </c>
      <c r="J258" s="13">
        <f>SUM(J252:J257)</f>
        <v>3690</v>
      </c>
      <c r="K258" s="14">
        <f>SUM(K252:K257)</f>
        <v>-430</v>
      </c>
    </row>
    <row r="260" spans="1:11" ht="15.75" x14ac:dyDescent="0.25">
      <c r="B260" s="15" t="s">
        <v>18</v>
      </c>
      <c r="C260" s="16">
        <v>129020</v>
      </c>
    </row>
    <row r="261" spans="1:11" ht="15.75" x14ac:dyDescent="0.25">
      <c r="B261" s="15" t="s">
        <v>72</v>
      </c>
      <c r="C261" s="16">
        <v>430</v>
      </c>
    </row>
    <row r="262" spans="1:11" ht="15.75" x14ac:dyDescent="0.25">
      <c r="B262" s="15" t="s">
        <v>73</v>
      </c>
      <c r="C262" s="16">
        <f>C260-C261</f>
        <v>128590</v>
      </c>
    </row>
    <row r="265" spans="1:11" x14ac:dyDescent="0.25">
      <c r="A265" s="7" t="s">
        <v>22</v>
      </c>
      <c r="B265" s="7" t="s">
        <v>23</v>
      </c>
      <c r="C265" s="8" t="s">
        <v>24</v>
      </c>
      <c r="D265" s="7" t="s">
        <v>25</v>
      </c>
      <c r="E265" s="7" t="s">
        <v>26</v>
      </c>
      <c r="F265" s="7" t="s">
        <v>27</v>
      </c>
      <c r="G265" s="7" t="s">
        <v>28</v>
      </c>
      <c r="H265" s="7" t="s">
        <v>29</v>
      </c>
      <c r="I265" s="24" t="s">
        <v>30</v>
      </c>
      <c r="J265" s="24" t="s">
        <v>31</v>
      </c>
      <c r="K265" s="9" t="s">
        <v>20</v>
      </c>
    </row>
    <row r="266" spans="1:11" x14ac:dyDescent="0.25">
      <c r="A266" s="21">
        <v>1</v>
      </c>
      <c r="B266" s="21" t="s">
        <v>211</v>
      </c>
      <c r="C266" s="22">
        <v>357585653481910</v>
      </c>
      <c r="D266" s="21">
        <v>128</v>
      </c>
      <c r="E266" s="21" t="s">
        <v>94</v>
      </c>
      <c r="F266" s="21"/>
      <c r="G266" s="21" t="s">
        <v>245</v>
      </c>
      <c r="H266" s="23" t="s">
        <v>37</v>
      </c>
      <c r="I266" s="20">
        <v>345</v>
      </c>
      <c r="J266" s="20">
        <v>340</v>
      </c>
      <c r="K266" s="20">
        <f>J266-I266</f>
        <v>-5</v>
      </c>
    </row>
    <row r="267" spans="1:11" x14ac:dyDescent="0.25">
      <c r="A267" s="21">
        <v>2</v>
      </c>
      <c r="B267" s="21" t="s">
        <v>211</v>
      </c>
      <c r="C267" s="22">
        <v>359655272498633</v>
      </c>
      <c r="D267" s="21">
        <v>128</v>
      </c>
      <c r="E267" s="21" t="s">
        <v>56</v>
      </c>
      <c r="F267" s="21"/>
      <c r="G267" s="21" t="s">
        <v>245</v>
      </c>
      <c r="H267" s="23" t="s">
        <v>37</v>
      </c>
      <c r="I267" s="20">
        <v>345</v>
      </c>
      <c r="J267" s="20">
        <v>340</v>
      </c>
      <c r="K267" s="20">
        <f t="shared" ref="K267:K290" si="7">J267-I267</f>
        <v>-5</v>
      </c>
    </row>
    <row r="268" spans="1:11" x14ac:dyDescent="0.25">
      <c r="A268" s="21">
        <v>3</v>
      </c>
      <c r="B268" s="21" t="s">
        <v>211</v>
      </c>
      <c r="C268" s="22">
        <v>357585653018936</v>
      </c>
      <c r="D268" s="21">
        <v>128</v>
      </c>
      <c r="E268" s="21" t="s">
        <v>223</v>
      </c>
      <c r="F268" s="21"/>
      <c r="G268" s="21" t="s">
        <v>245</v>
      </c>
      <c r="H268" s="23" t="s">
        <v>37</v>
      </c>
      <c r="I268" s="20">
        <v>345</v>
      </c>
      <c r="J268" s="20">
        <v>340</v>
      </c>
      <c r="K268" s="20">
        <f t="shared" si="7"/>
        <v>-5</v>
      </c>
    </row>
    <row r="269" spans="1:11" x14ac:dyDescent="0.25">
      <c r="A269" s="21">
        <v>4</v>
      </c>
      <c r="B269" s="21" t="s">
        <v>212</v>
      </c>
      <c r="C269" s="22">
        <v>357585653199041</v>
      </c>
      <c r="D269" s="21">
        <v>128</v>
      </c>
      <c r="E269" s="21" t="s">
        <v>223</v>
      </c>
      <c r="F269" s="21"/>
      <c r="G269" s="21" t="s">
        <v>245</v>
      </c>
      <c r="H269" s="23" t="s">
        <v>37</v>
      </c>
      <c r="I269" s="20">
        <v>345</v>
      </c>
      <c r="J269" s="20">
        <v>340</v>
      </c>
      <c r="K269" s="20">
        <f t="shared" si="7"/>
        <v>-5</v>
      </c>
    </row>
    <row r="270" spans="1:11" x14ac:dyDescent="0.25">
      <c r="A270" s="21">
        <v>5</v>
      </c>
      <c r="B270" s="21" t="s">
        <v>211</v>
      </c>
      <c r="C270" s="22">
        <v>350094263887134</v>
      </c>
      <c r="D270" s="21">
        <v>128</v>
      </c>
      <c r="E270" s="21" t="s">
        <v>94</v>
      </c>
      <c r="F270" s="21"/>
      <c r="G270" s="21" t="s">
        <v>210</v>
      </c>
      <c r="H270" s="23" t="s">
        <v>37</v>
      </c>
      <c r="I270" s="20">
        <v>345</v>
      </c>
      <c r="J270" s="20">
        <v>340</v>
      </c>
      <c r="K270" s="20">
        <f t="shared" si="7"/>
        <v>-5</v>
      </c>
    </row>
    <row r="271" spans="1:11" x14ac:dyDescent="0.25">
      <c r="A271" s="21">
        <v>6</v>
      </c>
      <c r="B271" s="21" t="s">
        <v>212</v>
      </c>
      <c r="C271" s="22">
        <v>351159023232019</v>
      </c>
      <c r="D271" s="21">
        <v>128</v>
      </c>
      <c r="E271" s="21" t="s">
        <v>223</v>
      </c>
      <c r="F271" s="21"/>
      <c r="G271" s="21" t="s">
        <v>210</v>
      </c>
      <c r="H271" s="23" t="s">
        <v>37</v>
      </c>
      <c r="I271" s="20">
        <v>345</v>
      </c>
      <c r="J271" s="20">
        <v>340</v>
      </c>
      <c r="K271" s="20">
        <f t="shared" si="7"/>
        <v>-5</v>
      </c>
    </row>
    <row r="272" spans="1:11" x14ac:dyDescent="0.25">
      <c r="A272" s="21">
        <v>7</v>
      </c>
      <c r="B272" s="21" t="s">
        <v>213</v>
      </c>
      <c r="C272" s="22" t="s">
        <v>227</v>
      </c>
      <c r="D272" s="21">
        <v>512</v>
      </c>
      <c r="E272" s="21" t="s">
        <v>48</v>
      </c>
      <c r="F272" s="21"/>
      <c r="G272" s="21" t="s">
        <v>42</v>
      </c>
      <c r="H272" s="23" t="s">
        <v>37</v>
      </c>
      <c r="I272" s="20">
        <v>1375</v>
      </c>
      <c r="J272" s="20">
        <v>1341</v>
      </c>
      <c r="K272" s="20">
        <f t="shared" si="7"/>
        <v>-34</v>
      </c>
    </row>
    <row r="273" spans="1:11" x14ac:dyDescent="0.25">
      <c r="A273" s="21">
        <v>8</v>
      </c>
      <c r="B273" s="21" t="s">
        <v>214</v>
      </c>
      <c r="C273" s="22" t="s">
        <v>228</v>
      </c>
      <c r="D273" s="21">
        <v>512</v>
      </c>
      <c r="E273" s="21" t="s">
        <v>48</v>
      </c>
      <c r="F273" s="21"/>
      <c r="G273" s="21" t="s">
        <v>42</v>
      </c>
      <c r="H273" s="23" t="s">
        <v>37</v>
      </c>
      <c r="I273" s="20">
        <v>1375</v>
      </c>
      <c r="J273" s="20">
        <v>1341</v>
      </c>
      <c r="K273" s="20">
        <f t="shared" si="7"/>
        <v>-34</v>
      </c>
    </row>
    <row r="274" spans="1:11" x14ac:dyDescent="0.25">
      <c r="A274" s="21">
        <v>9</v>
      </c>
      <c r="B274" s="21" t="s">
        <v>214</v>
      </c>
      <c r="C274" s="22" t="s">
        <v>229</v>
      </c>
      <c r="D274" s="21">
        <v>512</v>
      </c>
      <c r="E274" s="21" t="s">
        <v>48</v>
      </c>
      <c r="F274" s="21"/>
      <c r="G274" s="21" t="s">
        <v>42</v>
      </c>
      <c r="H274" s="23" t="s">
        <v>37</v>
      </c>
      <c r="I274" s="20">
        <v>1375</v>
      </c>
      <c r="J274" s="20">
        <v>1341</v>
      </c>
      <c r="K274" s="20">
        <f t="shared" si="7"/>
        <v>-34</v>
      </c>
    </row>
    <row r="275" spans="1:11" x14ac:dyDescent="0.25">
      <c r="A275" s="21">
        <v>10</v>
      </c>
      <c r="B275" s="21" t="s">
        <v>215</v>
      </c>
      <c r="C275" s="22" t="s">
        <v>230</v>
      </c>
      <c r="D275" s="21">
        <v>128</v>
      </c>
      <c r="E275" s="21" t="s">
        <v>224</v>
      </c>
      <c r="F275" s="21"/>
      <c r="G275" s="21" t="s">
        <v>42</v>
      </c>
      <c r="H275" s="23" t="s">
        <v>37</v>
      </c>
      <c r="I275" s="20">
        <v>225</v>
      </c>
      <c r="J275" s="20">
        <v>220</v>
      </c>
      <c r="K275" s="20">
        <f t="shared" si="7"/>
        <v>-5</v>
      </c>
    </row>
    <row r="276" spans="1:11" x14ac:dyDescent="0.25">
      <c r="A276" s="21">
        <v>11</v>
      </c>
      <c r="B276" s="21" t="s">
        <v>215</v>
      </c>
      <c r="C276" s="22" t="s">
        <v>231</v>
      </c>
      <c r="D276" s="21">
        <v>128</v>
      </c>
      <c r="E276" s="21" t="s">
        <v>224</v>
      </c>
      <c r="F276" s="21"/>
      <c r="G276" s="21" t="s">
        <v>42</v>
      </c>
      <c r="H276" s="23" t="s">
        <v>37</v>
      </c>
      <c r="I276" s="20">
        <v>225</v>
      </c>
      <c r="J276" s="20">
        <v>220</v>
      </c>
      <c r="K276" s="20">
        <f t="shared" si="7"/>
        <v>-5</v>
      </c>
    </row>
    <row r="277" spans="1:11" x14ac:dyDescent="0.25">
      <c r="A277" s="21">
        <v>12</v>
      </c>
      <c r="B277" s="21" t="s">
        <v>215</v>
      </c>
      <c r="C277" s="22" t="s">
        <v>232</v>
      </c>
      <c r="D277" s="21">
        <v>128</v>
      </c>
      <c r="E277" s="21" t="s">
        <v>224</v>
      </c>
      <c r="F277" s="21"/>
      <c r="G277" s="21" t="s">
        <v>42</v>
      </c>
      <c r="H277" s="23" t="s">
        <v>37</v>
      </c>
      <c r="I277" s="20">
        <v>225</v>
      </c>
      <c r="J277" s="20">
        <v>220</v>
      </c>
      <c r="K277" s="20">
        <f t="shared" si="7"/>
        <v>-5</v>
      </c>
    </row>
    <row r="278" spans="1:11" x14ac:dyDescent="0.25">
      <c r="A278" s="21">
        <v>13</v>
      </c>
      <c r="B278" s="21" t="s">
        <v>216</v>
      </c>
      <c r="C278" s="22">
        <v>358911631164577</v>
      </c>
      <c r="D278" s="21" t="s">
        <v>48</v>
      </c>
      <c r="E278" s="21" t="s">
        <v>34</v>
      </c>
      <c r="F278" s="21"/>
      <c r="G278" s="21" t="s">
        <v>210</v>
      </c>
      <c r="H278" s="23" t="s">
        <v>57</v>
      </c>
      <c r="I278" s="20">
        <v>300</v>
      </c>
      <c r="J278" s="20">
        <v>290</v>
      </c>
      <c r="K278" s="20">
        <f t="shared" si="7"/>
        <v>-10</v>
      </c>
    </row>
    <row r="279" spans="1:11" x14ac:dyDescent="0.25">
      <c r="A279" s="21">
        <v>14</v>
      </c>
      <c r="B279" s="21" t="s">
        <v>216</v>
      </c>
      <c r="C279" s="22" t="s">
        <v>233</v>
      </c>
      <c r="D279" s="21" t="s">
        <v>48</v>
      </c>
      <c r="E279" s="21" t="s">
        <v>225</v>
      </c>
      <c r="F279" s="21"/>
      <c r="G279" s="21" t="s">
        <v>42</v>
      </c>
      <c r="H279" s="23" t="s">
        <v>37</v>
      </c>
      <c r="I279" s="20">
        <v>300</v>
      </c>
      <c r="J279" s="20">
        <v>290</v>
      </c>
      <c r="K279" s="20">
        <f t="shared" si="7"/>
        <v>-10</v>
      </c>
    </row>
    <row r="280" spans="1:11" x14ac:dyDescent="0.25">
      <c r="A280" s="21">
        <v>15</v>
      </c>
      <c r="B280" s="21" t="s">
        <v>216</v>
      </c>
      <c r="C280" s="22" t="s">
        <v>234</v>
      </c>
      <c r="D280" s="21" t="s">
        <v>48</v>
      </c>
      <c r="E280" s="21" t="s">
        <v>225</v>
      </c>
      <c r="F280" s="21"/>
      <c r="G280" s="21" t="s">
        <v>42</v>
      </c>
      <c r="H280" s="23" t="s">
        <v>37</v>
      </c>
      <c r="I280" s="20">
        <v>300</v>
      </c>
      <c r="J280" s="20">
        <v>290</v>
      </c>
      <c r="K280" s="20">
        <f t="shared" si="7"/>
        <v>-10</v>
      </c>
    </row>
    <row r="281" spans="1:11" x14ac:dyDescent="0.25">
      <c r="A281" s="21">
        <v>16</v>
      </c>
      <c r="B281" s="21" t="s">
        <v>217</v>
      </c>
      <c r="C281" s="22" t="s">
        <v>235</v>
      </c>
      <c r="D281" s="21" t="s">
        <v>48</v>
      </c>
      <c r="E281" s="21" t="s">
        <v>34</v>
      </c>
      <c r="F281" s="21"/>
      <c r="G281" s="21" t="s">
        <v>42</v>
      </c>
      <c r="H281" s="23" t="s">
        <v>37</v>
      </c>
      <c r="I281" s="20">
        <v>360</v>
      </c>
      <c r="J281" s="20">
        <v>320</v>
      </c>
      <c r="K281" s="20">
        <f t="shared" si="7"/>
        <v>-40</v>
      </c>
    </row>
    <row r="282" spans="1:11" x14ac:dyDescent="0.25">
      <c r="A282" s="21">
        <v>17</v>
      </c>
      <c r="B282" s="21" t="s">
        <v>218</v>
      </c>
      <c r="C282" s="22" t="s">
        <v>236</v>
      </c>
      <c r="D282" s="21" t="s">
        <v>48</v>
      </c>
      <c r="E282" s="21" t="s">
        <v>91</v>
      </c>
      <c r="F282" s="21"/>
      <c r="G282" s="21" t="s">
        <v>42</v>
      </c>
      <c r="H282" s="23" t="s">
        <v>37</v>
      </c>
      <c r="I282" s="20">
        <v>225</v>
      </c>
      <c r="J282" s="20">
        <v>210</v>
      </c>
      <c r="K282" s="20">
        <f t="shared" si="7"/>
        <v>-15</v>
      </c>
    </row>
    <row r="283" spans="1:11" x14ac:dyDescent="0.25">
      <c r="A283" s="21">
        <v>18</v>
      </c>
      <c r="B283" s="21" t="s">
        <v>218</v>
      </c>
      <c r="C283" s="22" t="s">
        <v>237</v>
      </c>
      <c r="D283" s="21" t="s">
        <v>48</v>
      </c>
      <c r="E283" s="21" t="s">
        <v>91</v>
      </c>
      <c r="F283" s="21"/>
      <c r="G283" s="21" t="s">
        <v>42</v>
      </c>
      <c r="H283" s="23" t="s">
        <v>37</v>
      </c>
      <c r="I283" s="20">
        <v>225</v>
      </c>
      <c r="J283" s="20">
        <v>210</v>
      </c>
      <c r="K283" s="20">
        <f t="shared" si="7"/>
        <v>-15</v>
      </c>
    </row>
    <row r="284" spans="1:11" x14ac:dyDescent="0.25">
      <c r="A284" s="21">
        <v>19</v>
      </c>
      <c r="B284" s="21" t="s">
        <v>218</v>
      </c>
      <c r="C284" s="22" t="s">
        <v>238</v>
      </c>
      <c r="D284" s="21" t="s">
        <v>48</v>
      </c>
      <c r="E284" s="21" t="s">
        <v>91</v>
      </c>
      <c r="F284" s="21"/>
      <c r="G284" s="21" t="s">
        <v>42</v>
      </c>
      <c r="H284" s="23" t="s">
        <v>37</v>
      </c>
      <c r="I284" s="20">
        <v>225</v>
      </c>
      <c r="J284" s="20">
        <v>210</v>
      </c>
      <c r="K284" s="20">
        <f t="shared" si="7"/>
        <v>-15</v>
      </c>
    </row>
    <row r="285" spans="1:11" x14ac:dyDescent="0.25">
      <c r="A285" s="21">
        <v>20</v>
      </c>
      <c r="B285" s="21" t="s">
        <v>218</v>
      </c>
      <c r="C285" s="22" t="s">
        <v>239</v>
      </c>
      <c r="D285" s="21" t="s">
        <v>48</v>
      </c>
      <c r="E285" s="21" t="s">
        <v>91</v>
      </c>
      <c r="F285" s="21"/>
      <c r="G285" s="21" t="s">
        <v>42</v>
      </c>
      <c r="H285" s="23" t="s">
        <v>37</v>
      </c>
      <c r="I285" s="20">
        <v>225</v>
      </c>
      <c r="J285" s="20">
        <v>210</v>
      </c>
      <c r="K285" s="20">
        <f t="shared" si="7"/>
        <v>-15</v>
      </c>
    </row>
    <row r="286" spans="1:11" x14ac:dyDescent="0.25">
      <c r="A286" s="21">
        <v>21</v>
      </c>
      <c r="B286" s="21" t="s">
        <v>218</v>
      </c>
      <c r="C286" s="22" t="s">
        <v>240</v>
      </c>
      <c r="D286" s="21" t="s">
        <v>48</v>
      </c>
      <c r="E286" s="21" t="s">
        <v>91</v>
      </c>
      <c r="F286" s="21"/>
      <c r="G286" s="21" t="s">
        <v>42</v>
      </c>
      <c r="H286" s="23" t="s">
        <v>37</v>
      </c>
      <c r="I286" s="20">
        <v>225</v>
      </c>
      <c r="J286" s="20">
        <v>210</v>
      </c>
      <c r="K286" s="20">
        <f t="shared" si="7"/>
        <v>-15</v>
      </c>
    </row>
    <row r="287" spans="1:11" x14ac:dyDescent="0.25">
      <c r="A287" s="21">
        <v>22</v>
      </c>
      <c r="B287" s="21" t="s">
        <v>218</v>
      </c>
      <c r="C287" s="22" t="s">
        <v>241</v>
      </c>
      <c r="D287" s="21" t="s">
        <v>48</v>
      </c>
      <c r="E287" s="21" t="s">
        <v>226</v>
      </c>
      <c r="F287" s="21"/>
      <c r="G287" s="21" t="s">
        <v>42</v>
      </c>
      <c r="H287" s="23" t="s">
        <v>37</v>
      </c>
      <c r="I287" s="20">
        <v>225</v>
      </c>
      <c r="J287" s="20">
        <v>210</v>
      </c>
      <c r="K287" s="20">
        <f t="shared" si="7"/>
        <v>-15</v>
      </c>
    </row>
    <row r="288" spans="1:11" x14ac:dyDescent="0.25">
      <c r="A288" s="21">
        <v>23</v>
      </c>
      <c r="B288" s="21" t="s">
        <v>219</v>
      </c>
      <c r="C288" s="22" t="s">
        <v>242</v>
      </c>
      <c r="D288" s="21" t="s">
        <v>222</v>
      </c>
      <c r="E288" s="21" t="s">
        <v>34</v>
      </c>
      <c r="F288" s="21"/>
      <c r="G288" s="21" t="s">
        <v>42</v>
      </c>
      <c r="H288" s="23" t="s">
        <v>37</v>
      </c>
      <c r="I288" s="20">
        <v>320</v>
      </c>
      <c r="J288" s="20">
        <v>290</v>
      </c>
      <c r="K288" s="20">
        <f t="shared" si="7"/>
        <v>-30</v>
      </c>
    </row>
    <row r="289" spans="1:11" x14ac:dyDescent="0.25">
      <c r="A289" s="21">
        <v>24</v>
      </c>
      <c r="B289" s="21" t="s">
        <v>220</v>
      </c>
      <c r="C289" s="22" t="s">
        <v>243</v>
      </c>
      <c r="D289" s="21">
        <v>512</v>
      </c>
      <c r="E289" s="21"/>
      <c r="F289" s="21"/>
      <c r="G289" s="21" t="s">
        <v>42</v>
      </c>
      <c r="H289" s="23" t="s">
        <v>37</v>
      </c>
      <c r="I289" s="20">
        <v>1310</v>
      </c>
      <c r="J289" s="20">
        <v>1130</v>
      </c>
      <c r="K289" s="20">
        <f t="shared" si="7"/>
        <v>-180</v>
      </c>
    </row>
    <row r="290" spans="1:11" x14ac:dyDescent="0.25">
      <c r="A290" s="21">
        <v>25</v>
      </c>
      <c r="B290" s="21" t="s">
        <v>221</v>
      </c>
      <c r="C290" s="22" t="s">
        <v>244</v>
      </c>
      <c r="D290" s="21">
        <v>512</v>
      </c>
      <c r="E290" s="21"/>
      <c r="F290" s="21"/>
      <c r="G290" s="21" t="s">
        <v>42</v>
      </c>
      <c r="H290" s="23" t="s">
        <v>37</v>
      </c>
      <c r="I290" s="20">
        <v>1125</v>
      </c>
      <c r="J290" s="20">
        <v>1105</v>
      </c>
      <c r="K290" s="20">
        <f t="shared" si="7"/>
        <v>-20</v>
      </c>
    </row>
    <row r="291" spans="1:11" ht="18.75" x14ac:dyDescent="0.3">
      <c r="I291" s="13">
        <f>SUM(I266:I290)</f>
        <v>12235</v>
      </c>
      <c r="J291" s="13">
        <f>SUM(J266:J290)</f>
        <v>11698</v>
      </c>
      <c r="K291" s="14">
        <f>SUM(K266:K290)</f>
        <v>-537</v>
      </c>
    </row>
    <row r="293" spans="1:11" ht="15.75" x14ac:dyDescent="0.25">
      <c r="B293" s="15" t="s">
        <v>18</v>
      </c>
      <c r="C293" s="16">
        <v>34065</v>
      </c>
    </row>
    <row r="294" spans="1:11" ht="15.75" x14ac:dyDescent="0.25">
      <c r="B294" s="15" t="s">
        <v>72</v>
      </c>
      <c r="C294" s="16">
        <v>537</v>
      </c>
    </row>
    <row r="295" spans="1:11" ht="15.75" x14ac:dyDescent="0.25">
      <c r="B295" s="15" t="s">
        <v>73</v>
      </c>
      <c r="C295" s="16">
        <f>C293-C294</f>
        <v>33528</v>
      </c>
    </row>
    <row r="306" spans="4:4" x14ac:dyDescent="0.25">
      <c r="D306" s="26"/>
    </row>
  </sheetData>
  <conditionalFormatting sqref="C1">
    <cfRule type="duplicateValues" dxfId="54" priority="63"/>
    <cfRule type="duplicateValues" dxfId="53" priority="61"/>
    <cfRule type="duplicateValues" dxfId="52" priority="62"/>
  </conditionalFormatting>
  <conditionalFormatting sqref="C2:C29">
    <cfRule type="duplicateValues" dxfId="51" priority="60"/>
    <cfRule type="duplicateValues" dxfId="50" priority="59"/>
    <cfRule type="duplicateValues" dxfId="49" priority="58"/>
  </conditionalFormatting>
  <conditionalFormatting sqref="C38">
    <cfRule type="duplicateValues" dxfId="48" priority="56"/>
    <cfRule type="duplicateValues" dxfId="47" priority="55"/>
    <cfRule type="duplicateValues" dxfId="46" priority="57"/>
  </conditionalFormatting>
  <conditionalFormatting sqref="C39:C74">
    <cfRule type="duplicateValues" dxfId="45" priority="54"/>
  </conditionalFormatting>
  <conditionalFormatting sqref="C82">
    <cfRule type="duplicateValues" dxfId="44" priority="53"/>
    <cfRule type="duplicateValues" dxfId="43" priority="52"/>
    <cfRule type="duplicateValues" dxfId="42" priority="51"/>
  </conditionalFormatting>
  <conditionalFormatting sqref="C104">
    <cfRule type="duplicateValues" dxfId="41" priority="33"/>
    <cfRule type="duplicateValues" dxfId="40" priority="34"/>
    <cfRule type="duplicateValues" dxfId="39" priority="35"/>
  </conditionalFormatting>
  <conditionalFormatting sqref="C105">
    <cfRule type="duplicateValues" dxfId="38" priority="50"/>
  </conditionalFormatting>
  <conditionalFormatting sqref="C105:C161">
    <cfRule type="duplicateValues" dxfId="37" priority="48"/>
  </conditionalFormatting>
  <conditionalFormatting sqref="C106:C108">
    <cfRule type="duplicateValues" dxfId="36" priority="49"/>
  </conditionalFormatting>
  <conditionalFormatting sqref="C109">
    <cfRule type="duplicateValues" dxfId="35" priority="47"/>
  </conditionalFormatting>
  <conditionalFormatting sqref="C110">
    <cfRule type="duplicateValues" dxfId="34" priority="46"/>
  </conditionalFormatting>
  <conditionalFormatting sqref="C111:C113">
    <cfRule type="duplicateValues" dxfId="33" priority="45"/>
  </conditionalFormatting>
  <conditionalFormatting sqref="C114:C120">
    <cfRule type="duplicateValues" dxfId="32" priority="44"/>
  </conditionalFormatting>
  <conditionalFormatting sqref="C121">
    <cfRule type="duplicateValues" dxfId="31" priority="43"/>
  </conditionalFormatting>
  <conditionalFormatting sqref="C122:C124">
    <cfRule type="duplicateValues" dxfId="30" priority="42"/>
  </conditionalFormatting>
  <conditionalFormatting sqref="C125:C131">
    <cfRule type="duplicateValues" dxfId="29" priority="41"/>
  </conditionalFormatting>
  <conditionalFormatting sqref="C132:C139">
    <cfRule type="duplicateValues" dxfId="28" priority="40"/>
  </conditionalFormatting>
  <conditionalFormatting sqref="C140:C149">
    <cfRule type="duplicateValues" dxfId="27" priority="39"/>
  </conditionalFormatting>
  <conditionalFormatting sqref="C150:C155">
    <cfRule type="duplicateValues" dxfId="26" priority="38"/>
  </conditionalFormatting>
  <conditionalFormatting sqref="C156">
    <cfRule type="duplicateValues" dxfId="25" priority="37"/>
  </conditionalFormatting>
  <conditionalFormatting sqref="C157:C161">
    <cfRule type="duplicateValues" dxfId="24" priority="36"/>
  </conditionalFormatting>
  <conditionalFormatting sqref="C171">
    <cfRule type="duplicateValues" dxfId="23" priority="30"/>
    <cfRule type="duplicateValues" dxfId="22" priority="31"/>
    <cfRule type="duplicateValues" dxfId="21" priority="29"/>
  </conditionalFormatting>
  <conditionalFormatting sqref="C189">
    <cfRule type="duplicateValues" dxfId="20" priority="28"/>
    <cfRule type="duplicateValues" dxfId="19" priority="27"/>
    <cfRule type="duplicateValues" dxfId="18" priority="26"/>
  </conditionalFormatting>
  <conditionalFormatting sqref="C190:C196">
    <cfRule type="duplicateValues" dxfId="17" priority="25"/>
    <cfRule type="duplicateValues" dxfId="16" priority="24"/>
  </conditionalFormatting>
  <conditionalFormatting sqref="C204">
    <cfRule type="duplicateValues" dxfId="15" priority="23"/>
    <cfRule type="duplicateValues" dxfId="14" priority="22"/>
    <cfRule type="duplicateValues" dxfId="13" priority="21"/>
  </conditionalFormatting>
  <conditionalFormatting sqref="C205:C243">
    <cfRule type="duplicateValues" dxfId="12" priority="15"/>
    <cfRule type="duplicateValues" dxfId="11" priority="14"/>
  </conditionalFormatting>
  <conditionalFormatting sqref="C251">
    <cfRule type="duplicateValues" dxfId="10" priority="13"/>
    <cfRule type="duplicateValues" dxfId="9" priority="12"/>
    <cfRule type="duplicateValues" dxfId="8" priority="11"/>
  </conditionalFormatting>
  <conditionalFormatting sqref="C252:C257">
    <cfRule type="duplicateValues" dxfId="7" priority="7"/>
    <cfRule type="duplicateValues" dxfId="6" priority="8"/>
  </conditionalFormatting>
  <conditionalFormatting sqref="C265">
    <cfRule type="duplicateValues" dxfId="5" priority="6"/>
    <cfRule type="duplicateValues" dxfId="4" priority="5"/>
    <cfRule type="duplicateValues" dxfId="3" priority="4"/>
  </conditionalFormatting>
  <conditionalFormatting sqref="C266:C290">
    <cfRule type="duplicateValues" dxfId="2" priority="1"/>
    <cfRule type="duplicateValues" dxfId="1" priority="2"/>
  </conditionalFormatting>
  <conditionalFormatting sqref="E172:E181">
    <cfRule type="duplicateValues" dxfId="0" priority="3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Invoice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2026-05-09T13:17:38Z</dcterms:created>
  <dcterms:modified xsi:type="dcterms:W3CDTF">2026-06-06T17:39:19Z</dcterms:modified>
</cp:coreProperties>
</file>