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27EF6F6A-0B13-4437-A2F6-51BA5E3451B5}" xr6:coauthVersionLast="47" xr6:coauthVersionMax="47" xr10:uidLastSave="{00000000-0000-0000-0000-000000000000}"/>
  <bookViews>
    <workbookView xWindow="-120" yWindow="-120" windowWidth="20730" windowHeight="11040" xr2:uid="{83F2204F-03EF-41FA-9B45-00A4F2C0D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J8" i="1"/>
  <c r="K8" i="1"/>
  <c r="L8" i="1" l="1"/>
</calcChain>
</file>

<file path=xl/sharedStrings.xml><?xml version="1.0" encoding="utf-8"?>
<sst xmlns="http://schemas.openxmlformats.org/spreadsheetml/2006/main" count="48" uniqueCount="20">
  <si>
    <t>iPhone</t>
  </si>
  <si>
    <t>14 Pro</t>
  </si>
  <si>
    <t>BLACK</t>
  </si>
  <si>
    <t>BOX</t>
  </si>
  <si>
    <t>NON ACTIVE</t>
  </si>
  <si>
    <t>UNLO…</t>
  </si>
  <si>
    <t>14 Pro Max</t>
  </si>
  <si>
    <t>SILVER</t>
  </si>
  <si>
    <t>Brand</t>
  </si>
  <si>
    <t>Model</t>
  </si>
  <si>
    <t>Storage</t>
  </si>
  <si>
    <t>Coloue</t>
  </si>
  <si>
    <t>IMEI</t>
  </si>
  <si>
    <t>BOX/HOS</t>
  </si>
  <si>
    <t>Status</t>
  </si>
  <si>
    <t>Carrier</t>
  </si>
  <si>
    <t>USD Prices</t>
  </si>
  <si>
    <t>Last Purchasing Prices</t>
  </si>
  <si>
    <t>Sr No</t>
  </si>
  <si>
    <t>Differend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</si>
</sst>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USD]\ * #,##0.00_-;\-[$USD]\ * #,##0.00_-;_-[$USD]\ * &quot;-&quot;??_-;_-@_-"/>
  </numFmts>
  <fonts count="5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9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shrinkToFit="1"/>
    </xf>
    <xf numFmtId="165" fontId="2" fillId="3" borderId="1" xfId="0" applyNumberFormat="1" applyFont="1" applyFill="1" applyBorder="1" applyAlignment="1">
      <alignment horizontal="center" vertical="center" shrinkToFit="1"/>
    </xf>
    <xf numFmtId="165" fontId="0" fillId="3" borderId="1" xfId="0" applyNumberFormat="1" applyFill="1" applyBorder="1" applyAlignment="1">
      <alignment horizontal="center" vertical="center"/>
    </xf>
    <xf numFmtId="165" fontId="4" fillId="2" borderId="1" xfId="0" applyNumberFormat="1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4E52-9329-4D1C-85E0-7B20A8BF7761}">
  <dimension ref="A1:L8"/>
  <sheetViews>
    <sheetView tabSelected="1" workbookViewId="0">
      <selection activeCell="G10" sqref="G10"/>
    </sheetView>
  </sheetViews>
  <sheetFormatPr defaultRowHeight="15" x14ac:dyDescent="0.25"/>
  <cols>
    <col min="3" max="3" width="17.42578125" customWidth="1"/>
    <col min="6" max="6" width="18.42578125" bestFit="1" customWidth="1"/>
    <col min="8" max="8" width="16.28515625" customWidth="1"/>
    <col min="9" max="9" width="7.42578125" bestFit="1" customWidth="1"/>
    <col min="10" max="10" width="18.5703125" bestFit="1" customWidth="1"/>
    <col min="11" max="11" width="21.140625" bestFit="1" customWidth="1"/>
    <col min="12" max="12" width="17.7109375" bestFit="1" customWidth="1"/>
  </cols>
  <sheetData>
    <row r="1" spans="1:12" ht="15.75" x14ac:dyDescent="0.25">
      <c r="A1" s="1" t="s">
        <v>18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19</v>
      </c>
    </row>
    <row r="2" spans="1:12" x14ac:dyDescent="0.25">
      <c r="A2" s="2">
        <v>1</v>
      </c>
      <c r="B2" s="2" t="s">
        <v>0</v>
      </c>
      <c r="C2" s="2" t="s">
        <v>1</v>
      </c>
      <c r="D2" s="3">
        <v>128</v>
      </c>
      <c r="E2" s="2" t="s">
        <v>2</v>
      </c>
      <c r="F2" s="3">
        <v>353501806982914</v>
      </c>
      <c r="G2" s="2" t="s">
        <v>3</v>
      </c>
      <c r="H2" s="2" t="s">
        <v>4</v>
      </c>
      <c r="I2" s="2" t="s">
        <v>5</v>
      </c>
      <c r="J2" s="4">
        <v>620</v>
      </c>
      <c r="K2" s="5">
        <v>570</v>
      </c>
      <c r="L2" s="5">
        <f>K2-J2</f>
        <v>-50</v>
      </c>
    </row>
    <row r="3" spans="1:12" x14ac:dyDescent="0.25">
      <c r="A3" s="2">
        <v>2</v>
      </c>
      <c r="B3" s="2" t="s">
        <v>0</v>
      </c>
      <c r="C3" s="2" t="s">
        <v>1</v>
      </c>
      <c r="D3" s="3">
        <v>128</v>
      </c>
      <c r="E3" s="2" t="s">
        <v>2</v>
      </c>
      <c r="F3" s="3">
        <v>350923386872948</v>
      </c>
      <c r="G3" s="2" t="s">
        <v>3</v>
      </c>
      <c r="H3" s="2" t="s">
        <v>4</v>
      </c>
      <c r="I3" s="2" t="s">
        <v>5</v>
      </c>
      <c r="J3" s="4">
        <v>620</v>
      </c>
      <c r="K3" s="5">
        <v>570</v>
      </c>
      <c r="L3" s="5">
        <f t="shared" ref="L3:L7" si="0">K3-J3</f>
        <v>-50</v>
      </c>
    </row>
    <row r="4" spans="1:12" x14ac:dyDescent="0.25">
      <c r="A4" s="2">
        <v>3</v>
      </c>
      <c r="B4" s="2" t="s">
        <v>0</v>
      </c>
      <c r="C4" s="2" t="s">
        <v>1</v>
      </c>
      <c r="D4" s="3">
        <v>256</v>
      </c>
      <c r="E4" s="2" t="s">
        <v>2</v>
      </c>
      <c r="F4" s="3">
        <v>352130219598785</v>
      </c>
      <c r="G4" s="2" t="s">
        <v>3</v>
      </c>
      <c r="H4" s="2" t="s">
        <v>4</v>
      </c>
      <c r="I4" s="2" t="s">
        <v>5</v>
      </c>
      <c r="J4" s="4">
        <v>720</v>
      </c>
      <c r="K4" s="5">
        <v>600</v>
      </c>
      <c r="L4" s="5">
        <f t="shared" si="0"/>
        <v>-120</v>
      </c>
    </row>
    <row r="5" spans="1:12" ht="22.5" x14ac:dyDescent="0.25">
      <c r="A5" s="2">
        <v>4</v>
      </c>
      <c r="B5" s="2" t="s">
        <v>0</v>
      </c>
      <c r="C5" s="2" t="s">
        <v>6</v>
      </c>
      <c r="D5" s="3">
        <v>512</v>
      </c>
      <c r="E5" s="2" t="s">
        <v>7</v>
      </c>
      <c r="F5" s="3">
        <v>357828281944143</v>
      </c>
      <c r="G5" s="2" t="s">
        <v>3</v>
      </c>
      <c r="H5" s="2" t="s">
        <v>4</v>
      </c>
      <c r="I5" s="2" t="s">
        <v>5</v>
      </c>
      <c r="J5" s="4">
        <v>720</v>
      </c>
      <c r="K5" s="5">
        <v>650</v>
      </c>
      <c r="L5" s="5">
        <f t="shared" si="0"/>
        <v>-70</v>
      </c>
    </row>
    <row r="6" spans="1:12" ht="22.5" x14ac:dyDescent="0.25">
      <c r="A6" s="2">
        <v>5</v>
      </c>
      <c r="B6" s="2" t="s">
        <v>0</v>
      </c>
      <c r="C6" s="2" t="s">
        <v>6</v>
      </c>
      <c r="D6" s="3">
        <v>512</v>
      </c>
      <c r="E6" s="2" t="s">
        <v>7</v>
      </c>
      <c r="F6" s="3">
        <v>353360949986039</v>
      </c>
      <c r="G6" s="2" t="s">
        <v>3</v>
      </c>
      <c r="H6" s="2" t="s">
        <v>4</v>
      </c>
      <c r="I6" s="2" t="s">
        <v>5</v>
      </c>
      <c r="J6" s="4">
        <v>720</v>
      </c>
      <c r="K6" s="5">
        <v>650</v>
      </c>
      <c r="L6" s="5">
        <f t="shared" si="0"/>
        <v>-70</v>
      </c>
    </row>
    <row r="7" spans="1:12" ht="22.5" x14ac:dyDescent="0.25">
      <c r="A7" s="2">
        <v>6</v>
      </c>
      <c r="B7" s="2" t="s">
        <v>0</v>
      </c>
      <c r="C7" s="2" t="s">
        <v>6</v>
      </c>
      <c r="D7" s="3">
        <v>512</v>
      </c>
      <c r="E7" s="2" t="s">
        <v>7</v>
      </c>
      <c r="F7" s="3">
        <v>357828281694722</v>
      </c>
      <c r="G7" s="2" t="s">
        <v>3</v>
      </c>
      <c r="H7" s="2" t="s">
        <v>4</v>
      </c>
      <c r="I7" s="2" t="s">
        <v>5</v>
      </c>
      <c r="J7" s="4">
        <v>720</v>
      </c>
      <c r="K7" s="5">
        <v>650</v>
      </c>
      <c r="L7" s="5">
        <f t="shared" si="0"/>
        <v>-70</v>
      </c>
    </row>
    <row r="8" spans="1:12" ht="18.75" x14ac:dyDescent="0.3">
      <c r="J8" s="6">
        <f>SUM(J2:J7)</f>
        <v>4120</v>
      </c>
      <c r="K8" s="6">
        <f>SUM(K2:K7)</f>
        <v>3690</v>
      </c>
      <c r="L8" s="6">
        <f>SUM(L2:L7)</f>
        <v>-430</v>
      </c>
    </row>
  </sheetData>
  <conditionalFormatting sqref="F2:F7">
    <cfRule type="duplicateValues" dxfId="1" priority="2"/>
  </conditionalFormatting>
  <conditionalFormatting sqref="F2:F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2026-04-24T17:02:29Z</dcterms:created>
  <dcterms:modified xsi:type="dcterms:W3CDTF">2026-04-24T17:08:28Z</dcterms:modified>
</cp:coreProperties>
</file>