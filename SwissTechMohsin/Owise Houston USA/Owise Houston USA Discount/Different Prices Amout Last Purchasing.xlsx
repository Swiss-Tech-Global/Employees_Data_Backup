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 Discount/"/>
    </mc:Choice>
  </mc:AlternateContent>
  <xr:revisionPtr revIDLastSave="1" documentId="13_ncr:1_{9A070AE3-0627-4719-8DE2-35600AC909EB}" xr6:coauthVersionLast="47" xr6:coauthVersionMax="47" xr10:uidLastSave="{478C0C77-CF03-4C5A-9735-6776E3A7BF94}"/>
  <bookViews>
    <workbookView xWindow="-120" yWindow="-120" windowWidth="20730" windowHeight="11040" xr2:uid="{FA4817CC-EB36-448F-ADB0-3E83BE18C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I27" i="1"/>
  <c r="J27" i="1"/>
  <c r="H27" i="1"/>
</calcChain>
</file>

<file path=xl/sharedStrings.xml><?xml version="1.0" encoding="utf-8"?>
<sst xmlns="http://schemas.openxmlformats.org/spreadsheetml/2006/main" count="161" uniqueCount="57">
  <si>
    <t>Model</t>
  </si>
  <si>
    <t>Storage</t>
  </si>
  <si>
    <t>Colour</t>
  </si>
  <si>
    <t>IMEI</t>
  </si>
  <si>
    <t>iPad</t>
  </si>
  <si>
    <t>A16</t>
  </si>
  <si>
    <t>YELLOW</t>
  </si>
  <si>
    <t>BLUE</t>
  </si>
  <si>
    <t>PINK</t>
  </si>
  <si>
    <t>A16 5G</t>
  </si>
  <si>
    <t>Carrier</t>
  </si>
  <si>
    <t>USD Prices</t>
  </si>
  <si>
    <t>Last Purchasing</t>
  </si>
  <si>
    <t>Different Amount</t>
  </si>
  <si>
    <t>NON ACTIVE</t>
  </si>
  <si>
    <t>T-M</t>
  </si>
  <si>
    <t>UNLO…</t>
  </si>
  <si>
    <t>MacBook</t>
  </si>
  <si>
    <t>MDE04</t>
  </si>
  <si>
    <t>-</t>
  </si>
  <si>
    <t>SJ6P4RQG524</t>
  </si>
  <si>
    <t>MDE44</t>
  </si>
  <si>
    <t>SHJWX61F9JN</t>
  </si>
  <si>
    <t>SKHGJM6JRR6</t>
  </si>
  <si>
    <t>WIFI</t>
  </si>
  <si>
    <t>Meta</t>
  </si>
  <si>
    <t>Quest 3S</t>
  </si>
  <si>
    <t>WHITE</t>
  </si>
  <si>
    <t>3497BM1HC104FB</t>
  </si>
  <si>
    <t>3497BM1HC104P0</t>
  </si>
  <si>
    <t>3497BM1HC104NZ</t>
  </si>
  <si>
    <t>iWatch</t>
  </si>
  <si>
    <t>S11 42MM</t>
  </si>
  <si>
    <t>GRAY</t>
  </si>
  <si>
    <t>ROSE GOLD</t>
  </si>
  <si>
    <t>SG3P7X0195G</t>
  </si>
  <si>
    <t>SK3VWH23DXR</t>
  </si>
  <si>
    <t>S11 46MM</t>
  </si>
  <si>
    <t>SH0KWJ9G354</t>
  </si>
  <si>
    <t>ACTIVE</t>
  </si>
  <si>
    <t>SE3 44MM</t>
  </si>
  <si>
    <t>MIDNIGHT</t>
  </si>
  <si>
    <t>SHD4V96WL0J</t>
  </si>
  <si>
    <t>SJV476XR62J</t>
  </si>
  <si>
    <t>SL3X7PWQ43D</t>
  </si>
  <si>
    <t>SDNJ14HR2XJ</t>
  </si>
  <si>
    <t>SJRFN22CYWV</t>
  </si>
  <si>
    <t>STARLIGHT</t>
  </si>
  <si>
    <t>SJ4P007NG34</t>
  </si>
  <si>
    <t>Series 11 GPS</t>
  </si>
  <si>
    <t>--</t>
  </si>
  <si>
    <t>SK3Y49J4MNP</t>
  </si>
  <si>
    <t>Macbook</t>
  </si>
  <si>
    <t>MC6L</t>
  </si>
  <si>
    <t>SG1FV3VWL2W</t>
  </si>
  <si>
    <t>MW1M</t>
  </si>
  <si>
    <t>SGR7PTW594R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</si>
</sst>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name val="Verdana"/>
      <family val="2"/>
    </font>
    <font>
      <sz val="11"/>
      <color rgb="FF000000"/>
      <name val="Verdana"/>
      <family val="2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" fontId="0" fillId="0" borderId="0" xfId="0" applyNumberFormat="1"/>
    <xf numFmtId="0" fontId="2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center" vertical="top" wrapText="1"/>
    </xf>
    <xf numFmtId="164" fontId="3" fillId="3" borderId="2" xfId="0" applyNumberFormat="1" applyFont="1" applyFill="1" applyBorder="1" applyAlignment="1">
      <alignment horizontal="center" vertical="top" shrinkToFit="1"/>
    </xf>
    <xf numFmtId="164" fontId="3" fillId="3" borderId="3" xfId="0" applyNumberFormat="1" applyFont="1" applyFill="1" applyBorder="1" applyAlignment="1">
      <alignment horizontal="center" vertical="top" shrinkToFit="1"/>
    </xf>
    <xf numFmtId="2" fontId="0" fillId="3" borderId="0" xfId="0" applyNumberFormat="1" applyFill="1"/>
    <xf numFmtId="1" fontId="0" fillId="3" borderId="3" xfId="0" applyNumberForma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 shrinkToFit="1"/>
    </xf>
    <xf numFmtId="0" fontId="5" fillId="3" borderId="1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center" vertical="top" wrapText="1"/>
    </xf>
    <xf numFmtId="165" fontId="3" fillId="3" borderId="5" xfId="0" applyNumberFormat="1" applyFont="1" applyFill="1" applyBorder="1" applyAlignment="1">
      <alignment horizontal="center" vertical="top" shrinkToFit="1"/>
    </xf>
    <xf numFmtId="164" fontId="3" fillId="3" borderId="6" xfId="0" applyNumberFormat="1" applyFont="1" applyFill="1" applyBorder="1" applyAlignment="1">
      <alignment horizontal="center" vertical="top" shrinkToFi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165" fontId="3" fillId="3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5671-143E-40D6-AD13-00A06ABD6593}">
  <dimension ref="A1:K27"/>
  <sheetViews>
    <sheetView tabSelected="1" topLeftCell="A13" workbookViewId="0">
      <selection activeCell="C4" sqref="C4"/>
    </sheetView>
  </sheetViews>
  <sheetFormatPr defaultRowHeight="15" x14ac:dyDescent="0.25"/>
  <cols>
    <col min="1" max="1" width="24.5703125" customWidth="1"/>
    <col min="2" max="2" width="15.85546875" customWidth="1"/>
    <col min="3" max="3" width="8.140625" bestFit="1" customWidth="1"/>
    <col min="4" max="4" width="13.7109375" customWidth="1"/>
    <col min="5" max="5" width="23.140625" bestFit="1" customWidth="1"/>
    <col min="6" max="6" width="18.140625" customWidth="1"/>
    <col min="7" max="7" width="13.140625" customWidth="1"/>
    <col min="8" max="8" width="13.5703125" bestFit="1" customWidth="1"/>
    <col min="9" max="9" width="14.28515625" bestFit="1" customWidth="1"/>
    <col min="10" max="10" width="15" bestFit="1" customWidth="1"/>
  </cols>
  <sheetData>
    <row r="1" spans="1:1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10</v>
      </c>
      <c r="H1" s="1" t="s">
        <v>11</v>
      </c>
      <c r="I1" s="3" t="s">
        <v>12</v>
      </c>
      <c r="J1" s="3" t="s">
        <v>13</v>
      </c>
    </row>
    <row r="2" spans="1:11" ht="28.5" x14ac:dyDescent="0.25">
      <c r="A2" s="5" t="s">
        <v>4</v>
      </c>
      <c r="B2" s="5" t="s">
        <v>5</v>
      </c>
      <c r="C2" s="6">
        <v>128</v>
      </c>
      <c r="D2" s="7" t="s">
        <v>6</v>
      </c>
      <c r="E2" s="6">
        <v>357585653481910</v>
      </c>
      <c r="F2" s="7" t="s">
        <v>14</v>
      </c>
      <c r="G2" s="7" t="s">
        <v>15</v>
      </c>
      <c r="H2" s="8">
        <v>345</v>
      </c>
      <c r="I2" s="9">
        <v>340</v>
      </c>
      <c r="J2" s="9">
        <v>-5</v>
      </c>
      <c r="K2" s="10">
        <f>I2*3.58</f>
        <v>1217.2</v>
      </c>
    </row>
    <row r="3" spans="1:11" ht="28.5" x14ac:dyDescent="0.25">
      <c r="A3" s="5" t="s">
        <v>4</v>
      </c>
      <c r="B3" s="5" t="s">
        <v>5</v>
      </c>
      <c r="C3" s="6">
        <v>128</v>
      </c>
      <c r="D3" s="7" t="s">
        <v>7</v>
      </c>
      <c r="E3" s="6">
        <v>359655272498633</v>
      </c>
      <c r="F3" s="7" t="s">
        <v>14</v>
      </c>
      <c r="G3" s="7" t="s">
        <v>15</v>
      </c>
      <c r="H3" s="8">
        <v>345</v>
      </c>
      <c r="I3" s="9">
        <v>340</v>
      </c>
      <c r="J3" s="9">
        <v>-5</v>
      </c>
      <c r="K3" s="10">
        <f t="shared" ref="K3:K26" si="0">I3*3.58</f>
        <v>1217.2</v>
      </c>
    </row>
    <row r="4" spans="1:11" ht="28.5" x14ac:dyDescent="0.25">
      <c r="A4" s="5" t="s">
        <v>4</v>
      </c>
      <c r="B4" s="5" t="s">
        <v>5</v>
      </c>
      <c r="C4" s="6">
        <v>128</v>
      </c>
      <c r="D4" s="7" t="s">
        <v>8</v>
      </c>
      <c r="E4" s="6">
        <v>357585653018936</v>
      </c>
      <c r="F4" s="7" t="s">
        <v>14</v>
      </c>
      <c r="G4" s="7" t="s">
        <v>15</v>
      </c>
      <c r="H4" s="8">
        <v>345</v>
      </c>
      <c r="I4" s="9">
        <v>340</v>
      </c>
      <c r="J4" s="9">
        <v>-5</v>
      </c>
      <c r="K4" s="10">
        <f t="shared" si="0"/>
        <v>1217.2</v>
      </c>
    </row>
    <row r="5" spans="1:11" ht="28.5" x14ac:dyDescent="0.25">
      <c r="A5" s="5" t="s">
        <v>4</v>
      </c>
      <c r="B5" s="5" t="s">
        <v>9</v>
      </c>
      <c r="C5" s="6">
        <v>128</v>
      </c>
      <c r="D5" s="7" t="s">
        <v>8</v>
      </c>
      <c r="E5" s="6">
        <v>357585653199041</v>
      </c>
      <c r="F5" s="7" t="s">
        <v>14</v>
      </c>
      <c r="G5" s="7" t="s">
        <v>15</v>
      </c>
      <c r="H5" s="8">
        <v>345</v>
      </c>
      <c r="I5" s="9">
        <v>340</v>
      </c>
      <c r="J5" s="9">
        <v>-5</v>
      </c>
      <c r="K5" s="10">
        <f t="shared" si="0"/>
        <v>1217.2</v>
      </c>
    </row>
    <row r="6" spans="1:11" x14ac:dyDescent="0.25">
      <c r="A6" s="5" t="s">
        <v>4</v>
      </c>
      <c r="B6" s="5" t="s">
        <v>5</v>
      </c>
      <c r="C6" s="6">
        <v>128</v>
      </c>
      <c r="D6" s="7" t="s">
        <v>6</v>
      </c>
      <c r="E6" s="11">
        <v>350094263887134</v>
      </c>
      <c r="F6" s="7" t="s">
        <v>14</v>
      </c>
      <c r="G6" s="7" t="s">
        <v>16</v>
      </c>
      <c r="H6" s="8">
        <v>345</v>
      </c>
      <c r="I6" s="9">
        <v>340</v>
      </c>
      <c r="J6" s="9">
        <v>-5</v>
      </c>
      <c r="K6" s="10">
        <f t="shared" si="0"/>
        <v>1217.2</v>
      </c>
    </row>
    <row r="7" spans="1:11" x14ac:dyDescent="0.25">
      <c r="A7" s="5" t="s">
        <v>4</v>
      </c>
      <c r="B7" s="5" t="s">
        <v>9</v>
      </c>
      <c r="C7" s="6">
        <v>128</v>
      </c>
      <c r="D7" s="7" t="s">
        <v>8</v>
      </c>
      <c r="E7" s="6">
        <v>351159023232019</v>
      </c>
      <c r="F7" s="7" t="s">
        <v>14</v>
      </c>
      <c r="G7" s="7" t="s">
        <v>16</v>
      </c>
      <c r="H7" s="8">
        <v>345</v>
      </c>
      <c r="I7" s="9">
        <v>340</v>
      </c>
      <c r="J7" s="9">
        <v>-5</v>
      </c>
      <c r="K7" s="10">
        <f t="shared" si="0"/>
        <v>1217.2</v>
      </c>
    </row>
    <row r="8" spans="1:11" ht="42.75" x14ac:dyDescent="0.25">
      <c r="A8" s="5" t="s">
        <v>17</v>
      </c>
      <c r="B8" s="5" t="s">
        <v>18</v>
      </c>
      <c r="C8" s="6">
        <v>512</v>
      </c>
      <c r="D8" s="7" t="s">
        <v>19</v>
      </c>
      <c r="E8" s="7" t="s">
        <v>20</v>
      </c>
      <c r="F8" s="7" t="s">
        <v>14</v>
      </c>
      <c r="G8" s="7" t="s">
        <v>24</v>
      </c>
      <c r="H8" s="12">
        <v>1375</v>
      </c>
      <c r="I8" s="9">
        <v>1341</v>
      </c>
      <c r="J8" s="9">
        <v>-34</v>
      </c>
      <c r="K8" s="10">
        <f t="shared" si="0"/>
        <v>4800.78</v>
      </c>
    </row>
    <row r="9" spans="1:11" ht="42.75" x14ac:dyDescent="0.25">
      <c r="A9" s="5" t="s">
        <v>17</v>
      </c>
      <c r="B9" s="5" t="s">
        <v>21</v>
      </c>
      <c r="C9" s="6">
        <v>512</v>
      </c>
      <c r="D9" s="7" t="s">
        <v>19</v>
      </c>
      <c r="E9" s="7" t="s">
        <v>22</v>
      </c>
      <c r="F9" s="7" t="s">
        <v>14</v>
      </c>
      <c r="G9" s="7" t="s">
        <v>24</v>
      </c>
      <c r="H9" s="12">
        <v>1375</v>
      </c>
      <c r="I9" s="9">
        <v>1341</v>
      </c>
      <c r="J9" s="9">
        <v>-34</v>
      </c>
      <c r="K9" s="10">
        <f t="shared" si="0"/>
        <v>4800.78</v>
      </c>
    </row>
    <row r="10" spans="1:11" ht="42.75" x14ac:dyDescent="0.25">
      <c r="A10" s="5" t="s">
        <v>17</v>
      </c>
      <c r="B10" s="5" t="s">
        <v>21</v>
      </c>
      <c r="C10" s="6">
        <v>512</v>
      </c>
      <c r="D10" s="7" t="s">
        <v>19</v>
      </c>
      <c r="E10" s="7" t="s">
        <v>23</v>
      </c>
      <c r="F10" s="7" t="s">
        <v>14</v>
      </c>
      <c r="G10" s="7" t="s">
        <v>24</v>
      </c>
      <c r="H10" s="12">
        <v>1375</v>
      </c>
      <c r="I10" s="9">
        <v>1341</v>
      </c>
      <c r="J10" s="9">
        <v>-34</v>
      </c>
      <c r="K10" s="10">
        <f t="shared" si="0"/>
        <v>4800.78</v>
      </c>
    </row>
    <row r="11" spans="1:11" ht="42.75" x14ac:dyDescent="0.25">
      <c r="A11" s="5" t="s">
        <v>25</v>
      </c>
      <c r="B11" s="5" t="s">
        <v>26</v>
      </c>
      <c r="C11" s="6">
        <v>128</v>
      </c>
      <c r="D11" s="7" t="s">
        <v>27</v>
      </c>
      <c r="E11" s="7" t="s">
        <v>28</v>
      </c>
      <c r="F11" s="7" t="s">
        <v>14</v>
      </c>
      <c r="G11" s="7" t="s">
        <v>24</v>
      </c>
      <c r="H11" s="8">
        <v>225</v>
      </c>
      <c r="I11" s="9">
        <v>220</v>
      </c>
      <c r="J11" s="9">
        <v>-5</v>
      </c>
      <c r="K11" s="10">
        <f t="shared" si="0"/>
        <v>787.6</v>
      </c>
    </row>
    <row r="12" spans="1:11" ht="42.75" x14ac:dyDescent="0.25">
      <c r="A12" s="5" t="s">
        <v>25</v>
      </c>
      <c r="B12" s="5" t="s">
        <v>26</v>
      </c>
      <c r="C12" s="6">
        <v>128</v>
      </c>
      <c r="D12" s="7" t="s">
        <v>27</v>
      </c>
      <c r="E12" s="7" t="s">
        <v>29</v>
      </c>
      <c r="F12" s="7" t="s">
        <v>14</v>
      </c>
      <c r="G12" s="7" t="s">
        <v>24</v>
      </c>
      <c r="H12" s="8">
        <v>225</v>
      </c>
      <c r="I12" s="9">
        <v>220</v>
      </c>
      <c r="J12" s="9">
        <v>-5</v>
      </c>
      <c r="K12" s="10">
        <f t="shared" si="0"/>
        <v>787.6</v>
      </c>
    </row>
    <row r="13" spans="1:11" ht="42.75" x14ac:dyDescent="0.25">
      <c r="A13" s="5" t="s">
        <v>25</v>
      </c>
      <c r="B13" s="5" t="s">
        <v>26</v>
      </c>
      <c r="C13" s="6">
        <v>128</v>
      </c>
      <c r="D13" s="7" t="s">
        <v>27</v>
      </c>
      <c r="E13" s="7" t="s">
        <v>30</v>
      </c>
      <c r="F13" s="7" t="s">
        <v>14</v>
      </c>
      <c r="G13" s="7" t="s">
        <v>24</v>
      </c>
      <c r="H13" s="8">
        <v>225</v>
      </c>
      <c r="I13" s="9">
        <v>220</v>
      </c>
      <c r="J13" s="9">
        <v>-5</v>
      </c>
      <c r="K13" s="10">
        <f t="shared" si="0"/>
        <v>787.6</v>
      </c>
    </row>
    <row r="14" spans="1:11" x14ac:dyDescent="0.25">
      <c r="A14" s="5" t="s">
        <v>31</v>
      </c>
      <c r="B14" s="5" t="s">
        <v>32</v>
      </c>
      <c r="C14" s="7" t="s">
        <v>19</v>
      </c>
      <c r="D14" s="7" t="s">
        <v>33</v>
      </c>
      <c r="E14" s="6">
        <v>358911631164577</v>
      </c>
      <c r="F14" s="7" t="s">
        <v>39</v>
      </c>
      <c r="G14" s="7" t="s">
        <v>16</v>
      </c>
      <c r="H14" s="8">
        <v>300</v>
      </c>
      <c r="I14" s="9">
        <v>290</v>
      </c>
      <c r="J14" s="9">
        <v>-10</v>
      </c>
      <c r="K14" s="10">
        <f t="shared" si="0"/>
        <v>1038.2</v>
      </c>
    </row>
    <row r="15" spans="1:11" ht="42.75" x14ac:dyDescent="0.25">
      <c r="A15" s="5" t="s">
        <v>31</v>
      </c>
      <c r="B15" s="5" t="s">
        <v>32</v>
      </c>
      <c r="C15" s="7" t="s">
        <v>19</v>
      </c>
      <c r="D15" s="7" t="s">
        <v>34</v>
      </c>
      <c r="E15" s="7" t="s">
        <v>35</v>
      </c>
      <c r="F15" s="7" t="s">
        <v>14</v>
      </c>
      <c r="G15" s="7" t="s">
        <v>24</v>
      </c>
      <c r="H15" s="8">
        <v>300</v>
      </c>
      <c r="I15" s="9">
        <v>290</v>
      </c>
      <c r="J15" s="9">
        <v>-10</v>
      </c>
      <c r="K15" s="10">
        <f t="shared" si="0"/>
        <v>1038.2</v>
      </c>
    </row>
    <row r="16" spans="1:11" ht="42.75" x14ac:dyDescent="0.25">
      <c r="A16" s="5" t="s">
        <v>31</v>
      </c>
      <c r="B16" s="5" t="s">
        <v>32</v>
      </c>
      <c r="C16" s="7" t="s">
        <v>19</v>
      </c>
      <c r="D16" s="7" t="s">
        <v>34</v>
      </c>
      <c r="E16" s="7" t="s">
        <v>36</v>
      </c>
      <c r="F16" s="7" t="s">
        <v>14</v>
      </c>
      <c r="G16" s="7" t="s">
        <v>24</v>
      </c>
      <c r="H16" s="8">
        <v>300</v>
      </c>
      <c r="I16" s="9">
        <v>290</v>
      </c>
      <c r="J16" s="9">
        <v>-10</v>
      </c>
      <c r="K16" s="10">
        <f t="shared" si="0"/>
        <v>1038.2</v>
      </c>
    </row>
    <row r="17" spans="1:11" ht="42.75" x14ac:dyDescent="0.25">
      <c r="A17" s="5" t="s">
        <v>31</v>
      </c>
      <c r="B17" s="5" t="s">
        <v>37</v>
      </c>
      <c r="C17" s="7" t="s">
        <v>19</v>
      </c>
      <c r="D17" s="7" t="s">
        <v>33</v>
      </c>
      <c r="E17" s="7" t="s">
        <v>38</v>
      </c>
      <c r="F17" s="7" t="s">
        <v>14</v>
      </c>
      <c r="G17" s="7" t="s">
        <v>24</v>
      </c>
      <c r="H17" s="8">
        <v>360</v>
      </c>
      <c r="I17" s="9">
        <v>320</v>
      </c>
      <c r="J17" s="9">
        <v>-40</v>
      </c>
      <c r="K17" s="10">
        <f t="shared" si="0"/>
        <v>1145.5999999999999</v>
      </c>
    </row>
    <row r="18" spans="1:11" ht="42.75" x14ac:dyDescent="0.25">
      <c r="A18" s="5" t="s">
        <v>31</v>
      </c>
      <c r="B18" s="5" t="s">
        <v>40</v>
      </c>
      <c r="C18" s="7" t="s">
        <v>19</v>
      </c>
      <c r="D18" s="7" t="s">
        <v>41</v>
      </c>
      <c r="E18" s="7" t="s">
        <v>42</v>
      </c>
      <c r="F18" s="7" t="s">
        <v>14</v>
      </c>
      <c r="G18" s="7" t="s">
        <v>24</v>
      </c>
      <c r="H18" s="8">
        <v>225</v>
      </c>
      <c r="I18" s="9">
        <v>210</v>
      </c>
      <c r="J18" s="9">
        <v>-15</v>
      </c>
      <c r="K18" s="10">
        <f t="shared" si="0"/>
        <v>751.80000000000007</v>
      </c>
    </row>
    <row r="19" spans="1:11" ht="42.75" x14ac:dyDescent="0.25">
      <c r="A19" s="5" t="s">
        <v>31</v>
      </c>
      <c r="B19" s="5" t="s">
        <v>40</v>
      </c>
      <c r="C19" s="7" t="s">
        <v>19</v>
      </c>
      <c r="D19" s="7" t="s">
        <v>41</v>
      </c>
      <c r="E19" s="7" t="s">
        <v>43</v>
      </c>
      <c r="F19" s="7" t="s">
        <v>14</v>
      </c>
      <c r="G19" s="7" t="s">
        <v>24</v>
      </c>
      <c r="H19" s="8">
        <v>225</v>
      </c>
      <c r="I19" s="9">
        <v>210</v>
      </c>
      <c r="J19" s="9">
        <v>-15</v>
      </c>
      <c r="K19" s="10">
        <f t="shared" si="0"/>
        <v>751.80000000000007</v>
      </c>
    </row>
    <row r="20" spans="1:11" ht="42.75" x14ac:dyDescent="0.25">
      <c r="A20" s="5" t="s">
        <v>31</v>
      </c>
      <c r="B20" s="5" t="s">
        <v>40</v>
      </c>
      <c r="C20" s="7" t="s">
        <v>19</v>
      </c>
      <c r="D20" s="7" t="s">
        <v>41</v>
      </c>
      <c r="E20" s="7" t="s">
        <v>44</v>
      </c>
      <c r="F20" s="7" t="s">
        <v>14</v>
      </c>
      <c r="G20" s="7" t="s">
        <v>24</v>
      </c>
      <c r="H20" s="8">
        <v>225</v>
      </c>
      <c r="I20" s="9">
        <v>210</v>
      </c>
      <c r="J20" s="9">
        <v>-15</v>
      </c>
      <c r="K20" s="10">
        <f t="shared" si="0"/>
        <v>751.80000000000007</v>
      </c>
    </row>
    <row r="21" spans="1:11" ht="28.5" x14ac:dyDescent="0.25">
      <c r="A21" s="5" t="s">
        <v>31</v>
      </c>
      <c r="B21" s="5" t="s">
        <v>40</v>
      </c>
      <c r="C21" s="7" t="s">
        <v>19</v>
      </c>
      <c r="D21" s="7" t="s">
        <v>41</v>
      </c>
      <c r="E21" s="11" t="s">
        <v>45</v>
      </c>
      <c r="F21" s="7" t="s">
        <v>14</v>
      </c>
      <c r="G21" s="7" t="s">
        <v>24</v>
      </c>
      <c r="H21" s="8">
        <v>225</v>
      </c>
      <c r="I21" s="9">
        <v>210</v>
      </c>
      <c r="J21" s="9">
        <v>-15</v>
      </c>
      <c r="K21" s="10">
        <f t="shared" si="0"/>
        <v>751.80000000000007</v>
      </c>
    </row>
    <row r="22" spans="1:11" ht="42.75" x14ac:dyDescent="0.25">
      <c r="A22" s="5" t="s">
        <v>31</v>
      </c>
      <c r="B22" s="5" t="s">
        <v>40</v>
      </c>
      <c r="C22" s="7" t="s">
        <v>19</v>
      </c>
      <c r="D22" s="7" t="s">
        <v>41</v>
      </c>
      <c r="E22" s="7" t="s">
        <v>46</v>
      </c>
      <c r="F22" s="7" t="s">
        <v>14</v>
      </c>
      <c r="G22" s="7" t="s">
        <v>24</v>
      </c>
      <c r="H22" s="8">
        <v>225</v>
      </c>
      <c r="I22" s="9">
        <v>210</v>
      </c>
      <c r="J22" s="9">
        <v>-15</v>
      </c>
      <c r="K22" s="10">
        <f t="shared" si="0"/>
        <v>751.80000000000007</v>
      </c>
    </row>
    <row r="23" spans="1:11" ht="42.75" x14ac:dyDescent="0.25">
      <c r="A23" s="5" t="s">
        <v>31</v>
      </c>
      <c r="B23" s="5" t="s">
        <v>40</v>
      </c>
      <c r="C23" s="7" t="s">
        <v>19</v>
      </c>
      <c r="D23" s="7" t="s">
        <v>47</v>
      </c>
      <c r="E23" s="7" t="s">
        <v>48</v>
      </c>
      <c r="F23" s="7" t="s">
        <v>14</v>
      </c>
      <c r="G23" s="7" t="s">
        <v>24</v>
      </c>
      <c r="H23" s="8">
        <v>225</v>
      </c>
      <c r="I23" s="9">
        <v>210</v>
      </c>
      <c r="J23" s="9">
        <v>-15</v>
      </c>
      <c r="K23" s="10">
        <f t="shared" si="0"/>
        <v>751.80000000000007</v>
      </c>
    </row>
    <row r="24" spans="1:11" ht="42.75" x14ac:dyDescent="0.25">
      <c r="A24" s="5" t="s">
        <v>31</v>
      </c>
      <c r="B24" s="5" t="s">
        <v>49</v>
      </c>
      <c r="C24" s="7" t="s">
        <v>50</v>
      </c>
      <c r="D24" s="7" t="s">
        <v>33</v>
      </c>
      <c r="E24" s="7" t="s">
        <v>51</v>
      </c>
      <c r="F24" s="7" t="s">
        <v>14</v>
      </c>
      <c r="G24" s="7" t="s">
        <v>24</v>
      </c>
      <c r="H24" s="8">
        <v>320</v>
      </c>
      <c r="I24" s="9">
        <v>290</v>
      </c>
      <c r="J24" s="9">
        <v>-30</v>
      </c>
      <c r="K24" s="10">
        <f t="shared" si="0"/>
        <v>1038.2</v>
      </c>
    </row>
    <row r="25" spans="1:11" ht="42.75" x14ac:dyDescent="0.25">
      <c r="A25" s="5" t="s">
        <v>52</v>
      </c>
      <c r="B25" s="5" t="s">
        <v>53</v>
      </c>
      <c r="C25" s="6">
        <v>512</v>
      </c>
      <c r="D25" s="13"/>
      <c r="E25" s="7" t="s">
        <v>54</v>
      </c>
      <c r="F25" s="7" t="s">
        <v>14</v>
      </c>
      <c r="G25" s="14" t="s">
        <v>24</v>
      </c>
      <c r="H25" s="15">
        <v>1310</v>
      </c>
      <c r="I25" s="16">
        <v>1130</v>
      </c>
      <c r="J25" s="16">
        <v>-180</v>
      </c>
      <c r="K25" s="10">
        <f t="shared" si="0"/>
        <v>4045.4</v>
      </c>
    </row>
    <row r="26" spans="1:11" ht="42.75" x14ac:dyDescent="0.25">
      <c r="A26" s="5" t="s">
        <v>52</v>
      </c>
      <c r="B26" s="5" t="s">
        <v>55</v>
      </c>
      <c r="C26" s="6">
        <v>512</v>
      </c>
      <c r="D26" s="13"/>
      <c r="E26" s="7" t="s">
        <v>56</v>
      </c>
      <c r="F26" s="17" t="s">
        <v>14</v>
      </c>
      <c r="G26" s="18" t="s">
        <v>24</v>
      </c>
      <c r="H26" s="19">
        <v>1125</v>
      </c>
      <c r="I26" s="9">
        <v>1105</v>
      </c>
      <c r="J26" s="9">
        <v>-20</v>
      </c>
      <c r="K26" s="10">
        <f t="shared" si="0"/>
        <v>3955.9</v>
      </c>
    </row>
    <row r="27" spans="1:11" ht="18.75" x14ac:dyDescent="0.25">
      <c r="H27" s="2">
        <f>SUM(H2:H26)</f>
        <v>12235</v>
      </c>
      <c r="I27" s="2">
        <f>SUM(I2:I26)</f>
        <v>11698</v>
      </c>
      <c r="J27" s="2">
        <f>SUM(J2:J26)</f>
        <v>-537</v>
      </c>
      <c r="K27" s="4">
        <f>I27*3.58</f>
        <v>41878.840000000004</v>
      </c>
    </row>
  </sheetData>
  <conditionalFormatting sqref="E1:E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2026-04-11T14:47:03Z</dcterms:created>
  <dcterms:modified xsi:type="dcterms:W3CDTF">2026-05-21T14:42:30Z</dcterms:modified>
</cp:coreProperties>
</file>