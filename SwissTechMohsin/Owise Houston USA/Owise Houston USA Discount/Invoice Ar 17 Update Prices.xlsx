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62471D64-5019-42B6-93AA-37910FB8AC03}" xr6:coauthVersionLast="47" xr6:coauthVersionMax="47" xr10:uidLastSave="{00000000-0000-0000-0000-000000000000}"/>
  <bookViews>
    <workbookView xWindow="-120" yWindow="-120" windowWidth="20730" windowHeight="11040" xr2:uid="{994251CB-84FA-4073-B316-90807E49DC6C}"/>
  </bookViews>
  <sheets>
    <sheet name="Sheet1" sheetId="1" r:id="rId1"/>
  </sheets>
  <definedNames>
    <definedName name="_xlnm._FilterDatabase" localSheetId="0" hidden="1">Sheet1!$C$1:$L$38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" i="1"/>
  <c r="M43" i="1"/>
  <c r="K21" i="1"/>
  <c r="K40" i="1"/>
  <c r="L40" i="1"/>
  <c r="K39" i="1"/>
  <c r="L39" i="1"/>
  <c r="L4" i="1"/>
  <c r="K38" i="1"/>
  <c r="L38" i="1"/>
  <c r="L3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2" i="1"/>
  <c r="K33" i="1"/>
  <c r="K34" i="1"/>
  <c r="K35" i="1"/>
  <c r="K36" i="1"/>
  <c r="K37" i="1"/>
  <c r="K32" i="1"/>
  <c r="L43" i="1" l="1"/>
  <c r="I43" i="1" l="1"/>
  <c r="J43" i="1"/>
  <c r="K22" i="1"/>
  <c r="K23" i="1"/>
  <c r="K24" i="1"/>
  <c r="K25" i="1"/>
  <c r="K26" i="1"/>
  <c r="K27" i="1"/>
  <c r="K28" i="1"/>
  <c r="K29" i="1"/>
  <c r="K30" i="1"/>
  <c r="K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43" i="1" l="1"/>
</calcChain>
</file>

<file path=xl/sharedStrings.xml><?xml version="1.0" encoding="utf-8"?>
<sst xmlns="http://schemas.openxmlformats.org/spreadsheetml/2006/main" count="269" uniqueCount="91">
  <si>
    <t>Brand</t>
  </si>
  <si>
    <t>Model</t>
  </si>
  <si>
    <t>Storage</t>
  </si>
  <si>
    <t>Coloue</t>
  </si>
  <si>
    <t>IMEI</t>
  </si>
  <si>
    <t>BOX/HOS</t>
  </si>
  <si>
    <t>Status</t>
  </si>
  <si>
    <t>Carrier</t>
  </si>
  <si>
    <t>USD Prices</t>
  </si>
  <si>
    <r>
      <rPr>
        <sz val="10"/>
        <rFont val="Verdana"/>
        <family val="2"/>
      </rPr>
      <t>iPhone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</si>
  <si>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</si>
  <si>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ORANGE</t>
    </r>
  </si>
  <si>
    <r>
      <rPr>
        <sz val="10"/>
        <rFont val="Verdana"/>
        <family val="2"/>
      </rPr>
      <t>BOX</t>
    </r>
  </si>
  <si>
    <r>
      <rPr>
        <sz val="10"/>
        <rFont val="Verdana"/>
        <family val="2"/>
      </rPr>
      <t>NON ACTIVE</t>
    </r>
  </si>
  <si>
    <r>
      <rPr>
        <sz val="10"/>
        <rFont val="Verdana"/>
        <family val="2"/>
      </rPr>
      <t>UNLO…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</si>
  <si>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</si>
  <si>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SILVER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</si>
  <si>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</si>
  <si>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VZN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</si>
  <si>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</si>
  <si>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ATT</t>
    </r>
  </si>
  <si>
    <r>
      <rPr>
        <sz val="10"/>
        <rFont val="Verdana"/>
        <family val="2"/>
      </rPr>
      <t>iPad</t>
    </r>
  </si>
  <si>
    <r>
      <rPr>
        <sz val="10"/>
        <rFont val="Verdana"/>
        <family val="2"/>
      </rPr>
      <t>A16</t>
    </r>
  </si>
  <si>
    <r>
      <rPr>
        <sz val="10"/>
        <rFont val="Verdana"/>
        <family val="2"/>
      </rPr>
      <t>BLUE</t>
    </r>
  </si>
  <si>
    <r>
      <rPr>
        <sz val="10"/>
        <rFont val="Verdana"/>
        <family val="2"/>
      </rPr>
      <t>ACTIVE</t>
    </r>
  </si>
  <si>
    <r>
      <rPr>
        <sz val="10"/>
        <rFont val="Verdana"/>
        <family val="2"/>
      </rPr>
      <t>J42MKQN6X1</t>
    </r>
  </si>
  <si>
    <r>
      <rPr>
        <sz val="10"/>
        <rFont val="Verdana"/>
        <family val="2"/>
      </rPr>
      <t>WIFI</t>
    </r>
  </si>
  <si>
    <r>
      <rPr>
        <sz val="10"/>
        <rFont val="Verdana"/>
        <family val="2"/>
      </rPr>
      <t>Airpords</t>
    </r>
  </si>
  <si>
    <r>
      <rPr>
        <sz val="10"/>
        <rFont val="Verdana"/>
        <family val="2"/>
      </rPr>
      <t>Pro USB C</t>
    </r>
  </si>
  <si>
    <r>
      <rPr>
        <sz val="10"/>
        <rFont val="Verdana"/>
        <family val="2"/>
      </rPr>
      <t>MPNXQWDXVR</t>
    </r>
  </si>
  <si>
    <r>
      <rPr>
        <sz val="10"/>
        <rFont val="Verdana"/>
        <family val="2"/>
      </rPr>
      <t>iWatch</t>
    </r>
  </si>
  <si>
    <r>
      <rPr>
        <sz val="10"/>
        <rFont val="Verdana"/>
        <family val="2"/>
      </rPr>
      <t>SE3 44MM</t>
    </r>
  </si>
  <si>
    <r>
      <rPr>
        <sz val="10"/>
        <rFont val="Verdana"/>
        <family val="2"/>
      </rPr>
      <t>STARLIGHT</t>
    </r>
  </si>
  <si>
    <r>
      <rPr>
        <sz val="10"/>
        <rFont val="Verdana"/>
        <family val="2"/>
      </rPr>
      <t>CDHJ94JY4N</t>
    </r>
  </si>
  <si>
    <r>
      <rPr>
        <sz val="10"/>
        <rFont val="Verdana"/>
        <family val="2"/>
      </rPr>
      <t>JF9GT2CKXV</t>
    </r>
  </si>
  <si>
    <r>
      <rPr>
        <sz val="10"/>
        <rFont val="Verdana"/>
        <family val="2"/>
      </rPr>
      <t>LXH4J3CG2D</t>
    </r>
  </si>
  <si>
    <r>
      <rPr>
        <sz val="10"/>
        <rFont val="Verdana"/>
        <family val="2"/>
      </rPr>
      <t>G714DW94HN</t>
    </r>
  </si>
  <si>
    <r>
      <rPr>
        <sz val="10"/>
        <rFont val="Verdana"/>
        <family val="2"/>
      </rPr>
      <t>H623N9G6LD</t>
    </r>
  </si>
  <si>
    <t>Last Purchasing</t>
  </si>
  <si>
    <t>Different Prices</t>
  </si>
  <si>
    <r>
      <rPr>
        <sz val="10"/>
        <rFont val="Verdana"/>
        <family val="2"/>
      </rPr>
      <t>AirPod</t>
    </r>
  </si>
  <si>
    <r>
      <rPr>
        <sz val="10"/>
        <rFont val="Verdana"/>
        <family val="2"/>
      </rPr>
      <t>Pro 3</t>
    </r>
  </si>
  <si>
    <r>
      <rPr>
        <sz val="10"/>
        <rFont val="Verdana"/>
        <family val="2"/>
      </rPr>
      <t>WHITE</t>
    </r>
  </si>
  <si>
    <r>
      <rPr>
        <sz val="10"/>
        <rFont val="Verdana"/>
        <family val="2"/>
      </rPr>
      <t>LDH7T41W7R</t>
    </r>
  </si>
  <si>
    <t>Received Airpods 4</t>
  </si>
  <si>
    <r>
      <rPr>
        <sz val="10"/>
        <color theme="1"/>
        <rFont val="Verdana"/>
        <family val="2"/>
      </rPr>
      <t>NATURAL</t>
    </r>
  </si>
  <si>
    <r>
      <rPr>
        <sz val="10"/>
        <color theme="1"/>
        <rFont val="Verdana"/>
        <family val="2"/>
      </rPr>
      <t>iPhone</t>
    </r>
  </si>
  <si>
    <r>
      <rPr>
        <sz val="10"/>
        <color theme="1"/>
        <rFont val="Verdana"/>
        <family val="2"/>
      </rPr>
      <t>15 pro max</t>
    </r>
  </si>
  <si>
    <r>
      <rPr>
        <sz val="10"/>
        <color theme="1"/>
        <rFont val="Verdana"/>
        <family val="2"/>
      </rPr>
      <t>HSO</t>
    </r>
  </si>
  <si>
    <r>
      <rPr>
        <sz val="10"/>
        <color theme="1"/>
        <rFont val="Verdana"/>
        <family val="2"/>
      </rPr>
      <t>ACTIVE</t>
    </r>
  </si>
  <si>
    <r>
      <rPr>
        <sz val="10"/>
        <color theme="1"/>
        <rFont val="Verdana"/>
        <family val="2"/>
      </rPr>
      <t>ATT</t>
    </r>
  </si>
  <si>
    <t>Screen Damaged and Scratches</t>
  </si>
  <si>
    <t>DTYG4HCJ7J</t>
  </si>
  <si>
    <r>
      <rPr>
        <sz val="10"/>
        <rFont val="Verdana"/>
        <family val="2"/>
      </rPr>
      <t>HSO</t>
    </r>
  </si>
  <si>
    <r>
      <rPr>
        <sz val="10"/>
        <color theme="1"/>
        <rFont val="Verdana"/>
        <family val="2"/>
      </rPr>
      <t>14 Pro Max</t>
    </r>
  </si>
  <si>
    <r>
      <rPr>
        <sz val="10"/>
        <color theme="1"/>
        <rFont val="Verdana"/>
        <family val="2"/>
      </rPr>
      <t>1TB</t>
    </r>
  </si>
  <si>
    <r>
      <rPr>
        <sz val="10"/>
        <color theme="1"/>
        <rFont val="Verdana"/>
        <family val="2"/>
      </rPr>
      <t>PURPLE</t>
    </r>
  </si>
  <si>
    <r>
      <rPr>
        <sz val="10"/>
        <color theme="1"/>
        <rFont val="Verdana"/>
        <family val="2"/>
      </rPr>
      <t>UNLO…</t>
    </r>
  </si>
  <si>
    <r>
      <rPr>
        <sz val="10"/>
        <rFont val="Verdana"/>
        <family val="2"/>
      </rPr>
      <t>XFIN…</t>
    </r>
  </si>
  <si>
    <r>
      <rPr>
        <sz val="10"/>
        <color theme="1"/>
        <rFont val="Verdana"/>
        <family val="2"/>
      </rPr>
      <t>CRIC…</t>
    </r>
  </si>
  <si>
    <r>
      <rPr>
        <sz val="10"/>
        <color theme="1"/>
        <rFont val="Verdana"/>
        <family val="2"/>
      </rPr>
      <t>Airpods</t>
    </r>
  </si>
  <si>
    <r>
      <rPr>
        <sz val="10"/>
        <color theme="1"/>
        <rFont val="Verdana"/>
        <family val="2"/>
      </rPr>
      <t>MXP63</t>
    </r>
  </si>
  <si>
    <r>
      <rPr>
        <sz val="10"/>
        <color theme="1"/>
        <rFont val="Verdana"/>
        <family val="2"/>
      </rPr>
      <t>SG560HF37KP</t>
    </r>
  </si>
  <si>
    <r>
      <rPr>
        <sz val="10"/>
        <color theme="1"/>
        <rFont val="Verdana"/>
        <family val="2"/>
      </rPr>
      <t>BOX</t>
    </r>
  </si>
  <si>
    <r>
      <rPr>
        <sz val="10"/>
        <color theme="1"/>
        <rFont val="Verdana"/>
        <family val="2"/>
      </rPr>
      <t>SHT4PNQLQYG</t>
    </r>
  </si>
  <si>
    <r>
      <rPr>
        <sz val="10"/>
        <color theme="1"/>
        <rFont val="Verdana"/>
        <family val="2"/>
      </rPr>
      <t>G776JRX4HP</t>
    </r>
  </si>
  <si>
    <r>
      <rPr>
        <sz val="10"/>
        <color theme="1"/>
        <rFont val="Verdana"/>
        <family val="2"/>
      </rPr>
      <t>NON ACTIVE</t>
    </r>
  </si>
  <si>
    <r>
      <rPr>
        <sz val="10"/>
        <color theme="1"/>
        <rFont val="Verdana"/>
        <family val="2"/>
      </rPr>
      <t>WIFI</t>
    </r>
  </si>
  <si>
    <r>
      <rPr>
        <sz val="10"/>
        <color theme="1"/>
        <rFont val="Verdana"/>
        <family val="2"/>
      </rPr>
      <t>Airpords</t>
    </r>
  </si>
  <si>
    <r>
      <rPr>
        <sz val="10"/>
        <color theme="1"/>
        <rFont val="Verdana"/>
        <family val="2"/>
      </rPr>
      <t>-</t>
    </r>
  </si>
  <si>
    <r>
      <rPr>
        <sz val="10"/>
        <color theme="1"/>
        <rFont val="Verdana"/>
        <family val="2"/>
      </rPr>
      <t>WHITE</t>
    </r>
  </si>
  <si>
    <r>
      <rPr>
        <sz val="10"/>
        <color theme="1"/>
        <rFont val="Verdana"/>
        <family val="2"/>
      </rPr>
      <t>DWRQNWNM9J</t>
    </r>
  </si>
  <si>
    <r>
      <rPr>
        <sz val="10"/>
        <color theme="1"/>
        <rFont val="Verdana"/>
        <family val="2"/>
      </rPr>
      <t>AirPod</t>
    </r>
  </si>
  <si>
    <r>
      <rPr>
        <sz val="10"/>
        <color theme="1"/>
        <rFont val="Verdana"/>
        <family val="2"/>
      </rPr>
      <t>Pro 4</t>
    </r>
  </si>
  <si>
    <r>
      <rPr>
        <sz val="10"/>
        <color theme="1"/>
        <rFont val="Verdana"/>
        <family val="2"/>
      </rPr>
      <t>--</t>
    </r>
  </si>
  <si>
    <r>
      <rPr>
        <sz val="10"/>
        <color theme="1"/>
        <rFont val="Verdana"/>
        <family val="2"/>
      </rPr>
      <t>C2W42NJ45Y</t>
    </r>
  </si>
  <si>
    <r>
      <rPr>
        <sz val="10"/>
        <color theme="1"/>
        <rFont val="Verdana"/>
        <family val="2"/>
      </rPr>
      <t>Max USB C</t>
    </r>
  </si>
  <si>
    <r>
      <rPr>
        <sz val="10"/>
        <color theme="1"/>
        <rFont val="Verdana"/>
        <family val="2"/>
      </rPr>
      <t>JPX6WC97QD</t>
    </r>
  </si>
  <si>
    <r>
      <rPr>
        <sz val="10"/>
        <color theme="1"/>
        <rFont val="Verdana"/>
        <family val="2"/>
      </rPr>
      <t>MXP93</t>
    </r>
  </si>
  <si>
    <r>
      <rPr>
        <sz val="10"/>
        <color theme="1"/>
        <rFont val="Verdana"/>
        <family val="2"/>
      </rPr>
      <t>SFT9XW0X7R3</t>
    </r>
  </si>
  <si>
    <r>
      <rPr>
        <sz val="10"/>
        <color theme="1"/>
        <rFont val="Verdana"/>
        <family val="2"/>
      </rPr>
      <t>SLK7PY9PDPF</t>
    </r>
  </si>
  <si>
    <r>
      <rPr>
        <sz val="10"/>
        <color theme="1"/>
        <rFont val="Verdana"/>
        <family val="2"/>
      </rPr>
      <t>H7NWN2KHGV</t>
    </r>
  </si>
  <si>
    <r>
      <rPr>
        <sz val="10"/>
        <color theme="1"/>
        <rFont val="Verdana"/>
        <family val="2"/>
      </rPr>
      <t>J99639XX47</t>
    </r>
  </si>
  <si>
    <r>
      <rPr>
        <sz val="10"/>
        <color theme="1"/>
        <rFont val="Verdana"/>
        <family val="2"/>
      </rPr>
      <t>Pro 4 (ANC)</t>
    </r>
  </si>
  <si>
    <r>
      <rPr>
        <sz val="10"/>
        <color theme="1"/>
        <rFont val="Verdana"/>
        <family val="2"/>
      </rPr>
      <t>GVW7YF7MHQ</t>
    </r>
  </si>
  <si>
    <r>
      <rPr>
        <sz val="10"/>
        <color theme="1"/>
        <rFont val="Verdana"/>
        <family val="2"/>
      </rPr>
      <t>KFFQ2V6CM0</t>
    </r>
  </si>
  <si>
    <t>AED Prices</t>
  </si>
  <si>
    <r>
      <rPr>
        <sz val="10"/>
        <color theme="1"/>
        <rFont val="Verdana"/>
        <family val="2"/>
      </rPr>
      <t>SE3 44MM</t>
    </r>
  </si>
  <si>
    <r>
      <rPr>
        <sz val="10"/>
        <color theme="1"/>
        <rFont val="Verdana"/>
        <family val="2"/>
      </rPr>
      <t>MIDNIGHT</t>
    </r>
  </si>
  <si>
    <r>
      <rPr>
        <sz val="10"/>
        <color theme="1"/>
        <rFont val="Verdana"/>
        <family val="2"/>
      </rPr>
      <t>DQ9DY4Y0Y2</t>
    </r>
  </si>
  <si>
    <t>Discount 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</si>
</sst>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Verdana"/>
      <family val="2"/>
    </font>
    <font>
      <b/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4" borderId="1" xfId="0" applyNumberFormat="1" applyFont="1" applyFill="1" applyBorder="1"/>
    <xf numFmtId="0" fontId="0" fillId="5" borderId="0" xfId="0" applyFill="1"/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0602-7936-414A-87DB-3F6236260511}">
  <dimension ref="A1:N43"/>
  <sheetViews>
    <sheetView tabSelected="1" topLeftCell="C27" zoomScale="87" zoomScaleNormal="87" workbookViewId="0">
      <selection activeCell="G49" sqref="G49"/>
    </sheetView>
  </sheetViews>
  <sheetFormatPr defaultRowHeight="15" x14ac:dyDescent="0.25"/>
  <cols>
    <col min="1" max="1" width="10.42578125" customWidth="1"/>
    <col min="2" max="2" width="14.7109375" customWidth="1"/>
    <col min="3" max="3" width="8.42578125" bestFit="1" customWidth="1"/>
    <col min="4" max="4" width="11.5703125" bestFit="1" customWidth="1"/>
    <col min="5" max="5" width="16.7109375" bestFit="1" customWidth="1"/>
    <col min="6" max="6" width="11.140625" bestFit="1" customWidth="1"/>
    <col min="7" max="7" width="17.28515625" customWidth="1"/>
    <col min="8" max="8" width="11.42578125" customWidth="1"/>
    <col min="9" max="9" width="23.140625" customWidth="1"/>
    <col min="10" max="10" width="18.5703125" customWidth="1"/>
    <col min="11" max="11" width="24.28515625" customWidth="1"/>
    <col min="12" max="13" width="29.140625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1" t="s">
        <v>86</v>
      </c>
      <c r="M1" s="11" t="s">
        <v>90</v>
      </c>
    </row>
    <row r="2" spans="1:13" x14ac:dyDescent="0.25">
      <c r="A2" s="12" t="s">
        <v>9</v>
      </c>
      <c r="B2" s="12" t="s">
        <v>10</v>
      </c>
      <c r="C2" s="12">
        <v>512</v>
      </c>
      <c r="D2" s="12" t="s">
        <v>11</v>
      </c>
      <c r="E2" s="13">
        <v>357254479878961</v>
      </c>
      <c r="F2" s="12" t="s">
        <v>12</v>
      </c>
      <c r="G2" s="12" t="s">
        <v>13</v>
      </c>
      <c r="H2" s="12" t="s">
        <v>14</v>
      </c>
      <c r="I2" s="12">
        <v>1180</v>
      </c>
      <c r="J2" s="14">
        <v>1160</v>
      </c>
      <c r="K2" s="14">
        <f t="shared" ref="K2:K40" si="0">J2-I2</f>
        <v>-20</v>
      </c>
      <c r="L2" s="14">
        <f>J2*3.57</f>
        <v>4141.2</v>
      </c>
      <c r="M2" s="14">
        <f>K2*3.57</f>
        <v>-71.399999999999991</v>
      </c>
    </row>
    <row r="3" spans="1:13" x14ac:dyDescent="0.25">
      <c r="A3" s="12" t="s">
        <v>9</v>
      </c>
      <c r="B3" s="12" t="s">
        <v>10</v>
      </c>
      <c r="C3" s="12">
        <v>512</v>
      </c>
      <c r="D3" s="12" t="s">
        <v>11</v>
      </c>
      <c r="E3" s="13">
        <v>357254479287817</v>
      </c>
      <c r="F3" s="12" t="s">
        <v>12</v>
      </c>
      <c r="G3" s="12" t="s">
        <v>13</v>
      </c>
      <c r="H3" s="12" t="s">
        <v>14</v>
      </c>
      <c r="I3" s="12">
        <v>1180</v>
      </c>
      <c r="J3" s="14">
        <v>1160</v>
      </c>
      <c r="K3" s="14">
        <f t="shared" si="0"/>
        <v>-20</v>
      </c>
      <c r="L3" s="14">
        <f t="shared" ref="L3:L40" si="1">J3*3.57</f>
        <v>4141.2</v>
      </c>
      <c r="M3" s="14">
        <f t="shared" ref="M3:M40" si="2">K3*3.57</f>
        <v>-71.399999999999991</v>
      </c>
    </row>
    <row r="4" spans="1:13" x14ac:dyDescent="0.25">
      <c r="A4" s="12" t="s">
        <v>9</v>
      </c>
      <c r="B4" s="12" t="s">
        <v>15</v>
      </c>
      <c r="C4" s="12">
        <v>256</v>
      </c>
      <c r="D4" s="12" t="s">
        <v>16</v>
      </c>
      <c r="E4" s="13">
        <v>352001993538406</v>
      </c>
      <c r="F4" s="12" t="s">
        <v>12</v>
      </c>
      <c r="G4" s="12" t="s">
        <v>13</v>
      </c>
      <c r="H4" s="12" t="s">
        <v>14</v>
      </c>
      <c r="I4" s="12">
        <v>1065</v>
      </c>
      <c r="J4" s="14">
        <v>1055</v>
      </c>
      <c r="K4" s="14">
        <f t="shared" si="0"/>
        <v>-10</v>
      </c>
      <c r="L4" s="14">
        <f t="shared" si="1"/>
        <v>3766.35</v>
      </c>
      <c r="M4" s="14">
        <f t="shared" si="2"/>
        <v>-35.699999999999996</v>
      </c>
    </row>
    <row r="5" spans="1:13" x14ac:dyDescent="0.25">
      <c r="A5" s="12" t="s">
        <v>9</v>
      </c>
      <c r="B5" s="12" t="s">
        <v>15</v>
      </c>
      <c r="C5" s="12">
        <v>256</v>
      </c>
      <c r="D5" s="12" t="s">
        <v>16</v>
      </c>
      <c r="E5" s="13">
        <v>352001993194531</v>
      </c>
      <c r="F5" s="12" t="s">
        <v>12</v>
      </c>
      <c r="G5" s="12" t="s">
        <v>13</v>
      </c>
      <c r="H5" s="12" t="s">
        <v>14</v>
      </c>
      <c r="I5" s="12">
        <v>1065</v>
      </c>
      <c r="J5" s="14">
        <v>1055</v>
      </c>
      <c r="K5" s="14">
        <f t="shared" si="0"/>
        <v>-10</v>
      </c>
      <c r="L5" s="14">
        <f t="shared" si="1"/>
        <v>3766.35</v>
      </c>
      <c r="M5" s="14">
        <f t="shared" si="2"/>
        <v>-35.699999999999996</v>
      </c>
    </row>
    <row r="6" spans="1:13" x14ac:dyDescent="0.25">
      <c r="A6" s="12" t="s">
        <v>9</v>
      </c>
      <c r="B6" s="12" t="s">
        <v>15</v>
      </c>
      <c r="C6" s="12">
        <v>256</v>
      </c>
      <c r="D6" s="12" t="s">
        <v>16</v>
      </c>
      <c r="E6" s="13">
        <v>352001993320755</v>
      </c>
      <c r="F6" s="12" t="s">
        <v>12</v>
      </c>
      <c r="G6" s="12" t="s">
        <v>13</v>
      </c>
      <c r="H6" s="12" t="s">
        <v>14</v>
      </c>
      <c r="I6" s="12">
        <v>1065</v>
      </c>
      <c r="J6" s="14">
        <v>1055</v>
      </c>
      <c r="K6" s="14">
        <f t="shared" si="0"/>
        <v>-10</v>
      </c>
      <c r="L6" s="14">
        <f t="shared" si="1"/>
        <v>3766.35</v>
      </c>
      <c r="M6" s="14">
        <f t="shared" si="2"/>
        <v>-35.699999999999996</v>
      </c>
    </row>
    <row r="7" spans="1:13" x14ac:dyDescent="0.25">
      <c r="A7" s="12" t="s">
        <v>9</v>
      </c>
      <c r="B7" s="12" t="s">
        <v>15</v>
      </c>
      <c r="C7" s="12">
        <v>256</v>
      </c>
      <c r="D7" s="12" t="s">
        <v>16</v>
      </c>
      <c r="E7" s="13">
        <v>352001993207747</v>
      </c>
      <c r="F7" s="12" t="s">
        <v>12</v>
      </c>
      <c r="G7" s="12" t="s">
        <v>13</v>
      </c>
      <c r="H7" s="12" t="s">
        <v>14</v>
      </c>
      <c r="I7" s="12">
        <v>1065</v>
      </c>
      <c r="J7" s="14">
        <v>1055</v>
      </c>
      <c r="K7" s="14">
        <f t="shared" si="0"/>
        <v>-10</v>
      </c>
      <c r="L7" s="14">
        <f t="shared" si="1"/>
        <v>3766.35</v>
      </c>
      <c r="M7" s="14">
        <f t="shared" si="2"/>
        <v>-35.699999999999996</v>
      </c>
    </row>
    <row r="8" spans="1:13" x14ac:dyDescent="0.25">
      <c r="A8" s="12" t="s">
        <v>9</v>
      </c>
      <c r="B8" s="12" t="s">
        <v>10</v>
      </c>
      <c r="C8" s="12">
        <v>512</v>
      </c>
      <c r="D8" s="12" t="s">
        <v>11</v>
      </c>
      <c r="E8" s="13">
        <v>357254479486039</v>
      </c>
      <c r="F8" s="12" t="s">
        <v>12</v>
      </c>
      <c r="G8" s="12" t="s">
        <v>13</v>
      </c>
      <c r="H8" s="12" t="s">
        <v>14</v>
      </c>
      <c r="I8" s="12">
        <v>1180</v>
      </c>
      <c r="J8" s="14">
        <v>1160</v>
      </c>
      <c r="K8" s="14">
        <f t="shared" si="0"/>
        <v>-20</v>
      </c>
      <c r="L8" s="14">
        <f t="shared" si="1"/>
        <v>4141.2</v>
      </c>
      <c r="M8" s="14">
        <f t="shared" si="2"/>
        <v>-71.399999999999991</v>
      </c>
    </row>
    <row r="9" spans="1:13" x14ac:dyDescent="0.25">
      <c r="A9" s="12" t="s">
        <v>9</v>
      </c>
      <c r="B9" s="12" t="s">
        <v>17</v>
      </c>
      <c r="C9" s="12">
        <v>256</v>
      </c>
      <c r="D9" s="12" t="s">
        <v>11</v>
      </c>
      <c r="E9" s="13">
        <v>359814717786751</v>
      </c>
      <c r="F9" s="12" t="s">
        <v>12</v>
      </c>
      <c r="G9" s="12" t="s">
        <v>13</v>
      </c>
      <c r="H9" s="12" t="s">
        <v>18</v>
      </c>
      <c r="I9" s="12">
        <v>920</v>
      </c>
      <c r="J9" s="14">
        <v>910</v>
      </c>
      <c r="K9" s="14">
        <f t="shared" si="0"/>
        <v>-10</v>
      </c>
      <c r="L9" s="14">
        <f t="shared" si="1"/>
        <v>3248.7</v>
      </c>
      <c r="M9" s="14">
        <f t="shared" si="2"/>
        <v>-35.699999999999996</v>
      </c>
    </row>
    <row r="10" spans="1:13" x14ac:dyDescent="0.25">
      <c r="A10" s="12" t="s">
        <v>9</v>
      </c>
      <c r="B10" s="12" t="s">
        <v>19</v>
      </c>
      <c r="C10" s="12">
        <v>512</v>
      </c>
      <c r="D10" s="12" t="s">
        <v>11</v>
      </c>
      <c r="E10" s="13">
        <v>358434707087002</v>
      </c>
      <c r="F10" s="12" t="s">
        <v>12</v>
      </c>
      <c r="G10" s="12" t="s">
        <v>13</v>
      </c>
      <c r="H10" s="12" t="s">
        <v>20</v>
      </c>
      <c r="I10" s="12">
        <v>1080</v>
      </c>
      <c r="J10" s="14">
        <v>1060</v>
      </c>
      <c r="K10" s="14">
        <f t="shared" si="0"/>
        <v>-20</v>
      </c>
      <c r="L10" s="14">
        <f t="shared" si="1"/>
        <v>3784.2</v>
      </c>
      <c r="M10" s="14">
        <f t="shared" si="2"/>
        <v>-71.399999999999991</v>
      </c>
    </row>
    <row r="11" spans="1:13" x14ac:dyDescent="0.25">
      <c r="A11" s="12" t="s">
        <v>21</v>
      </c>
      <c r="B11" s="12" t="s">
        <v>22</v>
      </c>
      <c r="C11" s="12">
        <v>128</v>
      </c>
      <c r="D11" s="12" t="s">
        <v>23</v>
      </c>
      <c r="E11" s="13">
        <v>351159024289281</v>
      </c>
      <c r="F11" s="12" t="s">
        <v>12</v>
      </c>
      <c r="G11" s="12" t="s">
        <v>24</v>
      </c>
      <c r="H11" s="12" t="s">
        <v>14</v>
      </c>
      <c r="I11" s="12">
        <v>350</v>
      </c>
      <c r="J11" s="14">
        <v>300</v>
      </c>
      <c r="K11" s="14">
        <f t="shared" si="0"/>
        <v>-50</v>
      </c>
      <c r="L11" s="14">
        <f t="shared" si="1"/>
        <v>1071</v>
      </c>
      <c r="M11" s="14">
        <f t="shared" si="2"/>
        <v>-178.5</v>
      </c>
    </row>
    <row r="12" spans="1:13" x14ac:dyDescent="0.25">
      <c r="A12" s="12" t="s">
        <v>21</v>
      </c>
      <c r="B12" s="12" t="s">
        <v>22</v>
      </c>
      <c r="C12" s="12">
        <v>128</v>
      </c>
      <c r="D12" s="12" t="s">
        <v>23</v>
      </c>
      <c r="E12" s="13" t="s">
        <v>25</v>
      </c>
      <c r="F12" s="12" t="s">
        <v>12</v>
      </c>
      <c r="G12" s="12" t="s">
        <v>13</v>
      </c>
      <c r="H12" s="12" t="s">
        <v>26</v>
      </c>
      <c r="I12" s="12">
        <v>350</v>
      </c>
      <c r="J12" s="14">
        <v>285</v>
      </c>
      <c r="K12" s="14">
        <f t="shared" si="0"/>
        <v>-65</v>
      </c>
      <c r="L12" s="14">
        <f t="shared" si="1"/>
        <v>1017.4499999999999</v>
      </c>
      <c r="M12" s="14">
        <f t="shared" si="2"/>
        <v>-232.04999999999998</v>
      </c>
    </row>
    <row r="13" spans="1:13" x14ac:dyDescent="0.25">
      <c r="A13" s="12" t="s">
        <v>27</v>
      </c>
      <c r="B13" s="12" t="s">
        <v>28</v>
      </c>
      <c r="C13" s="12"/>
      <c r="D13" s="12"/>
      <c r="E13" s="13" t="s">
        <v>29</v>
      </c>
      <c r="F13" s="12" t="s">
        <v>12</v>
      </c>
      <c r="G13" s="12" t="s">
        <v>13</v>
      </c>
      <c r="H13" s="12" t="s">
        <v>26</v>
      </c>
      <c r="I13" s="12">
        <v>415</v>
      </c>
      <c r="J13" s="14">
        <v>200</v>
      </c>
      <c r="K13" s="14">
        <f t="shared" si="0"/>
        <v>-215</v>
      </c>
      <c r="L13" s="14">
        <f t="shared" si="1"/>
        <v>714</v>
      </c>
      <c r="M13" s="14">
        <f t="shared" si="2"/>
        <v>-767.55</v>
      </c>
    </row>
    <row r="14" spans="1:13" x14ac:dyDescent="0.25">
      <c r="A14" s="12" t="s">
        <v>30</v>
      </c>
      <c r="B14" s="12" t="s">
        <v>31</v>
      </c>
      <c r="C14" s="12"/>
      <c r="D14" s="12" t="s">
        <v>32</v>
      </c>
      <c r="E14" s="13" t="s">
        <v>33</v>
      </c>
      <c r="F14" s="12" t="s">
        <v>12</v>
      </c>
      <c r="G14" s="12" t="s">
        <v>13</v>
      </c>
      <c r="H14" s="12" t="s">
        <v>26</v>
      </c>
      <c r="I14" s="12">
        <v>225</v>
      </c>
      <c r="J14" s="14">
        <v>210</v>
      </c>
      <c r="K14" s="14">
        <f t="shared" si="0"/>
        <v>-15</v>
      </c>
      <c r="L14" s="14">
        <f t="shared" si="1"/>
        <v>749.69999999999993</v>
      </c>
      <c r="M14" s="14">
        <f t="shared" si="2"/>
        <v>-53.55</v>
      </c>
    </row>
    <row r="15" spans="1:13" x14ac:dyDescent="0.25">
      <c r="A15" s="12" t="s">
        <v>30</v>
      </c>
      <c r="B15" s="12" t="s">
        <v>31</v>
      </c>
      <c r="C15" s="12"/>
      <c r="D15" s="12" t="s">
        <v>32</v>
      </c>
      <c r="E15" s="13" t="s">
        <v>34</v>
      </c>
      <c r="F15" s="12" t="s">
        <v>12</v>
      </c>
      <c r="G15" s="12" t="s">
        <v>13</v>
      </c>
      <c r="H15" s="12" t="s">
        <v>26</v>
      </c>
      <c r="I15" s="12">
        <v>225</v>
      </c>
      <c r="J15" s="14">
        <v>210</v>
      </c>
      <c r="K15" s="14">
        <f t="shared" si="0"/>
        <v>-15</v>
      </c>
      <c r="L15" s="14">
        <f t="shared" si="1"/>
        <v>749.69999999999993</v>
      </c>
      <c r="M15" s="14">
        <f t="shared" si="2"/>
        <v>-53.55</v>
      </c>
    </row>
    <row r="16" spans="1:13" x14ac:dyDescent="0.25">
      <c r="A16" s="12" t="s">
        <v>30</v>
      </c>
      <c r="B16" s="12" t="s">
        <v>31</v>
      </c>
      <c r="C16" s="12"/>
      <c r="D16" s="12" t="s">
        <v>32</v>
      </c>
      <c r="E16" s="13" t="s">
        <v>35</v>
      </c>
      <c r="F16" s="12" t="s">
        <v>12</v>
      </c>
      <c r="G16" s="12" t="s">
        <v>13</v>
      </c>
      <c r="H16" s="12" t="s">
        <v>26</v>
      </c>
      <c r="I16" s="12">
        <v>225</v>
      </c>
      <c r="J16" s="14">
        <v>210</v>
      </c>
      <c r="K16" s="14">
        <f t="shared" si="0"/>
        <v>-15</v>
      </c>
      <c r="L16" s="14">
        <f t="shared" si="1"/>
        <v>749.69999999999993</v>
      </c>
      <c r="M16" s="14">
        <f t="shared" si="2"/>
        <v>-53.55</v>
      </c>
    </row>
    <row r="17" spans="1:14" x14ac:dyDescent="0.25">
      <c r="A17" s="12" t="s">
        <v>30</v>
      </c>
      <c r="B17" s="12" t="s">
        <v>31</v>
      </c>
      <c r="C17" s="12"/>
      <c r="D17" s="12" t="s">
        <v>32</v>
      </c>
      <c r="E17" s="13" t="s">
        <v>36</v>
      </c>
      <c r="F17" s="12" t="s">
        <v>12</v>
      </c>
      <c r="G17" s="12" t="s">
        <v>13</v>
      </c>
      <c r="H17" s="12" t="s">
        <v>26</v>
      </c>
      <c r="I17" s="12">
        <v>225</v>
      </c>
      <c r="J17" s="14">
        <v>210</v>
      </c>
      <c r="K17" s="14">
        <f t="shared" si="0"/>
        <v>-15</v>
      </c>
      <c r="L17" s="14">
        <f t="shared" si="1"/>
        <v>749.69999999999993</v>
      </c>
      <c r="M17" s="14">
        <f t="shared" si="2"/>
        <v>-53.55</v>
      </c>
    </row>
    <row r="18" spans="1:14" x14ac:dyDescent="0.25">
      <c r="A18" s="12" t="s">
        <v>30</v>
      </c>
      <c r="B18" s="12" t="s">
        <v>31</v>
      </c>
      <c r="C18" s="12"/>
      <c r="D18" s="12" t="s">
        <v>32</v>
      </c>
      <c r="E18" s="13" t="s">
        <v>37</v>
      </c>
      <c r="F18" s="12" t="s">
        <v>12</v>
      </c>
      <c r="G18" s="12" t="s">
        <v>13</v>
      </c>
      <c r="H18" s="12" t="s">
        <v>26</v>
      </c>
      <c r="I18" s="12">
        <v>225</v>
      </c>
      <c r="J18" s="14">
        <v>210</v>
      </c>
      <c r="K18" s="14">
        <f t="shared" si="0"/>
        <v>-15</v>
      </c>
      <c r="L18" s="14">
        <f t="shared" si="1"/>
        <v>749.69999999999993</v>
      </c>
      <c r="M18" s="14">
        <f t="shared" si="2"/>
        <v>-53.55</v>
      </c>
    </row>
    <row r="19" spans="1:14" x14ac:dyDescent="0.25">
      <c r="A19" s="12" t="s">
        <v>40</v>
      </c>
      <c r="B19" s="12" t="s">
        <v>41</v>
      </c>
      <c r="C19" s="12"/>
      <c r="D19" s="12" t="s">
        <v>42</v>
      </c>
      <c r="E19" s="13" t="s">
        <v>43</v>
      </c>
      <c r="F19" s="12" t="s">
        <v>12</v>
      </c>
      <c r="G19" s="12" t="s">
        <v>13</v>
      </c>
      <c r="H19" s="12" t="s">
        <v>26</v>
      </c>
      <c r="I19" s="12">
        <v>200</v>
      </c>
      <c r="J19" s="14">
        <v>80</v>
      </c>
      <c r="K19" s="14">
        <f t="shared" si="0"/>
        <v>-120</v>
      </c>
      <c r="L19" s="14">
        <f t="shared" si="1"/>
        <v>285.59999999999997</v>
      </c>
      <c r="M19" s="14">
        <f t="shared" si="2"/>
        <v>-428.4</v>
      </c>
      <c r="N19" s="7" t="s">
        <v>44</v>
      </c>
    </row>
    <row r="20" spans="1:14" x14ac:dyDescent="0.25">
      <c r="A20" s="12" t="s">
        <v>40</v>
      </c>
      <c r="B20" s="12" t="s">
        <v>41</v>
      </c>
      <c r="C20" s="12"/>
      <c r="D20" s="12" t="s">
        <v>42</v>
      </c>
      <c r="E20" s="15" t="s">
        <v>52</v>
      </c>
      <c r="F20" s="12" t="s">
        <v>12</v>
      </c>
      <c r="G20" s="12" t="s">
        <v>13</v>
      </c>
      <c r="H20" s="12" t="s">
        <v>26</v>
      </c>
      <c r="I20" s="12">
        <v>200</v>
      </c>
      <c r="J20" s="14">
        <v>80</v>
      </c>
      <c r="K20" s="14">
        <f t="shared" si="0"/>
        <v>-120</v>
      </c>
      <c r="L20" s="14">
        <f t="shared" si="1"/>
        <v>285.59999999999997</v>
      </c>
      <c r="M20" s="14">
        <f t="shared" si="2"/>
        <v>-428.4</v>
      </c>
      <c r="N20" s="7" t="s">
        <v>44</v>
      </c>
    </row>
    <row r="21" spans="1:14" x14ac:dyDescent="0.25">
      <c r="A21" s="16" t="s">
        <v>46</v>
      </c>
      <c r="B21" s="16" t="s">
        <v>47</v>
      </c>
      <c r="C21" s="16">
        <v>256</v>
      </c>
      <c r="D21" s="16" t="s">
        <v>45</v>
      </c>
      <c r="E21" s="17">
        <v>354689824617494</v>
      </c>
      <c r="F21" s="16" t="s">
        <v>48</v>
      </c>
      <c r="G21" s="16" t="s">
        <v>49</v>
      </c>
      <c r="H21" s="16" t="s">
        <v>50</v>
      </c>
      <c r="I21" s="16">
        <v>380</v>
      </c>
      <c r="J21" s="14">
        <v>300</v>
      </c>
      <c r="K21" s="14">
        <f t="shared" si="0"/>
        <v>-80</v>
      </c>
      <c r="L21" s="14">
        <f t="shared" si="1"/>
        <v>1071</v>
      </c>
      <c r="M21" s="14">
        <f t="shared" si="2"/>
        <v>-285.59999999999997</v>
      </c>
      <c r="N21" s="7" t="s">
        <v>51</v>
      </c>
    </row>
    <row r="22" spans="1:14" x14ac:dyDescent="0.25">
      <c r="A22" s="16" t="s">
        <v>46</v>
      </c>
      <c r="B22" s="16" t="s">
        <v>54</v>
      </c>
      <c r="C22" s="16" t="s">
        <v>55</v>
      </c>
      <c r="D22" s="16" t="s">
        <v>56</v>
      </c>
      <c r="E22" s="17">
        <v>354345293865078</v>
      </c>
      <c r="F22" s="16" t="s">
        <v>48</v>
      </c>
      <c r="G22" s="16" t="s">
        <v>49</v>
      </c>
      <c r="H22" s="16" t="s">
        <v>57</v>
      </c>
      <c r="I22" s="16">
        <v>540</v>
      </c>
      <c r="J22" s="14">
        <v>400</v>
      </c>
      <c r="K22" s="14">
        <f t="shared" si="0"/>
        <v>-140</v>
      </c>
      <c r="L22" s="14">
        <f t="shared" si="1"/>
        <v>1428</v>
      </c>
      <c r="M22" s="14">
        <f t="shared" si="2"/>
        <v>-499.79999999999995</v>
      </c>
    </row>
    <row r="23" spans="1:14" x14ac:dyDescent="0.25">
      <c r="A23" s="12" t="s">
        <v>9</v>
      </c>
      <c r="B23" s="12" t="s">
        <v>17</v>
      </c>
      <c r="C23" s="12">
        <v>256</v>
      </c>
      <c r="D23" s="12" t="s">
        <v>23</v>
      </c>
      <c r="E23" s="13">
        <v>353497851021437</v>
      </c>
      <c r="F23" s="12" t="s">
        <v>53</v>
      </c>
      <c r="G23" s="12" t="s">
        <v>24</v>
      </c>
      <c r="H23" s="12" t="s">
        <v>20</v>
      </c>
      <c r="I23" s="12">
        <v>840</v>
      </c>
      <c r="J23" s="14">
        <v>790</v>
      </c>
      <c r="K23" s="14">
        <f t="shared" si="0"/>
        <v>-50</v>
      </c>
      <c r="L23" s="14">
        <f t="shared" si="1"/>
        <v>2820.2999999999997</v>
      </c>
      <c r="M23" s="14">
        <f t="shared" si="2"/>
        <v>-178.5</v>
      </c>
    </row>
    <row r="24" spans="1:14" x14ac:dyDescent="0.25">
      <c r="A24" s="12" t="s">
        <v>9</v>
      </c>
      <c r="B24" s="12" t="s">
        <v>19</v>
      </c>
      <c r="C24" s="12">
        <v>256</v>
      </c>
      <c r="D24" s="12" t="s">
        <v>23</v>
      </c>
      <c r="E24" s="13">
        <v>359614549650955</v>
      </c>
      <c r="F24" s="12" t="s">
        <v>53</v>
      </c>
      <c r="G24" s="12" t="s">
        <v>24</v>
      </c>
      <c r="H24" s="12" t="s">
        <v>58</v>
      </c>
      <c r="I24" s="12">
        <v>830</v>
      </c>
      <c r="J24" s="14">
        <v>790</v>
      </c>
      <c r="K24" s="14">
        <f t="shared" si="0"/>
        <v>-40</v>
      </c>
      <c r="L24" s="14">
        <f t="shared" si="1"/>
        <v>2820.2999999999997</v>
      </c>
      <c r="M24" s="14">
        <f t="shared" si="2"/>
        <v>-142.79999999999998</v>
      </c>
    </row>
    <row r="25" spans="1:14" x14ac:dyDescent="0.25">
      <c r="A25" s="16" t="s">
        <v>46</v>
      </c>
      <c r="B25" s="16" t="s">
        <v>47</v>
      </c>
      <c r="C25" s="16">
        <v>256</v>
      </c>
      <c r="D25" s="16" t="s">
        <v>45</v>
      </c>
      <c r="E25" s="17">
        <v>358606711541302</v>
      </c>
      <c r="F25" s="16" t="s">
        <v>48</v>
      </c>
      <c r="G25" s="16" t="s">
        <v>49</v>
      </c>
      <c r="H25" s="16" t="s">
        <v>59</v>
      </c>
      <c r="I25" s="16">
        <v>550</v>
      </c>
      <c r="J25" s="14">
        <v>380</v>
      </c>
      <c r="K25" s="14">
        <f t="shared" si="0"/>
        <v>-170</v>
      </c>
      <c r="L25" s="14">
        <f t="shared" si="1"/>
        <v>1356.6</v>
      </c>
      <c r="M25" s="14">
        <f t="shared" si="2"/>
        <v>-606.9</v>
      </c>
    </row>
    <row r="26" spans="1:14" x14ac:dyDescent="0.25">
      <c r="A26" s="16" t="s">
        <v>60</v>
      </c>
      <c r="B26" s="16" t="s">
        <v>61</v>
      </c>
      <c r="C26" s="16"/>
      <c r="D26" s="16"/>
      <c r="E26" s="17" t="s">
        <v>62</v>
      </c>
      <c r="F26" s="16" t="s">
        <v>63</v>
      </c>
      <c r="G26" s="16"/>
      <c r="H26" s="16"/>
      <c r="I26" s="16">
        <v>85</v>
      </c>
      <c r="J26" s="14">
        <v>80</v>
      </c>
      <c r="K26" s="14">
        <f t="shared" si="0"/>
        <v>-5</v>
      </c>
      <c r="L26" s="14">
        <f t="shared" si="1"/>
        <v>285.59999999999997</v>
      </c>
      <c r="M26" s="14">
        <f t="shared" si="2"/>
        <v>-17.849999999999998</v>
      </c>
    </row>
    <row r="27" spans="1:14" x14ac:dyDescent="0.25">
      <c r="A27" s="16" t="s">
        <v>60</v>
      </c>
      <c r="B27" s="16" t="s">
        <v>61</v>
      </c>
      <c r="C27" s="16"/>
      <c r="D27" s="16"/>
      <c r="E27" s="17" t="s">
        <v>64</v>
      </c>
      <c r="F27" s="16" t="s">
        <v>63</v>
      </c>
      <c r="G27" s="16"/>
      <c r="H27" s="16"/>
      <c r="I27" s="16">
        <v>85</v>
      </c>
      <c r="J27" s="14">
        <v>80</v>
      </c>
      <c r="K27" s="14">
        <f t="shared" si="0"/>
        <v>-5</v>
      </c>
      <c r="L27" s="14">
        <f t="shared" si="1"/>
        <v>285.59999999999997</v>
      </c>
      <c r="M27" s="14">
        <f t="shared" si="2"/>
        <v>-17.849999999999998</v>
      </c>
    </row>
    <row r="28" spans="1:14" x14ac:dyDescent="0.25">
      <c r="A28" s="16" t="s">
        <v>60</v>
      </c>
      <c r="B28" s="16" t="s">
        <v>61</v>
      </c>
      <c r="C28" s="16"/>
      <c r="D28" s="16"/>
      <c r="E28" s="17" t="s">
        <v>65</v>
      </c>
      <c r="F28" s="16" t="s">
        <v>63</v>
      </c>
      <c r="G28" s="16" t="s">
        <v>66</v>
      </c>
      <c r="H28" s="16" t="s">
        <v>67</v>
      </c>
      <c r="I28" s="16">
        <v>85</v>
      </c>
      <c r="J28" s="14">
        <v>80</v>
      </c>
      <c r="K28" s="14">
        <f t="shared" si="0"/>
        <v>-5</v>
      </c>
      <c r="L28" s="14">
        <f t="shared" si="1"/>
        <v>285.59999999999997</v>
      </c>
      <c r="M28" s="14">
        <f t="shared" si="2"/>
        <v>-17.849999999999998</v>
      </c>
    </row>
    <row r="29" spans="1:14" x14ac:dyDescent="0.25">
      <c r="A29" s="16" t="s">
        <v>68</v>
      </c>
      <c r="B29" s="16" t="s">
        <v>61</v>
      </c>
      <c r="C29" s="16" t="s">
        <v>69</v>
      </c>
      <c r="D29" s="16" t="s">
        <v>70</v>
      </c>
      <c r="E29" s="17" t="s">
        <v>71</v>
      </c>
      <c r="F29" s="16" t="s">
        <v>63</v>
      </c>
      <c r="G29" s="16" t="s">
        <v>66</v>
      </c>
      <c r="H29" s="16" t="s">
        <v>67</v>
      </c>
      <c r="I29" s="16">
        <v>85</v>
      </c>
      <c r="J29" s="14">
        <v>80</v>
      </c>
      <c r="K29" s="14">
        <f t="shared" si="0"/>
        <v>-5</v>
      </c>
      <c r="L29" s="14">
        <f t="shared" si="1"/>
        <v>285.59999999999997</v>
      </c>
      <c r="M29" s="14">
        <f t="shared" si="2"/>
        <v>-17.849999999999998</v>
      </c>
    </row>
    <row r="30" spans="1:14" x14ac:dyDescent="0.25">
      <c r="A30" s="16" t="s">
        <v>72</v>
      </c>
      <c r="B30" s="16" t="s">
        <v>73</v>
      </c>
      <c r="C30" s="16" t="s">
        <v>74</v>
      </c>
      <c r="D30" s="16" t="s">
        <v>74</v>
      </c>
      <c r="E30" s="17" t="s">
        <v>75</v>
      </c>
      <c r="F30" s="16" t="s">
        <v>63</v>
      </c>
      <c r="G30" s="16" t="s">
        <v>66</v>
      </c>
      <c r="H30" s="16" t="s">
        <v>67</v>
      </c>
      <c r="I30" s="16">
        <v>85</v>
      </c>
      <c r="J30" s="14">
        <v>80</v>
      </c>
      <c r="K30" s="14">
        <f t="shared" si="0"/>
        <v>-5</v>
      </c>
      <c r="L30" s="14">
        <f t="shared" si="1"/>
        <v>285.59999999999997</v>
      </c>
      <c r="M30" s="14">
        <f t="shared" si="2"/>
        <v>-17.849999999999998</v>
      </c>
    </row>
    <row r="31" spans="1:14" x14ac:dyDescent="0.25">
      <c r="A31" s="16" t="s">
        <v>68</v>
      </c>
      <c r="B31" s="16" t="s">
        <v>76</v>
      </c>
      <c r="C31" s="16" t="s">
        <v>69</v>
      </c>
      <c r="D31" s="16" t="s">
        <v>56</v>
      </c>
      <c r="E31" s="17" t="s">
        <v>77</v>
      </c>
      <c r="F31" s="16" t="s">
        <v>63</v>
      </c>
      <c r="G31" s="16" t="s">
        <v>66</v>
      </c>
      <c r="H31" s="16" t="s">
        <v>67</v>
      </c>
      <c r="I31" s="16">
        <v>415</v>
      </c>
      <c r="J31" s="14">
        <v>350</v>
      </c>
      <c r="K31" s="14">
        <f t="shared" si="0"/>
        <v>-65</v>
      </c>
      <c r="L31" s="14">
        <f t="shared" si="1"/>
        <v>1249.5</v>
      </c>
      <c r="M31" s="14">
        <f t="shared" si="2"/>
        <v>-232.04999999999998</v>
      </c>
    </row>
    <row r="32" spans="1:14" x14ac:dyDescent="0.25">
      <c r="A32" s="16" t="s">
        <v>60</v>
      </c>
      <c r="B32" s="16" t="s">
        <v>78</v>
      </c>
      <c r="C32" s="16" t="s">
        <v>74</v>
      </c>
      <c r="D32" s="16" t="s">
        <v>70</v>
      </c>
      <c r="E32" s="17" t="s">
        <v>79</v>
      </c>
      <c r="F32" s="16" t="s">
        <v>63</v>
      </c>
      <c r="G32" s="16" t="s">
        <v>66</v>
      </c>
      <c r="H32" s="16" t="s">
        <v>67</v>
      </c>
      <c r="I32" s="16">
        <v>125</v>
      </c>
      <c r="J32" s="14">
        <v>120</v>
      </c>
      <c r="K32" s="14">
        <f t="shared" si="0"/>
        <v>-5</v>
      </c>
      <c r="L32" s="14">
        <f t="shared" si="1"/>
        <v>428.4</v>
      </c>
      <c r="M32" s="14">
        <f t="shared" si="2"/>
        <v>-17.849999999999998</v>
      </c>
    </row>
    <row r="33" spans="1:13" x14ac:dyDescent="0.25">
      <c r="A33" s="16" t="s">
        <v>60</v>
      </c>
      <c r="B33" s="16" t="s">
        <v>78</v>
      </c>
      <c r="C33" s="16" t="s">
        <v>74</v>
      </c>
      <c r="D33" s="16" t="s">
        <v>70</v>
      </c>
      <c r="E33" s="17" t="s">
        <v>80</v>
      </c>
      <c r="F33" s="16" t="s">
        <v>63</v>
      </c>
      <c r="G33" s="16" t="s">
        <v>66</v>
      </c>
      <c r="H33" s="16" t="s">
        <v>67</v>
      </c>
      <c r="I33" s="16">
        <v>125</v>
      </c>
      <c r="J33" s="14">
        <v>120</v>
      </c>
      <c r="K33" s="14">
        <f t="shared" si="0"/>
        <v>-5</v>
      </c>
      <c r="L33" s="14">
        <f t="shared" si="1"/>
        <v>428.4</v>
      </c>
      <c r="M33" s="14">
        <f t="shared" si="2"/>
        <v>-17.849999999999998</v>
      </c>
    </row>
    <row r="34" spans="1:13" x14ac:dyDescent="0.25">
      <c r="A34" s="16" t="s">
        <v>60</v>
      </c>
      <c r="B34" s="16" t="s">
        <v>78</v>
      </c>
      <c r="C34" s="16"/>
      <c r="D34" s="16"/>
      <c r="E34" s="17" t="s">
        <v>81</v>
      </c>
      <c r="F34" s="16" t="s">
        <v>63</v>
      </c>
      <c r="G34" s="16" t="s">
        <v>66</v>
      </c>
      <c r="H34" s="16" t="s">
        <v>67</v>
      </c>
      <c r="I34" s="16">
        <v>125</v>
      </c>
      <c r="J34" s="14">
        <v>120</v>
      </c>
      <c r="K34" s="14">
        <f t="shared" si="0"/>
        <v>-5</v>
      </c>
      <c r="L34" s="14">
        <f t="shared" si="1"/>
        <v>428.4</v>
      </c>
      <c r="M34" s="14">
        <f t="shared" si="2"/>
        <v>-17.849999999999998</v>
      </c>
    </row>
    <row r="35" spans="1:13" x14ac:dyDescent="0.25">
      <c r="A35" s="16" t="s">
        <v>60</v>
      </c>
      <c r="B35" s="16" t="s">
        <v>78</v>
      </c>
      <c r="C35" s="16"/>
      <c r="D35" s="16"/>
      <c r="E35" s="17" t="s">
        <v>82</v>
      </c>
      <c r="F35" s="16" t="s">
        <v>63</v>
      </c>
      <c r="G35" s="16" t="s">
        <v>66</v>
      </c>
      <c r="H35" s="16" t="s">
        <v>67</v>
      </c>
      <c r="I35" s="16">
        <v>125</v>
      </c>
      <c r="J35" s="14">
        <v>120</v>
      </c>
      <c r="K35" s="14">
        <f t="shared" si="0"/>
        <v>-5</v>
      </c>
      <c r="L35" s="14">
        <f t="shared" si="1"/>
        <v>428.4</v>
      </c>
      <c r="M35" s="14">
        <f t="shared" si="2"/>
        <v>-17.849999999999998</v>
      </c>
    </row>
    <row r="36" spans="1:13" x14ac:dyDescent="0.25">
      <c r="A36" s="16" t="s">
        <v>72</v>
      </c>
      <c r="B36" s="16" t="s">
        <v>83</v>
      </c>
      <c r="C36" s="16" t="s">
        <v>74</v>
      </c>
      <c r="D36" s="16" t="s">
        <v>74</v>
      </c>
      <c r="E36" s="17" t="s">
        <v>84</v>
      </c>
      <c r="F36" s="16" t="s">
        <v>63</v>
      </c>
      <c r="G36" s="16" t="s">
        <v>66</v>
      </c>
      <c r="H36" s="16" t="s">
        <v>67</v>
      </c>
      <c r="I36" s="16">
        <v>125</v>
      </c>
      <c r="J36" s="14">
        <v>120</v>
      </c>
      <c r="K36" s="14">
        <f t="shared" si="0"/>
        <v>-5</v>
      </c>
      <c r="L36" s="14">
        <f t="shared" si="1"/>
        <v>428.4</v>
      </c>
      <c r="M36" s="14">
        <f t="shared" si="2"/>
        <v>-17.849999999999998</v>
      </c>
    </row>
    <row r="37" spans="1:13" x14ac:dyDescent="0.25">
      <c r="A37" s="16" t="s">
        <v>72</v>
      </c>
      <c r="B37" s="16" t="s">
        <v>83</v>
      </c>
      <c r="C37" s="16" t="s">
        <v>74</v>
      </c>
      <c r="D37" s="16" t="s">
        <v>74</v>
      </c>
      <c r="E37" s="17" t="s">
        <v>85</v>
      </c>
      <c r="F37" s="16" t="s">
        <v>63</v>
      </c>
      <c r="G37" s="16" t="s">
        <v>66</v>
      </c>
      <c r="H37" s="16" t="s">
        <v>67</v>
      </c>
      <c r="I37" s="16">
        <v>125</v>
      </c>
      <c r="J37" s="14">
        <v>120</v>
      </c>
      <c r="K37" s="14">
        <f t="shared" si="0"/>
        <v>-5</v>
      </c>
      <c r="L37" s="14">
        <f t="shared" si="1"/>
        <v>428.4</v>
      </c>
      <c r="M37" s="14">
        <f t="shared" si="2"/>
        <v>-17.849999999999998</v>
      </c>
    </row>
    <row r="38" spans="1:13" x14ac:dyDescent="0.25">
      <c r="A38" s="19"/>
      <c r="B38" s="19" t="s">
        <v>87</v>
      </c>
      <c r="C38" s="19"/>
      <c r="D38" s="19" t="s">
        <v>88</v>
      </c>
      <c r="E38" s="20" t="s">
        <v>89</v>
      </c>
      <c r="F38" s="19" t="s">
        <v>63</v>
      </c>
      <c r="G38" s="19" t="s">
        <v>66</v>
      </c>
      <c r="H38" s="19" t="s">
        <v>57</v>
      </c>
      <c r="I38" s="19">
        <v>225</v>
      </c>
      <c r="J38" s="18">
        <v>210</v>
      </c>
      <c r="K38" s="21">
        <f t="shared" si="0"/>
        <v>-15</v>
      </c>
      <c r="L38" s="21">
        <f t="shared" si="1"/>
        <v>749.69999999999993</v>
      </c>
      <c r="M38" s="14">
        <f t="shared" si="2"/>
        <v>-53.55</v>
      </c>
    </row>
    <row r="39" spans="1:13" x14ac:dyDescent="0.25">
      <c r="A39" s="12" t="s">
        <v>9</v>
      </c>
      <c r="B39" s="12" t="s">
        <v>17</v>
      </c>
      <c r="C39" s="12">
        <v>512</v>
      </c>
      <c r="D39" s="12" t="s">
        <v>11</v>
      </c>
      <c r="E39" s="13">
        <v>358434702802272</v>
      </c>
      <c r="F39" s="12" t="s">
        <v>12</v>
      </c>
      <c r="G39" s="12" t="s">
        <v>24</v>
      </c>
      <c r="H39" s="12" t="s">
        <v>18</v>
      </c>
      <c r="I39" s="12">
        <v>1080</v>
      </c>
      <c r="J39" s="14">
        <v>1040</v>
      </c>
      <c r="K39" s="14">
        <f t="shared" si="0"/>
        <v>-40</v>
      </c>
      <c r="L39" s="14">
        <f t="shared" si="1"/>
        <v>3712.7999999999997</v>
      </c>
      <c r="M39" s="14">
        <f t="shared" si="2"/>
        <v>-142.79999999999998</v>
      </c>
    </row>
    <row r="40" spans="1:13" x14ac:dyDescent="0.25">
      <c r="A40" s="12" t="s">
        <v>9</v>
      </c>
      <c r="B40" s="12" t="s">
        <v>17</v>
      </c>
      <c r="C40" s="12">
        <v>512</v>
      </c>
      <c r="D40" s="12" t="s">
        <v>16</v>
      </c>
      <c r="E40" s="13">
        <v>359814719579154</v>
      </c>
      <c r="F40" s="12" t="s">
        <v>12</v>
      </c>
      <c r="G40" s="12" t="s">
        <v>24</v>
      </c>
      <c r="H40" s="12" t="s">
        <v>18</v>
      </c>
      <c r="I40" s="12">
        <v>1080</v>
      </c>
      <c r="J40" s="14">
        <v>1040</v>
      </c>
      <c r="K40" s="14">
        <f t="shared" si="0"/>
        <v>-40</v>
      </c>
      <c r="L40" s="14">
        <f t="shared" si="1"/>
        <v>3712.7999999999997</v>
      </c>
      <c r="M40" s="14">
        <f t="shared" si="2"/>
        <v>-142.79999999999998</v>
      </c>
    </row>
    <row r="41" spans="1:13" x14ac:dyDescent="0.25">
      <c r="A41" s="8"/>
      <c r="B41" s="8"/>
      <c r="C41" s="8"/>
      <c r="D41" s="8"/>
      <c r="E41" s="9"/>
      <c r="F41" s="8"/>
      <c r="G41" s="8"/>
      <c r="H41" s="8"/>
      <c r="I41" s="8"/>
      <c r="J41" s="10"/>
      <c r="K41" s="10"/>
      <c r="L41" s="10"/>
      <c r="M41" s="5"/>
    </row>
    <row r="42" spans="1:13" x14ac:dyDescent="0.25">
      <c r="A42" s="3"/>
      <c r="B42" s="3"/>
      <c r="C42" s="3"/>
      <c r="D42" s="3"/>
      <c r="E42" s="4"/>
      <c r="F42" s="3"/>
      <c r="G42" s="3"/>
      <c r="H42" s="3"/>
      <c r="I42" s="3"/>
      <c r="J42" s="5"/>
      <c r="K42" s="5"/>
      <c r="L42" s="5"/>
      <c r="M42" s="5"/>
    </row>
    <row r="43" spans="1:13" ht="15.75" x14ac:dyDescent="0.25">
      <c r="I43" s="6">
        <f>SUM(I2:I42)</f>
        <v>19555</v>
      </c>
      <c r="J43" s="6">
        <f>SUM(J2:J42)</f>
        <v>18085</v>
      </c>
      <c r="K43" s="6">
        <f>SUM(K2:K42)</f>
        <v>-1470</v>
      </c>
      <c r="L43" s="22">
        <f>SUM(L2:L42)</f>
        <v>64563.44999999999</v>
      </c>
      <c r="M43" s="22">
        <f>K43*3.57</f>
        <v>-5247.9</v>
      </c>
    </row>
  </sheetData>
  <autoFilter ref="C1:L38" xr:uid="{EDBD0602-7936-414A-87DB-3F6236260511}"/>
  <conditionalFormatting sqref="E2:E31">
    <cfRule type="duplicateValues" dxfId="4" priority="5"/>
  </conditionalFormatting>
  <conditionalFormatting sqref="E32:E35">
    <cfRule type="duplicateValues" dxfId="3" priority="4"/>
  </conditionalFormatting>
  <conditionalFormatting sqref="E36:E37">
    <cfRule type="duplicateValues" dxfId="2" priority="3"/>
  </conditionalFormatting>
  <conditionalFormatting sqref="E38 E41">
    <cfRule type="duplicateValues" dxfId="1" priority="2"/>
  </conditionalFormatting>
  <conditionalFormatting sqref="E39:E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2026-04-25T11:55:51Z</dcterms:created>
  <dcterms:modified xsi:type="dcterms:W3CDTF">2026-04-28T11:04:44Z</dcterms:modified>
</cp:coreProperties>
</file>