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3B458E0-85C4-4637-8334-65C2E2EE3B77}" xr6:coauthVersionLast="47" xr6:coauthVersionMax="47" xr10:uidLastSave="{00000000-0000-0000-0000-000000000000}"/>
  <bookViews>
    <workbookView xWindow="-120" yWindow="-120" windowWidth="20730" windowHeight="11040" xr2:uid="{95602726-6823-4F44-B334-148EAF390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/>
  <c r="L18" i="1"/>
  <c r="L19" i="1"/>
  <c r="L20" i="1"/>
  <c r="L21" i="1"/>
  <c r="L22" i="1"/>
  <c r="L23" i="1"/>
  <c r="L17" i="1"/>
  <c r="L5" i="1"/>
  <c r="L6" i="1"/>
  <c r="L7" i="1"/>
  <c r="L8" i="1"/>
  <c r="L9" i="1"/>
  <c r="L10" i="1"/>
  <c r="L11" i="1"/>
  <c r="L12" i="1"/>
  <c r="L4" i="1"/>
  <c r="L13" i="1"/>
  <c r="K13" i="1"/>
  <c r="K18" i="1"/>
  <c r="K19" i="1"/>
  <c r="K20" i="1"/>
  <c r="K21" i="1"/>
  <c r="K22" i="1"/>
  <c r="K23" i="1"/>
  <c r="K17" i="1"/>
  <c r="K5" i="1"/>
  <c r="K6" i="1"/>
  <c r="K7" i="1"/>
  <c r="K8" i="1"/>
  <c r="K9" i="1"/>
  <c r="K10" i="1"/>
  <c r="K11" i="1"/>
  <c r="K12" i="1"/>
  <c r="K4" i="1"/>
  <c r="I28" i="1"/>
  <c r="J24" i="1"/>
  <c r="I24" i="1"/>
  <c r="H24" i="1"/>
  <c r="H13" i="1"/>
  <c r="I13" i="1"/>
  <c r="J13" i="1"/>
</calcChain>
</file>

<file path=xl/sharedStrings.xml><?xml version="1.0" encoding="utf-8"?>
<sst xmlns="http://schemas.openxmlformats.org/spreadsheetml/2006/main" count="125" uniqueCount="57">
  <si>
    <t>ITEM DESCRIPTION</t>
  </si>
  <si>
    <t>STORAGE</t>
  </si>
  <si>
    <t>COLOR</t>
  </si>
  <si>
    <t>IMEI</t>
  </si>
  <si>
    <t>BOX/HSO</t>
  </si>
  <si>
    <t>CARRIER</t>
  </si>
  <si>
    <t>STATUS</t>
  </si>
  <si>
    <t>USD PRICE</t>
  </si>
  <si>
    <t>Last Purchasing</t>
  </si>
  <si>
    <t>Different Prices</t>
  </si>
  <si>
    <t>iPhone 17 Pro Max Locked 256GB(Locked)</t>
  </si>
  <si>
    <t>256GB</t>
  </si>
  <si>
    <t>ORANGE</t>
  </si>
  <si>
    <t>BOX</t>
  </si>
  <si>
    <t>VERIZON</t>
  </si>
  <si>
    <t>ACTIVE</t>
  </si>
  <si>
    <t>iPhone 17 Pro Max 256GB (Locked)</t>
  </si>
  <si>
    <t>NONACTIVE</t>
  </si>
  <si>
    <t>Apple Watch S11 42MM GPS</t>
  </si>
  <si>
    <t>-</t>
  </si>
  <si>
    <t>ROSEGOLD</t>
  </si>
  <si>
    <t>SC233N9L7P1</t>
  </si>
  <si>
    <t>WIFI</t>
  </si>
  <si>
    <t>SCR64Ǫ07XG4</t>
  </si>
  <si>
    <t>AT&amp;T</t>
  </si>
  <si>
    <t>SDR749F2D22</t>
  </si>
  <si>
    <t>SF37NJXPF7G</t>
  </si>
  <si>
    <t>BLACK</t>
  </si>
  <si>
    <t>SLXMǪKRX7ǪY</t>
  </si>
  <si>
    <t>SC6407PXǪMG</t>
  </si>
  <si>
    <t>Model</t>
  </si>
  <si>
    <t>Storage</t>
  </si>
  <si>
    <t>Colour</t>
  </si>
  <si>
    <t>USD Prices</t>
  </si>
  <si>
    <t xml:space="preserve">Differend Prices </t>
  </si>
  <si>
    <r>
      <rPr>
        <sz val="11"/>
        <color rgb="FF37751C"/>
        <rFont val="Verdana"/>
        <family val="2"/>
      </rPr>
      <t>PS5 Digital</t>
    </r>
  </si>
  <si>
    <r>
      <rPr>
        <sz val="11"/>
        <color rgb="FF37751C"/>
        <rFont val="Verdana"/>
        <family val="2"/>
      </rPr>
      <t>S01V55901UNL11544723</t>
    </r>
  </si>
  <si>
    <r>
      <rPr>
        <sz val="11"/>
        <color rgb="FF37751C"/>
        <rFont val="Verdana"/>
        <family val="2"/>
      </rPr>
      <t>BOX</t>
    </r>
  </si>
  <si>
    <r>
      <rPr>
        <sz val="11"/>
        <color rgb="FF37751C"/>
        <rFont val="Verdana"/>
        <family val="2"/>
      </rPr>
      <t>NON ACTIVE</t>
    </r>
  </si>
  <si>
    <r>
      <rPr>
        <sz val="11"/>
        <color rgb="FF37751C"/>
        <rFont val="Verdana"/>
        <family val="2"/>
      </rPr>
      <t>WIFI</t>
    </r>
  </si>
  <si>
    <r>
      <rPr>
        <sz val="11"/>
        <color rgb="FF37751C"/>
        <rFont val="Verdana"/>
        <family val="2"/>
      </rPr>
      <t>WHITE</t>
    </r>
  </si>
  <si>
    <r>
      <rPr>
        <sz val="11"/>
        <color rgb="FF37751C"/>
        <rFont val="Verdana"/>
        <family val="2"/>
      </rPr>
      <t>S01M55901RU310372360</t>
    </r>
  </si>
  <si>
    <r>
      <rPr>
        <sz val="11"/>
        <color rgb="FF37751C"/>
        <rFont val="Verdana"/>
        <family val="2"/>
      </rPr>
      <t>S01V55901UNL11465636</t>
    </r>
  </si>
  <si>
    <r>
      <rPr>
        <sz val="11"/>
        <color rgb="FF37751C"/>
        <rFont val="Verdana"/>
        <family val="2"/>
      </rPr>
      <t>PS5-Digital</t>
    </r>
  </si>
  <si>
    <r>
      <rPr>
        <sz val="11"/>
        <color rgb="FF37751C"/>
        <rFont val="Verdana"/>
        <family val="2"/>
      </rPr>
      <t>S01V55901UNL11549135</t>
    </r>
  </si>
  <si>
    <t>Xbox X</t>
  </si>
  <si>
    <t>NON ACTIVE</t>
  </si>
  <si>
    <r>
      <rPr>
        <sz val="11"/>
        <color rgb="FF1B4586"/>
        <rFont val="Verdana"/>
        <family val="2"/>
      </rPr>
      <t>SERIES X</t>
    </r>
  </si>
  <si>
    <r>
      <rPr>
        <sz val="11"/>
        <color rgb="FF1B4586"/>
        <rFont val="Verdana"/>
        <family val="2"/>
      </rPr>
      <t>1TB</t>
    </r>
  </si>
  <si>
    <r>
      <rPr>
        <sz val="11"/>
        <color rgb="FF1B4586"/>
        <rFont val="Verdana"/>
        <family val="2"/>
      </rPr>
      <t>-</t>
    </r>
  </si>
  <si>
    <r>
      <rPr>
        <sz val="11"/>
        <color rgb="FF1B4586"/>
        <rFont val="Verdana"/>
        <family val="2"/>
      </rPr>
      <t>BOX</t>
    </r>
  </si>
  <si>
    <r>
      <rPr>
        <sz val="11"/>
        <color rgb="FF1B4586"/>
        <rFont val="Verdana"/>
        <family val="2"/>
      </rPr>
      <t>NON ACTIVE</t>
    </r>
  </si>
  <si>
    <r>
      <rPr>
        <sz val="11"/>
        <color rgb="FF1B4586"/>
        <rFont val="Verdana"/>
        <family val="2"/>
      </rPr>
      <t>WIFI</t>
    </r>
  </si>
  <si>
    <t>XBOX X</t>
  </si>
  <si>
    <t>Invoice AR 18 PALLET</t>
  </si>
  <si>
    <t>Invoice AR 7113</t>
  </si>
  <si>
    <t xml:space="preserve">Total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</si>
</sst>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s&quot;* #,##0.00_-;\-&quot;Rs&quot;* #,##0.00_-;_-&quot;Rs&quot;* &quot;-&quot;??_-;_-@_-"/>
    <numFmt numFmtId="164" formatCode="_-[$USD]\ * #,##0.00_-;\-[$USD]\ * #,##0.00_-;_-[$USD]\ * &quot;-&quot;??_-;_-@_-"/>
    <numFmt numFmtId="165" formatCode="_-[$AED]\ * #,##0.00_-;\-[$AED]\ * #,##0.00_-;_-[$AED]\ * &quot;-&quot;??_-;_-@_-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37751C"/>
      <name val="Verdana"/>
      <family val="2"/>
    </font>
    <font>
      <sz val="11"/>
      <color rgb="FF1B4586"/>
      <name val="Verdana"/>
      <family val="2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7"/>
      <color rgb="FF4F93D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2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0" borderId="0" xfId="0" applyFont="1"/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2" fillId="2" borderId="1" xfId="0" applyNumberFormat="1" applyFont="1" applyFill="1" applyBorder="1"/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A456-4771-4A24-8076-4233EB9DC8C7}">
  <dimension ref="A1:L36"/>
  <sheetViews>
    <sheetView tabSelected="1" topLeftCell="B9" zoomScale="86" zoomScaleNormal="86" workbookViewId="0">
      <selection activeCell="K27" sqref="K27"/>
    </sheetView>
  </sheetViews>
  <sheetFormatPr defaultRowHeight="15" x14ac:dyDescent="0.25"/>
  <cols>
    <col min="1" max="1" width="38" bestFit="1" customWidth="1"/>
    <col min="2" max="2" width="10" bestFit="1" customWidth="1"/>
    <col min="3" max="3" width="10.5703125" bestFit="1" customWidth="1"/>
    <col min="4" max="4" width="30.85546875" bestFit="1" customWidth="1"/>
    <col min="5" max="5" width="10.28515625" bestFit="1" customWidth="1"/>
    <col min="6" max="6" width="14.42578125" bestFit="1" customWidth="1"/>
    <col min="7" max="7" width="11.28515625" bestFit="1" customWidth="1"/>
    <col min="8" max="8" width="25" customWidth="1"/>
    <col min="9" max="9" width="23" customWidth="1"/>
    <col min="10" max="10" width="18.28515625" bestFit="1" customWidth="1"/>
    <col min="11" max="11" width="22" bestFit="1" customWidth="1"/>
    <col min="12" max="12" width="17.7109375" bestFit="1" customWidth="1"/>
  </cols>
  <sheetData>
    <row r="1" spans="1:12" x14ac:dyDescent="0.25">
      <c r="A1" s="9" t="s">
        <v>55</v>
      </c>
    </row>
    <row r="2" spans="1:12" x14ac:dyDescent="0.25">
      <c r="A2" s="10"/>
    </row>
    <row r="3" spans="1:12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2" x14ac:dyDescent="0.25">
      <c r="A4" s="12" t="s">
        <v>10</v>
      </c>
      <c r="B4" s="12" t="s">
        <v>11</v>
      </c>
      <c r="C4" s="12" t="s">
        <v>12</v>
      </c>
      <c r="D4" s="13">
        <v>358206139332127</v>
      </c>
      <c r="E4" s="12" t="s">
        <v>13</v>
      </c>
      <c r="F4" s="12" t="s">
        <v>14</v>
      </c>
      <c r="G4" s="14" t="s">
        <v>15</v>
      </c>
      <c r="H4" s="12">
        <v>910</v>
      </c>
      <c r="I4" s="12">
        <v>900</v>
      </c>
      <c r="J4" s="15">
        <v>-10</v>
      </c>
      <c r="K4" s="12">
        <f>I4*3.57</f>
        <v>3213</v>
      </c>
      <c r="L4" s="12">
        <f>J4*3.57</f>
        <v>-35.699999999999996</v>
      </c>
    </row>
    <row r="5" spans="1:12" x14ac:dyDescent="0.25">
      <c r="A5" s="12" t="s">
        <v>18</v>
      </c>
      <c r="B5" s="12" t="s">
        <v>19</v>
      </c>
      <c r="C5" s="12" t="s">
        <v>20</v>
      </c>
      <c r="D5" s="13" t="s">
        <v>21</v>
      </c>
      <c r="E5" s="12" t="s">
        <v>13</v>
      </c>
      <c r="F5" s="12" t="s">
        <v>22</v>
      </c>
      <c r="G5" s="14" t="s">
        <v>17</v>
      </c>
      <c r="H5" s="12">
        <v>325</v>
      </c>
      <c r="I5" s="12">
        <v>290</v>
      </c>
      <c r="J5" s="15">
        <v>-35</v>
      </c>
      <c r="K5" s="12">
        <f t="shared" ref="K5:K12" si="0">I5*3.57</f>
        <v>1035.3</v>
      </c>
      <c r="L5" s="12">
        <f t="shared" ref="L5:L12" si="1">J5*3.57</f>
        <v>-124.94999999999999</v>
      </c>
    </row>
    <row r="6" spans="1:12" x14ac:dyDescent="0.25">
      <c r="A6" s="12" t="s">
        <v>18</v>
      </c>
      <c r="B6" s="12" t="s">
        <v>19</v>
      </c>
      <c r="C6" s="12" t="s">
        <v>20</v>
      </c>
      <c r="D6" s="13" t="s">
        <v>23</v>
      </c>
      <c r="E6" s="12" t="s">
        <v>13</v>
      </c>
      <c r="F6" s="12" t="s">
        <v>22</v>
      </c>
      <c r="G6" s="14" t="s">
        <v>17</v>
      </c>
      <c r="H6" s="12">
        <v>325</v>
      </c>
      <c r="I6" s="12">
        <v>290</v>
      </c>
      <c r="J6" s="15">
        <v>-35</v>
      </c>
      <c r="K6" s="12">
        <f t="shared" si="0"/>
        <v>1035.3</v>
      </c>
      <c r="L6" s="12">
        <f t="shared" si="1"/>
        <v>-124.94999999999999</v>
      </c>
    </row>
    <row r="7" spans="1:12" x14ac:dyDescent="0.25">
      <c r="A7" s="12" t="s">
        <v>16</v>
      </c>
      <c r="B7" s="12" t="s">
        <v>11</v>
      </c>
      <c r="C7" s="12" t="s">
        <v>12</v>
      </c>
      <c r="D7" s="13">
        <v>353497859674955</v>
      </c>
      <c r="E7" s="12" t="s">
        <v>13</v>
      </c>
      <c r="F7" s="12" t="s">
        <v>24</v>
      </c>
      <c r="G7" s="14" t="s">
        <v>17</v>
      </c>
      <c r="H7" s="12">
        <v>940</v>
      </c>
      <c r="I7" s="12">
        <v>930</v>
      </c>
      <c r="J7" s="15">
        <v>-10</v>
      </c>
      <c r="K7" s="12">
        <f t="shared" si="0"/>
        <v>3320.1</v>
      </c>
      <c r="L7" s="12">
        <f t="shared" si="1"/>
        <v>-35.699999999999996</v>
      </c>
    </row>
    <row r="8" spans="1:12" x14ac:dyDescent="0.25">
      <c r="A8" s="12" t="s">
        <v>18</v>
      </c>
      <c r="B8" s="12" t="s">
        <v>19</v>
      </c>
      <c r="C8" s="12" t="s">
        <v>20</v>
      </c>
      <c r="D8" s="13" t="s">
        <v>25</v>
      </c>
      <c r="E8" s="12" t="s">
        <v>13</v>
      </c>
      <c r="F8" s="12" t="s">
        <v>22</v>
      </c>
      <c r="G8" s="14" t="s">
        <v>17</v>
      </c>
      <c r="H8" s="12">
        <v>325</v>
      </c>
      <c r="I8" s="12">
        <v>290</v>
      </c>
      <c r="J8" s="15">
        <v>-35</v>
      </c>
      <c r="K8" s="12">
        <f t="shared" si="0"/>
        <v>1035.3</v>
      </c>
      <c r="L8" s="12">
        <f t="shared" si="1"/>
        <v>-124.94999999999999</v>
      </c>
    </row>
    <row r="9" spans="1:12" x14ac:dyDescent="0.25">
      <c r="A9" s="12" t="s">
        <v>18</v>
      </c>
      <c r="B9" s="12" t="s">
        <v>19</v>
      </c>
      <c r="C9" s="12" t="s">
        <v>20</v>
      </c>
      <c r="D9" s="13" t="s">
        <v>26</v>
      </c>
      <c r="E9" s="12" t="s">
        <v>13</v>
      </c>
      <c r="F9" s="12" t="s">
        <v>22</v>
      </c>
      <c r="G9" s="14" t="s">
        <v>17</v>
      </c>
      <c r="H9" s="12">
        <v>325</v>
      </c>
      <c r="I9" s="12">
        <v>290</v>
      </c>
      <c r="J9" s="15">
        <v>-35</v>
      </c>
      <c r="K9" s="12">
        <f t="shared" si="0"/>
        <v>1035.3</v>
      </c>
      <c r="L9" s="12">
        <f t="shared" si="1"/>
        <v>-124.94999999999999</v>
      </c>
    </row>
    <row r="10" spans="1:12" x14ac:dyDescent="0.25">
      <c r="A10" s="12" t="s">
        <v>10</v>
      </c>
      <c r="B10" s="12" t="s">
        <v>11</v>
      </c>
      <c r="C10" s="12" t="s">
        <v>12</v>
      </c>
      <c r="D10" s="13">
        <v>358902514996631</v>
      </c>
      <c r="E10" s="12" t="s">
        <v>13</v>
      </c>
      <c r="F10" s="12" t="s">
        <v>14</v>
      </c>
      <c r="G10" s="14" t="s">
        <v>15</v>
      </c>
      <c r="H10" s="12">
        <v>910</v>
      </c>
      <c r="I10" s="12">
        <v>900</v>
      </c>
      <c r="J10" s="15">
        <v>-10</v>
      </c>
      <c r="K10" s="12">
        <f t="shared" si="0"/>
        <v>3213</v>
      </c>
      <c r="L10" s="12">
        <f t="shared" si="1"/>
        <v>-35.699999999999996</v>
      </c>
    </row>
    <row r="11" spans="1:12" x14ac:dyDescent="0.25">
      <c r="A11" s="12" t="s">
        <v>18</v>
      </c>
      <c r="B11" s="12" t="s">
        <v>19</v>
      </c>
      <c r="C11" s="12" t="s">
        <v>27</v>
      </c>
      <c r="D11" s="13" t="s">
        <v>28</v>
      </c>
      <c r="E11" s="12" t="s">
        <v>13</v>
      </c>
      <c r="F11" s="12" t="s">
        <v>22</v>
      </c>
      <c r="G11" s="14" t="s">
        <v>17</v>
      </c>
      <c r="H11" s="12">
        <v>325</v>
      </c>
      <c r="I11" s="12">
        <v>290</v>
      </c>
      <c r="J11" s="15">
        <v>-35</v>
      </c>
      <c r="K11" s="12">
        <f t="shared" si="0"/>
        <v>1035.3</v>
      </c>
      <c r="L11" s="12">
        <f t="shared" si="1"/>
        <v>-124.94999999999999</v>
      </c>
    </row>
    <row r="12" spans="1:12" x14ac:dyDescent="0.25">
      <c r="A12" s="12" t="s">
        <v>18</v>
      </c>
      <c r="B12" s="12" t="s">
        <v>19</v>
      </c>
      <c r="C12" s="12" t="s">
        <v>27</v>
      </c>
      <c r="D12" s="13" t="s">
        <v>29</v>
      </c>
      <c r="E12" s="12" t="s">
        <v>13</v>
      </c>
      <c r="F12" s="12" t="s">
        <v>22</v>
      </c>
      <c r="G12" s="14" t="s">
        <v>17</v>
      </c>
      <c r="H12" s="12">
        <v>325</v>
      </c>
      <c r="I12" s="12">
        <v>290</v>
      </c>
      <c r="J12" s="15">
        <v>-35</v>
      </c>
      <c r="K12" s="12">
        <f t="shared" si="0"/>
        <v>1035.3</v>
      </c>
      <c r="L12" s="12">
        <f t="shared" si="1"/>
        <v>-124.94999999999999</v>
      </c>
    </row>
    <row r="13" spans="1:12" ht="21" x14ac:dyDescent="0.25">
      <c r="H13" s="2">
        <f>SUM(H4:H12)</f>
        <v>4710</v>
      </c>
      <c r="I13" s="2">
        <f>SUM(I4:I12)</f>
        <v>4470</v>
      </c>
      <c r="J13" s="2">
        <f>SUM(J4:J12)</f>
        <v>-240</v>
      </c>
      <c r="K13" s="16">
        <f>SUM(K4:K12)</f>
        <v>15957.899999999998</v>
      </c>
      <c r="L13" s="16">
        <f>J13*3.57</f>
        <v>-856.8</v>
      </c>
    </row>
    <row r="14" spans="1:12" ht="21.75" x14ac:dyDescent="0.3">
      <c r="A14" s="9" t="s">
        <v>54</v>
      </c>
      <c r="K14" s="11"/>
    </row>
    <row r="15" spans="1:12" x14ac:dyDescent="0.25">
      <c r="A15" s="10"/>
    </row>
    <row r="16" spans="1:12" ht="15.75" x14ac:dyDescent="0.25">
      <c r="A16" s="1" t="s">
        <v>30</v>
      </c>
      <c r="B16" s="1" t="s">
        <v>31</v>
      </c>
      <c r="C16" s="1" t="s">
        <v>32</v>
      </c>
      <c r="D16" s="1" t="s">
        <v>3</v>
      </c>
      <c r="E16" s="1" t="s">
        <v>4</v>
      </c>
      <c r="F16" s="1" t="s">
        <v>6</v>
      </c>
      <c r="G16" s="1" t="s">
        <v>5</v>
      </c>
      <c r="H16" s="1" t="s">
        <v>33</v>
      </c>
      <c r="I16" s="1" t="s">
        <v>8</v>
      </c>
      <c r="J16" s="1" t="s">
        <v>34</v>
      </c>
    </row>
    <row r="17" spans="1:12" x14ac:dyDescent="0.25">
      <c r="A17" s="3" t="s">
        <v>35</v>
      </c>
      <c r="B17" s="12">
        <v>825</v>
      </c>
      <c r="C17" s="12"/>
      <c r="D17" s="13" t="s">
        <v>36</v>
      </c>
      <c r="E17" s="12" t="s">
        <v>37</v>
      </c>
      <c r="F17" s="12" t="s">
        <v>38</v>
      </c>
      <c r="G17" s="12" t="s">
        <v>39</v>
      </c>
      <c r="H17" s="17">
        <v>350</v>
      </c>
      <c r="I17" s="17">
        <v>340</v>
      </c>
      <c r="J17" s="17">
        <v>-10</v>
      </c>
      <c r="K17" s="18">
        <f>I17*3.57</f>
        <v>1213.8</v>
      </c>
      <c r="L17" s="18">
        <f>J17*3.57</f>
        <v>-35.699999999999996</v>
      </c>
    </row>
    <row r="18" spans="1:12" x14ac:dyDescent="0.25">
      <c r="A18" s="3" t="s">
        <v>35</v>
      </c>
      <c r="B18" s="12">
        <v>825</v>
      </c>
      <c r="C18" s="12" t="s">
        <v>40</v>
      </c>
      <c r="D18" s="13" t="s">
        <v>41</v>
      </c>
      <c r="E18" s="12" t="s">
        <v>37</v>
      </c>
      <c r="F18" s="12" t="s">
        <v>38</v>
      </c>
      <c r="G18" s="12" t="s">
        <v>39</v>
      </c>
      <c r="H18" s="17">
        <v>350</v>
      </c>
      <c r="I18" s="17">
        <v>340</v>
      </c>
      <c r="J18" s="17">
        <v>-10</v>
      </c>
      <c r="K18" s="18">
        <f t="shared" ref="K18:K23" si="2">I18*3.57</f>
        <v>1213.8</v>
      </c>
      <c r="L18" s="18">
        <f t="shared" ref="L18:L23" si="3">J18*3.57</f>
        <v>-35.699999999999996</v>
      </c>
    </row>
    <row r="19" spans="1:12" x14ac:dyDescent="0.25">
      <c r="A19" s="3" t="s">
        <v>35</v>
      </c>
      <c r="B19" s="12">
        <v>825</v>
      </c>
      <c r="C19" s="12" t="s">
        <v>40</v>
      </c>
      <c r="D19" s="13" t="s">
        <v>42</v>
      </c>
      <c r="E19" s="12" t="s">
        <v>37</v>
      </c>
      <c r="F19" s="12" t="s">
        <v>38</v>
      </c>
      <c r="G19" s="12" t="s">
        <v>39</v>
      </c>
      <c r="H19" s="17">
        <v>350</v>
      </c>
      <c r="I19" s="17">
        <v>340</v>
      </c>
      <c r="J19" s="17">
        <v>-10</v>
      </c>
      <c r="K19" s="18">
        <f t="shared" si="2"/>
        <v>1213.8</v>
      </c>
      <c r="L19" s="18">
        <f t="shared" si="3"/>
        <v>-35.699999999999996</v>
      </c>
    </row>
    <row r="20" spans="1:12" x14ac:dyDescent="0.25">
      <c r="A20" s="3" t="s">
        <v>43</v>
      </c>
      <c r="B20" s="12">
        <v>825</v>
      </c>
      <c r="C20" s="12" t="s">
        <v>40</v>
      </c>
      <c r="D20" s="13" t="s">
        <v>44</v>
      </c>
      <c r="E20" s="12" t="s">
        <v>37</v>
      </c>
      <c r="F20" s="12" t="s">
        <v>38</v>
      </c>
      <c r="G20" s="12" t="s">
        <v>39</v>
      </c>
      <c r="H20" s="17">
        <v>350</v>
      </c>
      <c r="I20" s="17">
        <v>340</v>
      </c>
      <c r="J20" s="17">
        <v>-10</v>
      </c>
      <c r="K20" s="18">
        <f t="shared" si="2"/>
        <v>1213.8</v>
      </c>
      <c r="L20" s="18">
        <f t="shared" si="3"/>
        <v>-35.699999999999996</v>
      </c>
    </row>
    <row r="21" spans="1:12" x14ac:dyDescent="0.25">
      <c r="A21" s="3" t="s">
        <v>45</v>
      </c>
      <c r="B21" s="12"/>
      <c r="C21" s="12" t="s">
        <v>27</v>
      </c>
      <c r="D21" s="13">
        <v>601110254121</v>
      </c>
      <c r="E21" s="12" t="s">
        <v>13</v>
      </c>
      <c r="F21" s="12" t="s">
        <v>46</v>
      </c>
      <c r="G21" s="12" t="s">
        <v>22</v>
      </c>
      <c r="H21" s="17">
        <v>480</v>
      </c>
      <c r="I21" s="17">
        <v>475</v>
      </c>
      <c r="J21" s="17">
        <v>-5</v>
      </c>
      <c r="K21" s="18">
        <f t="shared" si="2"/>
        <v>1695.75</v>
      </c>
      <c r="L21" s="18">
        <f t="shared" si="3"/>
        <v>-17.849999999999998</v>
      </c>
    </row>
    <row r="22" spans="1:12" x14ac:dyDescent="0.25">
      <c r="A22" s="3" t="s">
        <v>47</v>
      </c>
      <c r="B22" s="12" t="s">
        <v>48</v>
      </c>
      <c r="C22" s="12" t="s">
        <v>49</v>
      </c>
      <c r="D22" s="13">
        <v>605454253921</v>
      </c>
      <c r="E22" s="12" t="s">
        <v>50</v>
      </c>
      <c r="F22" s="12" t="s">
        <v>51</v>
      </c>
      <c r="G22" s="12" t="s">
        <v>52</v>
      </c>
      <c r="H22" s="17">
        <v>480</v>
      </c>
      <c r="I22" s="17">
        <v>475</v>
      </c>
      <c r="J22" s="17">
        <v>-5</v>
      </c>
      <c r="K22" s="18">
        <f t="shared" si="2"/>
        <v>1695.75</v>
      </c>
      <c r="L22" s="18">
        <f t="shared" si="3"/>
        <v>-17.849999999999998</v>
      </c>
    </row>
    <row r="23" spans="1:12" x14ac:dyDescent="0.25">
      <c r="A23" s="3" t="s">
        <v>53</v>
      </c>
      <c r="B23" s="12" t="s">
        <v>19</v>
      </c>
      <c r="C23" s="12" t="s">
        <v>19</v>
      </c>
      <c r="D23" s="13">
        <v>53017225217</v>
      </c>
      <c r="E23" s="12" t="s">
        <v>13</v>
      </c>
      <c r="F23" s="12" t="s">
        <v>46</v>
      </c>
      <c r="G23" s="12" t="s">
        <v>22</v>
      </c>
      <c r="H23" s="17">
        <v>520</v>
      </c>
      <c r="I23" s="17">
        <v>475</v>
      </c>
      <c r="J23" s="17">
        <v>-45</v>
      </c>
      <c r="K23" s="18">
        <f t="shared" si="2"/>
        <v>1695.75</v>
      </c>
      <c r="L23" s="18">
        <f t="shared" si="3"/>
        <v>-160.65</v>
      </c>
    </row>
    <row r="24" spans="1:12" ht="21" x14ac:dyDescent="0.35">
      <c r="H24" s="4">
        <f>SUM(H17:H23)</f>
        <v>2880</v>
      </c>
      <c r="I24" s="4">
        <f>SUM(I17:I23)</f>
        <v>2785</v>
      </c>
      <c r="J24" s="4">
        <f>SUM(J17:J23)</f>
        <v>-95</v>
      </c>
      <c r="K24" s="19">
        <f>SUM(K17:K23)</f>
        <v>9942.4500000000007</v>
      </c>
      <c r="L24" s="19">
        <f>SUM(L17:L23)</f>
        <v>-339.15</v>
      </c>
    </row>
    <row r="26" spans="1:12" x14ac:dyDescent="0.25">
      <c r="H26" s="5" t="s">
        <v>55</v>
      </c>
      <c r="I26" s="6">
        <v>270</v>
      </c>
    </row>
    <row r="27" spans="1:12" x14ac:dyDescent="0.25">
      <c r="H27" s="5" t="s">
        <v>54</v>
      </c>
      <c r="I27" s="6">
        <v>95</v>
      </c>
    </row>
    <row r="28" spans="1:12" ht="18.75" x14ac:dyDescent="0.25">
      <c r="H28" s="7" t="s">
        <v>56</v>
      </c>
      <c r="I28" s="8">
        <f>SUM(I26:I27)</f>
        <v>365</v>
      </c>
    </row>
    <row r="35" spans="11:11" ht="21.75" x14ac:dyDescent="0.3">
      <c r="K35" s="11"/>
    </row>
    <row r="36" spans="11:11" ht="21.75" x14ac:dyDescent="0.3">
      <c r="K36" s="11"/>
    </row>
  </sheetData>
  <mergeCells count="2">
    <mergeCell ref="A14:A15"/>
    <mergeCell ref="A1:A2"/>
  </mergeCells>
  <conditionalFormatting sqref="D16">
    <cfRule type="duplicateValues" dxfId="2" priority="1"/>
  </conditionalFormatting>
  <conditionalFormatting sqref="D17:D23">
    <cfRule type="duplicateValues" dxfId="1" priority="2"/>
  </conditionalFormatting>
  <conditionalFormatting sqref="D3:D12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2026-04-21T12:41:46Z</dcterms:created>
  <dcterms:modified xsi:type="dcterms:W3CDTF">2026-04-22T10:28:30Z</dcterms:modified>
</cp:coreProperties>
</file>