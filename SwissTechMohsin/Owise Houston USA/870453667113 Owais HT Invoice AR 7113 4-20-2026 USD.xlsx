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1" documentId="13_ncr:1_{6594B138-AD16-4F15-952D-BFE068157A55}" xr6:coauthVersionLast="47" xr6:coauthVersionMax="47" xr10:uidLastSave="{538BC815-B1F1-455A-907E-CAC654097EA5}"/>
  <bookViews>
    <workbookView xWindow="-120" yWindow="-120" windowWidth="20730" windowHeight="11040" xr2:uid="{862E3D8C-2805-43EB-A0F3-6F5A4654B224}"/>
  </bookViews>
  <sheets>
    <sheet name="Sheet1" sheetId="1" r:id="rId1"/>
  </sheets>
  <definedNames>
    <definedName name="_xlnm._FilterDatabase" localSheetId="0" hidden="1">Sheet1!$A$1:$L$59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2" i="1"/>
  <c r="L59" i="1" l="1"/>
  <c r="I59" i="1" l="1"/>
</calcChain>
</file>

<file path=xl/sharedStrings.xml><?xml version="1.0" encoding="utf-8"?>
<sst xmlns="http://schemas.openxmlformats.org/spreadsheetml/2006/main" count="375" uniqueCount="60">
  <si>
    <t>ITEM DESCRIPTION</t>
  </si>
  <si>
    <t>STORAGE</t>
  </si>
  <si>
    <t>COLOR</t>
  </si>
  <si>
    <t>BOX/HSO</t>
  </si>
  <si>
    <t>CARRIER</t>
  </si>
  <si>
    <t>STATUS</t>
  </si>
  <si>
    <t>Sr No</t>
  </si>
  <si>
    <t>IMEI</t>
  </si>
  <si>
    <t>iPhone 17 Pro Max Locked 256GB(Locked)</t>
  </si>
  <si>
    <t>256GB</t>
  </si>
  <si>
    <t>ORANGE</t>
  </si>
  <si>
    <t>BOX</t>
  </si>
  <si>
    <t>VERIZON</t>
  </si>
  <si>
    <t>ACTIVE</t>
  </si>
  <si>
    <t>AT&amp;T</t>
  </si>
  <si>
    <t>iPhone 17 Pro Max 256GB (Locked)</t>
  </si>
  <si>
    <t>BLUE</t>
  </si>
  <si>
    <t>NONACTIVE</t>
  </si>
  <si>
    <t>SILVER</t>
  </si>
  <si>
    <t>AirPods 4th Gen (MXP63LL)</t>
  </si>
  <si>
    <t>WHITE</t>
  </si>
  <si>
    <t>WIFI</t>
  </si>
  <si>
    <t>-</t>
  </si>
  <si>
    <t>Apple Watch S11 42MM GPS</t>
  </si>
  <si>
    <t>ROSEGOLD</t>
  </si>
  <si>
    <t>IPAD AIR 13 M4 128GB</t>
  </si>
  <si>
    <t>128GB</t>
  </si>
  <si>
    <t>GRAY</t>
  </si>
  <si>
    <t>UNLOCK</t>
  </si>
  <si>
    <t>iPad Pro 13-inch 8th Gen 512GB 5G</t>
  </si>
  <si>
    <t>512GB</t>
  </si>
  <si>
    <t>BLACK</t>
  </si>
  <si>
    <t>1TB/24 - MDVU4LL / MDVC4LL /MDVF4LL / MDVN4LL</t>
  </si>
  <si>
    <t>1024GB</t>
  </si>
  <si>
    <t>STARLIGHT</t>
  </si>
  <si>
    <t>Meta Quest 3 512GB</t>
  </si>
  <si>
    <t>2G97BMMH9H022V</t>
  </si>
  <si>
    <t>2G97BMMHB600GG</t>
  </si>
  <si>
    <t>USD PRICE</t>
  </si>
  <si>
    <t>SL42F5W4K1W</t>
  </si>
  <si>
    <t>SLXMǪKRX7ǪY</t>
  </si>
  <si>
    <t>SC6407PXǪMG</t>
  </si>
  <si>
    <t>SC233N9L7P1</t>
  </si>
  <si>
    <t>SDR749F2D22</t>
  </si>
  <si>
    <t>SCR64Ǫ07XG4</t>
  </si>
  <si>
    <t>SF37NJXPF7G</t>
  </si>
  <si>
    <t>SMW62X0GJJ9</t>
  </si>
  <si>
    <t>SCGYJXY7LL7</t>
  </si>
  <si>
    <t>SL4ǪNN6375T</t>
  </si>
  <si>
    <t>SHW4WY7L309</t>
  </si>
  <si>
    <t>SC4RNVDJX9K</t>
  </si>
  <si>
    <t>SCPFVPǪH091</t>
  </si>
  <si>
    <t>SM4C2Ǫ9GGKX</t>
  </si>
  <si>
    <t>SDW4G332132</t>
  </si>
  <si>
    <t>1 Time</t>
  </si>
  <si>
    <t>New</t>
  </si>
  <si>
    <t>Last Purchasing</t>
  </si>
  <si>
    <t>Different Prices</t>
  </si>
  <si>
    <t>AED Prices</t>
  </si>
  <si>
    <t>System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</si>
</sst>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D4E8-FED2-4D04-B35C-6B93438EB1BD}">
  <dimension ref="A1:N59"/>
  <sheetViews>
    <sheetView tabSelected="1" topLeftCell="A41" workbookViewId="0">
      <selection activeCell="A2" sqref="A2:K55"/>
    </sheetView>
  </sheetViews>
  <sheetFormatPr defaultRowHeight="15" x14ac:dyDescent="0.25"/>
  <cols>
    <col min="1" max="1" width="6" bestFit="1" customWidth="1"/>
    <col min="2" max="2" width="45.5703125" bestFit="1" customWidth="1"/>
    <col min="3" max="3" width="14.5703125" bestFit="1" customWidth="1"/>
    <col min="4" max="4" width="12.42578125" bestFit="1" customWidth="1"/>
    <col min="5" max="5" width="17.85546875" bestFit="1" customWidth="1"/>
    <col min="6" max="6" width="10.28515625" bestFit="1" customWidth="1"/>
    <col min="7" max="7" width="10.5703125" customWidth="1"/>
    <col min="8" max="8" width="13.28515625" customWidth="1"/>
    <col min="9" max="9" width="22" bestFit="1" customWidth="1"/>
    <col min="10" max="10" width="16.28515625" customWidth="1"/>
    <col min="11" max="11" width="16" customWidth="1"/>
    <col min="12" max="12" width="24" bestFit="1" customWidth="1"/>
    <col min="13" max="13" width="6.7109375" bestFit="1" customWidth="1"/>
    <col min="14" max="14" width="12.7109375" bestFit="1" customWidth="1"/>
  </cols>
  <sheetData>
    <row r="1" spans="1:12" ht="15.75" x14ac:dyDescent="0.25">
      <c r="A1" s="2" t="s">
        <v>6</v>
      </c>
      <c r="B1" s="2" t="s">
        <v>0</v>
      </c>
      <c r="C1" s="2" t="s">
        <v>1</v>
      </c>
      <c r="D1" s="2" t="s">
        <v>2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38</v>
      </c>
      <c r="J1" s="6" t="s">
        <v>56</v>
      </c>
      <c r="K1" s="6" t="s">
        <v>57</v>
      </c>
      <c r="L1" s="6" t="s">
        <v>58</v>
      </c>
    </row>
    <row r="2" spans="1:12" x14ac:dyDescent="0.25">
      <c r="A2" s="8">
        <v>1</v>
      </c>
      <c r="B2" s="8" t="s">
        <v>8</v>
      </c>
      <c r="C2" s="8" t="s">
        <v>9</v>
      </c>
      <c r="D2" s="8" t="s">
        <v>10</v>
      </c>
      <c r="E2" s="9">
        <v>358206139332127</v>
      </c>
      <c r="F2" s="8" t="s">
        <v>11</v>
      </c>
      <c r="G2" s="8" t="s">
        <v>12</v>
      </c>
      <c r="H2" s="10" t="s">
        <v>13</v>
      </c>
      <c r="I2" s="8">
        <v>910</v>
      </c>
      <c r="J2" s="4">
        <v>900</v>
      </c>
      <c r="K2" s="5">
        <f>J2-I2</f>
        <v>-10</v>
      </c>
      <c r="L2" s="11">
        <f>I2*3.57</f>
        <v>3248.7</v>
      </c>
    </row>
    <row r="3" spans="1:12" x14ac:dyDescent="0.25">
      <c r="A3" s="8">
        <v>2</v>
      </c>
      <c r="B3" s="8" t="s">
        <v>8</v>
      </c>
      <c r="C3" s="8" t="s">
        <v>9</v>
      </c>
      <c r="D3" s="8" t="s">
        <v>10</v>
      </c>
      <c r="E3" s="9">
        <v>359614542055715</v>
      </c>
      <c r="F3" s="8" t="s">
        <v>11</v>
      </c>
      <c r="G3" s="8" t="s">
        <v>14</v>
      </c>
      <c r="H3" s="10" t="s">
        <v>13</v>
      </c>
      <c r="I3" s="8">
        <v>910</v>
      </c>
      <c r="J3" s="4">
        <v>930</v>
      </c>
      <c r="K3" s="5">
        <f t="shared" ref="K3:K58" si="0">J3-I3</f>
        <v>20</v>
      </c>
      <c r="L3" s="11">
        <f t="shared" ref="L3:L58" si="1">I3*3.57</f>
        <v>3248.7</v>
      </c>
    </row>
    <row r="4" spans="1:12" x14ac:dyDescent="0.25">
      <c r="A4" s="8">
        <v>3</v>
      </c>
      <c r="B4" s="8" t="s">
        <v>15</v>
      </c>
      <c r="C4" s="8" t="s">
        <v>9</v>
      </c>
      <c r="D4" s="8" t="s">
        <v>16</v>
      </c>
      <c r="E4" s="9">
        <v>358434709475783</v>
      </c>
      <c r="F4" s="8" t="s">
        <v>11</v>
      </c>
      <c r="G4" s="8" t="s">
        <v>14</v>
      </c>
      <c r="H4" s="10" t="s">
        <v>17</v>
      </c>
      <c r="I4" s="8">
        <v>890</v>
      </c>
      <c r="J4" s="4">
        <v>890</v>
      </c>
      <c r="K4" s="5">
        <f t="shared" si="0"/>
        <v>0</v>
      </c>
      <c r="L4" s="11">
        <f t="shared" si="1"/>
        <v>3177.2999999999997</v>
      </c>
    </row>
    <row r="5" spans="1:12" x14ac:dyDescent="0.25">
      <c r="A5" s="8">
        <v>4</v>
      </c>
      <c r="B5" s="8" t="s">
        <v>15</v>
      </c>
      <c r="C5" s="8" t="s">
        <v>9</v>
      </c>
      <c r="D5" s="8" t="s">
        <v>10</v>
      </c>
      <c r="E5" s="9">
        <v>350035237171329</v>
      </c>
      <c r="F5" s="8" t="s">
        <v>11</v>
      </c>
      <c r="G5" s="8" t="s">
        <v>12</v>
      </c>
      <c r="H5" s="10" t="s">
        <v>17</v>
      </c>
      <c r="I5" s="8">
        <v>910</v>
      </c>
      <c r="J5" s="4">
        <v>910</v>
      </c>
      <c r="K5" s="5">
        <f t="shared" si="0"/>
        <v>0</v>
      </c>
      <c r="L5" s="11">
        <f t="shared" si="1"/>
        <v>3248.7</v>
      </c>
    </row>
    <row r="6" spans="1:12" x14ac:dyDescent="0.25">
      <c r="A6" s="8">
        <v>5</v>
      </c>
      <c r="B6" s="8" t="s">
        <v>15</v>
      </c>
      <c r="C6" s="8" t="s">
        <v>9</v>
      </c>
      <c r="D6" s="8" t="s">
        <v>10</v>
      </c>
      <c r="E6" s="9">
        <v>356225420016183</v>
      </c>
      <c r="F6" s="8" t="s">
        <v>11</v>
      </c>
      <c r="G6" s="8" t="s">
        <v>12</v>
      </c>
      <c r="H6" s="10" t="s">
        <v>17</v>
      </c>
      <c r="I6" s="8">
        <v>940</v>
      </c>
      <c r="J6" s="4">
        <v>910</v>
      </c>
      <c r="K6" s="5">
        <f t="shared" si="0"/>
        <v>-30</v>
      </c>
      <c r="L6" s="11">
        <f t="shared" si="1"/>
        <v>3355.7999999999997</v>
      </c>
    </row>
    <row r="7" spans="1:12" x14ac:dyDescent="0.25">
      <c r="A7" s="8">
        <v>6</v>
      </c>
      <c r="B7" s="8" t="s">
        <v>15</v>
      </c>
      <c r="C7" s="8" t="s">
        <v>9</v>
      </c>
      <c r="D7" s="8" t="s">
        <v>10</v>
      </c>
      <c r="E7" s="9">
        <v>356225420483342</v>
      </c>
      <c r="F7" s="8" t="s">
        <v>11</v>
      </c>
      <c r="G7" s="8" t="s">
        <v>12</v>
      </c>
      <c r="H7" s="10" t="s">
        <v>17</v>
      </c>
      <c r="I7" s="8">
        <v>910</v>
      </c>
      <c r="J7" s="4">
        <v>910</v>
      </c>
      <c r="K7" s="5">
        <f t="shared" si="0"/>
        <v>0</v>
      </c>
      <c r="L7" s="11">
        <f t="shared" si="1"/>
        <v>3248.7</v>
      </c>
    </row>
    <row r="8" spans="1:12" x14ac:dyDescent="0.25">
      <c r="A8" s="8">
        <v>7</v>
      </c>
      <c r="B8" s="8" t="s">
        <v>15</v>
      </c>
      <c r="C8" s="8" t="s">
        <v>9</v>
      </c>
      <c r="D8" s="8" t="s">
        <v>18</v>
      </c>
      <c r="E8" s="9">
        <v>353497857476999</v>
      </c>
      <c r="F8" s="8" t="s">
        <v>11</v>
      </c>
      <c r="G8" s="8" t="s">
        <v>14</v>
      </c>
      <c r="H8" s="10" t="s">
        <v>17</v>
      </c>
      <c r="I8" s="8">
        <v>940</v>
      </c>
      <c r="J8" s="4">
        <v>955</v>
      </c>
      <c r="K8" s="5">
        <f t="shared" si="0"/>
        <v>15</v>
      </c>
      <c r="L8" s="11">
        <f t="shared" si="1"/>
        <v>3355.7999999999997</v>
      </c>
    </row>
    <row r="9" spans="1:12" x14ac:dyDescent="0.25">
      <c r="A9" s="8">
        <v>8</v>
      </c>
      <c r="B9" s="8" t="s">
        <v>19</v>
      </c>
      <c r="C9" s="8" t="s">
        <v>22</v>
      </c>
      <c r="D9" s="8" t="s">
        <v>20</v>
      </c>
      <c r="E9" s="9" t="s">
        <v>50</v>
      </c>
      <c r="F9" s="8" t="s">
        <v>11</v>
      </c>
      <c r="G9" s="8" t="s">
        <v>21</v>
      </c>
      <c r="H9" s="10" t="s">
        <v>17</v>
      </c>
      <c r="I9" s="8">
        <v>85</v>
      </c>
      <c r="J9" s="4">
        <v>85</v>
      </c>
      <c r="K9" s="5">
        <f t="shared" si="0"/>
        <v>0</v>
      </c>
      <c r="L9" s="11">
        <f t="shared" si="1"/>
        <v>303.45</v>
      </c>
    </row>
    <row r="10" spans="1:12" x14ac:dyDescent="0.25">
      <c r="A10" s="8">
        <v>9</v>
      </c>
      <c r="B10" s="8" t="s">
        <v>15</v>
      </c>
      <c r="C10" s="8" t="s">
        <v>9</v>
      </c>
      <c r="D10" s="8" t="s">
        <v>16</v>
      </c>
      <c r="E10" s="9">
        <v>357329449293614</v>
      </c>
      <c r="F10" s="8" t="s">
        <v>11</v>
      </c>
      <c r="G10" s="8" t="s">
        <v>14</v>
      </c>
      <c r="H10" s="10" t="s">
        <v>17</v>
      </c>
      <c r="I10" s="8">
        <v>890</v>
      </c>
      <c r="J10" s="4">
        <v>890</v>
      </c>
      <c r="K10" s="5">
        <f t="shared" si="0"/>
        <v>0</v>
      </c>
      <c r="L10" s="11">
        <f t="shared" si="1"/>
        <v>3177.2999999999997</v>
      </c>
    </row>
    <row r="11" spans="1:12" x14ac:dyDescent="0.25">
      <c r="A11" s="8">
        <v>10</v>
      </c>
      <c r="B11" s="8" t="s">
        <v>23</v>
      </c>
      <c r="C11" s="8" t="s">
        <v>22</v>
      </c>
      <c r="D11" s="8" t="s">
        <v>24</v>
      </c>
      <c r="E11" s="9" t="s">
        <v>42</v>
      </c>
      <c r="F11" s="8" t="s">
        <v>11</v>
      </c>
      <c r="G11" s="8" t="s">
        <v>21</v>
      </c>
      <c r="H11" s="10" t="s">
        <v>17</v>
      </c>
      <c r="I11" s="8">
        <v>325</v>
      </c>
      <c r="J11" s="4">
        <v>290</v>
      </c>
      <c r="K11" s="5">
        <f t="shared" si="0"/>
        <v>-35</v>
      </c>
      <c r="L11" s="11">
        <f t="shared" si="1"/>
        <v>1160.25</v>
      </c>
    </row>
    <row r="12" spans="1:12" x14ac:dyDescent="0.25">
      <c r="A12" s="8">
        <v>11</v>
      </c>
      <c r="B12" s="8" t="s">
        <v>19</v>
      </c>
      <c r="C12" s="8" t="s">
        <v>22</v>
      </c>
      <c r="D12" s="8" t="s">
        <v>20</v>
      </c>
      <c r="E12" s="9" t="s">
        <v>48</v>
      </c>
      <c r="F12" s="8" t="s">
        <v>11</v>
      </c>
      <c r="G12" s="8" t="s">
        <v>21</v>
      </c>
      <c r="H12" s="10" t="s">
        <v>17</v>
      </c>
      <c r="I12" s="8">
        <v>85</v>
      </c>
      <c r="J12" s="4">
        <v>85</v>
      </c>
      <c r="K12" s="5">
        <f t="shared" si="0"/>
        <v>0</v>
      </c>
      <c r="L12" s="11">
        <f t="shared" si="1"/>
        <v>303.45</v>
      </c>
    </row>
    <row r="13" spans="1:12" x14ac:dyDescent="0.25">
      <c r="A13" s="8">
        <v>12</v>
      </c>
      <c r="B13" s="8" t="s">
        <v>15</v>
      </c>
      <c r="C13" s="8" t="s">
        <v>9</v>
      </c>
      <c r="D13" s="8" t="s">
        <v>10</v>
      </c>
      <c r="E13" s="9">
        <v>358206139869052</v>
      </c>
      <c r="F13" s="8" t="s">
        <v>11</v>
      </c>
      <c r="G13" s="8" t="s">
        <v>14</v>
      </c>
      <c r="H13" s="10" t="s">
        <v>17</v>
      </c>
      <c r="I13" s="8">
        <v>910</v>
      </c>
      <c r="J13" s="4">
        <v>930</v>
      </c>
      <c r="K13" s="5">
        <f t="shared" si="0"/>
        <v>20</v>
      </c>
      <c r="L13" s="11">
        <f t="shared" si="1"/>
        <v>3248.7</v>
      </c>
    </row>
    <row r="14" spans="1:12" x14ac:dyDescent="0.25">
      <c r="A14" s="8">
        <v>13</v>
      </c>
      <c r="B14" s="8" t="s">
        <v>15</v>
      </c>
      <c r="C14" s="8" t="s">
        <v>9</v>
      </c>
      <c r="D14" s="8" t="s">
        <v>16</v>
      </c>
      <c r="E14" s="9">
        <v>357329448436974</v>
      </c>
      <c r="F14" s="8" t="s">
        <v>11</v>
      </c>
      <c r="G14" s="8" t="s">
        <v>12</v>
      </c>
      <c r="H14" s="10" t="s">
        <v>17</v>
      </c>
      <c r="I14" s="8">
        <v>890</v>
      </c>
      <c r="J14" s="4">
        <v>890</v>
      </c>
      <c r="K14" s="5">
        <f t="shared" si="0"/>
        <v>0</v>
      </c>
      <c r="L14" s="11">
        <f t="shared" si="1"/>
        <v>3177.2999999999997</v>
      </c>
    </row>
    <row r="15" spans="1:12" x14ac:dyDescent="0.25">
      <c r="A15" s="8">
        <v>14</v>
      </c>
      <c r="B15" s="8" t="s">
        <v>15</v>
      </c>
      <c r="C15" s="8" t="s">
        <v>9</v>
      </c>
      <c r="D15" s="8" t="s">
        <v>16</v>
      </c>
      <c r="E15" s="9">
        <v>357329448679995</v>
      </c>
      <c r="F15" s="8" t="s">
        <v>11</v>
      </c>
      <c r="G15" s="8" t="s">
        <v>14</v>
      </c>
      <c r="H15" s="10" t="s">
        <v>17</v>
      </c>
      <c r="I15" s="8">
        <v>890</v>
      </c>
      <c r="J15" s="4">
        <v>890</v>
      </c>
      <c r="K15" s="5">
        <f t="shared" si="0"/>
        <v>0</v>
      </c>
      <c r="L15" s="11">
        <f t="shared" si="1"/>
        <v>3177.2999999999997</v>
      </c>
    </row>
    <row r="16" spans="1:12" x14ac:dyDescent="0.25">
      <c r="A16" s="8">
        <v>15</v>
      </c>
      <c r="B16" s="8" t="s">
        <v>15</v>
      </c>
      <c r="C16" s="8" t="s">
        <v>9</v>
      </c>
      <c r="D16" s="8" t="s">
        <v>10</v>
      </c>
      <c r="E16" s="9">
        <v>350035237281888</v>
      </c>
      <c r="F16" s="8" t="s">
        <v>11</v>
      </c>
      <c r="G16" s="8" t="s">
        <v>12</v>
      </c>
      <c r="H16" s="10" t="s">
        <v>17</v>
      </c>
      <c r="I16" s="8">
        <v>910</v>
      </c>
      <c r="J16" s="4">
        <v>910</v>
      </c>
      <c r="K16" s="5">
        <f t="shared" si="0"/>
        <v>0</v>
      </c>
      <c r="L16" s="11">
        <f t="shared" si="1"/>
        <v>3248.7</v>
      </c>
    </row>
    <row r="17" spans="1:13" x14ac:dyDescent="0.25">
      <c r="A17" s="8">
        <v>16</v>
      </c>
      <c r="B17" s="8" t="s">
        <v>15</v>
      </c>
      <c r="C17" s="8" t="s">
        <v>9</v>
      </c>
      <c r="D17" s="8" t="s">
        <v>10</v>
      </c>
      <c r="E17" s="9">
        <v>350552898446782</v>
      </c>
      <c r="F17" s="8" t="s">
        <v>11</v>
      </c>
      <c r="G17" s="8" t="s">
        <v>12</v>
      </c>
      <c r="H17" s="10" t="s">
        <v>17</v>
      </c>
      <c r="I17" s="8">
        <v>910</v>
      </c>
      <c r="J17" s="4">
        <v>910</v>
      </c>
      <c r="K17" s="5">
        <f t="shared" si="0"/>
        <v>0</v>
      </c>
      <c r="L17" s="11">
        <f t="shared" si="1"/>
        <v>3248.7</v>
      </c>
    </row>
    <row r="18" spans="1:13" x14ac:dyDescent="0.25">
      <c r="A18" s="8">
        <v>17</v>
      </c>
      <c r="B18" s="8" t="s">
        <v>15</v>
      </c>
      <c r="C18" s="8" t="s">
        <v>9</v>
      </c>
      <c r="D18" s="8" t="s">
        <v>18</v>
      </c>
      <c r="E18" s="9">
        <v>353497857457718</v>
      </c>
      <c r="F18" s="8" t="s">
        <v>11</v>
      </c>
      <c r="G18" s="8" t="s">
        <v>14</v>
      </c>
      <c r="H18" s="10" t="s">
        <v>17</v>
      </c>
      <c r="I18" s="8">
        <v>940</v>
      </c>
      <c r="J18" s="4">
        <v>955</v>
      </c>
      <c r="K18" s="5">
        <f t="shared" si="0"/>
        <v>15</v>
      </c>
      <c r="L18" s="11">
        <f t="shared" si="1"/>
        <v>3355.7999999999997</v>
      </c>
    </row>
    <row r="19" spans="1:13" x14ac:dyDescent="0.25">
      <c r="A19" s="8">
        <v>18</v>
      </c>
      <c r="B19" s="8" t="s">
        <v>15</v>
      </c>
      <c r="C19" s="8" t="s">
        <v>9</v>
      </c>
      <c r="D19" s="8" t="s">
        <v>16</v>
      </c>
      <c r="E19" s="9">
        <v>350552898189374</v>
      </c>
      <c r="F19" s="8" t="s">
        <v>11</v>
      </c>
      <c r="G19" s="8" t="s">
        <v>14</v>
      </c>
      <c r="H19" s="10" t="s">
        <v>17</v>
      </c>
      <c r="I19" s="8">
        <v>890</v>
      </c>
      <c r="J19" s="4">
        <v>890</v>
      </c>
      <c r="K19" s="5">
        <f t="shared" si="0"/>
        <v>0</v>
      </c>
      <c r="L19" s="11">
        <f t="shared" si="1"/>
        <v>3177.2999999999997</v>
      </c>
    </row>
    <row r="20" spans="1:13" x14ac:dyDescent="0.25">
      <c r="A20" s="8">
        <v>19</v>
      </c>
      <c r="B20" s="8" t="s">
        <v>15</v>
      </c>
      <c r="C20" s="8" t="s">
        <v>9</v>
      </c>
      <c r="D20" s="8" t="s">
        <v>10</v>
      </c>
      <c r="E20" s="9">
        <v>350552898824673</v>
      </c>
      <c r="F20" s="8" t="s">
        <v>11</v>
      </c>
      <c r="G20" s="8" t="s">
        <v>12</v>
      </c>
      <c r="H20" s="10" t="s">
        <v>17</v>
      </c>
      <c r="I20" s="8">
        <v>910</v>
      </c>
      <c r="J20" s="4">
        <v>910</v>
      </c>
      <c r="K20" s="5">
        <f t="shared" si="0"/>
        <v>0</v>
      </c>
      <c r="L20" s="11">
        <f t="shared" si="1"/>
        <v>3248.7</v>
      </c>
    </row>
    <row r="21" spans="1:13" x14ac:dyDescent="0.25">
      <c r="A21" s="8">
        <v>20</v>
      </c>
      <c r="B21" s="8" t="s">
        <v>15</v>
      </c>
      <c r="C21" s="8" t="s">
        <v>9</v>
      </c>
      <c r="D21" s="8" t="s">
        <v>10</v>
      </c>
      <c r="E21" s="9">
        <v>358902517417577</v>
      </c>
      <c r="F21" s="8" t="s">
        <v>11</v>
      </c>
      <c r="G21" s="8" t="s">
        <v>14</v>
      </c>
      <c r="H21" s="10" t="s">
        <v>17</v>
      </c>
      <c r="I21" s="8">
        <v>910</v>
      </c>
      <c r="J21" s="4">
        <v>930</v>
      </c>
      <c r="K21" s="5">
        <f t="shared" si="0"/>
        <v>20</v>
      </c>
      <c r="L21" s="11">
        <f t="shared" si="1"/>
        <v>3248.7</v>
      </c>
    </row>
    <row r="22" spans="1:13" x14ac:dyDescent="0.25">
      <c r="A22" s="8">
        <v>21</v>
      </c>
      <c r="B22" s="8" t="s">
        <v>23</v>
      </c>
      <c r="C22" s="8" t="s">
        <v>22</v>
      </c>
      <c r="D22" s="8" t="s">
        <v>24</v>
      </c>
      <c r="E22" s="9" t="s">
        <v>44</v>
      </c>
      <c r="F22" s="8" t="s">
        <v>11</v>
      </c>
      <c r="G22" s="8" t="s">
        <v>21</v>
      </c>
      <c r="H22" s="10" t="s">
        <v>17</v>
      </c>
      <c r="I22" s="8">
        <v>325</v>
      </c>
      <c r="J22" s="4">
        <v>290</v>
      </c>
      <c r="K22" s="5">
        <f t="shared" si="0"/>
        <v>-35</v>
      </c>
      <c r="L22" s="11">
        <f t="shared" si="1"/>
        <v>1160.25</v>
      </c>
    </row>
    <row r="23" spans="1:13" x14ac:dyDescent="0.25">
      <c r="A23" s="8">
        <v>22</v>
      </c>
      <c r="B23" s="8" t="s">
        <v>15</v>
      </c>
      <c r="C23" s="8" t="s">
        <v>9</v>
      </c>
      <c r="D23" s="8" t="s">
        <v>18</v>
      </c>
      <c r="E23" s="9">
        <v>356225420649777</v>
      </c>
      <c r="F23" s="8" t="s">
        <v>11</v>
      </c>
      <c r="G23" s="8" t="s">
        <v>14</v>
      </c>
      <c r="H23" s="10" t="s">
        <v>17</v>
      </c>
      <c r="I23" s="8">
        <v>940</v>
      </c>
      <c r="J23" s="4">
        <v>955</v>
      </c>
      <c r="K23" s="5">
        <f t="shared" si="0"/>
        <v>15</v>
      </c>
      <c r="L23" s="11">
        <f t="shared" si="1"/>
        <v>3355.7999999999997</v>
      </c>
    </row>
    <row r="24" spans="1:13" x14ac:dyDescent="0.25">
      <c r="A24" s="8">
        <v>23</v>
      </c>
      <c r="B24" s="8" t="s">
        <v>15</v>
      </c>
      <c r="C24" s="8" t="s">
        <v>9</v>
      </c>
      <c r="D24" s="8" t="s">
        <v>10</v>
      </c>
      <c r="E24" s="9">
        <v>358902516870768</v>
      </c>
      <c r="F24" s="8" t="s">
        <v>11</v>
      </c>
      <c r="G24" s="8" t="s">
        <v>12</v>
      </c>
      <c r="H24" s="10" t="s">
        <v>17</v>
      </c>
      <c r="I24" s="8">
        <v>910</v>
      </c>
      <c r="J24" s="4">
        <v>910</v>
      </c>
      <c r="K24" s="5">
        <f t="shared" si="0"/>
        <v>0</v>
      </c>
      <c r="L24" s="11">
        <f t="shared" si="1"/>
        <v>3248.7</v>
      </c>
    </row>
    <row r="25" spans="1:13" x14ac:dyDescent="0.25">
      <c r="A25" s="8">
        <v>24</v>
      </c>
      <c r="B25" s="8" t="s">
        <v>15</v>
      </c>
      <c r="C25" s="8" t="s">
        <v>9</v>
      </c>
      <c r="D25" s="8" t="s">
        <v>10</v>
      </c>
      <c r="E25" s="9">
        <v>353497859674955</v>
      </c>
      <c r="F25" s="8" t="s">
        <v>11</v>
      </c>
      <c r="G25" s="8" t="s">
        <v>14</v>
      </c>
      <c r="H25" s="10" t="s">
        <v>17</v>
      </c>
      <c r="I25" s="8">
        <v>940</v>
      </c>
      <c r="J25" s="4">
        <v>930</v>
      </c>
      <c r="K25" s="5">
        <f t="shared" si="0"/>
        <v>-10</v>
      </c>
      <c r="L25" s="11">
        <f t="shared" si="1"/>
        <v>3355.7999999999997</v>
      </c>
    </row>
    <row r="26" spans="1:13" x14ac:dyDescent="0.25">
      <c r="A26" s="8">
        <v>25</v>
      </c>
      <c r="B26" s="8" t="s">
        <v>15</v>
      </c>
      <c r="C26" s="8" t="s">
        <v>9</v>
      </c>
      <c r="D26" s="8" t="s">
        <v>18</v>
      </c>
      <c r="E26" s="9">
        <v>358902516190852</v>
      </c>
      <c r="F26" s="8" t="s">
        <v>11</v>
      </c>
      <c r="G26" s="8" t="s">
        <v>14</v>
      </c>
      <c r="H26" s="10" t="s">
        <v>17</v>
      </c>
      <c r="I26" s="8">
        <v>940</v>
      </c>
      <c r="J26" s="4">
        <v>955</v>
      </c>
      <c r="K26" s="5">
        <f t="shared" si="0"/>
        <v>15</v>
      </c>
      <c r="L26" s="11">
        <f t="shared" si="1"/>
        <v>3355.7999999999997</v>
      </c>
    </row>
    <row r="27" spans="1:13" x14ac:dyDescent="0.25">
      <c r="A27" s="8">
        <v>26</v>
      </c>
      <c r="B27" s="8" t="s">
        <v>15</v>
      </c>
      <c r="C27" s="8" t="s">
        <v>9</v>
      </c>
      <c r="D27" s="8" t="s">
        <v>10</v>
      </c>
      <c r="E27" s="9">
        <v>358206138929733</v>
      </c>
      <c r="F27" s="8" t="s">
        <v>11</v>
      </c>
      <c r="G27" s="8" t="s">
        <v>12</v>
      </c>
      <c r="H27" s="10" t="s">
        <v>17</v>
      </c>
      <c r="I27" s="8">
        <v>910</v>
      </c>
      <c r="J27" s="4">
        <v>910</v>
      </c>
      <c r="K27" s="5">
        <f t="shared" si="0"/>
        <v>0</v>
      </c>
      <c r="L27" s="11">
        <f t="shared" si="1"/>
        <v>3248.7</v>
      </c>
    </row>
    <row r="28" spans="1:13" x14ac:dyDescent="0.25">
      <c r="A28" s="8">
        <v>27</v>
      </c>
      <c r="B28" s="8" t="s">
        <v>15</v>
      </c>
      <c r="C28" s="8" t="s">
        <v>9</v>
      </c>
      <c r="D28" s="8" t="s">
        <v>10</v>
      </c>
      <c r="E28" s="9">
        <v>357329446447478</v>
      </c>
      <c r="F28" s="8" t="s">
        <v>11</v>
      </c>
      <c r="G28" s="8" t="s">
        <v>14</v>
      </c>
      <c r="H28" s="10" t="s">
        <v>17</v>
      </c>
      <c r="I28" s="8">
        <v>910</v>
      </c>
      <c r="J28" s="4">
        <v>930</v>
      </c>
      <c r="K28" s="5">
        <f t="shared" si="0"/>
        <v>20</v>
      </c>
      <c r="L28" s="11">
        <f t="shared" si="1"/>
        <v>3248.7</v>
      </c>
    </row>
    <row r="29" spans="1:13" x14ac:dyDescent="0.25">
      <c r="A29" s="8">
        <v>28</v>
      </c>
      <c r="B29" s="8" t="s">
        <v>15</v>
      </c>
      <c r="C29" s="8" t="s">
        <v>9</v>
      </c>
      <c r="D29" s="8" t="s">
        <v>18</v>
      </c>
      <c r="E29" s="9">
        <v>359814719223902</v>
      </c>
      <c r="F29" s="8" t="s">
        <v>11</v>
      </c>
      <c r="G29" s="8" t="s">
        <v>14</v>
      </c>
      <c r="H29" s="10" t="s">
        <v>13</v>
      </c>
      <c r="I29" s="8">
        <v>910</v>
      </c>
      <c r="J29" s="4">
        <v>955</v>
      </c>
      <c r="K29" s="5">
        <f t="shared" si="0"/>
        <v>45</v>
      </c>
      <c r="L29" s="11">
        <f t="shared" si="1"/>
        <v>3248.7</v>
      </c>
    </row>
    <row r="30" spans="1:13" x14ac:dyDescent="0.25">
      <c r="A30" s="8">
        <v>29</v>
      </c>
      <c r="B30" s="8" t="s">
        <v>25</v>
      </c>
      <c r="C30" s="8" t="s">
        <v>26</v>
      </c>
      <c r="D30" s="8" t="s">
        <v>27</v>
      </c>
      <c r="E30" s="9">
        <v>352255852984487</v>
      </c>
      <c r="F30" s="8" t="s">
        <v>11</v>
      </c>
      <c r="G30" s="8" t="s">
        <v>28</v>
      </c>
      <c r="H30" s="10" t="s">
        <v>17</v>
      </c>
      <c r="I30" s="8">
        <v>720</v>
      </c>
      <c r="J30" s="4">
        <v>720</v>
      </c>
      <c r="K30" s="5">
        <f t="shared" si="0"/>
        <v>0</v>
      </c>
      <c r="L30" s="11">
        <f t="shared" si="1"/>
        <v>2570.4</v>
      </c>
      <c r="M30" t="s">
        <v>54</v>
      </c>
    </row>
    <row r="31" spans="1:13" x14ac:dyDescent="0.25">
      <c r="A31" s="8">
        <v>30</v>
      </c>
      <c r="B31" s="8" t="s">
        <v>19</v>
      </c>
      <c r="C31" s="8" t="s">
        <v>22</v>
      </c>
      <c r="D31" s="8" t="s">
        <v>20</v>
      </c>
      <c r="E31" s="9" t="s">
        <v>51</v>
      </c>
      <c r="F31" s="8" t="s">
        <v>11</v>
      </c>
      <c r="G31" s="8" t="s">
        <v>21</v>
      </c>
      <c r="H31" s="10" t="s">
        <v>17</v>
      </c>
      <c r="I31" s="8">
        <v>85</v>
      </c>
      <c r="J31" s="4">
        <v>85</v>
      </c>
      <c r="K31" s="5">
        <f t="shared" si="0"/>
        <v>0</v>
      </c>
      <c r="L31" s="11">
        <f t="shared" si="1"/>
        <v>303.45</v>
      </c>
    </row>
    <row r="32" spans="1:13" x14ac:dyDescent="0.25">
      <c r="A32" s="8">
        <v>31</v>
      </c>
      <c r="B32" s="8" t="s">
        <v>19</v>
      </c>
      <c r="C32" s="8" t="s">
        <v>22</v>
      </c>
      <c r="D32" s="8" t="s">
        <v>20</v>
      </c>
      <c r="E32" s="9" t="s">
        <v>47</v>
      </c>
      <c r="F32" s="8" t="s">
        <v>11</v>
      </c>
      <c r="G32" s="8" t="s">
        <v>21</v>
      </c>
      <c r="H32" s="10" t="s">
        <v>17</v>
      </c>
      <c r="I32" s="8">
        <v>85</v>
      </c>
      <c r="J32" s="4">
        <v>85</v>
      </c>
      <c r="K32" s="5">
        <f t="shared" si="0"/>
        <v>0</v>
      </c>
      <c r="L32" s="11">
        <f t="shared" si="1"/>
        <v>303.45</v>
      </c>
    </row>
    <row r="33" spans="1:14" x14ac:dyDescent="0.25">
      <c r="A33" s="8">
        <v>32</v>
      </c>
      <c r="B33" s="8" t="s">
        <v>19</v>
      </c>
      <c r="C33" s="8" t="s">
        <v>22</v>
      </c>
      <c r="D33" s="8" t="s">
        <v>20</v>
      </c>
      <c r="E33" s="9" t="s">
        <v>52</v>
      </c>
      <c r="F33" s="8" t="s">
        <v>11</v>
      </c>
      <c r="G33" s="8" t="s">
        <v>21</v>
      </c>
      <c r="H33" s="10" t="s">
        <v>17</v>
      </c>
      <c r="I33" s="8">
        <v>85</v>
      </c>
      <c r="J33" s="4">
        <v>85</v>
      </c>
      <c r="K33" s="5">
        <f t="shared" si="0"/>
        <v>0</v>
      </c>
      <c r="L33" s="11">
        <f t="shared" si="1"/>
        <v>303.45</v>
      </c>
    </row>
    <row r="34" spans="1:14" x14ac:dyDescent="0.25">
      <c r="A34" s="8">
        <v>33</v>
      </c>
      <c r="B34" s="8" t="s">
        <v>19</v>
      </c>
      <c r="C34" s="8" t="s">
        <v>22</v>
      </c>
      <c r="D34" s="8" t="s">
        <v>20</v>
      </c>
      <c r="E34" s="9" t="s">
        <v>46</v>
      </c>
      <c r="F34" s="8" t="s">
        <v>11</v>
      </c>
      <c r="G34" s="8" t="s">
        <v>21</v>
      </c>
      <c r="H34" s="10" t="s">
        <v>17</v>
      </c>
      <c r="I34" s="8">
        <v>85</v>
      </c>
      <c r="J34" s="4">
        <v>85</v>
      </c>
      <c r="K34" s="5">
        <f t="shared" si="0"/>
        <v>0</v>
      </c>
      <c r="L34" s="11">
        <f t="shared" si="1"/>
        <v>303.45</v>
      </c>
    </row>
    <row r="35" spans="1:14" x14ac:dyDescent="0.25">
      <c r="A35" s="8">
        <v>34</v>
      </c>
      <c r="B35" s="8" t="s">
        <v>23</v>
      </c>
      <c r="C35" s="8" t="s">
        <v>22</v>
      </c>
      <c r="D35" s="8" t="s">
        <v>24</v>
      </c>
      <c r="E35" s="9" t="s">
        <v>43</v>
      </c>
      <c r="F35" s="8" t="s">
        <v>11</v>
      </c>
      <c r="G35" s="8" t="s">
        <v>21</v>
      </c>
      <c r="H35" s="10" t="s">
        <v>17</v>
      </c>
      <c r="I35" s="8">
        <v>325</v>
      </c>
      <c r="J35" s="4">
        <v>290</v>
      </c>
      <c r="K35" s="5">
        <f t="shared" si="0"/>
        <v>-35</v>
      </c>
      <c r="L35" s="11">
        <f t="shared" si="1"/>
        <v>1160.25</v>
      </c>
    </row>
    <row r="36" spans="1:14" x14ac:dyDescent="0.25">
      <c r="A36" s="8">
        <v>35</v>
      </c>
      <c r="B36" s="8" t="s">
        <v>29</v>
      </c>
      <c r="C36" s="8" t="s">
        <v>30</v>
      </c>
      <c r="D36" s="8" t="s">
        <v>31</v>
      </c>
      <c r="E36" s="9">
        <v>352355708043148</v>
      </c>
      <c r="F36" s="8" t="s">
        <v>11</v>
      </c>
      <c r="G36" s="8" t="s">
        <v>28</v>
      </c>
      <c r="H36" s="10" t="s">
        <v>17</v>
      </c>
      <c r="I36" s="8">
        <v>1320</v>
      </c>
      <c r="J36" s="4">
        <v>1320</v>
      </c>
      <c r="K36" s="5">
        <f t="shared" si="0"/>
        <v>0</v>
      </c>
      <c r="L36" s="11">
        <f t="shared" si="1"/>
        <v>4712.3999999999996</v>
      </c>
    </row>
    <row r="37" spans="1:14" x14ac:dyDescent="0.25">
      <c r="A37" s="8">
        <v>36</v>
      </c>
      <c r="B37" s="8" t="s">
        <v>15</v>
      </c>
      <c r="C37" s="8" t="s">
        <v>9</v>
      </c>
      <c r="D37" s="8" t="s">
        <v>10</v>
      </c>
      <c r="E37" s="9">
        <v>350552898592916</v>
      </c>
      <c r="F37" s="8" t="s">
        <v>11</v>
      </c>
      <c r="G37" s="8" t="s">
        <v>12</v>
      </c>
      <c r="H37" s="10" t="s">
        <v>17</v>
      </c>
      <c r="I37" s="8">
        <v>910</v>
      </c>
      <c r="J37" s="4">
        <v>910</v>
      </c>
      <c r="K37" s="5">
        <f t="shared" si="0"/>
        <v>0</v>
      </c>
      <c r="L37" s="11">
        <f t="shared" si="1"/>
        <v>3248.7</v>
      </c>
    </row>
    <row r="38" spans="1:14" x14ac:dyDescent="0.25">
      <c r="A38" s="8">
        <v>37</v>
      </c>
      <c r="B38" s="8" t="s">
        <v>32</v>
      </c>
      <c r="C38" s="8" t="s">
        <v>33</v>
      </c>
      <c r="D38" s="8" t="s">
        <v>31</v>
      </c>
      <c r="E38" s="9" t="s">
        <v>39</v>
      </c>
      <c r="F38" s="8" t="s">
        <v>11</v>
      </c>
      <c r="G38" s="8" t="s">
        <v>22</v>
      </c>
      <c r="H38" s="10" t="s">
        <v>17</v>
      </c>
      <c r="I38" s="8">
        <v>1375</v>
      </c>
      <c r="J38" s="4">
        <v>1375</v>
      </c>
      <c r="K38" s="5">
        <f t="shared" si="0"/>
        <v>0</v>
      </c>
      <c r="L38" s="11">
        <f t="shared" si="1"/>
        <v>4908.75</v>
      </c>
      <c r="M38" t="s">
        <v>55</v>
      </c>
      <c r="N38" s="1" t="s">
        <v>59</v>
      </c>
    </row>
    <row r="39" spans="1:14" x14ac:dyDescent="0.25">
      <c r="A39" s="8">
        <v>38</v>
      </c>
      <c r="B39" s="8" t="s">
        <v>25</v>
      </c>
      <c r="C39" s="8" t="s">
        <v>26</v>
      </c>
      <c r="D39" s="8" t="s">
        <v>34</v>
      </c>
      <c r="E39" s="9">
        <v>352255854683442</v>
      </c>
      <c r="F39" s="8" t="s">
        <v>11</v>
      </c>
      <c r="G39" s="8" t="s">
        <v>28</v>
      </c>
      <c r="H39" s="10" t="s">
        <v>17</v>
      </c>
      <c r="I39" s="8">
        <v>720</v>
      </c>
      <c r="J39" s="4">
        <v>720</v>
      </c>
      <c r="K39" s="5">
        <f t="shared" si="0"/>
        <v>0</v>
      </c>
      <c r="L39" s="11">
        <f t="shared" si="1"/>
        <v>2570.4</v>
      </c>
      <c r="M39" t="s">
        <v>54</v>
      </c>
    </row>
    <row r="40" spans="1:14" x14ac:dyDescent="0.25">
      <c r="A40" s="8">
        <v>39</v>
      </c>
      <c r="B40" s="8" t="s">
        <v>23</v>
      </c>
      <c r="C40" s="8" t="s">
        <v>22</v>
      </c>
      <c r="D40" s="8" t="s">
        <v>24</v>
      </c>
      <c r="E40" s="9" t="s">
        <v>45</v>
      </c>
      <c r="F40" s="8" t="s">
        <v>11</v>
      </c>
      <c r="G40" s="8" t="s">
        <v>21</v>
      </c>
      <c r="H40" s="10" t="s">
        <v>17</v>
      </c>
      <c r="I40" s="8">
        <v>325</v>
      </c>
      <c r="J40" s="4">
        <v>290</v>
      </c>
      <c r="K40" s="5">
        <f t="shared" si="0"/>
        <v>-35</v>
      </c>
      <c r="L40" s="11">
        <f t="shared" si="1"/>
        <v>1160.25</v>
      </c>
    </row>
    <row r="41" spans="1:14" x14ac:dyDescent="0.25">
      <c r="A41" s="8">
        <v>40</v>
      </c>
      <c r="B41" s="8" t="s">
        <v>15</v>
      </c>
      <c r="C41" s="8" t="s">
        <v>9</v>
      </c>
      <c r="D41" s="8" t="s">
        <v>10</v>
      </c>
      <c r="E41" s="9">
        <v>358434702428409</v>
      </c>
      <c r="F41" s="8" t="s">
        <v>11</v>
      </c>
      <c r="G41" s="8" t="s">
        <v>12</v>
      </c>
      <c r="H41" s="10" t="s">
        <v>17</v>
      </c>
      <c r="I41" s="8">
        <v>910</v>
      </c>
      <c r="J41" s="4">
        <v>910</v>
      </c>
      <c r="K41" s="5">
        <f t="shared" si="0"/>
        <v>0</v>
      </c>
      <c r="L41" s="11">
        <f t="shared" si="1"/>
        <v>3248.7</v>
      </c>
    </row>
    <row r="42" spans="1:14" x14ac:dyDescent="0.25">
      <c r="A42" s="8">
        <v>41</v>
      </c>
      <c r="B42" s="8" t="s">
        <v>15</v>
      </c>
      <c r="C42" s="8" t="s">
        <v>9</v>
      </c>
      <c r="D42" s="8" t="s">
        <v>18</v>
      </c>
      <c r="E42" s="9">
        <v>356225420213871</v>
      </c>
      <c r="F42" s="8" t="s">
        <v>11</v>
      </c>
      <c r="G42" s="8" t="s">
        <v>14</v>
      </c>
      <c r="H42" s="10" t="s">
        <v>17</v>
      </c>
      <c r="I42" s="8">
        <v>940</v>
      </c>
      <c r="J42" s="4">
        <v>955</v>
      </c>
      <c r="K42" s="5">
        <f t="shared" si="0"/>
        <v>15</v>
      </c>
      <c r="L42" s="11">
        <f t="shared" si="1"/>
        <v>3355.7999999999997</v>
      </c>
    </row>
    <row r="43" spans="1:14" x14ac:dyDescent="0.25">
      <c r="A43" s="8">
        <v>42</v>
      </c>
      <c r="B43" s="8" t="s">
        <v>15</v>
      </c>
      <c r="C43" s="8" t="s">
        <v>9</v>
      </c>
      <c r="D43" s="8" t="s">
        <v>16</v>
      </c>
      <c r="E43" s="9">
        <v>359814718786685</v>
      </c>
      <c r="F43" s="8" t="s">
        <v>11</v>
      </c>
      <c r="G43" s="8" t="s">
        <v>14</v>
      </c>
      <c r="H43" s="10" t="s">
        <v>17</v>
      </c>
      <c r="I43" s="8">
        <v>890</v>
      </c>
      <c r="J43" s="4">
        <v>890</v>
      </c>
      <c r="K43" s="5">
        <f t="shared" si="0"/>
        <v>0</v>
      </c>
      <c r="L43" s="11">
        <f t="shared" si="1"/>
        <v>3177.2999999999997</v>
      </c>
    </row>
    <row r="44" spans="1:14" x14ac:dyDescent="0.25">
      <c r="A44" s="8">
        <v>43</v>
      </c>
      <c r="B44" s="8" t="s">
        <v>15</v>
      </c>
      <c r="C44" s="8" t="s">
        <v>9</v>
      </c>
      <c r="D44" s="8" t="s">
        <v>10</v>
      </c>
      <c r="E44" s="9">
        <v>357329447162654</v>
      </c>
      <c r="F44" s="8" t="s">
        <v>11</v>
      </c>
      <c r="G44" s="8" t="s">
        <v>12</v>
      </c>
      <c r="H44" s="10" t="s">
        <v>17</v>
      </c>
      <c r="I44" s="8">
        <v>910</v>
      </c>
      <c r="J44" s="4">
        <v>910</v>
      </c>
      <c r="K44" s="5">
        <f t="shared" si="0"/>
        <v>0</v>
      </c>
      <c r="L44" s="11">
        <f t="shared" si="1"/>
        <v>3248.7</v>
      </c>
    </row>
    <row r="45" spans="1:14" x14ac:dyDescent="0.25">
      <c r="A45" s="8">
        <v>44</v>
      </c>
      <c r="B45" s="8" t="s">
        <v>8</v>
      </c>
      <c r="C45" s="8" t="s">
        <v>9</v>
      </c>
      <c r="D45" s="8" t="s">
        <v>10</v>
      </c>
      <c r="E45" s="9">
        <v>357329443565710</v>
      </c>
      <c r="F45" s="8" t="s">
        <v>11</v>
      </c>
      <c r="G45" s="8" t="s">
        <v>14</v>
      </c>
      <c r="H45" s="10" t="s">
        <v>13</v>
      </c>
      <c r="I45" s="8">
        <v>910</v>
      </c>
      <c r="J45" s="4">
        <v>930</v>
      </c>
      <c r="K45" s="5">
        <f t="shared" si="0"/>
        <v>20</v>
      </c>
      <c r="L45" s="11">
        <f t="shared" si="1"/>
        <v>3248.7</v>
      </c>
    </row>
    <row r="46" spans="1:14" x14ac:dyDescent="0.25">
      <c r="A46" s="8">
        <v>45</v>
      </c>
      <c r="B46" s="8" t="s">
        <v>15</v>
      </c>
      <c r="C46" s="8" t="s">
        <v>9</v>
      </c>
      <c r="D46" s="8" t="s">
        <v>16</v>
      </c>
      <c r="E46" s="9">
        <v>350035233820630</v>
      </c>
      <c r="F46" s="8" t="s">
        <v>11</v>
      </c>
      <c r="G46" s="8" t="s">
        <v>12</v>
      </c>
      <c r="H46" s="10" t="s">
        <v>17</v>
      </c>
      <c r="I46" s="8">
        <v>890</v>
      </c>
      <c r="J46" s="4">
        <v>890</v>
      </c>
      <c r="K46" s="5">
        <f t="shared" si="0"/>
        <v>0</v>
      </c>
      <c r="L46" s="11">
        <f t="shared" si="1"/>
        <v>3177.2999999999997</v>
      </c>
    </row>
    <row r="47" spans="1:14" x14ac:dyDescent="0.25">
      <c r="A47" s="8">
        <v>46</v>
      </c>
      <c r="B47" s="8" t="s">
        <v>8</v>
      </c>
      <c r="C47" s="8" t="s">
        <v>9</v>
      </c>
      <c r="D47" s="8" t="s">
        <v>10</v>
      </c>
      <c r="E47" s="9">
        <v>358902514996631</v>
      </c>
      <c r="F47" s="8" t="s">
        <v>11</v>
      </c>
      <c r="G47" s="8" t="s">
        <v>12</v>
      </c>
      <c r="H47" s="10" t="s">
        <v>13</v>
      </c>
      <c r="I47" s="8">
        <v>910</v>
      </c>
      <c r="J47" s="4">
        <v>900</v>
      </c>
      <c r="K47" s="5">
        <f t="shared" si="0"/>
        <v>-10</v>
      </c>
      <c r="L47" s="11">
        <f t="shared" si="1"/>
        <v>3248.7</v>
      </c>
    </row>
    <row r="48" spans="1:14" x14ac:dyDescent="0.25">
      <c r="A48" s="8">
        <v>47</v>
      </c>
      <c r="B48" s="8" t="s">
        <v>19</v>
      </c>
      <c r="C48" s="8" t="s">
        <v>22</v>
      </c>
      <c r="D48" s="8" t="s">
        <v>20</v>
      </c>
      <c r="E48" s="9" t="s">
        <v>53</v>
      </c>
      <c r="F48" s="8" t="s">
        <v>11</v>
      </c>
      <c r="G48" s="8" t="s">
        <v>21</v>
      </c>
      <c r="H48" s="10" t="s">
        <v>17</v>
      </c>
      <c r="I48" s="8">
        <v>85</v>
      </c>
      <c r="J48" s="4">
        <v>85</v>
      </c>
      <c r="K48" s="5">
        <f t="shared" si="0"/>
        <v>0</v>
      </c>
      <c r="L48" s="11">
        <f t="shared" si="1"/>
        <v>303.45</v>
      </c>
    </row>
    <row r="49" spans="1:12" x14ac:dyDescent="0.25">
      <c r="A49" s="8">
        <v>48</v>
      </c>
      <c r="B49" s="8" t="s">
        <v>35</v>
      </c>
      <c r="C49" s="8" t="s">
        <v>30</v>
      </c>
      <c r="D49" s="8" t="s">
        <v>22</v>
      </c>
      <c r="E49" s="9" t="s">
        <v>36</v>
      </c>
      <c r="F49" s="8" t="s">
        <v>11</v>
      </c>
      <c r="G49" s="8" t="s">
        <v>21</v>
      </c>
      <c r="H49" s="10" t="s">
        <v>17</v>
      </c>
      <c r="I49" s="8">
        <v>425</v>
      </c>
      <c r="J49" s="4">
        <v>425</v>
      </c>
      <c r="K49" s="5">
        <f t="shared" si="0"/>
        <v>0</v>
      </c>
      <c r="L49" s="11">
        <f t="shared" si="1"/>
        <v>1517.25</v>
      </c>
    </row>
    <row r="50" spans="1:12" x14ac:dyDescent="0.25">
      <c r="A50" s="8">
        <v>49</v>
      </c>
      <c r="B50" s="8" t="s">
        <v>15</v>
      </c>
      <c r="C50" s="8" t="s">
        <v>9</v>
      </c>
      <c r="D50" s="8" t="s">
        <v>16</v>
      </c>
      <c r="E50" s="9">
        <v>358434709168842</v>
      </c>
      <c r="F50" s="8" t="s">
        <v>11</v>
      </c>
      <c r="G50" s="8" t="s">
        <v>14</v>
      </c>
      <c r="H50" s="10" t="s">
        <v>17</v>
      </c>
      <c r="I50" s="8">
        <v>890</v>
      </c>
      <c r="J50" s="4">
        <v>890</v>
      </c>
      <c r="K50" s="5">
        <f t="shared" si="0"/>
        <v>0</v>
      </c>
      <c r="L50" s="11">
        <f t="shared" si="1"/>
        <v>3177.2999999999997</v>
      </c>
    </row>
    <row r="51" spans="1:12" x14ac:dyDescent="0.25">
      <c r="A51" s="8">
        <v>50</v>
      </c>
      <c r="B51" s="8" t="s">
        <v>23</v>
      </c>
      <c r="C51" s="8" t="s">
        <v>22</v>
      </c>
      <c r="D51" s="8" t="s">
        <v>31</v>
      </c>
      <c r="E51" s="9" t="s">
        <v>40</v>
      </c>
      <c r="F51" s="8" t="s">
        <v>11</v>
      </c>
      <c r="G51" s="8" t="s">
        <v>21</v>
      </c>
      <c r="H51" s="10" t="s">
        <v>17</v>
      </c>
      <c r="I51" s="8">
        <v>325</v>
      </c>
      <c r="J51" s="4">
        <v>290</v>
      </c>
      <c r="K51" s="5">
        <f t="shared" si="0"/>
        <v>-35</v>
      </c>
      <c r="L51" s="11">
        <f t="shared" si="1"/>
        <v>1160.25</v>
      </c>
    </row>
    <row r="52" spans="1:12" x14ac:dyDescent="0.25">
      <c r="A52" s="8">
        <v>51</v>
      </c>
      <c r="B52" s="8" t="s">
        <v>15</v>
      </c>
      <c r="C52" s="8" t="s">
        <v>9</v>
      </c>
      <c r="D52" s="8" t="s">
        <v>10</v>
      </c>
      <c r="E52" s="9">
        <v>356225420168455</v>
      </c>
      <c r="F52" s="8" t="s">
        <v>11</v>
      </c>
      <c r="G52" s="8" t="s">
        <v>12</v>
      </c>
      <c r="H52" s="10" t="s">
        <v>17</v>
      </c>
      <c r="I52" s="8">
        <v>910</v>
      </c>
      <c r="J52" s="4">
        <v>910</v>
      </c>
      <c r="K52" s="5">
        <f t="shared" si="0"/>
        <v>0</v>
      </c>
      <c r="L52" s="11">
        <f t="shared" si="1"/>
        <v>3248.7</v>
      </c>
    </row>
    <row r="53" spans="1:12" x14ac:dyDescent="0.25">
      <c r="A53" s="8">
        <v>52</v>
      </c>
      <c r="B53" s="8" t="s">
        <v>15</v>
      </c>
      <c r="C53" s="8" t="s">
        <v>9</v>
      </c>
      <c r="D53" s="8" t="s">
        <v>10</v>
      </c>
      <c r="E53" s="9">
        <v>350035238459939</v>
      </c>
      <c r="F53" s="8" t="s">
        <v>11</v>
      </c>
      <c r="G53" s="8" t="s">
        <v>14</v>
      </c>
      <c r="H53" s="10" t="s">
        <v>17</v>
      </c>
      <c r="I53" s="8">
        <v>910</v>
      </c>
      <c r="J53" s="4">
        <v>930</v>
      </c>
      <c r="K53" s="5">
        <f t="shared" si="0"/>
        <v>20</v>
      </c>
      <c r="L53" s="11">
        <f t="shared" si="1"/>
        <v>3248.7</v>
      </c>
    </row>
    <row r="54" spans="1:12" x14ac:dyDescent="0.25">
      <c r="A54" s="8">
        <v>53</v>
      </c>
      <c r="B54" s="8" t="s">
        <v>15</v>
      </c>
      <c r="C54" s="8" t="s">
        <v>9</v>
      </c>
      <c r="D54" s="8" t="s">
        <v>10</v>
      </c>
      <c r="E54" s="9">
        <v>356225422846504</v>
      </c>
      <c r="F54" s="8" t="s">
        <v>11</v>
      </c>
      <c r="G54" s="8" t="s">
        <v>12</v>
      </c>
      <c r="H54" s="10" t="s">
        <v>17</v>
      </c>
      <c r="I54" s="8">
        <v>910</v>
      </c>
      <c r="J54" s="4">
        <v>910</v>
      </c>
      <c r="K54" s="5">
        <f t="shared" si="0"/>
        <v>0</v>
      </c>
      <c r="L54" s="11">
        <f t="shared" si="1"/>
        <v>3248.7</v>
      </c>
    </row>
    <row r="55" spans="1:12" x14ac:dyDescent="0.25">
      <c r="A55" s="8">
        <v>54</v>
      </c>
      <c r="B55" s="8" t="s">
        <v>23</v>
      </c>
      <c r="C55" s="8" t="s">
        <v>22</v>
      </c>
      <c r="D55" s="8" t="s">
        <v>31</v>
      </c>
      <c r="E55" s="9" t="s">
        <v>41</v>
      </c>
      <c r="F55" s="8" t="s">
        <v>11</v>
      </c>
      <c r="G55" s="8" t="s">
        <v>21</v>
      </c>
      <c r="H55" s="10" t="s">
        <v>17</v>
      </c>
      <c r="I55" s="8">
        <v>325</v>
      </c>
      <c r="J55" s="4">
        <v>290</v>
      </c>
      <c r="K55" s="5">
        <f t="shared" si="0"/>
        <v>-35</v>
      </c>
      <c r="L55" s="11">
        <f t="shared" si="1"/>
        <v>1160.25</v>
      </c>
    </row>
    <row r="56" spans="1:12" x14ac:dyDescent="0.25">
      <c r="A56" s="8">
        <v>55</v>
      </c>
      <c r="B56" s="8" t="s">
        <v>35</v>
      </c>
      <c r="C56" s="8" t="s">
        <v>30</v>
      </c>
      <c r="D56" s="8" t="s">
        <v>22</v>
      </c>
      <c r="E56" s="9" t="s">
        <v>37</v>
      </c>
      <c r="F56" s="8" t="s">
        <v>11</v>
      </c>
      <c r="G56" s="8" t="s">
        <v>21</v>
      </c>
      <c r="H56" s="10" t="s">
        <v>17</v>
      </c>
      <c r="I56" s="8">
        <v>425</v>
      </c>
      <c r="J56" s="4">
        <v>425</v>
      </c>
      <c r="K56" s="5">
        <f t="shared" si="0"/>
        <v>0</v>
      </c>
      <c r="L56" s="11">
        <f t="shared" si="1"/>
        <v>1517.25</v>
      </c>
    </row>
    <row r="57" spans="1:12" x14ac:dyDescent="0.25">
      <c r="A57" s="8">
        <v>56</v>
      </c>
      <c r="B57" s="8" t="s">
        <v>19</v>
      </c>
      <c r="C57" s="8" t="s">
        <v>22</v>
      </c>
      <c r="D57" s="8" t="s">
        <v>20</v>
      </c>
      <c r="E57" s="9" t="s">
        <v>49</v>
      </c>
      <c r="F57" s="8" t="s">
        <v>11</v>
      </c>
      <c r="G57" s="8" t="s">
        <v>21</v>
      </c>
      <c r="H57" s="10" t="s">
        <v>17</v>
      </c>
      <c r="I57" s="8">
        <v>85</v>
      </c>
      <c r="J57" s="4">
        <v>85</v>
      </c>
      <c r="K57" s="5">
        <f t="shared" si="0"/>
        <v>0</v>
      </c>
      <c r="L57" s="11">
        <f t="shared" si="1"/>
        <v>303.45</v>
      </c>
    </row>
    <row r="58" spans="1:12" x14ac:dyDescent="0.25">
      <c r="A58" s="8">
        <v>57</v>
      </c>
      <c r="B58" s="8" t="s">
        <v>15</v>
      </c>
      <c r="C58" s="8" t="s">
        <v>9</v>
      </c>
      <c r="D58" s="8" t="s">
        <v>10</v>
      </c>
      <c r="E58" s="9">
        <v>350552898203746</v>
      </c>
      <c r="F58" s="8" t="s">
        <v>11</v>
      </c>
      <c r="G58" s="8" t="s">
        <v>12</v>
      </c>
      <c r="H58" s="10" t="s">
        <v>17</v>
      </c>
      <c r="I58" s="8">
        <v>910</v>
      </c>
      <c r="J58" s="4">
        <v>910</v>
      </c>
      <c r="K58" s="5">
        <f t="shared" si="0"/>
        <v>0</v>
      </c>
      <c r="L58" s="11">
        <f t="shared" si="1"/>
        <v>3248.7</v>
      </c>
    </row>
    <row r="59" spans="1:12" ht="21" x14ac:dyDescent="0.25">
      <c r="I59" s="3">
        <f>SUM(I2:I58)</f>
        <v>41335</v>
      </c>
      <c r="L59" s="7">
        <f>SUM(L2:L58)</f>
        <v>147565.95000000001</v>
      </c>
    </row>
  </sheetData>
  <autoFilter ref="A1:L59" xr:uid="{EE12D4E8-FED2-4D04-B35C-6B93438EB1BD}"/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2026-04-21T11:10:31Z</dcterms:created>
  <dcterms:modified xsi:type="dcterms:W3CDTF">2026-05-09T15:31:17Z</dcterms:modified>
</cp:coreProperties>
</file>