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68" documentId="13_ncr:1_{6224CFD8-01AD-4E9E-9560-E17F1DD993AA}" xr6:coauthVersionLast="47" xr6:coauthVersionMax="47" xr10:uidLastSave="{A2B5A70E-3FA1-45CE-9F63-6F754A1EA386}"/>
  <bookViews>
    <workbookView xWindow="-120" yWindow="-120" windowWidth="20730" windowHeight="11040" xr2:uid="{A77388AF-E647-426A-981F-8E693C25ED06}"/>
  </bookViews>
  <sheets>
    <sheet name="Invoice" sheetId="2" r:id="rId1"/>
  </sheets>
  <definedNames>
    <definedName name="_xlnm._FilterDatabase" localSheetId="0" hidden="1">Invoice!$A$1:$L$82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2" i="2"/>
  <c r="J80" i="2"/>
  <c r="I80" i="2"/>
  <c r="I82" i="2" s="1"/>
  <c r="K80" i="2" l="1"/>
</calcChain>
</file>

<file path=xl/sharedStrings.xml><?xml version="1.0" encoding="utf-8"?>
<sst xmlns="http://schemas.openxmlformats.org/spreadsheetml/2006/main" count="488" uniqueCount="63">
  <si>
    <t>ITEM DESCRIPTION</t>
  </si>
  <si>
    <t>STORAGE</t>
  </si>
  <si>
    <t>COLOR</t>
  </si>
  <si>
    <t>BOX/HSO</t>
  </si>
  <si>
    <t>CARRIER</t>
  </si>
  <si>
    <t>STATUS</t>
  </si>
  <si>
    <t>iPhone 17 Pro Max Locked 256GB (Locked)</t>
  </si>
  <si>
    <t>256GB</t>
  </si>
  <si>
    <t>IMEI/SN</t>
  </si>
  <si>
    <t>BLUE</t>
  </si>
  <si>
    <t>BOX</t>
  </si>
  <si>
    <t>AT&amp;T</t>
  </si>
  <si>
    <t>ACTIVE</t>
  </si>
  <si>
    <t>iPhone 17 Pro Locked 256GB</t>
  </si>
  <si>
    <t>iPhone 17 Pro Locked 256GB (Locked)</t>
  </si>
  <si>
    <t>ORANGE</t>
  </si>
  <si>
    <t>Bell</t>
  </si>
  <si>
    <t>iPhone 17 Pro Max 256GB Others (Unlocked)</t>
  </si>
  <si>
    <t>UNLOCK</t>
  </si>
  <si>
    <t>NON ACTIVE</t>
  </si>
  <si>
    <t>iPhone 17 Pro Max 256GB (Locked)</t>
  </si>
  <si>
    <t>VERIZON</t>
  </si>
  <si>
    <t>SILVER</t>
  </si>
  <si>
    <t>iPhone 17e 256GB (Locked)</t>
  </si>
  <si>
    <t>BLACK</t>
  </si>
  <si>
    <t>Sr No</t>
  </si>
  <si>
    <t>SPECTRUM</t>
  </si>
  <si>
    <t>-</t>
  </si>
  <si>
    <t>iPhone 17 Pro Max Unlocked 256GB (Unlocked)</t>
  </si>
  <si>
    <t>HSO</t>
  </si>
  <si>
    <t>XFINITY</t>
  </si>
  <si>
    <t>iPhone 17 Pro 256GB (Locked)</t>
  </si>
  <si>
    <t>iPhone 17 Pro 512GB (Unlocked)</t>
  </si>
  <si>
    <t>512GB</t>
  </si>
  <si>
    <t>iPhone 17 Pro 256GB (Unlocked)</t>
  </si>
  <si>
    <t>USED</t>
  </si>
  <si>
    <t>iPhone 17 Air 256GB (Locked)</t>
  </si>
  <si>
    <t>iPhone 17 256GB (Unlocked)</t>
  </si>
  <si>
    <t>WHITE</t>
  </si>
  <si>
    <t>iPhone 15 Pro Max 256GB (Locked)</t>
  </si>
  <si>
    <t>NATURAL</t>
  </si>
  <si>
    <t>iPad Pro 13-inch 8th Gen 256GB 5G</t>
  </si>
  <si>
    <t>Ray-Ban Wayfarer Gen 2</t>
  </si>
  <si>
    <t>8056262721377-4</t>
  </si>
  <si>
    <t>WIFI</t>
  </si>
  <si>
    <t>8056262721377-1</t>
  </si>
  <si>
    <t>Apple Watch S11 46MM Cellular</t>
  </si>
  <si>
    <t>IPAD AIR 13 M4 128GB</t>
  </si>
  <si>
    <t>128GB</t>
  </si>
  <si>
    <t>IPAD A16 128GB</t>
  </si>
  <si>
    <t>C76PWF4PHP</t>
  </si>
  <si>
    <t>FQRVQXMGYH</t>
  </si>
  <si>
    <t>IPAD A16 256GB</t>
  </si>
  <si>
    <t>512GB/16 - MDHH4LL / MDH74LL / MDHA4LL / MDHE4LL</t>
  </si>
  <si>
    <t>DH22XWF23T</t>
  </si>
  <si>
    <t>J6H3DQ3QLY</t>
  </si>
  <si>
    <t>8056262721377-2</t>
  </si>
  <si>
    <t>8056262721377-3</t>
  </si>
  <si>
    <t>CRICKET</t>
  </si>
  <si>
    <t>Updated Prices</t>
  </si>
  <si>
    <t>AED Prices</t>
  </si>
  <si>
    <t>Owais 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</si>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</sst>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USD]\ * #,##0.00_-;\-[$USD]\ * #,##0.00_-;_-[$USD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FEF7-3500-478D-ABFC-0BB7152926BE}">
  <dimension ref="A1:L82"/>
  <sheetViews>
    <sheetView tabSelected="1" topLeftCell="A61" zoomScale="85" zoomScaleNormal="85" workbookViewId="0">
      <selection activeCell="K82" sqref="K82"/>
    </sheetView>
  </sheetViews>
  <sheetFormatPr defaultRowHeight="15" x14ac:dyDescent="0.25"/>
  <cols>
    <col min="2" max="2" width="48.5703125" bestFit="1" customWidth="1"/>
    <col min="3" max="3" width="16.140625" bestFit="1" customWidth="1"/>
    <col min="4" max="4" width="9.5703125" bestFit="1" customWidth="1"/>
    <col min="6" max="6" width="9.42578125" bestFit="1" customWidth="1"/>
    <col min="7" max="7" width="13.7109375" bestFit="1" customWidth="1"/>
    <col min="8" max="8" width="13.140625" bestFit="1" customWidth="1"/>
    <col min="9" max="10" width="20" bestFit="1" customWidth="1"/>
    <col min="11" max="11" width="21.28515625" bestFit="1" customWidth="1"/>
  </cols>
  <sheetData>
    <row r="1" spans="1:12" x14ac:dyDescent="0.25">
      <c r="A1" s="1" t="s">
        <v>25</v>
      </c>
      <c r="B1" s="1" t="s">
        <v>0</v>
      </c>
      <c r="C1" s="2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61</v>
      </c>
      <c r="J1" s="1" t="s">
        <v>59</v>
      </c>
      <c r="K1" s="5" t="s">
        <v>60</v>
      </c>
    </row>
    <row r="2" spans="1:12" x14ac:dyDescent="0.25">
      <c r="A2" s="3">
        <v>1</v>
      </c>
      <c r="B2" s="3" t="s">
        <v>53</v>
      </c>
      <c r="C2" s="4" t="s">
        <v>54</v>
      </c>
      <c r="D2" s="3" t="s">
        <v>33</v>
      </c>
      <c r="E2" s="3" t="s">
        <v>27</v>
      </c>
      <c r="F2" s="3" t="s">
        <v>10</v>
      </c>
      <c r="G2" s="3" t="s">
        <v>44</v>
      </c>
      <c r="H2" s="3" t="s">
        <v>19</v>
      </c>
      <c r="I2" s="3">
        <v>930</v>
      </c>
      <c r="J2" s="3">
        <v>930</v>
      </c>
      <c r="K2" s="8">
        <f>J2*3.57</f>
        <v>3320.1</v>
      </c>
      <c r="L2">
        <f>J2-I2</f>
        <v>0</v>
      </c>
    </row>
    <row r="3" spans="1:12" x14ac:dyDescent="0.25">
      <c r="A3" s="3">
        <v>2</v>
      </c>
      <c r="B3" s="3" t="s">
        <v>53</v>
      </c>
      <c r="C3" s="4" t="s">
        <v>55</v>
      </c>
      <c r="D3" s="3" t="s">
        <v>33</v>
      </c>
      <c r="E3" s="3" t="s">
        <v>27</v>
      </c>
      <c r="F3" s="3" t="s">
        <v>10</v>
      </c>
      <c r="G3" s="3" t="s">
        <v>44</v>
      </c>
      <c r="H3" s="3" t="s">
        <v>19</v>
      </c>
      <c r="I3" s="3">
        <v>930</v>
      </c>
      <c r="J3" s="3">
        <v>930</v>
      </c>
      <c r="K3" s="8">
        <f t="shared" ref="K3:K66" si="0">J3*3.57</f>
        <v>3320.1</v>
      </c>
      <c r="L3">
        <f t="shared" ref="L3:L66" si="1">J3-I3</f>
        <v>0</v>
      </c>
    </row>
    <row r="4" spans="1:12" x14ac:dyDescent="0.25">
      <c r="A4" s="3">
        <v>3</v>
      </c>
      <c r="B4" s="3" t="s">
        <v>46</v>
      </c>
      <c r="C4" s="4">
        <v>357324132333306</v>
      </c>
      <c r="D4" s="3" t="s">
        <v>27</v>
      </c>
      <c r="E4" s="3" t="s">
        <v>24</v>
      </c>
      <c r="F4" s="3" t="s">
        <v>10</v>
      </c>
      <c r="G4" s="3" t="s">
        <v>27</v>
      </c>
      <c r="H4" s="3" t="s">
        <v>19</v>
      </c>
      <c r="I4" s="3">
        <v>320</v>
      </c>
      <c r="J4" s="3">
        <v>315</v>
      </c>
      <c r="K4" s="8">
        <f t="shared" si="0"/>
        <v>1124.55</v>
      </c>
      <c r="L4">
        <f t="shared" si="1"/>
        <v>-5</v>
      </c>
    </row>
    <row r="5" spans="1:12" x14ac:dyDescent="0.25">
      <c r="A5" s="3">
        <v>4</v>
      </c>
      <c r="B5" s="3" t="s">
        <v>49</v>
      </c>
      <c r="C5" s="4" t="s">
        <v>50</v>
      </c>
      <c r="D5" s="3" t="s">
        <v>48</v>
      </c>
      <c r="E5" s="3" t="s">
        <v>9</v>
      </c>
      <c r="F5" s="3" t="s">
        <v>10</v>
      </c>
      <c r="G5" s="3" t="s">
        <v>18</v>
      </c>
      <c r="H5" s="3" t="s">
        <v>19</v>
      </c>
      <c r="I5" s="3">
        <v>350</v>
      </c>
      <c r="J5" s="3">
        <v>340</v>
      </c>
      <c r="K5" s="8">
        <f t="shared" si="0"/>
        <v>1213.8</v>
      </c>
      <c r="L5">
        <f t="shared" si="1"/>
        <v>-10</v>
      </c>
    </row>
    <row r="6" spans="1:12" x14ac:dyDescent="0.25">
      <c r="A6" s="3">
        <v>5</v>
      </c>
      <c r="B6" s="3" t="s">
        <v>49</v>
      </c>
      <c r="C6" s="4" t="s">
        <v>51</v>
      </c>
      <c r="D6" s="3" t="s">
        <v>48</v>
      </c>
      <c r="E6" s="3" t="s">
        <v>9</v>
      </c>
      <c r="F6" s="3" t="s">
        <v>10</v>
      </c>
      <c r="G6" s="3" t="s">
        <v>18</v>
      </c>
      <c r="H6" s="3" t="s">
        <v>19</v>
      </c>
      <c r="I6" s="3">
        <v>350</v>
      </c>
      <c r="J6" s="3">
        <v>340</v>
      </c>
      <c r="K6" s="8">
        <f t="shared" si="0"/>
        <v>1213.8</v>
      </c>
      <c r="L6">
        <f t="shared" si="1"/>
        <v>-10</v>
      </c>
    </row>
    <row r="7" spans="1:12" x14ac:dyDescent="0.25">
      <c r="A7" s="3">
        <v>6</v>
      </c>
      <c r="B7" s="3" t="s">
        <v>49</v>
      </c>
      <c r="C7" s="4">
        <v>351159024325184</v>
      </c>
      <c r="D7" s="3" t="s">
        <v>48</v>
      </c>
      <c r="E7" s="3" t="s">
        <v>9</v>
      </c>
      <c r="F7" s="3" t="s">
        <v>10</v>
      </c>
      <c r="G7" s="3" t="s">
        <v>18</v>
      </c>
      <c r="H7" s="3" t="s">
        <v>19</v>
      </c>
      <c r="I7" s="3">
        <v>350</v>
      </c>
      <c r="J7" s="3">
        <v>340</v>
      </c>
      <c r="K7" s="8">
        <f t="shared" si="0"/>
        <v>1213.8</v>
      </c>
      <c r="L7">
        <f t="shared" si="1"/>
        <v>-10</v>
      </c>
    </row>
    <row r="8" spans="1:12" x14ac:dyDescent="0.25">
      <c r="A8" s="3">
        <v>7</v>
      </c>
      <c r="B8" s="3" t="s">
        <v>52</v>
      </c>
      <c r="C8" s="4">
        <v>357879853903678</v>
      </c>
      <c r="D8" s="3" t="s">
        <v>7</v>
      </c>
      <c r="E8" s="3" t="s">
        <v>22</v>
      </c>
      <c r="F8" s="3" t="s">
        <v>10</v>
      </c>
      <c r="G8" s="3" t="s">
        <v>18</v>
      </c>
      <c r="H8" s="3" t="s">
        <v>19</v>
      </c>
      <c r="I8" s="3">
        <v>480</v>
      </c>
      <c r="J8" s="3">
        <v>480</v>
      </c>
      <c r="K8" s="8">
        <f t="shared" si="0"/>
        <v>1713.6</v>
      </c>
      <c r="L8">
        <f t="shared" si="1"/>
        <v>0</v>
      </c>
    </row>
    <row r="9" spans="1:12" x14ac:dyDescent="0.25">
      <c r="A9" s="3">
        <v>8</v>
      </c>
      <c r="B9" s="3" t="s">
        <v>52</v>
      </c>
      <c r="C9" s="4">
        <v>357879853765416</v>
      </c>
      <c r="D9" s="3" t="s">
        <v>7</v>
      </c>
      <c r="E9" s="3" t="s">
        <v>22</v>
      </c>
      <c r="F9" s="3" t="s">
        <v>10</v>
      </c>
      <c r="G9" s="3" t="s">
        <v>18</v>
      </c>
      <c r="H9" s="3" t="s">
        <v>19</v>
      </c>
      <c r="I9" s="3">
        <v>480</v>
      </c>
      <c r="J9" s="3">
        <v>480</v>
      </c>
      <c r="K9" s="8">
        <f t="shared" si="0"/>
        <v>1713.6</v>
      </c>
      <c r="L9">
        <f t="shared" si="1"/>
        <v>0</v>
      </c>
    </row>
    <row r="10" spans="1:12" x14ac:dyDescent="0.25">
      <c r="A10" s="3">
        <v>9</v>
      </c>
      <c r="B10" s="3" t="s">
        <v>47</v>
      </c>
      <c r="C10" s="4">
        <v>352255850784186</v>
      </c>
      <c r="D10" s="3" t="s">
        <v>48</v>
      </c>
      <c r="E10" s="3" t="s">
        <v>9</v>
      </c>
      <c r="F10" s="3" t="s">
        <v>10</v>
      </c>
      <c r="G10" s="3" t="s">
        <v>18</v>
      </c>
      <c r="H10" s="3" t="s">
        <v>19</v>
      </c>
      <c r="I10" s="3">
        <v>750</v>
      </c>
      <c r="J10" s="3">
        <v>720</v>
      </c>
      <c r="K10" s="8">
        <f t="shared" si="0"/>
        <v>2570.4</v>
      </c>
      <c r="L10">
        <f t="shared" si="1"/>
        <v>-30</v>
      </c>
    </row>
    <row r="11" spans="1:12" x14ac:dyDescent="0.25">
      <c r="A11" s="3">
        <v>10</v>
      </c>
      <c r="B11" s="3" t="s">
        <v>41</v>
      </c>
      <c r="C11" s="4">
        <v>352355706556117</v>
      </c>
      <c r="D11" s="3" t="s">
        <v>7</v>
      </c>
      <c r="E11" s="3" t="s">
        <v>22</v>
      </c>
      <c r="F11" s="3" t="s">
        <v>10</v>
      </c>
      <c r="G11" s="3" t="s">
        <v>18</v>
      </c>
      <c r="H11" s="3" t="s">
        <v>19</v>
      </c>
      <c r="I11" s="3">
        <v>1050</v>
      </c>
      <c r="J11" s="3">
        <v>1030</v>
      </c>
      <c r="K11" s="8">
        <f t="shared" si="0"/>
        <v>3677.1</v>
      </c>
      <c r="L11">
        <f t="shared" si="1"/>
        <v>-20</v>
      </c>
    </row>
    <row r="12" spans="1:12" x14ac:dyDescent="0.25">
      <c r="A12" s="3">
        <v>11</v>
      </c>
      <c r="B12" s="3" t="s">
        <v>39</v>
      </c>
      <c r="C12" s="4">
        <v>354570354691424</v>
      </c>
      <c r="D12" s="3" t="s">
        <v>7</v>
      </c>
      <c r="E12" s="3" t="s">
        <v>40</v>
      </c>
      <c r="F12" s="3" t="s">
        <v>10</v>
      </c>
      <c r="G12" s="3" t="s">
        <v>11</v>
      </c>
      <c r="H12" s="3" t="s">
        <v>12</v>
      </c>
      <c r="I12" s="3">
        <v>490</v>
      </c>
      <c r="J12" s="3">
        <v>490</v>
      </c>
      <c r="K12" s="8">
        <f t="shared" si="0"/>
        <v>1749.3</v>
      </c>
      <c r="L12">
        <f t="shared" si="1"/>
        <v>0</v>
      </c>
    </row>
    <row r="13" spans="1:12" x14ac:dyDescent="0.25">
      <c r="A13" s="3">
        <v>12</v>
      </c>
      <c r="B13" s="3" t="s">
        <v>37</v>
      </c>
      <c r="C13" s="4">
        <v>354666654247014</v>
      </c>
      <c r="D13" s="3" t="s">
        <v>7</v>
      </c>
      <c r="E13" s="3" t="s">
        <v>38</v>
      </c>
      <c r="F13" s="3" t="s">
        <v>10</v>
      </c>
      <c r="G13" s="3" t="s">
        <v>27</v>
      </c>
      <c r="H13" s="3" t="s">
        <v>12</v>
      </c>
      <c r="I13" s="3">
        <v>650</v>
      </c>
      <c r="J13" s="3">
        <v>650</v>
      </c>
      <c r="K13" s="8">
        <f t="shared" si="0"/>
        <v>2320.5</v>
      </c>
      <c r="L13">
        <f t="shared" si="1"/>
        <v>0</v>
      </c>
    </row>
    <row r="14" spans="1:12" x14ac:dyDescent="0.25">
      <c r="A14" s="3">
        <v>13</v>
      </c>
      <c r="B14" s="3" t="s">
        <v>37</v>
      </c>
      <c r="C14" s="4">
        <v>353502588851301</v>
      </c>
      <c r="D14" s="3" t="s">
        <v>7</v>
      </c>
      <c r="E14" s="3" t="s">
        <v>38</v>
      </c>
      <c r="F14" s="3" t="s">
        <v>10</v>
      </c>
      <c r="G14" s="3" t="s">
        <v>27</v>
      </c>
      <c r="H14" s="3" t="s">
        <v>19</v>
      </c>
      <c r="I14" s="3">
        <v>700</v>
      </c>
      <c r="J14" s="3">
        <v>700</v>
      </c>
      <c r="K14" s="8">
        <f t="shared" si="0"/>
        <v>2499</v>
      </c>
      <c r="L14">
        <f t="shared" si="1"/>
        <v>0</v>
      </c>
    </row>
    <row r="15" spans="1:12" x14ac:dyDescent="0.25">
      <c r="A15" s="3">
        <v>14</v>
      </c>
      <c r="B15" s="3" t="s">
        <v>36</v>
      </c>
      <c r="C15" s="4">
        <v>358271523802036</v>
      </c>
      <c r="D15" s="3" t="s">
        <v>7</v>
      </c>
      <c r="E15" s="3" t="s">
        <v>9</v>
      </c>
      <c r="F15" s="3" t="s">
        <v>10</v>
      </c>
      <c r="G15" s="3" t="s">
        <v>11</v>
      </c>
      <c r="H15" s="3" t="s">
        <v>19</v>
      </c>
      <c r="I15" s="3">
        <v>490</v>
      </c>
      <c r="J15" s="3">
        <v>490</v>
      </c>
      <c r="K15" s="8">
        <f t="shared" si="0"/>
        <v>1749.3</v>
      </c>
      <c r="L15">
        <f t="shared" si="1"/>
        <v>0</v>
      </c>
    </row>
    <row r="16" spans="1:12" x14ac:dyDescent="0.25">
      <c r="A16" s="3">
        <v>15</v>
      </c>
      <c r="B16" s="3" t="s">
        <v>31</v>
      </c>
      <c r="C16" s="4">
        <v>359477637575447</v>
      </c>
      <c r="D16" s="3" t="s">
        <v>7</v>
      </c>
      <c r="E16" s="3" t="s">
        <v>9</v>
      </c>
      <c r="F16" s="3" t="s">
        <v>10</v>
      </c>
      <c r="G16" s="3" t="s">
        <v>26</v>
      </c>
      <c r="H16" s="3" t="s">
        <v>19</v>
      </c>
      <c r="I16" s="3">
        <v>790</v>
      </c>
      <c r="J16" s="3">
        <v>750</v>
      </c>
      <c r="K16" s="8">
        <f t="shared" si="0"/>
        <v>2677.5</v>
      </c>
      <c r="L16">
        <f t="shared" si="1"/>
        <v>-40</v>
      </c>
    </row>
    <row r="17" spans="1:12" x14ac:dyDescent="0.25">
      <c r="A17" s="3">
        <v>16</v>
      </c>
      <c r="B17" s="3" t="s">
        <v>31</v>
      </c>
      <c r="C17" s="4">
        <v>355820209403627</v>
      </c>
      <c r="D17" s="3" t="s">
        <v>7</v>
      </c>
      <c r="E17" s="3" t="s">
        <v>9</v>
      </c>
      <c r="F17" s="3" t="s">
        <v>10</v>
      </c>
      <c r="G17" s="3" t="s">
        <v>11</v>
      </c>
      <c r="H17" s="3" t="s">
        <v>19</v>
      </c>
      <c r="I17" s="3">
        <v>790</v>
      </c>
      <c r="J17" s="3">
        <v>750</v>
      </c>
      <c r="K17" s="8">
        <f t="shared" si="0"/>
        <v>2677.5</v>
      </c>
      <c r="L17">
        <f t="shared" si="1"/>
        <v>-40</v>
      </c>
    </row>
    <row r="18" spans="1:12" x14ac:dyDescent="0.25">
      <c r="A18" s="3">
        <v>17</v>
      </c>
      <c r="B18" s="3" t="s">
        <v>31</v>
      </c>
      <c r="C18" s="4">
        <v>356245419857652</v>
      </c>
      <c r="D18" s="3" t="s">
        <v>7</v>
      </c>
      <c r="E18" s="3" t="s">
        <v>9</v>
      </c>
      <c r="F18" s="3" t="s">
        <v>10</v>
      </c>
      <c r="G18" s="3" t="s">
        <v>21</v>
      </c>
      <c r="H18" s="3" t="s">
        <v>19</v>
      </c>
      <c r="I18" s="3">
        <v>790</v>
      </c>
      <c r="J18" s="3">
        <v>750</v>
      </c>
      <c r="K18" s="8">
        <f t="shared" si="0"/>
        <v>2677.5</v>
      </c>
      <c r="L18">
        <f t="shared" si="1"/>
        <v>-40</v>
      </c>
    </row>
    <row r="19" spans="1:12" x14ac:dyDescent="0.25">
      <c r="A19" s="3">
        <v>18</v>
      </c>
      <c r="B19" s="3" t="s">
        <v>31</v>
      </c>
      <c r="C19" s="4">
        <v>352190320767356</v>
      </c>
      <c r="D19" s="3" t="s">
        <v>7</v>
      </c>
      <c r="E19" s="3" t="s">
        <v>15</v>
      </c>
      <c r="F19" s="3" t="s">
        <v>10</v>
      </c>
      <c r="G19" s="3" t="s">
        <v>26</v>
      </c>
      <c r="H19" s="3" t="s">
        <v>19</v>
      </c>
      <c r="I19" s="3">
        <v>800</v>
      </c>
      <c r="J19" s="3">
        <v>750</v>
      </c>
      <c r="K19" s="8">
        <f t="shared" si="0"/>
        <v>2677.5</v>
      </c>
      <c r="L19">
        <f t="shared" si="1"/>
        <v>-50</v>
      </c>
    </row>
    <row r="20" spans="1:12" x14ac:dyDescent="0.25">
      <c r="A20" s="3">
        <v>19</v>
      </c>
      <c r="B20" s="3" t="s">
        <v>31</v>
      </c>
      <c r="C20" s="4">
        <v>354956974060332</v>
      </c>
      <c r="D20" s="3" t="s">
        <v>7</v>
      </c>
      <c r="E20" s="3" t="s">
        <v>15</v>
      </c>
      <c r="F20" s="3" t="s">
        <v>10</v>
      </c>
      <c r="G20" s="3" t="s">
        <v>11</v>
      </c>
      <c r="H20" s="3" t="s">
        <v>19</v>
      </c>
      <c r="I20" s="3">
        <v>800</v>
      </c>
      <c r="J20" s="3">
        <v>750</v>
      </c>
      <c r="K20" s="8">
        <f t="shared" si="0"/>
        <v>2677.5</v>
      </c>
      <c r="L20">
        <f t="shared" si="1"/>
        <v>-50</v>
      </c>
    </row>
    <row r="21" spans="1:12" x14ac:dyDescent="0.25">
      <c r="A21" s="3">
        <v>20</v>
      </c>
      <c r="B21" s="3" t="s">
        <v>31</v>
      </c>
      <c r="C21" s="4">
        <v>359477635863308</v>
      </c>
      <c r="D21" s="3" t="s">
        <v>7</v>
      </c>
      <c r="E21" s="3" t="s">
        <v>15</v>
      </c>
      <c r="F21" s="3" t="s">
        <v>10</v>
      </c>
      <c r="G21" s="3" t="s">
        <v>21</v>
      </c>
      <c r="H21" s="3" t="s">
        <v>19</v>
      </c>
      <c r="I21" s="3">
        <v>800</v>
      </c>
      <c r="J21" s="3">
        <v>750</v>
      </c>
      <c r="K21" s="8">
        <f t="shared" si="0"/>
        <v>2677.5</v>
      </c>
      <c r="L21">
        <f t="shared" si="1"/>
        <v>-50</v>
      </c>
    </row>
    <row r="22" spans="1:12" x14ac:dyDescent="0.25">
      <c r="A22" s="3">
        <v>21</v>
      </c>
      <c r="B22" s="3" t="s">
        <v>31</v>
      </c>
      <c r="C22" s="4">
        <v>359477638023728</v>
      </c>
      <c r="D22" s="3" t="s">
        <v>7</v>
      </c>
      <c r="E22" s="3" t="s">
        <v>15</v>
      </c>
      <c r="F22" s="3" t="s">
        <v>10</v>
      </c>
      <c r="G22" s="3" t="s">
        <v>11</v>
      </c>
      <c r="H22" s="3" t="s">
        <v>19</v>
      </c>
      <c r="I22" s="3">
        <v>800</v>
      </c>
      <c r="J22" s="3">
        <v>750</v>
      </c>
      <c r="K22" s="8">
        <f t="shared" si="0"/>
        <v>2677.5</v>
      </c>
      <c r="L22">
        <f t="shared" si="1"/>
        <v>-50</v>
      </c>
    </row>
    <row r="23" spans="1:12" x14ac:dyDescent="0.25">
      <c r="A23" s="3">
        <v>22</v>
      </c>
      <c r="B23" s="3" t="s">
        <v>31</v>
      </c>
      <c r="C23" s="4">
        <v>355820205154547</v>
      </c>
      <c r="D23" s="3" t="s">
        <v>7</v>
      </c>
      <c r="E23" s="3" t="s">
        <v>15</v>
      </c>
      <c r="F23" s="3" t="s">
        <v>10</v>
      </c>
      <c r="G23" s="3" t="s">
        <v>21</v>
      </c>
      <c r="H23" s="3" t="s">
        <v>19</v>
      </c>
      <c r="I23" s="3">
        <v>800</v>
      </c>
      <c r="J23" s="3">
        <v>750</v>
      </c>
      <c r="K23" s="8">
        <f t="shared" si="0"/>
        <v>2677.5</v>
      </c>
      <c r="L23">
        <f t="shared" si="1"/>
        <v>-50</v>
      </c>
    </row>
    <row r="24" spans="1:12" x14ac:dyDescent="0.25">
      <c r="A24" s="3">
        <v>23</v>
      </c>
      <c r="B24" s="3" t="s">
        <v>31</v>
      </c>
      <c r="C24" s="4">
        <v>355981559639101</v>
      </c>
      <c r="D24" s="3" t="s">
        <v>7</v>
      </c>
      <c r="E24" s="3" t="s">
        <v>15</v>
      </c>
      <c r="F24" s="3" t="s">
        <v>10</v>
      </c>
      <c r="G24" s="3" t="s">
        <v>21</v>
      </c>
      <c r="H24" s="3" t="s">
        <v>19</v>
      </c>
      <c r="I24" s="3">
        <v>800</v>
      </c>
      <c r="J24" s="3">
        <v>750</v>
      </c>
      <c r="K24" s="8">
        <f t="shared" si="0"/>
        <v>2677.5</v>
      </c>
      <c r="L24">
        <f t="shared" si="1"/>
        <v>-50</v>
      </c>
    </row>
    <row r="25" spans="1:12" x14ac:dyDescent="0.25">
      <c r="A25" s="3">
        <v>24</v>
      </c>
      <c r="B25" s="3" t="s">
        <v>31</v>
      </c>
      <c r="C25" s="4">
        <v>355981559118304</v>
      </c>
      <c r="D25" s="3" t="s">
        <v>7</v>
      </c>
      <c r="E25" s="3" t="s">
        <v>15</v>
      </c>
      <c r="F25" s="3" t="s">
        <v>10</v>
      </c>
      <c r="G25" s="3" t="s">
        <v>21</v>
      </c>
      <c r="H25" s="3" t="s">
        <v>19</v>
      </c>
      <c r="I25" s="3">
        <v>800</v>
      </c>
      <c r="J25" s="3">
        <v>750</v>
      </c>
      <c r="K25" s="8">
        <f t="shared" si="0"/>
        <v>2677.5</v>
      </c>
      <c r="L25">
        <f t="shared" si="1"/>
        <v>-50</v>
      </c>
    </row>
    <row r="26" spans="1:12" x14ac:dyDescent="0.25">
      <c r="A26" s="3">
        <v>25</v>
      </c>
      <c r="B26" s="3" t="s">
        <v>34</v>
      </c>
      <c r="C26" s="4">
        <v>355500356041160</v>
      </c>
      <c r="D26" s="3" t="s">
        <v>7</v>
      </c>
      <c r="E26" s="3" t="s">
        <v>9</v>
      </c>
      <c r="F26" s="3" t="s">
        <v>10</v>
      </c>
      <c r="G26" s="3" t="s">
        <v>27</v>
      </c>
      <c r="H26" s="3" t="s">
        <v>19</v>
      </c>
      <c r="I26" s="3">
        <v>1100</v>
      </c>
      <c r="J26" s="3">
        <v>1100</v>
      </c>
      <c r="K26" s="8">
        <f t="shared" si="0"/>
        <v>3927</v>
      </c>
      <c r="L26">
        <f t="shared" si="1"/>
        <v>0</v>
      </c>
    </row>
    <row r="27" spans="1:12" x14ac:dyDescent="0.25">
      <c r="A27" s="3">
        <v>26</v>
      </c>
      <c r="B27" s="3" t="s">
        <v>34</v>
      </c>
      <c r="C27" s="4">
        <v>353748536449801</v>
      </c>
      <c r="D27" s="3" t="s">
        <v>7</v>
      </c>
      <c r="E27" s="3" t="s">
        <v>9</v>
      </c>
      <c r="F27" s="3" t="s">
        <v>10</v>
      </c>
      <c r="G27" s="3" t="s">
        <v>27</v>
      </c>
      <c r="H27" s="3" t="s">
        <v>35</v>
      </c>
      <c r="I27" s="3">
        <v>1050</v>
      </c>
      <c r="J27" s="3">
        <v>1050</v>
      </c>
      <c r="K27" s="8">
        <f t="shared" si="0"/>
        <v>3748.5</v>
      </c>
      <c r="L27">
        <f t="shared" si="1"/>
        <v>0</v>
      </c>
    </row>
    <row r="28" spans="1:12" x14ac:dyDescent="0.25">
      <c r="A28" s="3">
        <v>27</v>
      </c>
      <c r="B28" s="3" t="s">
        <v>34</v>
      </c>
      <c r="C28" s="4">
        <v>352001993936436</v>
      </c>
      <c r="D28" s="3" t="s">
        <v>7</v>
      </c>
      <c r="E28" s="3" t="s">
        <v>9</v>
      </c>
      <c r="F28" s="3" t="s">
        <v>10</v>
      </c>
      <c r="G28" s="3" t="s">
        <v>18</v>
      </c>
      <c r="H28" s="3" t="s">
        <v>19</v>
      </c>
      <c r="I28" s="3">
        <v>1100</v>
      </c>
      <c r="J28" s="3">
        <v>1100</v>
      </c>
      <c r="K28" s="8">
        <f t="shared" si="0"/>
        <v>3927</v>
      </c>
      <c r="L28">
        <f t="shared" si="1"/>
        <v>0</v>
      </c>
    </row>
    <row r="29" spans="1:12" x14ac:dyDescent="0.25">
      <c r="A29" s="3">
        <v>28</v>
      </c>
      <c r="B29" s="3" t="s">
        <v>34</v>
      </c>
      <c r="C29" s="4">
        <v>352001991602402</v>
      </c>
      <c r="D29" s="3" t="s">
        <v>7</v>
      </c>
      <c r="E29" s="3" t="s">
        <v>22</v>
      </c>
      <c r="F29" s="3" t="s">
        <v>10</v>
      </c>
      <c r="G29" s="3" t="s">
        <v>18</v>
      </c>
      <c r="H29" s="3" t="s">
        <v>19</v>
      </c>
      <c r="I29" s="3">
        <v>1100</v>
      </c>
      <c r="J29" s="3">
        <v>1100</v>
      </c>
      <c r="K29" s="8">
        <f t="shared" si="0"/>
        <v>3927</v>
      </c>
      <c r="L29">
        <f t="shared" si="1"/>
        <v>0</v>
      </c>
    </row>
    <row r="30" spans="1:12" x14ac:dyDescent="0.25">
      <c r="A30" s="3">
        <v>29</v>
      </c>
      <c r="B30" s="3" t="s">
        <v>34</v>
      </c>
      <c r="C30" s="4">
        <v>352440630597278</v>
      </c>
      <c r="D30" s="3" t="s">
        <v>7</v>
      </c>
      <c r="E30" s="3" t="s">
        <v>22</v>
      </c>
      <c r="F30" s="3" t="s">
        <v>10</v>
      </c>
      <c r="G30" s="3" t="s">
        <v>27</v>
      </c>
      <c r="H30" s="3" t="s">
        <v>19</v>
      </c>
      <c r="I30" s="3">
        <v>1100</v>
      </c>
      <c r="J30" s="3">
        <v>1100</v>
      </c>
      <c r="K30" s="8">
        <f t="shared" si="0"/>
        <v>3927</v>
      </c>
      <c r="L30">
        <f t="shared" si="1"/>
        <v>0</v>
      </c>
    </row>
    <row r="31" spans="1:12" x14ac:dyDescent="0.25">
      <c r="A31" s="3">
        <v>30</v>
      </c>
      <c r="B31" s="3" t="s">
        <v>32</v>
      </c>
      <c r="C31" s="4">
        <v>356245419462222</v>
      </c>
      <c r="D31" s="3" t="s">
        <v>33</v>
      </c>
      <c r="E31" s="3" t="s">
        <v>15</v>
      </c>
      <c r="F31" s="3" t="s">
        <v>10</v>
      </c>
      <c r="G31" s="3" t="s">
        <v>27</v>
      </c>
      <c r="H31" s="3" t="s">
        <v>19</v>
      </c>
      <c r="I31" s="3">
        <v>1200</v>
      </c>
      <c r="J31" s="3">
        <v>1200</v>
      </c>
      <c r="K31" s="8">
        <f t="shared" si="0"/>
        <v>4284</v>
      </c>
      <c r="L31">
        <f t="shared" si="1"/>
        <v>0</v>
      </c>
    </row>
    <row r="32" spans="1:12" x14ac:dyDescent="0.25">
      <c r="A32" s="3">
        <v>31</v>
      </c>
      <c r="B32" s="3" t="s">
        <v>32</v>
      </c>
      <c r="C32" s="4">
        <v>355820206992580</v>
      </c>
      <c r="D32" s="3" t="s">
        <v>33</v>
      </c>
      <c r="E32" s="3" t="s">
        <v>15</v>
      </c>
      <c r="F32" s="3" t="s">
        <v>10</v>
      </c>
      <c r="G32" s="3" t="s">
        <v>27</v>
      </c>
      <c r="H32" s="3" t="s">
        <v>19</v>
      </c>
      <c r="I32" s="3">
        <v>1200</v>
      </c>
      <c r="J32" s="3">
        <v>1200</v>
      </c>
      <c r="K32" s="8">
        <f t="shared" si="0"/>
        <v>4284</v>
      </c>
      <c r="L32">
        <f t="shared" si="1"/>
        <v>0</v>
      </c>
    </row>
    <row r="33" spans="1:12" x14ac:dyDescent="0.25">
      <c r="A33" s="3">
        <v>32</v>
      </c>
      <c r="B33" s="3" t="s">
        <v>32</v>
      </c>
      <c r="C33" s="4">
        <v>357254479390454</v>
      </c>
      <c r="D33" s="3" t="s">
        <v>33</v>
      </c>
      <c r="E33" s="3" t="s">
        <v>15</v>
      </c>
      <c r="F33" s="3" t="s">
        <v>10</v>
      </c>
      <c r="G33" s="3" t="s">
        <v>27</v>
      </c>
      <c r="H33" s="3" t="s">
        <v>19</v>
      </c>
      <c r="I33" s="3">
        <v>1200</v>
      </c>
      <c r="J33" s="3">
        <v>1200</v>
      </c>
      <c r="K33" s="8">
        <f t="shared" si="0"/>
        <v>4284</v>
      </c>
      <c r="L33">
        <f t="shared" si="1"/>
        <v>0</v>
      </c>
    </row>
    <row r="34" spans="1:12" x14ac:dyDescent="0.25">
      <c r="A34" s="3">
        <v>33</v>
      </c>
      <c r="B34" s="3" t="s">
        <v>32</v>
      </c>
      <c r="C34" s="4">
        <v>359477639163648</v>
      </c>
      <c r="D34" s="3" t="s">
        <v>33</v>
      </c>
      <c r="E34" s="3" t="s">
        <v>9</v>
      </c>
      <c r="F34" s="3" t="s">
        <v>10</v>
      </c>
      <c r="G34" s="3" t="s">
        <v>27</v>
      </c>
      <c r="H34" s="3" t="s">
        <v>19</v>
      </c>
      <c r="I34" s="3">
        <v>1200</v>
      </c>
      <c r="J34" s="3">
        <v>1200</v>
      </c>
      <c r="K34" s="8">
        <f t="shared" si="0"/>
        <v>4284</v>
      </c>
      <c r="L34">
        <f t="shared" si="1"/>
        <v>0</v>
      </c>
    </row>
    <row r="35" spans="1:12" x14ac:dyDescent="0.25">
      <c r="A35" s="3">
        <v>34</v>
      </c>
      <c r="B35" s="3" t="s">
        <v>13</v>
      </c>
      <c r="C35" s="4">
        <v>351030795758160</v>
      </c>
      <c r="D35" s="3" t="s">
        <v>7</v>
      </c>
      <c r="E35" s="3" t="s">
        <v>15</v>
      </c>
      <c r="F35" s="3" t="s">
        <v>10</v>
      </c>
      <c r="G35" s="3" t="s">
        <v>16</v>
      </c>
      <c r="H35" s="3" t="s">
        <v>12</v>
      </c>
      <c r="I35" s="3">
        <v>800</v>
      </c>
      <c r="J35" s="3">
        <v>750</v>
      </c>
      <c r="K35" s="8">
        <f t="shared" si="0"/>
        <v>2677.5</v>
      </c>
      <c r="L35">
        <f t="shared" si="1"/>
        <v>-50</v>
      </c>
    </row>
    <row r="36" spans="1:12" x14ac:dyDescent="0.25">
      <c r="A36" s="3">
        <v>35</v>
      </c>
      <c r="B36" s="3" t="s">
        <v>14</v>
      </c>
      <c r="C36" s="4">
        <v>352176456423948</v>
      </c>
      <c r="D36" s="3" t="s">
        <v>7</v>
      </c>
      <c r="E36" s="3" t="s">
        <v>15</v>
      </c>
      <c r="F36" s="3" t="s">
        <v>10</v>
      </c>
      <c r="G36" s="3" t="s">
        <v>16</v>
      </c>
      <c r="H36" s="3" t="s">
        <v>12</v>
      </c>
      <c r="I36" s="3">
        <v>800</v>
      </c>
      <c r="J36" s="3">
        <v>750</v>
      </c>
      <c r="K36" s="8">
        <f t="shared" si="0"/>
        <v>2677.5</v>
      </c>
      <c r="L36">
        <f t="shared" si="1"/>
        <v>-50</v>
      </c>
    </row>
    <row r="37" spans="1:12" x14ac:dyDescent="0.25">
      <c r="A37" s="3">
        <v>36</v>
      </c>
      <c r="B37" s="3" t="s">
        <v>14</v>
      </c>
      <c r="C37" s="4">
        <v>352176456359761</v>
      </c>
      <c r="D37" s="3" t="s">
        <v>7</v>
      </c>
      <c r="E37" s="3" t="s">
        <v>15</v>
      </c>
      <c r="F37" s="3" t="s">
        <v>10</v>
      </c>
      <c r="G37" s="3" t="s">
        <v>16</v>
      </c>
      <c r="H37" s="3" t="s">
        <v>12</v>
      </c>
      <c r="I37" s="3">
        <v>800</v>
      </c>
      <c r="J37" s="3">
        <v>750</v>
      </c>
      <c r="K37" s="8">
        <f t="shared" si="0"/>
        <v>2677.5</v>
      </c>
      <c r="L37">
        <f t="shared" si="1"/>
        <v>-50</v>
      </c>
    </row>
    <row r="38" spans="1:12" x14ac:dyDescent="0.25">
      <c r="A38" s="3">
        <v>37</v>
      </c>
      <c r="B38" s="3" t="s">
        <v>14</v>
      </c>
      <c r="C38" s="4">
        <v>357633132789246</v>
      </c>
      <c r="D38" s="3" t="s">
        <v>7</v>
      </c>
      <c r="E38" s="3" t="s">
        <v>15</v>
      </c>
      <c r="F38" s="3" t="s">
        <v>10</v>
      </c>
      <c r="G38" s="3" t="s">
        <v>16</v>
      </c>
      <c r="H38" s="3" t="s">
        <v>12</v>
      </c>
      <c r="I38" s="3">
        <v>800</v>
      </c>
      <c r="J38" s="3">
        <v>750</v>
      </c>
      <c r="K38" s="8">
        <f t="shared" si="0"/>
        <v>2677.5</v>
      </c>
      <c r="L38">
        <f t="shared" si="1"/>
        <v>-50</v>
      </c>
    </row>
    <row r="39" spans="1:12" x14ac:dyDescent="0.25">
      <c r="A39" s="3">
        <v>38</v>
      </c>
      <c r="B39" s="3" t="s">
        <v>20</v>
      </c>
      <c r="C39" s="4">
        <v>353497852912188</v>
      </c>
      <c r="D39" s="3" t="s">
        <v>7</v>
      </c>
      <c r="E39" s="3" t="s">
        <v>9</v>
      </c>
      <c r="F39" s="3" t="s">
        <v>10</v>
      </c>
      <c r="G39" s="3" t="s">
        <v>21</v>
      </c>
      <c r="H39" s="3" t="s">
        <v>19</v>
      </c>
      <c r="I39" s="3">
        <v>860</v>
      </c>
      <c r="J39" s="3">
        <v>800</v>
      </c>
      <c r="K39" s="8">
        <f t="shared" si="0"/>
        <v>2856</v>
      </c>
      <c r="L39">
        <f t="shared" si="1"/>
        <v>-60</v>
      </c>
    </row>
    <row r="40" spans="1:12" x14ac:dyDescent="0.25">
      <c r="A40" s="3">
        <v>39</v>
      </c>
      <c r="B40" s="3" t="s">
        <v>20</v>
      </c>
      <c r="C40" s="4">
        <v>358434709995608</v>
      </c>
      <c r="D40" s="3" t="s">
        <v>7</v>
      </c>
      <c r="E40" s="3" t="s">
        <v>9</v>
      </c>
      <c r="F40" s="3" t="s">
        <v>10</v>
      </c>
      <c r="G40" s="3" t="s">
        <v>26</v>
      </c>
      <c r="H40" s="3" t="s">
        <v>19</v>
      </c>
      <c r="I40" s="3">
        <v>860</v>
      </c>
      <c r="J40" s="3">
        <v>800</v>
      </c>
      <c r="K40" s="8">
        <f t="shared" si="0"/>
        <v>2856</v>
      </c>
      <c r="L40">
        <f t="shared" si="1"/>
        <v>-60</v>
      </c>
    </row>
    <row r="41" spans="1:12" x14ac:dyDescent="0.25">
      <c r="A41" s="3">
        <v>40</v>
      </c>
      <c r="B41" s="3" t="s">
        <v>20</v>
      </c>
      <c r="C41" s="4">
        <v>356225420603311</v>
      </c>
      <c r="D41" s="3" t="s">
        <v>7</v>
      </c>
      <c r="E41" s="3" t="s">
        <v>9</v>
      </c>
      <c r="F41" s="3" t="s">
        <v>10</v>
      </c>
      <c r="G41" s="3" t="s">
        <v>21</v>
      </c>
      <c r="H41" s="3" t="s">
        <v>19</v>
      </c>
      <c r="I41" s="3">
        <v>860</v>
      </c>
      <c r="J41" s="3">
        <v>800</v>
      </c>
      <c r="K41" s="8">
        <f t="shared" si="0"/>
        <v>2856</v>
      </c>
      <c r="L41">
        <f t="shared" si="1"/>
        <v>-60</v>
      </c>
    </row>
    <row r="42" spans="1:12" x14ac:dyDescent="0.25">
      <c r="A42" s="3">
        <v>41</v>
      </c>
      <c r="B42" s="3" t="s">
        <v>20</v>
      </c>
      <c r="C42" s="4">
        <v>350035234381541</v>
      </c>
      <c r="D42" s="3" t="s">
        <v>7</v>
      </c>
      <c r="E42" s="3" t="s">
        <v>9</v>
      </c>
      <c r="F42" s="3" t="s">
        <v>10</v>
      </c>
      <c r="G42" s="3" t="s">
        <v>11</v>
      </c>
      <c r="H42" s="3" t="s">
        <v>19</v>
      </c>
      <c r="I42" s="3">
        <v>860</v>
      </c>
      <c r="J42" s="3">
        <v>800</v>
      </c>
      <c r="K42" s="8">
        <f t="shared" si="0"/>
        <v>2856</v>
      </c>
      <c r="L42">
        <f t="shared" si="1"/>
        <v>-60</v>
      </c>
    </row>
    <row r="43" spans="1:12" x14ac:dyDescent="0.25">
      <c r="A43" s="3">
        <v>42</v>
      </c>
      <c r="B43" s="3" t="s">
        <v>20</v>
      </c>
      <c r="C43" s="4">
        <v>358434701361627</v>
      </c>
      <c r="D43" s="3" t="s">
        <v>7</v>
      </c>
      <c r="E43" s="3" t="s">
        <v>9</v>
      </c>
      <c r="F43" s="3" t="s">
        <v>10</v>
      </c>
      <c r="G43" s="3" t="s">
        <v>21</v>
      </c>
      <c r="H43" s="3" t="s">
        <v>19</v>
      </c>
      <c r="I43" s="3">
        <v>860</v>
      </c>
      <c r="J43" s="3">
        <v>800</v>
      </c>
      <c r="K43" s="8">
        <f t="shared" si="0"/>
        <v>2856</v>
      </c>
      <c r="L43">
        <f t="shared" si="1"/>
        <v>-60</v>
      </c>
    </row>
    <row r="44" spans="1:12" x14ac:dyDescent="0.25">
      <c r="A44" s="3">
        <v>43</v>
      </c>
      <c r="B44" s="3" t="s">
        <v>20</v>
      </c>
      <c r="C44" s="4">
        <v>358051329919980</v>
      </c>
      <c r="D44" s="3" t="s">
        <v>7</v>
      </c>
      <c r="E44" s="3" t="s">
        <v>9</v>
      </c>
      <c r="F44" s="3" t="s">
        <v>10</v>
      </c>
      <c r="G44" s="3" t="s">
        <v>58</v>
      </c>
      <c r="H44" s="3" t="s">
        <v>19</v>
      </c>
      <c r="I44" s="3">
        <v>860</v>
      </c>
      <c r="J44" s="3">
        <v>800</v>
      </c>
      <c r="K44" s="8">
        <f t="shared" si="0"/>
        <v>2856</v>
      </c>
      <c r="L44">
        <f t="shared" si="1"/>
        <v>-60</v>
      </c>
    </row>
    <row r="45" spans="1:12" x14ac:dyDescent="0.25">
      <c r="A45" s="3">
        <v>44</v>
      </c>
      <c r="B45" s="3" t="s">
        <v>20</v>
      </c>
      <c r="C45" s="4">
        <v>358434709902778</v>
      </c>
      <c r="D45" s="3" t="s">
        <v>7</v>
      </c>
      <c r="E45" s="3" t="s">
        <v>9</v>
      </c>
      <c r="F45" s="3" t="s">
        <v>10</v>
      </c>
      <c r="G45" s="3" t="s">
        <v>11</v>
      </c>
      <c r="H45" s="3" t="s">
        <v>19</v>
      </c>
      <c r="I45" s="3">
        <v>860</v>
      </c>
      <c r="J45" s="3">
        <v>800</v>
      </c>
      <c r="K45" s="8">
        <f t="shared" si="0"/>
        <v>2856</v>
      </c>
      <c r="L45">
        <f t="shared" si="1"/>
        <v>-60</v>
      </c>
    </row>
    <row r="46" spans="1:12" x14ac:dyDescent="0.25">
      <c r="A46" s="3">
        <v>45</v>
      </c>
      <c r="B46" s="3" t="s">
        <v>20</v>
      </c>
      <c r="C46" s="4">
        <v>355246657672010</v>
      </c>
      <c r="D46" s="3" t="s">
        <v>7</v>
      </c>
      <c r="E46" s="3" t="s">
        <v>15</v>
      </c>
      <c r="F46" s="3" t="s">
        <v>10</v>
      </c>
      <c r="G46" s="3" t="s">
        <v>21</v>
      </c>
      <c r="H46" s="3" t="s">
        <v>19</v>
      </c>
      <c r="I46" s="3">
        <v>900</v>
      </c>
      <c r="J46" s="3">
        <v>850</v>
      </c>
      <c r="K46" s="8">
        <f t="shared" si="0"/>
        <v>3034.5</v>
      </c>
      <c r="L46">
        <f t="shared" si="1"/>
        <v>-50</v>
      </c>
    </row>
    <row r="47" spans="1:12" x14ac:dyDescent="0.25">
      <c r="A47" s="3">
        <v>46</v>
      </c>
      <c r="B47" s="3" t="s">
        <v>20</v>
      </c>
      <c r="C47" s="4">
        <v>357329446954648</v>
      </c>
      <c r="D47" s="3" t="s">
        <v>7</v>
      </c>
      <c r="E47" s="3" t="s">
        <v>15</v>
      </c>
      <c r="F47" s="3" t="s">
        <v>10</v>
      </c>
      <c r="G47" s="3" t="s">
        <v>30</v>
      </c>
      <c r="H47" s="3" t="s">
        <v>19</v>
      </c>
      <c r="I47" s="3">
        <v>900</v>
      </c>
      <c r="J47" s="3">
        <v>850</v>
      </c>
      <c r="K47" s="8">
        <f t="shared" si="0"/>
        <v>3034.5</v>
      </c>
      <c r="L47">
        <f t="shared" si="1"/>
        <v>-50</v>
      </c>
    </row>
    <row r="48" spans="1:12" x14ac:dyDescent="0.25">
      <c r="A48" s="3">
        <v>47</v>
      </c>
      <c r="B48" s="3" t="s">
        <v>20</v>
      </c>
      <c r="C48" s="4">
        <v>359814716516431</v>
      </c>
      <c r="D48" s="3" t="s">
        <v>7</v>
      </c>
      <c r="E48" s="3" t="s">
        <v>15</v>
      </c>
      <c r="F48" s="3" t="s">
        <v>10</v>
      </c>
      <c r="G48" s="3" t="s">
        <v>21</v>
      </c>
      <c r="H48" s="3" t="s">
        <v>19</v>
      </c>
      <c r="I48" s="3">
        <v>900</v>
      </c>
      <c r="J48" s="3">
        <v>850</v>
      </c>
      <c r="K48" s="8">
        <f t="shared" si="0"/>
        <v>3034.5</v>
      </c>
      <c r="L48">
        <f t="shared" si="1"/>
        <v>-50</v>
      </c>
    </row>
    <row r="49" spans="1:12" x14ac:dyDescent="0.25">
      <c r="A49" s="3">
        <v>48</v>
      </c>
      <c r="B49" s="3" t="s">
        <v>20</v>
      </c>
      <c r="C49" s="4">
        <v>353497859837347</v>
      </c>
      <c r="D49" s="3" t="s">
        <v>7</v>
      </c>
      <c r="E49" s="3" t="s">
        <v>15</v>
      </c>
      <c r="F49" s="3" t="s">
        <v>10</v>
      </c>
      <c r="G49" s="3" t="s">
        <v>21</v>
      </c>
      <c r="H49" s="3" t="s">
        <v>19</v>
      </c>
      <c r="I49" s="3">
        <v>900</v>
      </c>
      <c r="J49" s="3">
        <v>850</v>
      </c>
      <c r="K49" s="8">
        <f t="shared" si="0"/>
        <v>3034.5</v>
      </c>
      <c r="L49">
        <f t="shared" si="1"/>
        <v>-50</v>
      </c>
    </row>
    <row r="50" spans="1:12" x14ac:dyDescent="0.25">
      <c r="A50" s="3">
        <v>49</v>
      </c>
      <c r="B50" s="3" t="s">
        <v>20</v>
      </c>
      <c r="C50" s="4">
        <v>358206136682698</v>
      </c>
      <c r="D50" s="3" t="s">
        <v>7</v>
      </c>
      <c r="E50" s="3" t="s">
        <v>15</v>
      </c>
      <c r="F50" s="3" t="s">
        <v>10</v>
      </c>
      <c r="G50" s="3" t="s">
        <v>11</v>
      </c>
      <c r="H50" s="3" t="s">
        <v>19</v>
      </c>
      <c r="I50" s="3">
        <v>900</v>
      </c>
      <c r="J50" s="3">
        <v>850</v>
      </c>
      <c r="K50" s="8">
        <f t="shared" si="0"/>
        <v>3034.5</v>
      </c>
      <c r="L50">
        <f t="shared" si="1"/>
        <v>-50</v>
      </c>
    </row>
    <row r="51" spans="1:12" x14ac:dyDescent="0.25">
      <c r="A51" s="3">
        <v>50</v>
      </c>
      <c r="B51" s="3" t="s">
        <v>20</v>
      </c>
      <c r="C51" s="4">
        <v>356392247045561</v>
      </c>
      <c r="D51" s="3" t="s">
        <v>7</v>
      </c>
      <c r="E51" s="3" t="s">
        <v>15</v>
      </c>
      <c r="F51" s="3" t="s">
        <v>10</v>
      </c>
      <c r="G51" s="3" t="s">
        <v>11</v>
      </c>
      <c r="H51" s="3" t="s">
        <v>19</v>
      </c>
      <c r="I51" s="3">
        <v>900</v>
      </c>
      <c r="J51" s="3">
        <v>850</v>
      </c>
      <c r="K51" s="8">
        <f t="shared" si="0"/>
        <v>3034.5</v>
      </c>
      <c r="L51">
        <f t="shared" si="1"/>
        <v>-50</v>
      </c>
    </row>
    <row r="52" spans="1:12" x14ac:dyDescent="0.25">
      <c r="A52" s="3">
        <v>51</v>
      </c>
      <c r="B52" s="3" t="s">
        <v>20</v>
      </c>
      <c r="C52" s="4">
        <v>357329445885850</v>
      </c>
      <c r="D52" s="3" t="s">
        <v>7</v>
      </c>
      <c r="E52" s="3" t="s">
        <v>15</v>
      </c>
      <c r="F52" s="3" t="s">
        <v>10</v>
      </c>
      <c r="G52" s="3" t="s">
        <v>26</v>
      </c>
      <c r="H52" s="3" t="s">
        <v>19</v>
      </c>
      <c r="I52" s="3">
        <v>900</v>
      </c>
      <c r="J52" s="3">
        <v>850</v>
      </c>
      <c r="K52" s="8">
        <f t="shared" si="0"/>
        <v>3034.5</v>
      </c>
      <c r="L52">
        <f t="shared" si="1"/>
        <v>-50</v>
      </c>
    </row>
    <row r="53" spans="1:12" x14ac:dyDescent="0.25">
      <c r="A53" s="3">
        <v>52</v>
      </c>
      <c r="B53" s="3" t="s">
        <v>20</v>
      </c>
      <c r="C53" s="4">
        <v>356392247282958</v>
      </c>
      <c r="D53" s="3" t="s">
        <v>7</v>
      </c>
      <c r="E53" s="3" t="s">
        <v>15</v>
      </c>
      <c r="F53" s="3" t="s">
        <v>10</v>
      </c>
      <c r="G53" s="3" t="s">
        <v>21</v>
      </c>
      <c r="H53" s="3" t="s">
        <v>19</v>
      </c>
      <c r="I53" s="3">
        <v>900</v>
      </c>
      <c r="J53" s="3">
        <v>850</v>
      </c>
      <c r="K53" s="8">
        <f t="shared" si="0"/>
        <v>3034.5</v>
      </c>
      <c r="L53">
        <f t="shared" si="1"/>
        <v>-50</v>
      </c>
    </row>
    <row r="54" spans="1:12" x14ac:dyDescent="0.25">
      <c r="A54" s="3">
        <v>53</v>
      </c>
      <c r="B54" s="3" t="s">
        <v>20</v>
      </c>
      <c r="C54" s="4">
        <v>359814714049740</v>
      </c>
      <c r="D54" s="3" t="s">
        <v>7</v>
      </c>
      <c r="E54" s="3" t="s">
        <v>22</v>
      </c>
      <c r="F54" s="3" t="s">
        <v>10</v>
      </c>
      <c r="G54" s="3" t="s">
        <v>11</v>
      </c>
      <c r="H54" s="3" t="s">
        <v>19</v>
      </c>
      <c r="I54" s="3">
        <v>940</v>
      </c>
      <c r="J54" s="3">
        <v>920</v>
      </c>
      <c r="K54" s="8">
        <f t="shared" si="0"/>
        <v>3284.3999999999996</v>
      </c>
      <c r="L54">
        <f t="shared" si="1"/>
        <v>-20</v>
      </c>
    </row>
    <row r="55" spans="1:12" x14ac:dyDescent="0.25">
      <c r="A55" s="3">
        <v>54</v>
      </c>
      <c r="B55" s="3" t="s">
        <v>20</v>
      </c>
      <c r="C55" s="4">
        <v>358206132512436</v>
      </c>
      <c r="D55" s="3" t="s">
        <v>7</v>
      </c>
      <c r="E55" s="3" t="s">
        <v>22</v>
      </c>
      <c r="F55" s="3" t="s">
        <v>10</v>
      </c>
      <c r="G55" s="3" t="s">
        <v>11</v>
      </c>
      <c r="H55" s="3" t="s">
        <v>19</v>
      </c>
      <c r="I55" s="3">
        <v>940</v>
      </c>
      <c r="J55" s="3">
        <v>920</v>
      </c>
      <c r="K55" s="8">
        <f t="shared" si="0"/>
        <v>3284.3999999999996</v>
      </c>
      <c r="L55">
        <f t="shared" si="1"/>
        <v>-20</v>
      </c>
    </row>
    <row r="56" spans="1:12" x14ac:dyDescent="0.25">
      <c r="A56" s="3">
        <v>55</v>
      </c>
      <c r="B56" s="3" t="s">
        <v>20</v>
      </c>
      <c r="C56" s="4">
        <v>359814713965052</v>
      </c>
      <c r="D56" s="3" t="s">
        <v>7</v>
      </c>
      <c r="E56" s="3" t="s">
        <v>22</v>
      </c>
      <c r="F56" s="3" t="s">
        <v>10</v>
      </c>
      <c r="G56" s="3" t="s">
        <v>11</v>
      </c>
      <c r="H56" s="3" t="s">
        <v>19</v>
      </c>
      <c r="I56" s="3">
        <v>940</v>
      </c>
      <c r="J56" s="3">
        <v>920</v>
      </c>
      <c r="K56" s="8">
        <f t="shared" si="0"/>
        <v>3284.3999999999996</v>
      </c>
      <c r="L56">
        <f t="shared" si="1"/>
        <v>-20</v>
      </c>
    </row>
    <row r="57" spans="1:12" x14ac:dyDescent="0.25">
      <c r="A57" s="3">
        <v>56</v>
      </c>
      <c r="B57" s="3" t="s">
        <v>20</v>
      </c>
      <c r="C57" s="4">
        <v>358206136736437</v>
      </c>
      <c r="D57" s="3" t="s">
        <v>7</v>
      </c>
      <c r="E57" s="3" t="s">
        <v>22</v>
      </c>
      <c r="F57" s="3" t="s">
        <v>10</v>
      </c>
      <c r="G57" s="3" t="s">
        <v>11</v>
      </c>
      <c r="H57" s="3" t="s">
        <v>19</v>
      </c>
      <c r="I57" s="3">
        <v>940</v>
      </c>
      <c r="J57" s="3">
        <v>920</v>
      </c>
      <c r="K57" s="8">
        <f t="shared" si="0"/>
        <v>3284.3999999999996</v>
      </c>
      <c r="L57">
        <f t="shared" si="1"/>
        <v>-20</v>
      </c>
    </row>
    <row r="58" spans="1:12" x14ac:dyDescent="0.25">
      <c r="A58" s="3">
        <v>57</v>
      </c>
      <c r="B58" s="3" t="s">
        <v>20</v>
      </c>
      <c r="C58" s="4">
        <v>359814713932755</v>
      </c>
      <c r="D58" s="3" t="s">
        <v>7</v>
      </c>
      <c r="E58" s="3" t="s">
        <v>22</v>
      </c>
      <c r="F58" s="3" t="s">
        <v>10</v>
      </c>
      <c r="G58" s="3" t="s">
        <v>21</v>
      </c>
      <c r="H58" s="3" t="s">
        <v>19</v>
      </c>
      <c r="I58" s="3">
        <v>940</v>
      </c>
      <c r="J58" s="3">
        <v>920</v>
      </c>
      <c r="K58" s="8">
        <f t="shared" si="0"/>
        <v>3284.3999999999996</v>
      </c>
      <c r="L58">
        <f t="shared" si="1"/>
        <v>-20</v>
      </c>
    </row>
    <row r="59" spans="1:12" x14ac:dyDescent="0.25">
      <c r="A59" s="3">
        <v>58</v>
      </c>
      <c r="B59" s="3" t="s">
        <v>20</v>
      </c>
      <c r="C59" s="4">
        <v>359814713596311</v>
      </c>
      <c r="D59" s="3" t="s">
        <v>7</v>
      </c>
      <c r="E59" s="3" t="s">
        <v>22</v>
      </c>
      <c r="F59" s="3" t="s">
        <v>10</v>
      </c>
      <c r="G59" s="3" t="s">
        <v>11</v>
      </c>
      <c r="H59" s="3" t="s">
        <v>19</v>
      </c>
      <c r="I59" s="3">
        <v>940</v>
      </c>
      <c r="J59" s="3">
        <v>920</v>
      </c>
      <c r="K59" s="8">
        <f t="shared" si="0"/>
        <v>3284.3999999999996</v>
      </c>
      <c r="L59">
        <f t="shared" si="1"/>
        <v>-20</v>
      </c>
    </row>
    <row r="60" spans="1:12" x14ac:dyDescent="0.25">
      <c r="A60" s="3">
        <v>59</v>
      </c>
      <c r="B60" s="3" t="s">
        <v>20</v>
      </c>
      <c r="C60" s="4">
        <v>358206132521668</v>
      </c>
      <c r="D60" s="3" t="s">
        <v>7</v>
      </c>
      <c r="E60" s="3" t="s">
        <v>22</v>
      </c>
      <c r="F60" s="3" t="s">
        <v>10</v>
      </c>
      <c r="G60" s="3" t="s">
        <v>11</v>
      </c>
      <c r="H60" s="3" t="s">
        <v>19</v>
      </c>
      <c r="I60" s="3">
        <v>940</v>
      </c>
      <c r="J60" s="3">
        <v>920</v>
      </c>
      <c r="K60" s="8">
        <f t="shared" si="0"/>
        <v>3284.3999999999996</v>
      </c>
      <c r="L60">
        <f t="shared" si="1"/>
        <v>-20</v>
      </c>
    </row>
    <row r="61" spans="1:12" x14ac:dyDescent="0.25">
      <c r="A61" s="3">
        <v>60</v>
      </c>
      <c r="B61" s="3" t="s">
        <v>20</v>
      </c>
      <c r="C61" s="4">
        <v>356225420186861</v>
      </c>
      <c r="D61" s="3" t="s">
        <v>7</v>
      </c>
      <c r="E61" s="3" t="s">
        <v>22</v>
      </c>
      <c r="F61" s="3" t="s">
        <v>10</v>
      </c>
      <c r="G61" s="3" t="s">
        <v>26</v>
      </c>
      <c r="H61" s="3" t="s">
        <v>19</v>
      </c>
      <c r="I61" s="3">
        <v>940</v>
      </c>
      <c r="J61" s="3">
        <v>920</v>
      </c>
      <c r="K61" s="8">
        <f t="shared" si="0"/>
        <v>3284.3999999999996</v>
      </c>
      <c r="L61">
        <f t="shared" si="1"/>
        <v>-20</v>
      </c>
    </row>
    <row r="62" spans="1:12" x14ac:dyDescent="0.25">
      <c r="A62" s="3">
        <v>61</v>
      </c>
      <c r="B62" s="3" t="s">
        <v>20</v>
      </c>
      <c r="C62" s="4">
        <v>359814713912641</v>
      </c>
      <c r="D62" s="3" t="s">
        <v>7</v>
      </c>
      <c r="E62" s="3" t="s">
        <v>22</v>
      </c>
      <c r="F62" s="3" t="s">
        <v>10</v>
      </c>
      <c r="G62" s="3" t="s">
        <v>11</v>
      </c>
      <c r="H62" s="3" t="s">
        <v>19</v>
      </c>
      <c r="I62" s="3">
        <v>940</v>
      </c>
      <c r="J62" s="3">
        <v>920</v>
      </c>
      <c r="K62" s="8">
        <f t="shared" si="0"/>
        <v>3284.3999999999996</v>
      </c>
      <c r="L62">
        <f t="shared" si="1"/>
        <v>-20</v>
      </c>
    </row>
    <row r="63" spans="1:12" x14ac:dyDescent="0.25">
      <c r="A63" s="3">
        <v>62</v>
      </c>
      <c r="B63" s="3" t="s">
        <v>20</v>
      </c>
      <c r="C63" s="4">
        <v>359814714137933</v>
      </c>
      <c r="D63" s="3" t="s">
        <v>7</v>
      </c>
      <c r="E63" s="3" t="s">
        <v>22</v>
      </c>
      <c r="F63" s="3" t="s">
        <v>10</v>
      </c>
      <c r="G63" s="3" t="s">
        <v>21</v>
      </c>
      <c r="H63" s="3" t="s">
        <v>19</v>
      </c>
      <c r="I63" s="3">
        <v>940</v>
      </c>
      <c r="J63" s="3">
        <v>920</v>
      </c>
      <c r="K63" s="8">
        <f t="shared" si="0"/>
        <v>3284.3999999999996</v>
      </c>
      <c r="L63">
        <f t="shared" si="1"/>
        <v>-20</v>
      </c>
    </row>
    <row r="64" spans="1:12" x14ac:dyDescent="0.25">
      <c r="A64" s="3">
        <v>63</v>
      </c>
      <c r="B64" s="3" t="s">
        <v>17</v>
      </c>
      <c r="C64" s="4">
        <v>358434707235312</v>
      </c>
      <c r="D64" s="3" t="s">
        <v>7</v>
      </c>
      <c r="E64" s="3" t="s">
        <v>9</v>
      </c>
      <c r="F64" s="3" t="s">
        <v>10</v>
      </c>
      <c r="G64" s="3" t="s">
        <v>18</v>
      </c>
      <c r="H64" s="3" t="s">
        <v>19</v>
      </c>
      <c r="I64" s="3">
        <v>1200</v>
      </c>
      <c r="J64" s="3">
        <v>1200</v>
      </c>
      <c r="K64" s="8">
        <f t="shared" si="0"/>
        <v>4284</v>
      </c>
      <c r="L64">
        <f t="shared" si="1"/>
        <v>0</v>
      </c>
    </row>
    <row r="65" spans="1:12" x14ac:dyDescent="0.25">
      <c r="A65" s="3">
        <v>64</v>
      </c>
      <c r="B65" s="3" t="s">
        <v>17</v>
      </c>
      <c r="C65" s="4">
        <v>355246658415617</v>
      </c>
      <c r="D65" s="3" t="s">
        <v>7</v>
      </c>
      <c r="E65" s="3" t="s">
        <v>15</v>
      </c>
      <c r="F65" s="3" t="s">
        <v>10</v>
      </c>
      <c r="G65" s="3" t="s">
        <v>27</v>
      </c>
      <c r="H65" s="3" t="s">
        <v>12</v>
      </c>
      <c r="I65" s="3">
        <v>1150</v>
      </c>
      <c r="J65" s="3">
        <v>1150</v>
      </c>
      <c r="K65" s="8">
        <f t="shared" si="0"/>
        <v>4105.5</v>
      </c>
      <c r="L65">
        <f t="shared" si="1"/>
        <v>0</v>
      </c>
    </row>
    <row r="66" spans="1:12" x14ac:dyDescent="0.25">
      <c r="A66" s="3">
        <v>65</v>
      </c>
      <c r="B66" s="3" t="s">
        <v>17</v>
      </c>
      <c r="C66" s="4">
        <v>353497858328033</v>
      </c>
      <c r="D66" s="3" t="s">
        <v>7</v>
      </c>
      <c r="E66" s="3" t="s">
        <v>9</v>
      </c>
      <c r="F66" s="3" t="s">
        <v>10</v>
      </c>
      <c r="G66" s="3" t="s">
        <v>18</v>
      </c>
      <c r="H66" s="3" t="s">
        <v>19</v>
      </c>
      <c r="I66" s="3">
        <v>1200</v>
      </c>
      <c r="J66" s="3">
        <v>1200</v>
      </c>
      <c r="K66" s="8">
        <f t="shared" si="0"/>
        <v>4284</v>
      </c>
      <c r="L66">
        <f t="shared" si="1"/>
        <v>0</v>
      </c>
    </row>
    <row r="67" spans="1:12" x14ac:dyDescent="0.25">
      <c r="A67" s="3">
        <v>66</v>
      </c>
      <c r="B67" s="3" t="s">
        <v>6</v>
      </c>
      <c r="C67" s="4">
        <v>356392241855841</v>
      </c>
      <c r="D67" s="3" t="s">
        <v>7</v>
      </c>
      <c r="E67" s="3" t="s">
        <v>9</v>
      </c>
      <c r="F67" s="3" t="s">
        <v>10</v>
      </c>
      <c r="G67" s="3" t="s">
        <v>11</v>
      </c>
      <c r="H67" s="3" t="s">
        <v>12</v>
      </c>
      <c r="I67" s="3">
        <v>860</v>
      </c>
      <c r="J67" s="3">
        <v>800</v>
      </c>
      <c r="K67" s="8">
        <f t="shared" ref="K67:K79" si="2">J67*3.57</f>
        <v>2856</v>
      </c>
      <c r="L67">
        <f t="shared" ref="L67:L79" si="3">J67-I67</f>
        <v>-60</v>
      </c>
    </row>
    <row r="68" spans="1:12" x14ac:dyDescent="0.25">
      <c r="A68" s="3">
        <v>67</v>
      </c>
      <c r="B68" s="3" t="s">
        <v>6</v>
      </c>
      <c r="C68" s="4">
        <v>350035235459031</v>
      </c>
      <c r="D68" s="3" t="s">
        <v>7</v>
      </c>
      <c r="E68" s="3" t="s">
        <v>9</v>
      </c>
      <c r="F68" s="3" t="s">
        <v>10</v>
      </c>
      <c r="G68" s="3" t="s">
        <v>11</v>
      </c>
      <c r="H68" s="3" t="s">
        <v>12</v>
      </c>
      <c r="I68" s="3">
        <v>860</v>
      </c>
      <c r="J68" s="3">
        <v>800</v>
      </c>
      <c r="K68" s="8">
        <f t="shared" si="2"/>
        <v>2856</v>
      </c>
      <c r="L68">
        <f t="shared" si="3"/>
        <v>-60</v>
      </c>
    </row>
    <row r="69" spans="1:12" x14ac:dyDescent="0.25">
      <c r="A69" s="3">
        <v>68</v>
      </c>
      <c r="B69" s="3" t="s">
        <v>6</v>
      </c>
      <c r="C69" s="4">
        <v>353497858288153</v>
      </c>
      <c r="D69" s="3" t="s">
        <v>7</v>
      </c>
      <c r="E69" s="3" t="s">
        <v>15</v>
      </c>
      <c r="F69" s="3" t="s">
        <v>29</v>
      </c>
      <c r="G69" s="3" t="s">
        <v>11</v>
      </c>
      <c r="H69" s="3" t="s">
        <v>12</v>
      </c>
      <c r="I69" s="3">
        <v>900</v>
      </c>
      <c r="J69" s="3">
        <v>760</v>
      </c>
      <c r="K69" s="8">
        <f t="shared" si="2"/>
        <v>2713.2</v>
      </c>
      <c r="L69">
        <f t="shared" si="3"/>
        <v>-140</v>
      </c>
    </row>
    <row r="70" spans="1:12" x14ac:dyDescent="0.25">
      <c r="A70" s="3">
        <v>69</v>
      </c>
      <c r="B70" s="3" t="s">
        <v>6</v>
      </c>
      <c r="C70" s="4">
        <v>356392249976268</v>
      </c>
      <c r="D70" s="3" t="s">
        <v>7</v>
      </c>
      <c r="E70" s="3" t="s">
        <v>15</v>
      </c>
      <c r="F70" s="3" t="s">
        <v>10</v>
      </c>
      <c r="G70" s="3" t="s">
        <v>11</v>
      </c>
      <c r="H70" s="3" t="s">
        <v>12</v>
      </c>
      <c r="I70" s="3">
        <v>900</v>
      </c>
      <c r="J70" s="3">
        <v>850</v>
      </c>
      <c r="K70" s="8">
        <f t="shared" si="2"/>
        <v>3034.5</v>
      </c>
      <c r="L70">
        <f t="shared" si="3"/>
        <v>-50</v>
      </c>
    </row>
    <row r="71" spans="1:12" x14ac:dyDescent="0.25">
      <c r="A71" s="3">
        <v>70</v>
      </c>
      <c r="B71" s="3" t="s">
        <v>6</v>
      </c>
      <c r="C71" s="4">
        <v>358434702781393</v>
      </c>
      <c r="D71" s="3" t="s">
        <v>7</v>
      </c>
      <c r="E71" s="3" t="s">
        <v>15</v>
      </c>
      <c r="F71" s="3" t="s">
        <v>10</v>
      </c>
      <c r="G71" s="3" t="s">
        <v>21</v>
      </c>
      <c r="H71" s="3" t="s">
        <v>12</v>
      </c>
      <c r="I71" s="3">
        <v>900</v>
      </c>
      <c r="J71" s="3">
        <v>850</v>
      </c>
      <c r="K71" s="8">
        <f t="shared" si="2"/>
        <v>3034.5</v>
      </c>
      <c r="L71">
        <f t="shared" si="3"/>
        <v>-50</v>
      </c>
    </row>
    <row r="72" spans="1:12" x14ac:dyDescent="0.25">
      <c r="A72" s="3">
        <v>71</v>
      </c>
      <c r="B72" s="3" t="s">
        <v>6</v>
      </c>
      <c r="C72" s="4">
        <v>356605222677607</v>
      </c>
      <c r="D72" s="3" t="s">
        <v>7</v>
      </c>
      <c r="E72" s="3" t="s">
        <v>15</v>
      </c>
      <c r="F72" s="3" t="s">
        <v>10</v>
      </c>
      <c r="G72" s="3" t="s">
        <v>21</v>
      </c>
      <c r="H72" s="3" t="s">
        <v>12</v>
      </c>
      <c r="I72" s="3">
        <v>900</v>
      </c>
      <c r="J72" s="3">
        <v>850</v>
      </c>
      <c r="K72" s="8">
        <f t="shared" si="2"/>
        <v>3034.5</v>
      </c>
      <c r="L72">
        <f t="shared" si="3"/>
        <v>-50</v>
      </c>
    </row>
    <row r="73" spans="1:12" x14ac:dyDescent="0.25">
      <c r="A73" s="3">
        <v>72</v>
      </c>
      <c r="B73" s="3" t="s">
        <v>28</v>
      </c>
      <c r="C73" s="4">
        <v>350599869907516</v>
      </c>
      <c r="D73" s="3" t="s">
        <v>7</v>
      </c>
      <c r="E73" s="3" t="s">
        <v>15</v>
      </c>
      <c r="F73" s="3" t="s">
        <v>10</v>
      </c>
      <c r="G73" s="3" t="s">
        <v>27</v>
      </c>
      <c r="H73" s="3" t="s">
        <v>12</v>
      </c>
      <c r="I73" s="3">
        <v>1150</v>
      </c>
      <c r="J73" s="3">
        <v>1150</v>
      </c>
      <c r="K73" s="8">
        <f t="shared" si="2"/>
        <v>4105.5</v>
      </c>
      <c r="L73">
        <f t="shared" si="3"/>
        <v>0</v>
      </c>
    </row>
    <row r="74" spans="1:12" x14ac:dyDescent="0.25">
      <c r="A74" s="3">
        <v>73</v>
      </c>
      <c r="B74" s="3" t="s">
        <v>23</v>
      </c>
      <c r="C74" s="4">
        <v>358835894417226</v>
      </c>
      <c r="D74" s="3" t="s">
        <v>7</v>
      </c>
      <c r="E74" s="3" t="s">
        <v>24</v>
      </c>
      <c r="F74" s="3" t="s">
        <v>10</v>
      </c>
      <c r="G74" s="3" t="s">
        <v>21</v>
      </c>
      <c r="H74" s="3" t="s">
        <v>19</v>
      </c>
      <c r="I74" s="3">
        <v>340</v>
      </c>
      <c r="J74" s="3">
        <v>320</v>
      </c>
      <c r="K74" s="8">
        <f t="shared" si="2"/>
        <v>1142.3999999999999</v>
      </c>
      <c r="L74">
        <f t="shared" si="3"/>
        <v>-20</v>
      </c>
    </row>
    <row r="75" spans="1:12" x14ac:dyDescent="0.25">
      <c r="A75" s="3">
        <v>74</v>
      </c>
      <c r="B75" s="3" t="s">
        <v>42</v>
      </c>
      <c r="C75" s="4" t="s">
        <v>43</v>
      </c>
      <c r="D75" s="3" t="s">
        <v>27</v>
      </c>
      <c r="E75" s="3" t="s">
        <v>27</v>
      </c>
      <c r="F75" s="3" t="s">
        <v>10</v>
      </c>
      <c r="G75" s="3" t="s">
        <v>44</v>
      </c>
      <c r="H75" s="3" t="s">
        <v>19</v>
      </c>
      <c r="I75" s="3">
        <v>350</v>
      </c>
      <c r="J75" s="3">
        <v>300</v>
      </c>
      <c r="K75" s="8">
        <f t="shared" si="2"/>
        <v>1071</v>
      </c>
      <c r="L75">
        <f t="shared" si="3"/>
        <v>-50</v>
      </c>
    </row>
    <row r="76" spans="1:12" x14ac:dyDescent="0.25">
      <c r="A76" s="3">
        <v>75</v>
      </c>
      <c r="B76" s="3" t="s">
        <v>42</v>
      </c>
      <c r="C76" s="4" t="s">
        <v>45</v>
      </c>
      <c r="D76" s="3" t="s">
        <v>27</v>
      </c>
      <c r="E76" s="3" t="s">
        <v>27</v>
      </c>
      <c r="F76" s="3" t="s">
        <v>10</v>
      </c>
      <c r="G76" s="3" t="s">
        <v>44</v>
      </c>
      <c r="H76" s="3" t="s">
        <v>19</v>
      </c>
      <c r="I76" s="3">
        <v>350</v>
      </c>
      <c r="J76" s="3">
        <v>300</v>
      </c>
      <c r="K76" s="8">
        <f t="shared" si="2"/>
        <v>1071</v>
      </c>
      <c r="L76">
        <f t="shared" si="3"/>
        <v>-50</v>
      </c>
    </row>
    <row r="77" spans="1:12" x14ac:dyDescent="0.25">
      <c r="A77" s="3">
        <v>76</v>
      </c>
      <c r="B77" s="3" t="s">
        <v>42</v>
      </c>
      <c r="C77" s="4" t="s">
        <v>56</v>
      </c>
      <c r="D77" s="3" t="s">
        <v>27</v>
      </c>
      <c r="E77" s="3" t="s">
        <v>27</v>
      </c>
      <c r="F77" s="3" t="s">
        <v>10</v>
      </c>
      <c r="G77" s="3" t="s">
        <v>44</v>
      </c>
      <c r="H77" s="3" t="s">
        <v>19</v>
      </c>
      <c r="I77" s="3">
        <v>350</v>
      </c>
      <c r="J77" s="3">
        <v>300</v>
      </c>
      <c r="K77" s="8">
        <f t="shared" si="2"/>
        <v>1071</v>
      </c>
      <c r="L77">
        <f t="shared" si="3"/>
        <v>-50</v>
      </c>
    </row>
    <row r="78" spans="1:12" x14ac:dyDescent="0.25">
      <c r="A78" s="3">
        <v>77</v>
      </c>
      <c r="B78" s="3" t="s">
        <v>42</v>
      </c>
      <c r="C78" s="4" t="s">
        <v>57</v>
      </c>
      <c r="D78" s="3" t="s">
        <v>27</v>
      </c>
      <c r="E78" s="3" t="s">
        <v>27</v>
      </c>
      <c r="F78" s="3" t="s">
        <v>10</v>
      </c>
      <c r="G78" s="3" t="s">
        <v>44</v>
      </c>
      <c r="H78" s="3" t="s">
        <v>19</v>
      </c>
      <c r="I78" s="3">
        <v>350</v>
      </c>
      <c r="J78" s="3">
        <v>300</v>
      </c>
      <c r="K78" s="8">
        <f t="shared" si="2"/>
        <v>1071</v>
      </c>
      <c r="L78">
        <f t="shared" si="3"/>
        <v>-50</v>
      </c>
    </row>
    <row r="79" spans="1:12" x14ac:dyDescent="0.25">
      <c r="A79" s="3">
        <v>78</v>
      </c>
      <c r="B79" s="3" t="s">
        <v>42</v>
      </c>
      <c r="C79" s="4">
        <v>8056262721377</v>
      </c>
      <c r="D79" s="3" t="s">
        <v>27</v>
      </c>
      <c r="E79" s="3" t="s">
        <v>27</v>
      </c>
      <c r="F79" s="3" t="s">
        <v>10</v>
      </c>
      <c r="G79" s="3" t="s">
        <v>44</v>
      </c>
      <c r="H79" s="3" t="s">
        <v>19</v>
      </c>
      <c r="I79" s="3">
        <v>350</v>
      </c>
      <c r="J79" s="3">
        <v>300</v>
      </c>
      <c r="K79" s="8">
        <f t="shared" si="2"/>
        <v>1071</v>
      </c>
      <c r="L79">
        <f t="shared" si="3"/>
        <v>-50</v>
      </c>
    </row>
    <row r="80" spans="1:12" ht="18.75" x14ac:dyDescent="0.25">
      <c r="I80" s="7">
        <f>SUM(I2:I79)</f>
        <v>64470</v>
      </c>
      <c r="J80" s="7">
        <f>SUM(J2:J79)</f>
        <v>62015</v>
      </c>
      <c r="K80" s="6">
        <f>SUM(K2:K79)</f>
        <v>221393.54999999996</v>
      </c>
    </row>
    <row r="81" spans="8:9" ht="18.75" x14ac:dyDescent="0.25">
      <c r="H81" s="7" t="s">
        <v>62</v>
      </c>
      <c r="I81" s="7">
        <v>2455</v>
      </c>
    </row>
    <row r="82" spans="8:9" ht="18.75" x14ac:dyDescent="0.25">
      <c r="I82" s="7">
        <f>I80-I81</f>
        <v>62015</v>
      </c>
    </row>
  </sheetData>
  <autoFilter ref="A1:L82" xr:uid="{AB30FEF7-3500-478D-ABFC-0BB7152926BE}"/>
  <conditionalFormatting sqref="C1">
    <cfRule type="duplicateValues" dxfId="25" priority="26"/>
  </conditionalFormatting>
  <conditionalFormatting sqref="C2:C3">
    <cfRule type="duplicateValues" dxfId="24" priority="25"/>
  </conditionalFormatting>
  <conditionalFormatting sqref="C2:C79">
    <cfRule type="duplicateValues" dxfId="23" priority="1"/>
  </conditionalFormatting>
  <conditionalFormatting sqref="C4">
    <cfRule type="duplicateValues" dxfId="22" priority="24"/>
  </conditionalFormatting>
  <conditionalFormatting sqref="C5:C7">
    <cfRule type="duplicateValues" dxfId="21" priority="23"/>
  </conditionalFormatting>
  <conditionalFormatting sqref="C8:C9">
    <cfRule type="duplicateValues" dxfId="20" priority="22"/>
  </conditionalFormatting>
  <conditionalFormatting sqref="C10">
    <cfRule type="duplicateValues" dxfId="19" priority="21"/>
  </conditionalFormatting>
  <conditionalFormatting sqref="C11">
    <cfRule type="duplicateValues" dxfId="18" priority="20"/>
  </conditionalFormatting>
  <conditionalFormatting sqref="C12">
    <cfRule type="duplicateValues" dxfId="17" priority="19"/>
  </conditionalFormatting>
  <conditionalFormatting sqref="C13:C14">
    <cfRule type="duplicateValues" dxfId="16" priority="18"/>
  </conditionalFormatting>
  <conditionalFormatting sqref="C15">
    <cfRule type="duplicateValues" dxfId="15" priority="17"/>
  </conditionalFormatting>
  <conditionalFormatting sqref="C16:C18">
    <cfRule type="duplicateValues" dxfId="14" priority="16"/>
  </conditionalFormatting>
  <conditionalFormatting sqref="C19:C25">
    <cfRule type="duplicateValues" dxfId="13" priority="15"/>
  </conditionalFormatting>
  <conditionalFormatting sqref="C26:C28">
    <cfRule type="duplicateValues" dxfId="12" priority="14"/>
  </conditionalFormatting>
  <conditionalFormatting sqref="C29:C30">
    <cfRule type="duplicateValues" dxfId="11" priority="13"/>
  </conditionalFormatting>
  <conditionalFormatting sqref="C31:C34">
    <cfRule type="duplicateValues" dxfId="10" priority="12"/>
  </conditionalFormatting>
  <conditionalFormatting sqref="C35">
    <cfRule type="duplicateValues" dxfId="9" priority="11"/>
  </conditionalFormatting>
  <conditionalFormatting sqref="C36:C38">
    <cfRule type="duplicateValues" dxfId="8" priority="10"/>
  </conditionalFormatting>
  <conditionalFormatting sqref="C39:C45">
    <cfRule type="duplicateValues" dxfId="7" priority="9"/>
  </conditionalFormatting>
  <conditionalFormatting sqref="C46:C53">
    <cfRule type="duplicateValues" dxfId="6" priority="8"/>
  </conditionalFormatting>
  <conditionalFormatting sqref="C54:C63">
    <cfRule type="duplicateValues" dxfId="5" priority="7"/>
  </conditionalFormatting>
  <conditionalFormatting sqref="C64:C66">
    <cfRule type="duplicateValues" dxfId="4" priority="6"/>
  </conditionalFormatting>
  <conditionalFormatting sqref="C67:C72">
    <cfRule type="duplicateValues" dxfId="3" priority="5"/>
  </conditionalFormatting>
  <conditionalFormatting sqref="C73">
    <cfRule type="duplicateValues" dxfId="2" priority="4"/>
  </conditionalFormatting>
  <conditionalFormatting sqref="C74">
    <cfRule type="duplicateValues" dxfId="1" priority="3"/>
  </conditionalFormatting>
  <conditionalFormatting sqref="C75:C7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2026-04-28T15:41:04Z</dcterms:created>
  <dcterms:modified xsi:type="dcterms:W3CDTF">2026-05-09T15:27:53Z</dcterms:modified>
</cp:coreProperties>
</file>