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dd4d47be472dfe3/Documents/Owise Houston USA/"/>
    </mc:Choice>
  </mc:AlternateContent>
  <xr:revisionPtr revIDLastSave="1" documentId="13_ncr:1_{5C9903A7-0E02-439A-B0DA-D83533070EC9}" xr6:coauthVersionLast="47" xr6:coauthVersionMax="47" xr10:uidLastSave="{1506711D-401E-4DBB-A5F3-13C9969955AA}"/>
  <bookViews>
    <workbookView xWindow="-120" yWindow="-120" windowWidth="20730" windowHeight="11040" xr2:uid="{00000000-000D-0000-FFFF-FFFF00000000}"/>
  </bookViews>
  <sheets>
    <sheet name="Table 1" sheetId="1" r:id="rId1"/>
  </sheets>
  <definedNames>
    <definedName name="_xlnm._FilterDatabase" localSheetId="0" hidden="1">'Table 1'!$A$1:$H$35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2" i="1"/>
  <c r="G35" i="1"/>
  <c r="H35" i="1" l="1"/>
</calcChain>
</file>

<file path=xl/sharedStrings.xml><?xml version="1.0" encoding="utf-8"?>
<sst xmlns="http://schemas.openxmlformats.org/spreadsheetml/2006/main" count="135" uniqueCount="57">
  <si>
    <r>
      <rPr>
        <sz val="8"/>
        <rFont val="Arial MT"/>
        <family val="2"/>
      </rPr>
      <t>iPhone 17 Pro Max</t>
    </r>
  </si>
  <si>
    <r>
      <rPr>
        <sz val="8"/>
        <rFont val="Arial MT"/>
        <family val="2"/>
      </rPr>
      <t>Cosmic Orange</t>
    </r>
  </si>
  <si>
    <r>
      <rPr>
        <sz val="8"/>
        <rFont val="Arial MT"/>
        <family val="2"/>
      </rPr>
      <t>256 GB</t>
    </r>
  </si>
  <si>
    <r>
      <rPr>
        <sz val="8"/>
        <rFont val="Arial MT"/>
        <family val="2"/>
      </rPr>
      <t>Active</t>
    </r>
  </si>
  <si>
    <r>
      <rPr>
        <sz val="8"/>
        <rFont val="Arial MT"/>
        <family val="2"/>
      </rPr>
      <t>Deep Blue</t>
    </r>
  </si>
  <si>
    <r>
      <rPr>
        <sz val="8"/>
        <rFont val="Arial MT"/>
        <family val="2"/>
      </rPr>
      <t>Active T-Mobile</t>
    </r>
  </si>
  <si>
    <r>
      <rPr>
        <sz val="8"/>
        <rFont val="Arial MT"/>
        <family val="2"/>
      </rPr>
      <t>T-Mobile</t>
    </r>
  </si>
  <si>
    <r>
      <rPr>
        <sz val="8"/>
        <rFont val="Arial MT"/>
        <family val="2"/>
      </rPr>
      <t>Silver</t>
    </r>
  </si>
  <si>
    <r>
      <rPr>
        <sz val="8"/>
        <rFont val="Arial MT"/>
        <family val="2"/>
      </rPr>
      <t>512 GB</t>
    </r>
  </si>
  <si>
    <r>
      <rPr>
        <sz val="8"/>
        <rFont val="Arial MT"/>
        <family val="2"/>
      </rPr>
      <t>Active Unlock</t>
    </r>
  </si>
  <si>
    <r>
      <rPr>
        <sz val="8"/>
        <rFont val="Arial MT"/>
        <family val="2"/>
      </rPr>
      <t>iPhone 17 Air</t>
    </r>
  </si>
  <si>
    <r>
      <rPr>
        <sz val="8"/>
        <rFont val="Arial MT"/>
        <family val="2"/>
      </rPr>
      <t>Cloud White</t>
    </r>
  </si>
  <si>
    <r>
      <rPr>
        <sz val="8"/>
        <rFont val="Arial MT"/>
        <family val="2"/>
      </rPr>
      <t>iPad Pro M5 13" (W)</t>
    </r>
  </si>
  <si>
    <r>
      <rPr>
        <sz val="8"/>
        <rFont val="Arial MT"/>
        <family val="2"/>
      </rPr>
      <t>Space Black</t>
    </r>
  </si>
  <si>
    <r>
      <rPr>
        <sz val="8"/>
        <rFont val="Arial MT"/>
        <family val="2"/>
      </rPr>
      <t>SDFRX76FXWF</t>
    </r>
  </si>
  <si>
    <r>
      <rPr>
        <sz val="8"/>
        <rFont val="Arial MT"/>
        <family val="2"/>
      </rPr>
      <t>SC74XW29FHW</t>
    </r>
  </si>
  <si>
    <r>
      <rPr>
        <sz val="8"/>
        <rFont val="Arial MT"/>
        <family val="2"/>
      </rPr>
      <t>iPad A16 (W+C)</t>
    </r>
  </si>
  <si>
    <r>
      <rPr>
        <sz val="8"/>
        <rFont val="Arial MT"/>
        <family val="2"/>
      </rPr>
      <t>Blue</t>
    </r>
  </si>
  <si>
    <r>
      <rPr>
        <sz val="8"/>
        <rFont val="Arial MT"/>
        <family val="2"/>
      </rPr>
      <t>128 GB</t>
    </r>
  </si>
  <si>
    <r>
      <rPr>
        <sz val="8"/>
        <rFont val="Arial MT"/>
        <family val="2"/>
      </rPr>
      <t>iPad A16 (W)</t>
    </r>
  </si>
  <si>
    <r>
      <rPr>
        <sz val="8"/>
        <rFont val="Arial MT"/>
        <family val="2"/>
      </rPr>
      <t>SM2PQM26CRW</t>
    </r>
  </si>
  <si>
    <r>
      <rPr>
        <sz val="8"/>
        <rFont val="Arial MT"/>
        <family val="2"/>
      </rPr>
      <t>MacBook Pro M4 Pro 16" MX2Y3LL/A</t>
    </r>
  </si>
  <si>
    <r>
      <rPr>
        <sz val="8"/>
        <rFont val="Arial MT"/>
        <family val="2"/>
      </rPr>
      <t>48 GB, 512 GB</t>
    </r>
  </si>
  <si>
    <r>
      <rPr>
        <sz val="8"/>
        <rFont val="Arial MT"/>
        <family val="2"/>
      </rPr>
      <t>SKX7D6QF039</t>
    </r>
  </si>
  <si>
    <r>
      <rPr>
        <sz val="8"/>
        <rFont val="Arial MT"/>
        <family val="2"/>
      </rPr>
      <t>SC2NQP3VGX5</t>
    </r>
  </si>
  <si>
    <r>
      <rPr>
        <sz val="8"/>
        <rFont val="Arial MT"/>
        <family val="2"/>
      </rPr>
      <t>MacBook Pro M4 Pro 14" MX2E3LL/A</t>
    </r>
  </si>
  <si>
    <r>
      <rPr>
        <sz val="8"/>
        <rFont val="Arial MT"/>
        <family val="2"/>
      </rPr>
      <t>24 GB, 512 GB</t>
    </r>
  </si>
  <si>
    <r>
      <rPr>
        <sz val="8"/>
        <rFont val="Arial MT"/>
        <family val="2"/>
      </rPr>
      <t>SG0F6NXGK0F</t>
    </r>
  </si>
  <si>
    <r>
      <rPr>
        <sz val="8"/>
        <rFont val="Arial MT"/>
        <family val="2"/>
      </rPr>
      <t>MacBook Air M4 15" MW1M3LL/A</t>
    </r>
  </si>
  <si>
    <r>
      <rPr>
        <sz val="8"/>
        <rFont val="Arial MT"/>
        <family val="2"/>
      </rPr>
      <t>Midnight</t>
    </r>
  </si>
  <si>
    <r>
      <rPr>
        <sz val="8"/>
        <rFont val="Arial MT"/>
        <family val="2"/>
      </rPr>
      <t>16 GB, 512 GB</t>
    </r>
  </si>
  <si>
    <r>
      <rPr>
        <sz val="8"/>
        <rFont val="Arial MT"/>
        <family val="2"/>
      </rPr>
      <t>SDH3C5K2MMW</t>
    </r>
  </si>
  <si>
    <r>
      <rPr>
        <sz val="8"/>
        <rFont val="Arial MT"/>
        <family val="2"/>
      </rPr>
      <t>SF922HPX2GV</t>
    </r>
  </si>
  <si>
    <r>
      <rPr>
        <sz val="8"/>
        <rFont val="Arial MT"/>
        <family val="2"/>
      </rPr>
      <t>MacBook Air M4 13" MW123LL/A</t>
    </r>
  </si>
  <si>
    <r>
      <rPr>
        <sz val="8"/>
        <rFont val="Arial MT"/>
        <family val="2"/>
      </rPr>
      <t>16 GB, 256 GB</t>
    </r>
  </si>
  <si>
    <r>
      <rPr>
        <sz val="8"/>
        <rFont val="Arial MT"/>
        <family val="2"/>
      </rPr>
      <t>SL6JFHCJWDP</t>
    </r>
  </si>
  <si>
    <r>
      <rPr>
        <sz val="8"/>
        <rFont val="Arial MT"/>
        <family val="2"/>
      </rPr>
      <t>Apple Watch Ultra 3</t>
    </r>
  </si>
  <si>
    <r>
      <rPr>
        <sz val="8"/>
        <rFont val="Arial MT"/>
        <family val="2"/>
      </rPr>
      <t>Black Ti, Trail</t>
    </r>
  </si>
  <si>
    <r>
      <rPr>
        <sz val="8"/>
        <rFont val="Arial MT"/>
        <family val="2"/>
      </rPr>
      <t>49mm</t>
    </r>
  </si>
  <si>
    <r>
      <rPr>
        <sz val="8"/>
        <rFont val="Arial MT"/>
        <family val="2"/>
      </rPr>
      <t>Apple Watch Series 11</t>
    </r>
  </si>
  <si>
    <r>
      <rPr>
        <sz val="8"/>
        <rFont val="Arial MT"/>
        <family val="2"/>
      </rPr>
      <t>Space Gray</t>
    </r>
  </si>
  <si>
    <r>
      <rPr>
        <sz val="8"/>
        <rFont val="Arial MT"/>
        <family val="2"/>
      </rPr>
      <t>42mm</t>
    </r>
  </si>
  <si>
    <r>
      <rPr>
        <sz val="8"/>
        <rFont val="Arial MT"/>
        <family val="2"/>
      </rPr>
      <t>SM69QWJLC4J</t>
    </r>
  </si>
  <si>
    <r>
      <rPr>
        <sz val="8"/>
        <rFont val="Arial MT"/>
        <family val="2"/>
      </rPr>
      <t>SD9YYQKY4TH</t>
    </r>
  </si>
  <si>
    <r>
      <rPr>
        <sz val="8"/>
        <rFont val="Arial MT"/>
        <family val="2"/>
      </rPr>
      <t>SDK96Y1H263</t>
    </r>
  </si>
  <si>
    <r>
      <rPr>
        <sz val="8"/>
        <rFont val="Arial MT"/>
        <family val="2"/>
      </rPr>
      <t>SM2JQX2FX49</t>
    </r>
  </si>
  <si>
    <t>512 gb</t>
  </si>
  <si>
    <t>SDPHFCQN7CC</t>
  </si>
  <si>
    <t>UNLOCK</t>
  </si>
  <si>
    <r>
      <rPr>
        <sz val="8"/>
        <rFont val="Arial MT"/>
        <family val="2"/>
      </rPr>
      <t>Active</t>
    </r>
    <r>
      <rPr>
        <sz val="8"/>
        <rFont val="Arial MT"/>
      </rPr>
      <t xml:space="preserve"> UNLOCK</t>
    </r>
  </si>
  <si>
    <t>Storage</t>
  </si>
  <si>
    <t>IMEI</t>
  </si>
  <si>
    <t>Comments</t>
  </si>
  <si>
    <t>USD Prise</t>
  </si>
  <si>
    <t>AED Prise</t>
  </si>
  <si>
    <r>
      <rPr>
        <b/>
        <sz val="8"/>
        <rFont val="Arial"/>
        <family val="2"/>
      </rPr>
      <t>Date
Party Name</t>
    </r>
  </si>
  <si>
    <t>2-23-2026
888923920344 Owais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</si>
</sst>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AED]\ * #,##0.00_-;\-[$AED]\ * #,##0.00_-;_-[$AED]\ * &quot;-&quot;??_-;_-@_-"/>
    <numFmt numFmtId="165" formatCode="_-[$USD]\ * #,##0.00_-;\-[$USD]\ * #,##0.00_-;_-[$USD]\ * &quot;-&quot;??_-;_-@_-"/>
  </numFmts>
  <fonts count="8">
    <font>
      <sz val="10"/>
      <color rgb="FF000000"/>
      <name val="Times New Roman"/>
      <charset val="204"/>
    </font>
    <font>
      <sz val="8"/>
      <color rgb="FF000000"/>
      <name val="Arial MT"/>
      <family val="2"/>
    </font>
    <font>
      <sz val="8"/>
      <name val="Arial MT"/>
    </font>
    <font>
      <b/>
      <sz val="8"/>
      <name val="Arial"/>
      <family val="2"/>
    </font>
    <font>
      <sz val="8"/>
      <name val="Arial MT"/>
      <family val="2"/>
    </font>
    <font>
      <b/>
      <sz val="10"/>
      <color rgb="FF000000"/>
      <name val="Times New Roman"/>
      <family val="1"/>
    </font>
    <font>
      <b/>
      <sz val="8"/>
      <name val="Arial MT"/>
      <family val="2"/>
    </font>
    <font>
      <b/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1154CC"/>
      </patternFill>
    </fill>
    <fill>
      <patternFill patternType="solid">
        <fgColor theme="6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1" fontId="1" fillId="0" borderId="2" xfId="0" applyNumberFormat="1" applyFont="1" applyBorder="1" applyAlignment="1">
      <alignment horizontal="center" vertical="top" shrinkToFi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164" fontId="7" fillId="5" borderId="4" xfId="0" applyNumberFormat="1" applyFont="1" applyFill="1" applyBorder="1" applyAlignment="1">
      <alignment horizontal="left" vertical="top"/>
    </xf>
    <xf numFmtId="165" fontId="7" fillId="5" borderId="4" xfId="0" applyNumberFormat="1" applyFont="1" applyFill="1" applyBorder="1" applyAlignment="1">
      <alignment horizontal="left" vertical="top"/>
    </xf>
    <xf numFmtId="0" fontId="2" fillId="6" borderId="2" xfId="0" applyFont="1" applyFill="1" applyBorder="1" applyAlignment="1">
      <alignment horizontal="center" vertical="top" wrapText="1"/>
    </xf>
    <xf numFmtId="1" fontId="1" fillId="6" borderId="3" xfId="0" applyNumberFormat="1" applyFont="1" applyFill="1" applyBorder="1" applyAlignment="1">
      <alignment horizontal="center" vertical="top" shrinkToFit="1"/>
    </xf>
    <xf numFmtId="0" fontId="0" fillId="6" borderId="5" xfId="0" applyFill="1" applyBorder="1" applyAlignment="1">
      <alignment vertical="top" wrapText="1"/>
    </xf>
    <xf numFmtId="0" fontId="0" fillId="6" borderId="0" xfId="0" applyFill="1" applyAlignment="1">
      <alignment horizontal="left" vertical="top"/>
    </xf>
    <xf numFmtId="0" fontId="5" fillId="6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0" fillId="3" borderId="5" xfId="0" applyFill="1" applyBorder="1" applyAlignment="1">
      <alignment vertical="top" wrapText="1"/>
    </xf>
    <xf numFmtId="0" fontId="5" fillId="3" borderId="4" xfId="0" applyFont="1" applyFill="1" applyBorder="1" applyAlignment="1">
      <alignment horizontal="center" vertical="center"/>
    </xf>
    <xf numFmtId="1" fontId="1" fillId="3" borderId="3" xfId="0" applyNumberFormat="1" applyFont="1" applyFill="1" applyBorder="1" applyAlignment="1">
      <alignment horizontal="center" vertical="top" shrinkToFit="1"/>
    </xf>
    <xf numFmtId="0" fontId="4" fillId="3" borderId="3" xfId="0" applyFont="1" applyFill="1" applyBorder="1" applyAlignment="1">
      <alignment horizontal="center" vertical="top" wrapText="1"/>
    </xf>
    <xf numFmtId="0" fontId="0" fillId="3" borderId="5" xfId="0" applyFill="1" applyBorder="1" applyAlignment="1">
      <alignment horizontal="left" wrapText="1"/>
    </xf>
    <xf numFmtId="0" fontId="2" fillId="3" borderId="5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topLeftCell="B1" workbookViewId="0">
      <selection activeCell="C1" sqref="C1"/>
    </sheetView>
  </sheetViews>
  <sheetFormatPr defaultRowHeight="12.75"/>
  <cols>
    <col min="1" max="1" width="4.6640625" customWidth="1"/>
    <col min="2" max="2" width="36" customWidth="1"/>
    <col min="3" max="3" width="24.5" customWidth="1"/>
    <col min="4" max="4" width="20.83203125" customWidth="1"/>
    <col min="5" max="5" width="29.6640625" bestFit="1" customWidth="1"/>
    <col min="6" max="6" width="50" customWidth="1"/>
    <col min="7" max="7" width="24.5" bestFit="1" customWidth="1"/>
    <col min="8" max="8" width="26.6640625" bestFit="1" customWidth="1"/>
  </cols>
  <sheetData>
    <row r="1" spans="1:9" ht="26.1" customHeight="1">
      <c r="A1" s="21" t="s">
        <v>55</v>
      </c>
      <c r="B1" s="21"/>
      <c r="C1" s="22" t="s">
        <v>56</v>
      </c>
      <c r="D1" s="2" t="s">
        <v>50</v>
      </c>
      <c r="E1" s="2" t="s">
        <v>51</v>
      </c>
      <c r="F1" s="3" t="s">
        <v>52</v>
      </c>
      <c r="G1" s="4" t="s">
        <v>53</v>
      </c>
      <c r="H1" s="4" t="s">
        <v>54</v>
      </c>
    </row>
    <row r="2" spans="1:9" ht="12.95" customHeight="1">
      <c r="A2" s="1">
        <v>1</v>
      </c>
      <c r="B2" s="12" t="s">
        <v>0</v>
      </c>
      <c r="C2" s="12" t="s">
        <v>1</v>
      </c>
      <c r="D2" s="12" t="s">
        <v>2</v>
      </c>
      <c r="E2" s="16">
        <v>355246659780654</v>
      </c>
      <c r="F2" s="19" t="s">
        <v>3</v>
      </c>
      <c r="G2" s="15">
        <v>925</v>
      </c>
      <c r="H2" s="15">
        <f>G2*3.59</f>
        <v>3320.75</v>
      </c>
    </row>
    <row r="3" spans="1:9" ht="12" customHeight="1">
      <c r="A3" s="1">
        <v>2</v>
      </c>
      <c r="B3" s="12" t="s">
        <v>0</v>
      </c>
      <c r="C3" s="12" t="s">
        <v>1</v>
      </c>
      <c r="D3" s="12" t="s">
        <v>2</v>
      </c>
      <c r="E3" s="16">
        <v>350599867831882</v>
      </c>
      <c r="F3" s="18"/>
      <c r="G3" s="15">
        <v>925</v>
      </c>
      <c r="H3" s="15">
        <f t="shared" ref="H3:H34" si="0">G3*3.59</f>
        <v>3320.75</v>
      </c>
    </row>
    <row r="4" spans="1:9" ht="12.95" customHeight="1">
      <c r="A4" s="1">
        <v>3</v>
      </c>
      <c r="B4" s="12" t="s">
        <v>0</v>
      </c>
      <c r="C4" s="12" t="s">
        <v>1</v>
      </c>
      <c r="D4" s="12" t="s">
        <v>2</v>
      </c>
      <c r="E4" s="16">
        <v>355246650065485</v>
      </c>
      <c r="F4" s="19" t="s">
        <v>3</v>
      </c>
      <c r="G4" s="15">
        <v>925</v>
      </c>
      <c r="H4" s="15">
        <f t="shared" si="0"/>
        <v>3320.75</v>
      </c>
    </row>
    <row r="5" spans="1:9" ht="12.95" customHeight="1">
      <c r="A5" s="1">
        <v>4</v>
      </c>
      <c r="B5" s="12" t="s">
        <v>0</v>
      </c>
      <c r="C5" s="12" t="s">
        <v>1</v>
      </c>
      <c r="D5" s="12" t="s">
        <v>2</v>
      </c>
      <c r="E5" s="16">
        <v>353837412434381</v>
      </c>
      <c r="F5" s="14"/>
      <c r="G5" s="15">
        <v>925</v>
      </c>
      <c r="H5" s="15">
        <f t="shared" si="0"/>
        <v>3320.75</v>
      </c>
    </row>
    <row r="6" spans="1:9" ht="12.95" customHeight="1">
      <c r="A6" s="1">
        <v>5</v>
      </c>
      <c r="B6" s="12" t="s">
        <v>0</v>
      </c>
      <c r="C6" s="12" t="s">
        <v>1</v>
      </c>
      <c r="D6" s="12" t="s">
        <v>2</v>
      </c>
      <c r="E6" s="16">
        <v>350599867930171</v>
      </c>
      <c r="F6" s="14"/>
      <c r="G6" s="15">
        <v>925</v>
      </c>
      <c r="H6" s="15">
        <f t="shared" si="0"/>
        <v>3320.75</v>
      </c>
    </row>
    <row r="7" spans="1:9" ht="12.95" customHeight="1">
      <c r="A7" s="1">
        <v>6</v>
      </c>
      <c r="B7" s="12" t="s">
        <v>0</v>
      </c>
      <c r="C7" s="12" t="s">
        <v>1</v>
      </c>
      <c r="D7" s="12" t="s">
        <v>2</v>
      </c>
      <c r="E7" s="16">
        <v>350599867852086</v>
      </c>
      <c r="F7" s="14"/>
      <c r="G7" s="15">
        <v>925</v>
      </c>
      <c r="H7" s="15">
        <f t="shared" si="0"/>
        <v>3320.75</v>
      </c>
    </row>
    <row r="8" spans="1:9" ht="12.95" customHeight="1">
      <c r="A8" s="1">
        <v>7</v>
      </c>
      <c r="B8" s="7" t="s">
        <v>0</v>
      </c>
      <c r="C8" s="7" t="s">
        <v>1</v>
      </c>
      <c r="D8" s="7" t="s">
        <v>2</v>
      </c>
      <c r="E8" s="8">
        <v>350889867621262</v>
      </c>
      <c r="F8" s="9"/>
      <c r="G8" s="11">
        <v>1100</v>
      </c>
      <c r="H8" s="11">
        <f t="shared" si="0"/>
        <v>3949</v>
      </c>
      <c r="I8" s="10" t="s">
        <v>46</v>
      </c>
    </row>
    <row r="9" spans="1:9" ht="12.95" customHeight="1">
      <c r="A9" s="1">
        <v>8</v>
      </c>
      <c r="B9" s="12" t="s">
        <v>0</v>
      </c>
      <c r="C9" s="12" t="s">
        <v>1</v>
      </c>
      <c r="D9" s="12" t="s">
        <v>2</v>
      </c>
      <c r="E9" s="16">
        <v>356392241032599</v>
      </c>
      <c r="F9" s="19" t="s">
        <v>3</v>
      </c>
      <c r="G9" s="15">
        <v>925</v>
      </c>
      <c r="H9" s="15">
        <f t="shared" si="0"/>
        <v>3320.75</v>
      </c>
    </row>
    <row r="10" spans="1:9" ht="12.95" customHeight="1">
      <c r="A10" s="1">
        <v>9</v>
      </c>
      <c r="B10" s="12" t="s">
        <v>0</v>
      </c>
      <c r="C10" s="12" t="s">
        <v>1</v>
      </c>
      <c r="D10" s="12" t="s">
        <v>2</v>
      </c>
      <c r="E10" s="16">
        <v>353837411601402</v>
      </c>
      <c r="F10" s="18"/>
      <c r="G10" s="15">
        <v>925</v>
      </c>
      <c r="H10" s="15">
        <f t="shared" si="0"/>
        <v>3320.75</v>
      </c>
    </row>
    <row r="11" spans="1:9" ht="12.95" customHeight="1">
      <c r="A11" s="1">
        <v>10</v>
      </c>
      <c r="B11" s="12" t="s">
        <v>0</v>
      </c>
      <c r="C11" s="12" t="s">
        <v>1</v>
      </c>
      <c r="D11" s="12" t="s">
        <v>2</v>
      </c>
      <c r="E11" s="16">
        <v>356392240436270</v>
      </c>
      <c r="F11" s="19" t="s">
        <v>3</v>
      </c>
      <c r="G11" s="15">
        <v>925</v>
      </c>
      <c r="H11" s="15">
        <f t="shared" si="0"/>
        <v>3320.75</v>
      </c>
    </row>
    <row r="12" spans="1:9" ht="12.95" customHeight="1">
      <c r="A12" s="1">
        <v>11</v>
      </c>
      <c r="B12" s="12" t="s">
        <v>0</v>
      </c>
      <c r="C12" s="12" t="s">
        <v>1</v>
      </c>
      <c r="D12" s="12" t="s">
        <v>2</v>
      </c>
      <c r="E12" s="16">
        <v>355246658908090</v>
      </c>
      <c r="F12" s="19" t="s">
        <v>3</v>
      </c>
      <c r="G12" s="15">
        <v>925</v>
      </c>
      <c r="H12" s="15">
        <f t="shared" si="0"/>
        <v>3320.75</v>
      </c>
    </row>
    <row r="13" spans="1:9" ht="12.95" customHeight="1">
      <c r="A13" s="1">
        <v>12</v>
      </c>
      <c r="B13" s="12" t="s">
        <v>0</v>
      </c>
      <c r="C13" s="12" t="s">
        <v>4</v>
      </c>
      <c r="D13" s="12" t="s">
        <v>2</v>
      </c>
      <c r="E13" s="16">
        <v>358902510967826</v>
      </c>
      <c r="F13" s="19" t="s">
        <v>5</v>
      </c>
      <c r="G13" s="15">
        <v>960</v>
      </c>
      <c r="H13" s="15">
        <f t="shared" si="0"/>
        <v>3446.3999999999996</v>
      </c>
    </row>
    <row r="14" spans="1:9" ht="12.95" customHeight="1">
      <c r="A14" s="1">
        <v>13</v>
      </c>
      <c r="B14" s="12" t="s">
        <v>0</v>
      </c>
      <c r="C14" s="12" t="s">
        <v>4</v>
      </c>
      <c r="D14" s="12" t="s">
        <v>2</v>
      </c>
      <c r="E14" s="16">
        <v>353497851093964</v>
      </c>
      <c r="F14" s="19" t="s">
        <v>6</v>
      </c>
      <c r="G14" s="15">
        <v>970</v>
      </c>
      <c r="H14" s="15">
        <f t="shared" si="0"/>
        <v>3482.2999999999997</v>
      </c>
    </row>
    <row r="15" spans="1:9" ht="12" customHeight="1">
      <c r="A15" s="1">
        <v>14</v>
      </c>
      <c r="B15" s="12" t="s">
        <v>0</v>
      </c>
      <c r="C15" s="12" t="s">
        <v>4</v>
      </c>
      <c r="D15" s="12" t="s">
        <v>2</v>
      </c>
      <c r="E15" s="16">
        <v>356364249592973</v>
      </c>
      <c r="F15" s="18"/>
      <c r="G15" s="15">
        <v>890</v>
      </c>
      <c r="H15" s="15">
        <f t="shared" si="0"/>
        <v>3195.1</v>
      </c>
    </row>
    <row r="16" spans="1:9" ht="12.95" customHeight="1">
      <c r="A16" s="1">
        <v>15</v>
      </c>
      <c r="B16" s="12" t="s">
        <v>0</v>
      </c>
      <c r="C16" s="12" t="s">
        <v>7</v>
      </c>
      <c r="D16" s="12" t="s">
        <v>8</v>
      </c>
      <c r="E16" s="16">
        <v>355224256591014</v>
      </c>
      <c r="F16" s="19" t="s">
        <v>9</v>
      </c>
      <c r="G16" s="15">
        <v>1270</v>
      </c>
      <c r="H16" s="15">
        <f t="shared" si="0"/>
        <v>4559.3</v>
      </c>
    </row>
    <row r="17" spans="1:8" ht="12.95" customHeight="1">
      <c r="A17" s="1">
        <v>16</v>
      </c>
      <c r="B17" s="12" t="s">
        <v>10</v>
      </c>
      <c r="C17" s="12" t="s">
        <v>11</v>
      </c>
      <c r="D17" s="12" t="s">
        <v>2</v>
      </c>
      <c r="E17" s="16">
        <v>358271525408493</v>
      </c>
      <c r="F17" s="14"/>
      <c r="G17" s="15">
        <v>520</v>
      </c>
      <c r="H17" s="15">
        <f t="shared" si="0"/>
        <v>1866.8</v>
      </c>
    </row>
    <row r="18" spans="1:8" ht="12.95" customHeight="1">
      <c r="A18" s="1">
        <v>17</v>
      </c>
      <c r="B18" s="12" t="s">
        <v>12</v>
      </c>
      <c r="C18" s="12" t="s">
        <v>13</v>
      </c>
      <c r="D18" s="12" t="s">
        <v>2</v>
      </c>
      <c r="E18" s="13" t="s">
        <v>14</v>
      </c>
      <c r="F18" s="14"/>
      <c r="G18" s="15">
        <v>1080</v>
      </c>
      <c r="H18" s="15">
        <f t="shared" si="0"/>
        <v>3877.2</v>
      </c>
    </row>
    <row r="19" spans="1:8" ht="12.95" customHeight="1">
      <c r="A19" s="1">
        <v>18</v>
      </c>
      <c r="B19" s="12" t="s">
        <v>12</v>
      </c>
      <c r="C19" s="12" t="s">
        <v>7</v>
      </c>
      <c r="D19" s="12" t="s">
        <v>2</v>
      </c>
      <c r="E19" s="13" t="s">
        <v>15</v>
      </c>
      <c r="F19" s="14"/>
      <c r="G19" s="15">
        <v>1080</v>
      </c>
      <c r="H19" s="15">
        <f t="shared" si="0"/>
        <v>3877.2</v>
      </c>
    </row>
    <row r="20" spans="1:8" ht="12.95" customHeight="1">
      <c r="A20" s="1">
        <v>19</v>
      </c>
      <c r="B20" s="12" t="s">
        <v>16</v>
      </c>
      <c r="C20" s="12" t="s">
        <v>17</v>
      </c>
      <c r="D20" s="12" t="s">
        <v>18</v>
      </c>
      <c r="E20" s="16">
        <v>357879852424809</v>
      </c>
      <c r="F20" s="14" t="s">
        <v>48</v>
      </c>
      <c r="G20" s="15">
        <v>340</v>
      </c>
      <c r="H20" s="15">
        <f t="shared" si="0"/>
        <v>1220.5999999999999</v>
      </c>
    </row>
    <row r="21" spans="1:8" ht="12.95" customHeight="1">
      <c r="A21" s="1">
        <v>20</v>
      </c>
      <c r="B21" s="12" t="s">
        <v>19</v>
      </c>
      <c r="C21" s="12" t="s">
        <v>17</v>
      </c>
      <c r="D21" s="12" t="s">
        <v>2</v>
      </c>
      <c r="E21" s="17" t="s">
        <v>47</v>
      </c>
      <c r="F21" s="14"/>
      <c r="G21" s="15">
        <v>385</v>
      </c>
      <c r="H21" s="15">
        <f t="shared" si="0"/>
        <v>1382.1499999999999</v>
      </c>
    </row>
    <row r="22" spans="1:8" ht="12.95" customHeight="1">
      <c r="A22" s="1">
        <v>21</v>
      </c>
      <c r="B22" s="12" t="s">
        <v>19</v>
      </c>
      <c r="C22" s="12" t="s">
        <v>17</v>
      </c>
      <c r="D22" s="12" t="s">
        <v>2</v>
      </c>
      <c r="E22" s="13" t="s">
        <v>20</v>
      </c>
      <c r="F22" s="14"/>
      <c r="G22" s="15">
        <v>385</v>
      </c>
      <c r="H22" s="15">
        <f t="shared" si="0"/>
        <v>1382.1499999999999</v>
      </c>
    </row>
    <row r="23" spans="1:8" ht="12.95" customHeight="1">
      <c r="A23" s="1">
        <v>22</v>
      </c>
      <c r="B23" s="12" t="s">
        <v>21</v>
      </c>
      <c r="C23" s="12" t="s">
        <v>13</v>
      </c>
      <c r="D23" s="12" t="s">
        <v>22</v>
      </c>
      <c r="E23" s="13" t="s">
        <v>23</v>
      </c>
      <c r="F23" s="20" t="s">
        <v>49</v>
      </c>
      <c r="G23" s="15">
        <v>2260</v>
      </c>
      <c r="H23" s="15">
        <f t="shared" si="0"/>
        <v>8113.4</v>
      </c>
    </row>
    <row r="24" spans="1:8" ht="12.95" customHeight="1">
      <c r="A24" s="1">
        <v>23</v>
      </c>
      <c r="B24" s="12" t="s">
        <v>21</v>
      </c>
      <c r="C24" s="12" t="s">
        <v>13</v>
      </c>
      <c r="D24" s="12" t="s">
        <v>22</v>
      </c>
      <c r="E24" s="13" t="s">
        <v>24</v>
      </c>
      <c r="F24" s="20" t="s">
        <v>49</v>
      </c>
      <c r="G24" s="15">
        <v>2260</v>
      </c>
      <c r="H24" s="15">
        <f t="shared" si="0"/>
        <v>8113.4</v>
      </c>
    </row>
    <row r="25" spans="1:8" ht="12.95" customHeight="1">
      <c r="A25" s="1">
        <v>24</v>
      </c>
      <c r="B25" s="12" t="s">
        <v>25</v>
      </c>
      <c r="C25" s="12" t="s">
        <v>7</v>
      </c>
      <c r="D25" s="12" t="s">
        <v>26</v>
      </c>
      <c r="E25" s="13" t="s">
        <v>27</v>
      </c>
      <c r="F25" s="18" t="s">
        <v>48</v>
      </c>
      <c r="G25" s="15">
        <v>1640</v>
      </c>
      <c r="H25" s="15">
        <f t="shared" si="0"/>
        <v>5887.5999999999995</v>
      </c>
    </row>
    <row r="26" spans="1:8" ht="12" customHeight="1">
      <c r="A26" s="1">
        <v>25</v>
      </c>
      <c r="B26" s="12" t="s">
        <v>28</v>
      </c>
      <c r="C26" s="12" t="s">
        <v>29</v>
      </c>
      <c r="D26" s="12" t="s">
        <v>30</v>
      </c>
      <c r="E26" s="13" t="s">
        <v>31</v>
      </c>
      <c r="F26" s="19" t="s">
        <v>3</v>
      </c>
      <c r="G26" s="15">
        <v>1105</v>
      </c>
      <c r="H26" s="15">
        <f t="shared" si="0"/>
        <v>3966.95</v>
      </c>
    </row>
    <row r="27" spans="1:8" ht="12.95" customHeight="1">
      <c r="A27" s="1">
        <v>26</v>
      </c>
      <c r="B27" s="12" t="s">
        <v>28</v>
      </c>
      <c r="C27" s="12" t="s">
        <v>29</v>
      </c>
      <c r="D27" s="12" t="s">
        <v>30</v>
      </c>
      <c r="E27" s="13" t="s">
        <v>32</v>
      </c>
      <c r="F27" s="19" t="s">
        <v>3</v>
      </c>
      <c r="G27" s="15">
        <v>1105</v>
      </c>
      <c r="H27" s="15">
        <f t="shared" si="0"/>
        <v>3966.95</v>
      </c>
    </row>
    <row r="28" spans="1:8" ht="12.95" customHeight="1">
      <c r="A28" s="1">
        <v>27</v>
      </c>
      <c r="B28" s="12" t="s">
        <v>33</v>
      </c>
      <c r="C28" s="12" t="s">
        <v>29</v>
      </c>
      <c r="D28" s="12" t="s">
        <v>34</v>
      </c>
      <c r="E28" s="13" t="s">
        <v>35</v>
      </c>
      <c r="F28" s="14"/>
      <c r="G28" s="15">
        <v>740</v>
      </c>
      <c r="H28" s="15">
        <f t="shared" si="0"/>
        <v>2656.6</v>
      </c>
    </row>
    <row r="29" spans="1:8" ht="12.95" customHeight="1">
      <c r="A29" s="1">
        <v>28</v>
      </c>
      <c r="B29" s="12" t="s">
        <v>36</v>
      </c>
      <c r="C29" s="12" t="s">
        <v>37</v>
      </c>
      <c r="D29" s="12" t="s">
        <v>38</v>
      </c>
      <c r="E29" s="16">
        <v>358135794184319</v>
      </c>
      <c r="F29" s="14"/>
      <c r="G29" s="15">
        <v>670</v>
      </c>
      <c r="H29" s="15">
        <f t="shared" si="0"/>
        <v>2405.2999999999997</v>
      </c>
    </row>
    <row r="30" spans="1:8" ht="12.95" customHeight="1">
      <c r="A30" s="1">
        <v>29</v>
      </c>
      <c r="B30" s="12" t="s">
        <v>36</v>
      </c>
      <c r="C30" s="12" t="s">
        <v>37</v>
      </c>
      <c r="D30" s="12" t="s">
        <v>38</v>
      </c>
      <c r="E30" s="16">
        <v>353938645034004</v>
      </c>
      <c r="F30" s="14"/>
      <c r="G30" s="15">
        <v>670</v>
      </c>
      <c r="H30" s="15">
        <f t="shared" si="0"/>
        <v>2405.2999999999997</v>
      </c>
    </row>
    <row r="31" spans="1:8" ht="12.95" customHeight="1">
      <c r="A31" s="1">
        <v>30</v>
      </c>
      <c r="B31" s="12" t="s">
        <v>39</v>
      </c>
      <c r="C31" s="12" t="s">
        <v>40</v>
      </c>
      <c r="D31" s="12" t="s">
        <v>41</v>
      </c>
      <c r="E31" s="13" t="s">
        <v>42</v>
      </c>
      <c r="F31" s="14"/>
      <c r="G31" s="15">
        <v>300</v>
      </c>
      <c r="H31" s="15">
        <f t="shared" si="0"/>
        <v>1077</v>
      </c>
    </row>
    <row r="32" spans="1:8" ht="12.95" customHeight="1">
      <c r="A32" s="1">
        <v>31</v>
      </c>
      <c r="B32" s="12" t="s">
        <v>39</v>
      </c>
      <c r="C32" s="12" t="s">
        <v>40</v>
      </c>
      <c r="D32" s="12" t="s">
        <v>41</v>
      </c>
      <c r="E32" s="13" t="s">
        <v>43</v>
      </c>
      <c r="F32" s="14"/>
      <c r="G32" s="15">
        <v>300</v>
      </c>
      <c r="H32" s="15">
        <f t="shared" si="0"/>
        <v>1077</v>
      </c>
    </row>
    <row r="33" spans="1:8" ht="12.95" customHeight="1">
      <c r="A33" s="1">
        <v>32</v>
      </c>
      <c r="B33" s="12" t="s">
        <v>39</v>
      </c>
      <c r="C33" s="12" t="s">
        <v>40</v>
      </c>
      <c r="D33" s="12" t="s">
        <v>41</v>
      </c>
      <c r="E33" s="13" t="s">
        <v>44</v>
      </c>
      <c r="F33" s="14"/>
      <c r="G33" s="15">
        <v>300</v>
      </c>
      <c r="H33" s="15">
        <f t="shared" si="0"/>
        <v>1077</v>
      </c>
    </row>
    <row r="34" spans="1:8" ht="12.75" customHeight="1">
      <c r="A34" s="1">
        <v>33</v>
      </c>
      <c r="B34" s="12" t="s">
        <v>39</v>
      </c>
      <c r="C34" s="12" t="s">
        <v>40</v>
      </c>
      <c r="D34" s="12" t="s">
        <v>41</v>
      </c>
      <c r="E34" s="13" t="s">
        <v>45</v>
      </c>
      <c r="F34" s="14"/>
      <c r="G34" s="15">
        <v>300</v>
      </c>
      <c r="H34" s="15">
        <f t="shared" si="0"/>
        <v>1077</v>
      </c>
    </row>
    <row r="35" spans="1:8" ht="18.75">
      <c r="G35" s="6">
        <f>SUM(G2:G34)</f>
        <v>29880</v>
      </c>
      <c r="H35" s="5">
        <f>SUM(H2:H34)</f>
        <v>107269.20000000001</v>
      </c>
    </row>
  </sheetData>
  <autoFilter ref="A1:H35" xr:uid="{00000000-0001-0000-0000-000000000000}">
    <filterColumn colId="0" showButton="0"/>
  </autoFilter>
  <mergeCells count="1">
    <mergeCell ref="A1:B1"/>
  </mergeCells>
  <conditionalFormatting sqref="E1:E1048576">
    <cfRule type="duplicateValues" dxfId="2" priority="1"/>
    <cfRule type="duplicateValues" dxfId="1" priority="72"/>
  </conditionalFormatting>
  <conditionalFormatting sqref="E37:E1048576">
    <cfRule type="duplicateValues" dxfId="0" priority="7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Purchases - Google Sheets</dc:title>
  <cp:lastModifiedBy>swiss tech</cp:lastModifiedBy>
  <dcterms:created xsi:type="dcterms:W3CDTF">2026-02-27T11:08:18Z</dcterms:created>
  <dcterms:modified xsi:type="dcterms:W3CDTF">2026-03-02T09:04:57Z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2026-02-23T00:00:00Z</vt:filetime>
  </property>
  <property fmtid="{D5CDD505-2E9C-101B-9397-08002B2CF9AE}" pid="3" name="Creator">
    <vt:lpwstr>Mozilla/5.0 (Windows NT 10.0; Win64; x64) AppleWebKit/537.36 (KHTML, like Gecko) Chrome/145.0.0.0 Safari/537.36 Edg/145.0.0.0</vt:lpwstr>
  </property>
  <property fmtid="{D5CDD505-2E9C-101B-9397-08002B2CF9AE}" pid="4" name="LastSaved">
    <vt:filetime>2026-02-27T00:00:00Z</vt:filetime>
  </property>
  <property fmtid="{D5CDD505-2E9C-101B-9397-08002B2CF9AE}" pid="5" name="Producer">
    <vt:lpwstr>Skia/PDF m145</vt:lpwstr>
  </property>
</Properties>
</file>