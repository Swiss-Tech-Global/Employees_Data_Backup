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C850623-01DF-45DA-A8A7-3032FDA30DBA}" xr6:coauthVersionLast="47" xr6:coauthVersionMax="47" xr10:uidLastSave="{00000000-0000-0000-0000-000000000000}"/>
  <bookViews>
    <workbookView xWindow="-120" yWindow="-120" windowWidth="20730" windowHeight="11040" xr2:uid="{3471F069-97E0-4A22-B4D6-A73E7E40B521}"/>
  </bookViews>
  <sheets>
    <sheet name="Sheet1" sheetId="1" r:id="rId1"/>
    <sheet name="Sheet2" sheetId="2" r:id="rId2"/>
  </sheets>
  <definedNames>
    <definedName name="_xlnm._FilterDatabase" localSheetId="0" hidden="1">Sheet1!$B$1:$F$262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D2" i="2" l="1"/>
  <c r="E2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" i="1"/>
  <c r="D3" i="2" l="1"/>
  <c r="E3" i="2" s="1"/>
</calcChain>
</file>

<file path=xl/sharedStrings.xml><?xml version="1.0" encoding="utf-8"?>
<sst xmlns="http://schemas.openxmlformats.org/spreadsheetml/2006/main" count="491" uniqueCount="310">
  <si>
    <t>item name</t>
  </si>
  <si>
    <t>ACER ASPIRE 7 A715-59G-58A8 16 GB, 512 GB</t>
  </si>
  <si>
    <t>AIRPODS 4</t>
  </si>
  <si>
    <t>AIRPODS 4 (ANC)</t>
  </si>
  <si>
    <t>AIRPODS MAX</t>
  </si>
  <si>
    <t>AIRPODS MAX 2</t>
  </si>
  <si>
    <t>AIRPODS PRO 2</t>
  </si>
  <si>
    <t>AIRPODS PRO 3</t>
  </si>
  <si>
    <t>APPLE IPAD MAGIC KEYBOARD 13</t>
  </si>
  <si>
    <t>APPLE IPAD PRO MAGIC KEYBOARD 11</t>
  </si>
  <si>
    <t>APPLE PENCIL USB-C</t>
  </si>
  <si>
    <t>APPLE WATCH SE 2 40MM</t>
  </si>
  <si>
    <t>APPLE WATCH SE 2 44MM</t>
  </si>
  <si>
    <t>APPLE WATCH SE 3 40MM</t>
  </si>
  <si>
    <t>APPLE WATCH SE 3 44MM</t>
  </si>
  <si>
    <t>APPLE WATCH SERIES 10 46MM</t>
  </si>
  <si>
    <t>APPLE WATCH SERIES 11 42MM</t>
  </si>
  <si>
    <t>APPLE WATCH SERIES 11 46MM</t>
  </si>
  <si>
    <t>APPLE WATCH SERIES 9 MIDNIGHT 45MM</t>
  </si>
  <si>
    <t>APPLE WATCH ULTRA 2 49MM</t>
  </si>
  <si>
    <t>APPLE WATCH ULTRA 3 49MM</t>
  </si>
  <si>
    <t>ASTRO BOT GAME CD</t>
  </si>
  <si>
    <t>BEATS PILL SPEAKER</t>
  </si>
  <si>
    <t>BEATS POWERBEATS PRO BUDS</t>
  </si>
  <si>
    <t>BLINK OUTDOOR 4</t>
  </si>
  <si>
    <t>BOSE QUIETCOMFORT ULTRA HEADPHONES 2</t>
  </si>
  <si>
    <t>BOSE SOUNDLINK MICRO SPEAKER</t>
  </si>
  <si>
    <t>BRAUN 9 IN 1</t>
  </si>
  <si>
    <t>BRAUN ALL IN ONE TRIMMER 5</t>
  </si>
  <si>
    <t>BRAUN ALL IN ONE TRIMMER 7</t>
  </si>
  <si>
    <t>BRAUN IPL 5137</t>
  </si>
  <si>
    <t>BRAUN SHAVER 6</t>
  </si>
  <si>
    <t>BRAUN SILK EPILATOR 7</t>
  </si>
  <si>
    <t>BRAUN SILK EPILATOR 9</t>
  </si>
  <si>
    <t>CANON G7X MARK III</t>
  </si>
  <si>
    <t>CANON IXUS 285 HA</t>
  </si>
  <si>
    <t>CANON SX 740 HS</t>
  </si>
  <si>
    <t>CYBERPOWER PC SERIES C</t>
  </si>
  <si>
    <t>DCS</t>
  </si>
  <si>
    <t>DELL 16 PLUS ICE BLUE 16 GB, 1 TB</t>
  </si>
  <si>
    <t>DIGITAL SONY CAMERA</t>
  </si>
  <si>
    <t>DJI MAVIC 4 PRO CREATOR COMBO</t>
  </si>
  <si>
    <t>DJI MAVIC 4 PRO FLY MORE COMBO</t>
  </si>
  <si>
    <t>DJI MAVIC 4 PRO STANDARD</t>
  </si>
  <si>
    <t>DJI MIC 3</t>
  </si>
  <si>
    <t>DJI MIC MINI</t>
  </si>
  <si>
    <t>DJI MINI 4 PRO 34 MINS</t>
  </si>
  <si>
    <t>DJI MINI 4 PRO 45 MINS</t>
  </si>
  <si>
    <t>DJI MINI 4 PRO STANDARD</t>
  </si>
  <si>
    <t>DJI MINI 4K FLY MORE COMBO</t>
  </si>
  <si>
    <t>DJI MINI 5 PRO FLY MORE COMBO 52 MINS</t>
  </si>
  <si>
    <t>DJI OSMO POCKET 3</t>
  </si>
  <si>
    <t>DJI OSMO POCKET 3 CREATOR COMBO</t>
  </si>
  <si>
    <t>DUAL SENSE EDGE WIRELESS CONTROLLER</t>
  </si>
  <si>
    <t>DUAL SENSE WIRELESS CONTROLLER</t>
  </si>
  <si>
    <t>FLUKE INSULATION MULTIMETER 1577</t>
  </si>
  <si>
    <t>GALAXY S23 ULTRA 256 GB</t>
  </si>
  <si>
    <t>GALAXY S25 ULTRA 256 GB</t>
  </si>
  <si>
    <t>GALAXY S25 ULTRA 512 GB</t>
  </si>
  <si>
    <t>GALAXY S26 ULTRA 256 GB</t>
  </si>
  <si>
    <t>GALAXY S26 ULTRA BLACK 512 GB LOCK BOX</t>
  </si>
  <si>
    <t>GALAXY S26 ULTRA COBALT VIOLET 512 GB LOCK BOX</t>
  </si>
  <si>
    <t>GALAXY S26 ULTRA SKY BLUE 512 GB LOCK BOX</t>
  </si>
  <si>
    <t>GALAXY TAB S10 FE</t>
  </si>
  <si>
    <t>GALAXY TAB S10+ (5G)</t>
  </si>
  <si>
    <t>GALAXY WATCH ULTRA</t>
  </si>
  <si>
    <t>GALAXY Z FLIP 7 256 GB</t>
  </si>
  <si>
    <t>GALAXY Z FOLD 7 256 GB</t>
  </si>
  <si>
    <t>GARMIN VIVOACTIVE 5 WATCH</t>
  </si>
  <si>
    <t>GO PRO 13</t>
  </si>
  <si>
    <t>GO PRO FLOATY HERO</t>
  </si>
  <si>
    <t>GOOGLE PIXEL 7</t>
  </si>
  <si>
    <t>GOOGLE PIXEL BUDS 2A</t>
  </si>
  <si>
    <t>GOOGLE PIXEL FOLD 256 GB</t>
  </si>
  <si>
    <t>GOOGLE PIXEL FOLD 512 GB</t>
  </si>
  <si>
    <t>GOOGLE PIXEL WATCH 4</t>
  </si>
  <si>
    <t>GOOGLE PIXEL WATCH 4 BLUE SATIN MOONSTONE 32 GB 45MM</t>
  </si>
  <si>
    <t>GOOGLE PIXEL WATCH 4 MATTE BLACK 32 GB 45MM</t>
  </si>
  <si>
    <t>GOOGLE TV STREAMER</t>
  </si>
  <si>
    <t>Galaxy Tab S10 FE</t>
  </si>
  <si>
    <t>Galaxy Watch Ultra</t>
  </si>
  <si>
    <t>HOME POD</t>
  </si>
  <si>
    <t>HP 15-FC0509DS</t>
  </si>
  <si>
    <t>HP 15-FC0509DS 16 GB, 1 TB</t>
  </si>
  <si>
    <t>HP CHROMEBOOK PLUS X360</t>
  </si>
  <si>
    <t>IMAC M4 24 16 GB, 256 GB</t>
  </si>
  <si>
    <t>INSTAX FILM 20 PACK</t>
  </si>
  <si>
    <t>INSTAX MINI 12</t>
  </si>
  <si>
    <t>INSTAX MINI 13</t>
  </si>
  <si>
    <t>INSTAX MINI EVO</t>
  </si>
  <si>
    <t>INSTAX MINI LIPLAY</t>
  </si>
  <si>
    <t>INSTAX WIDE 400</t>
  </si>
  <si>
    <t>IPAD 10TH GEN (W) 64 GB</t>
  </si>
  <si>
    <t>IPAD A16 (W) 128 GB</t>
  </si>
  <si>
    <t>IPAD A16 (W) 256 GB</t>
  </si>
  <si>
    <t>IPAD A16 (W+C) 256 GB</t>
  </si>
  <si>
    <t>IPAD A16 (W+C)128 GB</t>
  </si>
  <si>
    <t>IPAD AIR M3 11 (W) 128 GB</t>
  </si>
  <si>
    <t>IPAD AIR M3 11 (W) 256 GB</t>
  </si>
  <si>
    <t>IPAD AIR M3 11 (W+C) 128 GB</t>
  </si>
  <si>
    <t>IPAD AIR M3 11 (W+C) SPACE GRAY 256 GB UNLOCK BOX</t>
  </si>
  <si>
    <t>IPAD AIR M3 13 (W) 128 GB</t>
  </si>
  <si>
    <t>IPAD AIR M3 13 (W) 256 GB</t>
  </si>
  <si>
    <t>IPAD AIR M3 13 (W) 512GB</t>
  </si>
  <si>
    <t>IPAD AIR M3 13 (W+C) 128GB</t>
  </si>
  <si>
    <t>IPAD AIR M4 11 (W) 128 GB</t>
  </si>
  <si>
    <t>IPAD AIR M4 11 (W) 512 GB</t>
  </si>
  <si>
    <t>IPAD AIR M4 11 (W) BLUE 256 GB UNLOCK BOX</t>
  </si>
  <si>
    <t>IPAD AIR M4 13 (W) 128 GB</t>
  </si>
  <si>
    <t>IPAD AIR M4 13 (W+C) 128 GB</t>
  </si>
  <si>
    <t>IPAD MINI A17 PRO (W) 256 GB</t>
  </si>
  <si>
    <t>IPAD MINI A17 PRO (W+C) 128 GB</t>
  </si>
  <si>
    <t>IPAD PRO M1 (W) 128GB</t>
  </si>
  <si>
    <t>IPAD PRO M1 13" (W) 128 GB</t>
  </si>
  <si>
    <t>IPAD PRO M1 13" (W) 256GB</t>
  </si>
  <si>
    <t>IPAD PRO M3 13 (W)</t>
  </si>
  <si>
    <t>IPAD PRO M3 13 (W) 256GB</t>
  </si>
  <si>
    <t>IPAD PRO M3 13 (W+C) 256GB</t>
  </si>
  <si>
    <t>IPAD PRO M4 11 (W) 256 GB</t>
  </si>
  <si>
    <t>IPAD PRO M4 13 (W) 2 TB</t>
  </si>
  <si>
    <t>IPAD PRO M4 13 (W) 256 GB</t>
  </si>
  <si>
    <t>IPAD PRO M4 13 (W+C) 2 TB</t>
  </si>
  <si>
    <t>IPAD PRO M4 13 (W+C) 256 GB</t>
  </si>
  <si>
    <t>IPAD PRO M5 11 (W+C) 256 GB</t>
  </si>
  <si>
    <t>IPAD PRO M5 13 (W) 1 TB</t>
  </si>
  <si>
    <t>IPAD PRO M5 13 (W) 256 GB</t>
  </si>
  <si>
    <t>IPAD PRO M5 13 (W) 512 GB</t>
  </si>
  <si>
    <t>IPAD PRO M5 13 (W+C) 256 GB</t>
  </si>
  <si>
    <t>IPAD PRO M5 13 (W+C) 2TB</t>
  </si>
  <si>
    <t>IPAD PRO M5 13 (W+C) 512 GB</t>
  </si>
  <si>
    <t>IPHONE 11 PRO 256</t>
  </si>
  <si>
    <t>IPHONE 11 PRO MAX 256</t>
  </si>
  <si>
    <t>IPHONE 13 128 GB</t>
  </si>
  <si>
    <t>IPHONE 13 PRO MAX 128 GB</t>
  </si>
  <si>
    <t>IPHONE 13 PRO MAX 256 GB</t>
  </si>
  <si>
    <t>IPHONE 13 PRO MAX 512 GB</t>
  </si>
  <si>
    <t>IPHONE 14 PRO 128 GB</t>
  </si>
  <si>
    <t>IPHONE 14 PRO 256 GB</t>
  </si>
  <si>
    <t>IPHONE 14 PRO MAX 128 GB</t>
  </si>
  <si>
    <t>IPHONE 14 PRO MAX 256 GB</t>
  </si>
  <si>
    <t>IPHONE 14 PRO MAX 512 GB</t>
  </si>
  <si>
    <t>IPHONE 14 PRO MAX DEEP PURPLE UNLOCK 1 TB ACT HSO</t>
  </si>
  <si>
    <t>IPHONE 15 128 GB</t>
  </si>
  <si>
    <t>IPHONE 15 PLUS 128 GB</t>
  </si>
  <si>
    <t>IPHONE 15 PRO 128 GB</t>
  </si>
  <si>
    <t>IPHONE 15 PRO 512 GB</t>
  </si>
  <si>
    <t>IPHONE 15 PRO MAX 256 GB</t>
  </si>
  <si>
    <t>IPHONE 16 128 GB</t>
  </si>
  <si>
    <t>IPHONE 16 256 GB</t>
  </si>
  <si>
    <t>IPHONE 16 PLUS 128 GB</t>
  </si>
  <si>
    <t>IPHONE 16 PRO 128 GB</t>
  </si>
  <si>
    <t>IPHONE 16 PRO 256 GB</t>
  </si>
  <si>
    <t>IPHONE 16 PRO 512 GB</t>
  </si>
  <si>
    <t>IPHONE 16 PRO MAX 1 TB</t>
  </si>
  <si>
    <t>IPHONE 16 PRO MAX 256 GB</t>
  </si>
  <si>
    <t>IPHONE 16 PRO MAX 512 GB</t>
  </si>
  <si>
    <t>IPHONE 16E 128 GB</t>
  </si>
  <si>
    <t>IPHONE 17 256 GB</t>
  </si>
  <si>
    <t>IPHONE 17 512 GB</t>
  </si>
  <si>
    <t>IPHONE 17 AIR 256 GB</t>
  </si>
  <si>
    <t>IPHONE 17 PRO 1 TB</t>
  </si>
  <si>
    <t>IPHONE 17 PRO 256 GB</t>
  </si>
  <si>
    <t>IPHONE 17 PRO 512 GB</t>
  </si>
  <si>
    <t>IPHONE 17 PRO MAX 1 TB</t>
  </si>
  <si>
    <t>IPHONE 17 PRO MAX 2 TB</t>
  </si>
  <si>
    <t>IPHONE 17 PRO MAX 256 GB</t>
  </si>
  <si>
    <t>IPHONE 17 PRO MAX 512 GB</t>
  </si>
  <si>
    <t>IPHONE 17E BLACK 256 GB</t>
  </si>
  <si>
    <t>IPHONE AIR 1TB</t>
  </si>
  <si>
    <t>IPHONE SE 128 GB</t>
  </si>
  <si>
    <t>JBL CHARGE 6</t>
  </si>
  <si>
    <t>JBL FLIP 7</t>
  </si>
  <si>
    <t>KODAK CAMERA 1987</t>
  </si>
  <si>
    <t>LENOVO IDEA PAD 1</t>
  </si>
  <si>
    <t>LENOVO IDEA PAD 1 CLOUD GREY 16 GB, 256 GB</t>
  </si>
  <si>
    <t>LENOVO THINK VISION E24-40 LCD MONITOR</t>
  </si>
  <si>
    <t>MACBOOK AIR M1 13 8 GB, 512 GB</t>
  </si>
  <si>
    <t>MACBOOK AIR M2 13 16 GB, 256 GB</t>
  </si>
  <si>
    <t>MACBOOK AIR M2 13 8 GB, 256 GB</t>
  </si>
  <si>
    <t>MACBOOK AIR M3 15 24 GB, 512 GB</t>
  </si>
  <si>
    <t>MACBOOK AIR M3 15 8 GB, 256 GB</t>
  </si>
  <si>
    <t>MACBOOK AIR M4 13 16 GB, 256 GB</t>
  </si>
  <si>
    <t>MACBOOK AIR M4 13 16 GB, 512 GB</t>
  </si>
  <si>
    <t>MACBOOK AIR M4 13 24 GB, 512 GB</t>
  </si>
  <si>
    <t>MACBOOK AIR M4 15 16 GB, 256 GB</t>
  </si>
  <si>
    <t>MACBOOK AIR M4 15 16 GB, 512 GB</t>
  </si>
  <si>
    <t>MACBOOK AIR M4 15 24 GB, 1 TB</t>
  </si>
  <si>
    <t>MACBOOK AIR M4 15 24GB, 512 GB</t>
  </si>
  <si>
    <t>MACBOOK AIR M5 13 16 GB, 1 TB</t>
  </si>
  <si>
    <t>MACBOOK AIR M5 13 MIDNIGHT 16 GB, 512 GB UNLOCK BOX</t>
  </si>
  <si>
    <t>MACBOOK AIR M5 15 16 GB, 512 GB</t>
  </si>
  <si>
    <t>MACBOOK AIR M5 15 24 GB, 1 TB</t>
  </si>
  <si>
    <t>MACBOOK NEO 13 8 GB, 256 GB</t>
  </si>
  <si>
    <t>MACBOOK NEO 13 8 GB, 512 GB</t>
  </si>
  <si>
    <t>MACBOOK NEO A18 PRO 13 CITRUS 8 GB, 512 GB UNLOCK BOX</t>
  </si>
  <si>
    <t>MACBOOK PRO M1 16 16 GB, 512 GB</t>
  </si>
  <si>
    <t>MACBOOK PRO M4 14 16 GB, 1 TB</t>
  </si>
  <si>
    <t>MACBOOK PRO M4 14 24 GB, 1 TB</t>
  </si>
  <si>
    <t>MACBOOK PRO M4 MAX 16 36 GB, 1 TB</t>
  </si>
  <si>
    <t>MACBOOK PRO M4 MAX 16 48 GB, 1 TB</t>
  </si>
  <si>
    <t>MACBOOK PRO M4 PRO 14 24 GB, 512 GB</t>
  </si>
  <si>
    <t>MACBOOK PRO M4 PRO 16 24 GB, 512 GB</t>
  </si>
  <si>
    <t>MACBOOK PRO M4 PRO 16 48 GB, 512 GB</t>
  </si>
  <si>
    <t>MACBOOK PRO M5 14 16 GB, 1 TB</t>
  </si>
  <si>
    <t>MACBOOK PRO M5 14 16 GB, 512 GB</t>
  </si>
  <si>
    <t>MACBOOK PRO M5 14 24 GB, 1 TB</t>
  </si>
  <si>
    <t>MACBOOK PRO M5 14 32 GB, 1 TB</t>
  </si>
  <si>
    <t>MACBOOK PRO M5 16 SPACE BLACK 24 GB, 1 TB UNLOCK BOX</t>
  </si>
  <si>
    <t>MACBOOK PRO M5 16 SPACE BLACK 32 GB, 2 TB UNLOCK BOX</t>
  </si>
  <si>
    <t>MACBOOK PRO M5 16 SPACE BLACK 48 GB, 2 TB UNLOCK BOX</t>
  </si>
  <si>
    <t>MACBOOK PRO M5 MAX 16 48 GB, 2 TB</t>
  </si>
  <si>
    <t>META HEADLINER GEN 2</t>
  </si>
  <si>
    <t>META QUEST 3 256 GB</t>
  </si>
  <si>
    <t>META QUEST 3 512 GB</t>
  </si>
  <si>
    <t>META QUEST 3S</t>
  </si>
  <si>
    <t>META QUEST 3S COMPACT CHARGING DOCK</t>
  </si>
  <si>
    <t>META SKYLER</t>
  </si>
  <si>
    <t>META SKYLER GEN 2</t>
  </si>
  <si>
    <t>META VANGUARD</t>
  </si>
  <si>
    <t>META WAYFARER</t>
  </si>
  <si>
    <t>META WAYFARER GEN 2</t>
  </si>
  <si>
    <t>MINELAB MONSTER 1000</t>
  </si>
  <si>
    <t>MINELAB MONSTER 8000</t>
  </si>
  <si>
    <t>MOTOROLA 5G 128 GB</t>
  </si>
  <si>
    <t>MOTOROLA 5G 64 GB</t>
  </si>
  <si>
    <t>MOTOROLLA EDGE 5G 2025</t>
  </si>
  <si>
    <t>MOTOROLLA G (5G)</t>
  </si>
  <si>
    <t>MOTOROLLA G STYLUS 5G</t>
  </si>
  <si>
    <t>NINJA CREAMI</t>
  </si>
  <si>
    <t>NINJA PORTABLE BLENDER</t>
  </si>
  <si>
    <t>NINJA SLUSHI</t>
  </si>
  <si>
    <t>NINTENDO SWITCH 2</t>
  </si>
  <si>
    <t>NINTENDO SWITCH 2 MARIOKART</t>
  </si>
  <si>
    <t>NINTENDO SWITCH 2 PRO CONTROLLER</t>
  </si>
  <si>
    <t>NINTENDO SWITCH JOY-CON 2 (L-R)</t>
  </si>
  <si>
    <t>NINTENDO SWITCH REGULAR</t>
  </si>
  <si>
    <t>NOTEBOOK WITH WIRELESS MOUSE</t>
  </si>
  <si>
    <t>ONN RE-USABLE CAMERA WITH FLASH</t>
  </si>
  <si>
    <t>ONN SINGLE USE CAMERA WITH FLASH</t>
  </si>
  <si>
    <t>PLAYSTATION PORTAL</t>
  </si>
  <si>
    <t>PLAYSTATION VR2</t>
  </si>
  <si>
    <t>POKEMON CARD</t>
  </si>
  <si>
    <t>PRESTO ELECTRIC KETTLE</t>
  </si>
  <si>
    <t>PS5 CD DISCS</t>
  </si>
  <si>
    <t>PS5 DUAL SENSE CONTROLLER</t>
  </si>
  <si>
    <t>PS5 PRO</t>
  </si>
  <si>
    <t>PS5 SLIM DIGITAL</t>
  </si>
  <si>
    <t>PS5 SLIM DISC</t>
  </si>
  <si>
    <t>RAYBAN GLASSES</t>
  </si>
  <si>
    <t>SAMSUNG GALAXY S25 ULTRA 512</t>
  </si>
  <si>
    <t>SKYLINE V2 POUCH 3</t>
  </si>
  <si>
    <t>SONOS ERA 100 SPEAKER BLACK</t>
  </si>
  <si>
    <t>SONY NOISE CANCELLING WIRELESS HEADPHONE</t>
  </si>
  <si>
    <t>STARLINK HP</t>
  </si>
  <si>
    <t>STARLINK MINI</t>
  </si>
  <si>
    <t>STARLINK V4</t>
  </si>
  <si>
    <t>STEAM DECK 256 GB</t>
  </si>
  <si>
    <t>STEAM DECK OLED 1 TB</t>
  </si>
  <si>
    <t>STEAM DECK OLED 512 GB</t>
  </si>
  <si>
    <t>XBOX CONTROLLER</t>
  </si>
  <si>
    <t>XBOX SERIES S</t>
  </si>
  <si>
    <t>XBOX SERIES X</t>
  </si>
  <si>
    <t>LPP AED</t>
  </si>
  <si>
    <t>LPP AUD</t>
  </si>
  <si>
    <t>LPP NZD</t>
  </si>
  <si>
    <t>LPP USD</t>
  </si>
  <si>
    <t>Sr No</t>
  </si>
  <si>
    <t>Wbsite</t>
  </si>
  <si>
    <t>harveynorman.com.au, officeworks.com.au, thegoodguys.com.au, digidirect.com.au, harveynorman.co.nz, noelleeming.co.nz, themall.aucklandairport.co.nz</t>
  </si>
  <si>
    <t>officeworks.com.au, jbhifi.com.au, harveynorman.com.au, thegoodguys.com.au, digidirect.com.au, jbhifi.co.nz, harveynorman.co.nz, noelleeming.co.nz, rubbermonkey.co.nz, themall.aucklandairport.co.nz</t>
  </si>
  <si>
    <t>officeworks.com.au, jbhifi.com.au, harveynorman.com.au, thegoodguys.com.au, bunnings.com.au, digidirect.com.au, jbhifi.co.nz, harveynorman.co.nz, noelleeming.co.nz, rubbermonkey.co.nz, themall.aucklandairport.co.nz</t>
  </si>
  <si>
    <t>officeworks.com.au, jbhifi.com.au, harveynorman.com.au, thegoodguys.com.au, digidirect.com.au, jbhifi.co.nz, harveynorman.co.nz, noelleeming.co.nz, themall.aucklandairport.co.nz</t>
  </si>
  <si>
    <t>jbhifi.com.au, harveynorman.com.au, jbhifi.co.nz, noelleeming.co.nz, themall.aucklandairport.co.nz</t>
  </si>
  <si>
    <t>officeworks.com.au, jbhifi.com.au, jbhifi.co.nz, themall.aucklandairport.co.nz</t>
  </si>
  <si>
    <t>officeworks.com.au, jbhifi.com.au, jbhifi.co.nz, noelleeming.co.nz, themall.aucklandairport.co.nz</t>
  </si>
  <si>
    <t>bunnings.com.au, jbhifi.co.nz, noelleeming.co.nz</t>
  </si>
  <si>
    <t>jbhifi.com.au, harveynorman.com.au, thegoodguys.com.au, jbhifi.co.nz, noelleeming.co.nz</t>
  </si>
  <si>
    <t>jbhifi.com.au, harveynorman.com.au, thegoodguys.com.au, bunnings.com.au, jbhifi.co.nz, harveynorman.co.nz, noelleeming.co.nz, themall.aucklandairport.co.nz</t>
  </si>
  <si>
    <t>jbhifi.com.au, harveynorman.com.au, thegoodguys.com.au, jbhifi.co.nz, harveynorman.co.nz, noelleeming.co.nz</t>
  </si>
  <si>
    <t>digidirect.com.au,harveynorman.co.nz,rubbermonkey.co.nz</t>
  </si>
  <si>
    <t>harveynorman.com.au</t>
  </si>
  <si>
    <t>jbhifi.com.au,officeworks.com.au,harveynorman.com.au,thegoodguys.com.au,jbhifi.co.nz,noelleeming.co.nz,harveynorman.co.nz,rubbermonkey.co.nz,themall.aucklandairport.co.nz</t>
  </si>
  <si>
    <t>jbhifi.com.au,harveynorman.com.au,thegoodguys.com.au,digidirect.com.au,officeworks.com.au,jbhifi.co.nz,noelleeming.co.nz,harveynorman.co.nz,rubbermonkey.co.nz,themall.aucklandairport.co.nz</t>
  </si>
  <si>
    <t>jbhifi.com.au,harveynorman.com.au,digidirect.com.au,jbhifi.co.nz,noelleeming.co.nz,harveynorman.co.nz,rubbermonkey.co.nz,themall.aucklandairport.co.nz</t>
  </si>
  <si>
    <t>jbhifi.com.au,harveynorman.com.au,thegoodguys.com.au,digidirect.com.au,officeworks.com.au,jbhifi.co.nz,noelleeming.co.nz,harveynorman.co.nz,themall.aucklandairport.co.nz</t>
  </si>
  <si>
    <t>jbhifi.com.au,harveynorman.com.au,thegoodguys.com.au,officeworks.com.au,jbhifi.co.nz,noelleeming.co.nz,harveynorman.co.nz,themall.aucklandairport.co.nz</t>
  </si>
  <si>
    <t>jbhifi.com.au,officeworks.com.au,harveynorman.com.au,digidirect.com.au</t>
  </si>
  <si>
    <t>jbhifi.com.au,officeworks.com.au,harveynorman.com.au,thegoodguys.com.au,</t>
  </si>
  <si>
    <t>jbhifi.com.au,officeworks.com.au,harveynorman.com.au,</t>
  </si>
  <si>
    <t>jbhifi.com.au,harveynorman.com.au,officeworks.com.au,thegoodguys.com.au,jbhifi.co.nz,noelleeming.co.nz,harveynorman.co.nz,themall.aucklandairport.co.nz</t>
  </si>
  <si>
    <t>jbhifi.com.au,officeworks.com.au,harveynorman.com.au,thegoodguys.com.au,digidirect.com.au,jbhifi.co.nz,noelleeming.co.nz,harveynorman.co.nz,rubbermonkey.co.nz,themall.aucklandairport.co.nz</t>
  </si>
  <si>
    <t>jbhifi.com.au,officeworks.com.au,harveynorman.com.au,thegoodguys.com.au,digidirect.com.au,jbhifi.co.nz,noelleeming.co.nz,harveynorman.co.nz,themall.aucklandairport.co.nz</t>
  </si>
  <si>
    <t>jbhifi.com.au,officeworks.com.au,harveynorman.com.au,thegoodguys.com.au,jbhifi.co.nz,noelleeming.co.nz,harveynorman.co.nz,themall.aucklandairport.co.nz</t>
  </si>
  <si>
    <t>jbhifi.com.au,officeworks.com.au,harveynorman.com.au,thegoodguys.com.au,digidirect.com.au,noelleeming.co.nz,harveynorman.co.nz,rubbermonkey.co.nz,themall.aucklandairport.co.nz</t>
  </si>
  <si>
    <t>jbhifi.com.au,officeworks.com.au,harveynorman.com.au</t>
  </si>
  <si>
    <t>jbhifi.com.au,officeworks.com.au,harveynorman.com.au,jbhifi.co.nz,harveynorman.co.nz,themall.aucklandairport.co.nz</t>
  </si>
  <si>
    <t>jbhifi.com.au,officeworks.com.au,harveynorman.com.au,thegoodguys.com.au,digidirect.com.au,jbhifi.co.nz,noelleeming.co.nz,harveynorman.co.n,themall.aucklandairport.co.nz</t>
  </si>
  <si>
    <t>bhifi.com.au,harveynorman.com.au,thegoodguys.com.au,jbhifi.co.nz,noelleeming.co.nz,harveynorman.co.nz,</t>
  </si>
  <si>
    <t>jbhifi.com.au,thegoodguys.com.au,jbhifi.co.nz,noelleeming.co.nz,harveynorman.co.nz,themall.aucklandairport.co.nz</t>
  </si>
  <si>
    <t>digidirect.com.au,rubbermonkey.co.nz</t>
  </si>
  <si>
    <t>jbhifi.com.au,harveynorman.com.au,thegoodguys.com.au,jbhifi.co.nz,noelleeming.co.nz,harveynorman.co.nz</t>
  </si>
  <si>
    <t>jbhifi.com.au,officeworks.com.au,harveynorman.com.au,jbhifi.co.nznoelleeming.co.nz</t>
  </si>
  <si>
    <t>jbhifi.co.nz</t>
  </si>
  <si>
    <t>AUD</t>
  </si>
  <si>
    <t>NZD</t>
  </si>
  <si>
    <t>USD</t>
  </si>
  <si>
    <t>Price</t>
  </si>
  <si>
    <t>Convert To AED</t>
  </si>
  <si>
    <t>GST</t>
  </si>
  <si>
    <t>After GST To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</si>
</sst>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AED]\ * #,##0.00_-;\-[$AED]\ * #,##0.00_-;_-[$AED]\ * &quot;-&quot;??_-;_-@_-"/>
    <numFmt numFmtId="165" formatCode="_-[$AUD]\ * #,##0.00_-;\-[$AUD]\ * #,##0.00_-;_-[$AUD]\ * &quot;-&quot;??_-;_-@_-"/>
    <numFmt numFmtId="166" formatCode="_-[$NZD]\ * #,##0.00_-;\-[$NZD]\ * #,##0.00_-;_-[$NZD]\ * &quot;-&quot;??_-;_-@_-"/>
    <numFmt numFmtId="167" formatCode="_-[$USD]\ * #,##0.00_-;\-[$USD]\ * #,##0.00_-;_-[$USD]\ * &quot;-&quot;??_-;_-@_-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2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B81A-ECA5-4475-A67D-33F7EC51ECA1}">
  <dimension ref="A1:G262"/>
  <sheetViews>
    <sheetView tabSelected="1" topLeftCell="A199" workbookViewId="0">
      <selection activeCell="E205" sqref="E205"/>
    </sheetView>
  </sheetViews>
  <sheetFormatPr defaultRowHeight="15" x14ac:dyDescent="0.25"/>
  <cols>
    <col min="2" max="2" width="56.42578125" bestFit="1" customWidth="1"/>
    <col min="3" max="3" width="15.140625" bestFit="1" customWidth="1"/>
    <col min="4" max="4" width="15.42578125" bestFit="1" customWidth="1"/>
    <col min="5" max="5" width="15.140625" bestFit="1" customWidth="1"/>
    <col min="6" max="6" width="15.28515625" bestFit="1" customWidth="1"/>
    <col min="7" max="7" width="205.42578125" bestFit="1" customWidth="1"/>
  </cols>
  <sheetData>
    <row r="1" spans="1:7" ht="18.75" x14ac:dyDescent="0.25">
      <c r="A1" s="1" t="s">
        <v>266</v>
      </c>
      <c r="B1" s="1" t="s">
        <v>0</v>
      </c>
      <c r="C1" s="1" t="s">
        <v>262</v>
      </c>
      <c r="D1" s="1" t="s">
        <v>263</v>
      </c>
      <c r="E1" s="1" t="s">
        <v>264</v>
      </c>
      <c r="F1" s="1" t="s">
        <v>265</v>
      </c>
      <c r="G1" s="12" t="s">
        <v>267</v>
      </c>
    </row>
    <row r="2" spans="1:7" x14ac:dyDescent="0.25">
      <c r="A2" s="2">
        <v>1</v>
      </c>
      <c r="B2" s="2" t="s">
        <v>1</v>
      </c>
      <c r="C2" s="4">
        <v>2082.41</v>
      </c>
      <c r="D2" s="6">
        <f>C2/2.6221</f>
        <v>794.17642347736535</v>
      </c>
      <c r="E2" s="8">
        <f>C2/2.16</f>
        <v>964.07870370370358</v>
      </c>
      <c r="F2" s="10">
        <f>C2/3.6725</f>
        <v>567.0279101429544</v>
      </c>
      <c r="G2" t="s">
        <v>268</v>
      </c>
    </row>
    <row r="3" spans="1:7" x14ac:dyDescent="0.25">
      <c r="A3" s="2">
        <v>2</v>
      </c>
      <c r="B3" s="13" t="s">
        <v>2</v>
      </c>
      <c r="C3" s="14">
        <v>285.60000000000002</v>
      </c>
      <c r="D3" s="15">
        <f t="shared" ref="D3:D66" si="0">C3/2.6221</f>
        <v>108.92033103237863</v>
      </c>
      <c r="E3" s="16">
        <f t="shared" ref="E3:E66" si="1">C3/2.16</f>
        <v>132.22222222222223</v>
      </c>
      <c r="F3" s="17">
        <f t="shared" ref="F3:F66" si="2">C3/3.6725</f>
        <v>77.767188563648745</v>
      </c>
      <c r="G3" s="18" t="s">
        <v>269</v>
      </c>
    </row>
    <row r="4" spans="1:7" x14ac:dyDescent="0.25">
      <c r="A4" s="2">
        <v>3</v>
      </c>
      <c r="B4" s="13" t="s">
        <v>3</v>
      </c>
      <c r="C4" s="14">
        <v>178.5</v>
      </c>
      <c r="D4" s="15">
        <f t="shared" si="0"/>
        <v>68.075206895236633</v>
      </c>
      <c r="E4" s="16">
        <f t="shared" si="1"/>
        <v>82.638888888888886</v>
      </c>
      <c r="F4" s="17">
        <f t="shared" si="2"/>
        <v>48.604492852280465</v>
      </c>
      <c r="G4" s="18" t="s">
        <v>269</v>
      </c>
    </row>
    <row r="5" spans="1:7" x14ac:dyDescent="0.25">
      <c r="A5" s="2">
        <v>4</v>
      </c>
      <c r="B5" s="13" t="s">
        <v>4</v>
      </c>
      <c r="C5" s="14">
        <v>1481.55</v>
      </c>
      <c r="D5" s="15">
        <f t="shared" si="0"/>
        <v>565.02421723046405</v>
      </c>
      <c r="E5" s="16">
        <f t="shared" si="1"/>
        <v>685.90277777777771</v>
      </c>
      <c r="F5" s="17">
        <f t="shared" si="2"/>
        <v>403.41729067392782</v>
      </c>
      <c r="G5" s="18" t="s">
        <v>269</v>
      </c>
    </row>
    <row r="6" spans="1:7" x14ac:dyDescent="0.25">
      <c r="A6" s="2">
        <v>5</v>
      </c>
      <c r="B6" s="13" t="s">
        <v>5</v>
      </c>
      <c r="C6" s="14">
        <v>1481.55</v>
      </c>
      <c r="D6" s="15">
        <f t="shared" si="0"/>
        <v>565.02421723046405</v>
      </c>
      <c r="E6" s="16">
        <f t="shared" si="1"/>
        <v>685.90277777777771</v>
      </c>
      <c r="F6" s="17">
        <f t="shared" si="2"/>
        <v>403.41729067392782</v>
      </c>
      <c r="G6" s="18" t="s">
        <v>269</v>
      </c>
    </row>
    <row r="7" spans="1:7" x14ac:dyDescent="0.25">
      <c r="A7" s="2">
        <v>6</v>
      </c>
      <c r="B7" s="13" t="s">
        <v>6</v>
      </c>
      <c r="C7" s="14">
        <v>714</v>
      </c>
      <c r="D7" s="15">
        <f t="shared" si="0"/>
        <v>272.30082758094653</v>
      </c>
      <c r="E7" s="16">
        <f t="shared" si="1"/>
        <v>330.55555555555554</v>
      </c>
      <c r="F7" s="17">
        <f t="shared" si="2"/>
        <v>194.41797140912186</v>
      </c>
      <c r="G7" s="18" t="s">
        <v>269</v>
      </c>
    </row>
    <row r="8" spans="1:7" x14ac:dyDescent="0.25">
      <c r="A8" s="2">
        <v>7</v>
      </c>
      <c r="B8" s="13" t="s">
        <v>7</v>
      </c>
      <c r="C8" s="14">
        <v>714</v>
      </c>
      <c r="D8" s="15">
        <f t="shared" si="0"/>
        <v>272.30082758094653</v>
      </c>
      <c r="E8" s="16">
        <f t="shared" si="1"/>
        <v>330.55555555555554</v>
      </c>
      <c r="F8" s="17">
        <f t="shared" si="2"/>
        <v>194.41797140912186</v>
      </c>
      <c r="G8" s="18" t="s">
        <v>269</v>
      </c>
    </row>
    <row r="9" spans="1:7" x14ac:dyDescent="0.25">
      <c r="A9" s="2">
        <v>8</v>
      </c>
      <c r="B9" s="13" t="s">
        <v>8</v>
      </c>
      <c r="C9" s="14">
        <v>412.85</v>
      </c>
      <c r="D9" s="15">
        <f t="shared" si="0"/>
        <v>157.45013538766636</v>
      </c>
      <c r="E9" s="16">
        <f t="shared" si="1"/>
        <v>191.13425925925927</v>
      </c>
      <c r="F9" s="17">
        <f t="shared" si="2"/>
        <v>112.41660993873384</v>
      </c>
      <c r="G9" s="18" t="s">
        <v>269</v>
      </c>
    </row>
    <row r="10" spans="1:7" x14ac:dyDescent="0.25">
      <c r="A10" s="3">
        <v>9</v>
      </c>
      <c r="B10" s="3" t="s">
        <v>9</v>
      </c>
      <c r="C10" s="5"/>
      <c r="D10" s="7">
        <f t="shared" si="0"/>
        <v>0</v>
      </c>
      <c r="E10" s="9">
        <f t="shared" si="1"/>
        <v>0</v>
      </c>
      <c r="F10" s="11">
        <f t="shared" si="2"/>
        <v>0</v>
      </c>
      <c r="G10" s="18" t="s">
        <v>269</v>
      </c>
    </row>
    <row r="11" spans="1:7" x14ac:dyDescent="0.25">
      <c r="A11" s="2">
        <v>10</v>
      </c>
      <c r="B11" s="13" t="s">
        <v>10</v>
      </c>
      <c r="C11" s="14">
        <v>180</v>
      </c>
      <c r="D11" s="15">
        <f t="shared" si="0"/>
        <v>68.647267457381488</v>
      </c>
      <c r="E11" s="16">
        <f t="shared" si="1"/>
        <v>83.333333333333329</v>
      </c>
      <c r="F11" s="17">
        <f t="shared" si="2"/>
        <v>49.012933968686184</v>
      </c>
      <c r="G11" s="18" t="s">
        <v>270</v>
      </c>
    </row>
    <row r="12" spans="1:7" x14ac:dyDescent="0.25">
      <c r="A12" s="2">
        <v>11</v>
      </c>
      <c r="B12" s="13" t="s">
        <v>11</v>
      </c>
      <c r="C12" s="14">
        <v>464.1</v>
      </c>
      <c r="D12" s="15">
        <f t="shared" si="0"/>
        <v>176.99553792761526</v>
      </c>
      <c r="E12" s="16">
        <f t="shared" si="1"/>
        <v>214.86111111111111</v>
      </c>
      <c r="F12" s="17">
        <f t="shared" si="2"/>
        <v>126.37168141592922</v>
      </c>
      <c r="G12" s="18" t="s">
        <v>271</v>
      </c>
    </row>
    <row r="13" spans="1:7" x14ac:dyDescent="0.25">
      <c r="A13" s="2">
        <v>12</v>
      </c>
      <c r="B13" s="13" t="s">
        <v>12</v>
      </c>
      <c r="C13" s="14">
        <v>465.4</v>
      </c>
      <c r="D13" s="15">
        <f t="shared" si="0"/>
        <v>177.49132374814079</v>
      </c>
      <c r="E13" s="16">
        <f t="shared" si="1"/>
        <v>215.46296296296293</v>
      </c>
      <c r="F13" s="17">
        <f t="shared" si="2"/>
        <v>126.72566371681415</v>
      </c>
      <c r="G13" s="18" t="s">
        <v>271</v>
      </c>
    </row>
    <row r="14" spans="1:7" x14ac:dyDescent="0.25">
      <c r="A14" s="2">
        <v>13</v>
      </c>
      <c r="B14" s="13" t="s">
        <v>13</v>
      </c>
      <c r="C14" s="14">
        <v>749.7</v>
      </c>
      <c r="D14" s="15">
        <f t="shared" si="0"/>
        <v>285.91586895999393</v>
      </c>
      <c r="E14" s="16">
        <f t="shared" si="1"/>
        <v>347.08333333333331</v>
      </c>
      <c r="F14" s="17">
        <f t="shared" si="2"/>
        <v>204.13886997957798</v>
      </c>
      <c r="G14" s="18" t="s">
        <v>271</v>
      </c>
    </row>
    <row r="15" spans="1:7" x14ac:dyDescent="0.25">
      <c r="A15" s="2">
        <v>14</v>
      </c>
      <c r="B15" s="13" t="s">
        <v>14</v>
      </c>
      <c r="C15" s="14">
        <v>803.25</v>
      </c>
      <c r="D15" s="15">
        <f t="shared" si="0"/>
        <v>306.33843102856486</v>
      </c>
      <c r="E15" s="16">
        <f t="shared" si="1"/>
        <v>371.875</v>
      </c>
      <c r="F15" s="17">
        <f t="shared" si="2"/>
        <v>218.72021783526208</v>
      </c>
      <c r="G15" s="18" t="s">
        <v>271</v>
      </c>
    </row>
    <row r="16" spans="1:7" x14ac:dyDescent="0.25">
      <c r="A16" s="2">
        <v>15</v>
      </c>
      <c r="B16" s="13" t="s">
        <v>15</v>
      </c>
      <c r="C16" s="14">
        <v>963.9</v>
      </c>
      <c r="D16" s="15">
        <f t="shared" si="0"/>
        <v>367.60611723427786</v>
      </c>
      <c r="E16" s="16">
        <f t="shared" si="1"/>
        <v>446.24999999999994</v>
      </c>
      <c r="F16" s="17">
        <f t="shared" si="2"/>
        <v>262.46426140231449</v>
      </c>
      <c r="G16" s="18" t="s">
        <v>271</v>
      </c>
    </row>
    <row r="17" spans="1:7" x14ac:dyDescent="0.25">
      <c r="A17" s="2">
        <v>16</v>
      </c>
      <c r="B17" s="13" t="s">
        <v>16</v>
      </c>
      <c r="C17" s="14">
        <v>1017.45</v>
      </c>
      <c r="D17" s="15">
        <f t="shared" si="0"/>
        <v>388.02867930284884</v>
      </c>
      <c r="E17" s="16">
        <f t="shared" si="1"/>
        <v>471.04166666666663</v>
      </c>
      <c r="F17" s="17">
        <f t="shared" si="2"/>
        <v>277.04560925799865</v>
      </c>
      <c r="G17" s="18" t="s">
        <v>271</v>
      </c>
    </row>
    <row r="18" spans="1:7" x14ac:dyDescent="0.25">
      <c r="A18" s="2">
        <v>17</v>
      </c>
      <c r="B18" s="13" t="s">
        <v>17</v>
      </c>
      <c r="C18" s="14">
        <v>1124.55</v>
      </c>
      <c r="D18" s="15">
        <f t="shared" si="0"/>
        <v>428.87380343999081</v>
      </c>
      <c r="E18" s="16">
        <f t="shared" si="1"/>
        <v>520.625</v>
      </c>
      <c r="F18" s="17">
        <f t="shared" si="2"/>
        <v>306.20830496936691</v>
      </c>
      <c r="G18" s="18" t="s">
        <v>271</v>
      </c>
    </row>
    <row r="19" spans="1:7" x14ac:dyDescent="0.25">
      <c r="A19" s="2">
        <v>18</v>
      </c>
      <c r="B19" s="2" t="s">
        <v>18</v>
      </c>
      <c r="C19" s="4">
        <v>999.6</v>
      </c>
      <c r="D19" s="6">
        <f t="shared" si="0"/>
        <v>381.2211586133252</v>
      </c>
      <c r="E19" s="8">
        <f t="shared" si="1"/>
        <v>462.77777777777777</v>
      </c>
      <c r="F19" s="10">
        <f t="shared" si="2"/>
        <v>272.18515997277063</v>
      </c>
      <c r="G19" t="s">
        <v>271</v>
      </c>
    </row>
    <row r="20" spans="1:7" x14ac:dyDescent="0.25">
      <c r="A20" s="3">
        <v>19</v>
      </c>
      <c r="B20" s="3" t="s">
        <v>19</v>
      </c>
      <c r="C20" s="5"/>
      <c r="D20" s="7">
        <f t="shared" si="0"/>
        <v>0</v>
      </c>
      <c r="E20" s="9">
        <f t="shared" si="1"/>
        <v>0</v>
      </c>
      <c r="F20" s="11">
        <f t="shared" si="2"/>
        <v>0</v>
      </c>
      <c r="G20" s="18" t="s">
        <v>271</v>
      </c>
    </row>
    <row r="21" spans="1:7" x14ac:dyDescent="0.25">
      <c r="A21" s="2">
        <v>20</v>
      </c>
      <c r="B21" s="13" t="s">
        <v>20</v>
      </c>
      <c r="C21" s="14">
        <v>2374.0500000000002</v>
      </c>
      <c r="D21" s="15">
        <f t="shared" si="0"/>
        <v>905.4002517066474</v>
      </c>
      <c r="E21" s="16">
        <f t="shared" si="1"/>
        <v>1099.0972222222222</v>
      </c>
      <c r="F21" s="17">
        <f t="shared" si="2"/>
        <v>646.43975493533026</v>
      </c>
      <c r="G21" s="18" t="s">
        <v>271</v>
      </c>
    </row>
    <row r="22" spans="1:7" x14ac:dyDescent="0.25">
      <c r="A22" s="2">
        <v>21</v>
      </c>
      <c r="B22" s="13" t="s">
        <v>21</v>
      </c>
      <c r="C22" s="14">
        <v>103.21</v>
      </c>
      <c r="D22" s="15">
        <f t="shared" si="0"/>
        <v>39.361580412646347</v>
      </c>
      <c r="E22" s="16">
        <f t="shared" si="1"/>
        <v>47.782407407407405</v>
      </c>
      <c r="F22" s="17">
        <f t="shared" si="2"/>
        <v>28.103471749489447</v>
      </c>
      <c r="G22" s="18" t="s">
        <v>272</v>
      </c>
    </row>
    <row r="23" spans="1:7" x14ac:dyDescent="0.25">
      <c r="A23" s="2">
        <v>22</v>
      </c>
      <c r="B23" s="13" t="s">
        <v>22</v>
      </c>
      <c r="C23" s="14">
        <v>269.5</v>
      </c>
      <c r="D23" s="15">
        <f t="shared" si="0"/>
        <v>102.78021433202395</v>
      </c>
      <c r="E23" s="16">
        <f t="shared" si="1"/>
        <v>124.7685185185185</v>
      </c>
      <c r="F23" s="17">
        <f t="shared" si="2"/>
        <v>73.383253914227367</v>
      </c>
      <c r="G23" s="18" t="s">
        <v>273</v>
      </c>
    </row>
    <row r="24" spans="1:7" x14ac:dyDescent="0.25">
      <c r="A24" s="2">
        <v>23</v>
      </c>
      <c r="B24" s="13" t="s">
        <v>23</v>
      </c>
      <c r="C24" s="14">
        <v>503.5</v>
      </c>
      <c r="D24" s="15">
        <f t="shared" si="0"/>
        <v>192.02166202661988</v>
      </c>
      <c r="E24" s="16">
        <f t="shared" si="1"/>
        <v>233.10185185185185</v>
      </c>
      <c r="F24" s="17">
        <f t="shared" si="2"/>
        <v>137.1000680735194</v>
      </c>
      <c r="G24" s="18" t="s">
        <v>274</v>
      </c>
    </row>
    <row r="25" spans="1:7" x14ac:dyDescent="0.25">
      <c r="A25" s="3">
        <v>24</v>
      </c>
      <c r="B25" s="3" t="s">
        <v>24</v>
      </c>
      <c r="C25" s="5"/>
      <c r="D25" s="7">
        <f t="shared" si="0"/>
        <v>0</v>
      </c>
      <c r="E25" s="9">
        <f t="shared" si="1"/>
        <v>0</v>
      </c>
      <c r="F25" s="11">
        <f t="shared" si="2"/>
        <v>0</v>
      </c>
      <c r="G25" s="18" t="s">
        <v>275</v>
      </c>
    </row>
    <row r="26" spans="1:7" x14ac:dyDescent="0.25">
      <c r="A26" s="2">
        <v>25</v>
      </c>
      <c r="B26" s="13" t="s">
        <v>25</v>
      </c>
      <c r="C26" s="14">
        <v>629</v>
      </c>
      <c r="D26" s="15">
        <f t="shared" si="0"/>
        <v>239.88406239273863</v>
      </c>
      <c r="E26" s="16">
        <f t="shared" si="1"/>
        <v>291.2037037037037</v>
      </c>
      <c r="F26" s="17">
        <f t="shared" si="2"/>
        <v>171.27297481279783</v>
      </c>
      <c r="G26" s="18" t="s">
        <v>276</v>
      </c>
    </row>
    <row r="27" spans="1:7" x14ac:dyDescent="0.25">
      <c r="A27" s="2">
        <v>26</v>
      </c>
      <c r="B27" s="13" t="s">
        <v>26</v>
      </c>
      <c r="C27" s="14">
        <v>306</v>
      </c>
      <c r="D27" s="15">
        <f t="shared" si="0"/>
        <v>116.70035467754853</v>
      </c>
      <c r="E27" s="16">
        <f t="shared" si="1"/>
        <v>141.66666666666666</v>
      </c>
      <c r="F27" s="17">
        <f t="shared" si="2"/>
        <v>83.32198774676651</v>
      </c>
      <c r="G27" s="18" t="s">
        <v>278</v>
      </c>
    </row>
    <row r="28" spans="1:7" x14ac:dyDescent="0.25">
      <c r="A28" s="2">
        <v>27</v>
      </c>
      <c r="B28" s="13" t="s">
        <v>27</v>
      </c>
      <c r="C28" s="14">
        <v>524.5</v>
      </c>
      <c r="D28" s="15">
        <f t="shared" si="0"/>
        <v>200.03050989664771</v>
      </c>
      <c r="E28" s="16">
        <f t="shared" si="1"/>
        <v>242.82407407407405</v>
      </c>
      <c r="F28" s="17">
        <f t="shared" si="2"/>
        <v>142.81824370319947</v>
      </c>
      <c r="G28" s="18" t="s">
        <v>277</v>
      </c>
    </row>
    <row r="29" spans="1:7" x14ac:dyDescent="0.25">
      <c r="A29" s="2">
        <v>28</v>
      </c>
      <c r="B29" s="13" t="s">
        <v>28</v>
      </c>
      <c r="C29" s="14">
        <v>236.02</v>
      </c>
      <c r="D29" s="15">
        <f t="shared" si="0"/>
        <v>90.011822584950991</v>
      </c>
      <c r="E29" s="16">
        <f t="shared" si="1"/>
        <v>109.26851851851852</v>
      </c>
      <c r="F29" s="17">
        <f t="shared" si="2"/>
        <v>64.26684819605174</v>
      </c>
      <c r="G29" s="18" t="s">
        <v>277</v>
      </c>
    </row>
    <row r="30" spans="1:7" x14ac:dyDescent="0.25">
      <c r="A30" s="2">
        <v>29</v>
      </c>
      <c r="B30" s="13" t="s">
        <v>29</v>
      </c>
      <c r="C30" s="14">
        <v>344.29</v>
      </c>
      <c r="D30" s="15">
        <f t="shared" si="0"/>
        <v>131.30315396056596</v>
      </c>
      <c r="E30" s="16">
        <f t="shared" si="1"/>
        <v>159.3935185185185</v>
      </c>
      <c r="F30" s="17">
        <f t="shared" si="2"/>
        <v>93.748127978216488</v>
      </c>
      <c r="G30" s="18" t="s">
        <v>277</v>
      </c>
    </row>
    <row r="31" spans="1:7" x14ac:dyDescent="0.25">
      <c r="A31" s="2">
        <v>30</v>
      </c>
      <c r="B31" s="13" t="s">
        <v>30</v>
      </c>
      <c r="C31" s="14">
        <v>1056.71</v>
      </c>
      <c r="D31" s="15">
        <f t="shared" si="0"/>
        <v>403.00141108271998</v>
      </c>
      <c r="E31" s="16">
        <f t="shared" si="1"/>
        <v>489.21759259259255</v>
      </c>
      <c r="F31" s="17">
        <f t="shared" si="2"/>
        <v>287.7358747447243</v>
      </c>
      <c r="G31" s="18" t="s">
        <v>277</v>
      </c>
    </row>
    <row r="32" spans="1:7" x14ac:dyDescent="0.25">
      <c r="A32" s="2">
        <v>31</v>
      </c>
      <c r="B32" s="13" t="s">
        <v>31</v>
      </c>
      <c r="C32" s="14">
        <v>322.64</v>
      </c>
      <c r="D32" s="15">
        <f t="shared" si="0"/>
        <v>123.04641318027534</v>
      </c>
      <c r="E32" s="16">
        <f t="shared" si="1"/>
        <v>149.37037037037035</v>
      </c>
      <c r="F32" s="17">
        <f t="shared" si="2"/>
        <v>87.852961198093936</v>
      </c>
      <c r="G32" s="18" t="s">
        <v>277</v>
      </c>
    </row>
    <row r="33" spans="1:7" x14ac:dyDescent="0.25">
      <c r="A33" s="2">
        <v>32</v>
      </c>
      <c r="B33" s="13" t="s">
        <v>32</v>
      </c>
      <c r="C33" s="14">
        <v>409.26</v>
      </c>
      <c r="D33" s="15">
        <f t="shared" si="0"/>
        <v>156.0810037755997</v>
      </c>
      <c r="E33" s="16">
        <f t="shared" si="1"/>
        <v>189.4722222222222</v>
      </c>
      <c r="F33" s="17">
        <f t="shared" si="2"/>
        <v>111.43907420013615</v>
      </c>
      <c r="G33" s="18" t="s">
        <v>277</v>
      </c>
    </row>
    <row r="34" spans="1:7" x14ac:dyDescent="0.25">
      <c r="A34" s="2">
        <v>33</v>
      </c>
      <c r="B34" s="13" t="s">
        <v>33</v>
      </c>
      <c r="C34" s="14">
        <v>433.08</v>
      </c>
      <c r="D34" s="15">
        <f t="shared" si="0"/>
        <v>165.16532550245984</v>
      </c>
      <c r="E34" s="16">
        <f t="shared" si="1"/>
        <v>200.49999999999997</v>
      </c>
      <c r="F34" s="17">
        <f t="shared" si="2"/>
        <v>117.92511912865895</v>
      </c>
      <c r="G34" s="18" t="s">
        <v>277</v>
      </c>
    </row>
    <row r="35" spans="1:7" x14ac:dyDescent="0.25">
      <c r="A35" s="2">
        <v>34</v>
      </c>
      <c r="B35" s="13" t="s">
        <v>34</v>
      </c>
      <c r="C35" s="14">
        <v>3201.35</v>
      </c>
      <c r="D35" s="15">
        <f t="shared" si="0"/>
        <v>1220.9107204149345</v>
      </c>
      <c r="E35" s="16">
        <f t="shared" si="1"/>
        <v>1482.1064814814813</v>
      </c>
      <c r="F35" s="17">
        <f t="shared" si="2"/>
        <v>871.70864533696397</v>
      </c>
      <c r="G35" s="18" t="s">
        <v>279</v>
      </c>
    </row>
    <row r="36" spans="1:7" x14ac:dyDescent="0.25">
      <c r="A36" s="2">
        <v>35</v>
      </c>
      <c r="B36" s="13" t="s">
        <v>35</v>
      </c>
      <c r="C36" s="14">
        <v>1314.3</v>
      </c>
      <c r="D36" s="15">
        <f t="shared" si="0"/>
        <v>501.2394645513138</v>
      </c>
      <c r="E36" s="16">
        <f t="shared" si="1"/>
        <v>608.47222222222217</v>
      </c>
      <c r="F36" s="17">
        <f t="shared" si="2"/>
        <v>357.87610619469024</v>
      </c>
      <c r="G36" s="18" t="s">
        <v>280</v>
      </c>
    </row>
    <row r="37" spans="1:7" x14ac:dyDescent="0.25">
      <c r="A37" s="2">
        <v>36</v>
      </c>
      <c r="B37" s="13" t="s">
        <v>36</v>
      </c>
      <c r="C37" s="14">
        <v>1825.35</v>
      </c>
      <c r="D37" s="15">
        <f t="shared" si="0"/>
        <v>696.14049807406275</v>
      </c>
      <c r="E37" s="16">
        <f t="shared" si="1"/>
        <v>845.06944444444434</v>
      </c>
      <c r="F37" s="17">
        <f t="shared" si="2"/>
        <v>497.03199455411846</v>
      </c>
      <c r="G37" s="18" t="s">
        <v>279</v>
      </c>
    </row>
    <row r="38" spans="1:7" x14ac:dyDescent="0.25">
      <c r="A38" s="2">
        <v>37</v>
      </c>
      <c r="B38" s="2" t="s">
        <v>37</v>
      </c>
      <c r="C38" s="4">
        <v>1797.5</v>
      </c>
      <c r="D38" s="6">
        <f t="shared" si="0"/>
        <v>685.5192403035735</v>
      </c>
      <c r="E38" s="8">
        <f t="shared" si="1"/>
        <v>832.17592592592587</v>
      </c>
      <c r="F38" s="10">
        <f t="shared" si="2"/>
        <v>489.44860449285227</v>
      </c>
    </row>
    <row r="39" spans="1:7" x14ac:dyDescent="0.25">
      <c r="A39" s="3">
        <v>38</v>
      </c>
      <c r="B39" s="3" t="s">
        <v>38</v>
      </c>
      <c r="C39" s="5">
        <v>0</v>
      </c>
      <c r="D39" s="7">
        <f t="shared" si="0"/>
        <v>0</v>
      </c>
      <c r="E39" s="9">
        <f t="shared" si="1"/>
        <v>0</v>
      </c>
      <c r="F39" s="11">
        <f t="shared" si="2"/>
        <v>0</v>
      </c>
    </row>
    <row r="40" spans="1:7" x14ac:dyDescent="0.25">
      <c r="A40" s="2">
        <v>39</v>
      </c>
      <c r="B40" s="2" t="s">
        <v>39</v>
      </c>
      <c r="C40" s="4">
        <v>1611</v>
      </c>
      <c r="D40" s="6">
        <f t="shared" si="0"/>
        <v>614.39304374356425</v>
      </c>
      <c r="E40" s="8">
        <f t="shared" si="1"/>
        <v>745.83333333333326</v>
      </c>
      <c r="F40" s="10">
        <f t="shared" si="2"/>
        <v>438.66575901974136</v>
      </c>
    </row>
    <row r="41" spans="1:7" x14ac:dyDescent="0.25">
      <c r="A41" s="2">
        <v>40</v>
      </c>
      <c r="B41" s="13" t="s">
        <v>40</v>
      </c>
      <c r="C41" s="14">
        <v>1338.75</v>
      </c>
      <c r="D41" s="15">
        <f t="shared" si="0"/>
        <v>510.5640517142748</v>
      </c>
      <c r="E41" s="16">
        <f t="shared" si="1"/>
        <v>619.79166666666663</v>
      </c>
      <c r="F41" s="17">
        <f t="shared" si="2"/>
        <v>364.53369639210348</v>
      </c>
      <c r="G41" s="18" t="s">
        <v>281</v>
      </c>
    </row>
    <row r="42" spans="1:7" x14ac:dyDescent="0.25">
      <c r="A42" s="2">
        <v>41</v>
      </c>
      <c r="B42" s="13" t="s">
        <v>41</v>
      </c>
      <c r="C42" s="14">
        <v>10527.57</v>
      </c>
      <c r="D42" s="15">
        <f t="shared" si="0"/>
        <v>4014.9384081461421</v>
      </c>
      <c r="E42" s="16">
        <f t="shared" si="1"/>
        <v>4873.8749999999991</v>
      </c>
      <c r="F42" s="17">
        <f t="shared" si="2"/>
        <v>2866.5949625595645</v>
      </c>
      <c r="G42" s="18" t="s">
        <v>282</v>
      </c>
    </row>
    <row r="43" spans="1:7" x14ac:dyDescent="0.25">
      <c r="A43" s="2">
        <v>42</v>
      </c>
      <c r="B43" s="13" t="s">
        <v>42</v>
      </c>
      <c r="C43" s="14">
        <v>8047.74</v>
      </c>
      <c r="D43" s="15">
        <f t="shared" si="0"/>
        <v>3069.1964455970406</v>
      </c>
      <c r="E43" s="16">
        <f t="shared" si="1"/>
        <v>3725.8055555555552</v>
      </c>
      <c r="F43" s="17">
        <f t="shared" si="2"/>
        <v>2191.3519400953028</v>
      </c>
      <c r="G43" s="18" t="s">
        <v>282</v>
      </c>
    </row>
    <row r="44" spans="1:7" x14ac:dyDescent="0.25">
      <c r="A44" s="2">
        <v>43</v>
      </c>
      <c r="B44" s="13" t="s">
        <v>43</v>
      </c>
      <c r="C44" s="14">
        <v>6271.81</v>
      </c>
      <c r="D44" s="15">
        <f t="shared" si="0"/>
        <v>2391.9034361771101</v>
      </c>
      <c r="E44" s="16">
        <f t="shared" si="1"/>
        <v>2903.6157407407409</v>
      </c>
      <c r="F44" s="17">
        <f t="shared" si="2"/>
        <v>1707.7767188563651</v>
      </c>
      <c r="G44" s="18" t="s">
        <v>282</v>
      </c>
    </row>
    <row r="45" spans="1:7" x14ac:dyDescent="0.25">
      <c r="A45" s="2">
        <v>44</v>
      </c>
      <c r="B45" s="13" t="s">
        <v>44</v>
      </c>
      <c r="C45" s="14">
        <v>1008</v>
      </c>
      <c r="D45" s="15">
        <f t="shared" si="0"/>
        <v>384.42469776133635</v>
      </c>
      <c r="E45" s="16">
        <f t="shared" si="1"/>
        <v>466.66666666666663</v>
      </c>
      <c r="F45" s="17">
        <f t="shared" si="2"/>
        <v>274.47243022464261</v>
      </c>
      <c r="G45" s="18" t="s">
        <v>282</v>
      </c>
    </row>
    <row r="46" spans="1:7" x14ac:dyDescent="0.25">
      <c r="A46" s="2">
        <v>45</v>
      </c>
      <c r="B46" s="13" t="s">
        <v>45</v>
      </c>
      <c r="C46" s="14">
        <v>253</v>
      </c>
      <c r="D46" s="15">
        <f t="shared" si="0"/>
        <v>96.487548148430648</v>
      </c>
      <c r="E46" s="16">
        <f t="shared" si="1"/>
        <v>117.12962962962962</v>
      </c>
      <c r="F46" s="17">
        <f t="shared" si="2"/>
        <v>68.890401633764469</v>
      </c>
      <c r="G46" s="18" t="s">
        <v>283</v>
      </c>
    </row>
    <row r="47" spans="1:7" x14ac:dyDescent="0.25">
      <c r="A47" s="2">
        <v>46</v>
      </c>
      <c r="B47" s="13" t="s">
        <v>46</v>
      </c>
      <c r="C47" s="14">
        <v>2741.46</v>
      </c>
      <c r="D47" s="15">
        <f t="shared" si="0"/>
        <v>1045.5207657984058</v>
      </c>
      <c r="E47" s="16">
        <f t="shared" si="1"/>
        <v>1269.1944444444443</v>
      </c>
      <c r="F47" s="17">
        <f t="shared" si="2"/>
        <v>746.48332198774676</v>
      </c>
      <c r="G47" s="18" t="s">
        <v>282</v>
      </c>
    </row>
    <row r="48" spans="1:7" x14ac:dyDescent="0.25">
      <c r="A48" s="2">
        <v>47</v>
      </c>
      <c r="B48" s="13" t="s">
        <v>47</v>
      </c>
      <c r="C48" s="14">
        <v>3003.7</v>
      </c>
      <c r="D48" s="15">
        <f t="shared" si="0"/>
        <v>1145.5322070096486</v>
      </c>
      <c r="E48" s="16">
        <f t="shared" si="1"/>
        <v>1390.6018518518517</v>
      </c>
      <c r="F48" s="17">
        <f t="shared" si="2"/>
        <v>817.88972089857043</v>
      </c>
      <c r="G48" s="18" t="s">
        <v>282</v>
      </c>
    </row>
    <row r="49" spans="1:7" x14ac:dyDescent="0.25">
      <c r="A49" s="2">
        <v>48</v>
      </c>
      <c r="B49" s="13" t="s">
        <v>48</v>
      </c>
      <c r="C49" s="14">
        <v>2393.1999999999998</v>
      </c>
      <c r="D49" s="15">
        <f t="shared" si="0"/>
        <v>912.70355821669648</v>
      </c>
      <c r="E49" s="16">
        <f t="shared" si="1"/>
        <v>1107.9629629629628</v>
      </c>
      <c r="F49" s="17">
        <f t="shared" si="2"/>
        <v>651.65418652144308</v>
      </c>
      <c r="G49" s="18" t="s">
        <v>282</v>
      </c>
    </row>
    <row r="50" spans="1:7" x14ac:dyDescent="0.25">
      <c r="A50" s="2">
        <v>49</v>
      </c>
      <c r="B50" s="13" t="s">
        <v>49</v>
      </c>
      <c r="C50" s="14">
        <v>1323.97</v>
      </c>
      <c r="D50" s="15">
        <f t="shared" si="0"/>
        <v>504.92734830860758</v>
      </c>
      <c r="E50" s="16">
        <f t="shared" si="1"/>
        <v>612.94907407407402</v>
      </c>
      <c r="F50" s="17">
        <f t="shared" si="2"/>
        <v>360.50918992511913</v>
      </c>
      <c r="G50" s="18" t="s">
        <v>282</v>
      </c>
    </row>
    <row r="51" spans="1:7" x14ac:dyDescent="0.25">
      <c r="A51" s="2">
        <v>50</v>
      </c>
      <c r="B51" s="13" t="s">
        <v>50</v>
      </c>
      <c r="C51" s="14">
        <v>3275.24</v>
      </c>
      <c r="D51" s="15">
        <f t="shared" si="0"/>
        <v>1249.0904237061895</v>
      </c>
      <c r="E51" s="16">
        <f t="shared" si="1"/>
        <v>1516.3148148148146</v>
      </c>
      <c r="F51" s="17">
        <f t="shared" si="2"/>
        <v>891.82845473110956</v>
      </c>
      <c r="G51" s="18" t="s">
        <v>282</v>
      </c>
    </row>
    <row r="52" spans="1:7" x14ac:dyDescent="0.25">
      <c r="A52" s="2">
        <v>51</v>
      </c>
      <c r="B52" s="13" t="s">
        <v>51</v>
      </c>
      <c r="C52" s="14">
        <v>1376.27</v>
      </c>
      <c r="D52" s="15">
        <f t="shared" si="0"/>
        <v>524.87319324205782</v>
      </c>
      <c r="E52" s="16">
        <f t="shared" si="1"/>
        <v>637.16203703703695</v>
      </c>
      <c r="F52" s="17">
        <f t="shared" si="2"/>
        <v>374.7501701837985</v>
      </c>
      <c r="G52" s="18" t="s">
        <v>282</v>
      </c>
    </row>
    <row r="53" spans="1:7" x14ac:dyDescent="0.25">
      <c r="A53" s="3">
        <v>52</v>
      </c>
      <c r="B53" s="3" t="s">
        <v>52</v>
      </c>
      <c r="C53" s="5">
        <v>0</v>
      </c>
      <c r="D53" s="7">
        <f t="shared" si="0"/>
        <v>0</v>
      </c>
      <c r="E53" s="9">
        <f t="shared" si="1"/>
        <v>0</v>
      </c>
      <c r="F53" s="11">
        <f t="shared" si="2"/>
        <v>0</v>
      </c>
      <c r="G53" s="18" t="s">
        <v>282</v>
      </c>
    </row>
    <row r="54" spans="1:7" x14ac:dyDescent="0.25">
      <c r="A54" s="2">
        <v>53</v>
      </c>
      <c r="B54" s="13" t="s">
        <v>53</v>
      </c>
      <c r="C54" s="14">
        <v>481.95</v>
      </c>
      <c r="D54" s="15">
        <f t="shared" si="0"/>
        <v>183.80305861713893</v>
      </c>
      <c r="E54" s="16">
        <f t="shared" si="1"/>
        <v>223.12499999999997</v>
      </c>
      <c r="F54" s="17">
        <f t="shared" si="2"/>
        <v>131.23213070115725</v>
      </c>
      <c r="G54" s="18" t="s">
        <v>282</v>
      </c>
    </row>
    <row r="55" spans="1:7" x14ac:dyDescent="0.25">
      <c r="A55" s="2">
        <v>54</v>
      </c>
      <c r="B55" s="13" t="s">
        <v>54</v>
      </c>
      <c r="C55" s="14">
        <v>3.59</v>
      </c>
      <c r="D55" s="15">
        <f t="shared" si="0"/>
        <v>1.3691316120666641</v>
      </c>
      <c r="E55" s="16">
        <f t="shared" si="1"/>
        <v>1.6620370370370368</v>
      </c>
      <c r="F55" s="17">
        <f t="shared" si="2"/>
        <v>0.9775357385976855</v>
      </c>
      <c r="G55" s="18" t="s">
        <v>282</v>
      </c>
    </row>
    <row r="56" spans="1:7" x14ac:dyDescent="0.25">
      <c r="A56" s="2">
        <v>55</v>
      </c>
      <c r="B56" s="13" t="s">
        <v>55</v>
      </c>
      <c r="C56" s="14">
        <v>1428</v>
      </c>
      <c r="D56" s="15">
        <f t="shared" si="0"/>
        <v>544.60165516189306</v>
      </c>
      <c r="E56" s="16">
        <f t="shared" si="1"/>
        <v>661.11111111111109</v>
      </c>
      <c r="F56" s="17">
        <f t="shared" si="2"/>
        <v>388.83594281824372</v>
      </c>
      <c r="G56" s="18" t="s">
        <v>282</v>
      </c>
    </row>
    <row r="57" spans="1:7" x14ac:dyDescent="0.25">
      <c r="A57" s="3">
        <v>56</v>
      </c>
      <c r="B57" s="3" t="s">
        <v>56</v>
      </c>
      <c r="C57" s="5">
        <v>0</v>
      </c>
      <c r="D57" s="7">
        <f t="shared" si="0"/>
        <v>0</v>
      </c>
      <c r="E57" s="9">
        <f t="shared" si="1"/>
        <v>0</v>
      </c>
      <c r="F57" s="11">
        <f t="shared" si="2"/>
        <v>0</v>
      </c>
      <c r="G57" s="18" t="s">
        <v>284</v>
      </c>
    </row>
    <row r="58" spans="1:7" x14ac:dyDescent="0.25">
      <c r="A58" s="2">
        <v>57</v>
      </c>
      <c r="B58" s="13" t="s">
        <v>57</v>
      </c>
      <c r="C58" s="14">
        <v>1800</v>
      </c>
      <c r="D58" s="15">
        <f t="shared" si="0"/>
        <v>686.47267457381486</v>
      </c>
      <c r="E58" s="16">
        <f t="shared" si="1"/>
        <v>833.33333333333326</v>
      </c>
      <c r="F58" s="17">
        <f t="shared" si="2"/>
        <v>490.12933968686184</v>
      </c>
      <c r="G58" s="18" t="s">
        <v>284</v>
      </c>
    </row>
    <row r="59" spans="1:7" x14ac:dyDescent="0.25">
      <c r="A59" s="2">
        <v>58</v>
      </c>
      <c r="B59" s="13" t="s">
        <v>58</v>
      </c>
      <c r="C59" s="14">
        <v>1880</v>
      </c>
      <c r="D59" s="15">
        <f t="shared" si="0"/>
        <v>716.98257122153996</v>
      </c>
      <c r="E59" s="16">
        <f t="shared" si="1"/>
        <v>870.37037037037032</v>
      </c>
      <c r="F59" s="17">
        <f t="shared" si="2"/>
        <v>511.91286589516682</v>
      </c>
      <c r="G59" s="18" t="s">
        <v>284</v>
      </c>
    </row>
    <row r="60" spans="1:7" x14ac:dyDescent="0.25">
      <c r="A60" s="2">
        <v>59</v>
      </c>
      <c r="B60" s="13" t="s">
        <v>59</v>
      </c>
      <c r="C60" s="14">
        <v>2450</v>
      </c>
      <c r="D60" s="15">
        <f t="shared" si="0"/>
        <v>934.36558483658132</v>
      </c>
      <c r="E60" s="16">
        <f t="shared" si="1"/>
        <v>1134.2592592592591</v>
      </c>
      <c r="F60" s="17">
        <f t="shared" si="2"/>
        <v>667.12049012933971</v>
      </c>
      <c r="G60" s="18" t="s">
        <v>284</v>
      </c>
    </row>
    <row r="61" spans="1:7" x14ac:dyDescent="0.25">
      <c r="A61" s="2">
        <v>60</v>
      </c>
      <c r="B61" s="13" t="s">
        <v>60</v>
      </c>
      <c r="C61" s="14">
        <v>2550</v>
      </c>
      <c r="D61" s="15">
        <f t="shared" si="0"/>
        <v>972.50295564623775</v>
      </c>
      <c r="E61" s="16">
        <f t="shared" si="1"/>
        <v>1180.5555555555554</v>
      </c>
      <c r="F61" s="17">
        <f t="shared" si="2"/>
        <v>694.34989788972098</v>
      </c>
      <c r="G61" s="18" t="s">
        <v>284</v>
      </c>
    </row>
    <row r="62" spans="1:7" x14ac:dyDescent="0.25">
      <c r="A62" s="2">
        <v>61</v>
      </c>
      <c r="B62" s="13" t="s">
        <v>61</v>
      </c>
      <c r="C62" s="14">
        <v>2550</v>
      </c>
      <c r="D62" s="15">
        <f t="shared" si="0"/>
        <v>972.50295564623775</v>
      </c>
      <c r="E62" s="16">
        <f t="shared" si="1"/>
        <v>1180.5555555555554</v>
      </c>
      <c r="F62" s="17">
        <f t="shared" si="2"/>
        <v>694.34989788972098</v>
      </c>
      <c r="G62" s="18" t="s">
        <v>284</v>
      </c>
    </row>
    <row r="63" spans="1:7" x14ac:dyDescent="0.25">
      <c r="A63" s="2">
        <v>62</v>
      </c>
      <c r="B63" s="13" t="s">
        <v>62</v>
      </c>
      <c r="C63" s="14">
        <v>2550</v>
      </c>
      <c r="D63" s="15">
        <f t="shared" si="0"/>
        <v>972.50295564623775</v>
      </c>
      <c r="E63" s="16">
        <f t="shared" si="1"/>
        <v>1180.5555555555554</v>
      </c>
      <c r="F63" s="17">
        <f t="shared" si="2"/>
        <v>694.34989788972098</v>
      </c>
      <c r="G63" s="18" t="s">
        <v>284</v>
      </c>
    </row>
    <row r="64" spans="1:7" x14ac:dyDescent="0.25">
      <c r="A64" s="3">
        <v>63</v>
      </c>
      <c r="B64" s="3" t="s">
        <v>63</v>
      </c>
      <c r="C64" s="5">
        <v>0</v>
      </c>
      <c r="D64" s="7">
        <f t="shared" si="0"/>
        <v>0</v>
      </c>
      <c r="E64" s="9">
        <f t="shared" si="1"/>
        <v>0</v>
      </c>
      <c r="F64" s="11">
        <f t="shared" si="2"/>
        <v>0</v>
      </c>
      <c r="G64" s="18" t="s">
        <v>284</v>
      </c>
    </row>
    <row r="65" spans="1:7" x14ac:dyDescent="0.25">
      <c r="A65" s="3">
        <v>64</v>
      </c>
      <c r="B65" s="3" t="s">
        <v>64</v>
      </c>
      <c r="C65" s="5">
        <v>0</v>
      </c>
      <c r="D65" s="7">
        <f t="shared" si="0"/>
        <v>0</v>
      </c>
      <c r="E65" s="9">
        <f t="shared" si="1"/>
        <v>0</v>
      </c>
      <c r="F65" s="11">
        <f t="shared" si="2"/>
        <v>0</v>
      </c>
      <c r="G65" s="18" t="s">
        <v>284</v>
      </c>
    </row>
    <row r="66" spans="1:7" x14ac:dyDescent="0.25">
      <c r="A66" s="3">
        <v>65</v>
      </c>
      <c r="B66" s="3" t="s">
        <v>65</v>
      </c>
      <c r="C66" s="5">
        <v>0</v>
      </c>
      <c r="D66" s="7">
        <f t="shared" si="0"/>
        <v>0</v>
      </c>
      <c r="E66" s="9">
        <f t="shared" si="1"/>
        <v>0</v>
      </c>
      <c r="F66" s="11">
        <f t="shared" si="2"/>
        <v>0</v>
      </c>
      <c r="G66" s="18" t="s">
        <v>284</v>
      </c>
    </row>
    <row r="67" spans="1:7" x14ac:dyDescent="0.25">
      <c r="A67" s="2">
        <v>66</v>
      </c>
      <c r="B67" s="13" t="s">
        <v>66</v>
      </c>
      <c r="C67" s="14">
        <v>3100</v>
      </c>
      <c r="D67" s="15">
        <f t="shared" ref="D67:D130" si="3">C67/2.6221</f>
        <v>1182.2584950993478</v>
      </c>
      <c r="E67" s="16">
        <f t="shared" ref="E67:E130" si="4">C67/2.16</f>
        <v>1435.185185185185</v>
      </c>
      <c r="F67" s="17">
        <f t="shared" ref="F67:F130" si="5">C67/3.6725</f>
        <v>844.11164057181759</v>
      </c>
      <c r="G67" s="18" t="s">
        <v>284</v>
      </c>
    </row>
    <row r="68" spans="1:7" x14ac:dyDescent="0.25">
      <c r="A68" s="2">
        <v>67</v>
      </c>
      <c r="B68" s="13" t="s">
        <v>67</v>
      </c>
      <c r="C68" s="14">
        <v>3000</v>
      </c>
      <c r="D68" s="15">
        <f t="shared" si="3"/>
        <v>1144.1211242896914</v>
      </c>
      <c r="E68" s="16">
        <f t="shared" si="4"/>
        <v>1388.8888888888887</v>
      </c>
      <c r="F68" s="17">
        <f t="shared" si="5"/>
        <v>816.88223281143632</v>
      </c>
      <c r="G68" s="18" t="s">
        <v>284</v>
      </c>
    </row>
    <row r="69" spans="1:7" x14ac:dyDescent="0.25">
      <c r="A69" s="2">
        <v>68</v>
      </c>
      <c r="B69" s="13" t="s">
        <v>68</v>
      </c>
      <c r="C69" s="14">
        <v>449</v>
      </c>
      <c r="D69" s="15">
        <f t="shared" si="3"/>
        <v>171.23679493535715</v>
      </c>
      <c r="E69" s="16">
        <f t="shared" si="4"/>
        <v>207.87037037037035</v>
      </c>
      <c r="F69" s="17">
        <f t="shared" si="5"/>
        <v>122.26004084411164</v>
      </c>
      <c r="G69" s="18" t="s">
        <v>285</v>
      </c>
    </row>
    <row r="70" spans="1:7" x14ac:dyDescent="0.25">
      <c r="A70" s="2">
        <v>69</v>
      </c>
      <c r="B70" s="13" t="s">
        <v>69</v>
      </c>
      <c r="C70" s="14">
        <v>629</v>
      </c>
      <c r="D70" s="15">
        <f t="shared" si="3"/>
        <v>239.88406239273863</v>
      </c>
      <c r="E70" s="16">
        <f t="shared" si="4"/>
        <v>291.2037037037037</v>
      </c>
      <c r="F70" s="17">
        <f t="shared" si="5"/>
        <v>171.27297481279783</v>
      </c>
      <c r="G70" s="18" t="s">
        <v>282</v>
      </c>
    </row>
    <row r="71" spans="1:7" x14ac:dyDescent="0.25">
      <c r="A71" s="3">
        <v>70</v>
      </c>
      <c r="B71" s="3" t="s">
        <v>70</v>
      </c>
      <c r="C71" s="5">
        <v>0</v>
      </c>
      <c r="D71" s="7">
        <f t="shared" si="3"/>
        <v>0</v>
      </c>
      <c r="E71" s="9">
        <f t="shared" si="4"/>
        <v>0</v>
      </c>
      <c r="F71" s="11">
        <f t="shared" si="5"/>
        <v>0</v>
      </c>
      <c r="G71" s="18" t="s">
        <v>282</v>
      </c>
    </row>
    <row r="72" spans="1:7" x14ac:dyDescent="0.25">
      <c r="A72" s="3">
        <v>71</v>
      </c>
      <c r="B72" s="3" t="s">
        <v>71</v>
      </c>
      <c r="C72" s="5">
        <v>0</v>
      </c>
      <c r="D72" s="7">
        <f t="shared" si="3"/>
        <v>0</v>
      </c>
      <c r="E72" s="9">
        <f t="shared" si="4"/>
        <v>0</v>
      </c>
      <c r="F72" s="11">
        <f t="shared" si="5"/>
        <v>0</v>
      </c>
    </row>
    <row r="73" spans="1:7" x14ac:dyDescent="0.25">
      <c r="A73" s="2">
        <v>72</v>
      </c>
      <c r="B73" s="13" t="s">
        <v>72</v>
      </c>
      <c r="C73" s="14">
        <v>269.5</v>
      </c>
      <c r="D73" s="15">
        <f t="shared" si="3"/>
        <v>102.78021433202395</v>
      </c>
      <c r="E73" s="16">
        <f t="shared" si="4"/>
        <v>124.7685185185185</v>
      </c>
      <c r="F73" s="17">
        <f t="shared" si="5"/>
        <v>73.383253914227367</v>
      </c>
      <c r="G73" s="18" t="s">
        <v>286</v>
      </c>
    </row>
    <row r="74" spans="1:7" x14ac:dyDescent="0.25">
      <c r="A74" s="2">
        <v>73</v>
      </c>
      <c r="B74" s="13" t="s">
        <v>73</v>
      </c>
      <c r="C74" s="14">
        <v>1258</v>
      </c>
      <c r="D74" s="15">
        <f t="shared" si="3"/>
        <v>479.76812478547726</v>
      </c>
      <c r="E74" s="16">
        <f t="shared" si="4"/>
        <v>582.40740740740739</v>
      </c>
      <c r="F74" s="17">
        <f t="shared" si="5"/>
        <v>342.54594962559565</v>
      </c>
      <c r="G74" s="18" t="s">
        <v>287</v>
      </c>
    </row>
    <row r="75" spans="1:7" x14ac:dyDescent="0.25">
      <c r="A75" s="2">
        <v>74</v>
      </c>
      <c r="B75" s="13" t="s">
        <v>74</v>
      </c>
      <c r="C75" s="14">
        <v>1258</v>
      </c>
      <c r="D75" s="15">
        <f t="shared" si="3"/>
        <v>479.76812478547726</v>
      </c>
      <c r="E75" s="16">
        <f t="shared" si="4"/>
        <v>582.40740740740739</v>
      </c>
      <c r="F75" s="17">
        <f t="shared" si="5"/>
        <v>342.54594962559565</v>
      </c>
      <c r="G75" s="18" t="s">
        <v>287</v>
      </c>
    </row>
    <row r="76" spans="1:7" x14ac:dyDescent="0.25">
      <c r="A76" s="2">
        <v>75</v>
      </c>
      <c r="B76" s="13" t="s">
        <v>75</v>
      </c>
      <c r="C76" s="14">
        <v>575</v>
      </c>
      <c r="D76" s="15">
        <f t="shared" si="3"/>
        <v>219.2898821555242</v>
      </c>
      <c r="E76" s="16">
        <f t="shared" si="4"/>
        <v>266.2037037037037</v>
      </c>
      <c r="F76" s="17">
        <f t="shared" si="5"/>
        <v>156.56909462219198</v>
      </c>
      <c r="G76" s="18" t="s">
        <v>288</v>
      </c>
    </row>
    <row r="77" spans="1:7" x14ac:dyDescent="0.25">
      <c r="A77" s="2">
        <v>76</v>
      </c>
      <c r="B77" s="13" t="s">
        <v>76</v>
      </c>
      <c r="C77" s="14">
        <v>785.4</v>
      </c>
      <c r="D77" s="15">
        <f t="shared" si="3"/>
        <v>299.53091033904121</v>
      </c>
      <c r="E77" s="16">
        <f t="shared" si="4"/>
        <v>363.61111111111109</v>
      </c>
      <c r="F77" s="17">
        <f t="shared" si="5"/>
        <v>213.85976855003403</v>
      </c>
      <c r="G77" s="18" t="s">
        <v>288</v>
      </c>
    </row>
    <row r="78" spans="1:7" x14ac:dyDescent="0.25">
      <c r="A78" s="2">
        <v>77</v>
      </c>
      <c r="B78" s="13" t="s">
        <v>77</v>
      </c>
      <c r="C78" s="14">
        <v>785.4</v>
      </c>
      <c r="D78" s="15">
        <f t="shared" si="3"/>
        <v>299.53091033904121</v>
      </c>
      <c r="E78" s="16">
        <f t="shared" si="4"/>
        <v>363.61111111111109</v>
      </c>
      <c r="F78" s="17">
        <f t="shared" si="5"/>
        <v>213.85976855003403</v>
      </c>
      <c r="G78" s="18" t="s">
        <v>288</v>
      </c>
    </row>
    <row r="79" spans="1:7" x14ac:dyDescent="0.25">
      <c r="A79" s="3">
        <v>78</v>
      </c>
      <c r="B79" s="3" t="s">
        <v>78</v>
      </c>
      <c r="C79" s="5">
        <v>0</v>
      </c>
      <c r="D79" s="7">
        <f t="shared" si="3"/>
        <v>0</v>
      </c>
      <c r="E79" s="9">
        <f t="shared" si="4"/>
        <v>0</v>
      </c>
      <c r="F79" s="11">
        <f t="shared" si="5"/>
        <v>0</v>
      </c>
    </row>
    <row r="80" spans="1:7" x14ac:dyDescent="0.25">
      <c r="A80" s="2">
        <v>79</v>
      </c>
      <c r="B80" s="13" t="s">
        <v>79</v>
      </c>
      <c r="C80" s="14">
        <v>1400</v>
      </c>
      <c r="D80" s="15">
        <f t="shared" si="3"/>
        <v>533.92319133518936</v>
      </c>
      <c r="E80" s="16">
        <f t="shared" si="4"/>
        <v>648.14814814814815</v>
      </c>
      <c r="F80" s="17">
        <f t="shared" si="5"/>
        <v>381.21170864533696</v>
      </c>
      <c r="G80" s="18" t="s">
        <v>284</v>
      </c>
    </row>
    <row r="81" spans="1:7" x14ac:dyDescent="0.25">
      <c r="A81" s="2">
        <v>80</v>
      </c>
      <c r="B81" s="13" t="s">
        <v>80</v>
      </c>
      <c r="C81" s="14">
        <v>1200</v>
      </c>
      <c r="D81" s="15">
        <f t="shared" si="3"/>
        <v>457.64844971587655</v>
      </c>
      <c r="E81" s="16">
        <f t="shared" si="4"/>
        <v>555.55555555555554</v>
      </c>
      <c r="F81" s="17">
        <f t="shared" si="5"/>
        <v>326.75289312457454</v>
      </c>
      <c r="G81" s="18" t="s">
        <v>284</v>
      </c>
    </row>
    <row r="82" spans="1:7" x14ac:dyDescent="0.25">
      <c r="A82" s="2">
        <v>81</v>
      </c>
      <c r="B82" s="13" t="s">
        <v>81</v>
      </c>
      <c r="C82" s="14">
        <v>574.4</v>
      </c>
      <c r="D82" s="15">
        <f t="shared" si="3"/>
        <v>219.06105793066624</v>
      </c>
      <c r="E82" s="16">
        <f t="shared" si="4"/>
        <v>265.92592592592592</v>
      </c>
      <c r="F82" s="17">
        <f t="shared" si="5"/>
        <v>156.40571817562969</v>
      </c>
      <c r="G82" s="18" t="s">
        <v>284</v>
      </c>
    </row>
    <row r="83" spans="1:7" x14ac:dyDescent="0.25">
      <c r="A83" s="3">
        <v>82</v>
      </c>
      <c r="B83" s="3" t="s">
        <v>82</v>
      </c>
      <c r="C83" s="5">
        <v>0</v>
      </c>
      <c r="D83" s="7">
        <f t="shared" si="3"/>
        <v>0</v>
      </c>
      <c r="E83" s="9">
        <f t="shared" si="4"/>
        <v>0</v>
      </c>
      <c r="F83" s="11">
        <f t="shared" si="5"/>
        <v>0</v>
      </c>
      <c r="G83" s="18" t="s">
        <v>282</v>
      </c>
    </row>
    <row r="84" spans="1:7" x14ac:dyDescent="0.25">
      <c r="A84" s="2">
        <v>83</v>
      </c>
      <c r="B84" s="13" t="s">
        <v>83</v>
      </c>
      <c r="C84" s="14">
        <v>3.59</v>
      </c>
      <c r="D84" s="15">
        <f t="shared" si="3"/>
        <v>1.3691316120666641</v>
      </c>
      <c r="E84" s="16">
        <f t="shared" si="4"/>
        <v>1.6620370370370368</v>
      </c>
      <c r="F84" s="17">
        <f t="shared" si="5"/>
        <v>0.9775357385976855</v>
      </c>
      <c r="G84" s="18" t="s">
        <v>289</v>
      </c>
    </row>
    <row r="85" spans="1:7" x14ac:dyDescent="0.25">
      <c r="A85" s="2">
        <v>84</v>
      </c>
      <c r="B85" s="13" t="s">
        <v>84</v>
      </c>
      <c r="C85" s="14">
        <v>3.59</v>
      </c>
      <c r="D85" s="15">
        <f t="shared" si="3"/>
        <v>1.3691316120666641</v>
      </c>
      <c r="E85" s="16">
        <f t="shared" si="4"/>
        <v>1.6620370370370368</v>
      </c>
      <c r="F85" s="17">
        <f t="shared" si="5"/>
        <v>0.9775357385976855</v>
      </c>
      <c r="G85" s="18" t="s">
        <v>289</v>
      </c>
    </row>
    <row r="86" spans="1:7" x14ac:dyDescent="0.25">
      <c r="A86" s="2">
        <v>85</v>
      </c>
      <c r="B86" s="2" t="s">
        <v>85</v>
      </c>
      <c r="C86" s="4">
        <v>3051.5</v>
      </c>
      <c r="D86" s="6">
        <f t="shared" si="3"/>
        <v>1163.7618702566645</v>
      </c>
      <c r="E86" s="8">
        <f t="shared" si="4"/>
        <v>1412.7314814814813</v>
      </c>
      <c r="F86" s="10">
        <f t="shared" si="5"/>
        <v>830.90537780803265</v>
      </c>
    </row>
    <row r="87" spans="1:7" x14ac:dyDescent="0.25">
      <c r="A87" s="2">
        <v>86</v>
      </c>
      <c r="B87" s="13" t="s">
        <v>86</v>
      </c>
      <c r="C87" s="14">
        <v>59.36</v>
      </c>
      <c r="D87" s="15">
        <f t="shared" si="3"/>
        <v>22.638343312612026</v>
      </c>
      <c r="E87" s="16">
        <f t="shared" si="4"/>
        <v>27.481481481481481</v>
      </c>
      <c r="F87" s="17">
        <f t="shared" si="5"/>
        <v>16.163376446562289</v>
      </c>
      <c r="G87" s="18" t="s">
        <v>282</v>
      </c>
    </row>
    <row r="88" spans="1:7" x14ac:dyDescent="0.25">
      <c r="A88" s="3">
        <v>87</v>
      </c>
      <c r="B88" s="3" t="s">
        <v>87</v>
      </c>
      <c r="C88" s="5">
        <v>0</v>
      </c>
      <c r="D88" s="7">
        <f t="shared" si="3"/>
        <v>0</v>
      </c>
      <c r="E88" s="9">
        <f t="shared" si="4"/>
        <v>0</v>
      </c>
      <c r="F88" s="11">
        <f t="shared" si="5"/>
        <v>0</v>
      </c>
      <c r="G88" s="18" t="s">
        <v>282</v>
      </c>
    </row>
    <row r="89" spans="1:7" x14ac:dyDescent="0.25">
      <c r="A89" s="2">
        <v>88</v>
      </c>
      <c r="B89" s="13" t="s">
        <v>88</v>
      </c>
      <c r="C89" s="14">
        <v>365</v>
      </c>
      <c r="D89" s="15">
        <f t="shared" si="3"/>
        <v>139.20140345524578</v>
      </c>
      <c r="E89" s="16">
        <f t="shared" si="4"/>
        <v>168.98148148148147</v>
      </c>
      <c r="F89" s="17">
        <f t="shared" si="5"/>
        <v>99.387338325391426</v>
      </c>
      <c r="G89" s="18" t="s">
        <v>282</v>
      </c>
    </row>
    <row r="90" spans="1:7" x14ac:dyDescent="0.25">
      <c r="A90" s="2">
        <v>89</v>
      </c>
      <c r="B90" s="13" t="s">
        <v>89</v>
      </c>
      <c r="C90" s="14">
        <v>637</v>
      </c>
      <c r="D90" s="15">
        <f t="shared" si="3"/>
        <v>242.93505205751114</v>
      </c>
      <c r="E90" s="16">
        <f t="shared" si="4"/>
        <v>294.90740740740739</v>
      </c>
      <c r="F90" s="17">
        <f t="shared" si="5"/>
        <v>173.45132743362834</v>
      </c>
      <c r="G90" s="18" t="s">
        <v>282</v>
      </c>
    </row>
    <row r="91" spans="1:7" x14ac:dyDescent="0.25">
      <c r="A91" s="3">
        <v>90</v>
      </c>
      <c r="B91" s="3" t="s">
        <v>90</v>
      </c>
      <c r="C91" s="5">
        <v>0</v>
      </c>
      <c r="D91" s="7">
        <f t="shared" si="3"/>
        <v>0</v>
      </c>
      <c r="E91" s="9">
        <f t="shared" si="4"/>
        <v>0</v>
      </c>
      <c r="F91" s="11">
        <f t="shared" si="5"/>
        <v>0</v>
      </c>
      <c r="G91" s="18" t="s">
        <v>282</v>
      </c>
    </row>
    <row r="92" spans="1:7" x14ac:dyDescent="0.25">
      <c r="A92" s="2">
        <v>91</v>
      </c>
      <c r="B92" s="13" t="s">
        <v>91</v>
      </c>
      <c r="C92" s="14">
        <v>437.1</v>
      </c>
      <c r="D92" s="15">
        <f t="shared" si="3"/>
        <v>166.69844780900806</v>
      </c>
      <c r="E92" s="16">
        <f t="shared" si="4"/>
        <v>202.36111111111111</v>
      </c>
      <c r="F92" s="17">
        <f t="shared" si="5"/>
        <v>119.01974132062628</v>
      </c>
      <c r="G92" s="18" t="s">
        <v>282</v>
      </c>
    </row>
    <row r="93" spans="1:7" x14ac:dyDescent="0.25">
      <c r="A93" s="2">
        <v>92</v>
      </c>
      <c r="B93" s="13" t="s">
        <v>92</v>
      </c>
      <c r="C93" s="14">
        <v>535.5</v>
      </c>
      <c r="D93" s="15">
        <f t="shared" si="3"/>
        <v>204.22562068570991</v>
      </c>
      <c r="E93" s="16">
        <f t="shared" si="4"/>
        <v>247.91666666666666</v>
      </c>
      <c r="F93" s="17">
        <f t="shared" si="5"/>
        <v>145.8134785568414</v>
      </c>
      <c r="G93" s="18" t="s">
        <v>282</v>
      </c>
    </row>
    <row r="94" spans="1:7" x14ac:dyDescent="0.25">
      <c r="A94" s="2">
        <v>93</v>
      </c>
      <c r="B94" s="13" t="s">
        <v>93</v>
      </c>
      <c r="C94" s="14">
        <v>1017.45</v>
      </c>
      <c r="D94" s="15">
        <f t="shared" si="3"/>
        <v>388.02867930284884</v>
      </c>
      <c r="E94" s="16">
        <f t="shared" si="4"/>
        <v>471.04166666666663</v>
      </c>
      <c r="F94" s="17">
        <f t="shared" si="5"/>
        <v>277.04560925799865</v>
      </c>
      <c r="G94" s="18" t="s">
        <v>282</v>
      </c>
    </row>
    <row r="95" spans="1:7" x14ac:dyDescent="0.25">
      <c r="A95" s="2">
        <v>94</v>
      </c>
      <c r="B95" s="13" t="s">
        <v>94</v>
      </c>
      <c r="C95" s="14">
        <v>1382.15</v>
      </c>
      <c r="D95" s="15">
        <f t="shared" si="3"/>
        <v>527.11567064566566</v>
      </c>
      <c r="E95" s="16">
        <f t="shared" si="4"/>
        <v>639.88425925925924</v>
      </c>
      <c r="F95" s="17">
        <f t="shared" si="5"/>
        <v>376.35125936010894</v>
      </c>
      <c r="G95" s="18" t="s">
        <v>282</v>
      </c>
    </row>
    <row r="96" spans="1:7" x14ac:dyDescent="0.25">
      <c r="A96" s="2">
        <v>95</v>
      </c>
      <c r="B96" s="13" t="s">
        <v>95</v>
      </c>
      <c r="C96" s="14">
        <v>1713.6</v>
      </c>
      <c r="D96" s="15">
        <f t="shared" si="3"/>
        <v>653.52198619427168</v>
      </c>
      <c r="E96" s="16">
        <f t="shared" si="4"/>
        <v>793.33333333333326</v>
      </c>
      <c r="F96" s="17">
        <f t="shared" si="5"/>
        <v>466.60313138189241</v>
      </c>
      <c r="G96" s="18" t="s">
        <v>282</v>
      </c>
    </row>
    <row r="97" spans="1:7" x14ac:dyDescent="0.25">
      <c r="A97" s="2">
        <v>96</v>
      </c>
      <c r="B97" s="13" t="s">
        <v>96</v>
      </c>
      <c r="C97" s="14">
        <v>1017.45</v>
      </c>
      <c r="D97" s="15">
        <f t="shared" si="3"/>
        <v>388.02867930284884</v>
      </c>
      <c r="E97" s="16">
        <f t="shared" si="4"/>
        <v>471.04166666666663</v>
      </c>
      <c r="F97" s="17">
        <f t="shared" si="5"/>
        <v>277.04560925799865</v>
      </c>
      <c r="G97" s="18" t="s">
        <v>282</v>
      </c>
    </row>
    <row r="98" spans="1:7" x14ac:dyDescent="0.25">
      <c r="A98" s="2">
        <v>97</v>
      </c>
      <c r="B98" s="13" t="s">
        <v>97</v>
      </c>
      <c r="C98" s="14">
        <v>1579.6</v>
      </c>
      <c r="D98" s="15">
        <f t="shared" si="3"/>
        <v>602.41790930933212</v>
      </c>
      <c r="E98" s="16">
        <f t="shared" si="4"/>
        <v>731.29629629629619</v>
      </c>
      <c r="F98" s="17">
        <f t="shared" si="5"/>
        <v>430.11572498298159</v>
      </c>
      <c r="G98" s="18" t="s">
        <v>282</v>
      </c>
    </row>
    <row r="99" spans="1:7" x14ac:dyDescent="0.25">
      <c r="A99" s="2">
        <v>98</v>
      </c>
      <c r="B99" s="13" t="s">
        <v>98</v>
      </c>
      <c r="C99" s="14">
        <v>1874.25</v>
      </c>
      <c r="D99" s="15">
        <f t="shared" si="3"/>
        <v>714.78967239998474</v>
      </c>
      <c r="E99" s="16">
        <f t="shared" si="4"/>
        <v>867.70833333333326</v>
      </c>
      <c r="F99" s="17">
        <f t="shared" si="5"/>
        <v>510.34717494894488</v>
      </c>
      <c r="G99" s="18" t="s">
        <v>282</v>
      </c>
    </row>
    <row r="100" spans="1:7" x14ac:dyDescent="0.25">
      <c r="A100" s="2">
        <v>99</v>
      </c>
      <c r="B100" s="13" t="s">
        <v>99</v>
      </c>
      <c r="C100" s="14">
        <v>1785</v>
      </c>
      <c r="D100" s="15">
        <f t="shared" si="3"/>
        <v>680.75206895236636</v>
      </c>
      <c r="E100" s="16">
        <f t="shared" si="4"/>
        <v>826.3888888888888</v>
      </c>
      <c r="F100" s="17">
        <f t="shared" si="5"/>
        <v>486.04492852280464</v>
      </c>
      <c r="G100" s="18" t="s">
        <v>282</v>
      </c>
    </row>
    <row r="101" spans="1:7" x14ac:dyDescent="0.25">
      <c r="A101" s="2">
        <v>100</v>
      </c>
      <c r="B101" s="13" t="s">
        <v>100</v>
      </c>
      <c r="C101" s="14">
        <v>2142</v>
      </c>
      <c r="D101" s="15">
        <f t="shared" si="3"/>
        <v>816.90248274283965</v>
      </c>
      <c r="E101" s="16">
        <f t="shared" si="4"/>
        <v>991.66666666666663</v>
      </c>
      <c r="F101" s="17">
        <f t="shared" si="5"/>
        <v>583.25391422736561</v>
      </c>
      <c r="G101" s="18" t="s">
        <v>282</v>
      </c>
    </row>
    <row r="102" spans="1:7" x14ac:dyDescent="0.25">
      <c r="A102" s="2">
        <v>101</v>
      </c>
      <c r="B102" s="13" t="s">
        <v>101</v>
      </c>
      <c r="C102" s="14">
        <v>2070.6</v>
      </c>
      <c r="D102" s="15">
        <f t="shared" si="3"/>
        <v>789.67239998474497</v>
      </c>
      <c r="E102" s="16">
        <f t="shared" si="4"/>
        <v>958.61111111111097</v>
      </c>
      <c r="F102" s="17">
        <f t="shared" si="5"/>
        <v>563.81211708645333</v>
      </c>
      <c r="G102" s="18" t="s">
        <v>282</v>
      </c>
    </row>
    <row r="103" spans="1:7" x14ac:dyDescent="0.25">
      <c r="A103" s="2">
        <v>102</v>
      </c>
      <c r="B103" s="13" t="s">
        <v>102</v>
      </c>
      <c r="C103" s="14">
        <v>2112.1999999999998</v>
      </c>
      <c r="D103" s="15">
        <f t="shared" si="3"/>
        <v>805.53754624156204</v>
      </c>
      <c r="E103" s="16">
        <f t="shared" si="4"/>
        <v>977.87037037037021</v>
      </c>
      <c r="F103" s="17">
        <f t="shared" si="5"/>
        <v>575.13955071477187</v>
      </c>
      <c r="G103" s="18" t="s">
        <v>282</v>
      </c>
    </row>
    <row r="104" spans="1:7" x14ac:dyDescent="0.25">
      <c r="A104" s="2">
        <v>103</v>
      </c>
      <c r="B104" s="13" t="s">
        <v>103</v>
      </c>
      <c r="C104" s="14">
        <v>3120</v>
      </c>
      <c r="D104" s="15">
        <f t="shared" si="3"/>
        <v>1189.8859692612791</v>
      </c>
      <c r="E104" s="16">
        <f t="shared" si="4"/>
        <v>1444.4444444444443</v>
      </c>
      <c r="F104" s="17">
        <f t="shared" si="5"/>
        <v>849.55752212389382</v>
      </c>
      <c r="G104" s="18" t="s">
        <v>282</v>
      </c>
    </row>
    <row r="105" spans="1:7" x14ac:dyDescent="0.25">
      <c r="A105" s="2">
        <v>104</v>
      </c>
      <c r="B105" s="13" t="s">
        <v>104</v>
      </c>
      <c r="C105" s="14">
        <v>2400</v>
      </c>
      <c r="D105" s="15">
        <f t="shared" si="3"/>
        <v>915.2968994317531</v>
      </c>
      <c r="E105" s="16">
        <f t="shared" si="4"/>
        <v>1111.1111111111111</v>
      </c>
      <c r="F105" s="17">
        <f t="shared" si="5"/>
        <v>653.50578624914908</v>
      </c>
      <c r="G105" s="18" t="s">
        <v>282</v>
      </c>
    </row>
    <row r="106" spans="1:7" x14ac:dyDescent="0.25">
      <c r="A106" s="2">
        <v>105</v>
      </c>
      <c r="B106" s="13" t="s">
        <v>105</v>
      </c>
      <c r="C106" s="14">
        <v>1790</v>
      </c>
      <c r="D106" s="15">
        <f t="shared" si="3"/>
        <v>682.65893749284919</v>
      </c>
      <c r="E106" s="16">
        <f t="shared" si="4"/>
        <v>828.7037037037037</v>
      </c>
      <c r="F106" s="17">
        <f t="shared" si="5"/>
        <v>487.40639891082373</v>
      </c>
      <c r="G106" s="18" t="s">
        <v>282</v>
      </c>
    </row>
    <row r="107" spans="1:7" x14ac:dyDescent="0.25">
      <c r="A107" s="2">
        <v>106</v>
      </c>
      <c r="B107" s="13" t="s">
        <v>106</v>
      </c>
      <c r="C107" s="14">
        <v>3659.25</v>
      </c>
      <c r="D107" s="15">
        <f t="shared" si="3"/>
        <v>1395.5417413523512</v>
      </c>
      <c r="E107" s="16">
        <f t="shared" si="4"/>
        <v>1694.0972222222222</v>
      </c>
      <c r="F107" s="17">
        <f t="shared" si="5"/>
        <v>996.39210347174958</v>
      </c>
      <c r="G107" s="18" t="s">
        <v>282</v>
      </c>
    </row>
    <row r="108" spans="1:7" x14ac:dyDescent="0.25">
      <c r="A108" s="2">
        <v>107</v>
      </c>
      <c r="B108" s="13" t="s">
        <v>107</v>
      </c>
      <c r="C108" s="14">
        <v>2142</v>
      </c>
      <c r="D108" s="15">
        <f t="shared" si="3"/>
        <v>816.90248274283965</v>
      </c>
      <c r="E108" s="16">
        <f t="shared" si="4"/>
        <v>991.66666666666663</v>
      </c>
      <c r="F108" s="17">
        <f t="shared" si="5"/>
        <v>583.25391422736561</v>
      </c>
      <c r="G108" s="18" t="s">
        <v>282</v>
      </c>
    </row>
    <row r="109" spans="1:7" x14ac:dyDescent="0.25">
      <c r="A109" s="2">
        <v>108</v>
      </c>
      <c r="B109" s="13" t="s">
        <v>108</v>
      </c>
      <c r="C109" s="14">
        <v>2650</v>
      </c>
      <c r="D109" s="15">
        <f t="shared" si="3"/>
        <v>1010.6403264558941</v>
      </c>
      <c r="E109" s="16">
        <f t="shared" si="4"/>
        <v>1226.8518518518517</v>
      </c>
      <c r="F109" s="17">
        <f t="shared" si="5"/>
        <v>721.57930565010213</v>
      </c>
      <c r="G109" s="18" t="s">
        <v>282</v>
      </c>
    </row>
    <row r="110" spans="1:7" x14ac:dyDescent="0.25">
      <c r="A110" s="2">
        <v>109</v>
      </c>
      <c r="B110" s="13" t="s">
        <v>109</v>
      </c>
      <c r="C110" s="14">
        <v>2320.5</v>
      </c>
      <c r="D110" s="15">
        <f t="shared" si="3"/>
        <v>884.9776896380763</v>
      </c>
      <c r="E110" s="16">
        <f t="shared" si="4"/>
        <v>1074.3055555555554</v>
      </c>
      <c r="F110" s="17">
        <f t="shared" si="5"/>
        <v>631.85840707964599</v>
      </c>
      <c r="G110" s="18" t="s">
        <v>282</v>
      </c>
    </row>
    <row r="111" spans="1:7" x14ac:dyDescent="0.25">
      <c r="A111" s="2">
        <v>110</v>
      </c>
      <c r="B111" s="13" t="s">
        <v>110</v>
      </c>
      <c r="C111" s="14">
        <v>1710</v>
      </c>
      <c r="D111" s="15">
        <f t="shared" si="3"/>
        <v>652.14904084512409</v>
      </c>
      <c r="E111" s="16">
        <f t="shared" si="4"/>
        <v>791.66666666666663</v>
      </c>
      <c r="F111" s="17">
        <f t="shared" si="5"/>
        <v>465.62287270251875</v>
      </c>
      <c r="G111" s="18" t="s">
        <v>282</v>
      </c>
    </row>
    <row r="112" spans="1:7" x14ac:dyDescent="0.25">
      <c r="A112" s="2">
        <v>111</v>
      </c>
      <c r="B112" s="13" t="s">
        <v>111</v>
      </c>
      <c r="C112" s="14">
        <v>1618</v>
      </c>
      <c r="D112" s="15">
        <f t="shared" si="3"/>
        <v>617.06265970024026</v>
      </c>
      <c r="E112" s="16">
        <f t="shared" si="4"/>
        <v>749.07407407407402</v>
      </c>
      <c r="F112" s="17">
        <f t="shared" si="5"/>
        <v>440.57181756296802</v>
      </c>
      <c r="G112" s="18" t="s">
        <v>282</v>
      </c>
    </row>
    <row r="113" spans="1:7" x14ac:dyDescent="0.25">
      <c r="A113" s="3">
        <v>112</v>
      </c>
      <c r="B113" s="3" t="s">
        <v>112</v>
      </c>
      <c r="C113" s="5">
        <v>0</v>
      </c>
      <c r="D113" s="7">
        <f t="shared" si="3"/>
        <v>0</v>
      </c>
      <c r="E113" s="9">
        <f t="shared" si="4"/>
        <v>0</v>
      </c>
      <c r="F113" s="11">
        <f t="shared" si="5"/>
        <v>0</v>
      </c>
      <c r="G113" s="18" t="s">
        <v>282</v>
      </c>
    </row>
    <row r="114" spans="1:7" x14ac:dyDescent="0.25">
      <c r="A114" s="2">
        <v>113</v>
      </c>
      <c r="B114" s="13" t="s">
        <v>113</v>
      </c>
      <c r="C114" s="14">
        <v>1436</v>
      </c>
      <c r="D114" s="15">
        <f t="shared" si="3"/>
        <v>547.65264482666566</v>
      </c>
      <c r="E114" s="16">
        <f t="shared" si="4"/>
        <v>664.81481481481478</v>
      </c>
      <c r="F114" s="17">
        <f t="shared" si="5"/>
        <v>391.0142954390742</v>
      </c>
      <c r="G114" s="18" t="s">
        <v>282</v>
      </c>
    </row>
    <row r="115" spans="1:7" x14ac:dyDescent="0.25">
      <c r="A115" s="3">
        <v>114</v>
      </c>
      <c r="B115" s="3" t="s">
        <v>114</v>
      </c>
      <c r="C115" s="5">
        <v>0</v>
      </c>
      <c r="D115" s="7">
        <f t="shared" si="3"/>
        <v>0</v>
      </c>
      <c r="E115" s="9">
        <f t="shared" si="4"/>
        <v>0</v>
      </c>
      <c r="F115" s="11">
        <f t="shared" si="5"/>
        <v>0</v>
      </c>
      <c r="G115" s="18" t="s">
        <v>282</v>
      </c>
    </row>
    <row r="116" spans="1:7" x14ac:dyDescent="0.25">
      <c r="A116" s="3">
        <v>115</v>
      </c>
      <c r="B116" s="3" t="s">
        <v>115</v>
      </c>
      <c r="C116" s="5">
        <v>0</v>
      </c>
      <c r="D116" s="7">
        <f t="shared" si="3"/>
        <v>0</v>
      </c>
      <c r="E116" s="9">
        <f t="shared" si="4"/>
        <v>0</v>
      </c>
      <c r="F116" s="11">
        <f t="shared" si="5"/>
        <v>0</v>
      </c>
      <c r="G116" s="18" t="s">
        <v>282</v>
      </c>
    </row>
    <row r="117" spans="1:7" x14ac:dyDescent="0.25">
      <c r="A117" s="3">
        <v>116</v>
      </c>
      <c r="B117" s="3" t="s">
        <v>116</v>
      </c>
      <c r="C117" s="5">
        <v>0</v>
      </c>
      <c r="D117" s="7">
        <f t="shared" si="3"/>
        <v>0</v>
      </c>
      <c r="E117" s="9">
        <f t="shared" si="4"/>
        <v>0</v>
      </c>
      <c r="F117" s="11">
        <f t="shared" si="5"/>
        <v>0</v>
      </c>
      <c r="G117" s="18" t="s">
        <v>282</v>
      </c>
    </row>
    <row r="118" spans="1:7" x14ac:dyDescent="0.25">
      <c r="A118" s="2">
        <v>117</v>
      </c>
      <c r="B118" s="13" t="s">
        <v>117</v>
      </c>
      <c r="C118" s="14">
        <v>1000</v>
      </c>
      <c r="D118" s="15">
        <f t="shared" si="3"/>
        <v>381.3737080965638</v>
      </c>
      <c r="E118" s="16">
        <f t="shared" si="4"/>
        <v>462.96296296296293</v>
      </c>
      <c r="F118" s="17">
        <f t="shared" si="5"/>
        <v>272.29407760381213</v>
      </c>
      <c r="G118" s="18" t="s">
        <v>282</v>
      </c>
    </row>
    <row r="119" spans="1:7" x14ac:dyDescent="0.25">
      <c r="A119" s="2">
        <v>118</v>
      </c>
      <c r="B119" s="13" t="s">
        <v>118</v>
      </c>
      <c r="C119" s="14">
        <v>2677.5</v>
      </c>
      <c r="D119" s="15">
        <f t="shared" si="3"/>
        <v>1021.1281034285496</v>
      </c>
      <c r="E119" s="16">
        <f t="shared" si="4"/>
        <v>1239.5833333333333</v>
      </c>
      <c r="F119" s="17">
        <f t="shared" si="5"/>
        <v>729.06739278420696</v>
      </c>
      <c r="G119" s="18" t="s">
        <v>282</v>
      </c>
    </row>
    <row r="120" spans="1:7" x14ac:dyDescent="0.25">
      <c r="A120" s="2">
        <v>119</v>
      </c>
      <c r="B120" s="13" t="s">
        <v>119</v>
      </c>
      <c r="C120" s="14">
        <v>5444.25</v>
      </c>
      <c r="D120" s="15">
        <f t="shared" si="3"/>
        <v>2076.2938103047177</v>
      </c>
      <c r="E120" s="16">
        <f t="shared" si="4"/>
        <v>2520.4861111111109</v>
      </c>
      <c r="F120" s="17">
        <f t="shared" si="5"/>
        <v>1482.4370319945542</v>
      </c>
      <c r="G120" s="18" t="s">
        <v>282</v>
      </c>
    </row>
    <row r="121" spans="1:7" x14ac:dyDescent="0.25">
      <c r="A121" s="2">
        <v>120</v>
      </c>
      <c r="B121" s="13" t="s">
        <v>120</v>
      </c>
      <c r="C121" s="14">
        <v>3595</v>
      </c>
      <c r="D121" s="15">
        <f t="shared" si="3"/>
        <v>1371.038480607147</v>
      </c>
      <c r="E121" s="16">
        <f t="shared" si="4"/>
        <v>1664.3518518518517</v>
      </c>
      <c r="F121" s="17">
        <f t="shared" si="5"/>
        <v>978.89720898570454</v>
      </c>
      <c r="G121" s="18" t="s">
        <v>282</v>
      </c>
    </row>
    <row r="122" spans="1:7" x14ac:dyDescent="0.25">
      <c r="A122" s="2">
        <v>121</v>
      </c>
      <c r="B122" s="13" t="s">
        <v>121</v>
      </c>
      <c r="C122" s="14">
        <v>5206</v>
      </c>
      <c r="D122" s="15">
        <f t="shared" si="3"/>
        <v>1985.4315243507112</v>
      </c>
      <c r="E122" s="16">
        <f t="shared" si="4"/>
        <v>2410.1851851851852</v>
      </c>
      <c r="F122" s="17">
        <f t="shared" si="5"/>
        <v>1417.562968005446</v>
      </c>
      <c r="G122" s="18" t="s">
        <v>282</v>
      </c>
    </row>
    <row r="123" spans="1:7" x14ac:dyDescent="0.25">
      <c r="A123" s="2">
        <v>122</v>
      </c>
      <c r="B123" s="13" t="s">
        <v>122</v>
      </c>
      <c r="C123" s="14">
        <v>3402</v>
      </c>
      <c r="D123" s="15">
        <f t="shared" si="3"/>
        <v>1297.43335494451</v>
      </c>
      <c r="E123" s="16">
        <f t="shared" si="4"/>
        <v>1575</v>
      </c>
      <c r="F123" s="17">
        <f t="shared" si="5"/>
        <v>926.3444520081689</v>
      </c>
      <c r="G123" s="18" t="s">
        <v>282</v>
      </c>
    </row>
    <row r="124" spans="1:7" x14ac:dyDescent="0.25">
      <c r="A124" s="2">
        <v>123</v>
      </c>
      <c r="B124" s="13" t="s">
        <v>123</v>
      </c>
      <c r="C124" s="14">
        <v>2856</v>
      </c>
      <c r="D124" s="15">
        <f t="shared" si="3"/>
        <v>1089.2033103237861</v>
      </c>
      <c r="E124" s="16">
        <f t="shared" si="4"/>
        <v>1322.2222222222222</v>
      </c>
      <c r="F124" s="17">
        <f t="shared" si="5"/>
        <v>777.67188563648745</v>
      </c>
      <c r="G124" s="18" t="s">
        <v>282</v>
      </c>
    </row>
    <row r="125" spans="1:7" x14ac:dyDescent="0.25">
      <c r="A125" s="2">
        <v>124</v>
      </c>
      <c r="B125" s="13" t="s">
        <v>124</v>
      </c>
      <c r="C125" s="14">
        <v>5122.95</v>
      </c>
      <c r="D125" s="15">
        <f t="shared" si="3"/>
        <v>1953.7584378932916</v>
      </c>
      <c r="E125" s="16">
        <f t="shared" si="4"/>
        <v>2371.7361111111109</v>
      </c>
      <c r="F125" s="17">
        <f t="shared" si="5"/>
        <v>1394.9489448604493</v>
      </c>
      <c r="G125" s="18" t="s">
        <v>282</v>
      </c>
    </row>
    <row r="126" spans="1:7" x14ac:dyDescent="0.25">
      <c r="A126" s="2">
        <v>125</v>
      </c>
      <c r="B126" s="13" t="s">
        <v>125</v>
      </c>
      <c r="C126" s="14">
        <v>3659.25</v>
      </c>
      <c r="D126" s="15">
        <f t="shared" si="3"/>
        <v>1395.5417413523512</v>
      </c>
      <c r="E126" s="16">
        <f t="shared" si="4"/>
        <v>1694.0972222222222</v>
      </c>
      <c r="F126" s="17">
        <f t="shared" si="5"/>
        <v>996.39210347174958</v>
      </c>
      <c r="G126" s="18" t="s">
        <v>282</v>
      </c>
    </row>
    <row r="127" spans="1:7" x14ac:dyDescent="0.25">
      <c r="A127" s="2">
        <v>126</v>
      </c>
      <c r="B127" s="13" t="s">
        <v>126</v>
      </c>
      <c r="C127" s="14">
        <v>4426.8</v>
      </c>
      <c r="D127" s="15">
        <f t="shared" si="3"/>
        <v>1688.2651310018687</v>
      </c>
      <c r="E127" s="16">
        <f t="shared" si="4"/>
        <v>2049.4444444444443</v>
      </c>
      <c r="F127" s="17">
        <f t="shared" si="5"/>
        <v>1205.3914227365556</v>
      </c>
      <c r="G127" s="18" t="s">
        <v>282</v>
      </c>
    </row>
    <row r="128" spans="1:7" x14ac:dyDescent="0.25">
      <c r="A128" s="2">
        <v>127</v>
      </c>
      <c r="B128" s="13" t="s">
        <v>127</v>
      </c>
      <c r="C128" s="14">
        <v>3659.25</v>
      </c>
      <c r="D128" s="15">
        <f t="shared" si="3"/>
        <v>1395.5417413523512</v>
      </c>
      <c r="E128" s="16">
        <f t="shared" si="4"/>
        <v>1694.0972222222222</v>
      </c>
      <c r="F128" s="17">
        <f t="shared" si="5"/>
        <v>996.39210347174958</v>
      </c>
      <c r="G128" s="18" t="s">
        <v>282</v>
      </c>
    </row>
    <row r="129" spans="1:7" x14ac:dyDescent="0.25">
      <c r="A129" s="2">
        <v>128</v>
      </c>
      <c r="B129" s="13" t="s">
        <v>128</v>
      </c>
      <c r="C129" s="14">
        <v>4600</v>
      </c>
      <c r="D129" s="15">
        <f t="shared" si="3"/>
        <v>1754.3190572441936</v>
      </c>
      <c r="E129" s="16">
        <f t="shared" si="4"/>
        <v>2129.6296296296296</v>
      </c>
      <c r="F129" s="17">
        <f t="shared" si="5"/>
        <v>1252.5527569775359</v>
      </c>
      <c r="G129" s="18" t="s">
        <v>282</v>
      </c>
    </row>
    <row r="130" spans="1:7" x14ac:dyDescent="0.25">
      <c r="A130" s="2">
        <v>129</v>
      </c>
      <c r="B130" s="13" t="s">
        <v>129</v>
      </c>
      <c r="C130" s="14">
        <v>4641</v>
      </c>
      <c r="D130" s="15">
        <f t="shared" si="3"/>
        <v>1769.9553792761526</v>
      </c>
      <c r="E130" s="16">
        <f t="shared" si="4"/>
        <v>2148.6111111111109</v>
      </c>
      <c r="F130" s="17">
        <f t="shared" si="5"/>
        <v>1263.716814159292</v>
      </c>
      <c r="G130" s="18" t="s">
        <v>282</v>
      </c>
    </row>
    <row r="131" spans="1:7" x14ac:dyDescent="0.25">
      <c r="A131" s="3">
        <v>130</v>
      </c>
      <c r="B131" s="3" t="s">
        <v>130</v>
      </c>
      <c r="C131" s="5">
        <v>0</v>
      </c>
      <c r="D131" s="7">
        <f t="shared" ref="D131:D194" si="6">C131/2.6221</f>
        <v>0</v>
      </c>
      <c r="E131" s="9">
        <f t="shared" ref="E131:E194" si="7">C131/2.16</f>
        <v>0</v>
      </c>
      <c r="F131" s="11">
        <f t="shared" ref="F131:F194" si="8">C131/3.6725</f>
        <v>0</v>
      </c>
    </row>
    <row r="132" spans="1:7" x14ac:dyDescent="0.25">
      <c r="A132" s="2">
        <v>131</v>
      </c>
      <c r="B132" s="2" t="s">
        <v>131</v>
      </c>
      <c r="C132" s="4">
        <v>630</v>
      </c>
      <c r="D132" s="6">
        <f t="shared" si="6"/>
        <v>240.26543610083519</v>
      </c>
      <c r="E132" s="8">
        <f t="shared" si="7"/>
        <v>291.66666666666663</v>
      </c>
      <c r="F132" s="10">
        <f t="shared" si="8"/>
        <v>171.54526889040164</v>
      </c>
    </row>
    <row r="133" spans="1:7" x14ac:dyDescent="0.25">
      <c r="A133" s="2">
        <v>132</v>
      </c>
      <c r="B133" s="2" t="s">
        <v>132</v>
      </c>
      <c r="C133" s="4">
        <v>678.3</v>
      </c>
      <c r="D133" s="6">
        <f t="shared" si="6"/>
        <v>258.68578620189919</v>
      </c>
      <c r="E133" s="8">
        <f t="shared" si="7"/>
        <v>314.02777777777771</v>
      </c>
      <c r="F133" s="10">
        <f t="shared" si="8"/>
        <v>184.69707283866575</v>
      </c>
    </row>
    <row r="134" spans="1:7" x14ac:dyDescent="0.25">
      <c r="A134" s="2">
        <v>133</v>
      </c>
      <c r="B134" s="2" t="s">
        <v>133</v>
      </c>
      <c r="C134" s="4">
        <v>1078.5</v>
      </c>
      <c r="D134" s="6">
        <f t="shared" si="6"/>
        <v>411.31154418214408</v>
      </c>
      <c r="E134" s="8">
        <f t="shared" si="7"/>
        <v>499.30555555555554</v>
      </c>
      <c r="F134" s="10">
        <f t="shared" si="8"/>
        <v>293.66916269571135</v>
      </c>
    </row>
    <row r="135" spans="1:7" x14ac:dyDescent="0.25">
      <c r="A135" s="3">
        <v>134</v>
      </c>
      <c r="B135" s="3" t="s">
        <v>134</v>
      </c>
      <c r="C135" s="5">
        <v>0</v>
      </c>
      <c r="D135" s="7">
        <f t="shared" si="6"/>
        <v>0</v>
      </c>
      <c r="E135" s="9">
        <f t="shared" si="7"/>
        <v>0</v>
      </c>
      <c r="F135" s="11">
        <f t="shared" si="8"/>
        <v>0</v>
      </c>
    </row>
    <row r="136" spans="1:7" x14ac:dyDescent="0.25">
      <c r="A136" s="3">
        <v>135</v>
      </c>
      <c r="B136" s="3" t="s">
        <v>135</v>
      </c>
      <c r="C136" s="5">
        <v>0</v>
      </c>
      <c r="D136" s="7">
        <f t="shared" si="6"/>
        <v>0</v>
      </c>
      <c r="E136" s="9">
        <f t="shared" si="7"/>
        <v>0</v>
      </c>
      <c r="F136" s="11">
        <f t="shared" si="8"/>
        <v>0</v>
      </c>
    </row>
    <row r="137" spans="1:7" x14ac:dyDescent="0.25">
      <c r="A137" s="2">
        <v>136</v>
      </c>
      <c r="B137" s="2" t="s">
        <v>136</v>
      </c>
      <c r="C137" s="4">
        <v>2040.6</v>
      </c>
      <c r="D137" s="6">
        <f t="shared" si="6"/>
        <v>778.23118874184809</v>
      </c>
      <c r="E137" s="8">
        <f t="shared" si="7"/>
        <v>944.72222222222217</v>
      </c>
      <c r="F137" s="10">
        <f t="shared" si="8"/>
        <v>555.64329475833904</v>
      </c>
    </row>
    <row r="138" spans="1:7" x14ac:dyDescent="0.25">
      <c r="A138" s="2">
        <v>137</v>
      </c>
      <c r="B138" s="2" t="s">
        <v>137</v>
      </c>
      <c r="C138" s="4">
        <v>2148</v>
      </c>
      <c r="D138" s="6">
        <f t="shared" si="6"/>
        <v>819.19072499141907</v>
      </c>
      <c r="E138" s="8">
        <f t="shared" si="7"/>
        <v>994.44444444444434</v>
      </c>
      <c r="F138" s="10">
        <f t="shared" si="8"/>
        <v>584.8876786929884</v>
      </c>
    </row>
    <row r="139" spans="1:7" x14ac:dyDescent="0.25">
      <c r="A139" s="2">
        <v>138</v>
      </c>
      <c r="B139" s="2" t="s">
        <v>138</v>
      </c>
      <c r="C139" s="4">
        <v>1476</v>
      </c>
      <c r="D139" s="6">
        <f t="shared" si="6"/>
        <v>562.90759315052821</v>
      </c>
      <c r="E139" s="8">
        <f t="shared" si="7"/>
        <v>683.33333333333326</v>
      </c>
      <c r="F139" s="10">
        <f t="shared" si="8"/>
        <v>401.90605854322672</v>
      </c>
    </row>
    <row r="140" spans="1:7" x14ac:dyDescent="0.25">
      <c r="A140" s="2">
        <v>139</v>
      </c>
      <c r="B140" s="2" t="s">
        <v>139</v>
      </c>
      <c r="C140" s="4">
        <v>1512</v>
      </c>
      <c r="D140" s="6">
        <f t="shared" si="6"/>
        <v>576.63704664200452</v>
      </c>
      <c r="E140" s="8">
        <f t="shared" si="7"/>
        <v>700</v>
      </c>
      <c r="F140" s="10">
        <f t="shared" si="8"/>
        <v>411.70864533696391</v>
      </c>
    </row>
    <row r="141" spans="1:7" x14ac:dyDescent="0.25">
      <c r="A141" s="2">
        <v>140</v>
      </c>
      <c r="B141" s="2" t="s">
        <v>140</v>
      </c>
      <c r="C141" s="4">
        <v>2327</v>
      </c>
      <c r="D141" s="6">
        <f t="shared" si="6"/>
        <v>887.45661874070402</v>
      </c>
      <c r="E141" s="8">
        <f t="shared" si="7"/>
        <v>1077.3148148148148</v>
      </c>
      <c r="F141" s="10">
        <f t="shared" si="8"/>
        <v>633.62831858407083</v>
      </c>
    </row>
    <row r="142" spans="1:7" x14ac:dyDescent="0.25">
      <c r="A142" s="2">
        <v>141</v>
      </c>
      <c r="B142" s="2" t="s">
        <v>141</v>
      </c>
      <c r="C142" s="4">
        <v>1428</v>
      </c>
      <c r="D142" s="6">
        <f t="shared" si="6"/>
        <v>544.60165516189306</v>
      </c>
      <c r="E142" s="8">
        <f t="shared" si="7"/>
        <v>661.11111111111109</v>
      </c>
      <c r="F142" s="10">
        <f t="shared" si="8"/>
        <v>388.83594281824372</v>
      </c>
    </row>
    <row r="143" spans="1:7" x14ac:dyDescent="0.25">
      <c r="A143" s="2">
        <v>142</v>
      </c>
      <c r="B143" s="2" t="s">
        <v>142</v>
      </c>
      <c r="C143" s="4">
        <v>999.6</v>
      </c>
      <c r="D143" s="6">
        <f t="shared" si="6"/>
        <v>381.2211586133252</v>
      </c>
      <c r="E143" s="8">
        <f t="shared" si="7"/>
        <v>462.77777777777777</v>
      </c>
      <c r="F143" s="10">
        <f t="shared" si="8"/>
        <v>272.18515997277063</v>
      </c>
    </row>
    <row r="144" spans="1:7" x14ac:dyDescent="0.25">
      <c r="A144" s="2">
        <v>143</v>
      </c>
      <c r="B144" s="2" t="s">
        <v>143</v>
      </c>
      <c r="C144" s="4">
        <v>1166.75</v>
      </c>
      <c r="D144" s="6">
        <f t="shared" si="6"/>
        <v>444.96777392166581</v>
      </c>
      <c r="E144" s="8">
        <f t="shared" si="7"/>
        <v>540.16203703703695</v>
      </c>
      <c r="F144" s="10">
        <f t="shared" si="8"/>
        <v>317.69911504424778</v>
      </c>
    </row>
    <row r="145" spans="1:7" x14ac:dyDescent="0.25">
      <c r="A145" s="2">
        <v>144</v>
      </c>
      <c r="B145" s="2" t="s">
        <v>144</v>
      </c>
      <c r="C145" s="4">
        <v>2157</v>
      </c>
      <c r="D145" s="6">
        <f t="shared" si="6"/>
        <v>822.62308836428815</v>
      </c>
      <c r="E145" s="8">
        <f t="shared" si="7"/>
        <v>998.61111111111109</v>
      </c>
      <c r="F145" s="10">
        <f t="shared" si="8"/>
        <v>587.3383253914227</v>
      </c>
    </row>
    <row r="146" spans="1:7" x14ac:dyDescent="0.25">
      <c r="A146" s="2">
        <v>145</v>
      </c>
      <c r="B146" s="2" t="s">
        <v>145</v>
      </c>
      <c r="C146" s="4">
        <v>2584.8000000000002</v>
      </c>
      <c r="D146" s="6">
        <f t="shared" si="6"/>
        <v>985.7747606879982</v>
      </c>
      <c r="E146" s="8">
        <f t="shared" si="7"/>
        <v>1196.6666666666667</v>
      </c>
      <c r="F146" s="10">
        <f t="shared" si="8"/>
        <v>703.82573179033363</v>
      </c>
    </row>
    <row r="147" spans="1:7" x14ac:dyDescent="0.25">
      <c r="A147" s="2">
        <v>146</v>
      </c>
      <c r="B147" s="2" t="s">
        <v>146</v>
      </c>
      <c r="C147" s="4">
        <v>1749.3</v>
      </c>
      <c r="D147" s="6">
        <f t="shared" si="6"/>
        <v>667.13702757331907</v>
      </c>
      <c r="E147" s="8">
        <f t="shared" si="7"/>
        <v>809.86111111111109</v>
      </c>
      <c r="F147" s="10">
        <f t="shared" si="8"/>
        <v>476.32402995234855</v>
      </c>
    </row>
    <row r="148" spans="1:7" x14ac:dyDescent="0.25">
      <c r="A148" s="2">
        <v>147</v>
      </c>
      <c r="B148" s="2" t="s">
        <v>147</v>
      </c>
      <c r="C148" s="4">
        <v>1820.7</v>
      </c>
      <c r="D148" s="6">
        <f t="shared" si="6"/>
        <v>694.36711033141376</v>
      </c>
      <c r="E148" s="8">
        <f t="shared" si="7"/>
        <v>842.91666666666663</v>
      </c>
      <c r="F148" s="10">
        <f t="shared" si="8"/>
        <v>495.76582709326073</v>
      </c>
    </row>
    <row r="149" spans="1:7" x14ac:dyDescent="0.25">
      <c r="A149" s="2">
        <v>148</v>
      </c>
      <c r="B149" s="2" t="s">
        <v>148</v>
      </c>
      <c r="C149" s="4">
        <v>1692</v>
      </c>
      <c r="D149" s="6">
        <f t="shared" si="6"/>
        <v>645.28431409938594</v>
      </c>
      <c r="E149" s="8">
        <f t="shared" si="7"/>
        <v>783.33333333333326</v>
      </c>
      <c r="F149" s="10">
        <f t="shared" si="8"/>
        <v>460.7215793056501</v>
      </c>
    </row>
    <row r="150" spans="1:7" x14ac:dyDescent="0.25">
      <c r="A150" s="2">
        <v>149</v>
      </c>
      <c r="B150" s="2" t="s">
        <v>149</v>
      </c>
      <c r="C150" s="4">
        <v>1499.4</v>
      </c>
      <c r="D150" s="6">
        <f t="shared" si="6"/>
        <v>571.83173791998786</v>
      </c>
      <c r="E150" s="8">
        <f t="shared" si="7"/>
        <v>694.16666666666663</v>
      </c>
      <c r="F150" s="10">
        <f t="shared" si="8"/>
        <v>408.27773995915595</v>
      </c>
    </row>
    <row r="151" spans="1:7" x14ac:dyDescent="0.25">
      <c r="A151" s="2">
        <v>150</v>
      </c>
      <c r="B151" s="2" t="s">
        <v>150</v>
      </c>
      <c r="C151" s="4">
        <v>1687.3</v>
      </c>
      <c r="D151" s="6">
        <f t="shared" si="6"/>
        <v>643.49185767133213</v>
      </c>
      <c r="E151" s="8">
        <f t="shared" si="7"/>
        <v>781.15740740740739</v>
      </c>
      <c r="F151" s="10">
        <f t="shared" si="8"/>
        <v>459.44179714091217</v>
      </c>
    </row>
    <row r="152" spans="1:7" x14ac:dyDescent="0.25">
      <c r="A152" s="2">
        <v>151</v>
      </c>
      <c r="B152" s="2" t="s">
        <v>151</v>
      </c>
      <c r="C152" s="4">
        <v>2232</v>
      </c>
      <c r="D152" s="6">
        <f t="shared" si="6"/>
        <v>851.22611647153042</v>
      </c>
      <c r="E152" s="8">
        <f t="shared" si="7"/>
        <v>1033.3333333333333</v>
      </c>
      <c r="F152" s="10">
        <f t="shared" si="8"/>
        <v>607.7603812117087</v>
      </c>
    </row>
    <row r="153" spans="1:7" x14ac:dyDescent="0.25">
      <c r="A153" s="3">
        <v>152</v>
      </c>
      <c r="B153" s="3" t="s">
        <v>152</v>
      </c>
      <c r="C153" s="5">
        <v>0</v>
      </c>
      <c r="D153" s="7">
        <f t="shared" si="6"/>
        <v>0</v>
      </c>
      <c r="E153" s="9">
        <f t="shared" si="7"/>
        <v>0</v>
      </c>
      <c r="F153" s="11">
        <f t="shared" si="8"/>
        <v>0</v>
      </c>
    </row>
    <row r="154" spans="1:7" x14ac:dyDescent="0.25">
      <c r="A154" s="2">
        <v>153</v>
      </c>
      <c r="B154" s="2" t="s">
        <v>153</v>
      </c>
      <c r="C154" s="4">
        <v>2232</v>
      </c>
      <c r="D154" s="6">
        <f t="shared" si="6"/>
        <v>851.22611647153042</v>
      </c>
      <c r="E154" s="8">
        <f t="shared" si="7"/>
        <v>1033.3333333333333</v>
      </c>
      <c r="F154" s="10">
        <f t="shared" si="8"/>
        <v>607.7603812117087</v>
      </c>
    </row>
    <row r="155" spans="1:7" x14ac:dyDescent="0.25">
      <c r="A155" s="2">
        <v>154</v>
      </c>
      <c r="B155" s="2" t="s">
        <v>154</v>
      </c>
      <c r="C155" s="4">
        <v>4341.7700000000004</v>
      </c>
      <c r="D155" s="6">
        <f t="shared" si="6"/>
        <v>1655.8369246024181</v>
      </c>
      <c r="E155" s="8">
        <f t="shared" si="7"/>
        <v>2010.0787037037037</v>
      </c>
      <c r="F155" s="10">
        <f t="shared" si="8"/>
        <v>1182.2382573179034</v>
      </c>
    </row>
    <row r="156" spans="1:7" x14ac:dyDescent="0.25">
      <c r="A156" s="2">
        <v>155</v>
      </c>
      <c r="B156" s="2" t="s">
        <v>155</v>
      </c>
      <c r="C156" s="4">
        <v>3666.9</v>
      </c>
      <c r="D156" s="6">
        <f t="shared" si="6"/>
        <v>1398.45925021929</v>
      </c>
      <c r="E156" s="8">
        <f t="shared" si="7"/>
        <v>1697.6388888888889</v>
      </c>
      <c r="F156" s="10">
        <f t="shared" si="8"/>
        <v>998.47515316541876</v>
      </c>
    </row>
    <row r="157" spans="1:7" x14ac:dyDescent="0.25">
      <c r="A157" s="2">
        <v>156</v>
      </c>
      <c r="B157" s="2" t="s">
        <v>156</v>
      </c>
      <c r="C157" s="4">
        <v>735.95</v>
      </c>
      <c r="D157" s="6">
        <f t="shared" si="6"/>
        <v>280.67198047366617</v>
      </c>
      <c r="E157" s="8">
        <f t="shared" si="7"/>
        <v>340.71759259259261</v>
      </c>
      <c r="F157" s="10">
        <f t="shared" si="8"/>
        <v>200.39482641252556</v>
      </c>
    </row>
    <row r="158" spans="1:7" x14ac:dyDescent="0.25">
      <c r="A158" s="2">
        <v>157</v>
      </c>
      <c r="B158" s="2" t="s">
        <v>157</v>
      </c>
      <c r="C158" s="4">
        <v>1800</v>
      </c>
      <c r="D158" s="6">
        <f t="shared" si="6"/>
        <v>686.47267457381486</v>
      </c>
      <c r="E158" s="8">
        <f t="shared" si="7"/>
        <v>833.33333333333326</v>
      </c>
      <c r="F158" s="10">
        <f t="shared" si="8"/>
        <v>490.12933968686184</v>
      </c>
      <c r="G158" t="s">
        <v>290</v>
      </c>
    </row>
    <row r="159" spans="1:7" x14ac:dyDescent="0.25">
      <c r="A159" s="2">
        <v>158</v>
      </c>
      <c r="B159" s="2" t="s">
        <v>158</v>
      </c>
      <c r="C159" s="4">
        <v>3091.7</v>
      </c>
      <c r="D159" s="6">
        <f t="shared" si="6"/>
        <v>1179.0930933221462</v>
      </c>
      <c r="E159" s="8">
        <f t="shared" si="7"/>
        <v>1431.3425925925924</v>
      </c>
      <c r="F159" s="10">
        <f t="shared" si="8"/>
        <v>841.85159972770589</v>
      </c>
      <c r="G159" t="s">
        <v>290</v>
      </c>
    </row>
    <row r="160" spans="1:7" x14ac:dyDescent="0.25">
      <c r="A160" s="2">
        <v>159</v>
      </c>
      <c r="B160" s="2" t="s">
        <v>159</v>
      </c>
      <c r="C160" s="4">
        <v>2748.9</v>
      </c>
      <c r="D160" s="6">
        <f t="shared" si="6"/>
        <v>1048.3581861866444</v>
      </c>
      <c r="E160" s="8">
        <f t="shared" si="7"/>
        <v>1272.6388888888889</v>
      </c>
      <c r="F160" s="10">
        <f t="shared" si="8"/>
        <v>748.50918992511913</v>
      </c>
      <c r="G160" t="s">
        <v>291</v>
      </c>
    </row>
    <row r="161" spans="1:7" x14ac:dyDescent="0.25">
      <c r="A161" s="2">
        <v>160</v>
      </c>
      <c r="B161" s="2" t="s">
        <v>160</v>
      </c>
      <c r="C161" s="4">
        <v>4890.8999999999996</v>
      </c>
      <c r="D161" s="6">
        <f t="shared" si="6"/>
        <v>1865.2606689294837</v>
      </c>
      <c r="E161" s="8">
        <f t="shared" si="7"/>
        <v>2264.3055555555552</v>
      </c>
      <c r="F161" s="10">
        <f t="shared" si="8"/>
        <v>1331.7631041524846</v>
      </c>
      <c r="G161" t="s">
        <v>291</v>
      </c>
    </row>
    <row r="162" spans="1:7" x14ac:dyDescent="0.25">
      <c r="A162" s="2">
        <v>161</v>
      </c>
      <c r="B162" s="2" t="s">
        <v>161</v>
      </c>
      <c r="C162" s="4">
        <v>3927</v>
      </c>
      <c r="D162" s="6">
        <f t="shared" si="6"/>
        <v>1497.654551695206</v>
      </c>
      <c r="E162" s="8">
        <f t="shared" si="7"/>
        <v>1818.0555555555554</v>
      </c>
      <c r="F162" s="10">
        <f t="shared" si="8"/>
        <v>1069.2988427501703</v>
      </c>
      <c r="G162" t="s">
        <v>291</v>
      </c>
    </row>
    <row r="163" spans="1:7" x14ac:dyDescent="0.25">
      <c r="A163" s="2">
        <v>162</v>
      </c>
      <c r="B163" s="2" t="s">
        <v>162</v>
      </c>
      <c r="C163" s="4">
        <v>4105.5</v>
      </c>
      <c r="D163" s="6">
        <f t="shared" si="6"/>
        <v>1565.7297585904428</v>
      </c>
      <c r="E163" s="8">
        <f t="shared" si="7"/>
        <v>1900.6944444444443</v>
      </c>
      <c r="F163" s="10">
        <f t="shared" si="8"/>
        <v>1117.9033356024506</v>
      </c>
      <c r="G163" t="s">
        <v>291</v>
      </c>
    </row>
    <row r="164" spans="1:7" x14ac:dyDescent="0.25">
      <c r="A164" s="2">
        <v>163</v>
      </c>
      <c r="B164" s="2" t="s">
        <v>163</v>
      </c>
      <c r="C164" s="4">
        <v>4130</v>
      </c>
      <c r="D164" s="6">
        <f t="shared" si="6"/>
        <v>1575.0734144388086</v>
      </c>
      <c r="E164" s="8">
        <f t="shared" si="7"/>
        <v>1912.037037037037</v>
      </c>
      <c r="F164" s="10">
        <f t="shared" si="8"/>
        <v>1124.5745405037442</v>
      </c>
      <c r="G164" t="s">
        <v>290</v>
      </c>
    </row>
    <row r="165" spans="1:7" x14ac:dyDescent="0.25">
      <c r="A165" s="2">
        <v>164</v>
      </c>
      <c r="B165" s="2" t="s">
        <v>164</v>
      </c>
      <c r="C165" s="4">
        <v>4440</v>
      </c>
      <c r="D165" s="6">
        <f t="shared" si="6"/>
        <v>1693.2992639487434</v>
      </c>
      <c r="E165" s="8">
        <f t="shared" si="7"/>
        <v>2055.5555555555552</v>
      </c>
      <c r="F165" s="10">
        <f t="shared" si="8"/>
        <v>1208.9857045609258</v>
      </c>
      <c r="G165" t="s">
        <v>290</v>
      </c>
    </row>
    <row r="166" spans="1:7" x14ac:dyDescent="0.25">
      <c r="A166" s="2">
        <v>165</v>
      </c>
      <c r="B166" s="2" t="s">
        <v>165</v>
      </c>
      <c r="C166" s="4">
        <v>4105.5</v>
      </c>
      <c r="D166" s="6">
        <f t="shared" si="6"/>
        <v>1565.7297585904428</v>
      </c>
      <c r="E166" s="8">
        <f t="shared" si="7"/>
        <v>1900.6944444444443</v>
      </c>
      <c r="F166" s="10">
        <f t="shared" si="8"/>
        <v>1117.9033356024506</v>
      </c>
      <c r="G166" t="s">
        <v>290</v>
      </c>
    </row>
    <row r="167" spans="1:7" x14ac:dyDescent="0.25">
      <c r="A167" s="2">
        <v>166</v>
      </c>
      <c r="B167" s="2" t="s">
        <v>166</v>
      </c>
      <c r="C167" s="4">
        <v>4462.5</v>
      </c>
      <c r="D167" s="6">
        <f t="shared" si="6"/>
        <v>1701.8801723809161</v>
      </c>
      <c r="E167" s="8">
        <f t="shared" si="7"/>
        <v>2065.9722222222222</v>
      </c>
      <c r="F167" s="10">
        <f t="shared" si="8"/>
        <v>1215.1123213070116</v>
      </c>
      <c r="G167" t="s">
        <v>290</v>
      </c>
    </row>
    <row r="168" spans="1:7" x14ac:dyDescent="0.25">
      <c r="A168" s="2">
        <v>167</v>
      </c>
      <c r="B168" s="2" t="s">
        <v>167</v>
      </c>
      <c r="C168" s="4">
        <v>1142.4000000000001</v>
      </c>
      <c r="D168" s="6">
        <f t="shared" si="6"/>
        <v>435.68132412951451</v>
      </c>
      <c r="E168" s="8">
        <f t="shared" si="7"/>
        <v>528.88888888888891</v>
      </c>
      <c r="F168" s="10">
        <f t="shared" si="8"/>
        <v>311.06875425459498</v>
      </c>
      <c r="G168" t="s">
        <v>290</v>
      </c>
    </row>
    <row r="169" spans="1:7" x14ac:dyDescent="0.25">
      <c r="A169" s="2">
        <v>168</v>
      </c>
      <c r="B169" s="2" t="s">
        <v>168</v>
      </c>
      <c r="C169" s="4">
        <v>2225.8000000000002</v>
      </c>
      <c r="D169" s="6">
        <f t="shared" si="6"/>
        <v>848.86159948133184</v>
      </c>
      <c r="E169" s="8">
        <f t="shared" si="7"/>
        <v>1030.462962962963</v>
      </c>
      <c r="F169" s="10">
        <f t="shared" si="8"/>
        <v>606.07215793056503</v>
      </c>
      <c r="G169" t="s">
        <v>290</v>
      </c>
    </row>
    <row r="170" spans="1:7" x14ac:dyDescent="0.25">
      <c r="A170" s="2">
        <v>169</v>
      </c>
      <c r="B170" s="2" t="s">
        <v>169</v>
      </c>
      <c r="C170" s="4">
        <v>288</v>
      </c>
      <c r="D170" s="6">
        <f t="shared" si="6"/>
        <v>109.83562793181038</v>
      </c>
      <c r="E170" s="8">
        <f t="shared" si="7"/>
        <v>133.33333333333331</v>
      </c>
      <c r="F170" s="10">
        <f t="shared" si="8"/>
        <v>78.420694349897886</v>
      </c>
    </row>
    <row r="171" spans="1:7" x14ac:dyDescent="0.25">
      <c r="A171" s="2">
        <v>170</v>
      </c>
      <c r="B171" s="2" t="s">
        <v>170</v>
      </c>
      <c r="C171" s="4">
        <v>292.43</v>
      </c>
      <c r="D171" s="6">
        <f t="shared" si="6"/>
        <v>111.52511345867816</v>
      </c>
      <c r="E171" s="8">
        <f t="shared" si="7"/>
        <v>135.38425925925927</v>
      </c>
      <c r="F171" s="10">
        <f t="shared" si="8"/>
        <v>79.626957113682778</v>
      </c>
      <c r="G171" t="s">
        <v>290</v>
      </c>
    </row>
    <row r="172" spans="1:7" x14ac:dyDescent="0.25">
      <c r="A172" s="2">
        <v>171</v>
      </c>
      <c r="B172" s="2" t="s">
        <v>171</v>
      </c>
      <c r="C172" s="4">
        <v>252.63</v>
      </c>
      <c r="D172" s="6">
        <f t="shared" si="6"/>
        <v>96.346439876434914</v>
      </c>
      <c r="E172" s="8">
        <f t="shared" si="7"/>
        <v>116.95833333333333</v>
      </c>
      <c r="F172" s="10">
        <f t="shared" si="8"/>
        <v>68.78965282505105</v>
      </c>
      <c r="G172" t="s">
        <v>290</v>
      </c>
    </row>
    <row r="173" spans="1:7" x14ac:dyDescent="0.25">
      <c r="A173" s="2">
        <v>172</v>
      </c>
      <c r="B173" s="2" t="s">
        <v>172</v>
      </c>
      <c r="C173" s="4">
        <v>76.38</v>
      </c>
      <c r="D173" s="6">
        <f t="shared" si="6"/>
        <v>29.129323824415543</v>
      </c>
      <c r="E173" s="8">
        <f t="shared" si="7"/>
        <v>35.361111111111107</v>
      </c>
      <c r="F173" s="10">
        <f t="shared" si="8"/>
        <v>20.79782164737917</v>
      </c>
      <c r="G173" t="s">
        <v>290</v>
      </c>
    </row>
    <row r="174" spans="1:7" x14ac:dyDescent="0.25">
      <c r="A174" s="3">
        <v>173</v>
      </c>
      <c r="B174" s="3" t="s">
        <v>173</v>
      </c>
      <c r="C174" s="5">
        <v>0</v>
      </c>
      <c r="D174" s="7">
        <f t="shared" si="6"/>
        <v>0</v>
      </c>
      <c r="E174" s="9">
        <f t="shared" si="7"/>
        <v>0</v>
      </c>
      <c r="F174" s="11">
        <f t="shared" si="8"/>
        <v>0</v>
      </c>
      <c r="G174" t="s">
        <v>292</v>
      </c>
    </row>
    <row r="175" spans="1:7" x14ac:dyDescent="0.25">
      <c r="A175" s="2">
        <v>174</v>
      </c>
      <c r="B175" s="2" t="s">
        <v>174</v>
      </c>
      <c r="C175" s="4">
        <v>3.59</v>
      </c>
      <c r="D175" s="6">
        <f t="shared" si="6"/>
        <v>1.3691316120666641</v>
      </c>
      <c r="E175" s="8">
        <f t="shared" si="7"/>
        <v>1.6620370370370368</v>
      </c>
      <c r="F175" s="10">
        <f t="shared" si="8"/>
        <v>0.9775357385976855</v>
      </c>
      <c r="G175" t="s">
        <v>292</v>
      </c>
    </row>
    <row r="176" spans="1:7" x14ac:dyDescent="0.25">
      <c r="A176" s="3">
        <v>175</v>
      </c>
      <c r="B176" s="3" t="s">
        <v>175</v>
      </c>
      <c r="C176" s="5">
        <v>0</v>
      </c>
      <c r="D176" s="7">
        <f t="shared" si="6"/>
        <v>0</v>
      </c>
      <c r="E176" s="9">
        <f t="shared" si="7"/>
        <v>0</v>
      </c>
      <c r="F176" s="11">
        <f t="shared" si="8"/>
        <v>0</v>
      </c>
      <c r="G176" t="s">
        <v>292</v>
      </c>
    </row>
    <row r="177" spans="1:7" x14ac:dyDescent="0.25">
      <c r="A177" s="2">
        <v>176</v>
      </c>
      <c r="B177" s="2" t="s">
        <v>176</v>
      </c>
      <c r="C177" s="4">
        <v>1300</v>
      </c>
      <c r="D177" s="6">
        <f t="shared" si="6"/>
        <v>495.78582052553293</v>
      </c>
      <c r="E177" s="8">
        <f t="shared" si="7"/>
        <v>601.85185185185185</v>
      </c>
      <c r="F177" s="10">
        <f t="shared" si="8"/>
        <v>353.98230088495575</v>
      </c>
    </row>
    <row r="178" spans="1:7" x14ac:dyDescent="0.25">
      <c r="A178" s="2">
        <v>177</v>
      </c>
      <c r="B178" s="2" t="s">
        <v>177</v>
      </c>
      <c r="C178" s="4">
        <v>2000</v>
      </c>
      <c r="D178" s="6">
        <f t="shared" si="6"/>
        <v>762.74741619312761</v>
      </c>
      <c r="E178" s="8">
        <f t="shared" si="7"/>
        <v>925.92592592592587</v>
      </c>
      <c r="F178" s="10">
        <f t="shared" si="8"/>
        <v>544.58815520762425</v>
      </c>
    </row>
    <row r="179" spans="1:7" x14ac:dyDescent="0.25">
      <c r="A179" s="2">
        <v>178</v>
      </c>
      <c r="B179" s="2" t="s">
        <v>178</v>
      </c>
      <c r="C179" s="4">
        <v>2334</v>
      </c>
      <c r="D179" s="6">
        <f t="shared" si="6"/>
        <v>890.12623469737991</v>
      </c>
      <c r="E179" s="8">
        <f t="shared" si="7"/>
        <v>1080.5555555555554</v>
      </c>
      <c r="F179" s="10">
        <f t="shared" si="8"/>
        <v>635.53437712729749</v>
      </c>
    </row>
    <row r="180" spans="1:7" x14ac:dyDescent="0.25">
      <c r="A180" s="2">
        <v>179</v>
      </c>
      <c r="B180" s="2" t="s">
        <v>179</v>
      </c>
      <c r="C180" s="4">
        <v>4007.46</v>
      </c>
      <c r="D180" s="6">
        <f t="shared" si="6"/>
        <v>1528.3398802486556</v>
      </c>
      <c r="E180" s="8">
        <f t="shared" si="7"/>
        <v>1855.3055555555554</v>
      </c>
      <c r="F180" s="10">
        <f t="shared" si="8"/>
        <v>1091.207624234173</v>
      </c>
    </row>
    <row r="181" spans="1:7" x14ac:dyDescent="0.25">
      <c r="A181" s="2">
        <v>180</v>
      </c>
      <c r="B181" s="2" t="s">
        <v>180</v>
      </c>
      <c r="C181" s="4">
        <v>2000</v>
      </c>
      <c r="D181" s="6">
        <f t="shared" si="6"/>
        <v>762.74741619312761</v>
      </c>
      <c r="E181" s="8">
        <f t="shared" si="7"/>
        <v>925.92592592592587</v>
      </c>
      <c r="F181" s="10">
        <f t="shared" si="8"/>
        <v>544.58815520762425</v>
      </c>
    </row>
    <row r="182" spans="1:7" x14ac:dyDescent="0.25">
      <c r="A182" s="2">
        <v>181</v>
      </c>
      <c r="B182" s="2" t="s">
        <v>181</v>
      </c>
      <c r="C182" s="4">
        <v>2219.6</v>
      </c>
      <c r="D182" s="6">
        <f t="shared" si="6"/>
        <v>846.49708249113303</v>
      </c>
      <c r="E182" s="8">
        <f t="shared" si="7"/>
        <v>1027.5925925925924</v>
      </c>
      <c r="F182" s="10">
        <f t="shared" si="8"/>
        <v>604.38393464942135</v>
      </c>
      <c r="G182" t="s">
        <v>293</v>
      </c>
    </row>
    <row r="183" spans="1:7" x14ac:dyDescent="0.25">
      <c r="A183" s="2">
        <v>182</v>
      </c>
      <c r="B183" s="2" t="s">
        <v>182</v>
      </c>
      <c r="C183" s="4">
        <v>3320.1</v>
      </c>
      <c r="D183" s="6">
        <f t="shared" si="6"/>
        <v>1266.1988482514014</v>
      </c>
      <c r="E183" s="8">
        <f t="shared" si="7"/>
        <v>1537.0833333333333</v>
      </c>
      <c r="F183" s="10">
        <f t="shared" si="8"/>
        <v>904.04356705241662</v>
      </c>
      <c r="G183" t="s">
        <v>293</v>
      </c>
    </row>
    <row r="184" spans="1:7" x14ac:dyDescent="0.25">
      <c r="A184" s="2">
        <v>183</v>
      </c>
      <c r="B184" s="2" t="s">
        <v>183</v>
      </c>
      <c r="C184" s="4">
        <v>4008</v>
      </c>
      <c r="D184" s="6">
        <f t="shared" si="6"/>
        <v>1528.5458220510277</v>
      </c>
      <c r="E184" s="8">
        <f t="shared" si="7"/>
        <v>1855.5555555555554</v>
      </c>
      <c r="F184" s="10">
        <f t="shared" si="8"/>
        <v>1091.354663036079</v>
      </c>
      <c r="G184" t="s">
        <v>293</v>
      </c>
    </row>
    <row r="185" spans="1:7" x14ac:dyDescent="0.25">
      <c r="A185" s="2">
        <v>184</v>
      </c>
      <c r="B185" s="2" t="s">
        <v>184</v>
      </c>
      <c r="C185" s="4">
        <v>3302.25</v>
      </c>
      <c r="D185" s="6">
        <f t="shared" si="6"/>
        <v>1259.3913275618779</v>
      </c>
      <c r="E185" s="8">
        <f t="shared" si="7"/>
        <v>1528.8194444444443</v>
      </c>
      <c r="F185" s="10">
        <f t="shared" si="8"/>
        <v>899.18311776718861</v>
      </c>
      <c r="G185" t="s">
        <v>293</v>
      </c>
    </row>
    <row r="186" spans="1:7" x14ac:dyDescent="0.25">
      <c r="A186" s="2">
        <v>185</v>
      </c>
      <c r="B186" s="2" t="s">
        <v>185</v>
      </c>
      <c r="C186" s="4">
        <v>3955.9</v>
      </c>
      <c r="D186" s="6">
        <f t="shared" si="6"/>
        <v>1508.6762518591968</v>
      </c>
      <c r="E186" s="8">
        <f t="shared" si="7"/>
        <v>1831.4351851851852</v>
      </c>
      <c r="F186" s="10">
        <f t="shared" si="8"/>
        <v>1077.1681415929204</v>
      </c>
      <c r="G186" t="s">
        <v>293</v>
      </c>
    </row>
    <row r="187" spans="1:7" x14ac:dyDescent="0.25">
      <c r="A187" s="2">
        <v>186</v>
      </c>
      <c r="B187" s="2" t="s">
        <v>186</v>
      </c>
      <c r="C187" s="4">
        <v>4117</v>
      </c>
      <c r="D187" s="6">
        <f t="shared" si="6"/>
        <v>1570.1155562335532</v>
      </c>
      <c r="E187" s="8">
        <f t="shared" si="7"/>
        <v>1906.0185185185185</v>
      </c>
      <c r="F187" s="10">
        <f t="shared" si="8"/>
        <v>1121.0347174948945</v>
      </c>
      <c r="G187" t="s">
        <v>293</v>
      </c>
    </row>
    <row r="188" spans="1:7" x14ac:dyDescent="0.25">
      <c r="A188" s="2">
        <v>187</v>
      </c>
      <c r="B188" s="2" t="s">
        <v>187</v>
      </c>
      <c r="C188" s="4">
        <v>4045.4</v>
      </c>
      <c r="D188" s="6">
        <f t="shared" si="6"/>
        <v>1542.8091987338394</v>
      </c>
      <c r="E188" s="8">
        <f t="shared" si="7"/>
        <v>1872.8703703703702</v>
      </c>
      <c r="F188" s="10">
        <f t="shared" si="8"/>
        <v>1101.5384615384617</v>
      </c>
      <c r="G188" t="s">
        <v>293</v>
      </c>
    </row>
    <row r="189" spans="1:7" x14ac:dyDescent="0.25">
      <c r="A189" s="2">
        <v>188</v>
      </c>
      <c r="B189" s="2" t="s">
        <v>188</v>
      </c>
      <c r="C189" s="4">
        <v>3284.4</v>
      </c>
      <c r="D189" s="6">
        <f t="shared" si="6"/>
        <v>1252.5838068723542</v>
      </c>
      <c r="E189" s="8">
        <f t="shared" si="7"/>
        <v>1520.5555555555554</v>
      </c>
      <c r="F189" s="10">
        <f t="shared" si="8"/>
        <v>894.32266848196059</v>
      </c>
      <c r="G189" t="s">
        <v>290</v>
      </c>
    </row>
    <row r="190" spans="1:7" x14ac:dyDescent="0.25">
      <c r="A190" s="2">
        <v>189</v>
      </c>
      <c r="B190" s="2" t="s">
        <v>189</v>
      </c>
      <c r="C190" s="4">
        <v>3320.1</v>
      </c>
      <c r="D190" s="6">
        <f t="shared" si="6"/>
        <v>1266.1988482514014</v>
      </c>
      <c r="E190" s="8">
        <f t="shared" si="7"/>
        <v>1537.0833333333333</v>
      </c>
      <c r="F190" s="10">
        <f t="shared" si="8"/>
        <v>904.04356705241662</v>
      </c>
      <c r="G190" t="s">
        <v>290</v>
      </c>
    </row>
    <row r="191" spans="1:7" x14ac:dyDescent="0.25">
      <c r="A191" s="2">
        <v>190</v>
      </c>
      <c r="B191" s="2" t="s">
        <v>190</v>
      </c>
      <c r="C191" s="4">
        <v>3998.4</v>
      </c>
      <c r="D191" s="6">
        <f t="shared" si="6"/>
        <v>1524.8846344533008</v>
      </c>
      <c r="E191" s="8">
        <f t="shared" si="7"/>
        <v>1851.1111111111111</v>
      </c>
      <c r="F191" s="10">
        <f t="shared" si="8"/>
        <v>1088.7406398910825</v>
      </c>
      <c r="G191" t="s">
        <v>290</v>
      </c>
    </row>
    <row r="192" spans="1:7" x14ac:dyDescent="0.25">
      <c r="A192" s="2">
        <v>191</v>
      </c>
      <c r="B192" s="2" t="s">
        <v>191</v>
      </c>
      <c r="C192" s="4">
        <v>4908.75</v>
      </c>
      <c r="D192" s="6">
        <f t="shared" si="6"/>
        <v>1872.0681896190076</v>
      </c>
      <c r="E192" s="8">
        <f t="shared" si="7"/>
        <v>2272.5694444444443</v>
      </c>
      <c r="F192" s="10">
        <f t="shared" si="8"/>
        <v>1336.6235534377129</v>
      </c>
      <c r="G192" t="s">
        <v>290</v>
      </c>
    </row>
    <row r="193" spans="1:7" x14ac:dyDescent="0.25">
      <c r="A193" s="2">
        <v>192</v>
      </c>
      <c r="B193" s="2" t="s">
        <v>192</v>
      </c>
      <c r="C193" s="4">
        <v>1999.2</v>
      </c>
      <c r="D193" s="6">
        <f t="shared" si="6"/>
        <v>762.4423172266504</v>
      </c>
      <c r="E193" s="8">
        <f t="shared" si="7"/>
        <v>925.55555555555554</v>
      </c>
      <c r="F193" s="10">
        <f t="shared" si="8"/>
        <v>544.37031994554127</v>
      </c>
      <c r="G193" t="s">
        <v>290</v>
      </c>
    </row>
    <row r="194" spans="1:7" x14ac:dyDescent="0.25">
      <c r="A194" s="2">
        <v>193</v>
      </c>
      <c r="B194" s="2" t="s">
        <v>193</v>
      </c>
      <c r="C194" s="4">
        <v>2320.5</v>
      </c>
      <c r="D194" s="6">
        <f t="shared" si="6"/>
        <v>884.9776896380763</v>
      </c>
      <c r="E194" s="8">
        <f t="shared" si="7"/>
        <v>1074.3055555555554</v>
      </c>
      <c r="F194" s="10">
        <f t="shared" si="8"/>
        <v>631.85840707964599</v>
      </c>
      <c r="G194" t="s">
        <v>290</v>
      </c>
    </row>
    <row r="195" spans="1:7" x14ac:dyDescent="0.25">
      <c r="A195" s="2">
        <v>194</v>
      </c>
      <c r="B195" s="2" t="s">
        <v>194</v>
      </c>
      <c r="C195" s="4">
        <v>2320.5</v>
      </c>
      <c r="D195" s="6">
        <f t="shared" ref="D195:D258" si="9">C195/2.6221</f>
        <v>884.9776896380763</v>
      </c>
      <c r="E195" s="8">
        <f t="shared" ref="E195:E258" si="10">C195/2.16</f>
        <v>1074.3055555555554</v>
      </c>
      <c r="F195" s="10">
        <f t="shared" ref="F195:F258" si="11">C195/3.6725</f>
        <v>631.85840707964599</v>
      </c>
      <c r="G195" t="s">
        <v>290</v>
      </c>
    </row>
    <row r="196" spans="1:7" x14ac:dyDescent="0.25">
      <c r="A196" s="2">
        <v>195</v>
      </c>
      <c r="B196" s="2" t="s">
        <v>195</v>
      </c>
      <c r="C196" s="4">
        <v>2685</v>
      </c>
      <c r="D196" s="6">
        <f t="shared" si="9"/>
        <v>1023.9884062392738</v>
      </c>
      <c r="E196" s="8">
        <f t="shared" si="10"/>
        <v>1243.0555555555554</v>
      </c>
      <c r="F196" s="10">
        <f t="shared" si="11"/>
        <v>731.10959836623556</v>
      </c>
    </row>
    <row r="197" spans="1:7" x14ac:dyDescent="0.25">
      <c r="A197" s="2">
        <v>196</v>
      </c>
      <c r="B197" s="2" t="s">
        <v>196</v>
      </c>
      <c r="C197" s="4">
        <v>4920</v>
      </c>
      <c r="D197" s="6">
        <f t="shared" si="9"/>
        <v>1876.358643835094</v>
      </c>
      <c r="E197" s="8">
        <f t="shared" si="10"/>
        <v>2277.7777777777778</v>
      </c>
      <c r="F197" s="10">
        <f t="shared" si="11"/>
        <v>1339.6868618107558</v>
      </c>
      <c r="G197" t="s">
        <v>293</v>
      </c>
    </row>
    <row r="198" spans="1:7" x14ac:dyDescent="0.25">
      <c r="A198" s="3">
        <v>197</v>
      </c>
      <c r="B198" s="3" t="s">
        <v>197</v>
      </c>
      <c r="C198" s="5">
        <v>0</v>
      </c>
      <c r="D198" s="7">
        <f t="shared" si="9"/>
        <v>0</v>
      </c>
      <c r="E198" s="9">
        <f t="shared" si="10"/>
        <v>0</v>
      </c>
      <c r="F198" s="11">
        <f t="shared" si="11"/>
        <v>0</v>
      </c>
      <c r="G198" t="s">
        <v>293</v>
      </c>
    </row>
    <row r="199" spans="1:7" x14ac:dyDescent="0.25">
      <c r="A199" s="2">
        <v>198</v>
      </c>
      <c r="B199" s="2" t="s">
        <v>198</v>
      </c>
      <c r="C199" s="4">
        <v>9886</v>
      </c>
      <c r="D199" s="6">
        <f t="shared" si="9"/>
        <v>3770.2604782426297</v>
      </c>
      <c r="E199" s="8">
        <f t="shared" si="10"/>
        <v>4576.8518518518513</v>
      </c>
      <c r="F199" s="10">
        <f t="shared" si="11"/>
        <v>2691.8992511912866</v>
      </c>
      <c r="G199" t="s">
        <v>293</v>
      </c>
    </row>
    <row r="200" spans="1:7" x14ac:dyDescent="0.25">
      <c r="A200" s="2">
        <v>199</v>
      </c>
      <c r="B200" s="2" t="s">
        <v>199</v>
      </c>
      <c r="C200" s="4">
        <v>8628</v>
      </c>
      <c r="D200" s="6">
        <f t="shared" si="9"/>
        <v>3290.4923534571526</v>
      </c>
      <c r="E200" s="8">
        <f t="shared" si="10"/>
        <v>3994.4444444444443</v>
      </c>
      <c r="F200" s="10">
        <f t="shared" si="11"/>
        <v>2349.3533015656908</v>
      </c>
      <c r="G200" t="s">
        <v>293</v>
      </c>
    </row>
    <row r="201" spans="1:7" x14ac:dyDescent="0.25">
      <c r="A201" s="2">
        <v>200</v>
      </c>
      <c r="B201" s="2" t="s">
        <v>200</v>
      </c>
      <c r="C201" s="4">
        <v>5887.6</v>
      </c>
      <c r="D201" s="6">
        <f t="shared" si="9"/>
        <v>2245.3758437893293</v>
      </c>
      <c r="E201" s="8">
        <f t="shared" si="10"/>
        <v>2725.7407407407409</v>
      </c>
      <c r="F201" s="10">
        <f t="shared" si="11"/>
        <v>1603.1586113002045</v>
      </c>
      <c r="G201" t="s">
        <v>293</v>
      </c>
    </row>
    <row r="202" spans="1:7" x14ac:dyDescent="0.25">
      <c r="A202" s="2">
        <v>201</v>
      </c>
      <c r="B202" s="2" t="s">
        <v>201</v>
      </c>
      <c r="C202" s="4">
        <v>6641.5</v>
      </c>
      <c r="D202" s="6">
        <f t="shared" si="9"/>
        <v>2532.8934823233285</v>
      </c>
      <c r="E202" s="8">
        <f t="shared" si="10"/>
        <v>3074.7685185185182</v>
      </c>
      <c r="F202" s="10">
        <f t="shared" si="11"/>
        <v>1808.4411164057183</v>
      </c>
      <c r="G202" t="s">
        <v>293</v>
      </c>
    </row>
    <row r="203" spans="1:7" x14ac:dyDescent="0.25">
      <c r="A203" s="2">
        <v>202</v>
      </c>
      <c r="B203" s="2" t="s">
        <v>202</v>
      </c>
      <c r="C203" s="4">
        <v>8113.4</v>
      </c>
      <c r="D203" s="6">
        <f t="shared" si="9"/>
        <v>3094.2374432706606</v>
      </c>
      <c r="E203" s="8">
        <f t="shared" si="10"/>
        <v>3756.2037037037035</v>
      </c>
      <c r="F203" s="10">
        <f t="shared" si="11"/>
        <v>2209.2307692307691</v>
      </c>
      <c r="G203" t="s">
        <v>293</v>
      </c>
    </row>
    <row r="204" spans="1:7" x14ac:dyDescent="0.25">
      <c r="A204" s="2">
        <v>203</v>
      </c>
      <c r="B204" s="2" t="s">
        <v>203</v>
      </c>
      <c r="C204" s="4">
        <v>5580</v>
      </c>
      <c r="D204" s="6">
        <f t="shared" si="9"/>
        <v>2128.0652911788261</v>
      </c>
      <c r="E204" s="8">
        <f t="shared" si="10"/>
        <v>2583.333333333333</v>
      </c>
      <c r="F204" s="10">
        <f t="shared" si="11"/>
        <v>1519.4009530292717</v>
      </c>
      <c r="G204" t="s">
        <v>290</v>
      </c>
    </row>
    <row r="205" spans="1:7" x14ac:dyDescent="0.25">
      <c r="A205" s="2">
        <v>204</v>
      </c>
      <c r="B205" s="2" t="s">
        <v>204</v>
      </c>
      <c r="C205" s="4">
        <v>4982.8500000000004</v>
      </c>
      <c r="D205" s="6">
        <f t="shared" si="9"/>
        <v>1900.3279813889631</v>
      </c>
      <c r="E205" s="8">
        <f t="shared" si="10"/>
        <v>2306.875</v>
      </c>
      <c r="F205" s="10">
        <f t="shared" si="11"/>
        <v>1356.8005445881554</v>
      </c>
      <c r="G205" t="s">
        <v>290</v>
      </c>
    </row>
    <row r="206" spans="1:7" x14ac:dyDescent="0.25">
      <c r="A206" s="2">
        <v>205</v>
      </c>
      <c r="B206" s="2" t="s">
        <v>205</v>
      </c>
      <c r="C206" s="4">
        <v>6604.5</v>
      </c>
      <c r="D206" s="6">
        <f t="shared" si="9"/>
        <v>2518.7826551237558</v>
      </c>
      <c r="E206" s="8">
        <f t="shared" si="10"/>
        <v>3057.6388888888887</v>
      </c>
      <c r="F206" s="10">
        <f t="shared" si="11"/>
        <v>1798.3662355343772</v>
      </c>
      <c r="G206" t="s">
        <v>290</v>
      </c>
    </row>
    <row r="207" spans="1:7" x14ac:dyDescent="0.25">
      <c r="A207" s="2">
        <v>206</v>
      </c>
      <c r="B207" s="2" t="s">
        <v>206</v>
      </c>
      <c r="C207" s="4">
        <v>6247.5</v>
      </c>
      <c r="D207" s="6">
        <f t="shared" si="9"/>
        <v>2382.6322413332823</v>
      </c>
      <c r="E207" s="8">
        <f t="shared" si="10"/>
        <v>2892.3611111111109</v>
      </c>
      <c r="F207" s="10">
        <f t="shared" si="11"/>
        <v>1701.1572498298162</v>
      </c>
      <c r="G207" t="s">
        <v>290</v>
      </c>
    </row>
    <row r="208" spans="1:7" x14ac:dyDescent="0.25">
      <c r="A208" s="2">
        <v>207</v>
      </c>
      <c r="B208" s="2" t="s">
        <v>207</v>
      </c>
      <c r="C208" s="4">
        <v>7854</v>
      </c>
      <c r="D208" s="6">
        <f t="shared" si="9"/>
        <v>2995.309103390412</v>
      </c>
      <c r="E208" s="8">
        <f t="shared" si="10"/>
        <v>3636.1111111111109</v>
      </c>
      <c r="F208" s="10">
        <f t="shared" si="11"/>
        <v>2138.5976855003405</v>
      </c>
      <c r="G208" t="s">
        <v>290</v>
      </c>
    </row>
    <row r="209" spans="1:7" x14ac:dyDescent="0.25">
      <c r="A209" s="2">
        <v>208</v>
      </c>
      <c r="B209" s="2" t="s">
        <v>208</v>
      </c>
      <c r="C209" s="4">
        <v>11067</v>
      </c>
      <c r="D209" s="6">
        <f t="shared" si="9"/>
        <v>4220.6628275046714</v>
      </c>
      <c r="E209" s="8">
        <f t="shared" si="10"/>
        <v>5123.6111111111104</v>
      </c>
      <c r="F209" s="10">
        <f t="shared" si="11"/>
        <v>3013.4785568413886</v>
      </c>
      <c r="G209" t="s">
        <v>290</v>
      </c>
    </row>
    <row r="210" spans="1:7" x14ac:dyDescent="0.25">
      <c r="A210" s="2">
        <v>209</v>
      </c>
      <c r="B210" s="2" t="s">
        <v>209</v>
      </c>
      <c r="C210" s="4">
        <v>12495</v>
      </c>
      <c r="D210" s="6">
        <f t="shared" si="9"/>
        <v>4765.2644826665646</v>
      </c>
      <c r="E210" s="8">
        <f t="shared" si="10"/>
        <v>5784.7222222222217</v>
      </c>
      <c r="F210" s="10">
        <f t="shared" si="11"/>
        <v>3402.3144996596325</v>
      </c>
      <c r="G210" t="s">
        <v>290</v>
      </c>
    </row>
    <row r="211" spans="1:7" x14ac:dyDescent="0.25">
      <c r="A211" s="2">
        <v>210</v>
      </c>
      <c r="B211" s="2" t="s">
        <v>210</v>
      </c>
      <c r="C211" s="4">
        <v>12495</v>
      </c>
      <c r="D211" s="6">
        <f t="shared" si="9"/>
        <v>4765.2644826665646</v>
      </c>
      <c r="E211" s="8">
        <f t="shared" si="10"/>
        <v>5784.7222222222217</v>
      </c>
      <c r="F211" s="10">
        <f t="shared" si="11"/>
        <v>3402.3144996596325</v>
      </c>
      <c r="G211" t="s">
        <v>290</v>
      </c>
    </row>
    <row r="212" spans="1:7" x14ac:dyDescent="0.25">
      <c r="A212" s="2">
        <v>211</v>
      </c>
      <c r="B212" s="2" t="s">
        <v>211</v>
      </c>
      <c r="C212" s="4">
        <v>1071</v>
      </c>
      <c r="D212" s="6">
        <f t="shared" si="9"/>
        <v>408.45124137141983</v>
      </c>
      <c r="E212" s="8">
        <f t="shared" si="10"/>
        <v>495.83333333333331</v>
      </c>
      <c r="F212" s="10">
        <f t="shared" si="11"/>
        <v>291.62695711368281</v>
      </c>
      <c r="G212" t="s">
        <v>294</v>
      </c>
    </row>
    <row r="213" spans="1:7" x14ac:dyDescent="0.25">
      <c r="A213" s="2">
        <v>212</v>
      </c>
      <c r="B213" s="2" t="s">
        <v>212</v>
      </c>
      <c r="C213" s="4">
        <v>1249.5</v>
      </c>
      <c r="D213" s="6">
        <f t="shared" si="9"/>
        <v>476.52644826665647</v>
      </c>
      <c r="E213" s="8">
        <f t="shared" si="10"/>
        <v>578.47222222222217</v>
      </c>
      <c r="F213" s="10">
        <f t="shared" si="11"/>
        <v>340.23144996596324</v>
      </c>
      <c r="G213" t="s">
        <v>295</v>
      </c>
    </row>
    <row r="214" spans="1:7" x14ac:dyDescent="0.25">
      <c r="A214" s="2">
        <v>213</v>
      </c>
      <c r="B214" s="13" t="s">
        <v>213</v>
      </c>
      <c r="C214" s="14">
        <v>1677.9</v>
      </c>
      <c r="D214" s="15">
        <f t="shared" si="9"/>
        <v>639.90694481522451</v>
      </c>
      <c r="E214" s="16">
        <f t="shared" si="10"/>
        <v>776.80555555555554</v>
      </c>
      <c r="F214" s="17">
        <f t="shared" si="11"/>
        <v>456.88223281143638</v>
      </c>
      <c r="G214" s="18" t="s">
        <v>295</v>
      </c>
    </row>
    <row r="215" spans="1:7" x14ac:dyDescent="0.25">
      <c r="A215" s="2">
        <v>214</v>
      </c>
      <c r="B215" s="2" t="s">
        <v>214</v>
      </c>
      <c r="C215" s="4">
        <v>787.6</v>
      </c>
      <c r="D215" s="6">
        <f t="shared" si="9"/>
        <v>300.36993249685366</v>
      </c>
      <c r="E215" s="8">
        <f t="shared" si="10"/>
        <v>364.62962962962962</v>
      </c>
      <c r="F215" s="10">
        <f t="shared" si="11"/>
        <v>214.45881552076244</v>
      </c>
      <c r="G215" t="s">
        <v>295</v>
      </c>
    </row>
    <row r="216" spans="1:7" x14ac:dyDescent="0.25">
      <c r="A216" s="2">
        <v>215</v>
      </c>
      <c r="B216" s="2" t="s">
        <v>215</v>
      </c>
      <c r="C216" s="4">
        <v>214.2</v>
      </c>
      <c r="D216" s="6">
        <f t="shared" si="9"/>
        <v>81.69024827428396</v>
      </c>
      <c r="E216" s="8">
        <f t="shared" si="10"/>
        <v>99.166666666666657</v>
      </c>
      <c r="F216" s="10">
        <f t="shared" si="11"/>
        <v>58.325391422736551</v>
      </c>
      <c r="G216" t="s">
        <v>295</v>
      </c>
    </row>
    <row r="217" spans="1:7" x14ac:dyDescent="0.25">
      <c r="A217" s="2">
        <v>216</v>
      </c>
      <c r="B217" s="2" t="s">
        <v>216</v>
      </c>
      <c r="C217" s="4">
        <v>1080</v>
      </c>
      <c r="D217" s="6">
        <f t="shared" si="9"/>
        <v>411.8836047442889</v>
      </c>
      <c r="E217" s="8">
        <f t="shared" si="10"/>
        <v>499.99999999999994</v>
      </c>
      <c r="F217" s="10">
        <f t="shared" si="11"/>
        <v>294.0776038121171</v>
      </c>
      <c r="G217" t="s">
        <v>294</v>
      </c>
    </row>
    <row r="218" spans="1:7" x14ac:dyDescent="0.25">
      <c r="A218" s="2">
        <v>217</v>
      </c>
      <c r="B218" s="2" t="s">
        <v>217</v>
      </c>
      <c r="C218" s="4">
        <v>1077</v>
      </c>
      <c r="D218" s="6">
        <f t="shared" si="9"/>
        <v>410.73948361999925</v>
      </c>
      <c r="E218" s="8">
        <f t="shared" si="10"/>
        <v>498.61111111111109</v>
      </c>
      <c r="F218" s="10">
        <f t="shared" si="11"/>
        <v>293.26072157930565</v>
      </c>
      <c r="G218" t="s">
        <v>294</v>
      </c>
    </row>
    <row r="219" spans="1:7" x14ac:dyDescent="0.25">
      <c r="A219" s="2">
        <v>218</v>
      </c>
      <c r="B219" s="2" t="s">
        <v>218</v>
      </c>
      <c r="C219" s="4">
        <v>1364.2</v>
      </c>
      <c r="D219" s="6">
        <f t="shared" si="9"/>
        <v>520.27001258533232</v>
      </c>
      <c r="E219" s="8">
        <f t="shared" si="10"/>
        <v>631.57407407407402</v>
      </c>
      <c r="F219" s="10">
        <f t="shared" si="11"/>
        <v>371.46358066712054</v>
      </c>
      <c r="G219" t="s">
        <v>294</v>
      </c>
    </row>
    <row r="220" spans="1:7" x14ac:dyDescent="0.25">
      <c r="A220" s="2">
        <v>219</v>
      </c>
      <c r="B220" s="2" t="s">
        <v>219</v>
      </c>
      <c r="C220" s="4">
        <v>1249.5</v>
      </c>
      <c r="D220" s="6">
        <f t="shared" si="9"/>
        <v>476.52644826665647</v>
      </c>
      <c r="E220" s="8">
        <f t="shared" si="10"/>
        <v>578.47222222222217</v>
      </c>
      <c r="F220" s="10">
        <f t="shared" si="11"/>
        <v>340.23144996596324</v>
      </c>
      <c r="G220" t="s">
        <v>294</v>
      </c>
    </row>
    <row r="221" spans="1:7" x14ac:dyDescent="0.25">
      <c r="A221" s="2">
        <v>220</v>
      </c>
      <c r="B221" s="2" t="s">
        <v>220</v>
      </c>
      <c r="C221" s="4">
        <v>1178.0999999999999</v>
      </c>
      <c r="D221" s="6">
        <f t="shared" si="9"/>
        <v>449.29636550856179</v>
      </c>
      <c r="E221" s="8">
        <f t="shared" si="10"/>
        <v>545.41666666666663</v>
      </c>
      <c r="F221" s="10">
        <f t="shared" si="11"/>
        <v>320.78965282505106</v>
      </c>
      <c r="G221" t="s">
        <v>294</v>
      </c>
    </row>
    <row r="222" spans="1:7" x14ac:dyDescent="0.25">
      <c r="A222" s="2">
        <v>221</v>
      </c>
      <c r="B222" s="2" t="s">
        <v>221</v>
      </c>
      <c r="C222" s="4">
        <v>3393.08</v>
      </c>
      <c r="D222" s="6">
        <f t="shared" si="9"/>
        <v>1294.0315014682888</v>
      </c>
      <c r="E222" s="8">
        <f t="shared" si="10"/>
        <v>1570.8703703703702</v>
      </c>
      <c r="F222" s="10">
        <f t="shared" si="11"/>
        <v>923.9155888359428</v>
      </c>
    </row>
    <row r="223" spans="1:7" x14ac:dyDescent="0.25">
      <c r="A223" s="2">
        <v>222</v>
      </c>
      <c r="B223" s="2" t="s">
        <v>222</v>
      </c>
      <c r="C223" s="4">
        <v>38697.85</v>
      </c>
      <c r="D223" s="6">
        <f t="shared" si="9"/>
        <v>14758.342549864612</v>
      </c>
      <c r="E223" s="8">
        <f t="shared" si="10"/>
        <v>17915.671296296296</v>
      </c>
      <c r="F223" s="10">
        <f t="shared" si="11"/>
        <v>10537.19537100068</v>
      </c>
    </row>
    <row r="224" spans="1:7" x14ac:dyDescent="0.25">
      <c r="A224" s="2">
        <v>223</v>
      </c>
      <c r="B224" s="2" t="s">
        <v>223</v>
      </c>
      <c r="C224" s="4">
        <v>89.25</v>
      </c>
      <c r="D224" s="6">
        <f t="shared" si="9"/>
        <v>34.037603447618316</v>
      </c>
      <c r="E224" s="8">
        <f t="shared" si="10"/>
        <v>41.319444444444443</v>
      </c>
      <c r="F224" s="10">
        <f t="shared" si="11"/>
        <v>24.302246426140233</v>
      </c>
      <c r="G224" t="s">
        <v>296</v>
      </c>
    </row>
    <row r="225" spans="1:7" x14ac:dyDescent="0.25">
      <c r="A225" s="2">
        <v>224</v>
      </c>
      <c r="B225" s="2" t="s">
        <v>224</v>
      </c>
      <c r="C225" s="4">
        <v>89.25</v>
      </c>
      <c r="D225" s="6">
        <f t="shared" si="9"/>
        <v>34.037603447618316</v>
      </c>
      <c r="E225" s="8">
        <f t="shared" si="10"/>
        <v>41.319444444444443</v>
      </c>
      <c r="F225" s="10">
        <f t="shared" si="11"/>
        <v>24.302246426140233</v>
      </c>
      <c r="G225" t="s">
        <v>296</v>
      </c>
    </row>
    <row r="226" spans="1:7" x14ac:dyDescent="0.25">
      <c r="A226" s="2">
        <v>225</v>
      </c>
      <c r="B226" s="2" t="s">
        <v>225</v>
      </c>
      <c r="C226" s="4">
        <v>295</v>
      </c>
      <c r="D226" s="6">
        <f t="shared" si="9"/>
        <v>112.50524388848632</v>
      </c>
      <c r="E226" s="8">
        <f t="shared" si="10"/>
        <v>136.57407407407408</v>
      </c>
      <c r="F226" s="10">
        <f t="shared" si="11"/>
        <v>80.326752893124578</v>
      </c>
      <c r="G226" t="s">
        <v>296</v>
      </c>
    </row>
    <row r="227" spans="1:7" x14ac:dyDescent="0.25">
      <c r="A227" s="2">
        <v>226</v>
      </c>
      <c r="B227" s="2" t="s">
        <v>226</v>
      </c>
      <c r="C227" s="4">
        <v>108</v>
      </c>
      <c r="D227" s="6">
        <f t="shared" si="9"/>
        <v>41.18836047442889</v>
      </c>
      <c r="E227" s="8">
        <f t="shared" si="10"/>
        <v>50</v>
      </c>
      <c r="F227" s="10">
        <f t="shared" si="11"/>
        <v>29.407760381211709</v>
      </c>
      <c r="G227" t="s">
        <v>296</v>
      </c>
    </row>
    <row r="228" spans="1:7" x14ac:dyDescent="0.25">
      <c r="A228" s="2">
        <v>227</v>
      </c>
      <c r="B228" s="2" t="s">
        <v>227</v>
      </c>
      <c r="C228" s="4">
        <v>270</v>
      </c>
      <c r="D228" s="6">
        <f t="shared" si="9"/>
        <v>102.97090118607223</v>
      </c>
      <c r="E228" s="8">
        <f t="shared" si="10"/>
        <v>124.99999999999999</v>
      </c>
      <c r="F228" s="10">
        <f t="shared" si="11"/>
        <v>73.519400953029276</v>
      </c>
      <c r="G228" t="s">
        <v>296</v>
      </c>
    </row>
    <row r="229" spans="1:7" x14ac:dyDescent="0.25">
      <c r="A229" s="2">
        <v>228</v>
      </c>
      <c r="B229" s="2" t="s">
        <v>228</v>
      </c>
      <c r="C229" s="4">
        <v>841.5</v>
      </c>
      <c r="D229" s="6">
        <f t="shared" si="9"/>
        <v>320.92597536325843</v>
      </c>
      <c r="E229" s="8">
        <f t="shared" si="10"/>
        <v>389.58333333333331</v>
      </c>
      <c r="F229" s="10">
        <f t="shared" si="11"/>
        <v>229.1354663036079</v>
      </c>
      <c r="G229" t="s">
        <v>297</v>
      </c>
    </row>
    <row r="230" spans="1:7" x14ac:dyDescent="0.25">
      <c r="A230" s="2">
        <v>229</v>
      </c>
      <c r="B230" s="2" t="s">
        <v>229</v>
      </c>
      <c r="C230" s="4">
        <v>92.5</v>
      </c>
      <c r="D230" s="6">
        <f t="shared" si="9"/>
        <v>35.277067998932154</v>
      </c>
      <c r="E230" s="8">
        <f t="shared" si="10"/>
        <v>42.824074074074069</v>
      </c>
      <c r="F230" s="10">
        <f t="shared" si="11"/>
        <v>25.187202178352621</v>
      </c>
      <c r="G230" t="s">
        <v>297</v>
      </c>
    </row>
    <row r="231" spans="1:7" x14ac:dyDescent="0.25">
      <c r="A231" s="2">
        <v>230</v>
      </c>
      <c r="B231" s="2" t="s">
        <v>230</v>
      </c>
      <c r="C231" s="4">
        <v>946.4</v>
      </c>
      <c r="D231" s="6">
        <f t="shared" si="9"/>
        <v>360.932077342588</v>
      </c>
      <c r="E231" s="8">
        <f t="shared" si="10"/>
        <v>438.1481481481481</v>
      </c>
      <c r="F231" s="10">
        <f t="shared" si="11"/>
        <v>257.69911504424778</v>
      </c>
      <c r="G231" t="s">
        <v>297</v>
      </c>
    </row>
    <row r="232" spans="1:7" x14ac:dyDescent="0.25">
      <c r="A232" s="2">
        <v>231</v>
      </c>
      <c r="B232" s="2" t="s">
        <v>231</v>
      </c>
      <c r="C232" s="4">
        <v>1320.9</v>
      </c>
      <c r="D232" s="6">
        <f t="shared" si="9"/>
        <v>503.75653102475115</v>
      </c>
      <c r="E232" s="8">
        <f t="shared" si="10"/>
        <v>611.52777777777783</v>
      </c>
      <c r="F232" s="10">
        <f t="shared" si="11"/>
        <v>359.67324710687546</v>
      </c>
      <c r="G232" t="s">
        <v>296</v>
      </c>
    </row>
    <row r="233" spans="1:7" x14ac:dyDescent="0.25">
      <c r="A233" s="2">
        <v>232</v>
      </c>
      <c r="B233" s="2" t="s">
        <v>232</v>
      </c>
      <c r="C233" s="4">
        <v>1293.3800000000001</v>
      </c>
      <c r="D233" s="6">
        <f t="shared" si="9"/>
        <v>493.26112657793374</v>
      </c>
      <c r="E233" s="8">
        <f t="shared" si="10"/>
        <v>598.78703703703707</v>
      </c>
      <c r="F233" s="10">
        <f t="shared" si="11"/>
        <v>352.17971409121856</v>
      </c>
      <c r="G233" t="s">
        <v>296</v>
      </c>
    </row>
    <row r="234" spans="1:7" x14ac:dyDescent="0.25">
      <c r="A234" s="2">
        <v>233</v>
      </c>
      <c r="B234" s="2" t="s">
        <v>233</v>
      </c>
      <c r="C234" s="4">
        <v>267.75</v>
      </c>
      <c r="D234" s="6">
        <f t="shared" si="9"/>
        <v>102.11281034285496</v>
      </c>
      <c r="E234" s="8">
        <f t="shared" si="10"/>
        <v>123.95833333333333</v>
      </c>
      <c r="F234" s="10">
        <f t="shared" si="11"/>
        <v>72.906739278420702</v>
      </c>
      <c r="G234" t="s">
        <v>296</v>
      </c>
    </row>
    <row r="235" spans="1:7" x14ac:dyDescent="0.25">
      <c r="A235" s="2">
        <v>234</v>
      </c>
      <c r="B235" s="2" t="s">
        <v>234</v>
      </c>
      <c r="C235" s="4">
        <v>178.5</v>
      </c>
      <c r="D235" s="6">
        <f t="shared" si="9"/>
        <v>68.075206895236633</v>
      </c>
      <c r="E235" s="8">
        <f t="shared" si="10"/>
        <v>82.638888888888886</v>
      </c>
      <c r="F235" s="10">
        <f t="shared" si="11"/>
        <v>48.604492852280465</v>
      </c>
      <c r="G235" t="s">
        <v>296</v>
      </c>
    </row>
    <row r="236" spans="1:7" x14ac:dyDescent="0.25">
      <c r="A236" s="2">
        <v>235</v>
      </c>
      <c r="B236" s="2" t="s">
        <v>235</v>
      </c>
      <c r="C236" s="4">
        <v>646</v>
      </c>
      <c r="D236" s="6">
        <f t="shared" si="9"/>
        <v>246.36741543038022</v>
      </c>
      <c r="E236" s="8">
        <f t="shared" si="10"/>
        <v>299.07407407407408</v>
      </c>
      <c r="F236" s="10">
        <f t="shared" si="11"/>
        <v>175.90197413206263</v>
      </c>
      <c r="G236" t="s">
        <v>296</v>
      </c>
    </row>
    <row r="237" spans="1:7" x14ac:dyDescent="0.25">
      <c r="A237" s="2">
        <v>236</v>
      </c>
      <c r="B237" s="2" t="s">
        <v>236</v>
      </c>
      <c r="C237" s="4">
        <v>358</v>
      </c>
      <c r="D237" s="6">
        <f t="shared" si="9"/>
        <v>136.53178749856986</v>
      </c>
      <c r="E237" s="8">
        <f t="shared" si="10"/>
        <v>165.74074074074073</v>
      </c>
      <c r="F237" s="10">
        <f t="shared" si="11"/>
        <v>97.481279782164748</v>
      </c>
    </row>
    <row r="238" spans="1:7" x14ac:dyDescent="0.25">
      <c r="A238" s="3">
        <v>237</v>
      </c>
      <c r="B238" s="3" t="s">
        <v>237</v>
      </c>
      <c r="C238" s="5">
        <v>0</v>
      </c>
      <c r="D238" s="7">
        <f t="shared" si="9"/>
        <v>0</v>
      </c>
      <c r="E238" s="9">
        <f t="shared" si="10"/>
        <v>0</v>
      </c>
      <c r="F238" s="11">
        <f t="shared" si="11"/>
        <v>0</v>
      </c>
    </row>
    <row r="239" spans="1:7" x14ac:dyDescent="0.25">
      <c r="A239" s="3">
        <v>238</v>
      </c>
      <c r="B239" s="3" t="s">
        <v>238</v>
      </c>
      <c r="C239" s="5">
        <v>0</v>
      </c>
      <c r="D239" s="7">
        <f t="shared" si="9"/>
        <v>0</v>
      </c>
      <c r="E239" s="9">
        <f t="shared" si="10"/>
        <v>0</v>
      </c>
      <c r="F239" s="11">
        <f t="shared" si="11"/>
        <v>0</v>
      </c>
    </row>
    <row r="240" spans="1:7" x14ac:dyDescent="0.25">
      <c r="A240" s="2">
        <v>239</v>
      </c>
      <c r="B240" s="2" t="s">
        <v>239</v>
      </c>
      <c r="C240" s="4">
        <v>501.2</v>
      </c>
      <c r="D240" s="6">
        <f t="shared" si="9"/>
        <v>191.14450249799776</v>
      </c>
      <c r="E240" s="8">
        <f t="shared" si="10"/>
        <v>232.03703703703701</v>
      </c>
      <c r="F240" s="10">
        <f t="shared" si="11"/>
        <v>136.47379169503063</v>
      </c>
      <c r="G240" t="s">
        <v>292</v>
      </c>
    </row>
    <row r="241" spans="1:7" x14ac:dyDescent="0.25">
      <c r="A241" s="3">
        <v>240</v>
      </c>
      <c r="B241" s="3" t="s">
        <v>240</v>
      </c>
      <c r="C241" s="5">
        <v>0</v>
      </c>
      <c r="D241" s="7">
        <f t="shared" si="9"/>
        <v>0</v>
      </c>
      <c r="E241" s="9">
        <f t="shared" si="10"/>
        <v>0</v>
      </c>
      <c r="F241" s="11">
        <f t="shared" si="11"/>
        <v>0</v>
      </c>
      <c r="G241" t="s">
        <v>292</v>
      </c>
    </row>
    <row r="242" spans="1:7" x14ac:dyDescent="0.25">
      <c r="A242" s="3">
        <v>241</v>
      </c>
      <c r="B242" s="3" t="s">
        <v>241</v>
      </c>
      <c r="C242" s="5">
        <v>0</v>
      </c>
      <c r="D242" s="7">
        <f t="shared" si="9"/>
        <v>0</v>
      </c>
      <c r="E242" s="9">
        <f t="shared" si="10"/>
        <v>0</v>
      </c>
      <c r="F242" s="11">
        <f t="shared" si="11"/>
        <v>0</v>
      </c>
      <c r="G242" t="s">
        <v>292</v>
      </c>
    </row>
    <row r="243" spans="1:7" x14ac:dyDescent="0.25">
      <c r="A243" s="3">
        <v>242</v>
      </c>
      <c r="B243" s="3" t="s">
        <v>242</v>
      </c>
      <c r="C243" s="5">
        <v>0</v>
      </c>
      <c r="D243" s="7">
        <f t="shared" si="9"/>
        <v>0</v>
      </c>
      <c r="E243" s="9">
        <f t="shared" si="10"/>
        <v>0</v>
      </c>
      <c r="F243" s="11">
        <f t="shared" si="11"/>
        <v>0</v>
      </c>
      <c r="G243" t="s">
        <v>292</v>
      </c>
    </row>
    <row r="244" spans="1:7" x14ac:dyDescent="0.25">
      <c r="A244" s="2">
        <v>243</v>
      </c>
      <c r="B244" s="2" t="s">
        <v>243</v>
      </c>
      <c r="C244" s="4">
        <v>151</v>
      </c>
      <c r="D244" s="6">
        <f t="shared" si="9"/>
        <v>57.587429922581137</v>
      </c>
      <c r="E244" s="8">
        <f t="shared" si="10"/>
        <v>69.907407407407405</v>
      </c>
      <c r="F244" s="10">
        <f t="shared" si="11"/>
        <v>41.116405718175628</v>
      </c>
      <c r="G244" t="s">
        <v>298</v>
      </c>
    </row>
    <row r="245" spans="1:7" x14ac:dyDescent="0.25">
      <c r="A245" s="2">
        <v>244</v>
      </c>
      <c r="B245" s="2" t="s">
        <v>244</v>
      </c>
      <c r="C245" s="4">
        <v>143.19999999999999</v>
      </c>
      <c r="D245" s="6">
        <f t="shared" si="9"/>
        <v>54.612714999427936</v>
      </c>
      <c r="E245" s="8">
        <f t="shared" si="10"/>
        <v>66.296296296296291</v>
      </c>
      <c r="F245" s="10">
        <f t="shared" si="11"/>
        <v>38.992511912865893</v>
      </c>
      <c r="G245" t="s">
        <v>292</v>
      </c>
    </row>
    <row r="246" spans="1:7" x14ac:dyDescent="0.25">
      <c r="A246" s="2">
        <v>245</v>
      </c>
      <c r="B246" s="2" t="s">
        <v>245</v>
      </c>
      <c r="C246" s="4">
        <v>2534.6999999999998</v>
      </c>
      <c r="D246" s="6">
        <f t="shared" si="9"/>
        <v>966.66793791236023</v>
      </c>
      <c r="E246" s="8">
        <f t="shared" si="10"/>
        <v>1173.4722222222222</v>
      </c>
      <c r="F246" s="10">
        <f t="shared" si="11"/>
        <v>690.1837985023825</v>
      </c>
      <c r="G246" t="s">
        <v>292</v>
      </c>
    </row>
    <row r="247" spans="1:7" x14ac:dyDescent="0.25">
      <c r="A247" s="2">
        <v>246</v>
      </c>
      <c r="B247" s="2" t="s">
        <v>246</v>
      </c>
      <c r="C247" s="4">
        <v>1213.8</v>
      </c>
      <c r="D247" s="6">
        <f t="shared" si="9"/>
        <v>462.91140688760913</v>
      </c>
      <c r="E247" s="8">
        <f t="shared" si="10"/>
        <v>561.94444444444434</v>
      </c>
      <c r="F247" s="10">
        <f t="shared" si="11"/>
        <v>330.51055139550715</v>
      </c>
      <c r="G247" t="s">
        <v>292</v>
      </c>
    </row>
    <row r="248" spans="1:7" x14ac:dyDescent="0.25">
      <c r="A248" s="2">
        <v>247</v>
      </c>
      <c r="B248" s="2" t="s">
        <v>247</v>
      </c>
      <c r="C248" s="4">
        <v>1503.6</v>
      </c>
      <c r="D248" s="6">
        <f t="shared" si="9"/>
        <v>573.43350749399326</v>
      </c>
      <c r="E248" s="8">
        <f t="shared" si="10"/>
        <v>696.11111111111097</v>
      </c>
      <c r="F248" s="10">
        <f t="shared" si="11"/>
        <v>409.42137508509188</v>
      </c>
      <c r="G248" t="s">
        <v>298</v>
      </c>
    </row>
    <row r="249" spans="1:7" x14ac:dyDescent="0.25">
      <c r="A249" s="2">
        <v>248</v>
      </c>
      <c r="B249" s="2" t="s">
        <v>248</v>
      </c>
      <c r="C249" s="4">
        <v>901.14</v>
      </c>
      <c r="D249" s="6">
        <f t="shared" si="9"/>
        <v>343.6711033141375</v>
      </c>
      <c r="E249" s="8">
        <f t="shared" si="10"/>
        <v>417.1944444444444</v>
      </c>
      <c r="F249" s="10">
        <f t="shared" si="11"/>
        <v>245.37508509189925</v>
      </c>
      <c r="G249" t="s">
        <v>294</v>
      </c>
    </row>
    <row r="250" spans="1:7" x14ac:dyDescent="0.25">
      <c r="A250" s="2">
        <v>249</v>
      </c>
      <c r="B250" s="2" t="s">
        <v>249</v>
      </c>
      <c r="C250" s="4">
        <v>4304.33</v>
      </c>
      <c r="D250" s="6">
        <f t="shared" si="9"/>
        <v>1641.5582929712825</v>
      </c>
      <c r="E250" s="8">
        <f t="shared" si="10"/>
        <v>1992.7453703703702</v>
      </c>
      <c r="F250" s="10">
        <f t="shared" si="11"/>
        <v>1172.0435670524166</v>
      </c>
      <c r="G250" t="s">
        <v>284</v>
      </c>
    </row>
    <row r="251" spans="1:7" x14ac:dyDescent="0.25">
      <c r="A251" s="2">
        <v>250</v>
      </c>
      <c r="B251" s="2" t="s">
        <v>250</v>
      </c>
      <c r="C251" s="4">
        <v>17.63</v>
      </c>
      <c r="D251" s="6">
        <f t="shared" si="9"/>
        <v>6.7236184737424196</v>
      </c>
      <c r="E251" s="8">
        <f t="shared" si="10"/>
        <v>8.1620370370370363</v>
      </c>
      <c r="F251" s="10">
        <f t="shared" si="11"/>
        <v>4.8005445881552076</v>
      </c>
      <c r="G251" t="s">
        <v>299</v>
      </c>
    </row>
    <row r="252" spans="1:7" x14ac:dyDescent="0.25">
      <c r="A252" s="2">
        <v>251</v>
      </c>
      <c r="B252" s="2" t="s">
        <v>251</v>
      </c>
      <c r="C252" s="4">
        <v>787.6</v>
      </c>
      <c r="D252" s="6">
        <f t="shared" si="9"/>
        <v>300.36993249685366</v>
      </c>
      <c r="E252" s="8">
        <f t="shared" si="10"/>
        <v>364.62962962962962</v>
      </c>
      <c r="F252" s="10">
        <f t="shared" si="11"/>
        <v>214.45881552076244</v>
      </c>
      <c r="G252" t="s">
        <v>300</v>
      </c>
    </row>
    <row r="253" spans="1:7" x14ac:dyDescent="0.25">
      <c r="A253" s="2">
        <v>252</v>
      </c>
      <c r="B253" s="2" t="s">
        <v>252</v>
      </c>
      <c r="C253" s="4">
        <v>268.5</v>
      </c>
      <c r="D253" s="6">
        <f t="shared" si="9"/>
        <v>102.39884062392738</v>
      </c>
      <c r="E253" s="8">
        <f t="shared" si="10"/>
        <v>124.30555555555554</v>
      </c>
      <c r="F253" s="10">
        <f t="shared" si="11"/>
        <v>73.11095983662355</v>
      </c>
      <c r="G253" t="s">
        <v>290</v>
      </c>
    </row>
    <row r="254" spans="1:7" x14ac:dyDescent="0.25">
      <c r="A254" s="2">
        <v>253</v>
      </c>
      <c r="B254" s="2" t="s">
        <v>253</v>
      </c>
      <c r="C254" s="4">
        <v>2605.69</v>
      </c>
      <c r="D254" s="6">
        <f t="shared" si="9"/>
        <v>993.74165745013534</v>
      </c>
      <c r="E254" s="8">
        <f t="shared" si="10"/>
        <v>1206.3379629629628</v>
      </c>
      <c r="F254" s="10">
        <f t="shared" si="11"/>
        <v>709.5139550714772</v>
      </c>
      <c r="G254" t="s">
        <v>301</v>
      </c>
    </row>
    <row r="255" spans="1:7" x14ac:dyDescent="0.25">
      <c r="A255" s="2">
        <v>254</v>
      </c>
      <c r="B255" s="2" t="s">
        <v>254</v>
      </c>
      <c r="C255" s="4">
        <v>1010.8</v>
      </c>
      <c r="D255" s="6">
        <f t="shared" si="9"/>
        <v>385.49254414400667</v>
      </c>
      <c r="E255" s="8">
        <f t="shared" si="10"/>
        <v>467.96296296296293</v>
      </c>
      <c r="F255" s="10">
        <f t="shared" si="11"/>
        <v>275.23485364193328</v>
      </c>
      <c r="G255" t="s">
        <v>301</v>
      </c>
    </row>
    <row r="256" spans="1:7" x14ac:dyDescent="0.25">
      <c r="A256" s="2">
        <v>255</v>
      </c>
      <c r="B256" s="2" t="s">
        <v>255</v>
      </c>
      <c r="C256" s="4">
        <v>1034.92</v>
      </c>
      <c r="D256" s="6">
        <f t="shared" si="9"/>
        <v>394.69127798329583</v>
      </c>
      <c r="E256" s="8">
        <f t="shared" si="10"/>
        <v>479.12962962962962</v>
      </c>
      <c r="F256" s="10">
        <f t="shared" si="11"/>
        <v>281.80258679373725</v>
      </c>
      <c r="G256" t="s">
        <v>301</v>
      </c>
    </row>
    <row r="257" spans="1:7" x14ac:dyDescent="0.25">
      <c r="A257" s="2">
        <v>256</v>
      </c>
      <c r="B257" s="2" t="s">
        <v>256</v>
      </c>
      <c r="C257" s="4">
        <v>1438</v>
      </c>
      <c r="D257" s="6">
        <f t="shared" si="9"/>
        <v>548.41539224285873</v>
      </c>
      <c r="E257" s="8">
        <f t="shared" si="10"/>
        <v>665.74074074074065</v>
      </c>
      <c r="F257" s="10">
        <f t="shared" si="11"/>
        <v>391.55888359428184</v>
      </c>
      <c r="G257" t="s">
        <v>302</v>
      </c>
    </row>
    <row r="258" spans="1:7" x14ac:dyDescent="0.25">
      <c r="A258" s="2">
        <v>257</v>
      </c>
      <c r="B258" s="2" t="s">
        <v>257</v>
      </c>
      <c r="C258" s="4">
        <v>2228.9</v>
      </c>
      <c r="D258" s="6">
        <f t="shared" si="9"/>
        <v>850.04385797643113</v>
      </c>
      <c r="E258" s="8">
        <f t="shared" si="10"/>
        <v>1031.898148148148</v>
      </c>
      <c r="F258" s="10">
        <f t="shared" si="11"/>
        <v>606.91626957113692</v>
      </c>
      <c r="G258" t="s">
        <v>302</v>
      </c>
    </row>
    <row r="259" spans="1:7" x14ac:dyDescent="0.25">
      <c r="A259" s="2">
        <v>258</v>
      </c>
      <c r="B259" s="2" t="s">
        <v>258</v>
      </c>
      <c r="C259" s="4">
        <v>1797.5</v>
      </c>
      <c r="D259" s="6">
        <f t="shared" ref="D259:D262" si="12">C259/2.6221</f>
        <v>685.5192403035735</v>
      </c>
      <c r="E259" s="8">
        <f t="shared" ref="E259:E262" si="13">C259/2.16</f>
        <v>832.17592592592587</v>
      </c>
      <c r="F259" s="10">
        <f t="shared" ref="F259:F262" si="14">C259/3.6725</f>
        <v>489.44860449285227</v>
      </c>
      <c r="G259" t="s">
        <v>302</v>
      </c>
    </row>
    <row r="260" spans="1:7" x14ac:dyDescent="0.25">
      <c r="A260" s="2">
        <v>259</v>
      </c>
      <c r="B260" s="2" t="s">
        <v>259</v>
      </c>
      <c r="C260" s="4">
        <v>135.66</v>
      </c>
      <c r="D260" s="6">
        <f t="shared" si="12"/>
        <v>51.737157240379844</v>
      </c>
      <c r="E260" s="8">
        <f t="shared" si="13"/>
        <v>62.80555555555555</v>
      </c>
      <c r="F260" s="10">
        <f t="shared" si="14"/>
        <v>36.939414567733152</v>
      </c>
      <c r="G260" t="s">
        <v>292</v>
      </c>
    </row>
    <row r="261" spans="1:7" x14ac:dyDescent="0.25">
      <c r="A261" s="2">
        <v>260</v>
      </c>
      <c r="B261" s="2" t="s">
        <v>260</v>
      </c>
      <c r="C261" s="4">
        <v>1035.3</v>
      </c>
      <c r="D261" s="6">
        <f t="shared" si="12"/>
        <v>394.83619999237249</v>
      </c>
      <c r="E261" s="8">
        <f t="shared" si="13"/>
        <v>479.30555555555549</v>
      </c>
      <c r="F261" s="10">
        <f t="shared" si="14"/>
        <v>281.90605854322666</v>
      </c>
      <c r="G261" t="s">
        <v>292</v>
      </c>
    </row>
    <row r="262" spans="1:7" x14ac:dyDescent="0.25">
      <c r="A262" s="2">
        <v>261</v>
      </c>
      <c r="B262" s="2" t="s">
        <v>261</v>
      </c>
      <c r="C262" s="4">
        <v>1695.75</v>
      </c>
      <c r="D262" s="6">
        <f t="shared" si="12"/>
        <v>646.71446550474809</v>
      </c>
      <c r="E262" s="8">
        <f t="shared" si="13"/>
        <v>785.06944444444434</v>
      </c>
      <c r="F262" s="10">
        <f t="shared" si="14"/>
        <v>461.7426820966644</v>
      </c>
      <c r="G262" t="s">
        <v>292</v>
      </c>
    </row>
  </sheetData>
  <autoFilter ref="B1:F262" xr:uid="{A23EB81A-ECA5-4475-A67D-33F7EC51ECA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8FE2-3385-45E6-95E8-A996D9BF4E5F}">
  <dimension ref="A1:E4"/>
  <sheetViews>
    <sheetView workbookViewId="0">
      <selection activeCell="E9" sqref="E9"/>
    </sheetView>
  </sheetViews>
  <sheetFormatPr defaultRowHeight="15" x14ac:dyDescent="0.25"/>
  <cols>
    <col min="1" max="1" width="10.85546875" customWidth="1"/>
    <col min="2" max="2" width="9.85546875" customWidth="1"/>
    <col min="3" max="3" width="15.7109375" customWidth="1"/>
    <col min="4" max="4" width="14" customWidth="1"/>
    <col min="5" max="5" width="17.5703125" customWidth="1"/>
  </cols>
  <sheetData>
    <row r="1" spans="1:5" x14ac:dyDescent="0.25">
      <c r="A1" s="20"/>
      <c r="B1" s="20" t="s">
        <v>306</v>
      </c>
      <c r="C1" s="20" t="s">
        <v>307</v>
      </c>
      <c r="D1" s="20" t="s">
        <v>308</v>
      </c>
      <c r="E1" s="20" t="s">
        <v>309</v>
      </c>
    </row>
    <row r="2" spans="1:5" x14ac:dyDescent="0.25">
      <c r="A2" s="2" t="s">
        <v>303</v>
      </c>
      <c r="B2" s="2">
        <v>968</v>
      </c>
      <c r="C2" s="19">
        <f>B2*2.599</f>
        <v>2515.8320000000003</v>
      </c>
      <c r="D2" s="19">
        <f>C2/11</f>
        <v>228.71200000000002</v>
      </c>
      <c r="E2" s="19">
        <f>C2-D2</f>
        <v>2287.1200000000003</v>
      </c>
    </row>
    <row r="3" spans="1:5" x14ac:dyDescent="0.25">
      <c r="A3" s="2" t="s">
        <v>304</v>
      </c>
      <c r="B3" s="2">
        <v>1059.08</v>
      </c>
      <c r="C3" s="19">
        <f>B3*2.143</f>
        <v>2269.6084399999995</v>
      </c>
      <c r="D3" s="19">
        <f>C3*0.1304</f>
        <v>295.95694057599991</v>
      </c>
      <c r="E3" s="19">
        <f>C3-D3</f>
        <v>1973.6514994239997</v>
      </c>
    </row>
    <row r="4" spans="1:5" x14ac:dyDescent="0.25">
      <c r="A4" t="s">
        <v>305</v>
      </c>
      <c r="B4">
        <v>470</v>
      </c>
      <c r="C4">
        <f>B4*3.57</f>
        <v>1677.8999999999999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2026-06-05T10:56:29Z</dcterms:created>
  <dcterms:modified xsi:type="dcterms:W3CDTF">2026-06-16T12:00:45Z</dcterms:modified>
</cp:coreProperties>
</file>