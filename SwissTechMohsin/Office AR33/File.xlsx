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5A1FB250-A513-492A-96A9-F15D96B38E13}" xr6:coauthVersionLast="47" xr6:coauthVersionMax="47" xr10:uidLastSave="{00000000-0000-0000-0000-000000000000}"/>
  <bookViews>
    <workbookView xWindow="-120" yWindow="-120" windowWidth="20730" windowHeight="11040" xr2:uid="{9C478697-F3B3-4B67-A6BA-545783CD50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2" i="1"/>
  <c r="E3" i="1"/>
  <c r="E4" i="1"/>
  <c r="E5" i="1"/>
  <c r="E6" i="1"/>
  <c r="G6" i="1" s="1"/>
  <c r="E7" i="1"/>
  <c r="G7" i="1" s="1"/>
  <c r="E8" i="1"/>
  <c r="G8" i="1" s="1"/>
  <c r="E9" i="1"/>
  <c r="G9" i="1" s="1"/>
  <c r="E10" i="1"/>
  <c r="G10" i="1" s="1"/>
  <c r="E2" i="1"/>
  <c r="G2" i="1" s="1"/>
  <c r="G5" i="1" l="1"/>
  <c r="F5" i="1"/>
  <c r="F4" i="1"/>
  <c r="G4" i="1" s="1"/>
  <c r="F3" i="1"/>
  <c r="G3" i="1" s="1"/>
</calcChain>
</file>

<file path=xl/sharedStrings.xml><?xml version="1.0" encoding="utf-8"?>
<sst xmlns="http://schemas.openxmlformats.org/spreadsheetml/2006/main" count="39" uniqueCount="27">
  <si>
    <t>Minelab GPZ 7000 Universal Metal Detector</t>
  </si>
  <si>
    <t>motackle.com.au</t>
  </si>
  <si>
    <t>Minelab SDC 2300 Universal Lithium Ion Metal Detector</t>
  </si>
  <si>
    <t>Minelab Gold Monster 1000 Metal Detector (2024)</t>
  </si>
  <si>
    <t>Minelab GPX 6000 Metal Detector</t>
  </si>
  <si>
    <t>MINELAB GPZ 7000 with PREMIUM TRAINING</t>
  </si>
  <si>
    <t>reedsprospecting.com.au</t>
  </si>
  <si>
    <t>Minelab GPX 6000 with PREMIUM TRAINING PACKAGE (In-store or Call for Orders)</t>
  </si>
  <si>
    <t>SDC 2300 - Minelab Detector</t>
  </si>
  <si>
    <t>highbanker.com.au</t>
  </si>
  <si>
    <t>Products for "Minelab Gold Monster 1000 Metal Detector"</t>
  </si>
  <si>
    <t>bcf.com.au</t>
  </si>
  <si>
    <t>Minelab Gold Monster 1000 Metal Detector</t>
  </si>
  <si>
    <t>Website</t>
  </si>
  <si>
    <t>AUD Prices</t>
  </si>
  <si>
    <t>Discarpation</t>
  </si>
  <si>
    <t>Sr No</t>
  </si>
  <si>
    <t>Minelab GPZ 7000 Metal Detector - *Accessories Included* 3301-0001</t>
  </si>
  <si>
    <t>ebay.com.au</t>
  </si>
  <si>
    <t xml:space="preserve">Ebay </t>
  </si>
  <si>
    <t>Minelab SDC 2300 Metal Detector ( 3230-0003)</t>
  </si>
  <si>
    <t>Minelab Gold Monster 1000 Metal Detector Including 1 extra Battery</t>
  </si>
  <si>
    <t>Minelab GPX 6000 Metal Detector 3300-0500</t>
  </si>
  <si>
    <t>Sold</t>
  </si>
  <si>
    <t>AED Prices</t>
  </si>
  <si>
    <t>GST</t>
  </si>
  <si>
    <t>After GST Prices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</si>
</sst>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6ED3-DF90-41CA-8D03-21BCF5819C5E}">
  <dimension ref="A1:G19"/>
  <sheetViews>
    <sheetView tabSelected="1" workbookViewId="0">
      <selection activeCell="G14" sqref="G14"/>
    </sheetView>
  </sheetViews>
  <sheetFormatPr defaultRowHeight="15" x14ac:dyDescent="0.25"/>
  <cols>
    <col min="2" max="2" width="73.140625" bestFit="1" customWidth="1"/>
    <col min="3" max="3" width="24" bestFit="1" customWidth="1"/>
    <col min="4" max="4" width="10.85546875" bestFit="1" customWidth="1"/>
    <col min="5" max="5" width="11" bestFit="1" customWidth="1"/>
    <col min="7" max="7" width="19.85546875" bestFit="1" customWidth="1"/>
  </cols>
  <sheetData>
    <row r="1" spans="1:7" x14ac:dyDescent="0.25">
      <c r="A1" s="7" t="s">
        <v>16</v>
      </c>
      <c r="B1" s="7" t="s">
        <v>15</v>
      </c>
      <c r="C1" s="7" t="s">
        <v>13</v>
      </c>
      <c r="D1" s="7" t="s">
        <v>14</v>
      </c>
      <c r="E1" s="7" t="s">
        <v>24</v>
      </c>
      <c r="F1" s="7" t="s">
        <v>25</v>
      </c>
      <c r="G1" s="7" t="s">
        <v>26</v>
      </c>
    </row>
    <row r="2" spans="1:7" x14ac:dyDescent="0.25">
      <c r="A2" s="1">
        <v>1</v>
      </c>
      <c r="B2" s="1" t="s">
        <v>0</v>
      </c>
      <c r="C2" s="1" t="s">
        <v>1</v>
      </c>
      <c r="D2" s="1">
        <v>10799</v>
      </c>
      <c r="E2" s="3">
        <f>D2*2.5585</f>
        <v>27629.2415</v>
      </c>
      <c r="F2" s="1">
        <f>E2/11</f>
        <v>2511.7492272727272</v>
      </c>
      <c r="G2" s="4">
        <f>E2-F2</f>
        <v>25117.492272727271</v>
      </c>
    </row>
    <row r="3" spans="1:7" x14ac:dyDescent="0.25">
      <c r="A3" s="1">
        <v>2</v>
      </c>
      <c r="B3" s="1" t="s">
        <v>2</v>
      </c>
      <c r="C3" s="1" t="s">
        <v>1</v>
      </c>
      <c r="D3" s="1">
        <v>4599</v>
      </c>
      <c r="E3" s="3">
        <f t="shared" ref="E3:E10" si="0">D3*2.5585</f>
        <v>11766.541499999999</v>
      </c>
      <c r="F3" s="1">
        <f t="shared" ref="F3:F10" si="1">E3/11</f>
        <v>1069.6855909090909</v>
      </c>
      <c r="G3" s="4">
        <f t="shared" ref="G3:G10" si="2">E3-F3</f>
        <v>10696.855909090908</v>
      </c>
    </row>
    <row r="4" spans="1:7" x14ac:dyDescent="0.25">
      <c r="A4" s="1">
        <v>3</v>
      </c>
      <c r="B4" s="1" t="s">
        <v>3</v>
      </c>
      <c r="C4" s="1" t="s">
        <v>1</v>
      </c>
      <c r="D4" s="1">
        <v>1299</v>
      </c>
      <c r="E4" s="3">
        <f t="shared" si="0"/>
        <v>3323.4915000000001</v>
      </c>
      <c r="F4" s="1">
        <f t="shared" si="1"/>
        <v>302.13559090909092</v>
      </c>
      <c r="G4" s="4">
        <f t="shared" si="2"/>
        <v>3021.3559090909093</v>
      </c>
    </row>
    <row r="5" spans="1:7" x14ac:dyDescent="0.25">
      <c r="A5" s="1">
        <v>4</v>
      </c>
      <c r="B5" s="1" t="s">
        <v>4</v>
      </c>
      <c r="C5" s="1" t="s">
        <v>1</v>
      </c>
      <c r="D5" s="1">
        <v>9299</v>
      </c>
      <c r="E5" s="3">
        <f t="shared" si="0"/>
        <v>23791.4915</v>
      </c>
      <c r="F5" s="1">
        <f t="shared" si="1"/>
        <v>2162.8628636363637</v>
      </c>
      <c r="G5" s="4">
        <f t="shared" si="2"/>
        <v>21628.628636363635</v>
      </c>
    </row>
    <row r="6" spans="1:7" x14ac:dyDescent="0.25">
      <c r="A6" s="1">
        <v>5</v>
      </c>
      <c r="B6" s="1" t="s">
        <v>5</v>
      </c>
      <c r="C6" s="1" t="s">
        <v>6</v>
      </c>
      <c r="D6" s="1">
        <v>10799</v>
      </c>
      <c r="E6" s="3">
        <f t="shared" si="0"/>
        <v>27629.2415</v>
      </c>
      <c r="F6" s="1">
        <f t="shared" si="1"/>
        <v>2511.7492272727272</v>
      </c>
      <c r="G6" s="4">
        <f t="shared" si="2"/>
        <v>25117.492272727271</v>
      </c>
    </row>
    <row r="7" spans="1:7" x14ac:dyDescent="0.25">
      <c r="A7" s="1">
        <v>6</v>
      </c>
      <c r="B7" s="1" t="s">
        <v>7</v>
      </c>
      <c r="C7" s="1" t="s">
        <v>6</v>
      </c>
      <c r="D7" s="1">
        <v>9299</v>
      </c>
      <c r="E7" s="3">
        <f t="shared" si="0"/>
        <v>23791.4915</v>
      </c>
      <c r="F7" s="1">
        <f t="shared" si="1"/>
        <v>2162.8628636363637</v>
      </c>
      <c r="G7" s="4">
        <f t="shared" si="2"/>
        <v>21628.628636363635</v>
      </c>
    </row>
    <row r="8" spans="1:7" x14ac:dyDescent="0.25">
      <c r="A8" s="1">
        <v>7</v>
      </c>
      <c r="B8" s="1" t="s">
        <v>8</v>
      </c>
      <c r="C8" s="1" t="s">
        <v>9</v>
      </c>
      <c r="D8" s="1">
        <v>4599</v>
      </c>
      <c r="E8" s="3">
        <f t="shared" si="0"/>
        <v>11766.541499999999</v>
      </c>
      <c r="F8" s="1">
        <f t="shared" si="1"/>
        <v>1069.6855909090909</v>
      </c>
      <c r="G8" s="4">
        <f t="shared" si="2"/>
        <v>10696.855909090908</v>
      </c>
    </row>
    <row r="9" spans="1:7" x14ac:dyDescent="0.25">
      <c r="A9" s="1">
        <v>8</v>
      </c>
      <c r="B9" s="1" t="s">
        <v>10</v>
      </c>
      <c r="C9" s="1" t="s">
        <v>9</v>
      </c>
      <c r="D9" s="1">
        <v>1299</v>
      </c>
      <c r="E9" s="3">
        <f t="shared" si="0"/>
        <v>3323.4915000000001</v>
      </c>
      <c r="F9" s="1">
        <f t="shared" si="1"/>
        <v>302.13559090909092</v>
      </c>
      <c r="G9" s="4">
        <f t="shared" si="2"/>
        <v>3021.3559090909093</v>
      </c>
    </row>
    <row r="10" spans="1:7" x14ac:dyDescent="0.25">
      <c r="A10" s="1">
        <v>9</v>
      </c>
      <c r="B10" s="1" t="s">
        <v>12</v>
      </c>
      <c r="C10" s="1" t="s">
        <v>11</v>
      </c>
      <c r="D10" s="1">
        <v>1439</v>
      </c>
      <c r="E10" s="3">
        <f t="shared" si="0"/>
        <v>3681.6815000000001</v>
      </c>
      <c r="F10" s="1">
        <f t="shared" si="1"/>
        <v>334.69831818181819</v>
      </c>
      <c r="G10" s="4">
        <f t="shared" si="2"/>
        <v>3346.9831818181819</v>
      </c>
    </row>
    <row r="12" spans="1:7" ht="15" customHeight="1" x14ac:dyDescent="0.25">
      <c r="A12" s="5" t="s">
        <v>19</v>
      </c>
      <c r="B12" s="5"/>
      <c r="C12" s="5"/>
      <c r="D12" s="5"/>
      <c r="E12" s="5"/>
    </row>
    <row r="13" spans="1:7" ht="15" customHeight="1" x14ac:dyDescent="0.25">
      <c r="A13" s="5"/>
      <c r="B13" s="5"/>
      <c r="C13" s="5"/>
      <c r="D13" s="5"/>
      <c r="E13" s="5"/>
    </row>
    <row r="14" spans="1:7" ht="15" customHeight="1" x14ac:dyDescent="0.25">
      <c r="A14" s="6"/>
      <c r="B14" s="6"/>
      <c r="C14" s="6"/>
      <c r="D14" s="6"/>
      <c r="E14" s="6"/>
    </row>
    <row r="15" spans="1:7" x14ac:dyDescent="0.25">
      <c r="A15" s="2" t="s">
        <v>16</v>
      </c>
      <c r="B15" s="2" t="s">
        <v>15</v>
      </c>
      <c r="C15" s="2" t="s">
        <v>13</v>
      </c>
      <c r="D15" s="2" t="s">
        <v>14</v>
      </c>
      <c r="E15" s="2" t="s">
        <v>23</v>
      </c>
    </row>
    <row r="16" spans="1:7" x14ac:dyDescent="0.25">
      <c r="A16" s="2">
        <v>1</v>
      </c>
      <c r="B16" s="2" t="s">
        <v>17</v>
      </c>
      <c r="C16" s="2" t="s">
        <v>18</v>
      </c>
      <c r="D16" s="2">
        <v>10799</v>
      </c>
      <c r="E16" s="2">
        <v>0</v>
      </c>
    </row>
    <row r="17" spans="1:5" x14ac:dyDescent="0.25">
      <c r="A17" s="2">
        <v>2</v>
      </c>
      <c r="B17" s="2" t="s">
        <v>20</v>
      </c>
      <c r="C17" s="2" t="s">
        <v>18</v>
      </c>
      <c r="D17" s="2">
        <v>4489</v>
      </c>
      <c r="E17" s="2">
        <v>18</v>
      </c>
    </row>
    <row r="18" spans="1:5" x14ac:dyDescent="0.25">
      <c r="A18" s="2">
        <v>3</v>
      </c>
      <c r="B18" s="2" t="s">
        <v>21</v>
      </c>
      <c r="C18" s="2" t="s">
        <v>18</v>
      </c>
      <c r="D18" s="2">
        <v>1239</v>
      </c>
      <c r="E18" s="2">
        <v>26</v>
      </c>
    </row>
    <row r="19" spans="1:5" x14ac:dyDescent="0.25">
      <c r="A19" s="2">
        <v>4</v>
      </c>
      <c r="B19" s="2" t="s">
        <v>22</v>
      </c>
      <c r="C19" s="2" t="s">
        <v>18</v>
      </c>
      <c r="D19" s="2">
        <v>9299</v>
      </c>
      <c r="E19" s="2">
        <v>0</v>
      </c>
    </row>
  </sheetData>
  <mergeCells count="1">
    <mergeCell ref="A12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C3F3-5488-43D2-8510-44C8BBDC25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2026-04-17T16:33:54Z</dcterms:created>
  <dcterms:modified xsi:type="dcterms:W3CDTF">2026-04-17T18:18:39Z</dcterms:modified>
</cp:coreProperties>
</file>