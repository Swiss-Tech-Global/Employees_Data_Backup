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LISTS\"/>
    </mc:Choice>
  </mc:AlternateContent>
  <xr:revisionPtr revIDLastSave="0" documentId="13_ncr:1_{67A716C9-746C-4C91-8334-AC88E3BFF9C9}" xr6:coauthVersionLast="47" xr6:coauthVersionMax="47" xr10:uidLastSave="{00000000-0000-0000-0000-000000000000}"/>
  <bookViews>
    <workbookView xWindow="-108" yWindow="-108" windowWidth="23256" windowHeight="12456" xr2:uid="{352627EC-8744-4792-84B2-D0E1EB9DCF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" i="1"/>
  <c r="G35" i="1"/>
  <c r="H35" i="1" l="1"/>
  <c r="G34" i="1"/>
  <c r="H34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4" i="1"/>
  <c r="H4" i="1" s="1"/>
  <c r="G6" i="1"/>
  <c r="H6" i="1" s="1"/>
  <c r="G7" i="1"/>
  <c r="G3" i="1"/>
  <c r="I35" i="1" l="1"/>
  <c r="J35" i="1"/>
  <c r="J34" i="1"/>
  <c r="I34" i="1"/>
  <c r="I15" i="1"/>
  <c r="J15" i="1"/>
  <c r="I29" i="1"/>
  <c r="J29" i="1"/>
  <c r="I27" i="1"/>
  <c r="J27" i="1"/>
  <c r="I13" i="1"/>
  <c r="J13" i="1"/>
  <c r="I6" i="1"/>
  <c r="J6" i="1"/>
  <c r="I4" i="1"/>
  <c r="J4" i="1"/>
  <c r="I33" i="1"/>
  <c r="J33" i="1"/>
  <c r="I20" i="1"/>
  <c r="J20" i="1"/>
  <c r="I8" i="1"/>
  <c r="J8" i="1"/>
  <c r="I30" i="1"/>
  <c r="J30" i="1"/>
  <c r="I18" i="1"/>
  <c r="J18" i="1"/>
  <c r="I17" i="1"/>
  <c r="J17" i="1"/>
  <c r="I28" i="1"/>
  <c r="J28" i="1"/>
  <c r="I16" i="1"/>
  <c r="J16" i="1"/>
  <c r="I26" i="1"/>
  <c r="J26" i="1"/>
  <c r="I14" i="1"/>
  <c r="J14" i="1"/>
  <c r="I25" i="1"/>
  <c r="J25" i="1"/>
  <c r="I24" i="1"/>
  <c r="J24" i="1"/>
  <c r="I12" i="1"/>
  <c r="J12" i="1"/>
  <c r="I23" i="1"/>
  <c r="J23" i="1"/>
  <c r="I11" i="1"/>
  <c r="J11" i="1"/>
  <c r="I22" i="1"/>
  <c r="J22" i="1"/>
  <c r="I10" i="1"/>
  <c r="J10" i="1"/>
  <c r="I21" i="1"/>
  <c r="J21" i="1"/>
  <c r="I9" i="1"/>
  <c r="J9" i="1"/>
  <c r="I32" i="1"/>
  <c r="J32" i="1"/>
  <c r="I31" i="1"/>
  <c r="J31" i="1"/>
  <c r="I19" i="1"/>
  <c r="J19" i="1"/>
  <c r="H7" i="1"/>
  <c r="G5" i="1"/>
  <c r="H5" i="1" s="1"/>
  <c r="H3" i="1"/>
  <c r="I7" i="1" l="1"/>
  <c r="J7" i="1"/>
  <c r="I5" i="1"/>
  <c r="J5" i="1"/>
  <c r="J3" i="1"/>
  <c r="I3" i="1"/>
</calcChain>
</file>

<file path=xl/sharedStrings.xml><?xml version="1.0" encoding="utf-8"?>
<sst xmlns="http://schemas.openxmlformats.org/spreadsheetml/2006/main" count="87" uniqueCount="58">
  <si>
    <t>ALL ELECTRONICS ITEMS IN AUSTRALIA</t>
  </si>
  <si>
    <t>S:NO</t>
  </si>
  <si>
    <t>PRODUCT DESCRIPTION</t>
  </si>
  <si>
    <t>CONVERT TO AED</t>
  </si>
  <si>
    <t>AUD</t>
  </si>
  <si>
    <t>WEBSITE</t>
  </si>
  <si>
    <t>LESS GST</t>
  </si>
  <si>
    <t>AFTER GST</t>
  </si>
  <si>
    <t>DIFFERENCE</t>
  </si>
  <si>
    <t>PERCENTAGE</t>
  </si>
  <si>
    <t>Starlink V4</t>
  </si>
  <si>
    <t>Starlink mini</t>
  </si>
  <si>
    <t>Sony Wireless Noise Cencelling Headphones Black WH-1000XMS</t>
  </si>
  <si>
    <t>Sony Wireless Noise Cencelling stereo Headset WH-1000XM4</t>
  </si>
  <si>
    <t>JBL Charge 5 blutooth speaker</t>
  </si>
  <si>
    <t>JBL clip 5 portable speaker</t>
  </si>
  <si>
    <t>JBL flip 6 portable speaker</t>
  </si>
  <si>
    <t>JBL flip 7 portable speaker</t>
  </si>
  <si>
    <t>logitech MX Master 3S Wireless Mouse</t>
  </si>
  <si>
    <t>Galaxy Buds 3 Pro</t>
  </si>
  <si>
    <t>Galaxy Buds FE</t>
  </si>
  <si>
    <t>Beats by Dr. Dre Studio Buds Active Noise Cancelling</t>
  </si>
  <si>
    <t>Beats Pill Portable Speaker</t>
  </si>
  <si>
    <t>Beats studio pro headphones</t>
  </si>
  <si>
    <t>Beats pro 2</t>
  </si>
  <si>
    <t xml:space="preserve">Apple Airpod wire 2 </t>
  </si>
  <si>
    <t>Apple Airpods 4</t>
  </si>
  <si>
    <t>Apple Airpods 4 with Active Noise Cancellation</t>
  </si>
  <si>
    <t>Apple AirPods Max</t>
  </si>
  <si>
    <t>Apple AirPods Max [USB-C]</t>
  </si>
  <si>
    <t xml:space="preserve">Apple AirPods with MagSafe Charging Case [3rd Gen] </t>
  </si>
  <si>
    <t>Apple AirTag</t>
  </si>
  <si>
    <t>Apple AirTag - 4 Pack, Item Tracker with Apple Find My</t>
  </si>
  <si>
    <t xml:space="preserve">AirPods Pro 2 </t>
  </si>
  <si>
    <t>AirPods Pro 2 with MagSafe Case (USB‑C)</t>
  </si>
  <si>
    <t>AirPods Pro 3</t>
  </si>
  <si>
    <t>Apple Magic Mouse black</t>
  </si>
  <si>
    <t>Apple Magic Mouse white</t>
  </si>
  <si>
    <t>Apple Pencil (2nd Gen)</t>
  </si>
  <si>
    <t>Apple Pencil (USB-C)</t>
  </si>
  <si>
    <t>Apple Pencil Pro</t>
  </si>
  <si>
    <t>AED</t>
  </si>
  <si>
    <t>dicksmith.com.au</t>
  </si>
  <si>
    <t>officework</t>
  </si>
  <si>
    <t>thegoodguys</t>
  </si>
  <si>
    <t>harveynorman</t>
  </si>
  <si>
    <t>pb-tech</t>
  </si>
  <si>
    <t>jb-hifi</t>
  </si>
  <si>
    <t>mwave.au</t>
  </si>
  <si>
    <t>digidirect</t>
  </si>
  <si>
    <t>costco.au</t>
  </si>
  <si>
    <t>specular.au</t>
  </si>
  <si>
    <t>maxfit.au</t>
  </si>
  <si>
    <t>techinthebasket</t>
  </si>
  <si>
    <t xml:space="preserve">JBL Charge 6 portable speaker </t>
  </si>
  <si>
    <t>JBL T770 NC</t>
  </si>
  <si>
    <t>bunningswarehouse</t>
  </si>
  <si>
    <t>bunningswarehouse / harveynorman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</si>
</sst>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s&quot;* #,##0.00_-;\-&quot;Rs&quot;* #,##0.00_-;_-&quot;Rs&quot;* &quot;-&quot;??_-;_-@_-"/>
    <numFmt numFmtId="164" formatCode="_-[$AED]\ * #,##0.00_-;\-[$AED]\ * #,##0.00_-;_-[$AED]\ * &quot;-&quot;??_-;_-@_-"/>
    <numFmt numFmtId="165" formatCode="_-[$AUD]\ * #,##0.00_-;\-[$AUD]\ * #,##0.00_-;_-[$AUD]\ * &quot;-&quot;??_-;_-@_-"/>
    <numFmt numFmtId="166" formatCode="_-[$AED-4C09]* #,##0.00_-;\-[$AED-4C09]* #,##0.00_-;_-[$AED-4C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Bahnschrift SemiBold SemiConden"/>
      <family val="2"/>
    </font>
    <font>
      <b/>
      <sz val="12"/>
      <color theme="1"/>
      <name val="Calibri"/>
      <family val="2"/>
      <scheme val="minor"/>
    </font>
    <font>
      <sz val="11"/>
      <color rgb="FF373737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1" applyNumberFormat="1" applyFont="1" applyBorder="1"/>
    <xf numFmtId="165" fontId="0" fillId="0" borderId="1" xfId="0" applyNumberFormat="1" applyBorder="1"/>
    <xf numFmtId="164" fontId="0" fillId="5" borderId="1" xfId="0" applyNumberFormat="1" applyFill="1" applyBorder="1"/>
    <xf numFmtId="9" fontId="0" fillId="5" borderId="1" xfId="2" applyNumberFormat="1" applyFon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9" fontId="0" fillId="6" borderId="1" xfId="2" applyNumberFormat="1" applyFont="1" applyFill="1" applyBorder="1"/>
    <xf numFmtId="9" fontId="0" fillId="8" borderId="1" xfId="2" applyNumberFormat="1" applyFont="1" applyFill="1" applyBorder="1"/>
    <xf numFmtId="166" fontId="0" fillId="0" borderId="1" xfId="1" applyNumberFormat="1" applyFont="1" applyBorder="1"/>
    <xf numFmtId="164" fontId="0" fillId="4" borderId="1" xfId="0" applyNumberFormat="1" applyFill="1" applyBorder="1"/>
    <xf numFmtId="9" fontId="0" fillId="4" borderId="1" xfId="2" applyNumberFormat="1" applyFont="1" applyFill="1" applyBorder="1"/>
    <xf numFmtId="0" fontId="2" fillId="2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7C59-E4A9-4429-ACE9-49C8013E269A}">
  <dimension ref="A1:K35"/>
  <sheetViews>
    <sheetView tabSelected="1" topLeftCell="A4" zoomScale="85" zoomScaleNormal="85" workbookViewId="0">
      <selection activeCell="J30" activeCellId="3" sqref="A7:J7 A9:J9 A15:J15 A29:J30"/>
    </sheetView>
  </sheetViews>
  <sheetFormatPr defaultRowHeight="14.4" x14ac:dyDescent="0.3"/>
  <cols>
    <col min="1" max="1" width="4.77734375" customWidth="1"/>
    <col min="2" max="2" width="58.77734375" customWidth="1"/>
    <col min="3" max="3" width="20" customWidth="1"/>
    <col min="4" max="4" width="16.109375" customWidth="1"/>
    <col min="5" max="5" width="43.21875" customWidth="1"/>
    <col min="6" max="6" width="20.21875" customWidth="1"/>
    <col min="7" max="7" width="19.5546875" customWidth="1"/>
    <col min="8" max="8" width="14.88671875" customWidth="1"/>
    <col min="9" max="9" width="18.21875" customWidth="1"/>
    <col min="10" max="10" width="19.88671875" customWidth="1"/>
    <col min="11" max="11" width="17.5546875" customWidth="1"/>
  </cols>
  <sheetData>
    <row r="1" spans="1:11" ht="24.6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5.6" x14ac:dyDescent="0.3">
      <c r="A2" s="1" t="s">
        <v>1</v>
      </c>
      <c r="B2" s="1" t="s">
        <v>2</v>
      </c>
      <c r="C2" s="2" t="s">
        <v>41</v>
      </c>
      <c r="D2" s="3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4" t="s">
        <v>8</v>
      </c>
      <c r="J2" s="5" t="s">
        <v>9</v>
      </c>
    </row>
    <row r="3" spans="1:11" x14ac:dyDescent="0.3">
      <c r="A3" s="11">
        <v>1</v>
      </c>
      <c r="B3" s="6" t="s">
        <v>10</v>
      </c>
      <c r="C3" s="12">
        <v>770</v>
      </c>
      <c r="D3" s="15">
        <v>529</v>
      </c>
      <c r="E3" s="11" t="s">
        <v>42</v>
      </c>
      <c r="F3" s="12">
        <f>D3*2.41</f>
        <v>1274.8900000000001</v>
      </c>
      <c r="G3" s="12">
        <f>F3/11</f>
        <v>115.89909090909092</v>
      </c>
      <c r="H3" s="12">
        <f>F3-G3</f>
        <v>1158.9909090909091</v>
      </c>
      <c r="I3" s="16">
        <f>C3-H3</f>
        <v>-388.9909090909091</v>
      </c>
      <c r="J3" s="17">
        <f>(C3-H3)/H3</f>
        <v>-0.33562895622367422</v>
      </c>
    </row>
    <row r="4" spans="1:11" x14ac:dyDescent="0.3">
      <c r="A4" s="11">
        <v>2</v>
      </c>
      <c r="B4" s="6" t="s">
        <v>11</v>
      </c>
      <c r="C4" s="12">
        <v>975</v>
      </c>
      <c r="D4" s="15">
        <v>448</v>
      </c>
      <c r="E4" s="11" t="s">
        <v>57</v>
      </c>
      <c r="F4" s="12">
        <f t="shared" ref="F4:F35" si="0">D4*2.41</f>
        <v>1079.68</v>
      </c>
      <c r="G4" s="12">
        <f t="shared" ref="G4:G35" si="1">F4/11</f>
        <v>98.152727272727276</v>
      </c>
      <c r="H4" s="12">
        <f t="shared" ref="H4:H35" si="2">F4-G4</f>
        <v>981.52727272727282</v>
      </c>
      <c r="I4" s="16">
        <f t="shared" ref="I4:I35" si="3">C4-H4</f>
        <v>-6.5272727272728162</v>
      </c>
      <c r="J4" s="21">
        <f t="shared" ref="J4:J35" si="4">(C4-H4)/H4</f>
        <v>-6.6501185536456146E-3</v>
      </c>
    </row>
    <row r="5" spans="1:11" x14ac:dyDescent="0.3">
      <c r="A5" s="11">
        <v>3</v>
      </c>
      <c r="B5" s="6" t="s">
        <v>12</v>
      </c>
      <c r="C5" s="12">
        <v>750</v>
      </c>
      <c r="D5" s="15">
        <v>365</v>
      </c>
      <c r="E5" s="11" t="s">
        <v>42</v>
      </c>
      <c r="F5" s="12">
        <f t="shared" si="0"/>
        <v>879.65000000000009</v>
      </c>
      <c r="G5" s="12">
        <f t="shared" si="1"/>
        <v>79.968181818181833</v>
      </c>
      <c r="H5" s="12">
        <f t="shared" si="2"/>
        <v>799.68181818181824</v>
      </c>
      <c r="I5" s="16">
        <f t="shared" si="3"/>
        <v>-49.681818181818244</v>
      </c>
      <c r="J5" s="21">
        <f t="shared" si="4"/>
        <v>-6.2126982322514707E-2</v>
      </c>
    </row>
    <row r="6" spans="1:11" x14ac:dyDescent="0.3">
      <c r="A6" s="11">
        <v>4</v>
      </c>
      <c r="B6" s="6" t="s">
        <v>13</v>
      </c>
      <c r="C6" s="12">
        <v>550</v>
      </c>
      <c r="D6" s="15">
        <v>339</v>
      </c>
      <c r="E6" s="11" t="s">
        <v>42</v>
      </c>
      <c r="F6" s="12">
        <f t="shared" si="0"/>
        <v>816.99</v>
      </c>
      <c r="G6" s="12">
        <f t="shared" si="1"/>
        <v>74.271818181818176</v>
      </c>
      <c r="H6" s="12">
        <f t="shared" si="2"/>
        <v>742.71818181818185</v>
      </c>
      <c r="I6" s="16">
        <f t="shared" si="3"/>
        <v>-192.71818181818185</v>
      </c>
      <c r="J6" s="17">
        <f t="shared" si="4"/>
        <v>-0.2594768601818872</v>
      </c>
    </row>
    <row r="7" spans="1:11" x14ac:dyDescent="0.3">
      <c r="A7" s="11">
        <v>5</v>
      </c>
      <c r="B7" s="6" t="s">
        <v>14</v>
      </c>
      <c r="C7" s="12">
        <v>325</v>
      </c>
      <c r="D7" s="15">
        <v>142</v>
      </c>
      <c r="E7" s="11" t="s">
        <v>45</v>
      </c>
      <c r="F7" s="12">
        <f t="shared" si="0"/>
        <v>342.22</v>
      </c>
      <c r="G7" s="12">
        <f t="shared" si="1"/>
        <v>31.110909090909093</v>
      </c>
      <c r="H7" s="12">
        <f t="shared" si="2"/>
        <v>311.10909090909092</v>
      </c>
      <c r="I7" s="18">
        <f t="shared" si="3"/>
        <v>13.890909090909076</v>
      </c>
      <c r="J7" s="20">
        <f t="shared" si="4"/>
        <v>4.4649640582081651E-2</v>
      </c>
    </row>
    <row r="8" spans="1:11" x14ac:dyDescent="0.3">
      <c r="A8" s="11">
        <v>6</v>
      </c>
      <c r="B8" s="6" t="s">
        <v>15</v>
      </c>
      <c r="C8" s="12">
        <v>127</v>
      </c>
      <c r="D8" s="15">
        <v>67</v>
      </c>
      <c r="E8" s="11" t="s">
        <v>45</v>
      </c>
      <c r="F8" s="12">
        <f t="shared" si="0"/>
        <v>161.47</v>
      </c>
      <c r="G8" s="12">
        <f t="shared" si="1"/>
        <v>14.67909090909091</v>
      </c>
      <c r="H8" s="12">
        <f t="shared" si="2"/>
        <v>146.79090909090908</v>
      </c>
      <c r="I8" s="16">
        <f t="shared" si="3"/>
        <v>-19.790909090909082</v>
      </c>
      <c r="J8" s="17">
        <f t="shared" si="4"/>
        <v>-0.13482380627980425</v>
      </c>
    </row>
    <row r="9" spans="1:11" x14ac:dyDescent="0.3">
      <c r="A9" s="11">
        <v>7</v>
      </c>
      <c r="B9" s="6" t="s">
        <v>16</v>
      </c>
      <c r="C9" s="12">
        <v>280</v>
      </c>
      <c r="D9" s="15">
        <v>97</v>
      </c>
      <c r="E9" s="11" t="s">
        <v>45</v>
      </c>
      <c r="F9" s="12">
        <f t="shared" si="0"/>
        <v>233.77</v>
      </c>
      <c r="G9" s="12">
        <f t="shared" si="1"/>
        <v>21.251818181818184</v>
      </c>
      <c r="H9" s="12">
        <f t="shared" si="2"/>
        <v>212.51818181818183</v>
      </c>
      <c r="I9" s="18">
        <f t="shared" si="3"/>
        <v>67.48181818181817</v>
      </c>
      <c r="J9" s="20">
        <f t="shared" si="4"/>
        <v>0.31753432861359449</v>
      </c>
    </row>
    <row r="10" spans="1:11" x14ac:dyDescent="0.3">
      <c r="A10" s="11">
        <v>8</v>
      </c>
      <c r="B10" s="6" t="s">
        <v>17</v>
      </c>
      <c r="C10" s="12">
        <v>325</v>
      </c>
      <c r="D10" s="15">
        <v>157</v>
      </c>
      <c r="E10" s="11" t="s">
        <v>45</v>
      </c>
      <c r="F10" s="12">
        <f t="shared" si="0"/>
        <v>378.37</v>
      </c>
      <c r="G10" s="12">
        <f t="shared" si="1"/>
        <v>34.397272727272728</v>
      </c>
      <c r="H10" s="12">
        <f t="shared" si="2"/>
        <v>343.9727272727273</v>
      </c>
      <c r="I10" s="16">
        <f t="shared" si="3"/>
        <v>-18.972727272727298</v>
      </c>
      <c r="J10" s="21">
        <f t="shared" si="4"/>
        <v>-5.5157649919391143E-2</v>
      </c>
    </row>
    <row r="11" spans="1:11" x14ac:dyDescent="0.3">
      <c r="A11" s="11">
        <v>9</v>
      </c>
      <c r="B11" s="6" t="s">
        <v>18</v>
      </c>
      <c r="C11" s="12">
        <v>220.2</v>
      </c>
      <c r="D11" s="15">
        <v>109</v>
      </c>
      <c r="E11" s="11" t="s">
        <v>43</v>
      </c>
      <c r="F11" s="12">
        <f t="shared" si="0"/>
        <v>262.69</v>
      </c>
      <c r="G11" s="12">
        <f t="shared" si="1"/>
        <v>23.880909090909089</v>
      </c>
      <c r="H11" s="12">
        <f t="shared" si="2"/>
        <v>238.80909090909091</v>
      </c>
      <c r="I11" s="16">
        <f t="shared" si="3"/>
        <v>-18.609090909090924</v>
      </c>
      <c r="J11" s="21">
        <f t="shared" si="4"/>
        <v>-7.7924549849632707E-2</v>
      </c>
    </row>
    <row r="12" spans="1:11" x14ac:dyDescent="0.3">
      <c r="A12" s="11">
        <v>10</v>
      </c>
      <c r="B12" s="6" t="s">
        <v>19</v>
      </c>
      <c r="C12" s="12">
        <v>365</v>
      </c>
      <c r="D12" s="15">
        <v>195</v>
      </c>
      <c r="E12" s="11" t="s">
        <v>42</v>
      </c>
      <c r="F12" s="12">
        <f t="shared" si="0"/>
        <v>469.95000000000005</v>
      </c>
      <c r="G12" s="12">
        <f t="shared" si="1"/>
        <v>42.722727272727276</v>
      </c>
      <c r="H12" s="12">
        <f t="shared" si="2"/>
        <v>427.22727272727275</v>
      </c>
      <c r="I12" s="16">
        <f t="shared" si="3"/>
        <v>-62.227272727272748</v>
      </c>
      <c r="J12" s="21">
        <f t="shared" si="4"/>
        <v>-0.14565379295669756</v>
      </c>
    </row>
    <row r="13" spans="1:11" x14ac:dyDescent="0.3">
      <c r="A13" s="11">
        <v>11</v>
      </c>
      <c r="B13" s="6" t="s">
        <v>20</v>
      </c>
      <c r="C13" s="12">
        <v>137.63</v>
      </c>
      <c r="D13" s="15">
        <v>134.57</v>
      </c>
      <c r="E13" s="11" t="s">
        <v>46</v>
      </c>
      <c r="F13" s="12">
        <f t="shared" si="0"/>
        <v>324.31369999999998</v>
      </c>
      <c r="G13" s="12">
        <f t="shared" si="1"/>
        <v>29.483063636363635</v>
      </c>
      <c r="H13" s="12">
        <f t="shared" si="2"/>
        <v>294.83063636363636</v>
      </c>
      <c r="I13" s="16">
        <f t="shared" si="3"/>
        <v>-157.20063636363636</v>
      </c>
      <c r="J13" s="17">
        <f t="shared" si="4"/>
        <v>-0.53318962473679032</v>
      </c>
    </row>
    <row r="14" spans="1:11" x14ac:dyDescent="0.3">
      <c r="A14" s="11">
        <v>12</v>
      </c>
      <c r="B14" s="6" t="s">
        <v>21</v>
      </c>
      <c r="C14" s="12">
        <v>183.5</v>
      </c>
      <c r="D14" s="15">
        <v>197</v>
      </c>
      <c r="E14" s="11" t="s">
        <v>47</v>
      </c>
      <c r="F14" s="12">
        <f t="shared" si="0"/>
        <v>474.77000000000004</v>
      </c>
      <c r="G14" s="12">
        <f t="shared" si="1"/>
        <v>43.160909090909094</v>
      </c>
      <c r="H14" s="12">
        <f t="shared" si="2"/>
        <v>431.60909090909092</v>
      </c>
      <c r="I14" s="16">
        <f t="shared" si="3"/>
        <v>-248.10909090909092</v>
      </c>
      <c r="J14" s="17">
        <f t="shared" si="4"/>
        <v>-0.57484676790867162</v>
      </c>
    </row>
    <row r="15" spans="1:11" x14ac:dyDescent="0.3">
      <c r="A15" s="11">
        <v>13</v>
      </c>
      <c r="B15" s="6" t="s">
        <v>22</v>
      </c>
      <c r="C15" s="12">
        <v>430</v>
      </c>
      <c r="D15" s="15">
        <v>149</v>
      </c>
      <c r="E15" s="11" t="s">
        <v>47</v>
      </c>
      <c r="F15" s="12">
        <f t="shared" si="0"/>
        <v>359.09000000000003</v>
      </c>
      <c r="G15" s="12">
        <f t="shared" si="1"/>
        <v>32.644545454545458</v>
      </c>
      <c r="H15" s="12">
        <f t="shared" si="2"/>
        <v>326.4454545454546</v>
      </c>
      <c r="I15" s="18">
        <f t="shared" si="3"/>
        <v>103.5545454545454</v>
      </c>
      <c r="J15" s="20">
        <f t="shared" si="4"/>
        <v>0.31721852460385958</v>
      </c>
    </row>
    <row r="16" spans="1:11" x14ac:dyDescent="0.3">
      <c r="A16" s="11">
        <v>14</v>
      </c>
      <c r="B16" s="6" t="s">
        <v>23</v>
      </c>
      <c r="C16" s="12">
        <v>495.45</v>
      </c>
      <c r="D16" s="15">
        <v>379</v>
      </c>
      <c r="E16" s="11" t="s">
        <v>43</v>
      </c>
      <c r="F16" s="12">
        <f t="shared" si="0"/>
        <v>913.3900000000001</v>
      </c>
      <c r="G16" s="12">
        <f t="shared" si="1"/>
        <v>83.035454545454556</v>
      </c>
      <c r="H16" s="12">
        <f t="shared" si="2"/>
        <v>830.35454545454559</v>
      </c>
      <c r="I16" s="16">
        <f t="shared" si="3"/>
        <v>-334.9045454545456</v>
      </c>
      <c r="J16" s="17">
        <f t="shared" si="4"/>
        <v>-0.40332716583277689</v>
      </c>
    </row>
    <row r="17" spans="1:10" x14ac:dyDescent="0.3">
      <c r="A17" s="11">
        <v>15</v>
      </c>
      <c r="B17" s="6" t="s">
        <v>24</v>
      </c>
      <c r="C17" s="12">
        <v>700</v>
      </c>
      <c r="D17" s="15">
        <v>369</v>
      </c>
      <c r="E17" s="11" t="s">
        <v>43</v>
      </c>
      <c r="F17" s="12">
        <f t="shared" si="0"/>
        <v>889.29000000000008</v>
      </c>
      <c r="G17" s="12">
        <f t="shared" si="1"/>
        <v>80.844545454545468</v>
      </c>
      <c r="H17" s="12">
        <f t="shared" si="2"/>
        <v>808.4454545454546</v>
      </c>
      <c r="I17" s="16">
        <f t="shared" si="3"/>
        <v>-108.4454545454546</v>
      </c>
      <c r="J17" s="17">
        <f t="shared" si="4"/>
        <v>-0.13414071900055105</v>
      </c>
    </row>
    <row r="18" spans="1:10" x14ac:dyDescent="0.3">
      <c r="A18" s="11">
        <v>16</v>
      </c>
      <c r="B18" s="7" t="s">
        <v>25</v>
      </c>
      <c r="C18" s="12">
        <v>271.58</v>
      </c>
      <c r="D18" s="15">
        <v>310</v>
      </c>
      <c r="E18" s="11" t="s">
        <v>47</v>
      </c>
      <c r="F18" s="12">
        <f t="shared" si="0"/>
        <v>747.1</v>
      </c>
      <c r="G18" s="12">
        <f t="shared" si="1"/>
        <v>67.918181818181822</v>
      </c>
      <c r="H18" s="12">
        <f t="shared" si="2"/>
        <v>679.18181818181824</v>
      </c>
      <c r="I18" s="16">
        <f t="shared" si="3"/>
        <v>-407.60181818181826</v>
      </c>
      <c r="J18" s="17">
        <f t="shared" si="4"/>
        <v>-0.60013652790791061</v>
      </c>
    </row>
    <row r="19" spans="1:10" x14ac:dyDescent="0.3">
      <c r="A19" s="11">
        <v>17</v>
      </c>
      <c r="B19" s="8" t="s">
        <v>26</v>
      </c>
      <c r="C19" s="12">
        <v>367</v>
      </c>
      <c r="D19" s="15">
        <v>184.99</v>
      </c>
      <c r="E19" s="11" t="s">
        <v>50</v>
      </c>
      <c r="F19" s="12">
        <f t="shared" si="0"/>
        <v>445.82590000000005</v>
      </c>
      <c r="G19" s="12">
        <f t="shared" si="1"/>
        <v>40.529627272727275</v>
      </c>
      <c r="H19" s="12">
        <f t="shared" si="2"/>
        <v>405.29627272727276</v>
      </c>
      <c r="I19" s="16">
        <f t="shared" si="3"/>
        <v>-38.296272727272765</v>
      </c>
      <c r="J19" s="17">
        <f t="shared" si="4"/>
        <v>-9.4489575414977101E-2</v>
      </c>
    </row>
    <row r="20" spans="1:10" x14ac:dyDescent="0.3">
      <c r="A20" s="11">
        <v>18</v>
      </c>
      <c r="B20" s="8" t="s">
        <v>27</v>
      </c>
      <c r="C20" s="12">
        <v>550</v>
      </c>
      <c r="D20" s="15">
        <v>268</v>
      </c>
      <c r="E20" s="11" t="s">
        <v>45</v>
      </c>
      <c r="F20" s="12">
        <f t="shared" si="0"/>
        <v>645.88</v>
      </c>
      <c r="G20" s="12">
        <f t="shared" si="1"/>
        <v>58.716363636363639</v>
      </c>
      <c r="H20" s="12">
        <f t="shared" si="2"/>
        <v>587.16363636363633</v>
      </c>
      <c r="I20" s="16">
        <f t="shared" si="3"/>
        <v>-37.163636363636328</v>
      </c>
      <c r="J20" s="17">
        <f t="shared" si="4"/>
        <v>-6.3293491050969167E-2</v>
      </c>
    </row>
    <row r="21" spans="1:10" x14ac:dyDescent="0.3">
      <c r="A21" s="11">
        <v>19</v>
      </c>
      <c r="B21" s="8" t="s">
        <v>28</v>
      </c>
      <c r="C21" s="12">
        <v>1394</v>
      </c>
      <c r="D21" s="15">
        <v>759</v>
      </c>
      <c r="E21" s="11" t="s">
        <v>48</v>
      </c>
      <c r="F21" s="12">
        <f t="shared" si="0"/>
        <v>1829.19</v>
      </c>
      <c r="G21" s="12">
        <f t="shared" si="1"/>
        <v>166.29</v>
      </c>
      <c r="H21" s="12">
        <f t="shared" si="2"/>
        <v>1662.9</v>
      </c>
      <c r="I21" s="16">
        <f t="shared" si="3"/>
        <v>-268.90000000000009</v>
      </c>
      <c r="J21" s="17">
        <f t="shared" si="4"/>
        <v>-0.16170545432677857</v>
      </c>
    </row>
    <row r="22" spans="1:10" x14ac:dyDescent="0.3">
      <c r="A22" s="11">
        <v>20</v>
      </c>
      <c r="B22" s="8" t="s">
        <v>29</v>
      </c>
      <c r="C22" s="12">
        <v>1596.45</v>
      </c>
      <c r="D22" s="15">
        <v>759</v>
      </c>
      <c r="E22" s="11" t="s">
        <v>49</v>
      </c>
      <c r="F22" s="12">
        <f t="shared" si="0"/>
        <v>1829.19</v>
      </c>
      <c r="G22" s="12">
        <f t="shared" si="1"/>
        <v>166.29</v>
      </c>
      <c r="H22" s="12">
        <f t="shared" si="2"/>
        <v>1662.9</v>
      </c>
      <c r="I22" s="16">
        <f t="shared" si="3"/>
        <v>-66.450000000000045</v>
      </c>
      <c r="J22" s="17">
        <f t="shared" si="4"/>
        <v>-3.9960310301280923E-2</v>
      </c>
    </row>
    <row r="23" spans="1:10" x14ac:dyDescent="0.3">
      <c r="A23" s="11">
        <v>21</v>
      </c>
      <c r="B23" s="9" t="s">
        <v>30</v>
      </c>
      <c r="C23" s="12">
        <v>385.35</v>
      </c>
      <c r="D23" s="15">
        <v>284</v>
      </c>
      <c r="E23" s="11" t="s">
        <v>44</v>
      </c>
      <c r="F23" s="12">
        <f t="shared" si="0"/>
        <v>684.44</v>
      </c>
      <c r="G23" s="12">
        <f t="shared" si="1"/>
        <v>62.221818181818186</v>
      </c>
      <c r="H23" s="12">
        <f t="shared" si="2"/>
        <v>622.21818181818185</v>
      </c>
      <c r="I23" s="16">
        <f t="shared" si="3"/>
        <v>-236.86818181818182</v>
      </c>
      <c r="J23" s="17">
        <f t="shared" si="4"/>
        <v>-0.38068347846414585</v>
      </c>
    </row>
    <row r="24" spans="1:10" x14ac:dyDescent="0.3">
      <c r="A24" s="11">
        <v>22</v>
      </c>
      <c r="B24" s="8" t="s">
        <v>31</v>
      </c>
      <c r="C24" s="12">
        <v>66.06</v>
      </c>
      <c r="D24" s="15">
        <v>40</v>
      </c>
      <c r="E24" s="11" t="s">
        <v>45</v>
      </c>
      <c r="F24" s="12">
        <f t="shared" si="0"/>
        <v>96.4</v>
      </c>
      <c r="G24" s="12">
        <f t="shared" si="1"/>
        <v>8.7636363636363637</v>
      </c>
      <c r="H24" s="12">
        <f t="shared" si="2"/>
        <v>87.63636363636364</v>
      </c>
      <c r="I24" s="16">
        <f t="shared" si="3"/>
        <v>-21.576363636363638</v>
      </c>
      <c r="J24" s="21">
        <f t="shared" si="4"/>
        <v>-0.24620331950207469</v>
      </c>
    </row>
    <row r="25" spans="1:10" x14ac:dyDescent="0.3">
      <c r="A25" s="11">
        <v>23</v>
      </c>
      <c r="B25" s="6" t="s">
        <v>32</v>
      </c>
      <c r="C25" s="12">
        <v>247</v>
      </c>
      <c r="D25" s="15">
        <v>144.99</v>
      </c>
      <c r="E25" s="11" t="s">
        <v>50</v>
      </c>
      <c r="F25" s="12">
        <f t="shared" si="0"/>
        <v>349.42590000000007</v>
      </c>
      <c r="G25" s="12">
        <f t="shared" si="1"/>
        <v>31.765990909090917</v>
      </c>
      <c r="H25" s="12">
        <f t="shared" si="2"/>
        <v>317.65990909090914</v>
      </c>
      <c r="I25" s="16">
        <f t="shared" si="3"/>
        <v>-70.659909090909139</v>
      </c>
      <c r="J25" s="17">
        <f t="shared" si="4"/>
        <v>-0.22243886328975626</v>
      </c>
    </row>
    <row r="26" spans="1:10" x14ac:dyDescent="0.3">
      <c r="A26" s="11">
        <v>24</v>
      </c>
      <c r="B26" s="7" t="s">
        <v>33</v>
      </c>
      <c r="C26" s="12">
        <v>568.85</v>
      </c>
      <c r="D26" s="15">
        <v>299</v>
      </c>
      <c r="E26" s="11" t="s">
        <v>42</v>
      </c>
      <c r="F26" s="12">
        <f t="shared" si="0"/>
        <v>720.59</v>
      </c>
      <c r="G26" s="12">
        <f t="shared" si="1"/>
        <v>65.508181818181825</v>
      </c>
      <c r="H26" s="12">
        <f t="shared" si="2"/>
        <v>655.08181818181822</v>
      </c>
      <c r="I26" s="16">
        <f t="shared" si="3"/>
        <v>-86.231818181818198</v>
      </c>
      <c r="J26" s="17">
        <f t="shared" si="4"/>
        <v>-0.13163518783219308</v>
      </c>
    </row>
    <row r="27" spans="1:10" x14ac:dyDescent="0.3">
      <c r="A27" s="11">
        <v>25</v>
      </c>
      <c r="B27" s="8" t="s">
        <v>34</v>
      </c>
      <c r="C27" s="13">
        <v>660</v>
      </c>
      <c r="D27" s="15">
        <v>309.06</v>
      </c>
      <c r="E27" s="11" t="s">
        <v>50</v>
      </c>
      <c r="F27" s="12">
        <f t="shared" si="0"/>
        <v>744.83460000000002</v>
      </c>
      <c r="G27" s="12">
        <f t="shared" si="1"/>
        <v>67.712236363636364</v>
      </c>
      <c r="H27" s="12">
        <f t="shared" si="2"/>
        <v>677.12236363636362</v>
      </c>
      <c r="I27" s="16">
        <f t="shared" si="3"/>
        <v>-17.122363636363616</v>
      </c>
      <c r="J27" s="17">
        <f t="shared" si="4"/>
        <v>-2.5286956325605684E-2</v>
      </c>
    </row>
    <row r="28" spans="1:10" x14ac:dyDescent="0.3">
      <c r="A28" s="11">
        <v>26</v>
      </c>
      <c r="B28" s="7" t="s">
        <v>35</v>
      </c>
      <c r="C28" s="12">
        <v>330</v>
      </c>
      <c r="D28" s="15">
        <v>429</v>
      </c>
      <c r="E28" s="11" t="s">
        <v>45</v>
      </c>
      <c r="F28" s="12">
        <f t="shared" si="0"/>
        <v>1033.8900000000001</v>
      </c>
      <c r="G28" s="12">
        <f t="shared" si="1"/>
        <v>93.990000000000009</v>
      </c>
      <c r="H28" s="12">
        <f t="shared" si="2"/>
        <v>939.90000000000009</v>
      </c>
      <c r="I28" s="16">
        <f t="shared" si="3"/>
        <v>-609.90000000000009</v>
      </c>
      <c r="J28" s="17">
        <f t="shared" si="4"/>
        <v>-0.64889881902330038</v>
      </c>
    </row>
    <row r="29" spans="1:10" x14ac:dyDescent="0.3">
      <c r="A29" s="11">
        <v>27</v>
      </c>
      <c r="B29" s="6" t="s">
        <v>36</v>
      </c>
      <c r="C29" s="12">
        <v>340</v>
      </c>
      <c r="D29" s="14">
        <v>139</v>
      </c>
      <c r="E29" s="11" t="s">
        <v>51</v>
      </c>
      <c r="F29" s="12">
        <f t="shared" si="0"/>
        <v>334.99</v>
      </c>
      <c r="G29" s="12">
        <f t="shared" si="1"/>
        <v>30.453636363636363</v>
      </c>
      <c r="H29" s="12">
        <f t="shared" si="2"/>
        <v>304.53636363636366</v>
      </c>
      <c r="I29" s="19">
        <f t="shared" si="3"/>
        <v>35.46363636363634</v>
      </c>
      <c r="J29" s="20">
        <f t="shared" si="4"/>
        <v>0.11645123735036858</v>
      </c>
    </row>
    <row r="30" spans="1:10" x14ac:dyDescent="0.3">
      <c r="A30" s="11">
        <v>28</v>
      </c>
      <c r="B30" s="6" t="s">
        <v>37</v>
      </c>
      <c r="C30" s="12">
        <v>230</v>
      </c>
      <c r="D30" s="15">
        <v>99</v>
      </c>
      <c r="E30" s="11" t="s">
        <v>52</v>
      </c>
      <c r="F30" s="12">
        <f t="shared" si="0"/>
        <v>238.59</v>
      </c>
      <c r="G30" s="12">
        <f t="shared" si="1"/>
        <v>21.69</v>
      </c>
      <c r="H30" s="12">
        <f t="shared" si="2"/>
        <v>216.9</v>
      </c>
      <c r="I30" s="19">
        <f t="shared" si="3"/>
        <v>13.099999999999994</v>
      </c>
      <c r="J30" s="20">
        <f t="shared" si="4"/>
        <v>6.0396496081143357E-2</v>
      </c>
    </row>
    <row r="31" spans="1:10" x14ac:dyDescent="0.3">
      <c r="A31" s="11">
        <v>29</v>
      </c>
      <c r="B31" s="10" t="s">
        <v>38</v>
      </c>
      <c r="C31" s="22">
        <v>140.99</v>
      </c>
      <c r="D31" s="15">
        <v>147.99</v>
      </c>
      <c r="E31" s="11" t="s">
        <v>53</v>
      </c>
      <c r="F31" s="12">
        <f t="shared" si="0"/>
        <v>356.65590000000003</v>
      </c>
      <c r="G31" s="12">
        <f t="shared" si="1"/>
        <v>32.423263636363636</v>
      </c>
      <c r="H31" s="12">
        <f t="shared" si="2"/>
        <v>324.2326363636364</v>
      </c>
      <c r="I31" s="16">
        <f t="shared" si="3"/>
        <v>-183.24263636363639</v>
      </c>
      <c r="J31" s="17">
        <f t="shared" si="4"/>
        <v>-0.56515790149553113</v>
      </c>
    </row>
    <row r="32" spans="1:10" x14ac:dyDescent="0.3">
      <c r="A32" s="11">
        <v>30</v>
      </c>
      <c r="B32" s="8" t="s">
        <v>39</v>
      </c>
      <c r="C32" s="22">
        <v>125.12</v>
      </c>
      <c r="D32" s="14">
        <v>117</v>
      </c>
      <c r="E32" s="11" t="s">
        <v>47</v>
      </c>
      <c r="F32" s="12">
        <f t="shared" si="0"/>
        <v>281.97000000000003</v>
      </c>
      <c r="G32" s="12">
        <f t="shared" si="1"/>
        <v>25.633636363636366</v>
      </c>
      <c r="H32" s="12">
        <f t="shared" si="2"/>
        <v>256.33636363636367</v>
      </c>
      <c r="I32" s="16">
        <f t="shared" si="3"/>
        <v>-131.21636363636367</v>
      </c>
      <c r="J32" s="21">
        <f t="shared" si="4"/>
        <v>-0.51189133595772607</v>
      </c>
    </row>
    <row r="33" spans="1:10" x14ac:dyDescent="0.3">
      <c r="A33" s="11">
        <v>31</v>
      </c>
      <c r="B33" s="10" t="s">
        <v>40</v>
      </c>
      <c r="C33" s="22">
        <v>189</v>
      </c>
      <c r="D33" s="14">
        <v>189</v>
      </c>
      <c r="E33" s="11" t="s">
        <v>42</v>
      </c>
      <c r="F33" s="12">
        <f t="shared" si="0"/>
        <v>455.49</v>
      </c>
      <c r="G33" s="12">
        <f t="shared" si="1"/>
        <v>41.408181818181816</v>
      </c>
      <c r="H33" s="12">
        <f t="shared" si="2"/>
        <v>414.08181818181822</v>
      </c>
      <c r="I33" s="16">
        <f t="shared" si="3"/>
        <v>-225.08181818181822</v>
      </c>
      <c r="J33" s="17">
        <f t="shared" si="4"/>
        <v>-0.54356846473029052</v>
      </c>
    </row>
    <row r="34" spans="1:10" x14ac:dyDescent="0.3">
      <c r="A34" s="11">
        <v>32</v>
      </c>
      <c r="B34" s="6" t="s">
        <v>54</v>
      </c>
      <c r="C34" s="22">
        <v>380</v>
      </c>
      <c r="D34" s="14">
        <v>184</v>
      </c>
      <c r="E34" s="11" t="s">
        <v>45</v>
      </c>
      <c r="F34" s="12">
        <f t="shared" si="0"/>
        <v>443.44000000000005</v>
      </c>
      <c r="G34" s="12">
        <f t="shared" si="1"/>
        <v>40.31272727272728</v>
      </c>
      <c r="H34" s="12">
        <f t="shared" si="2"/>
        <v>403.12727272727278</v>
      </c>
      <c r="I34" s="16">
        <f t="shared" si="3"/>
        <v>-23.127272727272782</v>
      </c>
      <c r="J34" s="17">
        <f t="shared" si="4"/>
        <v>-5.7369655421252157E-2</v>
      </c>
    </row>
    <row r="35" spans="1:10" x14ac:dyDescent="0.3">
      <c r="A35" s="11">
        <v>33</v>
      </c>
      <c r="B35" s="6" t="s">
        <v>55</v>
      </c>
      <c r="C35" s="22">
        <v>168</v>
      </c>
      <c r="D35" s="14">
        <v>104.9</v>
      </c>
      <c r="E35" s="11" t="s">
        <v>56</v>
      </c>
      <c r="F35" s="12">
        <f t="shared" si="0"/>
        <v>252.80900000000003</v>
      </c>
      <c r="G35" s="12">
        <f t="shared" si="1"/>
        <v>22.982636363636367</v>
      </c>
      <c r="H35" s="12">
        <f t="shared" si="2"/>
        <v>229.82636363636365</v>
      </c>
      <c r="I35" s="16">
        <f t="shared" si="3"/>
        <v>-61.826363636363652</v>
      </c>
      <c r="J35" s="17">
        <f t="shared" si="4"/>
        <v>-0.26901336582162821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428A-9319-4838-985D-4AEBBE2167BF}">
  <dimension ref="A1:J6"/>
  <sheetViews>
    <sheetView workbookViewId="0">
      <selection activeCell="I11" sqref="I11"/>
    </sheetView>
  </sheetViews>
  <sheetFormatPr defaultRowHeight="14.4" x14ac:dyDescent="0.3"/>
  <cols>
    <col min="1" max="1" width="5.109375" customWidth="1"/>
    <col min="2" max="2" width="27.6640625" customWidth="1"/>
    <col min="3" max="3" width="19.6640625" customWidth="1"/>
    <col min="4" max="4" width="17.21875" customWidth="1"/>
    <col min="5" max="5" width="26.33203125" customWidth="1"/>
    <col min="6" max="6" width="17.33203125" customWidth="1"/>
    <col min="7" max="7" width="15.5546875" customWidth="1"/>
    <col min="8" max="9" width="14.88671875" customWidth="1"/>
  </cols>
  <sheetData>
    <row r="1" spans="1:10" ht="14.4" customHeight="1" x14ac:dyDescent="0.3">
      <c r="A1" s="11">
        <v>5</v>
      </c>
      <c r="B1" s="6" t="s">
        <v>14</v>
      </c>
      <c r="C1" s="12">
        <v>325</v>
      </c>
      <c r="D1" s="15">
        <v>142</v>
      </c>
      <c r="E1" s="11" t="s">
        <v>45</v>
      </c>
      <c r="F1" s="12">
        <v>342.22</v>
      </c>
      <c r="G1" s="12">
        <v>31.110909090909093</v>
      </c>
      <c r="H1" s="12">
        <v>311.10909090909092</v>
      </c>
      <c r="I1" s="18">
        <v>13.890909090909076</v>
      </c>
      <c r="J1" s="20">
        <v>4.4649640582081651E-2</v>
      </c>
    </row>
    <row r="2" spans="1:10" x14ac:dyDescent="0.3">
      <c r="A2" s="11">
        <v>7</v>
      </c>
      <c r="B2" s="6" t="s">
        <v>16</v>
      </c>
      <c r="C2" s="12">
        <v>280</v>
      </c>
      <c r="D2" s="15">
        <v>97</v>
      </c>
      <c r="E2" s="11" t="s">
        <v>45</v>
      </c>
      <c r="F2" s="12">
        <v>233.77</v>
      </c>
      <c r="G2" s="12">
        <v>21.251818181818184</v>
      </c>
      <c r="H2" s="12">
        <v>212.51818181818183</v>
      </c>
      <c r="I2" s="18">
        <v>67.48181818181817</v>
      </c>
      <c r="J2" s="20">
        <v>0.31753432861359449</v>
      </c>
    </row>
    <row r="3" spans="1:10" x14ac:dyDescent="0.3">
      <c r="A3" s="11">
        <v>13</v>
      </c>
      <c r="B3" s="6" t="s">
        <v>22</v>
      </c>
      <c r="C3" s="12">
        <v>430</v>
      </c>
      <c r="D3" s="15">
        <v>149</v>
      </c>
      <c r="E3" s="11" t="s">
        <v>47</v>
      </c>
      <c r="F3" s="12">
        <v>359.09000000000003</v>
      </c>
      <c r="G3" s="12">
        <v>32.644545454545458</v>
      </c>
      <c r="H3" s="12">
        <v>326.4454545454546</v>
      </c>
      <c r="I3" s="18">
        <v>103.5545454545454</v>
      </c>
      <c r="J3" s="20">
        <v>0.31721852460385958</v>
      </c>
    </row>
    <row r="4" spans="1:10" x14ac:dyDescent="0.3">
      <c r="A4" s="11">
        <v>27</v>
      </c>
      <c r="B4" s="6" t="s">
        <v>36</v>
      </c>
      <c r="C4" s="12">
        <v>340</v>
      </c>
      <c r="D4" s="14">
        <v>139</v>
      </c>
      <c r="E4" s="11" t="s">
        <v>51</v>
      </c>
      <c r="F4" s="12">
        <v>334.99</v>
      </c>
      <c r="G4" s="12">
        <v>30.453636363636363</v>
      </c>
      <c r="H4" s="12">
        <v>304.53636363636366</v>
      </c>
      <c r="I4" s="19">
        <v>35.46363636363634</v>
      </c>
      <c r="J4" s="20">
        <v>0.11645123735036858</v>
      </c>
    </row>
    <row r="5" spans="1:10" x14ac:dyDescent="0.3">
      <c r="A5" s="11">
        <v>28</v>
      </c>
      <c r="B5" s="6" t="s">
        <v>37</v>
      </c>
      <c r="C5" s="12">
        <v>230</v>
      </c>
      <c r="D5" s="15">
        <v>99</v>
      </c>
      <c r="E5" s="11" t="s">
        <v>52</v>
      </c>
      <c r="F5" s="12">
        <v>238.59</v>
      </c>
      <c r="G5" s="12">
        <v>21.69</v>
      </c>
      <c r="H5" s="12">
        <v>216.9</v>
      </c>
      <c r="I5" s="19">
        <v>13.099999999999994</v>
      </c>
      <c r="J5" s="20">
        <v>6.0396496081143357E-2</v>
      </c>
    </row>
    <row r="6" spans="1:10" x14ac:dyDescent="0.3">
      <c r="A6" s="11"/>
      <c r="B6" s="6"/>
      <c r="C6" s="12"/>
      <c r="D6" s="15"/>
      <c r="E6" s="11"/>
      <c r="F6" s="12"/>
      <c r="G6" s="12"/>
      <c r="H6" s="12"/>
      <c r="I6" s="23"/>
      <c r="J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Abubaker</dc:creator>
  <cp:lastModifiedBy>Abubaker</cp:lastModifiedBy>
  <dcterms:created xsi:type="dcterms:W3CDTF">2025-09-18T15:47:43Z</dcterms:created>
  <dcterms:modified xsi:type="dcterms:W3CDTF">2025-10-08T12:27:11Z</dcterms:modified>
</cp:coreProperties>
</file>