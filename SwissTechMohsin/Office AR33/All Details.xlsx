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BD2511CD-7908-4BB6-AA7D-CF981F9C4776}" xr6:coauthVersionLast="47" xr6:coauthVersionMax="47" xr10:uidLastSave="{00000000-0000-0000-0000-000000000000}"/>
  <bookViews>
    <workbookView xWindow="-120" yWindow="-120" windowWidth="20730" windowHeight="11040" xr2:uid="{9E259848-0850-4DDB-AC7E-BD091EDCC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2" i="1" l="1"/>
  <c r="F81" i="1"/>
  <c r="F80" i="1"/>
  <c r="G80" i="1" s="1"/>
  <c r="F79" i="1"/>
  <c r="G79" i="1"/>
  <c r="H79" i="1" s="1"/>
  <c r="G78" i="1"/>
  <c r="H78" i="1" s="1"/>
  <c r="F78" i="1"/>
  <c r="G77" i="1"/>
  <c r="H77" i="1" s="1"/>
  <c r="F77" i="1"/>
  <c r="F76" i="1"/>
  <c r="G76" i="1"/>
  <c r="H76" i="1" s="1"/>
  <c r="F75" i="1"/>
  <c r="G75" i="1"/>
  <c r="H75" i="1" s="1"/>
  <c r="F74" i="1"/>
  <c r="G74" i="1"/>
  <c r="H74" i="1" s="1"/>
  <c r="F73" i="1"/>
  <c r="G73" i="1"/>
  <c r="H73" i="1"/>
  <c r="F72" i="1"/>
  <c r="G72" i="1"/>
  <c r="H72" i="1"/>
  <c r="F71" i="1"/>
  <c r="G71" i="1"/>
  <c r="H71" i="1" s="1"/>
  <c r="F70" i="1"/>
  <c r="G70" i="1"/>
  <c r="H70" i="1" s="1"/>
  <c r="F69" i="1"/>
  <c r="G69" i="1"/>
  <c r="H69" i="1" s="1"/>
  <c r="F68" i="1"/>
  <c r="G68" i="1"/>
  <c r="H68" i="1" s="1"/>
  <c r="F67" i="1"/>
  <c r="G67" i="1"/>
  <c r="H67" i="1" s="1"/>
  <c r="F66" i="1"/>
  <c r="F65" i="1"/>
  <c r="F64" i="1"/>
  <c r="F63" i="1"/>
  <c r="H63" i="1" s="1"/>
  <c r="G63" i="1"/>
  <c r="F62" i="1"/>
  <c r="F61" i="1"/>
  <c r="G61" i="1" s="1"/>
  <c r="F60" i="1"/>
  <c r="G60" i="1" s="1"/>
  <c r="F59" i="1"/>
  <c r="G59" i="1" s="1"/>
  <c r="F58" i="1"/>
  <c r="G58" i="1"/>
  <c r="H58" i="1" s="1"/>
  <c r="F57" i="1"/>
  <c r="G57" i="1"/>
  <c r="H57" i="1"/>
  <c r="F56" i="1"/>
  <c r="G56" i="1" s="1"/>
  <c r="F55" i="1"/>
  <c r="H55" i="1" s="1"/>
  <c r="G55" i="1"/>
  <c r="F54" i="1"/>
  <c r="G54" i="1" s="1"/>
  <c r="F53" i="1"/>
  <c r="G53" i="1" s="1"/>
  <c r="H53" i="1" s="1"/>
  <c r="F52" i="1"/>
  <c r="G52" i="1"/>
  <c r="H52" i="1" s="1"/>
  <c r="F51" i="1"/>
  <c r="F50" i="1"/>
  <c r="F49" i="1"/>
  <c r="F48" i="1"/>
  <c r="G48" i="1" s="1"/>
  <c r="F47" i="1"/>
  <c r="G47" i="1" s="1"/>
  <c r="H47" i="1" s="1"/>
  <c r="F46" i="1"/>
  <c r="G46" i="1"/>
  <c r="H46" i="1"/>
  <c r="F45" i="1"/>
  <c r="G45" i="1" s="1"/>
  <c r="H45" i="1" s="1"/>
  <c r="F44" i="1"/>
  <c r="G44" i="1" s="1"/>
  <c r="F43" i="1"/>
  <c r="G43" i="1" s="1"/>
  <c r="F42" i="1"/>
  <c r="G42" i="1" s="1"/>
  <c r="F41" i="1"/>
  <c r="G41" i="1"/>
  <c r="H41" i="1"/>
  <c r="F38" i="1"/>
  <c r="G38" i="1"/>
  <c r="H38" i="1" s="1"/>
  <c r="F39" i="1"/>
  <c r="G39" i="1"/>
  <c r="F40" i="1"/>
  <c r="G40" i="1" s="1"/>
  <c r="F37" i="1"/>
  <c r="G37" i="1" s="1"/>
  <c r="H37" i="1" s="1"/>
  <c r="F36" i="1"/>
  <c r="G36" i="1"/>
  <c r="F35" i="1"/>
  <c r="F34" i="1"/>
  <c r="G34" i="1"/>
  <c r="F33" i="1"/>
  <c r="F32" i="1"/>
  <c r="F31" i="1"/>
  <c r="F30" i="1"/>
  <c r="F29" i="1"/>
  <c r="G29" i="1" s="1"/>
  <c r="F27" i="1"/>
  <c r="F28" i="1"/>
  <c r="F26" i="1"/>
  <c r="G26" i="1" s="1"/>
  <c r="H26" i="1" s="1"/>
  <c r="F25" i="1"/>
  <c r="G25" i="1" s="1"/>
  <c r="H25" i="1" s="1"/>
  <c r="F24" i="1"/>
  <c r="G24" i="1" s="1"/>
  <c r="F23" i="1"/>
  <c r="G23" i="1" s="1"/>
  <c r="F22" i="1"/>
  <c r="F21" i="1"/>
  <c r="F20" i="1"/>
  <c r="F19" i="1"/>
  <c r="F18" i="1"/>
  <c r="G18" i="1" s="1"/>
  <c r="H18" i="1" s="1"/>
  <c r="F17" i="1"/>
  <c r="G17" i="1" s="1"/>
  <c r="H17" i="1" s="1"/>
  <c r="F16" i="1"/>
  <c r="G16" i="1" s="1"/>
  <c r="F15" i="1"/>
  <c r="G15" i="1" s="1"/>
  <c r="F11" i="1"/>
  <c r="G11" i="1" s="1"/>
  <c r="F12" i="1"/>
  <c r="G12" i="1"/>
  <c r="H12" i="1"/>
  <c r="F13" i="1"/>
  <c r="G13" i="1"/>
  <c r="H13" i="1"/>
  <c r="F14" i="1"/>
  <c r="G14" i="1"/>
  <c r="H14" i="1"/>
  <c r="F10" i="1"/>
  <c r="G10" i="1" s="1"/>
  <c r="G3" i="1"/>
  <c r="G4" i="1"/>
  <c r="G5" i="1"/>
  <c r="G6" i="1"/>
  <c r="F3" i="1"/>
  <c r="H3" i="1" s="1"/>
  <c r="F4" i="1"/>
  <c r="H4" i="1" s="1"/>
  <c r="F5" i="1"/>
  <c r="H5" i="1" s="1"/>
  <c r="F6" i="1"/>
  <c r="H6" i="1" s="1"/>
  <c r="F7" i="1"/>
  <c r="G7" i="1" s="1"/>
  <c r="F8" i="1"/>
  <c r="G8" i="1" s="1"/>
  <c r="F9" i="1"/>
  <c r="G9" i="1" s="1"/>
  <c r="F2" i="1"/>
  <c r="G2" i="1" s="1"/>
  <c r="G82" i="1" l="1"/>
  <c r="H82" i="1" s="1"/>
  <c r="G81" i="1"/>
  <c r="H81" i="1" s="1"/>
  <c r="H80" i="1"/>
  <c r="H66" i="1"/>
  <c r="G66" i="1"/>
  <c r="G65" i="1"/>
  <c r="H65" i="1" s="1"/>
  <c r="H64" i="1"/>
  <c r="G64" i="1"/>
  <c r="G62" i="1"/>
  <c r="H62" i="1" s="1"/>
  <c r="H61" i="1"/>
  <c r="H60" i="1"/>
  <c r="H59" i="1"/>
  <c r="H56" i="1"/>
  <c r="H54" i="1"/>
  <c r="G51" i="1"/>
  <c r="H51" i="1" s="1"/>
  <c r="G50" i="1"/>
  <c r="H50" i="1" s="1"/>
  <c r="G49" i="1"/>
  <c r="H49" i="1" s="1"/>
  <c r="H48" i="1"/>
  <c r="H44" i="1"/>
  <c r="H43" i="1"/>
  <c r="H42" i="1"/>
  <c r="H36" i="1"/>
  <c r="H2" i="1"/>
  <c r="H9" i="1"/>
  <c r="H8" i="1"/>
  <c r="H39" i="1"/>
  <c r="H7" i="1"/>
  <c r="H11" i="1"/>
  <c r="H24" i="1"/>
  <c r="H34" i="1"/>
  <c r="H40" i="1"/>
  <c r="G35" i="1"/>
  <c r="H35" i="1" s="1"/>
  <c r="G33" i="1"/>
  <c r="H33" i="1" s="1"/>
  <c r="H32" i="1"/>
  <c r="G32" i="1"/>
  <c r="G31" i="1"/>
  <c r="H31" i="1" s="1"/>
  <c r="G30" i="1"/>
  <c r="H30" i="1" s="1"/>
  <c r="H29" i="1"/>
  <c r="G27" i="1"/>
  <c r="H27" i="1" s="1"/>
  <c r="G28" i="1"/>
  <c r="H28" i="1" s="1"/>
  <c r="H23" i="1"/>
  <c r="G22" i="1"/>
  <c r="H22" i="1" s="1"/>
  <c r="G21" i="1"/>
  <c r="H21" i="1" s="1"/>
  <c r="G20" i="1"/>
  <c r="H20" i="1" s="1"/>
  <c r="G19" i="1"/>
  <c r="H19" i="1" s="1"/>
  <c r="H16" i="1"/>
  <c r="H15" i="1"/>
  <c r="H10" i="1"/>
</calcChain>
</file>

<file path=xl/sharedStrings.xml><?xml version="1.0" encoding="utf-8"?>
<sst xmlns="http://schemas.openxmlformats.org/spreadsheetml/2006/main" count="229" uniqueCount="156">
  <si>
    <t>MacBook Neo 13" A18 Pro 6-Core CPU 5-Core GPU 8/256GB Indigo</t>
  </si>
  <si>
    <t>officeworks.com.au</t>
  </si>
  <si>
    <t>MHFF4X/A</t>
  </si>
  <si>
    <t>MacBook Neo 13" A18 Pro 6-Core CPU 5-Core GPU 8/256GB Blush</t>
  </si>
  <si>
    <t>MHFH4X/A</t>
  </si>
  <si>
    <t>MacBook Neo 13" A18 Pro 6-Core CPU 5-Core GPU 8/256GB Citrus</t>
  </si>
  <si>
    <t>MHFD4X/A</t>
  </si>
  <si>
    <t>MacBook Neo 13" A18 Pro 6-Core CPU 5-Core GPU 8/256GB Silver</t>
  </si>
  <si>
    <t>MHFA4X/A</t>
  </si>
  <si>
    <t>MacBook Neo 13" A18 Pro 6-Core CPU 5-Core GPU 8/512GB Silver</t>
  </si>
  <si>
    <t>MHFC4X/A</t>
  </si>
  <si>
    <t>MacBook Neo 13" A18 Pro 6-Core CPU 5-Core GPU 8/512GB Indigo</t>
  </si>
  <si>
    <t>MHFG4X/A</t>
  </si>
  <si>
    <t>MacBook Neo 13" A18 Pro 6-Core CPU 5-Core GPU 8/512GB Citrus</t>
  </si>
  <si>
    <t>MHFE4X/A</t>
  </si>
  <si>
    <t>MacBook Neo 13" A18 Pro 6-Core CPU 5-Core GPU 8/512GB Blush</t>
  </si>
  <si>
    <t>MHFJ4X/A</t>
  </si>
  <si>
    <t>Apple AirPods Max 2 (Blue)</t>
  </si>
  <si>
    <t>Apple AirPods Max 2 (Midnight)</t>
  </si>
  <si>
    <t>Apple AirPods Max 2 (Orange)</t>
  </si>
  <si>
    <t>Apple AirPods Max 2 (Purple)</t>
  </si>
  <si>
    <t>Apple AirPods Max 2 (Starlight)</t>
  </si>
  <si>
    <t>dicksmith.com.au</t>
  </si>
  <si>
    <t>MacBook Air 13" M4 10-Core CPU 10-Core GPU 16/512GB Silver</t>
  </si>
  <si>
    <t>MW0X3X/A</t>
  </si>
  <si>
    <t>MacBook Air 13" M4 10-Core CPU 10-Core GPU 16/512GB Midnight</t>
  </si>
  <si>
    <t>MW133X/A</t>
  </si>
  <si>
    <t>MacBook Air 13" M4 10-Core CPU 10-Core GPU 16/512GB Sky Blue</t>
  </si>
  <si>
    <t>MC6U4X/A</t>
  </si>
  <si>
    <t>MacBook Air 13" M4 10-Core CPU 10-Core GPU 16/512GB Starlight</t>
  </si>
  <si>
    <t>Apple MacBook Pro 14-inch (M1 Pro chip, 16GB RAM, 1TB SSD, MKGQ3X/A) - Space Grey</t>
  </si>
  <si>
    <t>mobileciti.com.au</t>
  </si>
  <si>
    <t>MKGQ3X/A</t>
  </si>
  <si>
    <t>MW103X/A</t>
  </si>
  <si>
    <t>Apple MacBook Air 13" with M3 chip 24GB 512GB - Midnight</t>
  </si>
  <si>
    <t>MC8Q4X/A</t>
  </si>
  <si>
    <t>thegoodguys.com.au</t>
  </si>
  <si>
    <t>iPad Pro (M4) 11" WiFi 1TB Nano-texture Glass Silver</t>
  </si>
  <si>
    <t>iPad Pro (M4) 11" WiFi 1TB Space Black</t>
  </si>
  <si>
    <t>MVVE3X/A</t>
  </si>
  <si>
    <t>MWR73X/A</t>
  </si>
  <si>
    <t>Apple iPad Pro 11-Inch 1TB Wi-Fi + Cellular (Space Black)[M4]</t>
  </si>
  <si>
    <t>jbhifi.com.au</t>
  </si>
  <si>
    <t>MVW53X/A</t>
  </si>
  <si>
    <t>Apple iPad Pro 11-Inch 1TB Wi-Fi + Cellular (Silver)[M4]</t>
  </si>
  <si>
    <t>MVW63X/A</t>
  </si>
  <si>
    <t>Apple MagSafe Charger (1m)</t>
  </si>
  <si>
    <t>MGD74AM/A</t>
  </si>
  <si>
    <t>Apple Watch 42mm [Gold] Milanese Loop</t>
  </si>
  <si>
    <t>MGJ04FE/A</t>
  </si>
  <si>
    <t>Apple Watch 46mm [Gold] Milanese Loop - [M/L]</t>
  </si>
  <si>
    <t>MGJ54FE/A</t>
  </si>
  <si>
    <t>Apple Watch 46mm [Natural] Milanese Loop - [M/L]</t>
  </si>
  <si>
    <t>MGJ34FE/A</t>
  </si>
  <si>
    <t>MacBook Air 13" M5 10-Core CPU 8-Core GPU 16/512GB Midnight</t>
  </si>
  <si>
    <t>MacBook Air 15" M5 10-Core CPU 10-Core GPU 16/512GB Silver</t>
  </si>
  <si>
    <t>MDV94X/A</t>
  </si>
  <si>
    <t>MDHE4X/A</t>
  </si>
  <si>
    <t>MacBook Air 13" M5 10-Core CPU 8-Core GPU 16/512GB Sky Blue</t>
  </si>
  <si>
    <t>MDHH4X/A</t>
  </si>
  <si>
    <t>MacBook Air 13" M5 10-Core CPU 8-Core GPU 16/512GB Starlight</t>
  </si>
  <si>
    <t>MDHA4X/A</t>
  </si>
  <si>
    <t>MacBook Air 13" M5 10-Core CPU 10-Core GPU 16GB/1TB Starlight</t>
  </si>
  <si>
    <t>MDHC4X/A</t>
  </si>
  <si>
    <t>MacBook Air 15" M5 10-Core CPU 10-Core GPU 16GB/1TB Sky Blue</t>
  </si>
  <si>
    <t>MDVT4X/A</t>
  </si>
  <si>
    <t>MacBook Air 15" M5 10-Core CPU 10-Core GPU 16GB/1TB Silver</t>
  </si>
  <si>
    <t>MDVA4X/A</t>
  </si>
  <si>
    <t>MacBook Air 13" M5 10-Core CPU 10-Core GPU 16GB/1TB Midnight</t>
  </si>
  <si>
    <t>MDHF4X/A</t>
  </si>
  <si>
    <t>MacBook Air 13" M5 10-Core CPU 10-Core GPU 24GB/1TB Silver</t>
  </si>
  <si>
    <t>MDH94X/A</t>
  </si>
  <si>
    <t>MacBook Air 13" M5 10-Core CPU 10-Core GPU 24GB/1TB Midnight</t>
  </si>
  <si>
    <t>MacBook Air 13" M5 10-Core CPU 10-Core GPU 24GB/1TB Sky Blue</t>
  </si>
  <si>
    <t>MacBook Air 13" M5 10-Core CPU 10-Core GPU 24GB/1TB Starlight</t>
  </si>
  <si>
    <t>MDHD4X/A</t>
  </si>
  <si>
    <t>MDHK4X/A</t>
  </si>
  <si>
    <t>MDHG4X/A</t>
  </si>
  <si>
    <t>MacBook Air 15" M5 10-Core CPU 10-Core GPU 16/512GB Midnight</t>
  </si>
  <si>
    <t>MDVH4X/A</t>
  </si>
  <si>
    <t>MacBook Air 15" M4 10-Core CPU 10-Core GPU 24/512GB Midnight</t>
  </si>
  <si>
    <t>MC6L4X/A</t>
  </si>
  <si>
    <t>Apple MacBook Air 15-inch M4/16GB/512GB SSD Laptop - Midnight</t>
  </si>
  <si>
    <t>harveynorman.com.au</t>
  </si>
  <si>
    <t>MW1M3X/A</t>
  </si>
  <si>
    <t>Apple MacBook Pro 14-inch with M5 Chip, 512GB/16GB (Space Black)</t>
  </si>
  <si>
    <t>MDE04X/A</t>
  </si>
  <si>
    <t>Apple MacBook Pro 14-inch with M5 Chip, 512GB/16GB (Silver)</t>
  </si>
  <si>
    <t>MDE44X/A</t>
  </si>
  <si>
    <t>Apple MacBook Pro 14-inch with M5 Chip, 1TB/16GB (Silver)</t>
  </si>
  <si>
    <t>Apple MacBook Pro 14-inch with M5 Chip, 1TB/16GB (Space Black)</t>
  </si>
  <si>
    <t>MDE14X/A</t>
  </si>
  <si>
    <t>MDE54X/A</t>
  </si>
  <si>
    <t>Apple MacBook Pro 14 Inch With M5 Chip 10‑core CPU and 10‑core GPU 16GB 1TB SSD</t>
  </si>
  <si>
    <t>costco.com.au</t>
  </si>
  <si>
    <t>MacBook Pro 14" M5 10/10 Core CPU/GPU 24/1TB Black</t>
  </si>
  <si>
    <t>MDE34X/A</t>
  </si>
  <si>
    <t>Apple MacBook Pro 16 Inch M5 Pro Chip With 18 Core CPU And 20 Core GPU 48GB 1TB SSD</t>
  </si>
  <si>
    <t>Apple MacBook Pro 16-inch M5 Pro/18 Core/24GB/1TB SSD Laptop - Space Black</t>
  </si>
  <si>
    <t>MGEA4X/A</t>
  </si>
  <si>
    <t>MGED4X/A</t>
  </si>
  <si>
    <t>Apple MacBook Pro 16" M5 Max chip 18-core CPU, 32-core GPU 36GB 2TB - Space Black</t>
  </si>
  <si>
    <t>MacBook Pro 16" (M4 Pro) 14/20 Core CPU/GPU 24/512GB Black</t>
  </si>
  <si>
    <t>MX2X3X/A</t>
  </si>
  <si>
    <t>Apple iPhone 13 128GB - Midnight</t>
  </si>
  <si>
    <t>bigw.com.au</t>
  </si>
  <si>
    <t>Apple iPhone 16 128GB All Clouor</t>
  </si>
  <si>
    <t>Apple iPhone 16e 128GB - Black</t>
  </si>
  <si>
    <t>Apple iPhone 16e 256GB Black</t>
  </si>
  <si>
    <t>Apple iPhone 16 Plus 128GB - White</t>
  </si>
  <si>
    <t>Apple Pencil Pro</t>
  </si>
  <si>
    <t>MX2D3ZA-A</t>
  </si>
  <si>
    <t>Apple AirTag - 4 Pack [MX542X/A]</t>
  </si>
  <si>
    <t>lmc.com.au</t>
  </si>
  <si>
    <t>Apple AirPods Pro 3</t>
  </si>
  <si>
    <t>Apple Airpods 4</t>
  </si>
  <si>
    <t>Apple AirPods Max (USB-C) MWW43ZA/A - Midnight</t>
  </si>
  <si>
    <t>MWW43ZA/A</t>
  </si>
  <si>
    <t>Apple AirPods Max (USB-C) MWW83ZA/A - Purple</t>
  </si>
  <si>
    <t>MWW83ZA/A</t>
  </si>
  <si>
    <t>Apple Watch SE3 GPS 40mm Sports Band M/L Starlight</t>
  </si>
  <si>
    <t>MEH54X/A</t>
  </si>
  <si>
    <t>Apple Watch SE3 GPS 40mm Sports Band M/L Midnight</t>
  </si>
  <si>
    <t>MEHC4X/A</t>
  </si>
  <si>
    <t>Apple Watch SE3 GPS 40mm Sports Band S Midnight</t>
  </si>
  <si>
    <t>MEH34X/A</t>
  </si>
  <si>
    <t>MEH94X/A</t>
  </si>
  <si>
    <t>Apple 20W USB-C Power Adapter</t>
  </si>
  <si>
    <t>Apple Watch SE 3 GPS 44mm Aluminium Case With Sport Band</t>
  </si>
  <si>
    <t>Apple Watch Series 10 GPS 46mm Silver Aluminium Case with Blue Cloud Sport Loop</t>
  </si>
  <si>
    <t>MWWN3ZP/A</t>
  </si>
  <si>
    <t>Apple Watch Series 11 GPS 42mm Aluminium Case with Sport Band</t>
  </si>
  <si>
    <t>Apple Watch Series 11GPS46mmJet Black Aluminium Case - Black Sport Band M/L</t>
  </si>
  <si>
    <t>Apple iPad 11-inch A16 128GB Wi-Fi (Blue)</t>
  </si>
  <si>
    <t>MD4A4X/A</t>
  </si>
  <si>
    <t>Apple iPad 11-inch A16 128GB Wi-Fi (Silver)</t>
  </si>
  <si>
    <t>MD3Y4X/A</t>
  </si>
  <si>
    <t>iPad (A16) 11" WiFi 256GB Silver</t>
  </si>
  <si>
    <t>MD4G4X/A</t>
  </si>
  <si>
    <t>iPad (A16) 11" WiFi 256GB Pink</t>
  </si>
  <si>
    <t>MD4P4X/A</t>
  </si>
  <si>
    <t>iPad (A16) 11" WiFi 256GB Yellow</t>
  </si>
  <si>
    <t>MD4J4X/A</t>
  </si>
  <si>
    <t>Apple iPad Air 11 Inch (2026) M4 128GB All Colour</t>
  </si>
  <si>
    <t>Apple iPad Air 11 Inch (2026) M4 256GB Blue</t>
  </si>
  <si>
    <t>MH364X/A</t>
  </si>
  <si>
    <t>Apple iPad Pro 11 Inch Wi‑Fi 256GB With Standard Glass M5</t>
  </si>
  <si>
    <t>Apple iPad Pro 11 Inch Wi‑Fi 512GB With Standard Glass M5</t>
  </si>
  <si>
    <t>Sr No</t>
  </si>
  <si>
    <t>Model</t>
  </si>
  <si>
    <t>Discarpation</t>
  </si>
  <si>
    <t>Website</t>
  </si>
  <si>
    <t>USD Prices</t>
  </si>
  <si>
    <t>Converd To Aed</t>
  </si>
  <si>
    <t>GST</t>
  </si>
  <si>
    <t>After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</si>
</sst>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B1A0-7260-4C49-9E18-E3BD05497356}">
  <dimension ref="A1:H82"/>
  <sheetViews>
    <sheetView tabSelected="1" topLeftCell="A67" workbookViewId="0">
      <selection activeCell="C76" sqref="C76"/>
    </sheetView>
  </sheetViews>
  <sheetFormatPr defaultRowHeight="15" x14ac:dyDescent="0.25"/>
  <cols>
    <col min="1" max="1" width="5.7109375" bestFit="1" customWidth="1"/>
    <col min="2" max="2" width="12.42578125" bestFit="1" customWidth="1"/>
    <col min="3" max="3" width="80.28515625" bestFit="1" customWidth="1"/>
    <col min="4" max="4" width="21.42578125" bestFit="1" customWidth="1"/>
    <col min="5" max="5" width="10.85546875" bestFit="1" customWidth="1"/>
    <col min="6" max="6" width="15.28515625" bestFit="1" customWidth="1"/>
    <col min="7" max="8" width="12" bestFit="1" customWidth="1"/>
  </cols>
  <sheetData>
    <row r="1" spans="1:8" x14ac:dyDescent="0.25">
      <c r="A1" s="5" t="s">
        <v>148</v>
      </c>
      <c r="B1" s="5" t="s">
        <v>149</v>
      </c>
      <c r="C1" s="5" t="s">
        <v>150</v>
      </c>
      <c r="D1" s="5" t="s">
        <v>151</v>
      </c>
      <c r="E1" s="5" t="s">
        <v>152</v>
      </c>
      <c r="F1" s="5" t="s">
        <v>153</v>
      </c>
      <c r="G1" s="5" t="s">
        <v>154</v>
      </c>
      <c r="H1" s="5" t="s">
        <v>155</v>
      </c>
    </row>
    <row r="2" spans="1:8" x14ac:dyDescent="0.25">
      <c r="A2" s="1">
        <v>1</v>
      </c>
      <c r="B2" s="1" t="s">
        <v>2</v>
      </c>
      <c r="C2" s="1" t="s">
        <v>0</v>
      </c>
      <c r="D2" s="1" t="s">
        <v>1</v>
      </c>
      <c r="E2" s="1">
        <v>897</v>
      </c>
      <c r="F2" s="4">
        <f>E2*2.63</f>
        <v>2359.11</v>
      </c>
      <c r="G2" s="4">
        <f>F2/11</f>
        <v>214.46454545454546</v>
      </c>
      <c r="H2" s="4">
        <f>F2-G2</f>
        <v>2144.6454545454549</v>
      </c>
    </row>
    <row r="3" spans="1:8" x14ac:dyDescent="0.25">
      <c r="A3" s="1">
        <v>2</v>
      </c>
      <c r="B3" s="1" t="s">
        <v>4</v>
      </c>
      <c r="C3" s="1" t="s">
        <v>3</v>
      </c>
      <c r="D3" s="1" t="s">
        <v>1</v>
      </c>
      <c r="E3" s="1">
        <v>897</v>
      </c>
      <c r="F3" s="4">
        <f t="shared" ref="F3:F77" si="0">E3*2.63</f>
        <v>2359.11</v>
      </c>
      <c r="G3" s="4">
        <f t="shared" ref="G3:G77" si="1">F3/11</f>
        <v>214.46454545454546</v>
      </c>
      <c r="H3" s="4">
        <f t="shared" ref="H3:H10" si="2">F3-G3</f>
        <v>2144.6454545454549</v>
      </c>
    </row>
    <row r="4" spans="1:8" x14ac:dyDescent="0.25">
      <c r="A4" s="1">
        <v>3</v>
      </c>
      <c r="B4" s="1" t="s">
        <v>6</v>
      </c>
      <c r="C4" s="1" t="s">
        <v>5</v>
      </c>
      <c r="D4" s="1" t="s">
        <v>1</v>
      </c>
      <c r="E4" s="1">
        <v>897</v>
      </c>
      <c r="F4" s="4">
        <f t="shared" si="0"/>
        <v>2359.11</v>
      </c>
      <c r="G4" s="4">
        <f t="shared" si="1"/>
        <v>214.46454545454546</v>
      </c>
      <c r="H4" s="4">
        <f t="shared" si="2"/>
        <v>2144.6454545454549</v>
      </c>
    </row>
    <row r="5" spans="1:8" x14ac:dyDescent="0.25">
      <c r="A5" s="1">
        <v>4</v>
      </c>
      <c r="B5" s="1" t="s">
        <v>8</v>
      </c>
      <c r="C5" s="1" t="s">
        <v>7</v>
      </c>
      <c r="D5" s="1" t="s">
        <v>1</v>
      </c>
      <c r="E5" s="1">
        <v>897</v>
      </c>
      <c r="F5" s="4">
        <f t="shared" si="0"/>
        <v>2359.11</v>
      </c>
      <c r="G5" s="4">
        <f t="shared" si="1"/>
        <v>214.46454545454546</v>
      </c>
      <c r="H5" s="4">
        <f t="shared" si="2"/>
        <v>2144.6454545454549</v>
      </c>
    </row>
    <row r="6" spans="1:8" x14ac:dyDescent="0.25">
      <c r="A6" s="1">
        <v>5</v>
      </c>
      <c r="B6" s="1" t="s">
        <v>10</v>
      </c>
      <c r="C6" s="1" t="s">
        <v>9</v>
      </c>
      <c r="D6" s="1" t="s">
        <v>1</v>
      </c>
      <c r="E6" s="2">
        <v>1097</v>
      </c>
      <c r="F6" s="4">
        <f t="shared" si="0"/>
        <v>2885.1099999999997</v>
      </c>
      <c r="G6" s="4">
        <f t="shared" si="1"/>
        <v>262.28272727272724</v>
      </c>
      <c r="H6" s="4">
        <f t="shared" si="2"/>
        <v>2622.8272727272724</v>
      </c>
    </row>
    <row r="7" spans="1:8" x14ac:dyDescent="0.25">
      <c r="A7" s="1">
        <v>6</v>
      </c>
      <c r="B7" s="1" t="s">
        <v>12</v>
      </c>
      <c r="C7" s="1" t="s">
        <v>11</v>
      </c>
      <c r="D7" s="1" t="s">
        <v>1</v>
      </c>
      <c r="E7" s="2">
        <v>1097</v>
      </c>
      <c r="F7" s="4">
        <f t="shared" si="0"/>
        <v>2885.1099999999997</v>
      </c>
      <c r="G7" s="4">
        <f t="shared" si="1"/>
        <v>262.28272727272724</v>
      </c>
      <c r="H7" s="4">
        <f t="shared" si="2"/>
        <v>2622.8272727272724</v>
      </c>
    </row>
    <row r="8" spans="1:8" x14ac:dyDescent="0.25">
      <c r="A8" s="1">
        <v>7</v>
      </c>
      <c r="B8" s="1" t="s">
        <v>14</v>
      </c>
      <c r="C8" s="1" t="s">
        <v>13</v>
      </c>
      <c r="D8" s="1" t="s">
        <v>1</v>
      </c>
      <c r="E8" s="2">
        <v>1097</v>
      </c>
      <c r="F8" s="4">
        <f t="shared" si="0"/>
        <v>2885.1099999999997</v>
      </c>
      <c r="G8" s="4">
        <f t="shared" si="1"/>
        <v>262.28272727272724</v>
      </c>
      <c r="H8" s="4">
        <f t="shared" si="2"/>
        <v>2622.8272727272724</v>
      </c>
    </row>
    <row r="9" spans="1:8" x14ac:dyDescent="0.25">
      <c r="A9" s="1">
        <v>8</v>
      </c>
      <c r="B9" s="1" t="s">
        <v>16</v>
      </c>
      <c r="C9" s="1" t="s">
        <v>15</v>
      </c>
      <c r="D9" s="1" t="s">
        <v>1</v>
      </c>
      <c r="E9" s="2">
        <v>1097</v>
      </c>
      <c r="F9" s="4">
        <f t="shared" si="0"/>
        <v>2885.1099999999997</v>
      </c>
      <c r="G9" s="4">
        <f t="shared" si="1"/>
        <v>262.28272727272724</v>
      </c>
      <c r="H9" s="4">
        <f t="shared" si="2"/>
        <v>2622.8272727272724</v>
      </c>
    </row>
    <row r="10" spans="1:8" x14ac:dyDescent="0.25">
      <c r="A10" s="1">
        <v>9</v>
      </c>
      <c r="B10" s="1"/>
      <c r="C10" s="1" t="s">
        <v>17</v>
      </c>
      <c r="D10" s="1" t="s">
        <v>22</v>
      </c>
      <c r="E10" s="2">
        <v>949</v>
      </c>
      <c r="F10" s="4">
        <f t="shared" si="0"/>
        <v>2495.87</v>
      </c>
      <c r="G10" s="4">
        <f t="shared" si="1"/>
        <v>226.89727272727271</v>
      </c>
      <c r="H10" s="4">
        <f t="shared" si="2"/>
        <v>2268.9727272727273</v>
      </c>
    </row>
    <row r="11" spans="1:8" x14ac:dyDescent="0.25">
      <c r="A11" s="1">
        <v>10</v>
      </c>
      <c r="B11" s="1"/>
      <c r="C11" s="1" t="s">
        <v>18</v>
      </c>
      <c r="D11" s="1" t="s">
        <v>22</v>
      </c>
      <c r="E11" s="2">
        <v>949</v>
      </c>
      <c r="F11" s="4">
        <f t="shared" si="0"/>
        <v>2495.87</v>
      </c>
      <c r="G11" s="4">
        <f t="shared" si="1"/>
        <v>226.89727272727271</v>
      </c>
      <c r="H11" s="4">
        <f t="shared" ref="H11:H16" si="3">F11-G11</f>
        <v>2268.9727272727273</v>
      </c>
    </row>
    <row r="12" spans="1:8" x14ac:dyDescent="0.25">
      <c r="A12" s="1">
        <v>11</v>
      </c>
      <c r="B12" s="1"/>
      <c r="C12" s="1" t="s">
        <v>19</v>
      </c>
      <c r="D12" s="1" t="s">
        <v>22</v>
      </c>
      <c r="E12" s="2">
        <v>949</v>
      </c>
      <c r="F12" s="4">
        <f t="shared" si="0"/>
        <v>2495.87</v>
      </c>
      <c r="G12" s="4">
        <f t="shared" si="1"/>
        <v>226.89727272727271</v>
      </c>
      <c r="H12" s="4">
        <f t="shared" si="3"/>
        <v>2268.9727272727273</v>
      </c>
    </row>
    <row r="13" spans="1:8" x14ac:dyDescent="0.25">
      <c r="A13" s="1">
        <v>12</v>
      </c>
      <c r="B13" s="1"/>
      <c r="C13" s="1" t="s">
        <v>20</v>
      </c>
      <c r="D13" s="1" t="s">
        <v>22</v>
      </c>
      <c r="E13" s="2">
        <v>949</v>
      </c>
      <c r="F13" s="4">
        <f t="shared" si="0"/>
        <v>2495.87</v>
      </c>
      <c r="G13" s="4">
        <f t="shared" si="1"/>
        <v>226.89727272727271</v>
      </c>
      <c r="H13" s="4">
        <f t="shared" si="3"/>
        <v>2268.9727272727273</v>
      </c>
    </row>
    <row r="14" spans="1:8" x14ac:dyDescent="0.25">
      <c r="A14" s="1">
        <v>13</v>
      </c>
      <c r="B14" s="1"/>
      <c r="C14" s="1" t="s">
        <v>21</v>
      </c>
      <c r="D14" s="1" t="s">
        <v>22</v>
      </c>
      <c r="E14" s="2">
        <v>949</v>
      </c>
      <c r="F14" s="4">
        <f t="shared" si="0"/>
        <v>2495.87</v>
      </c>
      <c r="G14" s="4">
        <f t="shared" si="1"/>
        <v>226.89727272727271</v>
      </c>
      <c r="H14" s="4">
        <f t="shared" si="3"/>
        <v>2268.9727272727273</v>
      </c>
    </row>
    <row r="15" spans="1:8" x14ac:dyDescent="0.25">
      <c r="A15" s="1">
        <v>14</v>
      </c>
      <c r="B15" s="1" t="s">
        <v>24</v>
      </c>
      <c r="C15" s="1" t="s">
        <v>23</v>
      </c>
      <c r="D15" s="1" t="s">
        <v>1</v>
      </c>
      <c r="E15" s="2">
        <v>1544</v>
      </c>
      <c r="F15" s="4">
        <f t="shared" si="0"/>
        <v>4060.72</v>
      </c>
      <c r="G15" s="4">
        <f t="shared" si="1"/>
        <v>369.15636363636361</v>
      </c>
      <c r="H15" s="4">
        <f t="shared" si="3"/>
        <v>3691.5636363636363</v>
      </c>
    </row>
    <row r="16" spans="1:8" x14ac:dyDescent="0.25">
      <c r="A16" s="1">
        <v>15</v>
      </c>
      <c r="B16" s="1" t="s">
        <v>26</v>
      </c>
      <c r="C16" s="1" t="s">
        <v>25</v>
      </c>
      <c r="D16" s="1" t="s">
        <v>1</v>
      </c>
      <c r="E16" s="2">
        <v>1544</v>
      </c>
      <c r="F16" s="4">
        <f t="shared" si="0"/>
        <v>4060.72</v>
      </c>
      <c r="G16" s="4">
        <f t="shared" si="1"/>
        <v>369.15636363636361</v>
      </c>
      <c r="H16" s="4">
        <f t="shared" si="3"/>
        <v>3691.5636363636363</v>
      </c>
    </row>
    <row r="17" spans="1:8" x14ac:dyDescent="0.25">
      <c r="A17" s="1">
        <v>16</v>
      </c>
      <c r="B17" s="1" t="s">
        <v>28</v>
      </c>
      <c r="C17" s="1" t="s">
        <v>27</v>
      </c>
      <c r="D17" s="1" t="s">
        <v>1</v>
      </c>
      <c r="E17" s="2">
        <v>1544</v>
      </c>
      <c r="F17" s="4">
        <f t="shared" si="0"/>
        <v>4060.72</v>
      </c>
      <c r="G17" s="4">
        <f t="shared" si="1"/>
        <v>369.15636363636361</v>
      </c>
      <c r="H17" s="4">
        <f t="shared" ref="H17" si="4">F17-G17</f>
        <v>3691.5636363636363</v>
      </c>
    </row>
    <row r="18" spans="1:8" x14ac:dyDescent="0.25">
      <c r="A18" s="1">
        <v>17</v>
      </c>
      <c r="B18" s="1" t="s">
        <v>33</v>
      </c>
      <c r="C18" s="1" t="s">
        <v>29</v>
      </c>
      <c r="D18" s="1" t="s">
        <v>1</v>
      </c>
      <c r="E18" s="2">
        <v>1544</v>
      </c>
      <c r="F18" s="4">
        <f t="shared" si="0"/>
        <v>4060.72</v>
      </c>
      <c r="G18" s="4">
        <f t="shared" si="1"/>
        <v>369.15636363636361</v>
      </c>
      <c r="H18" s="4">
        <f t="shared" ref="H18:H23" si="5">F18-G18</f>
        <v>3691.5636363636363</v>
      </c>
    </row>
    <row r="19" spans="1:8" x14ac:dyDescent="0.25">
      <c r="A19" s="1">
        <v>18</v>
      </c>
      <c r="B19" s="1" t="s">
        <v>32</v>
      </c>
      <c r="C19" s="1" t="s">
        <v>30</v>
      </c>
      <c r="D19" s="1" t="s">
        <v>31</v>
      </c>
      <c r="E19" s="2">
        <v>2799</v>
      </c>
      <c r="F19" s="4">
        <f t="shared" si="0"/>
        <v>7361.37</v>
      </c>
      <c r="G19" s="4">
        <f t="shared" si="1"/>
        <v>669.21545454545458</v>
      </c>
      <c r="H19" s="4">
        <f t="shared" si="5"/>
        <v>6692.1545454545449</v>
      </c>
    </row>
    <row r="20" spans="1:8" x14ac:dyDescent="0.25">
      <c r="A20" s="1">
        <v>19</v>
      </c>
      <c r="B20" s="1" t="s">
        <v>35</v>
      </c>
      <c r="C20" s="1" t="s">
        <v>34</v>
      </c>
      <c r="D20" s="1" t="s">
        <v>36</v>
      </c>
      <c r="E20" s="2">
        <v>1994</v>
      </c>
      <c r="F20" s="4">
        <f t="shared" si="0"/>
        <v>5244.2199999999993</v>
      </c>
      <c r="G20" s="4">
        <f t="shared" si="1"/>
        <v>476.74727272727267</v>
      </c>
      <c r="H20" s="4">
        <f t="shared" si="5"/>
        <v>4767.4727272727268</v>
      </c>
    </row>
    <row r="21" spans="1:8" x14ac:dyDescent="0.25">
      <c r="A21" s="1">
        <v>20</v>
      </c>
      <c r="B21" s="1" t="s">
        <v>40</v>
      </c>
      <c r="C21" s="1" t="s">
        <v>37</v>
      </c>
      <c r="D21" s="1" t="s">
        <v>1</v>
      </c>
      <c r="E21" s="2">
        <v>2397</v>
      </c>
      <c r="F21" s="4">
        <f t="shared" si="0"/>
        <v>6304.11</v>
      </c>
      <c r="G21" s="4">
        <f t="shared" si="1"/>
        <v>573.10090909090911</v>
      </c>
      <c r="H21" s="4">
        <f t="shared" si="5"/>
        <v>5731.0090909090904</v>
      </c>
    </row>
    <row r="22" spans="1:8" x14ac:dyDescent="0.25">
      <c r="A22" s="1">
        <v>21</v>
      </c>
      <c r="B22" s="1" t="s">
        <v>39</v>
      </c>
      <c r="C22" s="1" t="s">
        <v>38</v>
      </c>
      <c r="D22" s="1" t="s">
        <v>1</v>
      </c>
      <c r="E22" s="2">
        <v>1997</v>
      </c>
      <c r="F22" s="4">
        <f t="shared" si="0"/>
        <v>5252.11</v>
      </c>
      <c r="G22" s="4">
        <f t="shared" si="1"/>
        <v>477.46454545454543</v>
      </c>
      <c r="H22" s="4">
        <f t="shared" si="5"/>
        <v>4774.6454545454544</v>
      </c>
    </row>
    <row r="23" spans="1:8" x14ac:dyDescent="0.25">
      <c r="A23" s="1">
        <v>22</v>
      </c>
      <c r="B23" s="1" t="s">
        <v>43</v>
      </c>
      <c r="C23" s="3" t="s">
        <v>41</v>
      </c>
      <c r="D23" s="1" t="s">
        <v>42</v>
      </c>
      <c r="E23" s="2">
        <v>2429</v>
      </c>
      <c r="F23" s="4">
        <f t="shared" si="0"/>
        <v>6388.2699999999995</v>
      </c>
      <c r="G23" s="4">
        <f t="shared" si="1"/>
        <v>580.75181818181818</v>
      </c>
      <c r="H23" s="4">
        <f t="shared" si="5"/>
        <v>5807.5181818181809</v>
      </c>
    </row>
    <row r="24" spans="1:8" x14ac:dyDescent="0.25">
      <c r="A24" s="1">
        <v>23</v>
      </c>
      <c r="B24" s="1" t="s">
        <v>45</v>
      </c>
      <c r="C24" s="3" t="s">
        <v>44</v>
      </c>
      <c r="D24" s="1" t="s">
        <v>42</v>
      </c>
      <c r="E24" s="2">
        <v>2429</v>
      </c>
      <c r="F24" s="4">
        <f t="shared" si="0"/>
        <v>6388.2699999999995</v>
      </c>
      <c r="G24" s="4">
        <f t="shared" si="1"/>
        <v>580.75181818181818</v>
      </c>
      <c r="H24" s="4">
        <f t="shared" ref="H24:H26" si="6">F24-G24</f>
        <v>5807.5181818181809</v>
      </c>
    </row>
    <row r="25" spans="1:8" x14ac:dyDescent="0.25">
      <c r="A25" s="1">
        <v>24</v>
      </c>
      <c r="B25" s="1" t="s">
        <v>47</v>
      </c>
      <c r="C25" s="3" t="s">
        <v>46</v>
      </c>
      <c r="D25" s="1" t="s">
        <v>42</v>
      </c>
      <c r="E25" s="2">
        <v>69</v>
      </c>
      <c r="F25" s="4">
        <f t="shared" si="0"/>
        <v>181.47</v>
      </c>
      <c r="G25" s="4">
        <f t="shared" si="1"/>
        <v>16.497272727272726</v>
      </c>
      <c r="H25" s="4">
        <f t="shared" si="6"/>
        <v>164.97272727272727</v>
      </c>
    </row>
    <row r="26" spans="1:8" x14ac:dyDescent="0.25">
      <c r="A26" s="1">
        <v>25</v>
      </c>
      <c r="B26" s="1" t="s">
        <v>49</v>
      </c>
      <c r="C26" s="3" t="s">
        <v>48</v>
      </c>
      <c r="D26" s="1" t="s">
        <v>42</v>
      </c>
      <c r="E26" s="2">
        <v>169</v>
      </c>
      <c r="F26" s="4">
        <f t="shared" si="0"/>
        <v>444.46999999999997</v>
      </c>
      <c r="G26" s="4">
        <f t="shared" si="1"/>
        <v>40.406363636363636</v>
      </c>
      <c r="H26" s="4">
        <f t="shared" si="6"/>
        <v>404.06363636363631</v>
      </c>
    </row>
    <row r="27" spans="1:8" x14ac:dyDescent="0.25">
      <c r="A27" s="1">
        <v>26</v>
      </c>
      <c r="B27" s="1" t="s">
        <v>53</v>
      </c>
      <c r="C27" s="3" t="s">
        <v>52</v>
      </c>
      <c r="D27" s="1" t="s">
        <v>42</v>
      </c>
      <c r="E27" s="2">
        <v>169</v>
      </c>
      <c r="F27" s="4">
        <f t="shared" si="0"/>
        <v>444.46999999999997</v>
      </c>
      <c r="G27" s="4">
        <f t="shared" si="1"/>
        <v>40.406363636363636</v>
      </c>
      <c r="H27" s="4">
        <f t="shared" ref="H27:H37" si="7">F27-G27</f>
        <v>404.06363636363631</v>
      </c>
    </row>
    <row r="28" spans="1:8" x14ac:dyDescent="0.25">
      <c r="A28" s="1">
        <v>27</v>
      </c>
      <c r="B28" s="1" t="s">
        <v>51</v>
      </c>
      <c r="C28" s="3" t="s">
        <v>50</v>
      </c>
      <c r="D28" s="1" t="s">
        <v>42</v>
      </c>
      <c r="E28" s="2">
        <v>169</v>
      </c>
      <c r="F28" s="4">
        <f t="shared" si="0"/>
        <v>444.46999999999997</v>
      </c>
      <c r="G28" s="4">
        <f t="shared" si="1"/>
        <v>40.406363636363636</v>
      </c>
      <c r="H28" s="4">
        <f t="shared" si="7"/>
        <v>404.06363636363631</v>
      </c>
    </row>
    <row r="29" spans="1:8" x14ac:dyDescent="0.25">
      <c r="A29" s="1">
        <v>28</v>
      </c>
      <c r="B29" s="1" t="s">
        <v>57</v>
      </c>
      <c r="C29" s="3" t="s">
        <v>54</v>
      </c>
      <c r="D29" s="1" t="s">
        <v>1</v>
      </c>
      <c r="E29" s="2">
        <v>1697</v>
      </c>
      <c r="F29" s="4">
        <f t="shared" si="0"/>
        <v>4463.1099999999997</v>
      </c>
      <c r="G29" s="4">
        <f t="shared" si="1"/>
        <v>405.73727272727268</v>
      </c>
      <c r="H29" s="4">
        <f t="shared" si="7"/>
        <v>4057.3727272727269</v>
      </c>
    </row>
    <row r="30" spans="1:8" x14ac:dyDescent="0.25">
      <c r="A30" s="1">
        <v>29</v>
      </c>
      <c r="B30" s="1" t="s">
        <v>56</v>
      </c>
      <c r="C30" s="3" t="s">
        <v>55</v>
      </c>
      <c r="D30" s="1" t="s">
        <v>1</v>
      </c>
      <c r="E30" s="2">
        <v>2097</v>
      </c>
      <c r="F30" s="4">
        <f t="shared" si="0"/>
        <v>5515.11</v>
      </c>
      <c r="G30" s="4">
        <f t="shared" si="1"/>
        <v>501.37363636363631</v>
      </c>
      <c r="H30" s="4">
        <f t="shared" si="7"/>
        <v>5013.7363636363634</v>
      </c>
    </row>
    <row r="31" spans="1:8" x14ac:dyDescent="0.25">
      <c r="A31" s="1">
        <v>30</v>
      </c>
      <c r="B31" s="1" t="s">
        <v>59</v>
      </c>
      <c r="C31" s="3" t="s">
        <v>58</v>
      </c>
      <c r="D31" s="1" t="s">
        <v>1</v>
      </c>
      <c r="E31" s="2">
        <v>1697</v>
      </c>
      <c r="F31" s="4">
        <f t="shared" si="0"/>
        <v>4463.1099999999997</v>
      </c>
      <c r="G31" s="4">
        <f t="shared" si="1"/>
        <v>405.73727272727268</v>
      </c>
      <c r="H31" s="4">
        <f t="shared" si="7"/>
        <v>4057.3727272727269</v>
      </c>
    </row>
    <row r="32" spans="1:8" x14ac:dyDescent="0.25">
      <c r="A32" s="1">
        <v>31</v>
      </c>
      <c r="B32" s="1" t="s">
        <v>61</v>
      </c>
      <c r="C32" s="3" t="s">
        <v>60</v>
      </c>
      <c r="D32" s="1" t="s">
        <v>1</v>
      </c>
      <c r="E32" s="2">
        <v>1697</v>
      </c>
      <c r="F32" s="4">
        <f t="shared" si="0"/>
        <v>4463.1099999999997</v>
      </c>
      <c r="G32" s="4">
        <f t="shared" si="1"/>
        <v>405.73727272727268</v>
      </c>
      <c r="H32" s="4">
        <f t="shared" si="7"/>
        <v>4057.3727272727269</v>
      </c>
    </row>
    <row r="33" spans="1:8" x14ac:dyDescent="0.25">
      <c r="A33" s="1">
        <v>32</v>
      </c>
      <c r="B33" s="1" t="s">
        <v>63</v>
      </c>
      <c r="C33" s="3" t="s">
        <v>62</v>
      </c>
      <c r="D33" s="1" t="s">
        <v>1</v>
      </c>
      <c r="E33" s="2">
        <v>1997</v>
      </c>
      <c r="F33" s="4">
        <f t="shared" si="0"/>
        <v>5252.11</v>
      </c>
      <c r="G33" s="4">
        <f t="shared" si="1"/>
        <v>477.46454545454543</v>
      </c>
      <c r="H33" s="4">
        <f t="shared" si="7"/>
        <v>4774.6454545454544</v>
      </c>
    </row>
    <row r="34" spans="1:8" x14ac:dyDescent="0.25">
      <c r="A34" s="1">
        <v>33</v>
      </c>
      <c r="B34" s="1" t="s">
        <v>65</v>
      </c>
      <c r="C34" s="3" t="s">
        <v>64</v>
      </c>
      <c r="D34" s="1" t="s">
        <v>1</v>
      </c>
      <c r="E34" s="2">
        <v>2397</v>
      </c>
      <c r="F34" s="4">
        <f t="shared" si="0"/>
        <v>6304.11</v>
      </c>
      <c r="G34" s="4">
        <f t="shared" si="1"/>
        <v>573.10090909090911</v>
      </c>
      <c r="H34" s="4">
        <f t="shared" si="7"/>
        <v>5731.0090909090904</v>
      </c>
    </row>
    <row r="35" spans="1:8" x14ac:dyDescent="0.25">
      <c r="A35" s="1">
        <v>34</v>
      </c>
      <c r="B35" s="1" t="s">
        <v>67</v>
      </c>
      <c r="C35" s="3" t="s">
        <v>66</v>
      </c>
      <c r="D35" s="1" t="s">
        <v>1</v>
      </c>
      <c r="E35" s="2">
        <v>2397</v>
      </c>
      <c r="F35" s="4">
        <f t="shared" si="0"/>
        <v>6304.11</v>
      </c>
      <c r="G35" s="4">
        <f t="shared" si="1"/>
        <v>573.10090909090911</v>
      </c>
      <c r="H35" s="4">
        <f t="shared" si="7"/>
        <v>5731.0090909090904</v>
      </c>
    </row>
    <row r="36" spans="1:8" x14ac:dyDescent="0.25">
      <c r="A36" s="1">
        <v>35</v>
      </c>
      <c r="B36" s="1" t="s">
        <v>69</v>
      </c>
      <c r="C36" s="3" t="s">
        <v>68</v>
      </c>
      <c r="D36" s="1" t="s">
        <v>1</v>
      </c>
      <c r="E36" s="2">
        <v>1997</v>
      </c>
      <c r="F36" s="4">
        <f t="shared" si="0"/>
        <v>5252.11</v>
      </c>
      <c r="G36" s="4">
        <f t="shared" si="1"/>
        <v>477.46454545454543</v>
      </c>
      <c r="H36" s="4">
        <f t="shared" si="7"/>
        <v>4774.6454545454544</v>
      </c>
    </row>
    <row r="37" spans="1:8" x14ac:dyDescent="0.25">
      <c r="A37" s="1">
        <v>36</v>
      </c>
      <c r="B37" s="1" t="s">
        <v>71</v>
      </c>
      <c r="C37" s="3" t="s">
        <v>70</v>
      </c>
      <c r="D37" s="1" t="s">
        <v>1</v>
      </c>
      <c r="E37" s="2">
        <v>2297</v>
      </c>
      <c r="F37" s="4">
        <f t="shared" si="0"/>
        <v>6041.11</v>
      </c>
      <c r="G37" s="4">
        <f t="shared" si="1"/>
        <v>549.19181818181812</v>
      </c>
      <c r="H37" s="4">
        <f t="shared" si="7"/>
        <v>5491.9181818181814</v>
      </c>
    </row>
    <row r="38" spans="1:8" x14ac:dyDescent="0.25">
      <c r="A38" s="1">
        <v>37</v>
      </c>
      <c r="B38" s="1" t="s">
        <v>77</v>
      </c>
      <c r="C38" s="3" t="s">
        <v>72</v>
      </c>
      <c r="D38" s="1" t="s">
        <v>1</v>
      </c>
      <c r="E38" s="2">
        <v>2297</v>
      </c>
      <c r="F38" s="4">
        <f t="shared" si="0"/>
        <v>6041.11</v>
      </c>
      <c r="G38" s="4">
        <f t="shared" si="1"/>
        <v>549.19181818181812</v>
      </c>
      <c r="H38" s="4">
        <f t="shared" ref="H38:H44" si="8">F38-G38</f>
        <v>5491.9181818181814</v>
      </c>
    </row>
    <row r="39" spans="1:8" x14ac:dyDescent="0.25">
      <c r="A39" s="1">
        <v>38</v>
      </c>
      <c r="B39" s="1" t="s">
        <v>76</v>
      </c>
      <c r="C39" s="3" t="s">
        <v>73</v>
      </c>
      <c r="D39" s="1" t="s">
        <v>1</v>
      </c>
      <c r="E39" s="2">
        <v>2297</v>
      </c>
      <c r="F39" s="4">
        <f t="shared" si="0"/>
        <v>6041.11</v>
      </c>
      <c r="G39" s="4">
        <f t="shared" si="1"/>
        <v>549.19181818181812</v>
      </c>
      <c r="H39" s="4">
        <f t="shared" si="8"/>
        <v>5491.9181818181814</v>
      </c>
    </row>
    <row r="40" spans="1:8" x14ac:dyDescent="0.25">
      <c r="A40" s="1">
        <v>39</v>
      </c>
      <c r="B40" s="1" t="s">
        <v>75</v>
      </c>
      <c r="C40" s="3" t="s">
        <v>74</v>
      </c>
      <c r="D40" s="1" t="s">
        <v>1</v>
      </c>
      <c r="E40" s="2">
        <v>2297</v>
      </c>
      <c r="F40" s="4">
        <f t="shared" si="0"/>
        <v>6041.11</v>
      </c>
      <c r="G40" s="4">
        <f t="shared" si="1"/>
        <v>549.19181818181812</v>
      </c>
      <c r="H40" s="4">
        <f t="shared" si="8"/>
        <v>5491.9181818181814</v>
      </c>
    </row>
    <row r="41" spans="1:8" x14ac:dyDescent="0.25">
      <c r="A41" s="1">
        <v>40</v>
      </c>
      <c r="B41" s="1" t="s">
        <v>79</v>
      </c>
      <c r="C41" s="3" t="s">
        <v>78</v>
      </c>
      <c r="D41" s="1" t="s">
        <v>1</v>
      </c>
      <c r="E41" s="2">
        <v>2097</v>
      </c>
      <c r="F41" s="4">
        <f t="shared" si="0"/>
        <v>5515.11</v>
      </c>
      <c r="G41" s="4">
        <f t="shared" si="1"/>
        <v>501.37363636363631</v>
      </c>
      <c r="H41" s="4">
        <f t="shared" si="8"/>
        <v>5013.7363636363634</v>
      </c>
    </row>
    <row r="42" spans="1:8" x14ac:dyDescent="0.25">
      <c r="A42" s="1">
        <v>41</v>
      </c>
      <c r="B42" s="1" t="s">
        <v>81</v>
      </c>
      <c r="C42" s="3" t="s">
        <v>80</v>
      </c>
      <c r="D42" s="1" t="s">
        <v>1</v>
      </c>
      <c r="E42" s="2">
        <v>1997</v>
      </c>
      <c r="F42" s="4">
        <f t="shared" si="0"/>
        <v>5252.11</v>
      </c>
      <c r="G42" s="4">
        <f t="shared" si="1"/>
        <v>477.46454545454543</v>
      </c>
      <c r="H42" s="4">
        <f t="shared" si="8"/>
        <v>4774.6454545454544</v>
      </c>
    </row>
    <row r="43" spans="1:8" x14ac:dyDescent="0.25">
      <c r="A43" s="1">
        <v>42</v>
      </c>
      <c r="B43" s="1" t="s">
        <v>84</v>
      </c>
      <c r="C43" s="3" t="s">
        <v>82</v>
      </c>
      <c r="D43" s="1" t="s">
        <v>83</v>
      </c>
      <c r="E43" s="2">
        <v>1994</v>
      </c>
      <c r="F43" s="4">
        <f t="shared" si="0"/>
        <v>5244.2199999999993</v>
      </c>
      <c r="G43" s="4">
        <f t="shared" si="1"/>
        <v>476.74727272727267</v>
      </c>
      <c r="H43" s="4">
        <f t="shared" si="8"/>
        <v>4767.4727272727268</v>
      </c>
    </row>
    <row r="44" spans="1:8" x14ac:dyDescent="0.25">
      <c r="A44" s="1">
        <v>43</v>
      </c>
      <c r="B44" s="1" t="s">
        <v>86</v>
      </c>
      <c r="C44" s="3" t="s">
        <v>85</v>
      </c>
      <c r="D44" s="1" t="s">
        <v>42</v>
      </c>
      <c r="E44" s="2">
        <v>1999</v>
      </c>
      <c r="F44" s="4">
        <f t="shared" si="0"/>
        <v>5257.37</v>
      </c>
      <c r="G44" s="4">
        <f t="shared" si="1"/>
        <v>477.94272727272727</v>
      </c>
      <c r="H44" s="4">
        <f t="shared" si="8"/>
        <v>4779.4272727272728</v>
      </c>
    </row>
    <row r="45" spans="1:8" x14ac:dyDescent="0.25">
      <c r="A45" s="1">
        <v>44</v>
      </c>
      <c r="B45" s="1" t="s">
        <v>88</v>
      </c>
      <c r="C45" s="3" t="s">
        <v>87</v>
      </c>
      <c r="D45" s="1" t="s">
        <v>42</v>
      </c>
      <c r="E45" s="2">
        <v>1999</v>
      </c>
      <c r="F45" s="4">
        <f t="shared" si="0"/>
        <v>5257.37</v>
      </c>
      <c r="G45" s="4">
        <f t="shared" si="1"/>
        <v>477.94272727272727</v>
      </c>
      <c r="H45" s="4">
        <f t="shared" ref="H45:H76" si="9">F45-G45</f>
        <v>4779.4272727272728</v>
      </c>
    </row>
    <row r="46" spans="1:8" x14ac:dyDescent="0.25">
      <c r="A46" s="1">
        <v>45</v>
      </c>
      <c r="B46" s="1" t="s">
        <v>92</v>
      </c>
      <c r="C46" s="3" t="s">
        <v>89</v>
      </c>
      <c r="D46" s="1" t="s">
        <v>42</v>
      </c>
      <c r="E46" s="2">
        <v>2699</v>
      </c>
      <c r="F46" s="4">
        <f t="shared" si="0"/>
        <v>7098.37</v>
      </c>
      <c r="G46" s="4">
        <f t="shared" si="1"/>
        <v>645.30636363636359</v>
      </c>
      <c r="H46" s="4">
        <f t="shared" si="9"/>
        <v>6453.0636363636368</v>
      </c>
    </row>
    <row r="47" spans="1:8" x14ac:dyDescent="0.25">
      <c r="A47" s="1">
        <v>46</v>
      </c>
      <c r="B47" s="1" t="s">
        <v>91</v>
      </c>
      <c r="C47" s="3" t="s">
        <v>90</v>
      </c>
      <c r="D47" s="1" t="s">
        <v>42</v>
      </c>
      <c r="E47" s="2">
        <v>2699</v>
      </c>
      <c r="F47" s="4">
        <f t="shared" si="0"/>
        <v>7098.37</v>
      </c>
      <c r="G47" s="4">
        <f t="shared" si="1"/>
        <v>645.30636363636359</v>
      </c>
      <c r="H47" s="4">
        <f t="shared" si="9"/>
        <v>6453.0636363636368</v>
      </c>
    </row>
    <row r="48" spans="1:8" x14ac:dyDescent="0.25">
      <c r="A48" s="1">
        <v>47</v>
      </c>
      <c r="B48" s="1"/>
      <c r="C48" s="3" t="s">
        <v>93</v>
      </c>
      <c r="D48" s="1" t="s">
        <v>94</v>
      </c>
      <c r="E48" s="2">
        <v>2649.99</v>
      </c>
      <c r="F48" s="4">
        <f t="shared" si="0"/>
        <v>6969.4736999999996</v>
      </c>
      <c r="G48" s="4">
        <f t="shared" si="1"/>
        <v>633.58851818181813</v>
      </c>
      <c r="H48" s="4">
        <f t="shared" si="9"/>
        <v>6335.8851818181811</v>
      </c>
    </row>
    <row r="49" spans="1:8" x14ac:dyDescent="0.25">
      <c r="A49" s="1">
        <v>48</v>
      </c>
      <c r="B49" s="1" t="s">
        <v>96</v>
      </c>
      <c r="C49" s="3" t="s">
        <v>95</v>
      </c>
      <c r="D49" s="1" t="s">
        <v>1</v>
      </c>
      <c r="E49" s="2">
        <v>2897</v>
      </c>
      <c r="F49" s="4">
        <f t="shared" si="0"/>
        <v>7619.11</v>
      </c>
      <c r="G49" s="4">
        <f t="shared" si="1"/>
        <v>692.64636363636362</v>
      </c>
      <c r="H49" s="4">
        <f t="shared" si="9"/>
        <v>6926.4636363636364</v>
      </c>
    </row>
    <row r="50" spans="1:8" x14ac:dyDescent="0.25">
      <c r="A50" s="1">
        <v>49</v>
      </c>
      <c r="B50" s="1"/>
      <c r="C50" s="3" t="s">
        <v>97</v>
      </c>
      <c r="D50" s="1" t="s">
        <v>94</v>
      </c>
      <c r="E50" s="2">
        <v>4599.99</v>
      </c>
      <c r="F50" s="4">
        <f t="shared" si="0"/>
        <v>12097.973699999999</v>
      </c>
      <c r="G50" s="4">
        <f t="shared" si="1"/>
        <v>1099.8157909090908</v>
      </c>
      <c r="H50" s="4">
        <f t="shared" si="9"/>
        <v>10998.157909090907</v>
      </c>
    </row>
    <row r="51" spans="1:8" x14ac:dyDescent="0.25">
      <c r="A51" s="1">
        <v>50</v>
      </c>
      <c r="B51" s="1" t="s">
        <v>99</v>
      </c>
      <c r="C51" s="3" t="s">
        <v>98</v>
      </c>
      <c r="D51" s="1" t="s">
        <v>83</v>
      </c>
      <c r="E51" s="2">
        <v>4299</v>
      </c>
      <c r="F51" s="4">
        <f t="shared" si="0"/>
        <v>11306.369999999999</v>
      </c>
      <c r="G51" s="4">
        <f t="shared" si="1"/>
        <v>1027.8518181818181</v>
      </c>
      <c r="H51" s="4">
        <f t="shared" si="9"/>
        <v>10278.518181818181</v>
      </c>
    </row>
    <row r="52" spans="1:8" x14ac:dyDescent="0.25">
      <c r="A52" s="1">
        <v>51</v>
      </c>
      <c r="B52" s="1" t="s">
        <v>100</v>
      </c>
      <c r="C52" s="3" t="s">
        <v>101</v>
      </c>
      <c r="D52" s="1" t="s">
        <v>36</v>
      </c>
      <c r="E52" s="2">
        <v>6299</v>
      </c>
      <c r="F52" s="4">
        <f t="shared" si="0"/>
        <v>16566.37</v>
      </c>
      <c r="G52" s="4">
        <f t="shared" si="1"/>
        <v>1506.0336363636363</v>
      </c>
      <c r="H52" s="4">
        <f t="shared" si="9"/>
        <v>15060.336363636363</v>
      </c>
    </row>
    <row r="53" spans="1:8" x14ac:dyDescent="0.25">
      <c r="A53" s="1">
        <v>52</v>
      </c>
      <c r="B53" s="1" t="s">
        <v>103</v>
      </c>
      <c r="C53" s="3" t="s">
        <v>102</v>
      </c>
      <c r="D53" s="1" t="s">
        <v>1</v>
      </c>
      <c r="E53" s="2">
        <v>3197</v>
      </c>
      <c r="F53" s="4">
        <f t="shared" si="0"/>
        <v>8408.1099999999988</v>
      </c>
      <c r="G53" s="4">
        <f t="shared" si="1"/>
        <v>764.37363636363625</v>
      </c>
      <c r="H53" s="4">
        <f t="shared" si="9"/>
        <v>7643.7363636363625</v>
      </c>
    </row>
    <row r="54" spans="1:8" x14ac:dyDescent="0.25">
      <c r="A54" s="1">
        <v>53</v>
      </c>
      <c r="B54" s="1"/>
      <c r="C54" s="3" t="s">
        <v>104</v>
      </c>
      <c r="D54" s="1" t="s">
        <v>105</v>
      </c>
      <c r="E54" s="2">
        <v>729</v>
      </c>
      <c r="F54" s="4">
        <f t="shared" si="0"/>
        <v>1917.27</v>
      </c>
      <c r="G54" s="4">
        <f t="shared" si="1"/>
        <v>174.29727272727271</v>
      </c>
      <c r="H54" s="4">
        <f t="shared" si="9"/>
        <v>1742.9727272727273</v>
      </c>
    </row>
    <row r="55" spans="1:8" x14ac:dyDescent="0.25">
      <c r="A55" s="1">
        <v>54</v>
      </c>
      <c r="B55" s="1"/>
      <c r="C55" s="3" t="s">
        <v>106</v>
      </c>
      <c r="D55" s="1" t="s">
        <v>94</v>
      </c>
      <c r="E55" s="2">
        <v>1239</v>
      </c>
      <c r="F55" s="4">
        <f t="shared" si="0"/>
        <v>3258.5699999999997</v>
      </c>
      <c r="G55" s="4">
        <f t="shared" si="1"/>
        <v>296.23363636363632</v>
      </c>
      <c r="H55" s="4">
        <f t="shared" si="9"/>
        <v>2962.3363636363633</v>
      </c>
    </row>
    <row r="56" spans="1:8" x14ac:dyDescent="0.25">
      <c r="A56" s="1">
        <v>55</v>
      </c>
      <c r="B56" s="1"/>
      <c r="C56" s="3" t="s">
        <v>107</v>
      </c>
      <c r="D56" s="1" t="s">
        <v>83</v>
      </c>
      <c r="E56" s="2">
        <v>897</v>
      </c>
      <c r="F56" s="4">
        <f t="shared" si="0"/>
        <v>2359.11</v>
      </c>
      <c r="G56" s="4">
        <f t="shared" si="1"/>
        <v>214.46454545454546</v>
      </c>
      <c r="H56" s="4">
        <f t="shared" si="9"/>
        <v>2144.6454545454549</v>
      </c>
    </row>
    <row r="57" spans="1:8" x14ac:dyDescent="0.25">
      <c r="A57" s="1">
        <v>56</v>
      </c>
      <c r="B57" s="1"/>
      <c r="C57" s="3" t="s">
        <v>108</v>
      </c>
      <c r="D57" s="1" t="s">
        <v>36</v>
      </c>
      <c r="E57" s="2">
        <v>1197</v>
      </c>
      <c r="F57" s="4">
        <f t="shared" si="0"/>
        <v>3148.1099999999997</v>
      </c>
      <c r="G57" s="4">
        <f t="shared" si="1"/>
        <v>286.19181818181818</v>
      </c>
      <c r="H57" s="4">
        <f t="shared" si="9"/>
        <v>2861.9181818181814</v>
      </c>
    </row>
    <row r="58" spans="1:8" x14ac:dyDescent="0.25">
      <c r="A58" s="1">
        <v>57</v>
      </c>
      <c r="B58" s="1"/>
      <c r="C58" s="3" t="s">
        <v>109</v>
      </c>
      <c r="D58" s="1" t="s">
        <v>83</v>
      </c>
      <c r="E58" s="2">
        <v>1397</v>
      </c>
      <c r="F58" s="4">
        <f t="shared" si="0"/>
        <v>3674.1099999999997</v>
      </c>
      <c r="G58" s="4">
        <f t="shared" si="1"/>
        <v>334.01</v>
      </c>
      <c r="H58" s="4">
        <f t="shared" si="9"/>
        <v>3340.0999999999995</v>
      </c>
    </row>
    <row r="59" spans="1:8" x14ac:dyDescent="0.25">
      <c r="A59" s="1">
        <v>58</v>
      </c>
      <c r="B59" s="1" t="s">
        <v>111</v>
      </c>
      <c r="C59" s="3" t="s">
        <v>110</v>
      </c>
      <c r="D59" s="1" t="s">
        <v>1</v>
      </c>
      <c r="E59" s="2">
        <v>168</v>
      </c>
      <c r="F59" s="4">
        <f t="shared" si="0"/>
        <v>441.84</v>
      </c>
      <c r="G59" s="4">
        <f t="shared" si="1"/>
        <v>40.167272727272724</v>
      </c>
      <c r="H59" s="4">
        <f t="shared" si="9"/>
        <v>401.67272727272723</v>
      </c>
    </row>
    <row r="60" spans="1:8" x14ac:dyDescent="0.25">
      <c r="A60" s="1">
        <v>59</v>
      </c>
      <c r="B60" s="1"/>
      <c r="C60" s="3" t="s">
        <v>112</v>
      </c>
      <c r="D60" s="1" t="s">
        <v>113</v>
      </c>
      <c r="E60" s="2">
        <v>119</v>
      </c>
      <c r="F60" s="4">
        <f t="shared" si="0"/>
        <v>312.96999999999997</v>
      </c>
      <c r="G60" s="4">
        <f t="shared" si="1"/>
        <v>28.451818181818179</v>
      </c>
      <c r="H60" s="4">
        <f t="shared" si="9"/>
        <v>284.5181818181818</v>
      </c>
    </row>
    <row r="61" spans="1:8" x14ac:dyDescent="0.25">
      <c r="A61" s="1">
        <v>60</v>
      </c>
      <c r="B61" s="1"/>
      <c r="C61" s="3" t="s">
        <v>114</v>
      </c>
      <c r="D61" s="1" t="s">
        <v>83</v>
      </c>
      <c r="E61" s="2">
        <v>348</v>
      </c>
      <c r="F61" s="4">
        <f t="shared" si="0"/>
        <v>915.24</v>
      </c>
      <c r="G61" s="4">
        <f t="shared" si="1"/>
        <v>83.203636363636363</v>
      </c>
      <c r="H61" s="4">
        <f t="shared" si="9"/>
        <v>832.0363636363636</v>
      </c>
    </row>
    <row r="62" spans="1:8" x14ac:dyDescent="0.25">
      <c r="A62" s="1">
        <v>61</v>
      </c>
      <c r="B62" s="1"/>
      <c r="C62" s="3" t="s">
        <v>115</v>
      </c>
      <c r="D62" s="1" t="s">
        <v>83</v>
      </c>
      <c r="E62" s="2">
        <v>158</v>
      </c>
      <c r="F62" s="4">
        <f t="shared" si="0"/>
        <v>415.53999999999996</v>
      </c>
      <c r="G62" s="4">
        <f t="shared" si="1"/>
        <v>37.776363636363634</v>
      </c>
      <c r="H62" s="4">
        <f t="shared" si="9"/>
        <v>377.76363636363635</v>
      </c>
    </row>
    <row r="63" spans="1:8" x14ac:dyDescent="0.25">
      <c r="A63" s="1">
        <v>62</v>
      </c>
      <c r="B63" s="1" t="s">
        <v>117</v>
      </c>
      <c r="C63" s="3" t="s">
        <v>116</v>
      </c>
      <c r="D63" s="1" t="s">
        <v>31</v>
      </c>
      <c r="E63" s="2">
        <v>838</v>
      </c>
      <c r="F63" s="4">
        <f t="shared" si="0"/>
        <v>2203.94</v>
      </c>
      <c r="G63" s="4">
        <f t="shared" si="1"/>
        <v>200.35818181818183</v>
      </c>
      <c r="H63" s="4">
        <f t="shared" si="9"/>
        <v>2003.5818181818181</v>
      </c>
    </row>
    <row r="64" spans="1:8" x14ac:dyDescent="0.25">
      <c r="A64" s="1">
        <v>63</v>
      </c>
      <c r="B64" s="1" t="s">
        <v>119</v>
      </c>
      <c r="C64" s="3" t="s">
        <v>118</v>
      </c>
      <c r="D64" s="1" t="s">
        <v>31</v>
      </c>
      <c r="E64" s="2">
        <v>788</v>
      </c>
      <c r="F64" s="4">
        <f t="shared" si="0"/>
        <v>2072.44</v>
      </c>
      <c r="G64" s="4">
        <f t="shared" si="1"/>
        <v>188.40363636363637</v>
      </c>
      <c r="H64" s="4">
        <f t="shared" si="9"/>
        <v>1884.0363636363636</v>
      </c>
    </row>
    <row r="65" spans="1:8" x14ac:dyDescent="0.25">
      <c r="A65" s="1">
        <v>64</v>
      </c>
      <c r="B65" s="1" t="s">
        <v>121</v>
      </c>
      <c r="C65" s="3" t="s">
        <v>120</v>
      </c>
      <c r="D65" s="1" t="s">
        <v>94</v>
      </c>
      <c r="E65" s="2">
        <v>339</v>
      </c>
      <c r="F65" s="4">
        <f t="shared" si="0"/>
        <v>891.56999999999994</v>
      </c>
      <c r="G65" s="4">
        <f t="shared" si="1"/>
        <v>81.051818181818177</v>
      </c>
      <c r="H65" s="4">
        <f t="shared" si="9"/>
        <v>810.5181818181818</v>
      </c>
    </row>
    <row r="66" spans="1:8" x14ac:dyDescent="0.25">
      <c r="A66" s="1">
        <v>65</v>
      </c>
      <c r="B66" s="1" t="s">
        <v>123</v>
      </c>
      <c r="C66" s="3" t="s">
        <v>122</v>
      </c>
      <c r="D66" s="1" t="s">
        <v>94</v>
      </c>
      <c r="E66" s="2">
        <v>339</v>
      </c>
      <c r="F66" s="4">
        <f t="shared" si="0"/>
        <v>891.56999999999994</v>
      </c>
      <c r="G66" s="4">
        <f t="shared" si="1"/>
        <v>81.051818181818177</v>
      </c>
      <c r="H66" s="4">
        <f t="shared" si="9"/>
        <v>810.5181818181818</v>
      </c>
    </row>
    <row r="67" spans="1:8" x14ac:dyDescent="0.25">
      <c r="A67" s="1">
        <v>66</v>
      </c>
      <c r="B67" s="1" t="s">
        <v>126</v>
      </c>
      <c r="C67" s="3" t="s">
        <v>124</v>
      </c>
      <c r="D67" s="1" t="s">
        <v>94</v>
      </c>
      <c r="E67" s="2">
        <v>339</v>
      </c>
      <c r="F67" s="4">
        <f t="shared" si="0"/>
        <v>891.56999999999994</v>
      </c>
      <c r="G67" s="4">
        <f t="shared" si="1"/>
        <v>81.051818181818177</v>
      </c>
      <c r="H67" s="4">
        <f t="shared" si="9"/>
        <v>810.5181818181818</v>
      </c>
    </row>
    <row r="68" spans="1:8" x14ac:dyDescent="0.25">
      <c r="A68" s="1">
        <v>67</v>
      </c>
      <c r="B68" s="1" t="s">
        <v>125</v>
      </c>
      <c r="C68" s="3" t="s">
        <v>124</v>
      </c>
      <c r="D68" s="1" t="s">
        <v>94</v>
      </c>
      <c r="E68" s="2">
        <v>339</v>
      </c>
      <c r="F68" s="4">
        <f t="shared" si="0"/>
        <v>891.56999999999994</v>
      </c>
      <c r="G68" s="4">
        <f t="shared" si="1"/>
        <v>81.051818181818177</v>
      </c>
      <c r="H68" s="4">
        <f t="shared" si="9"/>
        <v>810.5181818181818</v>
      </c>
    </row>
    <row r="69" spans="1:8" x14ac:dyDescent="0.25">
      <c r="A69" s="1">
        <v>68</v>
      </c>
      <c r="B69" s="1"/>
      <c r="C69" s="3" t="s">
        <v>127</v>
      </c>
      <c r="D69" s="1" t="s">
        <v>1</v>
      </c>
      <c r="E69" s="2">
        <v>29</v>
      </c>
      <c r="F69" s="4">
        <f t="shared" si="0"/>
        <v>76.27</v>
      </c>
      <c r="G69" s="4">
        <f t="shared" si="1"/>
        <v>6.9336363636363636</v>
      </c>
      <c r="H69" s="4">
        <f t="shared" si="9"/>
        <v>69.336363636363629</v>
      </c>
    </row>
    <row r="70" spans="1:8" x14ac:dyDescent="0.25">
      <c r="A70" s="1">
        <v>69</v>
      </c>
      <c r="B70" s="1"/>
      <c r="C70" s="3" t="s">
        <v>128</v>
      </c>
      <c r="D70" s="1" t="s">
        <v>94</v>
      </c>
      <c r="E70" s="2">
        <v>384</v>
      </c>
      <c r="F70" s="4">
        <f t="shared" si="0"/>
        <v>1009.92</v>
      </c>
      <c r="G70" s="4">
        <f t="shared" si="1"/>
        <v>91.810909090909092</v>
      </c>
      <c r="H70" s="4">
        <f t="shared" si="9"/>
        <v>918.10909090909081</v>
      </c>
    </row>
    <row r="71" spans="1:8" x14ac:dyDescent="0.25">
      <c r="A71" s="1">
        <v>70</v>
      </c>
      <c r="B71" s="1" t="s">
        <v>130</v>
      </c>
      <c r="C71" s="3" t="s">
        <v>129</v>
      </c>
      <c r="D71" s="1" t="s">
        <v>94</v>
      </c>
      <c r="E71" s="2">
        <v>669.99</v>
      </c>
      <c r="F71" s="4">
        <f t="shared" si="0"/>
        <v>1762.0736999999999</v>
      </c>
      <c r="G71" s="4">
        <f t="shared" si="1"/>
        <v>160.18851818181818</v>
      </c>
      <c r="H71" s="4">
        <f t="shared" si="9"/>
        <v>1601.8851818181818</v>
      </c>
    </row>
    <row r="72" spans="1:8" x14ac:dyDescent="0.25">
      <c r="A72" s="1">
        <v>71</v>
      </c>
      <c r="B72" s="1"/>
      <c r="C72" s="3" t="s">
        <v>131</v>
      </c>
      <c r="D72" s="1" t="s">
        <v>94</v>
      </c>
      <c r="E72" s="2">
        <v>484.99</v>
      </c>
      <c r="F72" s="4">
        <f t="shared" si="0"/>
        <v>1275.5237</v>
      </c>
      <c r="G72" s="4">
        <f t="shared" si="1"/>
        <v>115.9567</v>
      </c>
      <c r="H72" s="4">
        <f t="shared" si="9"/>
        <v>1159.567</v>
      </c>
    </row>
    <row r="73" spans="1:8" x14ac:dyDescent="0.25">
      <c r="A73" s="1">
        <v>72</v>
      </c>
      <c r="B73" s="1"/>
      <c r="C73" s="3" t="s">
        <v>132</v>
      </c>
      <c r="D73" s="1" t="s">
        <v>36</v>
      </c>
      <c r="E73" s="2">
        <v>547</v>
      </c>
      <c r="F73" s="4">
        <f t="shared" si="0"/>
        <v>1438.61</v>
      </c>
      <c r="G73" s="4">
        <f t="shared" si="1"/>
        <v>130.78272727272727</v>
      </c>
      <c r="H73" s="4">
        <f t="shared" si="9"/>
        <v>1307.8272727272727</v>
      </c>
    </row>
    <row r="74" spans="1:8" x14ac:dyDescent="0.25">
      <c r="A74" s="1">
        <v>73</v>
      </c>
      <c r="B74" s="1" t="s">
        <v>134</v>
      </c>
      <c r="C74" s="3" t="s">
        <v>133</v>
      </c>
      <c r="D74" s="1" t="s">
        <v>42</v>
      </c>
      <c r="E74" s="2">
        <v>554</v>
      </c>
      <c r="F74" s="4">
        <f t="shared" si="0"/>
        <v>1457.02</v>
      </c>
      <c r="G74" s="4">
        <f t="shared" si="1"/>
        <v>132.45636363636365</v>
      </c>
      <c r="H74" s="4">
        <f t="shared" si="9"/>
        <v>1324.5636363636363</v>
      </c>
    </row>
    <row r="75" spans="1:8" x14ac:dyDescent="0.25">
      <c r="A75" s="1">
        <v>74</v>
      </c>
      <c r="B75" s="1" t="s">
        <v>136</v>
      </c>
      <c r="C75" s="3" t="s">
        <v>135</v>
      </c>
      <c r="D75" s="1" t="s">
        <v>42</v>
      </c>
      <c r="E75" s="2">
        <v>554</v>
      </c>
      <c r="F75" s="4">
        <f t="shared" si="0"/>
        <v>1457.02</v>
      </c>
      <c r="G75" s="4">
        <f t="shared" si="1"/>
        <v>132.45636363636365</v>
      </c>
      <c r="H75" s="4">
        <f t="shared" si="9"/>
        <v>1324.5636363636363</v>
      </c>
    </row>
    <row r="76" spans="1:8" x14ac:dyDescent="0.25">
      <c r="A76" s="1">
        <v>75</v>
      </c>
      <c r="B76" s="1" t="s">
        <v>138</v>
      </c>
      <c r="C76" s="3" t="s">
        <v>137</v>
      </c>
      <c r="D76" s="1" t="s">
        <v>1</v>
      </c>
      <c r="E76" s="2">
        <v>787</v>
      </c>
      <c r="F76" s="4">
        <f t="shared" si="0"/>
        <v>2069.81</v>
      </c>
      <c r="G76" s="4">
        <f t="shared" si="1"/>
        <v>188.16454545454545</v>
      </c>
      <c r="H76" s="4">
        <f t="shared" si="9"/>
        <v>1881.6454545454544</v>
      </c>
    </row>
    <row r="77" spans="1:8" x14ac:dyDescent="0.25">
      <c r="A77" s="1">
        <v>76</v>
      </c>
      <c r="B77" s="1" t="s">
        <v>140</v>
      </c>
      <c r="C77" s="3" t="s">
        <v>139</v>
      </c>
      <c r="D77" s="1" t="s">
        <v>1</v>
      </c>
      <c r="E77" s="2">
        <v>787</v>
      </c>
      <c r="F77" s="4">
        <f t="shared" si="0"/>
        <v>2069.81</v>
      </c>
      <c r="G77" s="4">
        <f t="shared" si="1"/>
        <v>188.16454545454545</v>
      </c>
      <c r="H77" s="4">
        <f t="shared" ref="H77:H82" si="10">F77-G77</f>
        <v>1881.6454545454544</v>
      </c>
    </row>
    <row r="78" spans="1:8" x14ac:dyDescent="0.25">
      <c r="A78" s="1">
        <v>77</v>
      </c>
      <c r="B78" s="1" t="s">
        <v>142</v>
      </c>
      <c r="C78" s="3" t="s">
        <v>141</v>
      </c>
      <c r="D78" s="1" t="s">
        <v>1</v>
      </c>
      <c r="E78" s="2">
        <v>787</v>
      </c>
      <c r="F78" s="4">
        <f t="shared" ref="F78:F82" si="11">E78*2.63</f>
        <v>2069.81</v>
      </c>
      <c r="G78" s="4">
        <f t="shared" ref="G78:G82" si="12">F78/11</f>
        <v>188.16454545454545</v>
      </c>
      <c r="H78" s="4">
        <f t="shared" si="10"/>
        <v>1881.6454545454544</v>
      </c>
    </row>
    <row r="79" spans="1:8" x14ac:dyDescent="0.25">
      <c r="A79" s="1">
        <v>78</v>
      </c>
      <c r="B79" s="1"/>
      <c r="C79" s="3" t="s">
        <v>143</v>
      </c>
      <c r="D79" s="1" t="s">
        <v>94</v>
      </c>
      <c r="E79" s="2">
        <v>949.99</v>
      </c>
      <c r="F79" s="4">
        <f t="shared" si="11"/>
        <v>2498.4737</v>
      </c>
      <c r="G79" s="4">
        <f t="shared" si="12"/>
        <v>227.13397272727272</v>
      </c>
      <c r="H79" s="4">
        <f t="shared" si="10"/>
        <v>2271.3397272727275</v>
      </c>
    </row>
    <row r="80" spans="1:8" x14ac:dyDescent="0.25">
      <c r="A80" s="1">
        <v>79</v>
      </c>
      <c r="B80" s="1" t="s">
        <v>145</v>
      </c>
      <c r="C80" s="3" t="s">
        <v>144</v>
      </c>
      <c r="D80" s="1" t="s">
        <v>94</v>
      </c>
      <c r="E80" s="2">
        <v>1139.99</v>
      </c>
      <c r="F80" s="4">
        <f t="shared" si="11"/>
        <v>2998.1736999999998</v>
      </c>
      <c r="G80" s="4">
        <f t="shared" si="12"/>
        <v>272.56124545454543</v>
      </c>
      <c r="H80" s="4">
        <f t="shared" si="10"/>
        <v>2725.6124545454545</v>
      </c>
    </row>
    <row r="81" spans="1:8" x14ac:dyDescent="0.25">
      <c r="A81" s="1">
        <v>80</v>
      </c>
      <c r="B81" s="1"/>
      <c r="C81" s="3" t="s">
        <v>146</v>
      </c>
      <c r="D81" s="1" t="s">
        <v>94</v>
      </c>
      <c r="E81" s="2">
        <v>1599.99</v>
      </c>
      <c r="F81" s="4">
        <f t="shared" si="11"/>
        <v>4207.9736999999996</v>
      </c>
      <c r="G81" s="4">
        <f t="shared" si="12"/>
        <v>382.54306363636357</v>
      </c>
      <c r="H81" s="4">
        <f t="shared" si="10"/>
        <v>3825.430636363636</v>
      </c>
    </row>
    <row r="82" spans="1:8" x14ac:dyDescent="0.25">
      <c r="A82" s="1">
        <v>81</v>
      </c>
      <c r="B82" s="1"/>
      <c r="C82" s="3" t="s">
        <v>147</v>
      </c>
      <c r="D82" s="1" t="s">
        <v>94</v>
      </c>
      <c r="E82" s="2">
        <v>1949.99</v>
      </c>
      <c r="F82" s="4">
        <f t="shared" si="11"/>
        <v>5128.4736999999996</v>
      </c>
      <c r="G82" s="4">
        <f t="shared" si="12"/>
        <v>466.22488181818176</v>
      </c>
      <c r="H82" s="4">
        <f t="shared" si="10"/>
        <v>4662.248818181818</v>
      </c>
    </row>
  </sheetData>
  <phoneticPr fontId="2" type="noConversion"/>
  <conditionalFormatting sqref="B1:B9 B15:B1048576">
    <cfRule type="duplicateValues" dxfId="3" priority="4"/>
  </conditionalFormatting>
  <conditionalFormatting sqref="B1:B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2026-05-04T11:34:27Z</dcterms:created>
  <dcterms:modified xsi:type="dcterms:W3CDTF">2026-05-04T15:53:18Z</dcterms:modified>
</cp:coreProperties>
</file>