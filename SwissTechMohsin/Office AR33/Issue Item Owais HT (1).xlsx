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New folder/"/>
    </mc:Choice>
  </mc:AlternateContent>
  <xr:revisionPtr revIDLastSave="196" documentId="13_ncr:1_{1297A7BE-A310-4DE2-A7A5-FD5A86E8FC09}" xr6:coauthVersionLast="47" xr6:coauthVersionMax="47" xr10:uidLastSave="{94264B3B-E5BC-4FC1-AA4E-DADF54B76571}"/>
  <bookViews>
    <workbookView xWindow="-120" yWindow="-120" windowWidth="20730" windowHeight="11040" activeTab="1" xr2:uid="{82D9A381-A2BF-4BCB-89A0-0034641FF47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2" l="1"/>
  <c r="K22" i="2"/>
  <c r="I22" i="2"/>
  <c r="J22" i="2"/>
  <c r="I10" i="2"/>
  <c r="K12" i="2"/>
  <c r="K13" i="2"/>
  <c r="K14" i="2"/>
  <c r="K15" i="2"/>
  <c r="K16" i="2"/>
  <c r="K17" i="2"/>
  <c r="K18" i="2"/>
  <c r="K19" i="2"/>
  <c r="K20" i="2"/>
  <c r="K21" i="2"/>
  <c r="K3" i="2"/>
  <c r="K4" i="2"/>
  <c r="K5" i="2"/>
  <c r="K6" i="2"/>
  <c r="K7" i="2"/>
  <c r="K8" i="2"/>
  <c r="K9" i="2"/>
  <c r="K10" i="2"/>
  <c r="K11" i="2"/>
  <c r="K2" i="2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</calcChain>
</file>

<file path=xl/sharedStrings.xml><?xml version="1.0" encoding="utf-8"?>
<sst xmlns="http://schemas.openxmlformats.org/spreadsheetml/2006/main" count="223" uniqueCount="111">
  <si>
    <t>Issue Item Neet Update Invoice</t>
  </si>
  <si>
    <t>Lable Invoice Number</t>
  </si>
  <si>
    <t>Model</t>
  </si>
  <si>
    <t>Colue</t>
  </si>
  <si>
    <t>Storage</t>
  </si>
  <si>
    <t>IMEI</t>
  </si>
  <si>
    <t>Received Status</t>
  </si>
  <si>
    <t>USD Prices</t>
  </si>
  <si>
    <t>Invoice Status</t>
  </si>
  <si>
    <t>Issue</t>
  </si>
  <si>
    <r>
      <rPr>
        <b/>
        <sz val="11"/>
        <color theme="1"/>
        <rFont val="Arial MT"/>
        <family val="2"/>
      </rPr>
      <t>iPhone 17 Pro Max</t>
    </r>
  </si>
  <si>
    <r>
      <rPr>
        <b/>
        <sz val="11"/>
        <color theme="1"/>
        <rFont val="Arial MT"/>
        <family val="2"/>
      </rPr>
      <t>Cosmic Orange</t>
    </r>
  </si>
  <si>
    <r>
      <rPr>
        <b/>
        <sz val="11"/>
        <color theme="1"/>
        <rFont val="Arial MT"/>
        <family val="2"/>
      </rPr>
      <t>256 GB</t>
    </r>
  </si>
  <si>
    <t>512 GB Invoice Purchasing But Received 256 GB</t>
  </si>
  <si>
    <r>
      <rPr>
        <b/>
        <sz val="11"/>
        <color theme="1"/>
        <rFont val="Arial MT"/>
        <family val="2"/>
      </rPr>
      <t>T-Mobile</t>
    </r>
  </si>
  <si>
    <t>unlock</t>
  </si>
  <si>
    <t>Unlock Invoice Purchasing But T-Mobile carrer Received</t>
  </si>
  <si>
    <t>iPhone 16 Pro Max</t>
  </si>
  <si>
    <t>NATURAL</t>
  </si>
  <si>
    <t>ATT</t>
  </si>
  <si>
    <t>BOX</t>
  </si>
  <si>
    <t>This Amoount Same HSO And BOX</t>
  </si>
  <si>
    <t>DESERT</t>
  </si>
  <si>
    <t>HSO</t>
  </si>
  <si>
    <t>BLACK</t>
  </si>
  <si>
    <t>iPhone 17 Pro (Kit)</t>
  </si>
  <si>
    <t>Cosmic Orange</t>
  </si>
  <si>
    <t>256 GB</t>
  </si>
  <si>
    <t xml:space="preserve">Active </t>
  </si>
  <si>
    <t>Unlock</t>
  </si>
  <si>
    <t xml:space="preserve">Price Boxpack But Received Kit </t>
  </si>
  <si>
    <t>iPhone 15 Pro Max</t>
  </si>
  <si>
    <t>White Ti</t>
  </si>
  <si>
    <t>iCould</t>
  </si>
  <si>
    <t xml:space="preserve">iColud Phone </t>
  </si>
  <si>
    <t>Ps5 Pro</t>
  </si>
  <si>
    <t>White</t>
  </si>
  <si>
    <t>2 TB</t>
  </si>
  <si>
    <t>20 Pices</t>
  </si>
  <si>
    <t>Damage BOX</t>
  </si>
  <si>
    <t>889002110930 .</t>
  </si>
  <si>
    <t>iPad Pro M5 13" (W+C)</t>
  </si>
  <si>
    <t>Silver</t>
  </si>
  <si>
    <t>Blacklist, Destroyed Box,tilted bent</t>
  </si>
  <si>
    <t>888637279919 / 888774090455</t>
  </si>
  <si>
    <t>PS5 Edge Controller</t>
  </si>
  <si>
    <t>Controller Missing</t>
  </si>
  <si>
    <t>iPhone 16 Pro Max (Kit)</t>
  </si>
  <si>
    <t>Desert Ti</t>
  </si>
  <si>
    <t>Active</t>
  </si>
  <si>
    <t>INVOICE</t>
  </si>
  <si>
    <t>INVOICE TOTAL IN OWAIS LEDGER</t>
  </si>
  <si>
    <t>INV TOTAL ACC TO SWISSTECH</t>
  </si>
  <si>
    <t>DIFFERENCE</t>
  </si>
  <si>
    <t>Comments</t>
  </si>
  <si>
    <t>AR-21</t>
  </si>
  <si>
    <t>AR-22</t>
  </si>
  <si>
    <t>Inv AR NY 2 partial</t>
  </si>
  <si>
    <t>model difference 17pm received 17 pro</t>
  </si>
  <si>
    <t>Inv AR 23</t>
  </si>
  <si>
    <t>iphone 17 pro 256gb blue   353990820541881 not received</t>
  </si>
  <si>
    <t>Inv AR NY 2-2 partial</t>
  </si>
  <si>
    <t>Used phone CLOSED</t>
  </si>
  <si>
    <t>need invoice detail</t>
  </si>
  <si>
    <t>Inv AR 24</t>
  </si>
  <si>
    <t>iphone 15 plus missing</t>
  </si>
  <si>
    <t>INVOICE AR 25</t>
  </si>
  <si>
    <t xml:space="preserve">wrong invoice total in owais ledger </t>
  </si>
  <si>
    <t>INVOICE AR 26</t>
  </si>
  <si>
    <t>samsung Z flip 3 piece return</t>
  </si>
  <si>
    <t>INVOICE AR 1</t>
  </si>
  <si>
    <t>INVOICE AR 2</t>
  </si>
  <si>
    <t>need updates ivoice</t>
  </si>
  <si>
    <t>INVOICE AR 4</t>
  </si>
  <si>
    <t>INVOICE AR 5</t>
  </si>
  <si>
    <t>INVOICE AR 6</t>
  </si>
  <si>
    <t>not update in owais ledger</t>
  </si>
  <si>
    <t>INVOICE AR 7/AR AR 7 PALLET</t>
  </si>
  <si>
    <t>INVOICE AR 9</t>
  </si>
  <si>
    <t>iphone 17 Air 256gb Gold 358302111946032
Iphone 17 Pro Max Silver 353497850546228 missing</t>
  </si>
  <si>
    <t>INVOICE AR P10</t>
  </si>
  <si>
    <t>INVOICE AR 11</t>
  </si>
  <si>
    <t>INVOICE AR 12</t>
  </si>
  <si>
    <t>INVOICE AR 13</t>
  </si>
  <si>
    <t xml:space="preserve">Desert Ti </t>
  </si>
  <si>
    <t xml:space="preserve">256 GB </t>
  </si>
  <si>
    <t>Active, Body Damage</t>
  </si>
  <si>
    <t>Active, Damage</t>
  </si>
  <si>
    <t>Active, Spot on Screen</t>
  </si>
  <si>
    <t>Active T-Mobile, Back broken</t>
  </si>
  <si>
    <t>Active T-Mobile, Damage</t>
  </si>
  <si>
    <t xml:space="preserve"> Desert Ti</t>
  </si>
  <si>
    <t>iPhone 16 Pro Max(Kit)</t>
  </si>
  <si>
    <t xml:space="preserve"> 256 GB </t>
  </si>
  <si>
    <t>Natural Ti</t>
  </si>
  <si>
    <t>iPhone 16 Pro Max  (Kit)</t>
  </si>
  <si>
    <t xml:space="preserve"> 256 GB</t>
  </si>
  <si>
    <t>Black Ti</t>
  </si>
  <si>
    <t xml:space="preserve">Black Ti </t>
  </si>
  <si>
    <t xml:space="preserve">White Ti </t>
  </si>
  <si>
    <t>ACTIVE</t>
  </si>
  <si>
    <t>Label Num</t>
  </si>
  <si>
    <t>Colour</t>
  </si>
  <si>
    <t>GB</t>
  </si>
  <si>
    <t>Carrier</t>
  </si>
  <si>
    <t>Status</t>
  </si>
  <si>
    <t>Issue Comments</t>
  </si>
  <si>
    <t>Final Prices</t>
  </si>
  <si>
    <t xml:space="preserve">Iphone 17 Pro </t>
  </si>
  <si>
    <t>Iphone Air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</si>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</sst>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Arial MT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4" borderId="3" xfId="0" applyFill="1" applyBorder="1"/>
    <xf numFmtId="164" fontId="0" fillId="4" borderId="3" xfId="0" applyNumberFormat="1" applyFill="1" applyBorder="1"/>
    <xf numFmtId="0" fontId="0" fillId="0" borderId="3" xfId="0" applyBorder="1"/>
    <xf numFmtId="164" fontId="0" fillId="4" borderId="3" xfId="0" applyNumberFormat="1" applyFill="1" applyBorder="1" applyAlignment="1">
      <alignment horizontal="right"/>
    </xf>
    <xf numFmtId="0" fontId="0" fillId="0" borderId="3" xfId="0" applyBorder="1" applyAlignment="1">
      <alignment wrapText="1"/>
    </xf>
    <xf numFmtId="164" fontId="0" fillId="0" borderId="0" xfId="0" applyNumberFormat="1"/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" fontId="4" fillId="4" borderId="6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1" fontId="1" fillId="6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1" fontId="4" fillId="6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0" fillId="6" borderId="3" xfId="0" applyFill="1" applyBorder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7CB6-0A9E-439F-8B49-1511A835C85F}">
  <dimension ref="A1:I40"/>
  <sheetViews>
    <sheetView topLeftCell="A5" workbookViewId="0">
      <selection activeCell="A3" sqref="A3:I14"/>
    </sheetView>
  </sheetViews>
  <sheetFormatPr defaultRowHeight="15"/>
  <cols>
    <col min="1" max="1" width="27.140625" bestFit="1" customWidth="1"/>
    <col min="2" max="2" width="24.42578125" bestFit="1" customWidth="1"/>
    <col min="3" max="3" width="16.7109375" hidden="1" customWidth="1"/>
    <col min="4" max="4" width="9.85546875" hidden="1" customWidth="1"/>
    <col min="5" max="5" width="18.42578125" bestFit="1" customWidth="1"/>
    <col min="6" max="6" width="50.7109375" customWidth="1"/>
    <col min="7" max="7" width="13.7109375" bestFit="1" customWidth="1"/>
    <col min="8" max="8" width="17.140625" bestFit="1" customWidth="1"/>
    <col min="9" max="9" width="64.85546875" bestFit="1" customWidth="1"/>
  </cols>
  <sheetData>
    <row r="1" spans="1:9" ht="28.5">
      <c r="A1" s="26" t="s">
        <v>0</v>
      </c>
      <c r="B1" s="27"/>
      <c r="C1" s="27"/>
      <c r="D1" s="27"/>
      <c r="E1" s="27"/>
      <c r="F1" s="27"/>
      <c r="G1" s="27"/>
      <c r="H1" s="27"/>
      <c r="I1" s="27"/>
    </row>
    <row r="2" spans="1:9" ht="18.7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8.75">
      <c r="A3" s="3">
        <v>888923920344</v>
      </c>
      <c r="B3" s="4" t="s">
        <v>10</v>
      </c>
      <c r="C3" s="4" t="s">
        <v>11</v>
      </c>
      <c r="D3" s="4" t="s">
        <v>12</v>
      </c>
      <c r="E3" s="5">
        <v>350889867621262</v>
      </c>
      <c r="F3" s="4"/>
      <c r="G3" s="4">
        <v>1100</v>
      </c>
      <c r="H3" s="4"/>
      <c r="I3" s="6" t="s">
        <v>13</v>
      </c>
    </row>
    <row r="4" spans="1:9" ht="18.75">
      <c r="A4" s="3">
        <v>889002110930</v>
      </c>
      <c r="B4" s="4" t="s">
        <v>10</v>
      </c>
      <c r="C4" s="4" t="s">
        <v>11</v>
      </c>
      <c r="D4" s="4" t="s">
        <v>12</v>
      </c>
      <c r="E4" s="5">
        <v>358902510026078</v>
      </c>
      <c r="F4" s="4" t="s">
        <v>14</v>
      </c>
      <c r="G4" s="4">
        <v>1190</v>
      </c>
      <c r="H4" s="4" t="s">
        <v>15</v>
      </c>
      <c r="I4" s="6" t="s">
        <v>16</v>
      </c>
    </row>
    <row r="5" spans="1:9">
      <c r="A5" s="3">
        <v>889002110930</v>
      </c>
      <c r="B5" s="4" t="s">
        <v>17</v>
      </c>
      <c r="C5" s="4" t="s">
        <v>18</v>
      </c>
      <c r="D5" s="4" t="s">
        <v>12</v>
      </c>
      <c r="E5" s="5">
        <v>355300183049720</v>
      </c>
      <c r="F5" s="4" t="s">
        <v>19</v>
      </c>
      <c r="G5" s="4">
        <v>600</v>
      </c>
      <c r="H5" s="4" t="s">
        <v>20</v>
      </c>
      <c r="I5" s="28" t="s">
        <v>21</v>
      </c>
    </row>
    <row r="6" spans="1:9">
      <c r="A6" s="3">
        <v>889002110930</v>
      </c>
      <c r="B6" s="4" t="s">
        <v>17</v>
      </c>
      <c r="C6" s="4" t="s">
        <v>22</v>
      </c>
      <c r="D6" s="4" t="s">
        <v>12</v>
      </c>
      <c r="E6" s="5">
        <v>358862983224131</v>
      </c>
      <c r="F6" s="4" t="s">
        <v>19</v>
      </c>
      <c r="G6" s="4">
        <v>600</v>
      </c>
      <c r="H6" s="4" t="s">
        <v>23</v>
      </c>
      <c r="I6" s="29"/>
    </row>
    <row r="7" spans="1:9">
      <c r="A7" s="3">
        <v>889002110930</v>
      </c>
      <c r="B7" s="4" t="s">
        <v>17</v>
      </c>
      <c r="C7" s="4" t="s">
        <v>24</v>
      </c>
      <c r="D7" s="4" t="s">
        <v>12</v>
      </c>
      <c r="E7" s="5">
        <v>351614406649742</v>
      </c>
      <c r="F7" s="4" t="s">
        <v>19</v>
      </c>
      <c r="G7" s="4">
        <v>600</v>
      </c>
      <c r="H7" s="4" t="s">
        <v>23</v>
      </c>
      <c r="I7" s="29"/>
    </row>
    <row r="8" spans="1:9">
      <c r="A8" s="3">
        <v>889002110930</v>
      </c>
      <c r="B8" s="4" t="s">
        <v>17</v>
      </c>
      <c r="C8" s="4" t="s">
        <v>22</v>
      </c>
      <c r="D8" s="4" t="s">
        <v>12</v>
      </c>
      <c r="E8" s="5">
        <v>351614401317857</v>
      </c>
      <c r="F8" s="4" t="s">
        <v>19</v>
      </c>
      <c r="G8" s="4">
        <v>600</v>
      </c>
      <c r="H8" s="4" t="s">
        <v>20</v>
      </c>
      <c r="I8" s="30"/>
    </row>
    <row r="9" spans="1:9" ht="18.75">
      <c r="A9" s="3">
        <v>889002110930</v>
      </c>
      <c r="B9" s="4" t="s">
        <v>25</v>
      </c>
      <c r="C9" s="4" t="s">
        <v>26</v>
      </c>
      <c r="D9" s="4" t="s">
        <v>27</v>
      </c>
      <c r="E9" s="5">
        <v>352190329260494</v>
      </c>
      <c r="F9" s="4" t="s">
        <v>28</v>
      </c>
      <c r="G9" s="4">
        <v>1090</v>
      </c>
      <c r="H9" s="4" t="s">
        <v>29</v>
      </c>
      <c r="I9" s="6" t="s">
        <v>30</v>
      </c>
    </row>
    <row r="10" spans="1:9" ht="18.75">
      <c r="A10" s="3">
        <v>889079317130</v>
      </c>
      <c r="B10" s="4" t="s">
        <v>31</v>
      </c>
      <c r="C10" s="4" t="s">
        <v>32</v>
      </c>
      <c r="D10" s="4" t="s">
        <v>27</v>
      </c>
      <c r="E10" s="5">
        <v>351071527417030</v>
      </c>
      <c r="F10" s="4" t="s">
        <v>33</v>
      </c>
      <c r="G10" s="4">
        <v>450</v>
      </c>
      <c r="H10" s="4" t="s">
        <v>19</v>
      </c>
      <c r="I10" s="6" t="s">
        <v>34</v>
      </c>
    </row>
    <row r="11" spans="1:9" ht="18.75">
      <c r="A11" s="3">
        <v>888879701928</v>
      </c>
      <c r="B11" s="4" t="s">
        <v>35</v>
      </c>
      <c r="C11" s="4" t="s">
        <v>36</v>
      </c>
      <c r="D11" s="4" t="s">
        <v>37</v>
      </c>
      <c r="E11" s="5" t="s">
        <v>38</v>
      </c>
      <c r="F11" s="4"/>
      <c r="G11" s="4"/>
      <c r="H11" s="4"/>
      <c r="I11" s="6" t="s">
        <v>39</v>
      </c>
    </row>
    <row r="12" spans="1:9" ht="18.75">
      <c r="A12" s="3" t="s">
        <v>40</v>
      </c>
      <c r="B12" s="4" t="s">
        <v>41</v>
      </c>
      <c r="C12" s="4" t="s">
        <v>42</v>
      </c>
      <c r="D12" s="4" t="s">
        <v>27</v>
      </c>
      <c r="E12" s="5">
        <v>352355704944109</v>
      </c>
      <c r="F12" s="4" t="s">
        <v>43</v>
      </c>
      <c r="G12" s="4"/>
      <c r="H12" s="4"/>
      <c r="I12" s="6" t="s">
        <v>43</v>
      </c>
    </row>
    <row r="13" spans="1:9" ht="18.75">
      <c r="A13" s="3" t="s">
        <v>44</v>
      </c>
      <c r="B13" s="4" t="s">
        <v>45</v>
      </c>
      <c r="C13" s="4"/>
      <c r="D13" s="4"/>
      <c r="E13" s="5"/>
      <c r="F13" s="4"/>
      <c r="G13" s="4"/>
      <c r="H13" s="4"/>
      <c r="I13" s="6" t="s">
        <v>46</v>
      </c>
    </row>
    <row r="14" spans="1:9" ht="18.75">
      <c r="A14" s="3">
        <v>889002110930</v>
      </c>
      <c r="B14" s="4" t="s">
        <v>47</v>
      </c>
      <c r="C14" s="4" t="s">
        <v>48</v>
      </c>
      <c r="D14" s="4" t="s">
        <v>27</v>
      </c>
      <c r="E14" s="5">
        <v>354423235214802</v>
      </c>
      <c r="F14" s="4" t="s">
        <v>49</v>
      </c>
      <c r="G14" s="4">
        <v>600</v>
      </c>
      <c r="H14" s="4" t="s">
        <v>20</v>
      </c>
      <c r="I14" s="6" t="s">
        <v>30</v>
      </c>
    </row>
    <row r="19" spans="2:6">
      <c r="B19" s="7" t="s">
        <v>50</v>
      </c>
      <c r="C19" s="8" t="s">
        <v>51</v>
      </c>
      <c r="D19" s="7" t="s">
        <v>52</v>
      </c>
      <c r="E19" s="9" t="s">
        <v>53</v>
      </c>
      <c r="F19" s="9" t="s">
        <v>54</v>
      </c>
    </row>
    <row r="20" spans="2:6">
      <c r="B20" s="10" t="s">
        <v>55</v>
      </c>
      <c r="C20" s="11">
        <v>64555</v>
      </c>
      <c r="D20" s="10">
        <v>64555</v>
      </c>
      <c r="E20" s="12">
        <f t="shared" ref="E20:E39" si="0">C20-D20</f>
        <v>0</v>
      </c>
      <c r="F20" s="12"/>
    </row>
    <row r="21" spans="2:6">
      <c r="B21" s="10" t="s">
        <v>56</v>
      </c>
      <c r="C21" s="11">
        <v>68960</v>
      </c>
      <c r="D21" s="10">
        <v>68960</v>
      </c>
      <c r="E21" s="12">
        <f t="shared" si="0"/>
        <v>0</v>
      </c>
      <c r="F21" s="12"/>
    </row>
    <row r="22" spans="2:6">
      <c r="B22" s="12" t="s">
        <v>57</v>
      </c>
      <c r="C22" s="11">
        <v>15190</v>
      </c>
      <c r="D22" s="10">
        <v>15090</v>
      </c>
      <c r="E22" s="12">
        <f t="shared" si="0"/>
        <v>100</v>
      </c>
      <c r="F22" s="12" t="s">
        <v>58</v>
      </c>
    </row>
    <row r="23" spans="2:6">
      <c r="B23" s="12" t="s">
        <v>59</v>
      </c>
      <c r="C23" s="11">
        <v>58700</v>
      </c>
      <c r="D23" s="10">
        <v>57990</v>
      </c>
      <c r="E23" s="12">
        <f t="shared" si="0"/>
        <v>710</v>
      </c>
      <c r="F23" s="12" t="s">
        <v>60</v>
      </c>
    </row>
    <row r="24" spans="2:6">
      <c r="B24" s="12" t="s">
        <v>61</v>
      </c>
      <c r="C24" s="11">
        <v>9405</v>
      </c>
      <c r="D24" s="10">
        <v>9405</v>
      </c>
      <c r="E24" s="12">
        <f t="shared" si="0"/>
        <v>0</v>
      </c>
      <c r="F24" s="12"/>
    </row>
    <row r="25" spans="2:6">
      <c r="B25" s="12" t="s">
        <v>62</v>
      </c>
      <c r="C25" s="11">
        <v>6559</v>
      </c>
      <c r="D25" s="12">
        <v>0</v>
      </c>
      <c r="E25" s="12">
        <f t="shared" si="0"/>
        <v>6559</v>
      </c>
      <c r="F25" s="12" t="s">
        <v>63</v>
      </c>
    </row>
    <row r="26" spans="2:6">
      <c r="B26" s="12" t="s">
        <v>64</v>
      </c>
      <c r="C26" s="11">
        <v>97977</v>
      </c>
      <c r="D26" s="10">
        <v>97059</v>
      </c>
      <c r="E26" s="12">
        <f t="shared" si="0"/>
        <v>918</v>
      </c>
      <c r="F26" s="12" t="s">
        <v>65</v>
      </c>
    </row>
    <row r="27" spans="2:6">
      <c r="B27" s="12" t="s">
        <v>66</v>
      </c>
      <c r="C27" s="11">
        <v>97058</v>
      </c>
      <c r="D27" s="10">
        <v>96819</v>
      </c>
      <c r="E27" s="12">
        <f t="shared" si="0"/>
        <v>239</v>
      </c>
      <c r="F27" s="12" t="s">
        <v>67</v>
      </c>
    </row>
    <row r="28" spans="2:6">
      <c r="B28" s="12" t="s">
        <v>68</v>
      </c>
      <c r="C28" s="11">
        <v>31640</v>
      </c>
      <c r="D28" s="10">
        <v>30340</v>
      </c>
      <c r="E28" s="12">
        <f t="shared" si="0"/>
        <v>1300</v>
      </c>
      <c r="F28" s="12" t="s">
        <v>69</v>
      </c>
    </row>
    <row r="29" spans="2:6">
      <c r="B29" s="12" t="s">
        <v>70</v>
      </c>
      <c r="C29" s="11">
        <v>31410</v>
      </c>
      <c r="D29" s="10">
        <v>31410</v>
      </c>
      <c r="E29" s="12">
        <f t="shared" si="0"/>
        <v>0</v>
      </c>
      <c r="F29" s="12"/>
    </row>
    <row r="30" spans="2:6">
      <c r="B30" s="12" t="s">
        <v>71</v>
      </c>
      <c r="C30" s="13">
        <v>77430</v>
      </c>
      <c r="D30" s="10">
        <v>76450</v>
      </c>
      <c r="E30" s="12">
        <f t="shared" si="0"/>
        <v>980</v>
      </c>
      <c r="F30" s="12" t="s">
        <v>72</v>
      </c>
    </row>
    <row r="31" spans="2:6">
      <c r="B31" s="12" t="s">
        <v>73</v>
      </c>
      <c r="C31" s="13">
        <v>63705</v>
      </c>
      <c r="D31" s="10">
        <v>63705</v>
      </c>
      <c r="E31" s="12">
        <f t="shared" si="0"/>
        <v>0</v>
      </c>
      <c r="F31" s="14"/>
    </row>
    <row r="32" spans="2:6">
      <c r="B32" s="12" t="s">
        <v>74</v>
      </c>
      <c r="C32" s="13">
        <v>44640</v>
      </c>
      <c r="D32" s="10">
        <v>44610</v>
      </c>
      <c r="E32" s="12">
        <f t="shared" si="0"/>
        <v>30</v>
      </c>
      <c r="F32" s="12"/>
    </row>
    <row r="33" spans="2:6">
      <c r="B33" s="12" t="s">
        <v>75</v>
      </c>
      <c r="C33" s="13">
        <v>67610</v>
      </c>
      <c r="D33" s="10">
        <v>68726</v>
      </c>
      <c r="E33" s="12">
        <f t="shared" si="0"/>
        <v>-1116</v>
      </c>
      <c r="F33" s="12" t="s">
        <v>76</v>
      </c>
    </row>
    <row r="34" spans="2:6">
      <c r="B34" s="12" t="s">
        <v>77</v>
      </c>
      <c r="C34" s="13">
        <v>125855</v>
      </c>
      <c r="D34" s="10">
        <v>125855</v>
      </c>
      <c r="E34" s="12">
        <f t="shared" si="0"/>
        <v>0</v>
      </c>
      <c r="F34" s="12"/>
    </row>
    <row r="35" spans="2:6" ht="31.15" customHeight="1">
      <c r="B35" s="12" t="s">
        <v>78</v>
      </c>
      <c r="C35" s="13">
        <v>95355</v>
      </c>
      <c r="D35" s="10">
        <v>93880</v>
      </c>
      <c r="E35" s="12">
        <f t="shared" si="0"/>
        <v>1475</v>
      </c>
      <c r="F35" s="14" t="s">
        <v>79</v>
      </c>
    </row>
    <row r="36" spans="2:6">
      <c r="B36" s="12" t="s">
        <v>80</v>
      </c>
      <c r="C36" s="13">
        <v>63805</v>
      </c>
      <c r="D36" s="10">
        <v>63805</v>
      </c>
      <c r="E36" s="12">
        <f t="shared" si="0"/>
        <v>0</v>
      </c>
      <c r="F36" s="12"/>
    </row>
    <row r="37" spans="2:6">
      <c r="B37" s="12" t="s">
        <v>81</v>
      </c>
      <c r="C37" s="13">
        <v>29880</v>
      </c>
      <c r="D37" s="10">
        <v>29880</v>
      </c>
      <c r="E37" s="12">
        <f t="shared" si="0"/>
        <v>0</v>
      </c>
      <c r="F37" s="12"/>
    </row>
    <row r="38" spans="2:6">
      <c r="B38" s="12" t="s">
        <v>82</v>
      </c>
      <c r="C38" s="13">
        <v>84985</v>
      </c>
      <c r="D38" s="10">
        <v>84985</v>
      </c>
      <c r="E38" s="12">
        <f t="shared" si="0"/>
        <v>0</v>
      </c>
      <c r="F38" s="12"/>
    </row>
    <row r="39" spans="2:6">
      <c r="B39" s="12" t="s">
        <v>83</v>
      </c>
      <c r="C39" s="13">
        <v>52285</v>
      </c>
      <c r="D39" s="10">
        <v>52285</v>
      </c>
      <c r="E39" s="12">
        <f t="shared" si="0"/>
        <v>0</v>
      </c>
      <c r="F39" s="12"/>
    </row>
    <row r="40" spans="2:6">
      <c r="C40" s="15"/>
    </row>
  </sheetData>
  <mergeCells count="2">
    <mergeCell ref="A1:I1"/>
    <mergeCell ref="I5:I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FAC3-F884-46AC-8932-C4415B3DCEBC}">
  <dimension ref="A1:K25"/>
  <sheetViews>
    <sheetView tabSelected="1" zoomScale="73" zoomScaleNormal="73" workbookViewId="0">
      <selection sqref="A1:K23"/>
    </sheetView>
  </sheetViews>
  <sheetFormatPr defaultRowHeight="15"/>
  <cols>
    <col min="1" max="1" width="31.85546875" bestFit="1" customWidth="1"/>
    <col min="2" max="2" width="27" bestFit="1" customWidth="1"/>
    <col min="3" max="3" width="18.140625" bestFit="1" customWidth="1"/>
    <col min="4" max="4" width="9.85546875" bestFit="1" customWidth="1"/>
    <col min="5" max="5" width="19.140625" bestFit="1" customWidth="1"/>
    <col min="6" max="6" width="38.42578125" bestFit="1" customWidth="1"/>
    <col min="7" max="7" width="8.140625" customWidth="1"/>
    <col min="8" max="8" width="66.42578125" bestFit="1" customWidth="1"/>
    <col min="9" max="9" width="12.140625" bestFit="1" customWidth="1"/>
    <col min="10" max="10" width="12.7109375" bestFit="1" customWidth="1"/>
  </cols>
  <sheetData>
    <row r="1" spans="1:11" ht="15.75">
      <c r="A1" s="21" t="s">
        <v>101</v>
      </c>
      <c r="B1" s="21" t="s">
        <v>2</v>
      </c>
      <c r="C1" s="21" t="s">
        <v>102</v>
      </c>
      <c r="D1" s="21" t="s">
        <v>103</v>
      </c>
      <c r="E1" s="21" t="s">
        <v>5</v>
      </c>
      <c r="F1" s="21" t="s">
        <v>105</v>
      </c>
      <c r="G1" s="21" t="s">
        <v>104</v>
      </c>
      <c r="H1" s="21" t="s">
        <v>106</v>
      </c>
      <c r="I1" s="21" t="s">
        <v>7</v>
      </c>
      <c r="J1" s="21" t="s">
        <v>107</v>
      </c>
      <c r="K1" s="22" t="s">
        <v>110</v>
      </c>
    </row>
    <row r="2" spans="1:11" ht="18.75">
      <c r="A2" s="18">
        <v>888923920344</v>
      </c>
      <c r="B2" s="19" t="s">
        <v>10</v>
      </c>
      <c r="C2" s="19" t="s">
        <v>11</v>
      </c>
      <c r="D2" s="19" t="s">
        <v>12</v>
      </c>
      <c r="E2" s="20">
        <v>350889867621262</v>
      </c>
      <c r="F2" s="19"/>
      <c r="G2" s="19"/>
      <c r="H2" s="17" t="s">
        <v>13</v>
      </c>
      <c r="I2" s="19">
        <v>1100</v>
      </c>
      <c r="J2" s="12">
        <v>930</v>
      </c>
      <c r="K2">
        <f>I2-J2</f>
        <v>170</v>
      </c>
    </row>
    <row r="3" spans="1:11" ht="18.75">
      <c r="A3" s="31">
        <v>889002110930</v>
      </c>
      <c r="B3" s="32" t="s">
        <v>10</v>
      </c>
      <c r="C3" s="32" t="s">
        <v>11</v>
      </c>
      <c r="D3" s="32" t="s">
        <v>12</v>
      </c>
      <c r="E3" s="33">
        <v>358902510026078</v>
      </c>
      <c r="F3" s="32" t="s">
        <v>14</v>
      </c>
      <c r="G3" s="32" t="s">
        <v>15</v>
      </c>
      <c r="H3" s="34" t="s">
        <v>16</v>
      </c>
      <c r="I3" s="32">
        <v>1190</v>
      </c>
      <c r="J3" s="35">
        <v>1000</v>
      </c>
      <c r="K3" s="36">
        <f t="shared" ref="K3:K22" si="0">I3-J3</f>
        <v>190</v>
      </c>
    </row>
    <row r="4" spans="1:11">
      <c r="A4" s="3">
        <v>889002110930</v>
      </c>
      <c r="B4" s="4" t="s">
        <v>17</v>
      </c>
      <c r="C4" s="4" t="s">
        <v>18</v>
      </c>
      <c r="D4" s="4" t="s">
        <v>12</v>
      </c>
      <c r="E4" s="5">
        <v>355300183049720</v>
      </c>
      <c r="F4" s="4" t="s">
        <v>19</v>
      </c>
      <c r="G4" s="4" t="s">
        <v>20</v>
      </c>
      <c r="H4" s="23" t="s">
        <v>21</v>
      </c>
      <c r="I4" s="4">
        <v>600</v>
      </c>
      <c r="J4" s="12">
        <v>600</v>
      </c>
      <c r="K4">
        <f t="shared" si="0"/>
        <v>0</v>
      </c>
    </row>
    <row r="5" spans="1:11">
      <c r="A5" s="3">
        <v>889002110930</v>
      </c>
      <c r="B5" s="4" t="s">
        <v>17</v>
      </c>
      <c r="C5" s="4" t="s">
        <v>22</v>
      </c>
      <c r="D5" s="4" t="s">
        <v>12</v>
      </c>
      <c r="E5" s="5">
        <v>358862983224131</v>
      </c>
      <c r="F5" s="4" t="s">
        <v>19</v>
      </c>
      <c r="G5" s="4" t="s">
        <v>23</v>
      </c>
      <c r="H5" s="24"/>
      <c r="I5" s="4">
        <v>600</v>
      </c>
      <c r="J5" s="12">
        <v>600</v>
      </c>
      <c r="K5">
        <f t="shared" si="0"/>
        <v>0</v>
      </c>
    </row>
    <row r="6" spans="1:11">
      <c r="A6" s="3">
        <v>889002110930</v>
      </c>
      <c r="B6" s="4" t="s">
        <v>17</v>
      </c>
      <c r="C6" s="4" t="s">
        <v>24</v>
      </c>
      <c r="D6" s="4" t="s">
        <v>12</v>
      </c>
      <c r="E6" s="5">
        <v>351614406649742</v>
      </c>
      <c r="F6" s="4" t="s">
        <v>19</v>
      </c>
      <c r="G6" s="4" t="s">
        <v>23</v>
      </c>
      <c r="H6" s="24"/>
      <c r="I6" s="4">
        <v>600</v>
      </c>
      <c r="J6" s="12">
        <v>600</v>
      </c>
      <c r="K6">
        <f t="shared" si="0"/>
        <v>0</v>
      </c>
    </row>
    <row r="7" spans="1:11">
      <c r="A7" s="3">
        <v>889002110930</v>
      </c>
      <c r="B7" s="4" t="s">
        <v>17</v>
      </c>
      <c r="C7" s="4" t="s">
        <v>22</v>
      </c>
      <c r="D7" s="4" t="s">
        <v>12</v>
      </c>
      <c r="E7" s="5">
        <v>351614401317857</v>
      </c>
      <c r="F7" s="4" t="s">
        <v>19</v>
      </c>
      <c r="G7" s="4" t="s">
        <v>20</v>
      </c>
      <c r="H7" s="25"/>
      <c r="I7" s="4">
        <v>600</v>
      </c>
      <c r="J7" s="12">
        <v>600</v>
      </c>
      <c r="K7">
        <f t="shared" si="0"/>
        <v>0</v>
      </c>
    </row>
    <row r="8" spans="1:11" ht="18.75">
      <c r="A8" s="3">
        <v>889002110930</v>
      </c>
      <c r="B8" s="4" t="s">
        <v>25</v>
      </c>
      <c r="C8" s="4" t="s">
        <v>26</v>
      </c>
      <c r="D8" s="4" t="s">
        <v>27</v>
      </c>
      <c r="E8" s="5">
        <v>352190329260494</v>
      </c>
      <c r="F8" s="4" t="s">
        <v>28</v>
      </c>
      <c r="G8" s="4" t="s">
        <v>29</v>
      </c>
      <c r="H8" s="16" t="s">
        <v>30</v>
      </c>
      <c r="I8" s="4">
        <v>1090</v>
      </c>
      <c r="J8" s="12">
        <v>900</v>
      </c>
      <c r="K8">
        <f t="shared" si="0"/>
        <v>190</v>
      </c>
    </row>
    <row r="9" spans="1:11" ht="18.75">
      <c r="A9" s="3">
        <v>889079317130</v>
      </c>
      <c r="B9" s="4" t="s">
        <v>31</v>
      </c>
      <c r="C9" s="4" t="s">
        <v>32</v>
      </c>
      <c r="D9" s="4" t="s">
        <v>27</v>
      </c>
      <c r="E9" s="5">
        <v>351071527417030</v>
      </c>
      <c r="F9" s="4" t="s">
        <v>33</v>
      </c>
      <c r="G9" s="4" t="s">
        <v>19</v>
      </c>
      <c r="H9" s="16" t="s">
        <v>34</v>
      </c>
      <c r="I9" s="4">
        <v>450</v>
      </c>
      <c r="J9" s="12">
        <v>300</v>
      </c>
      <c r="K9">
        <f t="shared" si="0"/>
        <v>150</v>
      </c>
    </row>
    <row r="10" spans="1:11" ht="18.75">
      <c r="A10" s="3">
        <v>888879701928</v>
      </c>
      <c r="B10" s="4" t="s">
        <v>35</v>
      </c>
      <c r="C10" s="4" t="s">
        <v>36</v>
      </c>
      <c r="D10" s="4" t="s">
        <v>37</v>
      </c>
      <c r="E10" s="5" t="s">
        <v>38</v>
      </c>
      <c r="F10" s="4"/>
      <c r="G10" s="4"/>
      <c r="H10" s="16" t="s">
        <v>39</v>
      </c>
      <c r="I10" s="4">
        <f>590*20</f>
        <v>11800</v>
      </c>
      <c r="J10" s="12">
        <v>11250</v>
      </c>
      <c r="K10">
        <f t="shared" si="0"/>
        <v>550</v>
      </c>
    </row>
    <row r="11" spans="1:11" ht="18.75">
      <c r="A11" s="3" t="s">
        <v>40</v>
      </c>
      <c r="B11" s="4" t="s">
        <v>41</v>
      </c>
      <c r="C11" s="4" t="s">
        <v>42</v>
      </c>
      <c r="D11" s="4" t="s">
        <v>27</v>
      </c>
      <c r="E11" s="5">
        <v>352355704944109</v>
      </c>
      <c r="F11" s="4" t="s">
        <v>43</v>
      </c>
      <c r="G11" s="4"/>
      <c r="H11" s="16" t="s">
        <v>43</v>
      </c>
      <c r="I11" s="4"/>
      <c r="J11" s="12"/>
      <c r="K11">
        <f t="shared" si="0"/>
        <v>0</v>
      </c>
    </row>
    <row r="12" spans="1:11" ht="18.75">
      <c r="A12" s="3" t="s">
        <v>44</v>
      </c>
      <c r="B12" s="4" t="s">
        <v>45</v>
      </c>
      <c r="C12" s="4"/>
      <c r="D12" s="4"/>
      <c r="E12" s="5"/>
      <c r="F12" s="4"/>
      <c r="G12" s="4"/>
      <c r="H12" s="16" t="s">
        <v>46</v>
      </c>
      <c r="I12" s="4">
        <v>135</v>
      </c>
      <c r="J12" s="12">
        <v>0</v>
      </c>
      <c r="K12">
        <f t="shared" si="0"/>
        <v>135</v>
      </c>
    </row>
    <row r="13" spans="1:11" ht="18.75">
      <c r="A13" s="3">
        <v>889002110930</v>
      </c>
      <c r="B13" s="4" t="s">
        <v>47</v>
      </c>
      <c r="C13" s="4" t="s">
        <v>48</v>
      </c>
      <c r="D13" s="4" t="s">
        <v>27</v>
      </c>
      <c r="E13" s="5">
        <v>354423235214802</v>
      </c>
      <c r="F13" s="4" t="s">
        <v>49</v>
      </c>
      <c r="G13" s="4" t="s">
        <v>20</v>
      </c>
      <c r="H13" s="16" t="s">
        <v>30</v>
      </c>
      <c r="I13" s="4">
        <v>600</v>
      </c>
      <c r="J13" s="12">
        <v>600</v>
      </c>
      <c r="K13">
        <f t="shared" si="0"/>
        <v>0</v>
      </c>
    </row>
    <row r="14" spans="1:11" ht="18.75">
      <c r="A14" s="3"/>
      <c r="B14" s="4" t="s">
        <v>108</v>
      </c>
      <c r="C14" s="4"/>
      <c r="D14" s="4" t="s">
        <v>27</v>
      </c>
      <c r="E14" s="5">
        <v>355122367429969</v>
      </c>
      <c r="F14" s="4"/>
      <c r="G14" s="4"/>
      <c r="H14" s="16" t="s">
        <v>34</v>
      </c>
      <c r="I14" s="4">
        <v>1000</v>
      </c>
      <c r="J14" s="12">
        <v>600</v>
      </c>
      <c r="K14">
        <f t="shared" si="0"/>
        <v>400</v>
      </c>
    </row>
    <row r="15" spans="1:11" ht="18.75">
      <c r="A15" s="3"/>
      <c r="B15" s="4" t="s">
        <v>109</v>
      </c>
      <c r="C15" s="4"/>
      <c r="D15" s="4" t="s">
        <v>27</v>
      </c>
      <c r="E15" s="5">
        <v>358271520320685</v>
      </c>
      <c r="F15" s="4"/>
      <c r="G15" s="4"/>
      <c r="H15" s="16" t="s">
        <v>34</v>
      </c>
      <c r="I15" s="4">
        <v>550</v>
      </c>
      <c r="J15" s="12">
        <v>400</v>
      </c>
      <c r="K15">
        <f t="shared" si="0"/>
        <v>150</v>
      </c>
    </row>
    <row r="16" spans="1:11" ht="18.75">
      <c r="A16" s="3">
        <v>17626007660</v>
      </c>
      <c r="B16" s="4" t="s">
        <v>47</v>
      </c>
      <c r="C16" s="4" t="s">
        <v>84</v>
      </c>
      <c r="D16" s="4" t="s">
        <v>85</v>
      </c>
      <c r="E16" s="5">
        <v>358245526008361</v>
      </c>
      <c r="F16" s="4" t="s">
        <v>100</v>
      </c>
      <c r="G16" s="4" t="s">
        <v>23</v>
      </c>
      <c r="H16" s="16" t="s">
        <v>86</v>
      </c>
      <c r="I16" s="4">
        <v>600</v>
      </c>
      <c r="J16" s="12">
        <v>500</v>
      </c>
      <c r="K16">
        <f t="shared" si="0"/>
        <v>100</v>
      </c>
    </row>
    <row r="17" spans="1:11" ht="18.75">
      <c r="A17" s="3">
        <v>17626007660</v>
      </c>
      <c r="B17" s="4" t="s">
        <v>92</v>
      </c>
      <c r="C17" s="4" t="s">
        <v>91</v>
      </c>
      <c r="D17" s="4" t="s">
        <v>93</v>
      </c>
      <c r="E17" s="5">
        <v>355067546476946</v>
      </c>
      <c r="F17" s="4" t="s">
        <v>100</v>
      </c>
      <c r="G17" s="4" t="s">
        <v>23</v>
      </c>
      <c r="H17" s="16" t="s">
        <v>87</v>
      </c>
      <c r="I17" s="4">
        <v>600</v>
      </c>
      <c r="J17" s="12">
        <v>500</v>
      </c>
      <c r="K17">
        <f t="shared" si="0"/>
        <v>100</v>
      </c>
    </row>
    <row r="18" spans="1:11" ht="18.75">
      <c r="A18" s="3">
        <v>17626007660</v>
      </c>
      <c r="B18" s="4" t="s">
        <v>95</v>
      </c>
      <c r="C18" s="4" t="s">
        <v>94</v>
      </c>
      <c r="D18" s="4" t="s">
        <v>96</v>
      </c>
      <c r="E18" s="5">
        <v>354661676285225</v>
      </c>
      <c r="F18" s="4" t="s">
        <v>100</v>
      </c>
      <c r="G18" s="4" t="s">
        <v>23</v>
      </c>
      <c r="H18" s="16" t="s">
        <v>88</v>
      </c>
      <c r="I18" s="4">
        <v>600</v>
      </c>
      <c r="J18" s="12">
        <v>500</v>
      </c>
      <c r="K18">
        <f t="shared" si="0"/>
        <v>100</v>
      </c>
    </row>
    <row r="19" spans="1:11" ht="18.75">
      <c r="A19" s="3">
        <v>17626007660</v>
      </c>
      <c r="B19" s="4" t="s">
        <v>95</v>
      </c>
      <c r="C19" s="4" t="s">
        <v>97</v>
      </c>
      <c r="D19" s="4" t="s">
        <v>85</v>
      </c>
      <c r="E19" s="5">
        <v>359518870314638</v>
      </c>
      <c r="F19" s="4" t="s">
        <v>100</v>
      </c>
      <c r="G19" s="4" t="s">
        <v>23</v>
      </c>
      <c r="H19" s="16" t="s">
        <v>87</v>
      </c>
      <c r="I19" s="4">
        <v>600</v>
      </c>
      <c r="J19" s="12">
        <v>500</v>
      </c>
      <c r="K19">
        <f t="shared" si="0"/>
        <v>100</v>
      </c>
    </row>
    <row r="20" spans="1:11" ht="18.75">
      <c r="A20" s="3">
        <v>17626007660</v>
      </c>
      <c r="B20" s="4" t="s">
        <v>95</v>
      </c>
      <c r="C20" s="4" t="s">
        <v>98</v>
      </c>
      <c r="D20" s="4" t="s">
        <v>27</v>
      </c>
      <c r="E20" s="5">
        <v>351614405937593</v>
      </c>
      <c r="F20" s="4" t="s">
        <v>100</v>
      </c>
      <c r="G20" s="4" t="s">
        <v>23</v>
      </c>
      <c r="H20" s="16" t="s">
        <v>89</v>
      </c>
      <c r="I20" s="4">
        <v>600</v>
      </c>
      <c r="J20" s="12">
        <v>500</v>
      </c>
      <c r="K20">
        <f t="shared" si="0"/>
        <v>100</v>
      </c>
    </row>
    <row r="21" spans="1:11" ht="18.75">
      <c r="A21" s="3">
        <v>17626007660</v>
      </c>
      <c r="B21" s="4" t="s">
        <v>95</v>
      </c>
      <c r="C21" s="4" t="s">
        <v>99</v>
      </c>
      <c r="D21" s="4" t="s">
        <v>27</v>
      </c>
      <c r="E21" s="5">
        <v>356864567482897</v>
      </c>
      <c r="F21" s="4" t="s">
        <v>100</v>
      </c>
      <c r="G21" s="4" t="s">
        <v>23</v>
      </c>
      <c r="H21" s="16" t="s">
        <v>90</v>
      </c>
      <c r="I21" s="4">
        <v>600</v>
      </c>
      <c r="J21" s="12">
        <v>500</v>
      </c>
      <c r="K21">
        <f t="shared" si="0"/>
        <v>100</v>
      </c>
    </row>
    <row r="22" spans="1:11">
      <c r="I22">
        <f>SUM(I2:I21)</f>
        <v>23915</v>
      </c>
      <c r="J22">
        <f>SUM(J2:J21)</f>
        <v>21380</v>
      </c>
      <c r="K22">
        <f t="shared" si="0"/>
        <v>2535</v>
      </c>
    </row>
    <row r="23" spans="1:11">
      <c r="K23">
        <v>4444</v>
      </c>
    </row>
    <row r="24" spans="1:11">
      <c r="K24">
        <f>K23-K22</f>
        <v>1909</v>
      </c>
    </row>
    <row r="25" spans="1:11">
      <c r="K25">
        <v>1258</v>
      </c>
    </row>
  </sheetData>
  <mergeCells count="1">
    <mergeCell ref="H4:H7"/>
  </mergeCells>
  <conditionalFormatting sqref="E1:E1048576 F1:K1">
    <cfRule type="duplicateValues" dxfId="0" priority="1"/>
  </conditionalFormatting>
  <pageMargins left="0.98425196850393704" right="0.98425196850393704" top="0.98425196850393704" bottom="0.98425196850393704" header="0.51181102362204722" footer="0.51181102362204722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cp:lastPrinted>2026-04-02T15:41:03Z</cp:lastPrinted>
  <dcterms:created xsi:type="dcterms:W3CDTF">2026-03-19T10:29:02Z</dcterms:created>
  <dcterms:modified xsi:type="dcterms:W3CDTF">2026-04-17T16:49:20Z</dcterms:modified>
</cp:coreProperties>
</file>