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05021FDC-9FE4-4100-988D-F9AA1EBF245B}" xr6:coauthVersionLast="47" xr6:coauthVersionMax="47" xr10:uidLastSave="{00000000-0000-0000-0000-000000000000}"/>
  <bookViews>
    <workbookView xWindow="-30828" yWindow="8772" windowWidth="30936" windowHeight="16776" activeTab="1" xr2:uid="{D7531992-06E5-4DAE-9A68-23CFC5DFA1C3}"/>
  </bookViews>
  <sheets>
    <sheet name="Macbook" sheetId="1" r:id="rId1"/>
    <sheet name="Ipad Watch Mob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2" l="1"/>
  <c r="F43" i="2"/>
  <c r="G43" i="2"/>
  <c r="H43" i="2"/>
  <c r="F33" i="2"/>
  <c r="F34" i="2"/>
  <c r="G34" i="2" s="1"/>
  <c r="H34" i="2" s="1"/>
  <c r="I34" i="2" s="1"/>
  <c r="F35" i="2"/>
  <c r="G35" i="2" s="1"/>
  <c r="F36" i="2"/>
  <c r="G36" i="2"/>
  <c r="H36" i="2"/>
  <c r="I36" i="2" s="1"/>
  <c r="F37" i="2"/>
  <c r="G37" i="2" s="1"/>
  <c r="F38" i="2"/>
  <c r="G38" i="2"/>
  <c r="H38" i="2" s="1"/>
  <c r="I38" i="2" s="1"/>
  <c r="F39" i="2"/>
  <c r="F40" i="2"/>
  <c r="H40" i="2" s="1"/>
  <c r="I40" i="2" s="1"/>
  <c r="G40" i="2"/>
  <c r="F41" i="2"/>
  <c r="G41" i="2" s="1"/>
  <c r="H41" i="2" s="1"/>
  <c r="I41" i="2" s="1"/>
  <c r="F42" i="2"/>
  <c r="G42" i="2"/>
  <c r="H42" i="2" s="1"/>
  <c r="I42" i="2" s="1"/>
  <c r="I8" i="2"/>
  <c r="I9" i="2"/>
  <c r="I19" i="2"/>
  <c r="I20" i="2"/>
  <c r="I22" i="2"/>
  <c r="I23" i="2"/>
  <c r="F3" i="2"/>
  <c r="G3" i="2" s="1"/>
  <c r="H3" i="2" s="1"/>
  <c r="I3" i="2" s="1"/>
  <c r="F4" i="2"/>
  <c r="G4" i="2" s="1"/>
  <c r="H4" i="2" s="1"/>
  <c r="I4" i="2" s="1"/>
  <c r="F5" i="2"/>
  <c r="G5" i="2" s="1"/>
  <c r="H5" i="2" s="1"/>
  <c r="I5" i="2" s="1"/>
  <c r="F6" i="2"/>
  <c r="G6" i="2" s="1"/>
  <c r="F7" i="2"/>
  <c r="G7" i="2" s="1"/>
  <c r="F8" i="2"/>
  <c r="G8" i="2" s="1"/>
  <c r="H8" i="2" s="1"/>
  <c r="F9" i="2"/>
  <c r="G9" i="2" s="1"/>
  <c r="H9" i="2" s="1"/>
  <c r="F10" i="2"/>
  <c r="G10" i="2" s="1"/>
  <c r="H10" i="2" s="1"/>
  <c r="I10" i="2" s="1"/>
  <c r="F11" i="2"/>
  <c r="G11" i="2" s="1"/>
  <c r="H11" i="2" s="1"/>
  <c r="I11" i="2" s="1"/>
  <c r="F12" i="2"/>
  <c r="G12" i="2" s="1"/>
  <c r="H12" i="2" s="1"/>
  <c r="I12" i="2" s="1"/>
  <c r="F13" i="2"/>
  <c r="F14" i="2"/>
  <c r="G14" i="2" s="1"/>
  <c r="H14" i="2" s="1"/>
  <c r="I14" i="2" s="1"/>
  <c r="F15" i="2"/>
  <c r="G15" i="2" s="1"/>
  <c r="H15" i="2" s="1"/>
  <c r="I15" i="2" s="1"/>
  <c r="F16" i="2"/>
  <c r="G16" i="2" s="1"/>
  <c r="H16" i="2" s="1"/>
  <c r="I16" i="2" s="1"/>
  <c r="F17" i="2"/>
  <c r="G17" i="2" s="1"/>
  <c r="H17" i="2" s="1"/>
  <c r="I17" i="2" s="1"/>
  <c r="F18" i="2"/>
  <c r="G18" i="2" s="1"/>
  <c r="H18" i="2" s="1"/>
  <c r="I18" i="2" s="1"/>
  <c r="F19" i="2"/>
  <c r="G19" i="2" s="1"/>
  <c r="H19" i="2" s="1"/>
  <c r="F20" i="2"/>
  <c r="G20" i="2" s="1"/>
  <c r="H20" i="2" s="1"/>
  <c r="F21" i="2"/>
  <c r="G21" i="2" s="1"/>
  <c r="H21" i="2" s="1"/>
  <c r="I21" i="2" s="1"/>
  <c r="F22" i="2"/>
  <c r="G22" i="2" s="1"/>
  <c r="H22" i="2" s="1"/>
  <c r="F23" i="2"/>
  <c r="G23" i="2" s="1"/>
  <c r="H23" i="2" s="1"/>
  <c r="F24" i="2"/>
  <c r="G24" i="2" s="1"/>
  <c r="H24" i="2" s="1"/>
  <c r="I24" i="2" s="1"/>
  <c r="F25" i="2"/>
  <c r="F26" i="2"/>
  <c r="G26" i="2" s="1"/>
  <c r="H26" i="2" s="1"/>
  <c r="I26" i="2" s="1"/>
  <c r="F27" i="2"/>
  <c r="G27" i="2" s="1"/>
  <c r="H27" i="2" s="1"/>
  <c r="I27" i="2" s="1"/>
  <c r="F28" i="2"/>
  <c r="G28" i="2" s="1"/>
  <c r="H28" i="2" s="1"/>
  <c r="I28" i="2" s="1"/>
  <c r="F29" i="2"/>
  <c r="G29" i="2" s="1"/>
  <c r="H29" i="2" s="1"/>
  <c r="I29" i="2" s="1"/>
  <c r="F30" i="2"/>
  <c r="G30" i="2" s="1"/>
  <c r="H30" i="2" s="1"/>
  <c r="I30" i="2" s="1"/>
  <c r="F31" i="2"/>
  <c r="G31" i="2" s="1"/>
  <c r="H31" i="2" s="1"/>
  <c r="I31" i="2" s="1"/>
  <c r="F32" i="2"/>
  <c r="G32" i="2" s="1"/>
  <c r="H32" i="2" s="1"/>
  <c r="I32" i="2" s="1"/>
  <c r="G39" i="2" l="1"/>
  <c r="H39" i="2" s="1"/>
  <c r="I39" i="2" s="1"/>
  <c r="H35" i="2"/>
  <c r="I35" i="2" s="1"/>
  <c r="H37" i="2"/>
  <c r="I37" i="2" s="1"/>
  <c r="G33" i="2"/>
  <c r="H33" i="2" s="1"/>
  <c r="I33" i="2" s="1"/>
  <c r="H6" i="2"/>
  <c r="I6" i="2" s="1"/>
  <c r="G25" i="2"/>
  <c r="H25" i="2" s="1"/>
  <c r="I25" i="2" s="1"/>
  <c r="G13" i="2"/>
  <c r="H13" i="2" s="1"/>
  <c r="I13" i="2" s="1"/>
  <c r="H7" i="2"/>
  <c r="I7" i="2" s="1"/>
  <c r="F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H37" i="1" s="1"/>
  <c r="G38" i="1"/>
  <c r="G39" i="1"/>
  <c r="G40" i="1"/>
  <c r="G41" i="1"/>
  <c r="G42" i="1"/>
  <c r="G43" i="1"/>
  <c r="G44" i="1"/>
  <c r="G45" i="1"/>
  <c r="G46" i="1"/>
  <c r="G47" i="1"/>
  <c r="G48" i="1"/>
  <c r="G49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2" i="1"/>
  <c r="G2" i="2" l="1"/>
  <c r="H2" i="2" s="1"/>
  <c r="I2" i="2" s="1"/>
  <c r="I22" i="1"/>
  <c r="J22" i="1" s="1"/>
  <c r="I10" i="1"/>
  <c r="J10" i="1" s="1"/>
  <c r="H49" i="1"/>
  <c r="I49" i="1" s="1"/>
  <c r="J49" i="1" s="1"/>
  <c r="H25" i="1"/>
  <c r="I25" i="1" s="1"/>
  <c r="J25" i="1" s="1"/>
  <c r="H13" i="1"/>
  <c r="I13" i="1" s="1"/>
  <c r="J13" i="1" s="1"/>
  <c r="I37" i="1"/>
  <c r="J37" i="1" s="1"/>
  <c r="H48" i="1"/>
  <c r="I48" i="1" s="1"/>
  <c r="J48" i="1" s="1"/>
  <c r="H24" i="1"/>
  <c r="I24" i="1" s="1"/>
  <c r="J24" i="1" s="1"/>
  <c r="H35" i="1"/>
  <c r="I35" i="1" s="1"/>
  <c r="J35" i="1" s="1"/>
  <c r="H11" i="1"/>
  <c r="I11" i="1" s="1"/>
  <c r="J11" i="1" s="1"/>
  <c r="H46" i="1"/>
  <c r="I46" i="1" s="1"/>
  <c r="J46" i="1" s="1"/>
  <c r="H22" i="1"/>
  <c r="H33" i="1"/>
  <c r="I33" i="1" s="1"/>
  <c r="J33" i="1" s="1"/>
  <c r="H9" i="1"/>
  <c r="I9" i="1" s="1"/>
  <c r="J9" i="1" s="1"/>
  <c r="H32" i="1"/>
  <c r="I32" i="1" s="1"/>
  <c r="J32" i="1" s="1"/>
  <c r="H8" i="1"/>
  <c r="I8" i="1" s="1"/>
  <c r="J8" i="1" s="1"/>
  <c r="H31" i="1"/>
  <c r="I31" i="1" s="1"/>
  <c r="J31" i="1" s="1"/>
  <c r="H7" i="1"/>
  <c r="I7" i="1" s="1"/>
  <c r="J7" i="1" s="1"/>
  <c r="H39" i="1"/>
  <c r="I39" i="1" s="1"/>
  <c r="J39" i="1" s="1"/>
  <c r="H27" i="1"/>
  <c r="I27" i="1" s="1"/>
  <c r="J27" i="1" s="1"/>
  <c r="H15" i="1"/>
  <c r="I15" i="1" s="1"/>
  <c r="J15" i="1" s="1"/>
  <c r="H3" i="1"/>
  <c r="I3" i="1" s="1"/>
  <c r="J3" i="1" s="1"/>
  <c r="H2" i="1"/>
  <c r="I2" i="1" s="1"/>
  <c r="J2" i="1" s="1"/>
  <c r="H38" i="1"/>
  <c r="I38" i="1" s="1"/>
  <c r="J38" i="1" s="1"/>
  <c r="H26" i="1"/>
  <c r="I26" i="1" s="1"/>
  <c r="J26" i="1" s="1"/>
  <c r="H14" i="1"/>
  <c r="I14" i="1" s="1"/>
  <c r="J14" i="1" s="1"/>
  <c r="H36" i="1"/>
  <c r="I36" i="1" s="1"/>
  <c r="J36" i="1" s="1"/>
  <c r="H12" i="1"/>
  <c r="I12" i="1" s="1"/>
  <c r="J12" i="1" s="1"/>
  <c r="H47" i="1"/>
  <c r="I47" i="1" s="1"/>
  <c r="J47" i="1" s="1"/>
  <c r="H23" i="1"/>
  <c r="I23" i="1" s="1"/>
  <c r="J23" i="1" s="1"/>
  <c r="H34" i="1"/>
  <c r="I34" i="1" s="1"/>
  <c r="J34" i="1" s="1"/>
  <c r="H10" i="1"/>
  <c r="H45" i="1"/>
  <c r="I45" i="1" s="1"/>
  <c r="J45" i="1" s="1"/>
  <c r="H21" i="1"/>
  <c r="I21" i="1" s="1"/>
  <c r="J21" i="1" s="1"/>
  <c r="H44" i="1"/>
  <c r="I44" i="1" s="1"/>
  <c r="J44" i="1" s="1"/>
  <c r="H20" i="1"/>
  <c r="I20" i="1" s="1"/>
  <c r="J20" i="1" s="1"/>
  <c r="H43" i="1"/>
  <c r="I43" i="1" s="1"/>
  <c r="J43" i="1" s="1"/>
  <c r="H19" i="1"/>
  <c r="I19" i="1" s="1"/>
  <c r="J19" i="1" s="1"/>
  <c r="H42" i="1"/>
  <c r="I42" i="1" s="1"/>
  <c r="J42" i="1" s="1"/>
  <c r="H30" i="1"/>
  <c r="I30" i="1" s="1"/>
  <c r="J30" i="1" s="1"/>
  <c r="H18" i="1"/>
  <c r="I18" i="1" s="1"/>
  <c r="J18" i="1" s="1"/>
  <c r="H6" i="1"/>
  <c r="I6" i="1" s="1"/>
  <c r="J6" i="1" s="1"/>
  <c r="H41" i="1"/>
  <c r="I41" i="1" s="1"/>
  <c r="J41" i="1" s="1"/>
  <c r="H29" i="1"/>
  <c r="I29" i="1" s="1"/>
  <c r="J29" i="1" s="1"/>
  <c r="H17" i="1"/>
  <c r="I17" i="1" s="1"/>
  <c r="J17" i="1" s="1"/>
  <c r="H5" i="1"/>
  <c r="I5" i="1" s="1"/>
  <c r="J5" i="1" s="1"/>
  <c r="H40" i="1"/>
  <c r="I40" i="1" s="1"/>
  <c r="J40" i="1" s="1"/>
  <c r="H28" i="1"/>
  <c r="I28" i="1" s="1"/>
  <c r="J28" i="1" s="1"/>
  <c r="H16" i="1"/>
  <c r="I16" i="1" s="1"/>
  <c r="J16" i="1" s="1"/>
  <c r="H4" i="1"/>
  <c r="I4" i="1" s="1"/>
  <c r="J4" i="1" s="1"/>
</calcChain>
</file>

<file path=xl/sharedStrings.xml><?xml version="1.0" encoding="utf-8"?>
<sst xmlns="http://schemas.openxmlformats.org/spreadsheetml/2006/main" count="199" uniqueCount="108">
  <si>
    <t>Apple MacBook Neo 13-inch with A18 Pro Chip, 256GB/8GB (Indigo)</t>
  </si>
  <si>
    <t>USD Prices</t>
  </si>
  <si>
    <t>Apple MacBook Neo 13-inch with A18 Pro Chip, 256GB/8GB (Silver)</t>
  </si>
  <si>
    <t>Apple MacBook Neo 13-inch with A18 Pro Chip, 256GB/8GB (Blush)</t>
  </si>
  <si>
    <t>Apple MacBook Neo 13-inch with A18 Pro Chip, 256GB/8GB (Citrus)</t>
  </si>
  <si>
    <t>costco.com.au</t>
  </si>
  <si>
    <t>Apple MacBook Neo 13-inch with A18 Pro Chip, 512GB/8GB (Citrus)</t>
  </si>
  <si>
    <t>Apple MacBook Neo 13-inch with A18 Pro Chip, 512GB/8GB (Blush)</t>
  </si>
  <si>
    <t>Apple MacBook Neo 13-inch with A18 Pro Chip, 512GB/8GB (Indigo)</t>
  </si>
  <si>
    <t>Apple MacBook Neo 13-inch with A18 Pro Chip, 512GB/8GB (Silver)</t>
  </si>
  <si>
    <t>AUD Prices</t>
  </si>
  <si>
    <t>Website</t>
  </si>
  <si>
    <t>Discarpation</t>
  </si>
  <si>
    <t>Sr No</t>
  </si>
  <si>
    <t xml:space="preserve">Apple 13 Inch MacBook Air: M5 Chip With 10-Core CPU And 8-Core GPU 16GB 512GB SSD  Starlight </t>
  </si>
  <si>
    <t xml:space="preserve">Apple 13 Inch MacBook Air: M5 Chip With 10-Core CPU And 8-Core GPU 16GB 512GB SSD  Midnight </t>
  </si>
  <si>
    <t>Apple 13 Inch MacBook Air: M5 Chip With 10-Core CPU And 8-Core GPU 16GB 512GB SSD  Sky Blue</t>
  </si>
  <si>
    <t xml:space="preserve">Apple 13 Inch MacBook Air: M5 Chip With 10-Core CPU And 8-Core GPU 16GB 512GB SSD   Silver </t>
  </si>
  <si>
    <t>Apple 13 Inch MacBook Air: M5 Chip With 10‑Core CPU And 10‑Core GPU 16GB 1TB SSD Starlight</t>
  </si>
  <si>
    <t>Apple 13 Inch MacBook Air: M5 Chip With 10‑Core CPU And 10‑Core GPU 16GB 1TB SSD Midnight</t>
  </si>
  <si>
    <t>Apple 13 Inch MacBook Air: M5 Chip With 10‑Core CPU And 10‑Core GPU 16GB 1TB SSD  Sky Blue</t>
  </si>
  <si>
    <t>Apple 13 Inch MacBook Air: M5 Chip With 10‑Core CPU And 10‑Core GPU 16GB 1TB SSD  Silver</t>
  </si>
  <si>
    <t>Apple 13 Inch MacBook Air: M5 Chip With 10‑Core CPU And 10‑Core GPU 24GB 1TB SSD Starlight</t>
  </si>
  <si>
    <t>Apple 13 Inch MacBook Air: M5 Chip With 10‑Core CPU And 10‑Core GPU 24GB 1TB SSD Midnight</t>
  </si>
  <si>
    <t>Apple 13 Inch MacBook Air: M5 Chip With 10‑Core CPU And 10‑Core GPU 24GB 1TB SSD Sky Blue</t>
  </si>
  <si>
    <t>Apple 13 Inch MacBook Air: M5 Chip With 10‑Core CPU And 10‑Core GPU 24GB 1TB SSD Silver</t>
  </si>
  <si>
    <t>Apple 15 Inch MacBook Air: M5 Chip With 10‑Core CPU And 10‑Core GPU 16GB 512GB SSD Starlight</t>
  </si>
  <si>
    <t>Apple 15 Inch MacBook Air: M5 Chip With 10‑Core CPU And 10‑Core GPU 16GB 512GB SSD Midnight</t>
  </si>
  <si>
    <t>Apple 15 Inch MacBook Air: M5 Chip With 10‑Core CPU And 10‑Core GPU 16GB 512GB SSD Sky Blue</t>
  </si>
  <si>
    <t>Apple 15 Inch MacBook Air: M5 Chip With 10‑Core CPU And 10‑Core GPU 16GB 512GB SSD Silver</t>
  </si>
  <si>
    <t>Apple 15 Inch MacBook Air: M5 Chip With 10‑Core CPU And 10‑Core GPU 16GB 1TB SSD Starlight</t>
  </si>
  <si>
    <t>Apple 15 Inch MacBook Air: M5 Chip With 10‑Core CPU And 10‑Core GPU 16GB 1TB SSD Midnight</t>
  </si>
  <si>
    <t>Apple 15 Inch MacBook Air: M5 Chip With 10‑Core CPU And 10‑Core GPU 16GB 1TB SSD Sky Blue</t>
  </si>
  <si>
    <t>Apple 15 Inch MacBook Air: M5 Chip With 10‑Core CPU And 10‑Core GPU 16GB 1TB SSD Silver</t>
  </si>
  <si>
    <t>Apple 15 Inch MacBook Air: M5 Chip With 10‑Core CPU And 10‑Core GPU 24GB 1TB SSD Starlight</t>
  </si>
  <si>
    <t>Apple 15 Inch MacBook Air: M5 Chip With 10‑Core CPU And 10‑Core GPU 24GB 1TB SSD Midnight</t>
  </si>
  <si>
    <t>Apple 15 Inch MacBook Air: M5 Chip With 10‑Core CPU And 10‑Core GPU 24GB 1TB SSD Sky Blue</t>
  </si>
  <si>
    <t>Apple 15 Inch MacBook Air: M5 Chip With 10‑Core CPU And 10‑Core GPU 24GB 1TB SSD Silver</t>
  </si>
  <si>
    <t>Apple MacBook Pro 14 Inch M5 Pro Chip With 15 Core CPU And 16 Core GPU 24GB 1TB SSD Space Black</t>
  </si>
  <si>
    <t>Apple MacBook Pro 14 Inch M5 Pro Chip With 15 Core CPU And 16 Core GPU 24GB 1TB SSD Silver</t>
  </si>
  <si>
    <t>Apple MacBook Pro 14 Inch M5 Pro Chip With 15 Core CPU And 16 Core GPU 24GB 2TB SSD Space Black</t>
  </si>
  <si>
    <t>Apple MacBook Pro 14 Inch M5 Pro Chip With 15 Core CPU And 16 Core GPU 24GB 2TB SSD Silver</t>
  </si>
  <si>
    <t>Apple MacBook Pro 14 Inch M5 Pro Chip With 18 Core CPU And 20 Core GPU 24GB 2TB SSD Space Black</t>
  </si>
  <si>
    <t>Apple MacBook Pro 14 Inch M5 Pro Chip With 18 Core CPU And 20 Core GPU 24GB 2TB SSD Silver</t>
  </si>
  <si>
    <t>Apple MacBook Pro 14 Inch M5 Max Chip With 18 Core CPU And 32 Core GPU 36GB 2TB SSD Space Black</t>
  </si>
  <si>
    <t>Apple MacBook Pro 14 Inch M5 Max Chip With 18 Core CPU And 32 Core GPU 36GB 2TB SSD Silver</t>
  </si>
  <si>
    <t>Apple MacBook Pro 16 Inch M5 Pro Chip With 18 Core CPU And 20 Core GPU 24GB 1TB SSD Space Black</t>
  </si>
  <si>
    <t>Apple MacBook Pro 16 Inch M5 Pro Chip With 18 Core CPU And 20 Core GPU 24GB 1TB SSD Silver</t>
  </si>
  <si>
    <t>Apple MacBook Pro 16 Inch M5 Pro Chip With 18 Core CPU And 20 Core GPU 48GB 1TB SSD Space Black</t>
  </si>
  <si>
    <t>Apple MacBook Pro 16 Inch M5 Pro Chip With 18 Core CPU And 20 Core GPU 48GB 1TB SSD Silver</t>
  </si>
  <si>
    <t>Apple MacBook Pro 16 Inch M5 Max Chip With 18 Core CPU And 32 Core GPU 36GB 2TB SSD Silver</t>
  </si>
  <si>
    <t>Apple MacBook Pro 16 Inch M5 Max Chip With 18 Core CPU And 32 Core GPU 36GB 2TB SSD Space Black</t>
  </si>
  <si>
    <t>Apple MacBook Pro 16 Inch M5 Max Chip With 18 Core CPU And 40 Core GPU 48GB 2TB SSD Space Black</t>
  </si>
  <si>
    <t>Apple MacBook Pro 16 Inch M5 Max Chip With 18 Core CPU And 40 Core GPU 48GB 2TB SSD Silver</t>
  </si>
  <si>
    <t>USD to AED</t>
  </si>
  <si>
    <t>CONVERT TO AED</t>
  </si>
  <si>
    <t>LESS GST</t>
  </si>
  <si>
    <t>AFTER GST</t>
  </si>
  <si>
    <t>DIFFERENCE</t>
  </si>
  <si>
    <t>iPad (A16) 11" WiFi 128GB Blue</t>
  </si>
  <si>
    <t>iPad (A16) 11" WiFi 128GB Pink</t>
  </si>
  <si>
    <t>iPad (A16) 11" WiFi 128GB Silver</t>
  </si>
  <si>
    <t>iPad (A16) 11" WiFi 128GB Yellow</t>
  </si>
  <si>
    <t>officeworks.com.au</t>
  </si>
  <si>
    <t xml:space="preserve">Apple iPad 11 Inch A16 256GB Silver </t>
  </si>
  <si>
    <t>Apple iPad 11 Inch A16 256GB Blue</t>
  </si>
  <si>
    <t>Apple iPad 11 Inch A16 256GB Pink</t>
  </si>
  <si>
    <t>Apple iPad 11 Inch A16 256GB Yellow</t>
  </si>
  <si>
    <t>Apple iPad Air M3 11" Wi-Fi 128GB MC9X4X/A - Blue</t>
  </si>
  <si>
    <t>Apple iPad Air M3 11" Wi-Fi 128GB MC9Y4X/A - Starlight</t>
  </si>
  <si>
    <t>Apple iPad Air M3 11" Wi-Fi 128GB MCA04X/A - Purple</t>
  </si>
  <si>
    <t>Apple iPad Air 11" M3 Wi-Fi 128GB MC9W4X/A - Space Grey</t>
  </si>
  <si>
    <t>Apple iPad Air M3 11" Wi-Fi 128GB Purple [Open Box] - As New</t>
  </si>
  <si>
    <t>mobileciti.com.au</t>
  </si>
  <si>
    <t>Apple iPad Air 11 Inch (2025) M3 256GB Starlight</t>
  </si>
  <si>
    <t>Apple iPad Air 11 Inch (2025) M3 256GB Blue</t>
  </si>
  <si>
    <t>Apple iPad Air 11 Inch (2025) M3 256GB Purple</t>
  </si>
  <si>
    <t>Apple iPad Air 11 Inch (2025) M3 256GB Space Grey</t>
  </si>
  <si>
    <t>Apple Watch SE GPS/Cel 40mm Starlight Case/Sport Band S/M Midnight</t>
  </si>
  <si>
    <t>Apple Watch SE GPS/Cel 40mm Starlight Case/Sport Band S/M Starlight</t>
  </si>
  <si>
    <t>AED</t>
  </si>
  <si>
    <t>Apple Watch SE 3 GPS 40mm Aluminium Case With Sport Band Midnight</t>
  </si>
  <si>
    <t>Apple Watch SE 3 GPS 40mm Aluminium Case With Sport Band Starlight</t>
  </si>
  <si>
    <t>Apple Watch SE 3 25 GPS 44mm Midnight Case with Midnight Sports Band - M/L</t>
  </si>
  <si>
    <t>Harvey Norman</t>
  </si>
  <si>
    <t>Apple Watch SE 3 25 GPS 44mm Starlight Case with Starlight Sports Band - M/L</t>
  </si>
  <si>
    <t>Apple Watch S10 GPS 42mm Jet Black Al Case/Sport Band S/M</t>
  </si>
  <si>
    <t>Apple Watch S10 GPS 42mm R.Gold Al Case/Blush Sport Band S/M</t>
  </si>
  <si>
    <t>Apple Watch Series 10 GPS 46mm Jet Black Aluminium Case with Black Sport Band - M/L</t>
  </si>
  <si>
    <t>Apple Watch Ultra 2 GPS + Cellular 49mm Black Titanium Case with Dark Green Alpine Loop - Medium</t>
  </si>
  <si>
    <t>Harvey Norman / Officeworks / Jbhifi</t>
  </si>
  <si>
    <t>Apple Watch Ultra 3 GPS/Cel 49mm Black Ocean Band</t>
  </si>
  <si>
    <t>PS5 PlayStation 5 Slim Console</t>
  </si>
  <si>
    <t>jbhifi.com.au</t>
  </si>
  <si>
    <t xml:space="preserve">Apple iPhone 17 256GB BLACK </t>
  </si>
  <si>
    <t xml:space="preserve">Apple iPhone 17 256GB WHITE </t>
  </si>
  <si>
    <t xml:space="preserve">Apple iPhone 17 512GB LAVENDER </t>
  </si>
  <si>
    <t xml:space="preserve">Apple iPhone 17 512GB BLUE  </t>
  </si>
  <si>
    <t xml:space="preserve">Apple iPhone 17 512GB WHITE </t>
  </si>
  <si>
    <t xml:space="preserve">Apple iPhone 17 512GB SAGE    </t>
  </si>
  <si>
    <t>Apple iPhone 17 512GB BLACK</t>
  </si>
  <si>
    <t>iPhone Air 256GB </t>
  </si>
  <si>
    <t>iPhone Air 512GB </t>
  </si>
  <si>
    <t>iPhone Air 1TB </t>
  </si>
  <si>
    <t>digidirect.com.au</t>
  </si>
  <si>
    <t xml:space="preserve">Apple iPhone 17 Pro Max 256GB </t>
  </si>
  <si>
    <t xml:space="preserve">Apple iPhone 17 Pro Max 512GB </t>
  </si>
  <si>
    <t xml:space="preserve">Apple iPhone 17 Pro Max 1TB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</si>
</sst>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USD]\ * #,##0.00_-;\-[$USD]\ * #,##0.00_-;_-[$USD]\ * &quot;-&quot;??_-;_-@_-"/>
    <numFmt numFmtId="165" formatCode="_-[$AUD]\ * #,##0.00_-;\-[$AUD]\ * #,##0.00_-;_-[$AUD]\ * &quot;-&quot;??_-;_-@_-"/>
    <numFmt numFmtId="166" formatCode="_-[$AED]\ * #,##0.00_-;\-[$AED]\ * #,##0.00_-;_-[$AED]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166" fontId="0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60F4-9EC3-4FC5-AFCF-09B1125E2435}">
  <dimension ref="A1:J49"/>
  <sheetViews>
    <sheetView topLeftCell="D1" workbookViewId="0">
      <selection activeCell="H2" sqref="H2"/>
    </sheetView>
  </sheetViews>
  <sheetFormatPr defaultRowHeight="15" x14ac:dyDescent="0.25"/>
  <cols>
    <col min="2" max="2" width="87.42578125" bestFit="1" customWidth="1"/>
    <col min="3" max="3" width="15.140625" hidden="1" customWidth="1"/>
    <col min="4" max="4" width="14.7109375" bestFit="1" customWidth="1"/>
    <col min="5" max="5" width="14.28515625" bestFit="1" customWidth="1"/>
    <col min="6" max="6" width="14" bestFit="1" customWidth="1"/>
    <col min="7" max="7" width="19.140625" bestFit="1" customWidth="1"/>
    <col min="8" max="8" width="13.5703125" bestFit="1" customWidth="1"/>
    <col min="9" max="9" width="14.85546875" bestFit="1" customWidth="1"/>
    <col min="10" max="10" width="13.5703125" bestFit="1" customWidth="1"/>
  </cols>
  <sheetData>
    <row r="1" spans="1:10" ht="15.75" x14ac:dyDescent="0.25">
      <c r="A1" s="1" t="s">
        <v>13</v>
      </c>
      <c r="B1" s="1" t="s">
        <v>12</v>
      </c>
      <c r="C1" s="1" t="s">
        <v>1</v>
      </c>
      <c r="D1" s="2" t="s">
        <v>54</v>
      </c>
      <c r="E1" s="1" t="s">
        <v>11</v>
      </c>
      <c r="F1" s="1" t="s">
        <v>10</v>
      </c>
      <c r="G1" s="3" t="s">
        <v>55</v>
      </c>
      <c r="H1" s="3" t="s">
        <v>56</v>
      </c>
      <c r="I1" s="3" t="s">
        <v>57</v>
      </c>
      <c r="J1" s="4" t="s">
        <v>58</v>
      </c>
    </row>
    <row r="2" spans="1:10" x14ac:dyDescent="0.25">
      <c r="A2" s="5">
        <v>1</v>
      </c>
      <c r="B2" s="5" t="s">
        <v>0</v>
      </c>
      <c r="C2" s="6">
        <v>525</v>
      </c>
      <c r="D2" s="7">
        <f t="shared" ref="D2:D49" si="0">C2*3.674</f>
        <v>1928.85</v>
      </c>
      <c r="E2" s="5" t="s">
        <v>5</v>
      </c>
      <c r="F2" s="8">
        <v>849.99</v>
      </c>
      <c r="G2" s="7">
        <f t="shared" ref="G2:G49" si="1">F2*2.63</f>
        <v>2235.4737</v>
      </c>
      <c r="H2" s="7">
        <f>G2/10</f>
        <v>223.54737</v>
      </c>
      <c r="I2" s="7">
        <f>G2-H2</f>
        <v>2011.92633</v>
      </c>
      <c r="J2" s="9">
        <f t="shared" ref="J2:J49" si="2">D2-I2</f>
        <v>-83.076330000000098</v>
      </c>
    </row>
    <row r="3" spans="1:10" x14ac:dyDescent="0.25">
      <c r="A3" s="5">
        <v>2</v>
      </c>
      <c r="B3" s="5" t="s">
        <v>2</v>
      </c>
      <c r="C3" s="6">
        <v>525</v>
      </c>
      <c r="D3" s="7">
        <f t="shared" si="0"/>
        <v>1928.85</v>
      </c>
      <c r="E3" s="5" t="s">
        <v>5</v>
      </c>
      <c r="F3" s="8">
        <v>849.99</v>
      </c>
      <c r="G3" s="7">
        <f t="shared" si="1"/>
        <v>2235.4737</v>
      </c>
      <c r="H3" s="7">
        <f t="shared" ref="H3:H49" si="3">G3/10</f>
        <v>223.54737</v>
      </c>
      <c r="I3" s="7">
        <f t="shared" ref="I3:I49" si="4">G3-H3</f>
        <v>2011.92633</v>
      </c>
      <c r="J3" s="9">
        <f t="shared" si="2"/>
        <v>-83.076330000000098</v>
      </c>
    </row>
    <row r="4" spans="1:10" x14ac:dyDescent="0.25">
      <c r="A4" s="5">
        <v>3</v>
      </c>
      <c r="B4" s="5" t="s">
        <v>3</v>
      </c>
      <c r="C4" s="6">
        <v>525</v>
      </c>
      <c r="D4" s="7">
        <f t="shared" si="0"/>
        <v>1928.85</v>
      </c>
      <c r="E4" s="5" t="s">
        <v>5</v>
      </c>
      <c r="F4" s="8">
        <v>849.99</v>
      </c>
      <c r="G4" s="7">
        <f t="shared" si="1"/>
        <v>2235.4737</v>
      </c>
      <c r="H4" s="7">
        <f t="shared" si="3"/>
        <v>223.54737</v>
      </c>
      <c r="I4" s="7">
        <f t="shared" si="4"/>
        <v>2011.92633</v>
      </c>
      <c r="J4" s="9">
        <f t="shared" si="2"/>
        <v>-83.076330000000098</v>
      </c>
    </row>
    <row r="5" spans="1:10" x14ac:dyDescent="0.25">
      <c r="A5" s="5">
        <v>4</v>
      </c>
      <c r="B5" s="5" t="s">
        <v>4</v>
      </c>
      <c r="C5" s="6">
        <v>525</v>
      </c>
      <c r="D5" s="7">
        <f t="shared" si="0"/>
        <v>1928.85</v>
      </c>
      <c r="E5" s="5" t="s">
        <v>5</v>
      </c>
      <c r="F5" s="8">
        <v>849.99</v>
      </c>
      <c r="G5" s="7">
        <f t="shared" si="1"/>
        <v>2235.4737</v>
      </c>
      <c r="H5" s="7">
        <f t="shared" si="3"/>
        <v>223.54737</v>
      </c>
      <c r="I5" s="7">
        <f t="shared" si="4"/>
        <v>2011.92633</v>
      </c>
      <c r="J5" s="9">
        <f t="shared" si="2"/>
        <v>-83.076330000000098</v>
      </c>
    </row>
    <row r="6" spans="1:10" x14ac:dyDescent="0.25">
      <c r="A6" s="5">
        <v>5</v>
      </c>
      <c r="B6" s="5" t="s">
        <v>6</v>
      </c>
      <c r="C6" s="6">
        <v>600</v>
      </c>
      <c r="D6" s="7">
        <f t="shared" si="0"/>
        <v>2204.4</v>
      </c>
      <c r="E6" s="5" t="s">
        <v>5</v>
      </c>
      <c r="F6" s="8">
        <v>1049.99</v>
      </c>
      <c r="G6" s="7">
        <f t="shared" si="1"/>
        <v>2761.4737</v>
      </c>
      <c r="H6" s="7">
        <f t="shared" si="3"/>
        <v>276.14737000000002</v>
      </c>
      <c r="I6" s="7">
        <f t="shared" si="4"/>
        <v>2485.3263299999999</v>
      </c>
      <c r="J6" s="9">
        <f t="shared" si="2"/>
        <v>-280.92632999999978</v>
      </c>
    </row>
    <row r="7" spans="1:10" x14ac:dyDescent="0.25">
      <c r="A7" s="5">
        <v>6</v>
      </c>
      <c r="B7" s="5" t="s">
        <v>7</v>
      </c>
      <c r="C7" s="6">
        <v>600</v>
      </c>
      <c r="D7" s="7">
        <f t="shared" si="0"/>
        <v>2204.4</v>
      </c>
      <c r="E7" s="5" t="s">
        <v>5</v>
      </c>
      <c r="F7" s="8">
        <v>1049.99</v>
      </c>
      <c r="G7" s="7">
        <f t="shared" si="1"/>
        <v>2761.4737</v>
      </c>
      <c r="H7" s="7">
        <f t="shared" si="3"/>
        <v>276.14737000000002</v>
      </c>
      <c r="I7" s="7">
        <f t="shared" si="4"/>
        <v>2485.3263299999999</v>
      </c>
      <c r="J7" s="9">
        <f t="shared" si="2"/>
        <v>-280.92632999999978</v>
      </c>
    </row>
    <row r="8" spans="1:10" x14ac:dyDescent="0.25">
      <c r="A8" s="5">
        <v>7</v>
      </c>
      <c r="B8" s="5" t="s">
        <v>8</v>
      </c>
      <c r="C8" s="6">
        <v>600</v>
      </c>
      <c r="D8" s="7">
        <f t="shared" si="0"/>
        <v>2204.4</v>
      </c>
      <c r="E8" s="5" t="s">
        <v>5</v>
      </c>
      <c r="F8" s="8">
        <v>1049.99</v>
      </c>
      <c r="G8" s="7">
        <f t="shared" si="1"/>
        <v>2761.4737</v>
      </c>
      <c r="H8" s="7">
        <f t="shared" si="3"/>
        <v>276.14737000000002</v>
      </c>
      <c r="I8" s="7">
        <f t="shared" si="4"/>
        <v>2485.3263299999999</v>
      </c>
      <c r="J8" s="9">
        <f t="shared" si="2"/>
        <v>-280.92632999999978</v>
      </c>
    </row>
    <row r="9" spans="1:10" x14ac:dyDescent="0.25">
      <c r="A9" s="5">
        <v>8</v>
      </c>
      <c r="B9" s="5" t="s">
        <v>9</v>
      </c>
      <c r="C9" s="6">
        <v>600</v>
      </c>
      <c r="D9" s="7">
        <f t="shared" si="0"/>
        <v>2204.4</v>
      </c>
      <c r="E9" s="5" t="s">
        <v>5</v>
      </c>
      <c r="F9" s="8">
        <v>1049.99</v>
      </c>
      <c r="G9" s="7">
        <f t="shared" si="1"/>
        <v>2761.4737</v>
      </c>
      <c r="H9" s="7">
        <f t="shared" si="3"/>
        <v>276.14737000000002</v>
      </c>
      <c r="I9" s="7">
        <f t="shared" si="4"/>
        <v>2485.3263299999999</v>
      </c>
      <c r="J9" s="9">
        <f t="shared" si="2"/>
        <v>-280.92632999999978</v>
      </c>
    </row>
    <row r="10" spans="1:10" x14ac:dyDescent="0.25">
      <c r="A10" s="5">
        <v>9</v>
      </c>
      <c r="B10" s="5" t="s">
        <v>14</v>
      </c>
      <c r="C10" s="6">
        <v>1000</v>
      </c>
      <c r="D10" s="7">
        <f t="shared" si="0"/>
        <v>3674</v>
      </c>
      <c r="E10" s="5" t="s">
        <v>5</v>
      </c>
      <c r="F10" s="8">
        <v>1699.98</v>
      </c>
      <c r="G10" s="7">
        <f t="shared" si="1"/>
        <v>4470.9474</v>
      </c>
      <c r="H10" s="7">
        <f t="shared" si="3"/>
        <v>447.09474</v>
      </c>
      <c r="I10" s="7">
        <f t="shared" si="4"/>
        <v>4023.85266</v>
      </c>
      <c r="J10" s="9">
        <f t="shared" si="2"/>
        <v>-349.85266000000001</v>
      </c>
    </row>
    <row r="11" spans="1:10" x14ac:dyDescent="0.25">
      <c r="A11" s="5">
        <v>10</v>
      </c>
      <c r="B11" s="5" t="s">
        <v>15</v>
      </c>
      <c r="C11" s="6">
        <v>1000</v>
      </c>
      <c r="D11" s="7">
        <f t="shared" si="0"/>
        <v>3674</v>
      </c>
      <c r="E11" s="5" t="s">
        <v>5</v>
      </c>
      <c r="F11" s="8">
        <v>1699.98</v>
      </c>
      <c r="G11" s="7">
        <f t="shared" si="1"/>
        <v>4470.9474</v>
      </c>
      <c r="H11" s="7">
        <f t="shared" si="3"/>
        <v>447.09474</v>
      </c>
      <c r="I11" s="7">
        <f t="shared" si="4"/>
        <v>4023.85266</v>
      </c>
      <c r="J11" s="9">
        <f t="shared" si="2"/>
        <v>-349.85266000000001</v>
      </c>
    </row>
    <row r="12" spans="1:10" x14ac:dyDescent="0.25">
      <c r="A12" s="5">
        <v>11</v>
      </c>
      <c r="B12" s="5" t="s">
        <v>16</v>
      </c>
      <c r="C12" s="6">
        <v>1000</v>
      </c>
      <c r="D12" s="7">
        <f t="shared" si="0"/>
        <v>3674</v>
      </c>
      <c r="E12" s="5" t="s">
        <v>5</v>
      </c>
      <c r="F12" s="8">
        <v>1699.98</v>
      </c>
      <c r="G12" s="7">
        <f t="shared" si="1"/>
        <v>4470.9474</v>
      </c>
      <c r="H12" s="7">
        <f t="shared" si="3"/>
        <v>447.09474</v>
      </c>
      <c r="I12" s="7">
        <f t="shared" si="4"/>
        <v>4023.85266</v>
      </c>
      <c r="J12" s="9">
        <f t="shared" si="2"/>
        <v>-349.85266000000001</v>
      </c>
    </row>
    <row r="13" spans="1:10" x14ac:dyDescent="0.25">
      <c r="A13" s="5">
        <v>12</v>
      </c>
      <c r="B13" s="5" t="s">
        <v>17</v>
      </c>
      <c r="C13" s="6">
        <v>1000</v>
      </c>
      <c r="D13" s="7">
        <f t="shared" si="0"/>
        <v>3674</v>
      </c>
      <c r="E13" s="5" t="s">
        <v>5</v>
      </c>
      <c r="F13" s="8">
        <v>1699.98</v>
      </c>
      <c r="G13" s="7">
        <f t="shared" si="1"/>
        <v>4470.9474</v>
      </c>
      <c r="H13" s="7">
        <f t="shared" si="3"/>
        <v>447.09474</v>
      </c>
      <c r="I13" s="7">
        <f t="shared" si="4"/>
        <v>4023.85266</v>
      </c>
      <c r="J13" s="9">
        <f t="shared" si="2"/>
        <v>-349.85266000000001</v>
      </c>
    </row>
    <row r="14" spans="1:10" x14ac:dyDescent="0.25">
      <c r="A14" s="5">
        <v>13</v>
      </c>
      <c r="B14" s="5" t="s">
        <v>18</v>
      </c>
      <c r="C14" s="6">
        <v>1150</v>
      </c>
      <c r="D14" s="7">
        <f t="shared" si="0"/>
        <v>4225.1000000000004</v>
      </c>
      <c r="E14" s="5" t="s">
        <v>5</v>
      </c>
      <c r="F14" s="8">
        <v>1979.99</v>
      </c>
      <c r="G14" s="7">
        <f t="shared" si="1"/>
        <v>5207.3737000000001</v>
      </c>
      <c r="H14" s="7">
        <f t="shared" si="3"/>
        <v>520.73737000000006</v>
      </c>
      <c r="I14" s="7">
        <f t="shared" si="4"/>
        <v>4686.6363300000003</v>
      </c>
      <c r="J14" s="9">
        <f t="shared" si="2"/>
        <v>-461.53632999999991</v>
      </c>
    </row>
    <row r="15" spans="1:10" x14ac:dyDescent="0.25">
      <c r="A15" s="5">
        <v>14</v>
      </c>
      <c r="B15" s="5" t="s">
        <v>19</v>
      </c>
      <c r="C15" s="6">
        <v>1150</v>
      </c>
      <c r="D15" s="7">
        <f t="shared" si="0"/>
        <v>4225.1000000000004</v>
      </c>
      <c r="E15" s="5" t="s">
        <v>5</v>
      </c>
      <c r="F15" s="8">
        <v>1979.99</v>
      </c>
      <c r="G15" s="7">
        <f t="shared" si="1"/>
        <v>5207.3737000000001</v>
      </c>
      <c r="H15" s="7">
        <f t="shared" si="3"/>
        <v>520.73737000000006</v>
      </c>
      <c r="I15" s="7">
        <f t="shared" si="4"/>
        <v>4686.6363300000003</v>
      </c>
      <c r="J15" s="9">
        <f t="shared" si="2"/>
        <v>-461.53632999999991</v>
      </c>
    </row>
    <row r="16" spans="1:10" x14ac:dyDescent="0.25">
      <c r="A16" s="5">
        <v>15</v>
      </c>
      <c r="B16" s="5" t="s">
        <v>20</v>
      </c>
      <c r="C16" s="6">
        <v>1150</v>
      </c>
      <c r="D16" s="7">
        <f t="shared" si="0"/>
        <v>4225.1000000000004</v>
      </c>
      <c r="E16" s="5" t="s">
        <v>5</v>
      </c>
      <c r="F16" s="8">
        <v>1979.99</v>
      </c>
      <c r="G16" s="7">
        <f t="shared" si="1"/>
        <v>5207.3737000000001</v>
      </c>
      <c r="H16" s="7">
        <f t="shared" si="3"/>
        <v>520.73737000000006</v>
      </c>
      <c r="I16" s="7">
        <f t="shared" si="4"/>
        <v>4686.6363300000003</v>
      </c>
      <c r="J16" s="9">
        <f t="shared" si="2"/>
        <v>-461.53632999999991</v>
      </c>
    </row>
    <row r="17" spans="1:10" x14ac:dyDescent="0.25">
      <c r="A17" s="5">
        <v>16</v>
      </c>
      <c r="B17" s="5" t="s">
        <v>21</v>
      </c>
      <c r="C17" s="6">
        <v>1150</v>
      </c>
      <c r="D17" s="7">
        <f t="shared" si="0"/>
        <v>4225.1000000000004</v>
      </c>
      <c r="E17" s="5" t="s">
        <v>5</v>
      </c>
      <c r="F17" s="8">
        <v>1979.99</v>
      </c>
      <c r="G17" s="7">
        <f t="shared" si="1"/>
        <v>5207.3737000000001</v>
      </c>
      <c r="H17" s="7">
        <f t="shared" si="3"/>
        <v>520.73737000000006</v>
      </c>
      <c r="I17" s="7">
        <f t="shared" si="4"/>
        <v>4686.6363300000003</v>
      </c>
      <c r="J17" s="9">
        <f t="shared" si="2"/>
        <v>-461.53632999999991</v>
      </c>
    </row>
    <row r="18" spans="1:10" x14ac:dyDescent="0.25">
      <c r="A18" s="5">
        <v>17</v>
      </c>
      <c r="B18" s="5" t="s">
        <v>22</v>
      </c>
      <c r="C18" s="6">
        <v>1250</v>
      </c>
      <c r="D18" s="7">
        <f t="shared" si="0"/>
        <v>4592.5</v>
      </c>
      <c r="E18" s="5" t="s">
        <v>5</v>
      </c>
      <c r="F18" s="8">
        <v>2249.98</v>
      </c>
      <c r="G18" s="7">
        <f t="shared" si="1"/>
        <v>5917.4474</v>
      </c>
      <c r="H18" s="7">
        <f t="shared" si="3"/>
        <v>591.74473999999998</v>
      </c>
      <c r="I18" s="7">
        <f t="shared" si="4"/>
        <v>5325.7026599999999</v>
      </c>
      <c r="J18" s="9">
        <f t="shared" si="2"/>
        <v>-733.20265999999992</v>
      </c>
    </row>
    <row r="19" spans="1:10" x14ac:dyDescent="0.25">
      <c r="A19" s="5">
        <v>18</v>
      </c>
      <c r="B19" s="5" t="s">
        <v>23</v>
      </c>
      <c r="C19" s="6">
        <v>1250</v>
      </c>
      <c r="D19" s="7">
        <f t="shared" si="0"/>
        <v>4592.5</v>
      </c>
      <c r="E19" s="5" t="s">
        <v>5</v>
      </c>
      <c r="F19" s="8">
        <v>2249.98</v>
      </c>
      <c r="G19" s="7">
        <f t="shared" si="1"/>
        <v>5917.4474</v>
      </c>
      <c r="H19" s="7">
        <f t="shared" si="3"/>
        <v>591.74473999999998</v>
      </c>
      <c r="I19" s="7">
        <f t="shared" si="4"/>
        <v>5325.7026599999999</v>
      </c>
      <c r="J19" s="9">
        <f t="shared" si="2"/>
        <v>-733.20265999999992</v>
      </c>
    </row>
    <row r="20" spans="1:10" x14ac:dyDescent="0.25">
      <c r="A20" s="5">
        <v>19</v>
      </c>
      <c r="B20" s="5" t="s">
        <v>24</v>
      </c>
      <c r="C20" s="6">
        <v>1250</v>
      </c>
      <c r="D20" s="7">
        <f t="shared" si="0"/>
        <v>4592.5</v>
      </c>
      <c r="E20" s="5" t="s">
        <v>5</v>
      </c>
      <c r="F20" s="8">
        <v>2249.98</v>
      </c>
      <c r="G20" s="7">
        <f t="shared" si="1"/>
        <v>5917.4474</v>
      </c>
      <c r="H20" s="7">
        <f t="shared" si="3"/>
        <v>591.74473999999998</v>
      </c>
      <c r="I20" s="7">
        <f t="shared" si="4"/>
        <v>5325.7026599999999</v>
      </c>
      <c r="J20" s="9">
        <f t="shared" si="2"/>
        <v>-733.20265999999992</v>
      </c>
    </row>
    <row r="21" spans="1:10" x14ac:dyDescent="0.25">
      <c r="A21" s="5">
        <v>20</v>
      </c>
      <c r="B21" s="5" t="s">
        <v>25</v>
      </c>
      <c r="C21" s="6">
        <v>1250</v>
      </c>
      <c r="D21" s="7">
        <f t="shared" si="0"/>
        <v>4592.5</v>
      </c>
      <c r="E21" s="5" t="s">
        <v>5</v>
      </c>
      <c r="F21" s="8">
        <v>2249.98</v>
      </c>
      <c r="G21" s="7">
        <f t="shared" si="1"/>
        <v>5917.4474</v>
      </c>
      <c r="H21" s="7">
        <f t="shared" si="3"/>
        <v>591.74473999999998</v>
      </c>
      <c r="I21" s="7">
        <f t="shared" si="4"/>
        <v>5325.7026599999999</v>
      </c>
      <c r="J21" s="9">
        <f t="shared" si="2"/>
        <v>-733.20265999999992</v>
      </c>
    </row>
    <row r="22" spans="1:10" x14ac:dyDescent="0.25">
      <c r="A22" s="5">
        <v>21</v>
      </c>
      <c r="B22" s="5" t="s">
        <v>26</v>
      </c>
      <c r="C22" s="6">
        <v>1150</v>
      </c>
      <c r="D22" s="7">
        <f t="shared" si="0"/>
        <v>4225.1000000000004</v>
      </c>
      <c r="E22" s="5" t="s">
        <v>5</v>
      </c>
      <c r="F22" s="8">
        <v>2049.9899999999998</v>
      </c>
      <c r="G22" s="7">
        <f t="shared" si="1"/>
        <v>5391.4736999999996</v>
      </c>
      <c r="H22" s="7">
        <f t="shared" si="3"/>
        <v>539.14736999999991</v>
      </c>
      <c r="I22" s="7">
        <f t="shared" si="4"/>
        <v>4852.3263299999999</v>
      </c>
      <c r="J22" s="9">
        <f t="shared" si="2"/>
        <v>-627.22632999999951</v>
      </c>
    </row>
    <row r="23" spans="1:10" x14ac:dyDescent="0.25">
      <c r="A23" s="5">
        <v>22</v>
      </c>
      <c r="B23" s="5" t="s">
        <v>27</v>
      </c>
      <c r="C23" s="6">
        <v>1150</v>
      </c>
      <c r="D23" s="7">
        <f t="shared" si="0"/>
        <v>4225.1000000000004</v>
      </c>
      <c r="E23" s="5" t="s">
        <v>5</v>
      </c>
      <c r="F23" s="8">
        <v>2049.9899999999998</v>
      </c>
      <c r="G23" s="7">
        <f t="shared" si="1"/>
        <v>5391.4736999999996</v>
      </c>
      <c r="H23" s="7">
        <f t="shared" si="3"/>
        <v>539.14736999999991</v>
      </c>
      <c r="I23" s="7">
        <f t="shared" si="4"/>
        <v>4852.3263299999999</v>
      </c>
      <c r="J23" s="9">
        <f t="shared" si="2"/>
        <v>-627.22632999999951</v>
      </c>
    </row>
    <row r="24" spans="1:10" x14ac:dyDescent="0.25">
      <c r="A24" s="5">
        <v>23</v>
      </c>
      <c r="B24" s="5" t="s">
        <v>28</v>
      </c>
      <c r="C24" s="6">
        <v>1150</v>
      </c>
      <c r="D24" s="7">
        <f t="shared" si="0"/>
        <v>4225.1000000000004</v>
      </c>
      <c r="E24" s="5" t="s">
        <v>5</v>
      </c>
      <c r="F24" s="8">
        <v>2049.9899999999998</v>
      </c>
      <c r="G24" s="7">
        <f t="shared" si="1"/>
        <v>5391.4736999999996</v>
      </c>
      <c r="H24" s="7">
        <f t="shared" si="3"/>
        <v>539.14736999999991</v>
      </c>
      <c r="I24" s="7">
        <f t="shared" si="4"/>
        <v>4852.3263299999999</v>
      </c>
      <c r="J24" s="9">
        <f t="shared" si="2"/>
        <v>-627.22632999999951</v>
      </c>
    </row>
    <row r="25" spans="1:10" x14ac:dyDescent="0.25">
      <c r="A25" s="5">
        <v>24</v>
      </c>
      <c r="B25" s="5" t="s">
        <v>29</v>
      </c>
      <c r="C25" s="6">
        <v>1150</v>
      </c>
      <c r="D25" s="7">
        <f t="shared" si="0"/>
        <v>4225.1000000000004</v>
      </c>
      <c r="E25" s="5" t="s">
        <v>5</v>
      </c>
      <c r="F25" s="8">
        <v>2049.9899999999998</v>
      </c>
      <c r="G25" s="7">
        <f t="shared" si="1"/>
        <v>5391.4736999999996</v>
      </c>
      <c r="H25" s="7">
        <f t="shared" si="3"/>
        <v>539.14736999999991</v>
      </c>
      <c r="I25" s="7">
        <f t="shared" si="4"/>
        <v>4852.3263299999999</v>
      </c>
      <c r="J25" s="9">
        <f t="shared" si="2"/>
        <v>-627.22632999999951</v>
      </c>
    </row>
    <row r="26" spans="1:10" x14ac:dyDescent="0.25">
      <c r="A26" s="5">
        <v>25</v>
      </c>
      <c r="B26" s="5" t="s">
        <v>30</v>
      </c>
      <c r="C26" s="6">
        <v>1250</v>
      </c>
      <c r="D26" s="7">
        <f t="shared" si="0"/>
        <v>4592.5</v>
      </c>
      <c r="E26" s="5" t="s">
        <v>5</v>
      </c>
      <c r="F26" s="8">
        <v>2349.9899999999998</v>
      </c>
      <c r="G26" s="7">
        <f t="shared" si="1"/>
        <v>6180.4736999999996</v>
      </c>
      <c r="H26" s="7">
        <f t="shared" si="3"/>
        <v>618.04737</v>
      </c>
      <c r="I26" s="7">
        <f t="shared" si="4"/>
        <v>5562.4263299999993</v>
      </c>
      <c r="J26" s="9">
        <f t="shared" si="2"/>
        <v>-969.92632999999933</v>
      </c>
    </row>
    <row r="27" spans="1:10" x14ac:dyDescent="0.25">
      <c r="A27" s="5">
        <v>26</v>
      </c>
      <c r="B27" s="5" t="s">
        <v>31</v>
      </c>
      <c r="C27" s="6">
        <v>1250</v>
      </c>
      <c r="D27" s="7">
        <f t="shared" si="0"/>
        <v>4592.5</v>
      </c>
      <c r="E27" s="5" t="s">
        <v>5</v>
      </c>
      <c r="F27" s="8">
        <v>2349.9899999999998</v>
      </c>
      <c r="G27" s="7">
        <f t="shared" si="1"/>
        <v>6180.4736999999996</v>
      </c>
      <c r="H27" s="7">
        <f t="shared" si="3"/>
        <v>618.04737</v>
      </c>
      <c r="I27" s="7">
        <f t="shared" si="4"/>
        <v>5562.4263299999993</v>
      </c>
      <c r="J27" s="9">
        <f t="shared" si="2"/>
        <v>-969.92632999999933</v>
      </c>
    </row>
    <row r="28" spans="1:10" x14ac:dyDescent="0.25">
      <c r="A28" s="5">
        <v>27</v>
      </c>
      <c r="B28" s="5" t="s">
        <v>32</v>
      </c>
      <c r="C28" s="6">
        <v>1250</v>
      </c>
      <c r="D28" s="7">
        <f t="shared" si="0"/>
        <v>4592.5</v>
      </c>
      <c r="E28" s="5" t="s">
        <v>5</v>
      </c>
      <c r="F28" s="8">
        <v>2349.9899999999998</v>
      </c>
      <c r="G28" s="7">
        <f t="shared" si="1"/>
        <v>6180.4736999999996</v>
      </c>
      <c r="H28" s="7">
        <f t="shared" si="3"/>
        <v>618.04737</v>
      </c>
      <c r="I28" s="7">
        <f t="shared" si="4"/>
        <v>5562.4263299999993</v>
      </c>
      <c r="J28" s="9">
        <f t="shared" si="2"/>
        <v>-969.92632999999933</v>
      </c>
    </row>
    <row r="29" spans="1:10" x14ac:dyDescent="0.25">
      <c r="A29" s="5">
        <v>28</v>
      </c>
      <c r="B29" s="5" t="s">
        <v>33</v>
      </c>
      <c r="C29" s="6">
        <v>1250</v>
      </c>
      <c r="D29" s="7">
        <f t="shared" si="0"/>
        <v>4592.5</v>
      </c>
      <c r="E29" s="5" t="s">
        <v>5</v>
      </c>
      <c r="F29" s="8">
        <v>2349.9899999999998</v>
      </c>
      <c r="G29" s="7">
        <f t="shared" si="1"/>
        <v>6180.4736999999996</v>
      </c>
      <c r="H29" s="7">
        <f t="shared" si="3"/>
        <v>618.04737</v>
      </c>
      <c r="I29" s="7">
        <f t="shared" si="4"/>
        <v>5562.4263299999993</v>
      </c>
      <c r="J29" s="9">
        <f t="shared" si="2"/>
        <v>-969.92632999999933</v>
      </c>
    </row>
    <row r="30" spans="1:10" x14ac:dyDescent="0.25">
      <c r="A30" s="5">
        <v>29</v>
      </c>
      <c r="B30" s="5" t="s">
        <v>34</v>
      </c>
      <c r="C30" s="6">
        <v>1375</v>
      </c>
      <c r="D30" s="7">
        <f t="shared" si="0"/>
        <v>5051.75</v>
      </c>
      <c r="E30" s="5" t="s">
        <v>5</v>
      </c>
      <c r="F30" s="8">
        <v>2649.99</v>
      </c>
      <c r="G30" s="7">
        <f t="shared" si="1"/>
        <v>6969.4736999999996</v>
      </c>
      <c r="H30" s="7">
        <f t="shared" si="3"/>
        <v>696.94736999999998</v>
      </c>
      <c r="I30" s="7">
        <f t="shared" si="4"/>
        <v>6272.5263299999997</v>
      </c>
      <c r="J30" s="9">
        <f t="shared" si="2"/>
        <v>-1220.7763299999997</v>
      </c>
    </row>
    <row r="31" spans="1:10" x14ac:dyDescent="0.25">
      <c r="A31" s="5">
        <v>30</v>
      </c>
      <c r="B31" s="5" t="s">
        <v>35</v>
      </c>
      <c r="C31" s="6">
        <v>1375</v>
      </c>
      <c r="D31" s="7">
        <f t="shared" si="0"/>
        <v>5051.75</v>
      </c>
      <c r="E31" s="5" t="s">
        <v>5</v>
      </c>
      <c r="F31" s="8">
        <v>2649.99</v>
      </c>
      <c r="G31" s="7">
        <f t="shared" si="1"/>
        <v>6969.4736999999996</v>
      </c>
      <c r="H31" s="7">
        <f t="shared" si="3"/>
        <v>696.94736999999998</v>
      </c>
      <c r="I31" s="7">
        <f t="shared" si="4"/>
        <v>6272.5263299999997</v>
      </c>
      <c r="J31" s="9">
        <f t="shared" si="2"/>
        <v>-1220.7763299999997</v>
      </c>
    </row>
    <row r="32" spans="1:10" x14ac:dyDescent="0.25">
      <c r="A32" s="5">
        <v>31</v>
      </c>
      <c r="B32" s="5" t="s">
        <v>36</v>
      </c>
      <c r="C32" s="6">
        <v>1375</v>
      </c>
      <c r="D32" s="7">
        <f t="shared" si="0"/>
        <v>5051.75</v>
      </c>
      <c r="E32" s="5" t="s">
        <v>5</v>
      </c>
      <c r="F32" s="8">
        <v>2649.99</v>
      </c>
      <c r="G32" s="7">
        <f t="shared" si="1"/>
        <v>6969.4736999999996</v>
      </c>
      <c r="H32" s="7">
        <f t="shared" si="3"/>
        <v>696.94736999999998</v>
      </c>
      <c r="I32" s="7">
        <f t="shared" si="4"/>
        <v>6272.5263299999997</v>
      </c>
      <c r="J32" s="9">
        <f t="shared" si="2"/>
        <v>-1220.7763299999997</v>
      </c>
    </row>
    <row r="33" spans="1:10" x14ac:dyDescent="0.25">
      <c r="A33" s="5">
        <v>32</v>
      </c>
      <c r="B33" s="5" t="s">
        <v>37</v>
      </c>
      <c r="C33" s="6">
        <v>1375</v>
      </c>
      <c r="D33" s="7">
        <f t="shared" si="0"/>
        <v>5051.75</v>
      </c>
      <c r="E33" s="5" t="s">
        <v>5</v>
      </c>
      <c r="F33" s="8">
        <v>2649.99</v>
      </c>
      <c r="G33" s="7">
        <f t="shared" si="1"/>
        <v>6969.4736999999996</v>
      </c>
      <c r="H33" s="7">
        <f t="shared" si="3"/>
        <v>696.94736999999998</v>
      </c>
      <c r="I33" s="7">
        <f t="shared" si="4"/>
        <v>6272.5263299999997</v>
      </c>
      <c r="J33" s="9">
        <f t="shared" si="2"/>
        <v>-1220.7763299999997</v>
      </c>
    </row>
    <row r="34" spans="1:10" x14ac:dyDescent="0.25">
      <c r="A34" s="5">
        <v>33</v>
      </c>
      <c r="B34" s="5" t="s">
        <v>38</v>
      </c>
      <c r="C34" s="6">
        <v>1750</v>
      </c>
      <c r="D34" s="7">
        <f t="shared" si="0"/>
        <v>6429.5</v>
      </c>
      <c r="E34" s="5" t="s">
        <v>5</v>
      </c>
      <c r="F34" s="8">
        <v>3299.99</v>
      </c>
      <c r="G34" s="7">
        <f t="shared" si="1"/>
        <v>8678.9736999999986</v>
      </c>
      <c r="H34" s="7">
        <f t="shared" si="3"/>
        <v>867.89736999999991</v>
      </c>
      <c r="I34" s="7">
        <f t="shared" si="4"/>
        <v>7811.076329999999</v>
      </c>
      <c r="J34" s="9">
        <f t="shared" si="2"/>
        <v>-1381.576329999999</v>
      </c>
    </row>
    <row r="35" spans="1:10" x14ac:dyDescent="0.25">
      <c r="A35" s="5">
        <v>34</v>
      </c>
      <c r="B35" s="5" t="s">
        <v>39</v>
      </c>
      <c r="C35" s="6">
        <v>1750</v>
      </c>
      <c r="D35" s="7">
        <f t="shared" si="0"/>
        <v>6429.5</v>
      </c>
      <c r="E35" s="5" t="s">
        <v>5</v>
      </c>
      <c r="F35" s="8">
        <v>3299.99</v>
      </c>
      <c r="G35" s="7">
        <f t="shared" si="1"/>
        <v>8678.9736999999986</v>
      </c>
      <c r="H35" s="7">
        <f t="shared" si="3"/>
        <v>867.89736999999991</v>
      </c>
      <c r="I35" s="7">
        <f t="shared" si="4"/>
        <v>7811.076329999999</v>
      </c>
      <c r="J35" s="9">
        <f t="shared" si="2"/>
        <v>-1381.576329999999</v>
      </c>
    </row>
    <row r="36" spans="1:10" x14ac:dyDescent="0.25">
      <c r="A36" s="5">
        <v>35</v>
      </c>
      <c r="B36" s="5" t="s">
        <v>40</v>
      </c>
      <c r="C36" s="6">
        <v>2050</v>
      </c>
      <c r="D36" s="7">
        <f t="shared" si="0"/>
        <v>7531.7</v>
      </c>
      <c r="E36" s="5" t="s">
        <v>5</v>
      </c>
      <c r="F36" s="8">
        <v>3899.98</v>
      </c>
      <c r="G36" s="7">
        <f t="shared" si="1"/>
        <v>10256.947399999999</v>
      </c>
      <c r="H36" s="7">
        <f t="shared" si="3"/>
        <v>1025.6947399999999</v>
      </c>
      <c r="I36" s="7">
        <f t="shared" si="4"/>
        <v>9231.2526599999983</v>
      </c>
      <c r="J36" s="9">
        <f t="shared" si="2"/>
        <v>-1699.5526599999985</v>
      </c>
    </row>
    <row r="37" spans="1:10" x14ac:dyDescent="0.25">
      <c r="A37" s="5">
        <v>36</v>
      </c>
      <c r="B37" s="5" t="s">
        <v>41</v>
      </c>
      <c r="C37" s="6">
        <v>2050</v>
      </c>
      <c r="D37" s="7">
        <f t="shared" si="0"/>
        <v>7531.7</v>
      </c>
      <c r="E37" s="5" t="s">
        <v>5</v>
      </c>
      <c r="F37" s="8">
        <v>3899.98</v>
      </c>
      <c r="G37" s="7">
        <f t="shared" si="1"/>
        <v>10256.947399999999</v>
      </c>
      <c r="H37" s="7">
        <f t="shared" si="3"/>
        <v>1025.6947399999999</v>
      </c>
      <c r="I37" s="7">
        <f t="shared" si="4"/>
        <v>9231.2526599999983</v>
      </c>
      <c r="J37" s="9">
        <f t="shared" si="2"/>
        <v>-1699.5526599999985</v>
      </c>
    </row>
    <row r="38" spans="1:10" x14ac:dyDescent="0.25">
      <c r="A38" s="5">
        <v>37</v>
      </c>
      <c r="B38" s="5" t="s">
        <v>42</v>
      </c>
      <c r="C38" s="6">
        <v>2250</v>
      </c>
      <c r="D38" s="7">
        <f t="shared" si="0"/>
        <v>8266.5</v>
      </c>
      <c r="E38" s="5" t="s">
        <v>5</v>
      </c>
      <c r="F38" s="8">
        <v>4299.99</v>
      </c>
      <c r="G38" s="7">
        <f t="shared" si="1"/>
        <v>11308.973699999999</v>
      </c>
      <c r="H38" s="7">
        <f t="shared" si="3"/>
        <v>1130.8973699999999</v>
      </c>
      <c r="I38" s="7">
        <f t="shared" si="4"/>
        <v>10178.076329999998</v>
      </c>
      <c r="J38" s="9">
        <f t="shared" si="2"/>
        <v>-1911.5763299999981</v>
      </c>
    </row>
    <row r="39" spans="1:10" x14ac:dyDescent="0.25">
      <c r="A39" s="5">
        <v>38</v>
      </c>
      <c r="B39" s="5" t="s">
        <v>43</v>
      </c>
      <c r="C39" s="6">
        <v>2250</v>
      </c>
      <c r="D39" s="7">
        <f t="shared" si="0"/>
        <v>8266.5</v>
      </c>
      <c r="E39" s="5" t="s">
        <v>5</v>
      </c>
      <c r="F39" s="8">
        <v>4299.99</v>
      </c>
      <c r="G39" s="7">
        <f t="shared" si="1"/>
        <v>11308.973699999999</v>
      </c>
      <c r="H39" s="7">
        <f t="shared" si="3"/>
        <v>1130.8973699999999</v>
      </c>
      <c r="I39" s="7">
        <f t="shared" si="4"/>
        <v>10178.076329999998</v>
      </c>
      <c r="J39" s="9">
        <f t="shared" si="2"/>
        <v>-1911.5763299999981</v>
      </c>
    </row>
    <row r="40" spans="1:10" x14ac:dyDescent="0.25">
      <c r="A40" s="5">
        <v>39</v>
      </c>
      <c r="B40" s="5" t="s">
        <v>44</v>
      </c>
      <c r="C40" s="6">
        <v>2800</v>
      </c>
      <c r="D40" s="7">
        <f t="shared" si="0"/>
        <v>10287.199999999999</v>
      </c>
      <c r="E40" s="5" t="s">
        <v>5</v>
      </c>
      <c r="F40" s="8">
        <v>5499.99</v>
      </c>
      <c r="G40" s="7">
        <f t="shared" si="1"/>
        <v>14464.973699999999</v>
      </c>
      <c r="H40" s="7">
        <f t="shared" si="3"/>
        <v>1446.4973699999998</v>
      </c>
      <c r="I40" s="7">
        <f t="shared" si="4"/>
        <v>13018.47633</v>
      </c>
      <c r="J40" s="9">
        <f t="shared" si="2"/>
        <v>-2731.2763300000006</v>
      </c>
    </row>
    <row r="41" spans="1:10" x14ac:dyDescent="0.25">
      <c r="A41" s="5">
        <v>40</v>
      </c>
      <c r="B41" s="5" t="s">
        <v>45</v>
      </c>
      <c r="C41" s="6">
        <v>2800</v>
      </c>
      <c r="D41" s="7">
        <f t="shared" si="0"/>
        <v>10287.199999999999</v>
      </c>
      <c r="E41" s="5" t="s">
        <v>5</v>
      </c>
      <c r="F41" s="8">
        <v>5499.99</v>
      </c>
      <c r="G41" s="7">
        <f t="shared" si="1"/>
        <v>14464.973699999999</v>
      </c>
      <c r="H41" s="7">
        <f t="shared" si="3"/>
        <v>1446.4973699999998</v>
      </c>
      <c r="I41" s="7">
        <f t="shared" si="4"/>
        <v>13018.47633</v>
      </c>
      <c r="J41" s="9">
        <f t="shared" si="2"/>
        <v>-2731.2763300000006</v>
      </c>
    </row>
    <row r="42" spans="1:10" x14ac:dyDescent="0.25">
      <c r="A42" s="5">
        <v>41</v>
      </c>
      <c r="B42" s="5" t="s">
        <v>46</v>
      </c>
      <c r="C42" s="6">
        <v>2200</v>
      </c>
      <c r="D42" s="7">
        <f t="shared" si="0"/>
        <v>8082.8</v>
      </c>
      <c r="E42" s="5" t="s">
        <v>5</v>
      </c>
      <c r="F42" s="8">
        <v>3999.99</v>
      </c>
      <c r="G42" s="7">
        <f t="shared" si="1"/>
        <v>10519.973699999999</v>
      </c>
      <c r="H42" s="7">
        <f t="shared" si="3"/>
        <v>1051.9973699999998</v>
      </c>
      <c r="I42" s="7">
        <f t="shared" si="4"/>
        <v>9467.9763299999995</v>
      </c>
      <c r="J42" s="9">
        <f t="shared" si="2"/>
        <v>-1385.1763299999993</v>
      </c>
    </row>
    <row r="43" spans="1:10" x14ac:dyDescent="0.25">
      <c r="A43" s="5">
        <v>42</v>
      </c>
      <c r="B43" s="5" t="s">
        <v>47</v>
      </c>
      <c r="C43" s="6">
        <v>2200</v>
      </c>
      <c r="D43" s="7">
        <f t="shared" si="0"/>
        <v>8082.8</v>
      </c>
      <c r="E43" s="5" t="s">
        <v>5</v>
      </c>
      <c r="F43" s="8">
        <v>3999.99</v>
      </c>
      <c r="G43" s="7">
        <f t="shared" si="1"/>
        <v>10519.973699999999</v>
      </c>
      <c r="H43" s="7">
        <f t="shared" si="3"/>
        <v>1051.9973699999998</v>
      </c>
      <c r="I43" s="7">
        <f t="shared" si="4"/>
        <v>9467.9763299999995</v>
      </c>
      <c r="J43" s="9">
        <f t="shared" si="2"/>
        <v>-1385.1763299999993</v>
      </c>
    </row>
    <row r="44" spans="1:10" x14ac:dyDescent="0.25">
      <c r="A44" s="5">
        <v>43</v>
      </c>
      <c r="B44" s="5" t="s">
        <v>48</v>
      </c>
      <c r="C44" s="6">
        <v>2475</v>
      </c>
      <c r="D44" s="7">
        <f t="shared" si="0"/>
        <v>9093.15</v>
      </c>
      <c r="E44" s="5" t="s">
        <v>5</v>
      </c>
      <c r="F44" s="8">
        <v>4599.99</v>
      </c>
      <c r="G44" s="7">
        <f t="shared" si="1"/>
        <v>12097.973699999999</v>
      </c>
      <c r="H44" s="7">
        <f t="shared" si="3"/>
        <v>1209.7973699999998</v>
      </c>
      <c r="I44" s="7">
        <f t="shared" si="4"/>
        <v>10888.176329999998</v>
      </c>
      <c r="J44" s="9">
        <f t="shared" si="2"/>
        <v>-1795.0263299999988</v>
      </c>
    </row>
    <row r="45" spans="1:10" x14ac:dyDescent="0.25">
      <c r="A45" s="5">
        <v>44</v>
      </c>
      <c r="B45" s="5" t="s">
        <v>49</v>
      </c>
      <c r="C45" s="6">
        <v>2475</v>
      </c>
      <c r="D45" s="7">
        <f t="shared" si="0"/>
        <v>9093.15</v>
      </c>
      <c r="E45" s="5" t="s">
        <v>5</v>
      </c>
      <c r="F45" s="8">
        <v>4599.99</v>
      </c>
      <c r="G45" s="7">
        <f t="shared" si="1"/>
        <v>12097.973699999999</v>
      </c>
      <c r="H45" s="7">
        <f t="shared" si="3"/>
        <v>1209.7973699999998</v>
      </c>
      <c r="I45" s="7">
        <f t="shared" si="4"/>
        <v>10888.176329999998</v>
      </c>
      <c r="J45" s="9">
        <f t="shared" si="2"/>
        <v>-1795.0263299999988</v>
      </c>
    </row>
    <row r="46" spans="1:10" x14ac:dyDescent="0.25">
      <c r="A46" s="5">
        <v>45</v>
      </c>
      <c r="B46" s="5" t="s">
        <v>51</v>
      </c>
      <c r="C46" s="6">
        <v>3100</v>
      </c>
      <c r="D46" s="7">
        <f t="shared" si="0"/>
        <v>11389.4</v>
      </c>
      <c r="E46" s="5" t="s">
        <v>5</v>
      </c>
      <c r="F46" s="8">
        <v>5999.99</v>
      </c>
      <c r="G46" s="7">
        <f t="shared" si="1"/>
        <v>15779.973699999999</v>
      </c>
      <c r="H46" s="7">
        <f t="shared" si="3"/>
        <v>1577.9973699999998</v>
      </c>
      <c r="I46" s="7">
        <f t="shared" si="4"/>
        <v>14201.97633</v>
      </c>
      <c r="J46" s="9">
        <f t="shared" si="2"/>
        <v>-2812.5763299999999</v>
      </c>
    </row>
    <row r="47" spans="1:10" x14ac:dyDescent="0.25">
      <c r="A47" s="5">
        <v>46</v>
      </c>
      <c r="B47" s="5" t="s">
        <v>50</v>
      </c>
      <c r="C47" s="6">
        <v>3100</v>
      </c>
      <c r="D47" s="7">
        <f t="shared" si="0"/>
        <v>11389.4</v>
      </c>
      <c r="E47" s="5" t="s">
        <v>5</v>
      </c>
      <c r="F47" s="8">
        <v>5999.99</v>
      </c>
      <c r="G47" s="7">
        <f t="shared" si="1"/>
        <v>15779.973699999999</v>
      </c>
      <c r="H47" s="7">
        <f t="shared" si="3"/>
        <v>1577.9973699999998</v>
      </c>
      <c r="I47" s="7">
        <f t="shared" si="4"/>
        <v>14201.97633</v>
      </c>
      <c r="J47" s="9">
        <f t="shared" si="2"/>
        <v>-2812.5763299999999</v>
      </c>
    </row>
    <row r="48" spans="1:10" x14ac:dyDescent="0.25">
      <c r="A48" s="5">
        <v>47</v>
      </c>
      <c r="B48" s="5" t="s">
        <v>52</v>
      </c>
      <c r="C48" s="6">
        <v>3500</v>
      </c>
      <c r="D48" s="7">
        <f t="shared" si="0"/>
        <v>12859</v>
      </c>
      <c r="E48" s="5" t="s">
        <v>5</v>
      </c>
      <c r="F48" s="8">
        <v>6599.99</v>
      </c>
      <c r="G48" s="7">
        <f t="shared" si="1"/>
        <v>17357.973699999999</v>
      </c>
      <c r="H48" s="7">
        <f t="shared" si="3"/>
        <v>1735.7973699999998</v>
      </c>
      <c r="I48" s="7">
        <f t="shared" si="4"/>
        <v>15622.176329999998</v>
      </c>
      <c r="J48" s="9">
        <f t="shared" si="2"/>
        <v>-2763.1763299999984</v>
      </c>
    </row>
    <row r="49" spans="1:10" x14ac:dyDescent="0.25">
      <c r="A49" s="5">
        <v>48</v>
      </c>
      <c r="B49" s="5" t="s">
        <v>53</v>
      </c>
      <c r="C49" s="6">
        <v>3500</v>
      </c>
      <c r="D49" s="7">
        <f t="shared" si="0"/>
        <v>12859</v>
      </c>
      <c r="E49" s="5" t="s">
        <v>5</v>
      </c>
      <c r="F49" s="8">
        <v>6599.99</v>
      </c>
      <c r="G49" s="7">
        <f t="shared" si="1"/>
        <v>17357.973699999999</v>
      </c>
      <c r="H49" s="7">
        <f t="shared" si="3"/>
        <v>1735.7973699999998</v>
      </c>
      <c r="I49" s="7">
        <f t="shared" si="4"/>
        <v>15622.176329999998</v>
      </c>
      <c r="J49" s="9">
        <f t="shared" si="2"/>
        <v>-2763.1763299999984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D119-7B8B-4D6A-B2C2-B21359A1556D}">
  <dimension ref="A1:I43"/>
  <sheetViews>
    <sheetView tabSelected="1" workbookViewId="0">
      <selection activeCell="B34" sqref="B34"/>
    </sheetView>
  </sheetViews>
  <sheetFormatPr defaultRowHeight="15" x14ac:dyDescent="0.25"/>
  <cols>
    <col min="1" max="1" width="6.28515625" customWidth="1"/>
    <col min="2" max="2" width="91.28515625" bestFit="1" customWidth="1"/>
    <col min="3" max="3" width="13.7109375" bestFit="1" customWidth="1"/>
    <col min="4" max="4" width="33.5703125" bestFit="1" customWidth="1"/>
    <col min="5" max="5" width="13.85546875" bestFit="1" customWidth="1"/>
    <col min="6" max="6" width="19.140625" bestFit="1" customWidth="1"/>
    <col min="7" max="7" width="11.85546875" bestFit="1" customWidth="1"/>
    <col min="8" max="9" width="13.5703125" bestFit="1" customWidth="1"/>
  </cols>
  <sheetData>
    <row r="1" spans="1:9" ht="15.75" x14ac:dyDescent="0.25">
      <c r="A1" s="10" t="s">
        <v>13</v>
      </c>
      <c r="B1" s="10" t="s">
        <v>12</v>
      </c>
      <c r="C1" s="10" t="s">
        <v>80</v>
      </c>
      <c r="D1" s="10" t="s">
        <v>11</v>
      </c>
      <c r="E1" s="10" t="s">
        <v>10</v>
      </c>
      <c r="F1" s="11" t="s">
        <v>55</v>
      </c>
      <c r="G1" s="11" t="s">
        <v>56</v>
      </c>
      <c r="H1" s="11" t="s">
        <v>57</v>
      </c>
      <c r="I1" s="12" t="s">
        <v>58</v>
      </c>
    </row>
    <row r="2" spans="1:9" x14ac:dyDescent="0.25">
      <c r="A2" s="13">
        <v>1</v>
      </c>
      <c r="B2" s="13" t="s">
        <v>59</v>
      </c>
      <c r="C2" s="14">
        <v>1120</v>
      </c>
      <c r="D2" s="13" t="s">
        <v>63</v>
      </c>
      <c r="E2" s="15">
        <v>529</v>
      </c>
      <c r="F2" s="14">
        <f>E2*2.6</f>
        <v>1375.4</v>
      </c>
      <c r="G2" s="14">
        <f>F2/10</f>
        <v>137.54000000000002</v>
      </c>
      <c r="H2" s="14">
        <f>F2-G2</f>
        <v>1237.8600000000001</v>
      </c>
      <c r="I2" s="16">
        <f>C2-H2</f>
        <v>-117.86000000000013</v>
      </c>
    </row>
    <row r="3" spans="1:9" x14ac:dyDescent="0.25">
      <c r="A3" s="13">
        <v>2</v>
      </c>
      <c r="B3" s="13" t="s">
        <v>60</v>
      </c>
      <c r="C3" s="14">
        <v>1120</v>
      </c>
      <c r="D3" s="13" t="s">
        <v>63</v>
      </c>
      <c r="E3" s="15">
        <v>529</v>
      </c>
      <c r="F3" s="14">
        <f t="shared" ref="F3:F43" si="0">E3*2.6</f>
        <v>1375.4</v>
      </c>
      <c r="G3" s="14">
        <f t="shared" ref="G3:G43" si="1">F3/10</f>
        <v>137.54000000000002</v>
      </c>
      <c r="H3" s="14">
        <f t="shared" ref="H3:H32" si="2">F3-G3</f>
        <v>1237.8600000000001</v>
      </c>
      <c r="I3" s="16">
        <f t="shared" ref="I3:I32" si="3">C3-H3</f>
        <v>-117.86000000000013</v>
      </c>
    </row>
    <row r="4" spans="1:9" x14ac:dyDescent="0.25">
      <c r="A4" s="13">
        <v>3</v>
      </c>
      <c r="B4" s="13" t="s">
        <v>61</v>
      </c>
      <c r="C4" s="14">
        <v>1120</v>
      </c>
      <c r="D4" s="13" t="s">
        <v>63</v>
      </c>
      <c r="E4" s="15">
        <v>529</v>
      </c>
      <c r="F4" s="14">
        <f t="shared" si="0"/>
        <v>1375.4</v>
      </c>
      <c r="G4" s="14">
        <f t="shared" si="1"/>
        <v>137.54000000000002</v>
      </c>
      <c r="H4" s="14">
        <f t="shared" si="2"/>
        <v>1237.8600000000001</v>
      </c>
      <c r="I4" s="16">
        <f t="shared" si="3"/>
        <v>-117.86000000000013</v>
      </c>
    </row>
    <row r="5" spans="1:9" x14ac:dyDescent="0.25">
      <c r="A5" s="13">
        <v>4</v>
      </c>
      <c r="B5" s="13" t="s">
        <v>62</v>
      </c>
      <c r="C5" s="14">
        <v>1120</v>
      </c>
      <c r="D5" s="13" t="s">
        <v>63</v>
      </c>
      <c r="E5" s="15">
        <v>529</v>
      </c>
      <c r="F5" s="14">
        <f t="shared" si="0"/>
        <v>1375.4</v>
      </c>
      <c r="G5" s="14">
        <f t="shared" si="1"/>
        <v>137.54000000000002</v>
      </c>
      <c r="H5" s="14">
        <f t="shared" si="2"/>
        <v>1237.8600000000001</v>
      </c>
      <c r="I5" s="16">
        <f t="shared" si="3"/>
        <v>-117.86000000000013</v>
      </c>
    </row>
    <row r="6" spans="1:9" x14ac:dyDescent="0.25">
      <c r="A6" s="13">
        <v>5</v>
      </c>
      <c r="B6" s="13" t="s">
        <v>64</v>
      </c>
      <c r="C6" s="14">
        <v>1500</v>
      </c>
      <c r="D6" s="13" t="s">
        <v>5</v>
      </c>
      <c r="E6" s="15">
        <v>709</v>
      </c>
      <c r="F6" s="14">
        <f t="shared" si="0"/>
        <v>1843.4</v>
      </c>
      <c r="G6" s="14">
        <f t="shared" si="1"/>
        <v>184.34</v>
      </c>
      <c r="H6" s="14">
        <f t="shared" si="2"/>
        <v>1659.0600000000002</v>
      </c>
      <c r="I6" s="16">
        <f t="shared" si="3"/>
        <v>-159.06000000000017</v>
      </c>
    </row>
    <row r="7" spans="1:9" x14ac:dyDescent="0.25">
      <c r="A7" s="13">
        <v>6</v>
      </c>
      <c r="B7" s="13" t="s">
        <v>65</v>
      </c>
      <c r="C7" s="14">
        <v>1490</v>
      </c>
      <c r="D7" s="13" t="s">
        <v>5</v>
      </c>
      <c r="E7" s="15">
        <v>709</v>
      </c>
      <c r="F7" s="14">
        <f t="shared" si="0"/>
        <v>1843.4</v>
      </c>
      <c r="G7" s="14">
        <f t="shared" si="1"/>
        <v>184.34</v>
      </c>
      <c r="H7" s="14">
        <f t="shared" si="2"/>
        <v>1659.0600000000002</v>
      </c>
      <c r="I7" s="16">
        <f t="shared" si="3"/>
        <v>-169.06000000000017</v>
      </c>
    </row>
    <row r="8" spans="1:9" x14ac:dyDescent="0.25">
      <c r="A8" s="13">
        <v>7</v>
      </c>
      <c r="B8" s="13" t="s">
        <v>66</v>
      </c>
      <c r="C8" s="14">
        <v>1500</v>
      </c>
      <c r="D8" s="13" t="s">
        <v>5</v>
      </c>
      <c r="E8" s="15">
        <v>709</v>
      </c>
      <c r="F8" s="14">
        <f t="shared" si="0"/>
        <v>1843.4</v>
      </c>
      <c r="G8" s="14">
        <f t="shared" si="1"/>
        <v>184.34</v>
      </c>
      <c r="H8" s="14">
        <f t="shared" si="2"/>
        <v>1659.0600000000002</v>
      </c>
      <c r="I8" s="16">
        <f t="shared" si="3"/>
        <v>-159.06000000000017</v>
      </c>
    </row>
    <row r="9" spans="1:9" x14ac:dyDescent="0.25">
      <c r="A9" s="13">
        <v>8</v>
      </c>
      <c r="B9" s="13" t="s">
        <v>67</v>
      </c>
      <c r="C9" s="14">
        <v>1500</v>
      </c>
      <c r="D9" s="13" t="s">
        <v>5</v>
      </c>
      <c r="E9" s="15">
        <v>709</v>
      </c>
      <c r="F9" s="14">
        <f t="shared" si="0"/>
        <v>1843.4</v>
      </c>
      <c r="G9" s="14">
        <f t="shared" si="1"/>
        <v>184.34</v>
      </c>
      <c r="H9" s="14">
        <f t="shared" si="2"/>
        <v>1659.0600000000002</v>
      </c>
      <c r="I9" s="16">
        <f t="shared" si="3"/>
        <v>-159.06000000000017</v>
      </c>
    </row>
    <row r="10" spans="1:9" x14ac:dyDescent="0.25">
      <c r="A10" s="13">
        <v>9</v>
      </c>
      <c r="B10" s="13" t="s">
        <v>68</v>
      </c>
      <c r="C10" s="14">
        <v>1850</v>
      </c>
      <c r="D10" s="13" t="s">
        <v>73</v>
      </c>
      <c r="E10" s="15">
        <v>919</v>
      </c>
      <c r="F10" s="14">
        <f t="shared" si="0"/>
        <v>2389.4</v>
      </c>
      <c r="G10" s="14">
        <f t="shared" si="1"/>
        <v>238.94</v>
      </c>
      <c r="H10" s="14">
        <f t="shared" si="2"/>
        <v>2150.46</v>
      </c>
      <c r="I10" s="16">
        <f t="shared" si="3"/>
        <v>-300.46000000000004</v>
      </c>
    </row>
    <row r="11" spans="1:9" x14ac:dyDescent="0.25">
      <c r="A11" s="13">
        <v>10</v>
      </c>
      <c r="B11" s="13" t="s">
        <v>69</v>
      </c>
      <c r="C11" s="14">
        <v>1860</v>
      </c>
      <c r="D11" s="13" t="s">
        <v>73</v>
      </c>
      <c r="E11" s="15">
        <v>919</v>
      </c>
      <c r="F11" s="14">
        <f t="shared" si="0"/>
        <v>2389.4</v>
      </c>
      <c r="G11" s="14">
        <f t="shared" si="1"/>
        <v>238.94</v>
      </c>
      <c r="H11" s="14">
        <f t="shared" si="2"/>
        <v>2150.46</v>
      </c>
      <c r="I11" s="16">
        <f t="shared" si="3"/>
        <v>-290.46000000000004</v>
      </c>
    </row>
    <row r="12" spans="1:9" x14ac:dyDescent="0.25">
      <c r="A12" s="13">
        <v>11</v>
      </c>
      <c r="B12" s="13" t="s">
        <v>70</v>
      </c>
      <c r="C12" s="14">
        <v>1850</v>
      </c>
      <c r="D12" s="13" t="s">
        <v>73</v>
      </c>
      <c r="E12" s="15">
        <v>899</v>
      </c>
      <c r="F12" s="14">
        <f t="shared" si="0"/>
        <v>2337.4</v>
      </c>
      <c r="G12" s="14">
        <f t="shared" si="1"/>
        <v>233.74</v>
      </c>
      <c r="H12" s="14">
        <f t="shared" si="2"/>
        <v>2103.66</v>
      </c>
      <c r="I12" s="16">
        <f t="shared" si="3"/>
        <v>-253.65999999999985</v>
      </c>
    </row>
    <row r="13" spans="1:9" x14ac:dyDescent="0.25">
      <c r="A13" s="13">
        <v>12</v>
      </c>
      <c r="B13" s="13" t="s">
        <v>71</v>
      </c>
      <c r="C13" s="14">
        <v>1850</v>
      </c>
      <c r="D13" s="13" t="s">
        <v>73</v>
      </c>
      <c r="E13" s="15">
        <v>919</v>
      </c>
      <c r="F13" s="14">
        <f t="shared" si="0"/>
        <v>2389.4</v>
      </c>
      <c r="G13" s="14">
        <f t="shared" si="1"/>
        <v>238.94</v>
      </c>
      <c r="H13" s="14">
        <f t="shared" si="2"/>
        <v>2150.46</v>
      </c>
      <c r="I13" s="16">
        <f t="shared" si="3"/>
        <v>-300.46000000000004</v>
      </c>
    </row>
    <row r="14" spans="1:9" x14ac:dyDescent="0.25">
      <c r="A14" s="13">
        <v>13</v>
      </c>
      <c r="B14" s="17" t="s">
        <v>72</v>
      </c>
      <c r="C14" s="18">
        <v>1850</v>
      </c>
      <c r="D14" s="13" t="s">
        <v>73</v>
      </c>
      <c r="E14" s="19">
        <v>839</v>
      </c>
      <c r="F14" s="18">
        <f t="shared" si="0"/>
        <v>2181.4</v>
      </c>
      <c r="G14" s="18">
        <f t="shared" si="1"/>
        <v>218.14000000000001</v>
      </c>
      <c r="H14" s="18">
        <f t="shared" si="2"/>
        <v>1963.26</v>
      </c>
      <c r="I14" s="16">
        <f t="shared" si="3"/>
        <v>-113.25999999999999</v>
      </c>
    </row>
    <row r="15" spans="1:9" x14ac:dyDescent="0.25">
      <c r="A15" s="13">
        <v>14</v>
      </c>
      <c r="B15" s="13" t="s">
        <v>74</v>
      </c>
      <c r="C15" s="14">
        <v>2260</v>
      </c>
      <c r="D15" s="13" t="s">
        <v>5</v>
      </c>
      <c r="E15" s="15">
        <v>1129.99</v>
      </c>
      <c r="F15" s="14">
        <f t="shared" si="0"/>
        <v>2937.9740000000002</v>
      </c>
      <c r="G15" s="14">
        <f t="shared" si="1"/>
        <v>293.79740000000004</v>
      </c>
      <c r="H15" s="14">
        <f t="shared" si="2"/>
        <v>2644.1766000000002</v>
      </c>
      <c r="I15" s="16">
        <f t="shared" si="3"/>
        <v>-384.17660000000024</v>
      </c>
    </row>
    <row r="16" spans="1:9" x14ac:dyDescent="0.25">
      <c r="A16" s="13">
        <v>15</v>
      </c>
      <c r="B16" s="13" t="s">
        <v>75</v>
      </c>
      <c r="C16" s="14">
        <v>2240</v>
      </c>
      <c r="D16" s="13" t="s">
        <v>5</v>
      </c>
      <c r="E16" s="15">
        <v>1129.99</v>
      </c>
      <c r="F16" s="14">
        <f t="shared" si="0"/>
        <v>2937.9740000000002</v>
      </c>
      <c r="G16" s="14">
        <f t="shared" si="1"/>
        <v>293.79740000000004</v>
      </c>
      <c r="H16" s="14">
        <f t="shared" si="2"/>
        <v>2644.1766000000002</v>
      </c>
      <c r="I16" s="16">
        <f t="shared" si="3"/>
        <v>-404.17660000000024</v>
      </c>
    </row>
    <row r="17" spans="1:9" x14ac:dyDescent="0.25">
      <c r="A17" s="13">
        <v>16</v>
      </c>
      <c r="B17" s="13" t="s">
        <v>76</v>
      </c>
      <c r="C17" s="14">
        <v>2240</v>
      </c>
      <c r="D17" s="13" t="s">
        <v>5</v>
      </c>
      <c r="E17" s="15">
        <v>1129.99</v>
      </c>
      <c r="F17" s="14">
        <f t="shared" si="0"/>
        <v>2937.9740000000002</v>
      </c>
      <c r="G17" s="14">
        <f t="shared" si="1"/>
        <v>293.79740000000004</v>
      </c>
      <c r="H17" s="14">
        <f t="shared" si="2"/>
        <v>2644.1766000000002</v>
      </c>
      <c r="I17" s="16">
        <f t="shared" si="3"/>
        <v>-404.17660000000024</v>
      </c>
    </row>
    <row r="18" spans="1:9" x14ac:dyDescent="0.25">
      <c r="A18" s="13">
        <v>17</v>
      </c>
      <c r="B18" s="13" t="s">
        <v>77</v>
      </c>
      <c r="C18" s="14">
        <v>2240</v>
      </c>
      <c r="D18" s="13" t="s">
        <v>5</v>
      </c>
      <c r="E18" s="15">
        <v>1129.99</v>
      </c>
      <c r="F18" s="14">
        <f t="shared" si="0"/>
        <v>2937.9740000000002</v>
      </c>
      <c r="G18" s="14">
        <f t="shared" si="1"/>
        <v>293.79740000000004</v>
      </c>
      <c r="H18" s="14">
        <f t="shared" si="2"/>
        <v>2644.1766000000002</v>
      </c>
      <c r="I18" s="16">
        <f t="shared" si="3"/>
        <v>-404.17660000000024</v>
      </c>
    </row>
    <row r="19" spans="1:9" x14ac:dyDescent="0.25">
      <c r="A19" s="13">
        <v>18</v>
      </c>
      <c r="B19" s="13" t="s">
        <v>78</v>
      </c>
      <c r="C19" s="14">
        <v>730</v>
      </c>
      <c r="D19" s="13" t="s">
        <v>63</v>
      </c>
      <c r="E19" s="15">
        <v>477</v>
      </c>
      <c r="F19" s="14">
        <f t="shared" si="0"/>
        <v>1240.2</v>
      </c>
      <c r="G19" s="14">
        <f t="shared" si="1"/>
        <v>124.02000000000001</v>
      </c>
      <c r="H19" s="14">
        <f t="shared" si="2"/>
        <v>1116.18</v>
      </c>
      <c r="I19" s="16">
        <f t="shared" si="3"/>
        <v>-386.18000000000006</v>
      </c>
    </row>
    <row r="20" spans="1:9" x14ac:dyDescent="0.25">
      <c r="A20" s="13">
        <v>19</v>
      </c>
      <c r="B20" s="13" t="s">
        <v>79</v>
      </c>
      <c r="C20" s="14">
        <v>730</v>
      </c>
      <c r="D20" s="13" t="s">
        <v>63</v>
      </c>
      <c r="E20" s="15">
        <v>477</v>
      </c>
      <c r="F20" s="14">
        <f t="shared" si="0"/>
        <v>1240.2</v>
      </c>
      <c r="G20" s="14">
        <f t="shared" si="1"/>
        <v>124.02000000000001</v>
      </c>
      <c r="H20" s="14">
        <f t="shared" si="2"/>
        <v>1116.18</v>
      </c>
      <c r="I20" s="16">
        <f t="shared" si="3"/>
        <v>-386.18000000000006</v>
      </c>
    </row>
    <row r="21" spans="1:9" x14ac:dyDescent="0.25">
      <c r="A21" s="13">
        <v>20</v>
      </c>
      <c r="B21" s="13" t="s">
        <v>81</v>
      </c>
      <c r="C21" s="14">
        <v>0</v>
      </c>
      <c r="D21" s="13" t="s">
        <v>5</v>
      </c>
      <c r="E21" s="15">
        <v>354.99</v>
      </c>
      <c r="F21" s="14">
        <f t="shared" si="0"/>
        <v>922.97400000000005</v>
      </c>
      <c r="G21" s="14">
        <f t="shared" si="1"/>
        <v>92.29740000000001</v>
      </c>
      <c r="H21" s="14">
        <f t="shared" si="2"/>
        <v>830.67660000000001</v>
      </c>
      <c r="I21" s="16">
        <f t="shared" si="3"/>
        <v>-830.67660000000001</v>
      </c>
    </row>
    <row r="22" spans="1:9" x14ac:dyDescent="0.25">
      <c r="A22" s="13">
        <v>21</v>
      </c>
      <c r="B22" s="13" t="s">
        <v>82</v>
      </c>
      <c r="C22" s="14">
        <v>0</v>
      </c>
      <c r="D22" s="13" t="s">
        <v>5</v>
      </c>
      <c r="E22" s="15">
        <v>354.99</v>
      </c>
      <c r="F22" s="14">
        <f t="shared" si="0"/>
        <v>922.97400000000005</v>
      </c>
      <c r="G22" s="14">
        <f t="shared" si="1"/>
        <v>92.29740000000001</v>
      </c>
      <c r="H22" s="14">
        <f t="shared" si="2"/>
        <v>830.67660000000001</v>
      </c>
      <c r="I22" s="16">
        <f t="shared" si="3"/>
        <v>-830.67660000000001</v>
      </c>
    </row>
    <row r="23" spans="1:9" x14ac:dyDescent="0.25">
      <c r="A23" s="13">
        <v>22</v>
      </c>
      <c r="B23" s="13" t="s">
        <v>83</v>
      </c>
      <c r="C23" s="14">
        <v>0</v>
      </c>
      <c r="D23" s="13" t="s">
        <v>84</v>
      </c>
      <c r="E23" s="15">
        <v>417</v>
      </c>
      <c r="F23" s="14">
        <f t="shared" si="0"/>
        <v>1084.2</v>
      </c>
      <c r="G23" s="14">
        <f t="shared" si="1"/>
        <v>108.42</v>
      </c>
      <c r="H23" s="14">
        <f t="shared" si="2"/>
        <v>975.78000000000009</v>
      </c>
      <c r="I23" s="16">
        <f t="shared" si="3"/>
        <v>-975.78000000000009</v>
      </c>
    </row>
    <row r="24" spans="1:9" x14ac:dyDescent="0.25">
      <c r="A24" s="13">
        <v>23</v>
      </c>
      <c r="B24" s="13" t="s">
        <v>85</v>
      </c>
      <c r="C24" s="14">
        <v>0</v>
      </c>
      <c r="D24" s="13" t="s">
        <v>84</v>
      </c>
      <c r="E24" s="15">
        <v>417</v>
      </c>
      <c r="F24" s="14">
        <f t="shared" si="0"/>
        <v>1084.2</v>
      </c>
      <c r="G24" s="14">
        <f t="shared" si="1"/>
        <v>108.42</v>
      </c>
      <c r="H24" s="14">
        <f t="shared" si="2"/>
        <v>975.78000000000009</v>
      </c>
      <c r="I24" s="16">
        <f t="shared" si="3"/>
        <v>-975.78000000000009</v>
      </c>
    </row>
    <row r="25" spans="1:9" x14ac:dyDescent="0.25">
      <c r="A25" s="13">
        <v>24</v>
      </c>
      <c r="B25" s="13" t="s">
        <v>86</v>
      </c>
      <c r="C25" s="14">
        <v>1130</v>
      </c>
      <c r="D25" s="13" t="s">
        <v>63</v>
      </c>
      <c r="E25" s="15">
        <v>477</v>
      </c>
      <c r="F25" s="14">
        <f t="shared" si="0"/>
        <v>1240.2</v>
      </c>
      <c r="G25" s="14">
        <f t="shared" si="1"/>
        <v>124.02000000000001</v>
      </c>
      <c r="H25" s="14">
        <f t="shared" si="2"/>
        <v>1116.18</v>
      </c>
      <c r="I25" s="20">
        <f t="shared" si="3"/>
        <v>13.819999999999936</v>
      </c>
    </row>
    <row r="26" spans="1:9" x14ac:dyDescent="0.25">
      <c r="A26" s="13">
        <v>25</v>
      </c>
      <c r="B26" s="13" t="s">
        <v>87</v>
      </c>
      <c r="C26" s="14">
        <v>1130</v>
      </c>
      <c r="D26" s="13" t="s">
        <v>63</v>
      </c>
      <c r="E26" s="15">
        <v>477</v>
      </c>
      <c r="F26" s="14">
        <f t="shared" si="0"/>
        <v>1240.2</v>
      </c>
      <c r="G26" s="14">
        <f t="shared" si="1"/>
        <v>124.02000000000001</v>
      </c>
      <c r="H26" s="14">
        <f t="shared" si="2"/>
        <v>1116.18</v>
      </c>
      <c r="I26" s="20">
        <f t="shared" si="3"/>
        <v>13.819999999999936</v>
      </c>
    </row>
    <row r="27" spans="1:9" x14ac:dyDescent="0.25">
      <c r="A27" s="13">
        <v>26</v>
      </c>
      <c r="B27" s="13" t="s">
        <v>88</v>
      </c>
      <c r="C27" s="14">
        <v>1230</v>
      </c>
      <c r="D27" s="13" t="s">
        <v>84</v>
      </c>
      <c r="E27" s="15">
        <v>634</v>
      </c>
      <c r="F27" s="14">
        <f t="shared" si="0"/>
        <v>1648.4</v>
      </c>
      <c r="G27" s="14">
        <f t="shared" si="1"/>
        <v>164.84</v>
      </c>
      <c r="H27" s="14">
        <f t="shared" si="2"/>
        <v>1483.5600000000002</v>
      </c>
      <c r="I27" s="21">
        <f t="shared" si="3"/>
        <v>-253.56000000000017</v>
      </c>
    </row>
    <row r="28" spans="1:9" x14ac:dyDescent="0.25">
      <c r="A28" s="13">
        <v>27</v>
      </c>
      <c r="B28" s="13" t="s">
        <v>89</v>
      </c>
      <c r="C28" s="14">
        <v>2050</v>
      </c>
      <c r="D28" s="13" t="s">
        <v>90</v>
      </c>
      <c r="E28" s="15">
        <v>1097</v>
      </c>
      <c r="F28" s="14">
        <f t="shared" si="0"/>
        <v>2852.2000000000003</v>
      </c>
      <c r="G28" s="14">
        <f t="shared" si="1"/>
        <v>285.22000000000003</v>
      </c>
      <c r="H28" s="14">
        <f t="shared" si="2"/>
        <v>2566.9800000000005</v>
      </c>
      <c r="I28" s="21">
        <f t="shared" si="3"/>
        <v>-516.98000000000047</v>
      </c>
    </row>
    <row r="29" spans="1:9" x14ac:dyDescent="0.25">
      <c r="A29" s="13">
        <v>28</v>
      </c>
      <c r="B29" s="13" t="s">
        <v>91</v>
      </c>
      <c r="C29" s="14">
        <v>0</v>
      </c>
      <c r="D29" s="13" t="s">
        <v>63</v>
      </c>
      <c r="E29" s="15">
        <v>1397</v>
      </c>
      <c r="F29" s="14">
        <f t="shared" si="0"/>
        <v>3632.2000000000003</v>
      </c>
      <c r="G29" s="14">
        <f t="shared" si="1"/>
        <v>363.22</v>
      </c>
      <c r="H29" s="14">
        <f t="shared" si="2"/>
        <v>3268.9800000000005</v>
      </c>
      <c r="I29" s="21">
        <f t="shared" si="3"/>
        <v>-3268.9800000000005</v>
      </c>
    </row>
    <row r="30" spans="1:9" x14ac:dyDescent="0.25">
      <c r="A30" s="13">
        <v>29</v>
      </c>
      <c r="B30" s="13" t="s">
        <v>92</v>
      </c>
      <c r="C30" s="14">
        <v>0</v>
      </c>
      <c r="D30" s="13" t="s">
        <v>93</v>
      </c>
      <c r="E30" s="15">
        <v>829</v>
      </c>
      <c r="F30" s="14">
        <f t="shared" si="0"/>
        <v>2155.4</v>
      </c>
      <c r="G30" s="14">
        <f t="shared" si="1"/>
        <v>215.54000000000002</v>
      </c>
      <c r="H30" s="14">
        <f t="shared" si="2"/>
        <v>1939.8600000000001</v>
      </c>
      <c r="I30" s="21">
        <f t="shared" si="3"/>
        <v>-1939.8600000000001</v>
      </c>
    </row>
    <row r="31" spans="1:9" x14ac:dyDescent="0.25">
      <c r="A31" s="22">
        <v>30</v>
      </c>
      <c r="B31" s="13" t="s">
        <v>94</v>
      </c>
      <c r="C31" s="23">
        <v>3090</v>
      </c>
      <c r="D31" s="22" t="s">
        <v>5</v>
      </c>
      <c r="E31" s="24">
        <v>1349.99</v>
      </c>
      <c r="F31" s="23">
        <f t="shared" si="0"/>
        <v>3509.9740000000002</v>
      </c>
      <c r="G31" s="23">
        <f t="shared" si="1"/>
        <v>350.99740000000003</v>
      </c>
      <c r="H31" s="23">
        <f t="shared" si="2"/>
        <v>3158.9766</v>
      </c>
      <c r="I31" s="16">
        <f t="shared" si="3"/>
        <v>-68.976599999999962</v>
      </c>
    </row>
    <row r="32" spans="1:9" x14ac:dyDescent="0.25">
      <c r="A32" s="22">
        <v>31</v>
      </c>
      <c r="B32" s="13" t="s">
        <v>95</v>
      </c>
      <c r="C32" s="23">
        <v>3090</v>
      </c>
      <c r="D32" s="22" t="s">
        <v>5</v>
      </c>
      <c r="E32" s="24">
        <v>1349.99</v>
      </c>
      <c r="F32" s="23">
        <f t="shared" si="0"/>
        <v>3509.9740000000002</v>
      </c>
      <c r="G32" s="23">
        <f t="shared" si="1"/>
        <v>350.99740000000003</v>
      </c>
      <c r="H32" s="23">
        <f t="shared" si="2"/>
        <v>3158.9766</v>
      </c>
      <c r="I32" s="16">
        <f t="shared" si="3"/>
        <v>-68.976599999999962</v>
      </c>
    </row>
    <row r="33" spans="1:9" x14ac:dyDescent="0.25">
      <c r="A33" s="13">
        <v>32</v>
      </c>
      <c r="B33" s="13" t="s">
        <v>96</v>
      </c>
      <c r="C33" s="14">
        <v>3800</v>
      </c>
      <c r="D33" s="22" t="s">
        <v>5</v>
      </c>
      <c r="E33" s="24">
        <v>1739.99</v>
      </c>
      <c r="F33" s="23">
        <f t="shared" si="0"/>
        <v>4523.9740000000002</v>
      </c>
      <c r="G33" s="23">
        <f t="shared" si="1"/>
        <v>452.3974</v>
      </c>
      <c r="H33" s="23">
        <f t="shared" ref="H33:H43" si="4">F33-G33</f>
        <v>4071.5766000000003</v>
      </c>
      <c r="I33" s="16">
        <f t="shared" ref="I33:I43" si="5">C33-H33</f>
        <v>-271.57660000000033</v>
      </c>
    </row>
    <row r="34" spans="1:9" x14ac:dyDescent="0.25">
      <c r="A34" s="22">
        <v>33</v>
      </c>
      <c r="B34" s="13" t="s">
        <v>97</v>
      </c>
      <c r="C34" s="23">
        <v>3740</v>
      </c>
      <c r="D34" s="22" t="s">
        <v>5</v>
      </c>
      <c r="E34" s="24">
        <v>1739.99</v>
      </c>
      <c r="F34" s="23">
        <f t="shared" si="0"/>
        <v>4523.9740000000002</v>
      </c>
      <c r="G34" s="23">
        <f t="shared" si="1"/>
        <v>452.3974</v>
      </c>
      <c r="H34" s="23">
        <f t="shared" si="4"/>
        <v>4071.5766000000003</v>
      </c>
      <c r="I34" s="16">
        <f t="shared" si="5"/>
        <v>-331.57660000000033</v>
      </c>
    </row>
    <row r="35" spans="1:9" x14ac:dyDescent="0.25">
      <c r="A35" s="22">
        <v>34</v>
      </c>
      <c r="B35" s="13" t="s">
        <v>98</v>
      </c>
      <c r="C35" s="23">
        <v>3740</v>
      </c>
      <c r="D35" s="22" t="s">
        <v>5</v>
      </c>
      <c r="E35" s="24">
        <v>1739.99</v>
      </c>
      <c r="F35" s="23">
        <f t="shared" si="0"/>
        <v>4523.9740000000002</v>
      </c>
      <c r="G35" s="23">
        <f t="shared" si="1"/>
        <v>452.3974</v>
      </c>
      <c r="H35" s="23">
        <f t="shared" si="4"/>
        <v>4071.5766000000003</v>
      </c>
      <c r="I35" s="16">
        <f t="shared" si="5"/>
        <v>-331.57660000000033</v>
      </c>
    </row>
    <row r="36" spans="1:9" x14ac:dyDescent="0.25">
      <c r="A36" s="13">
        <v>35</v>
      </c>
      <c r="B36" s="13" t="s">
        <v>99</v>
      </c>
      <c r="C36" s="14">
        <v>3810</v>
      </c>
      <c r="D36" s="22" t="s">
        <v>5</v>
      </c>
      <c r="E36" s="24">
        <v>1739.99</v>
      </c>
      <c r="F36" s="23">
        <f t="shared" si="0"/>
        <v>4523.9740000000002</v>
      </c>
      <c r="G36" s="23">
        <f t="shared" si="1"/>
        <v>452.3974</v>
      </c>
      <c r="H36" s="23">
        <f t="shared" si="4"/>
        <v>4071.5766000000003</v>
      </c>
      <c r="I36" s="16">
        <f t="shared" si="5"/>
        <v>-261.57660000000033</v>
      </c>
    </row>
    <row r="37" spans="1:9" x14ac:dyDescent="0.25">
      <c r="A37" s="22">
        <v>36</v>
      </c>
      <c r="B37" s="13" t="s">
        <v>100</v>
      </c>
      <c r="C37" s="23">
        <v>3770</v>
      </c>
      <c r="D37" s="22" t="s">
        <v>5</v>
      </c>
      <c r="E37" s="24">
        <v>1739.99</v>
      </c>
      <c r="F37" s="23">
        <f t="shared" si="0"/>
        <v>4523.9740000000002</v>
      </c>
      <c r="G37" s="23">
        <f t="shared" si="1"/>
        <v>452.3974</v>
      </c>
      <c r="H37" s="23">
        <f t="shared" si="4"/>
        <v>4071.5766000000003</v>
      </c>
      <c r="I37" s="16">
        <f t="shared" si="5"/>
        <v>-301.57660000000033</v>
      </c>
    </row>
    <row r="38" spans="1:9" x14ac:dyDescent="0.25">
      <c r="A38" s="22">
        <v>37</v>
      </c>
      <c r="B38" s="13" t="s">
        <v>101</v>
      </c>
      <c r="C38" s="23">
        <v>0</v>
      </c>
      <c r="D38" s="22" t="s">
        <v>63</v>
      </c>
      <c r="E38" s="24">
        <v>1497</v>
      </c>
      <c r="F38" s="23">
        <f t="shared" si="0"/>
        <v>3892.2000000000003</v>
      </c>
      <c r="G38" s="23">
        <f t="shared" si="1"/>
        <v>389.22</v>
      </c>
      <c r="H38" s="23">
        <f t="shared" si="4"/>
        <v>3502.9800000000005</v>
      </c>
      <c r="I38" s="16">
        <f t="shared" si="5"/>
        <v>-3502.9800000000005</v>
      </c>
    </row>
    <row r="39" spans="1:9" x14ac:dyDescent="0.25">
      <c r="A39" s="13">
        <v>38</v>
      </c>
      <c r="B39" s="13" t="s">
        <v>102</v>
      </c>
      <c r="C39" s="14">
        <v>3800</v>
      </c>
      <c r="D39" s="22" t="s">
        <v>63</v>
      </c>
      <c r="E39" s="24">
        <v>1897</v>
      </c>
      <c r="F39" s="23">
        <f t="shared" si="0"/>
        <v>4932.2</v>
      </c>
      <c r="G39" s="23">
        <f t="shared" si="1"/>
        <v>493.21999999999997</v>
      </c>
      <c r="H39" s="23">
        <f t="shared" si="4"/>
        <v>4438.9799999999996</v>
      </c>
      <c r="I39" s="16">
        <f t="shared" si="5"/>
        <v>-638.97999999999956</v>
      </c>
    </row>
    <row r="40" spans="1:9" x14ac:dyDescent="0.25">
      <c r="A40" s="22">
        <v>39</v>
      </c>
      <c r="B40" s="13" t="s">
        <v>103</v>
      </c>
      <c r="C40" s="23">
        <v>0</v>
      </c>
      <c r="D40" s="22" t="s">
        <v>63</v>
      </c>
      <c r="E40" s="24">
        <v>2297</v>
      </c>
      <c r="F40" s="23">
        <f t="shared" si="0"/>
        <v>5972.2</v>
      </c>
      <c r="G40" s="23">
        <f t="shared" si="1"/>
        <v>597.22</v>
      </c>
      <c r="H40" s="23">
        <f t="shared" si="4"/>
        <v>5374.98</v>
      </c>
      <c r="I40" s="16">
        <f t="shared" si="5"/>
        <v>-5374.98</v>
      </c>
    </row>
    <row r="41" spans="1:9" x14ac:dyDescent="0.25">
      <c r="A41" s="22">
        <v>40</v>
      </c>
      <c r="B41" s="13" t="s">
        <v>105</v>
      </c>
      <c r="C41" s="23">
        <v>5080</v>
      </c>
      <c r="D41" s="22" t="s">
        <v>104</v>
      </c>
      <c r="E41" s="24">
        <v>2087.15</v>
      </c>
      <c r="F41" s="23">
        <f t="shared" si="0"/>
        <v>5426.59</v>
      </c>
      <c r="G41" s="23">
        <f t="shared" si="1"/>
        <v>542.65899999999999</v>
      </c>
      <c r="H41" s="23">
        <f t="shared" si="4"/>
        <v>4883.9310000000005</v>
      </c>
      <c r="I41" s="25">
        <f t="shared" si="5"/>
        <v>196.06899999999951</v>
      </c>
    </row>
    <row r="42" spans="1:9" x14ac:dyDescent="0.25">
      <c r="A42" s="13">
        <v>41</v>
      </c>
      <c r="B42" s="13" t="s">
        <v>106</v>
      </c>
      <c r="C42" s="14">
        <v>0</v>
      </c>
      <c r="D42" s="22" t="s">
        <v>63</v>
      </c>
      <c r="E42" s="24">
        <v>2597</v>
      </c>
      <c r="F42" s="23">
        <f t="shared" si="0"/>
        <v>6752.2</v>
      </c>
      <c r="G42" s="23">
        <f t="shared" si="1"/>
        <v>675.22</v>
      </c>
      <c r="H42" s="23">
        <f t="shared" si="4"/>
        <v>6076.98</v>
      </c>
      <c r="I42" s="16">
        <f t="shared" si="5"/>
        <v>-6076.98</v>
      </c>
    </row>
    <row r="43" spans="1:9" x14ac:dyDescent="0.25">
      <c r="A43" s="22">
        <v>42</v>
      </c>
      <c r="B43" s="13" t="s">
        <v>107</v>
      </c>
      <c r="C43" s="14">
        <v>6900</v>
      </c>
      <c r="D43" s="22" t="s">
        <v>63</v>
      </c>
      <c r="E43" s="24">
        <v>2997</v>
      </c>
      <c r="F43" s="23">
        <f t="shared" si="0"/>
        <v>7792.2</v>
      </c>
      <c r="G43" s="23">
        <f t="shared" si="1"/>
        <v>779.22</v>
      </c>
      <c r="H43" s="23">
        <f t="shared" si="4"/>
        <v>7012.98</v>
      </c>
      <c r="I43" s="16">
        <f t="shared" si="5"/>
        <v>-112.97999999999956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Macbook</vt:lpstr>
      <vt:lpstr>Ipad Watch 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2026-03-11T14:57:43Z</dcterms:created>
  <dcterms:modified xsi:type="dcterms:W3CDTF">2026-03-12T11:36:14Z</dcterms:modified>
</cp:coreProperties>
</file>