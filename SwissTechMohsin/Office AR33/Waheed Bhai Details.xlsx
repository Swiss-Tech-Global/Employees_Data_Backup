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092EF36B-268B-45DC-BD42-0091B383F23B}" xr6:coauthVersionLast="47" xr6:coauthVersionMax="47" xr10:uidLastSave="{00000000-0000-0000-0000-000000000000}"/>
  <bookViews>
    <workbookView xWindow="-120" yWindow="-120" windowWidth="20730" windowHeight="11040" xr2:uid="{E3A03032-3AC0-4E33-81B7-CB007E80C755}"/>
  </bookViews>
  <sheets>
    <sheet name="Waheed Bha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1" i="1" l="1"/>
</calcChain>
</file>

<file path=xl/sharedStrings.xml><?xml version="1.0" encoding="utf-8"?>
<sst xmlns="http://schemas.openxmlformats.org/spreadsheetml/2006/main" count="64" uniqueCount="58">
  <si>
    <r>
      <rPr>
        <b/>
        <sz val="8.5"/>
        <color rgb="FFFFFFFF"/>
        <rFont val="Times New Roman"/>
        <family val="1"/>
      </rPr>
      <t xml:space="preserve">تاريخ القيد
</t>
    </r>
    <r>
      <rPr>
        <b/>
        <sz val="8.5"/>
        <color rgb="FFFFFFFF"/>
        <rFont val="Arial"/>
        <family val="2"/>
      </rPr>
      <t>Posting Date</t>
    </r>
  </si>
  <si>
    <r>
      <rPr>
        <b/>
        <sz val="8.5"/>
        <color rgb="FFFFFFFF"/>
        <rFont val="Times New Roman"/>
        <family val="1"/>
      </rPr>
      <t xml:space="preserve">تاريخ المعاملة
</t>
    </r>
    <r>
      <rPr>
        <b/>
        <sz val="8.5"/>
        <color rgb="FFFFFFFF"/>
        <rFont val="Arial"/>
        <family val="2"/>
      </rPr>
      <t>Transaction Date</t>
    </r>
  </si>
  <si>
    <r>
      <rPr>
        <b/>
        <sz val="8.5"/>
        <color rgb="FFFFFFFF"/>
        <rFont val="Times New Roman"/>
        <family val="1"/>
      </rPr>
      <t xml:space="preserve">رقم المرجع
</t>
    </r>
    <r>
      <rPr>
        <b/>
        <sz val="8.5"/>
        <color rgb="FFFFFFFF"/>
        <rFont val="Arial"/>
        <family val="2"/>
      </rPr>
      <t>.Ref. No</t>
    </r>
  </si>
  <si>
    <r>
      <rPr>
        <b/>
        <sz val="8.5"/>
        <color rgb="FFFFFFFF"/>
        <rFont val="Times New Roman"/>
        <family val="1"/>
      </rPr>
      <t xml:space="preserve">البيان
</t>
    </r>
    <r>
      <rPr>
        <b/>
        <sz val="8.5"/>
        <color rgb="FFFFFFFF"/>
        <rFont val="Arial"/>
        <family val="2"/>
      </rPr>
      <t>Description</t>
    </r>
  </si>
  <si>
    <r>
      <rPr>
        <b/>
        <sz val="8.5"/>
        <color rgb="FFFFFFFF"/>
        <rFont val="Times New Roman"/>
        <family val="1"/>
      </rPr>
      <t xml:space="preserve">(القيمة )درهم
</t>
    </r>
    <r>
      <rPr>
        <b/>
        <sz val="8.5"/>
        <color rgb="FFFFFFFF"/>
        <rFont val="Arial"/>
        <family val="2"/>
      </rPr>
      <t>Amount (AED)</t>
    </r>
  </si>
  <si>
    <r>
      <rPr>
        <sz val="8"/>
        <rFont val="Tahoma"/>
        <family val="2"/>
      </rPr>
      <t>DUBAI DUTY FREE, AE</t>
    </r>
  </si>
  <si>
    <r>
      <rPr>
        <sz val="8"/>
        <rFont val="Tahoma"/>
        <family val="2"/>
      </rPr>
      <t>SP JACOBS DIGITAL(NZD 19648.00 ), NZ</t>
    </r>
  </si>
  <si>
    <r>
      <rPr>
        <sz val="8"/>
        <rFont val="Tahoma"/>
        <family val="2"/>
      </rPr>
      <t>Migros Zurich Airport(CHF 18.40 ), CH</t>
    </r>
  </si>
  <si>
    <r>
      <rPr>
        <sz val="8"/>
        <rFont val="Tahoma"/>
        <family val="2"/>
      </rPr>
      <t>Migros M Matten(CHF 84.60 ), CH</t>
    </r>
  </si>
  <si>
    <r>
      <rPr>
        <sz val="8"/>
        <rFont val="Tahoma"/>
        <family val="2"/>
      </rPr>
      <t>Migros M Matten(CHF 2.00 ), CH</t>
    </r>
  </si>
  <si>
    <r>
      <rPr>
        <sz val="8"/>
        <rFont val="Tahoma"/>
        <family val="2"/>
      </rPr>
      <t>Migros M Matten(CHF 4.00 ), CH</t>
    </r>
  </si>
  <si>
    <r>
      <rPr>
        <sz val="8"/>
        <rFont val="Tahoma"/>
        <family val="2"/>
      </rPr>
      <t>Derby Hotel Bahnhof AG(CHF 322.40 ), CH</t>
    </r>
  </si>
  <si>
    <r>
      <rPr>
        <sz val="8"/>
        <rFont val="Tahoma"/>
        <family val="2"/>
      </rPr>
      <t>Autoverlad BLS Kandersteg(CHF 28.00 ), CH</t>
    </r>
  </si>
  <si>
    <r>
      <rPr>
        <sz val="8"/>
        <rFont val="Tahoma"/>
        <family val="2"/>
      </rPr>
      <t>HOTEL WALLISERHOF TAES(CHF 230.00 ), CH</t>
    </r>
  </si>
  <si>
    <r>
      <rPr>
        <sz val="8"/>
        <rFont val="Tahoma"/>
        <family val="2"/>
      </rPr>
      <t>HOTEL WALLISERHOF TAES(CHF 12.00 ), CH</t>
    </r>
  </si>
  <si>
    <r>
      <rPr>
        <sz val="8"/>
        <rFont val="Tahoma"/>
        <family val="2"/>
      </rPr>
      <t>CHARISMA TAESCH(CHF 34.90 ), CH</t>
    </r>
  </si>
  <si>
    <r>
      <rPr>
        <sz val="8"/>
        <rFont val="Tahoma"/>
        <family val="2"/>
      </rPr>
      <t>MGB Tasch(CHF 43.00 ), CH</t>
    </r>
  </si>
  <si>
    <r>
      <rPr>
        <sz val="8"/>
        <rFont val="Tahoma"/>
        <family val="2"/>
      </rPr>
      <t>Migros MP Taesch(CHF 8.25 ), CH</t>
    </r>
  </si>
  <si>
    <r>
      <rPr>
        <sz val="8"/>
        <rFont val="Tahoma"/>
        <family val="2"/>
      </rPr>
      <t>Autoverlad BLS Goppenstei(CHF 31.00 ), CH</t>
    </r>
  </si>
  <si>
    <r>
      <rPr>
        <sz val="8"/>
        <rFont val="Tahoma"/>
        <family val="2"/>
      </rPr>
      <t>Restaurant&amp;TakeAway(CHF 68.00 ), CH</t>
    </r>
  </si>
  <si>
    <r>
      <rPr>
        <sz val="8"/>
        <rFont val="Tahoma"/>
        <family val="2"/>
      </rPr>
      <t>MS* HOTELOBERLAND(CHF 27.50 ), CH</t>
    </r>
  </si>
  <si>
    <r>
      <rPr>
        <sz val="8"/>
        <rFont val="Tahoma"/>
        <family val="2"/>
      </rPr>
      <t>SUMUP  *TAXI BOLERO(CHF 26.90 ), CH</t>
    </r>
  </si>
  <si>
    <r>
      <rPr>
        <sz val="8"/>
        <rFont val="Tahoma"/>
        <family val="2"/>
      </rPr>
      <t>SUMUP  *FOOD POINT 02 GMB(CHF 37.00 ), CH</t>
    </r>
  </si>
  <si>
    <r>
      <rPr>
        <sz val="8"/>
        <rFont val="Tahoma"/>
        <family val="2"/>
      </rPr>
      <t>SUMUP  *FOOD POINT 02 GMB(CHF 3.00 ), CH</t>
    </r>
  </si>
  <si>
    <r>
      <rPr>
        <sz val="8"/>
        <rFont val="Tahoma"/>
        <family val="2"/>
      </rPr>
      <t>Hotel at Booking.com(CHF 230.00 ), NL</t>
    </r>
  </si>
  <si>
    <r>
      <rPr>
        <sz val="8"/>
        <rFont val="Tahoma"/>
        <family val="2"/>
      </rPr>
      <t>Laederach Schweiz AG(CHF 18.80 ), CH</t>
    </r>
  </si>
  <si>
    <r>
      <rPr>
        <sz val="8"/>
        <rFont val="Tahoma"/>
        <family val="2"/>
      </rPr>
      <t>Lindt  Spruengli Schweiz(CHF 5.95 ), CH</t>
    </r>
  </si>
  <si>
    <r>
      <rPr>
        <sz val="8"/>
        <rFont val="Tahoma"/>
        <family val="2"/>
      </rPr>
      <t>AGODA.COM MOVENPICK(AUD 252.00 ), GB</t>
    </r>
  </si>
  <si>
    <r>
      <rPr>
        <sz val="8"/>
        <rFont val="Tahoma"/>
        <family val="2"/>
      </rPr>
      <t>Coop-4014 Lauterbrunnen(CHF 8.05 ), CH</t>
    </r>
  </si>
  <si>
    <r>
      <rPr>
        <sz val="8"/>
        <rFont val="Tahoma"/>
        <family val="2"/>
      </rPr>
      <t>Coop-4014 Lauterbrunnen(CHF 2.50 ), CH</t>
    </r>
  </si>
  <si>
    <r>
      <rPr>
        <sz val="8"/>
        <rFont val="Tahoma"/>
        <family val="2"/>
      </rPr>
      <t>Migros M Matten(CHF 29.90 ), CH</t>
    </r>
  </si>
  <si>
    <r>
      <rPr>
        <sz val="8"/>
        <rFont val="Tahoma"/>
        <family val="2"/>
      </rPr>
      <t>Raststatte Knonaueramt N(CHF 101.77 ), CH</t>
    </r>
  </si>
  <si>
    <r>
      <rPr>
        <sz val="8"/>
        <rFont val="Tahoma"/>
        <family val="2"/>
      </rPr>
      <t>Lindt ZRH(CHF 39.50 ), CH</t>
    </r>
  </si>
  <si>
    <r>
      <rPr>
        <sz val="8"/>
        <rFont val="Tahoma"/>
        <family val="2"/>
      </rPr>
      <t>HUDSON Shop Dock E(CHF 3.00 ), CH</t>
    </r>
  </si>
  <si>
    <r>
      <rPr>
        <sz val="8"/>
        <rFont val="Tahoma"/>
        <family val="2"/>
      </rPr>
      <t>SUMUP  *FOOD POINT 02 GMB(CHF 15.00 ), CH</t>
    </r>
  </si>
  <si>
    <r>
      <rPr>
        <sz val="8"/>
        <rFont val="Tahoma"/>
        <family val="2"/>
      </rPr>
      <t>SUMUP  *FLAVOURS SIMONA B(CHF 20.00 ), CH</t>
    </r>
  </si>
  <si>
    <r>
      <rPr>
        <sz val="8"/>
        <rFont val="Tahoma"/>
        <family val="2"/>
      </rPr>
      <t>BURGER KING(CHF 6.70 ), CH</t>
    </r>
  </si>
  <si>
    <r>
      <rPr>
        <sz val="8"/>
        <rFont val="Tahoma"/>
        <family val="2"/>
      </rPr>
      <t>Hotel at Booking.com(CHF 160.20 ), NL</t>
    </r>
  </si>
  <si>
    <r>
      <rPr>
        <sz val="8"/>
        <rFont val="Tahoma"/>
        <family val="2"/>
      </rPr>
      <t>T CHOITHRAM AND SONS LL, AE</t>
    </r>
  </si>
  <si>
    <r>
      <rPr>
        <sz val="8"/>
        <rFont val="Tahoma"/>
        <family val="2"/>
      </rPr>
      <t>Manna Chai Restaurant L, AE</t>
    </r>
  </si>
  <si>
    <r>
      <rPr>
        <sz val="8"/>
        <rFont val="Tahoma"/>
        <family val="2"/>
      </rPr>
      <t>AFGHAN KABAB VILLAGE RE, AE</t>
    </r>
  </si>
  <si>
    <r>
      <rPr>
        <sz val="8"/>
        <rFont val="Tahoma"/>
        <family val="2"/>
      </rPr>
      <t>Aldi Suisse 87(CHF 21.92 ), CH</t>
    </r>
  </si>
  <si>
    <r>
      <rPr>
        <sz val="8"/>
        <rFont val="Tahoma"/>
        <family val="2"/>
      </rPr>
      <t>Movenpick Hotel Airport(CHF 7.00 ), CH</t>
    </r>
  </si>
  <si>
    <r>
      <rPr>
        <sz val="8"/>
        <rFont val="Tahoma"/>
        <family val="2"/>
      </rPr>
      <t>DAY TO DAY HYPERMKT BR, AE</t>
    </r>
  </si>
  <si>
    <r>
      <rPr>
        <sz val="8"/>
        <rFont val="Tahoma"/>
        <family val="2"/>
      </rPr>
      <t>UBER  * EATS PENDING(CHF 41.50 ), NL</t>
    </r>
  </si>
  <si>
    <r>
      <rPr>
        <sz val="8"/>
        <rFont val="Tahoma"/>
        <family val="2"/>
      </rPr>
      <t>DUBAI TAXI, AE</t>
    </r>
  </si>
  <si>
    <r>
      <rPr>
        <sz val="8"/>
        <rFont val="Tahoma"/>
        <family val="2"/>
      </rPr>
      <t>AVIS RENT-A-CAR(CHF 673.58 ), CH</t>
    </r>
  </si>
  <si>
    <r>
      <rPr>
        <sz val="8"/>
        <rFont val="Tahoma"/>
        <family val="2"/>
      </rPr>
      <t>MODERN PHARMACY DUBAI, AE</t>
    </r>
  </si>
  <si>
    <r>
      <rPr>
        <sz val="8"/>
        <rFont val="Tahoma"/>
        <family val="2"/>
      </rPr>
      <t>HWH CAFE, AE</t>
    </r>
  </si>
  <si>
    <r>
      <rPr>
        <sz val="8"/>
        <rFont val="Tahoma"/>
        <family val="2"/>
      </rPr>
      <t>BUTTER BREAD BAKERY LLC, AE</t>
    </r>
  </si>
  <si>
    <r>
      <rPr>
        <sz val="8"/>
        <rFont val="Tahoma"/>
        <family val="2"/>
      </rPr>
      <t>CARREFOUR AL GHURAIR, AE</t>
    </r>
  </si>
  <si>
    <r>
      <rPr>
        <sz val="8"/>
        <rFont val="Tahoma"/>
        <family val="2"/>
      </rPr>
      <t>LRIL, AE</t>
    </r>
  </si>
  <si>
    <r>
      <rPr>
        <sz val="8"/>
        <rFont val="Tahoma"/>
        <family val="2"/>
      </rPr>
      <t>ABAQ AL MISK PERFUMES FIL, AE</t>
    </r>
  </si>
  <si>
    <r>
      <rPr>
        <sz val="8"/>
        <rFont val="Tahoma"/>
        <family val="2"/>
      </rPr>
      <t>ARABIA TAXI, AE</t>
    </r>
  </si>
  <si>
    <r>
      <rPr>
        <sz val="8"/>
        <rFont val="Tahoma"/>
        <family val="2"/>
      </rPr>
      <t>EMIRATES AIRPORT SERVICES, AE</t>
    </r>
  </si>
  <si>
    <r>
      <rPr>
        <sz val="8"/>
        <rFont val="Tahoma"/>
        <family val="2"/>
      </rPr>
      <t>DUBAI DUTY FREE C2 DUT, AE</t>
    </r>
  </si>
  <si>
    <r>
      <rPr>
        <sz val="8"/>
        <rFont val="Tahoma"/>
        <family val="2"/>
      </rPr>
      <t>R AND B, AE</t>
    </r>
  </si>
  <si>
    <r>
      <rPr>
        <sz val="8"/>
        <rFont val="Tahoma"/>
        <family val="2"/>
      </rPr>
      <t>ALBAIK, AE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</si>
</sst>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00000000"/>
    <numFmt numFmtId="166" formatCode="_-[$AED]\ * #,##0.00_-;\-[$AED]\ * #,##0.00_-;_-[$AED]\ * &quot;-&quot;??_-;_-@_-"/>
  </numFmts>
  <fonts count="6" x14ac:knownFonts="1">
    <font>
      <sz val="11"/>
      <color theme="1"/>
      <name val="Aptos Narrow"/>
      <family val="2"/>
      <scheme val="minor"/>
    </font>
    <font>
      <b/>
      <sz val="8.5"/>
      <color rgb="FFFFFFFF"/>
      <name val="Times New Roman"/>
      <family val="1"/>
    </font>
    <font>
      <b/>
      <sz val="8.5"/>
      <color rgb="FFFFFFFF"/>
      <name val="Arial"/>
      <family val="2"/>
    </font>
    <font>
      <sz val="8"/>
      <color rgb="FF000000"/>
      <name val="Tahoma"/>
      <family val="2"/>
    </font>
    <font>
      <sz val="8"/>
      <name val="Tahoma"/>
      <family val="2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1683D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3" fillId="4" borderId="1" xfId="0" applyNumberFormat="1" applyFont="1" applyFill="1" applyBorder="1" applyAlignment="1">
      <alignment horizontal="center" shrinkToFit="1"/>
    </xf>
    <xf numFmtId="1" fontId="3" fillId="4" borderId="1" xfId="0" applyNumberFormat="1" applyFont="1" applyFill="1" applyBorder="1" applyAlignment="1">
      <alignment horizontal="center" shrinkToFit="1"/>
    </xf>
    <xf numFmtId="0" fontId="4" fillId="4" borderId="1" xfId="0" applyFont="1" applyFill="1" applyBorder="1" applyAlignment="1">
      <alignment horizontal="center" wrapText="1"/>
    </xf>
    <xf numFmtId="2" fontId="3" fillId="4" borderId="1" xfId="0" applyNumberFormat="1" applyFont="1" applyFill="1" applyBorder="1" applyAlignment="1">
      <alignment horizontal="center" shrinkToFit="1"/>
    </xf>
    <xf numFmtId="4" fontId="3" fillId="4" borderId="1" xfId="0" applyNumberFormat="1" applyFont="1" applyFill="1" applyBorder="1" applyAlignment="1">
      <alignment horizontal="center" shrinkToFit="1"/>
    </xf>
    <xf numFmtId="165" fontId="3" fillId="4" borderId="1" xfId="0" applyNumberFormat="1" applyFont="1" applyFill="1" applyBorder="1" applyAlignment="1">
      <alignment horizontal="center" shrinkToFit="1"/>
    </xf>
    <xf numFmtId="0" fontId="0" fillId="2" borderId="1" xfId="0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 wrapText="1" readingOrder="2"/>
    </xf>
    <xf numFmtId="166" fontId="5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6595-1B78-4378-ADC2-208C3F2980C3}">
  <dimension ref="A1:E61"/>
  <sheetViews>
    <sheetView tabSelected="1" topLeftCell="A54" workbookViewId="0">
      <selection activeCell="G61" sqref="G61"/>
    </sheetView>
  </sheetViews>
  <sheetFormatPr defaultRowHeight="15" x14ac:dyDescent="0.25"/>
  <cols>
    <col min="1" max="1" width="28" customWidth="1"/>
    <col min="2" max="2" width="33" customWidth="1"/>
    <col min="4" max="4" width="53" customWidth="1"/>
    <col min="5" max="5" width="23.7109375" customWidth="1"/>
  </cols>
  <sheetData>
    <row r="1" spans="1:5" ht="21.75" customHeight="1" x14ac:dyDescent="0.25">
      <c r="A1" s="7" t="s">
        <v>0</v>
      </c>
      <c r="B1" s="7" t="s">
        <v>1</v>
      </c>
      <c r="C1" s="8" t="s">
        <v>2</v>
      </c>
      <c r="D1" s="7" t="s">
        <v>3</v>
      </c>
      <c r="E1" s="7" t="s">
        <v>4</v>
      </c>
    </row>
    <row r="2" spans="1:5" x14ac:dyDescent="0.25">
      <c r="A2" s="1">
        <v>46121</v>
      </c>
      <c r="B2" s="1">
        <v>46120</v>
      </c>
      <c r="C2" s="2">
        <v>30660285</v>
      </c>
      <c r="D2" s="3" t="s">
        <v>5</v>
      </c>
      <c r="E2" s="4">
        <v>22</v>
      </c>
    </row>
    <row r="3" spans="1:5" x14ac:dyDescent="0.25">
      <c r="A3" s="1">
        <v>46121</v>
      </c>
      <c r="B3" s="1">
        <v>46120</v>
      </c>
      <c r="C3" s="2">
        <v>30740194</v>
      </c>
      <c r="D3" s="3" t="s">
        <v>5</v>
      </c>
      <c r="E3" s="4">
        <v>41.5</v>
      </c>
    </row>
    <row r="4" spans="1:5" x14ac:dyDescent="0.25">
      <c r="A4" s="1">
        <v>46133</v>
      </c>
      <c r="B4" s="1">
        <v>46132</v>
      </c>
      <c r="C4" s="2">
        <v>54060098</v>
      </c>
      <c r="D4" s="3" t="s">
        <v>6</v>
      </c>
      <c r="E4" s="5">
        <v>44396.69</v>
      </c>
    </row>
    <row r="5" spans="1:5" x14ac:dyDescent="0.25">
      <c r="A5" s="1">
        <v>46122</v>
      </c>
      <c r="B5" s="1">
        <v>46120</v>
      </c>
      <c r="C5" s="2">
        <v>31149036</v>
      </c>
      <c r="D5" s="3" t="s">
        <v>7</v>
      </c>
      <c r="E5" s="4">
        <v>88.02</v>
      </c>
    </row>
    <row r="6" spans="1:5" x14ac:dyDescent="0.25">
      <c r="A6" s="1">
        <v>46122</v>
      </c>
      <c r="B6" s="1">
        <v>46120</v>
      </c>
      <c r="C6" s="2">
        <v>48630531</v>
      </c>
      <c r="D6" s="3" t="s">
        <v>8</v>
      </c>
      <c r="E6" s="4">
        <v>404.68</v>
      </c>
    </row>
    <row r="7" spans="1:5" x14ac:dyDescent="0.25">
      <c r="A7" s="1">
        <v>46122</v>
      </c>
      <c r="B7" s="1">
        <v>46120</v>
      </c>
      <c r="C7" s="2">
        <v>48630549</v>
      </c>
      <c r="D7" s="3" t="s">
        <v>9</v>
      </c>
      <c r="E7" s="4">
        <v>9.57</v>
      </c>
    </row>
    <row r="8" spans="1:5" x14ac:dyDescent="0.25">
      <c r="A8" s="1">
        <v>46122</v>
      </c>
      <c r="B8" s="1">
        <v>46120</v>
      </c>
      <c r="C8" s="2">
        <v>48640639</v>
      </c>
      <c r="D8" s="3" t="s">
        <v>10</v>
      </c>
      <c r="E8" s="4">
        <v>19.13</v>
      </c>
    </row>
    <row r="9" spans="1:5" x14ac:dyDescent="0.25">
      <c r="A9" s="1">
        <v>46122</v>
      </c>
      <c r="B9" s="1">
        <v>46120</v>
      </c>
      <c r="C9" s="2">
        <v>53118539</v>
      </c>
      <c r="D9" s="3" t="s">
        <v>11</v>
      </c>
      <c r="E9" s="5">
        <v>1542.18</v>
      </c>
    </row>
    <row r="10" spans="1:5" x14ac:dyDescent="0.25">
      <c r="A10" s="1">
        <v>46123</v>
      </c>
      <c r="B10" s="1">
        <v>46121</v>
      </c>
      <c r="C10" s="2">
        <v>92044307</v>
      </c>
      <c r="D10" s="3" t="s">
        <v>12</v>
      </c>
      <c r="E10" s="4">
        <v>135.61000000000001</v>
      </c>
    </row>
    <row r="11" spans="1:5" x14ac:dyDescent="0.25">
      <c r="A11" s="1">
        <v>46123</v>
      </c>
      <c r="B11" s="1">
        <v>46121</v>
      </c>
      <c r="C11" s="2">
        <v>25050967</v>
      </c>
      <c r="D11" s="3" t="s">
        <v>13</v>
      </c>
      <c r="E11" s="5">
        <v>1113.9000000000001</v>
      </c>
    </row>
    <row r="12" spans="1:5" x14ac:dyDescent="0.25">
      <c r="A12" s="1">
        <v>46123</v>
      </c>
      <c r="B12" s="1">
        <v>46121</v>
      </c>
      <c r="C12" s="2">
        <v>25050975</v>
      </c>
      <c r="D12" s="3" t="s">
        <v>14</v>
      </c>
      <c r="E12" s="4">
        <v>58.11</v>
      </c>
    </row>
    <row r="13" spans="1:5" x14ac:dyDescent="0.25">
      <c r="A13" s="1">
        <v>46123</v>
      </c>
      <c r="B13" s="1">
        <v>46121</v>
      </c>
      <c r="C13" s="2">
        <v>26598311</v>
      </c>
      <c r="D13" s="3" t="s">
        <v>15</v>
      </c>
      <c r="E13" s="4">
        <v>169.02</v>
      </c>
    </row>
    <row r="14" spans="1:5" x14ac:dyDescent="0.25">
      <c r="A14" s="1">
        <v>46125</v>
      </c>
      <c r="B14" s="1">
        <v>46122</v>
      </c>
      <c r="C14" s="2">
        <v>44848363</v>
      </c>
      <c r="D14" s="3" t="s">
        <v>16</v>
      </c>
      <c r="E14" s="4">
        <v>207.99</v>
      </c>
    </row>
    <row r="15" spans="1:5" x14ac:dyDescent="0.25">
      <c r="A15" s="1">
        <v>46125</v>
      </c>
      <c r="B15" s="1">
        <v>46122</v>
      </c>
      <c r="C15" s="2">
        <v>64772733</v>
      </c>
      <c r="D15" s="3" t="s">
        <v>17</v>
      </c>
      <c r="E15" s="4">
        <v>39.9</v>
      </c>
    </row>
    <row r="16" spans="1:5" x14ac:dyDescent="0.25">
      <c r="A16" s="1">
        <v>46125</v>
      </c>
      <c r="B16" s="1">
        <v>46122</v>
      </c>
      <c r="C16" s="2">
        <v>70173678</v>
      </c>
      <c r="D16" s="3" t="s">
        <v>18</v>
      </c>
      <c r="E16" s="4">
        <v>149.94</v>
      </c>
    </row>
    <row r="17" spans="1:5" x14ac:dyDescent="0.25">
      <c r="A17" s="1">
        <v>46125</v>
      </c>
      <c r="B17" s="1">
        <v>46122</v>
      </c>
      <c r="C17" s="2">
        <v>76262608</v>
      </c>
      <c r="D17" s="3" t="s">
        <v>19</v>
      </c>
      <c r="E17" s="4">
        <v>328.91</v>
      </c>
    </row>
    <row r="18" spans="1:5" x14ac:dyDescent="0.25">
      <c r="A18" s="1">
        <v>46125</v>
      </c>
      <c r="B18" s="1">
        <v>46122</v>
      </c>
      <c r="C18" s="2">
        <v>30346997</v>
      </c>
      <c r="D18" s="3" t="s">
        <v>20</v>
      </c>
      <c r="E18" s="4">
        <v>133.02000000000001</v>
      </c>
    </row>
    <row r="19" spans="1:5" x14ac:dyDescent="0.25">
      <c r="A19" s="1">
        <v>46125</v>
      </c>
      <c r="B19" s="1">
        <v>46122</v>
      </c>
      <c r="C19" s="2">
        <v>63325743</v>
      </c>
      <c r="D19" s="3" t="s">
        <v>21</v>
      </c>
      <c r="E19" s="4">
        <v>130.11000000000001</v>
      </c>
    </row>
    <row r="20" spans="1:5" x14ac:dyDescent="0.25">
      <c r="A20" s="1">
        <v>46125</v>
      </c>
      <c r="B20" s="1">
        <v>46122</v>
      </c>
      <c r="C20" s="2">
        <v>69586157</v>
      </c>
      <c r="D20" s="3" t="s">
        <v>22</v>
      </c>
      <c r="E20" s="4">
        <v>178.97</v>
      </c>
    </row>
    <row r="21" spans="1:5" x14ac:dyDescent="0.25">
      <c r="A21" s="1">
        <v>46125</v>
      </c>
      <c r="B21" s="1">
        <v>46122</v>
      </c>
      <c r="C21" s="2">
        <v>69586165</v>
      </c>
      <c r="D21" s="3" t="s">
        <v>23</v>
      </c>
      <c r="E21" s="4">
        <v>14.51</v>
      </c>
    </row>
    <row r="22" spans="1:5" x14ac:dyDescent="0.25">
      <c r="A22" s="1">
        <v>46125</v>
      </c>
      <c r="B22" s="1">
        <v>46122</v>
      </c>
      <c r="C22" s="6">
        <v>5958096</v>
      </c>
      <c r="D22" s="3" t="s">
        <v>24</v>
      </c>
      <c r="E22" s="5">
        <v>1112.49</v>
      </c>
    </row>
    <row r="23" spans="1:5" x14ac:dyDescent="0.25">
      <c r="A23" s="1">
        <v>46125</v>
      </c>
      <c r="B23" s="1">
        <v>46122</v>
      </c>
      <c r="C23" s="2">
        <v>75375227</v>
      </c>
      <c r="D23" s="3" t="s">
        <v>25</v>
      </c>
      <c r="E23" s="4">
        <v>90.93</v>
      </c>
    </row>
    <row r="24" spans="1:5" x14ac:dyDescent="0.25">
      <c r="A24" s="1">
        <v>46125</v>
      </c>
      <c r="B24" s="1">
        <v>46122</v>
      </c>
      <c r="C24" s="2">
        <v>76757223</v>
      </c>
      <c r="D24" s="3" t="s">
        <v>26</v>
      </c>
      <c r="E24" s="4">
        <v>28.78</v>
      </c>
    </row>
    <row r="25" spans="1:5" x14ac:dyDescent="0.25">
      <c r="A25" s="1">
        <v>46126</v>
      </c>
      <c r="B25" s="1">
        <v>46124</v>
      </c>
      <c r="C25" s="6">
        <v>2661345</v>
      </c>
      <c r="D25" s="3" t="s">
        <v>27</v>
      </c>
      <c r="E25" s="4">
        <v>681.31</v>
      </c>
    </row>
    <row r="26" spans="1:5" x14ac:dyDescent="0.25">
      <c r="A26" s="1">
        <v>46126</v>
      </c>
      <c r="B26" s="1">
        <v>46123</v>
      </c>
      <c r="C26" s="6">
        <v>7785428</v>
      </c>
      <c r="D26" s="3" t="s">
        <v>28</v>
      </c>
      <c r="E26" s="4">
        <v>39.06</v>
      </c>
    </row>
    <row r="27" spans="1:5" x14ac:dyDescent="0.25">
      <c r="A27" s="1">
        <v>46126</v>
      </c>
      <c r="B27" s="1">
        <v>46123</v>
      </c>
      <c r="C27" s="2">
        <v>33794030</v>
      </c>
      <c r="D27" s="3" t="s">
        <v>29</v>
      </c>
      <c r="E27" s="4">
        <v>12.13</v>
      </c>
    </row>
    <row r="28" spans="1:5" x14ac:dyDescent="0.25">
      <c r="A28" s="1">
        <v>46126</v>
      </c>
      <c r="B28" s="1">
        <v>46123</v>
      </c>
      <c r="C28" s="2">
        <v>40785609</v>
      </c>
      <c r="D28" s="3" t="s">
        <v>30</v>
      </c>
      <c r="E28" s="4">
        <v>145.09</v>
      </c>
    </row>
    <row r="29" spans="1:5" x14ac:dyDescent="0.25">
      <c r="A29" s="1">
        <v>46126</v>
      </c>
      <c r="B29" s="1">
        <v>46124</v>
      </c>
      <c r="C29" s="2">
        <v>71682773</v>
      </c>
      <c r="D29" s="3" t="s">
        <v>31</v>
      </c>
      <c r="E29" s="4">
        <v>493.82</v>
      </c>
    </row>
    <row r="30" spans="1:5" x14ac:dyDescent="0.25">
      <c r="A30" s="1">
        <v>46126</v>
      </c>
      <c r="B30" s="1">
        <v>46124</v>
      </c>
      <c r="C30" s="2">
        <v>78172307</v>
      </c>
      <c r="D30" s="3" t="s">
        <v>32</v>
      </c>
      <c r="E30" s="4">
        <v>191.67</v>
      </c>
    </row>
    <row r="31" spans="1:5" x14ac:dyDescent="0.25">
      <c r="A31" s="1">
        <v>46126</v>
      </c>
      <c r="B31" s="1">
        <v>46124</v>
      </c>
      <c r="C31" s="2">
        <v>83936829</v>
      </c>
      <c r="D31" s="3" t="s">
        <v>33</v>
      </c>
      <c r="E31" s="4">
        <v>14.56</v>
      </c>
    </row>
    <row r="32" spans="1:5" x14ac:dyDescent="0.25">
      <c r="A32" s="1">
        <v>46126</v>
      </c>
      <c r="B32" s="1">
        <v>46123</v>
      </c>
      <c r="C32" s="2">
        <v>77304576</v>
      </c>
      <c r="D32" s="3" t="s">
        <v>34</v>
      </c>
      <c r="E32" s="4">
        <v>72.790000000000006</v>
      </c>
    </row>
    <row r="33" spans="1:5" x14ac:dyDescent="0.25">
      <c r="A33" s="1">
        <v>46126</v>
      </c>
      <c r="B33" s="1">
        <v>46123</v>
      </c>
      <c r="C33" s="2">
        <v>78765965</v>
      </c>
      <c r="D33" s="3" t="s">
        <v>35</v>
      </c>
      <c r="E33" s="4">
        <v>97.04</v>
      </c>
    </row>
    <row r="34" spans="1:5" x14ac:dyDescent="0.25">
      <c r="A34" s="1">
        <v>46126</v>
      </c>
      <c r="B34" s="1">
        <v>46124</v>
      </c>
      <c r="C34" s="2">
        <v>44084457</v>
      </c>
      <c r="D34" s="3" t="s">
        <v>36</v>
      </c>
      <c r="E34" s="4">
        <v>32.51</v>
      </c>
    </row>
    <row r="35" spans="1:5" x14ac:dyDescent="0.25">
      <c r="A35" s="1">
        <v>46126</v>
      </c>
      <c r="B35" s="1">
        <v>46123</v>
      </c>
      <c r="C35" s="6">
        <v>5998080</v>
      </c>
      <c r="D35" s="3" t="s">
        <v>37</v>
      </c>
      <c r="E35" s="4">
        <v>777.34</v>
      </c>
    </row>
    <row r="36" spans="1:5" x14ac:dyDescent="0.25">
      <c r="A36" s="1">
        <v>46127</v>
      </c>
      <c r="B36" s="1">
        <v>46126</v>
      </c>
      <c r="C36" s="2">
        <v>93255511</v>
      </c>
      <c r="D36" s="3" t="s">
        <v>38</v>
      </c>
      <c r="E36" s="4">
        <v>15.95</v>
      </c>
    </row>
    <row r="37" spans="1:5" x14ac:dyDescent="0.25">
      <c r="A37" s="1">
        <v>46127</v>
      </c>
      <c r="B37" s="1">
        <v>46126</v>
      </c>
      <c r="C37" s="2">
        <v>93259844</v>
      </c>
      <c r="D37" s="3" t="s">
        <v>39</v>
      </c>
      <c r="E37" s="4">
        <v>2</v>
      </c>
    </row>
    <row r="38" spans="1:5" x14ac:dyDescent="0.25">
      <c r="A38" s="1">
        <v>46127</v>
      </c>
      <c r="B38" s="1">
        <v>46126</v>
      </c>
      <c r="C38" s="6">
        <v>1164094</v>
      </c>
      <c r="D38" s="3" t="s">
        <v>40</v>
      </c>
      <c r="E38" s="4">
        <v>245</v>
      </c>
    </row>
    <row r="39" spans="1:5" x14ac:dyDescent="0.25">
      <c r="A39" s="1">
        <v>46127</v>
      </c>
      <c r="B39" s="1">
        <v>46125</v>
      </c>
      <c r="C39" s="6">
        <v>5638899</v>
      </c>
      <c r="D39" s="3" t="s">
        <v>41</v>
      </c>
      <c r="E39" s="4">
        <v>106.37</v>
      </c>
    </row>
    <row r="40" spans="1:5" x14ac:dyDescent="0.25">
      <c r="A40" s="1">
        <v>46127</v>
      </c>
      <c r="B40" s="1">
        <v>46125</v>
      </c>
      <c r="C40" s="6">
        <v>8225926</v>
      </c>
      <c r="D40" s="3" t="s">
        <v>42</v>
      </c>
      <c r="E40" s="4">
        <v>33.96</v>
      </c>
    </row>
    <row r="41" spans="1:5" x14ac:dyDescent="0.25">
      <c r="A41" s="1">
        <v>46127</v>
      </c>
      <c r="B41" s="1">
        <v>46127</v>
      </c>
      <c r="C41" s="2">
        <v>47741074</v>
      </c>
      <c r="D41" s="3" t="s">
        <v>43</v>
      </c>
      <c r="E41" s="4">
        <v>132.35</v>
      </c>
    </row>
    <row r="42" spans="1:5" x14ac:dyDescent="0.25">
      <c r="A42" s="1">
        <v>46127</v>
      </c>
      <c r="B42" s="1">
        <v>46127</v>
      </c>
      <c r="C42" s="2">
        <v>47741082</v>
      </c>
      <c r="D42" s="3" t="s">
        <v>43</v>
      </c>
      <c r="E42" s="4">
        <v>11.97</v>
      </c>
    </row>
    <row r="43" spans="1:5" x14ac:dyDescent="0.25">
      <c r="A43" s="1">
        <v>46127</v>
      </c>
      <c r="B43" s="1">
        <v>46124</v>
      </c>
      <c r="C43" s="6">
        <v>8104929</v>
      </c>
      <c r="D43" s="3" t="s">
        <v>44</v>
      </c>
      <c r="E43" s="4">
        <v>201.38</v>
      </c>
    </row>
    <row r="44" spans="1:5" x14ac:dyDescent="0.25">
      <c r="A44" s="1">
        <v>46127</v>
      </c>
      <c r="B44" s="1">
        <v>46126</v>
      </c>
      <c r="C44" s="2">
        <v>14266604</v>
      </c>
      <c r="D44" s="3" t="s">
        <v>45</v>
      </c>
      <c r="E44" s="4">
        <v>53.5</v>
      </c>
    </row>
    <row r="45" spans="1:5" x14ac:dyDescent="0.25">
      <c r="A45" s="1">
        <v>46127</v>
      </c>
      <c r="B45" s="1">
        <v>46124</v>
      </c>
      <c r="C45" s="2">
        <v>34965611</v>
      </c>
      <c r="D45" s="3" t="s">
        <v>46</v>
      </c>
      <c r="E45" s="5">
        <v>3222.04</v>
      </c>
    </row>
    <row r="46" spans="1:5" x14ac:dyDescent="0.25">
      <c r="A46" s="1">
        <v>46127</v>
      </c>
      <c r="B46" s="1">
        <v>46126</v>
      </c>
      <c r="C46" s="2">
        <v>28255771</v>
      </c>
      <c r="D46" s="3" t="s">
        <v>47</v>
      </c>
      <c r="E46" s="4">
        <v>49.88</v>
      </c>
    </row>
    <row r="47" spans="1:5" x14ac:dyDescent="0.25">
      <c r="A47" s="1">
        <v>46128</v>
      </c>
      <c r="B47" s="1">
        <v>46127</v>
      </c>
      <c r="C47" s="2">
        <v>76030280</v>
      </c>
      <c r="D47" s="3" t="s">
        <v>48</v>
      </c>
      <c r="E47" s="4">
        <v>28</v>
      </c>
    </row>
    <row r="48" spans="1:5" x14ac:dyDescent="0.25">
      <c r="A48" s="1">
        <v>46128</v>
      </c>
      <c r="B48" s="1">
        <v>46126</v>
      </c>
      <c r="C48" s="2">
        <v>46776706</v>
      </c>
      <c r="D48" s="3" t="s">
        <v>49</v>
      </c>
      <c r="E48" s="4">
        <v>16</v>
      </c>
    </row>
    <row r="49" spans="1:5" x14ac:dyDescent="0.25">
      <c r="A49" s="1">
        <v>46128</v>
      </c>
      <c r="B49" s="1">
        <v>46126</v>
      </c>
      <c r="C49" s="2">
        <v>51109207</v>
      </c>
      <c r="D49" s="3" t="s">
        <v>49</v>
      </c>
      <c r="E49" s="4">
        <v>28.5</v>
      </c>
    </row>
    <row r="50" spans="1:5" x14ac:dyDescent="0.25">
      <c r="A50" s="1">
        <v>46128</v>
      </c>
      <c r="B50" s="1">
        <v>46126</v>
      </c>
      <c r="C50" s="6">
        <v>3015807</v>
      </c>
      <c r="D50" s="3" t="s">
        <v>50</v>
      </c>
      <c r="E50" s="4">
        <v>40.049999999999997</v>
      </c>
    </row>
    <row r="51" spans="1:5" x14ac:dyDescent="0.25">
      <c r="A51" s="1">
        <v>46128</v>
      </c>
      <c r="B51" s="1">
        <v>46126</v>
      </c>
      <c r="C51" s="2">
        <v>18416107</v>
      </c>
      <c r="D51" s="3" t="s">
        <v>51</v>
      </c>
      <c r="E51" s="4">
        <v>400.25</v>
      </c>
    </row>
    <row r="52" spans="1:5" x14ac:dyDescent="0.25">
      <c r="A52" s="1">
        <v>46128</v>
      </c>
      <c r="B52" s="1">
        <v>46126</v>
      </c>
      <c r="C52" s="2">
        <v>90347105</v>
      </c>
      <c r="D52" s="3" t="s">
        <v>50</v>
      </c>
      <c r="E52" s="4">
        <v>3.69</v>
      </c>
    </row>
    <row r="53" spans="1:5" x14ac:dyDescent="0.25">
      <c r="A53" s="1">
        <v>46128</v>
      </c>
      <c r="B53" s="1">
        <v>46126</v>
      </c>
      <c r="C53" s="2">
        <v>99678005</v>
      </c>
      <c r="D53" s="3" t="s">
        <v>52</v>
      </c>
      <c r="E53" s="4">
        <v>155</v>
      </c>
    </row>
    <row r="54" spans="1:5" x14ac:dyDescent="0.25">
      <c r="A54" s="1">
        <v>46128</v>
      </c>
      <c r="B54" s="1">
        <v>46126</v>
      </c>
      <c r="C54" s="6">
        <v>2896602</v>
      </c>
      <c r="D54" s="3" t="s">
        <v>53</v>
      </c>
      <c r="E54" s="4">
        <v>27</v>
      </c>
    </row>
    <row r="55" spans="1:5" x14ac:dyDescent="0.25">
      <c r="A55" s="1">
        <v>46128</v>
      </c>
      <c r="B55" s="1">
        <v>46127</v>
      </c>
      <c r="C55" s="2">
        <v>52266009</v>
      </c>
      <c r="D55" s="3" t="s">
        <v>54</v>
      </c>
      <c r="E55" s="4">
        <v>120</v>
      </c>
    </row>
    <row r="56" spans="1:5" x14ac:dyDescent="0.25">
      <c r="A56" s="1">
        <v>46128</v>
      </c>
      <c r="B56" s="1">
        <v>46127</v>
      </c>
      <c r="C56" s="2">
        <v>58571600</v>
      </c>
      <c r="D56" s="3" t="s">
        <v>55</v>
      </c>
      <c r="E56" s="4">
        <v>540</v>
      </c>
    </row>
    <row r="57" spans="1:5" x14ac:dyDescent="0.25">
      <c r="A57" s="1">
        <v>46128</v>
      </c>
      <c r="B57" s="1">
        <v>46126</v>
      </c>
      <c r="C57" s="2">
        <v>76650584</v>
      </c>
      <c r="D57" s="3" t="s">
        <v>56</v>
      </c>
      <c r="E57" s="4">
        <v>497</v>
      </c>
    </row>
    <row r="58" spans="1:5" x14ac:dyDescent="0.25">
      <c r="A58" s="1">
        <v>46128</v>
      </c>
      <c r="B58" s="1">
        <v>46126</v>
      </c>
      <c r="C58" s="2">
        <v>73381943</v>
      </c>
      <c r="D58" s="3" t="s">
        <v>57</v>
      </c>
      <c r="E58" s="4">
        <v>42</v>
      </c>
    </row>
    <row r="59" spans="1:5" x14ac:dyDescent="0.25">
      <c r="A59" s="1">
        <v>46128</v>
      </c>
      <c r="B59" s="1">
        <v>46126</v>
      </c>
      <c r="C59" s="2">
        <v>73385837</v>
      </c>
      <c r="D59" s="3" t="s">
        <v>57</v>
      </c>
      <c r="E59" s="4">
        <v>18</v>
      </c>
    </row>
    <row r="60" spans="1:5" x14ac:dyDescent="0.25">
      <c r="A60" s="1">
        <v>46128</v>
      </c>
      <c r="B60" s="1">
        <v>46126</v>
      </c>
      <c r="C60" s="2">
        <v>73428702</v>
      </c>
      <c r="D60" s="3" t="s">
        <v>57</v>
      </c>
      <c r="E60" s="4">
        <v>34.5</v>
      </c>
    </row>
    <row r="61" spans="1:5" ht="18.75" x14ac:dyDescent="0.3">
      <c r="E61" s="9">
        <f>SUM(E2:E60)</f>
        <v>58997.669999999984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Waheed Bhai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2026-05-18T15:57:03Z</dcterms:created>
  <dcterms:modified xsi:type="dcterms:W3CDTF">2026-05-18T16:10:01Z</dcterms:modified>
</cp:coreProperties>
</file>