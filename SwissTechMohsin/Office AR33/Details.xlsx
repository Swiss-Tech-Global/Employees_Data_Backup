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New folder/"/>
    </mc:Choice>
  </mc:AlternateContent>
  <xr:revisionPtr revIDLastSave="9" documentId="13_ncr:1_{135C8FE0-99C7-46D0-939F-6D0051A13515}" xr6:coauthVersionLast="47" xr6:coauthVersionMax="47" xr10:uidLastSave="{A50467BD-27E2-4ACA-BB06-7E1E9FB29266}"/>
  <bookViews>
    <workbookView xWindow="20370" yWindow="-120" windowWidth="29040" windowHeight="17520" xr2:uid="{6B0DA399-F0E9-4B3E-9B57-DE912390851E}"/>
  </bookViews>
  <sheets>
    <sheet name="All Details" sheetId="1" r:id="rId1"/>
    <sheet name="Faisal Bhai" sheetId="2" r:id="rId2"/>
    <sheet name="Swiss Tech" sheetId="4" r:id="rId3"/>
    <sheet name="Mudassir Bhai" sheetId="3" r:id="rId4"/>
  </sheets>
  <definedNames>
    <definedName name="_xlnm._FilterDatabase" localSheetId="0" hidden="1">'All Details'!$A$1:$E$66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4"/>
  <c r="D61" i="2"/>
  <c r="D66" i="1"/>
</calcChain>
</file>

<file path=xl/sharedStrings.xml><?xml version="1.0" encoding="utf-8"?>
<sst xmlns="http://schemas.openxmlformats.org/spreadsheetml/2006/main" count="310" uniqueCount="72">
  <si>
    <t>FT26065K7FK4/B10</t>
  </si>
  <si>
    <t>Inward Clearing Debit - Cheque 100039</t>
  </si>
  <si>
    <t>Faisal Bhai</t>
  </si>
  <si>
    <t>FT26091RJNMR</t>
  </si>
  <si>
    <t>Inhouse Cheque - Debit - Cheque 100035</t>
  </si>
  <si>
    <t>Swiss Tech</t>
  </si>
  <si>
    <t>DU Apple Pay, AE</t>
  </si>
  <si>
    <t>Dubai Taxi, AE</t>
  </si>
  <si>
    <t>00757557</t>
  </si>
  <si>
    <t>Afghan Kabab Village Re, AE</t>
  </si>
  <si>
    <t>01393692</t>
  </si>
  <si>
    <t>e&amp; Digital App, AE</t>
  </si>
  <si>
    <t>Car Taxi Service Co LLC, AE</t>
  </si>
  <si>
    <t>1121 Noor Al Shefaa Pharm, AE</t>
  </si>
  <si>
    <t>Day To Day Hypermkt BR, AE</t>
  </si>
  <si>
    <t>Intl Dcc Fee</t>
  </si>
  <si>
    <t>Falafel Alsawah Restuarn, AE</t>
  </si>
  <si>
    <t>Nesto Hypermarket BR, AE</t>
  </si>
  <si>
    <t>Al Madina, AE</t>
  </si>
  <si>
    <t>Wadi Shees Veg N Furit, AE</t>
  </si>
  <si>
    <t>Adnoc Al Batayeh 272, AE</t>
  </si>
  <si>
    <t>Carrefour Al Ghurair, AE</t>
  </si>
  <si>
    <t>Walk Tea Cafeteria, AE</t>
  </si>
  <si>
    <t>Day To Day Union BR, AE</t>
  </si>
  <si>
    <t>Taj Saba Restaurant LLC, AE</t>
  </si>
  <si>
    <t>Emart 6740 Al Mawred, AE</t>
  </si>
  <si>
    <t>Eppco Site 77, AE</t>
  </si>
  <si>
    <t>Khor Fakkan Municipality, AE</t>
  </si>
  <si>
    <t>Mohammad Abdulla Veg N, AE</t>
  </si>
  <si>
    <t>Al Zaytoon Al Asfar Veg, AE</t>
  </si>
  <si>
    <t>Get More And Smile Gene, AE</t>
  </si>
  <si>
    <t>Relief Pharmacy LLC BR, AE</t>
  </si>
  <si>
    <t>Al Noor Polyclinic LLC, AE</t>
  </si>
  <si>
    <t>Meme Pay Payment Services, AE</t>
  </si>
  <si>
    <t>Amazon Grocery, AE</t>
  </si>
  <si>
    <t>Vital Fule Trading LLC, AE</t>
  </si>
  <si>
    <t>Afghan Kabab House LLC, AE</t>
  </si>
  <si>
    <t>Pak Liyari Restaurant, AE</t>
  </si>
  <si>
    <t>Choitram Dubai Tower, AE</t>
  </si>
  <si>
    <t>K M A Grocery LLC, AE</t>
  </si>
  <si>
    <t>Fedex Experss Intl, AE</t>
  </si>
  <si>
    <t>Mudassir Bhai</t>
  </si>
  <si>
    <t>00777525</t>
  </si>
  <si>
    <t>03560256</t>
  </si>
  <si>
    <t>02177059</t>
  </si>
  <si>
    <t>04677410</t>
  </si>
  <si>
    <t>03320138</t>
  </si>
  <si>
    <t>Date</t>
  </si>
  <si>
    <t>Ref No</t>
  </si>
  <si>
    <t>Description</t>
  </si>
  <si>
    <t>Amount</t>
  </si>
  <si>
    <t>Name</t>
  </si>
  <si>
    <t>Dubai Electricity, AE</t>
  </si>
  <si>
    <t>01161935</t>
  </si>
  <si>
    <t>2621498</t>
  </si>
  <si>
    <t>National Parking Company, AE</t>
  </si>
  <si>
    <t>Tower Of Emirates BR, AE</t>
  </si>
  <si>
    <t>01130653</t>
  </si>
  <si>
    <t>Emirates General Petro, AE</t>
  </si>
  <si>
    <t>09919305</t>
  </si>
  <si>
    <t>Prime Madical Center,AE</t>
  </si>
  <si>
    <t>Medi Prime Pharmacy, AE</t>
  </si>
  <si>
    <t>Emart 6915 Al Rigga, AE</t>
  </si>
  <si>
    <t>01043831</t>
  </si>
  <si>
    <t>Noon Food, AE</t>
  </si>
  <si>
    <t>Al Madina Market LLC, AE</t>
  </si>
  <si>
    <t>T Choithram And Sons LL, AE</t>
  </si>
  <si>
    <t>Dubai Duty Free, AE</t>
  </si>
  <si>
    <t>H N C Restaurant And C, AE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</si>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</sst>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iss tech" refreshedDate="46143.920444212963" createdVersion="8" refreshedVersion="8" minRefreshableVersion="3" recordCount="64" xr:uid="{91022CFB-3F02-494F-AC81-9B59CAFA38DF}">
  <cacheSource type="worksheet">
    <worksheetSource ref="A1:E65" sheet="All Details"/>
  </cacheSource>
  <cacheFields count="7">
    <cacheField name="Date" numFmtId="14">
      <sharedItems containsSemiMixedTypes="0" containsNonDate="0" containsDate="1" containsString="0" minDate="2026-02-06T00:00:00" maxDate="2026-04-09T00:00:00" count="32">
        <d v="2026-03-06T00:00:00"/>
        <d v="2026-04-01T00:00:00"/>
        <d v="2026-02-24T00:00:00"/>
        <d v="2026-02-25T00:00:00"/>
        <d v="2026-02-26T00:00:00"/>
        <d v="2026-03-02T00:00:00"/>
        <d v="2026-02-10T00:00:00"/>
        <d v="2026-02-12T00:00:00"/>
        <d v="2026-02-13T00:00:00"/>
        <d v="2026-02-15T00:00:00"/>
        <d v="2026-02-14T00:00:00"/>
        <d v="2026-02-18T00:00:00"/>
        <d v="2026-02-21T00:00:00"/>
        <d v="2026-02-23T00:00:00"/>
        <d v="2026-03-01T00:00:00"/>
        <d v="2026-03-03T00:00:00"/>
        <d v="2026-03-05T00:00:00"/>
        <d v="2026-03-14T00:00:00"/>
        <d v="2026-03-18T00:00:00"/>
        <d v="2026-03-25T00:00:00"/>
        <d v="2026-04-02T00:00:00"/>
        <d v="2026-03-08T00:00:00"/>
        <d v="2026-03-11T00:00:00"/>
        <d v="2026-03-15T00:00:00"/>
        <d v="2026-03-13T00:00:00"/>
        <d v="2026-03-16T00:00:00"/>
        <d v="2026-03-17T00:00:00"/>
        <d v="2026-03-21T00:00:00"/>
        <d v="2026-04-08T00:00:00" u="1"/>
        <d v="2026-02-06T00:00:00" u="1"/>
        <d v="2026-02-07T00:00:00" u="1"/>
        <d v="2026-02-08T00:00:00" u="1"/>
      </sharedItems>
      <fieldGroup par="6"/>
    </cacheField>
    <cacheField name="Ref No" numFmtId="0">
      <sharedItems containsMixedTypes="1" containsNumber="1" containsInteger="1" minValue="10179008" maxValue="99304385"/>
    </cacheField>
    <cacheField name="Description" numFmtId="0">
      <sharedItems/>
    </cacheField>
    <cacheField name="Amount" numFmtId="0">
      <sharedItems containsSemiMixedTypes="0" containsString="0" containsNumber="1" minValue="1.1000000000000001" maxValue="18249"/>
    </cacheField>
    <cacheField name="Name" numFmtId="0">
      <sharedItems count="3">
        <s v="Faisal Bhai"/>
        <s v="Swiss Tech"/>
        <s v="Mudassir Bhai"/>
      </sharedItems>
    </cacheField>
    <cacheField name="Days (Date)" numFmtId="0" databaseField="0">
      <fieldGroup base="0">
        <rangePr groupBy="days" startDate="2026-02-10T00:00:00" endDate="2026-04-03T00:00:00"/>
        <groupItems count="368">
          <s v="&lt;10/02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/04/2026"/>
        </groupItems>
      </fieldGroup>
    </cacheField>
    <cacheField name="Months (Date)" numFmtId="0" databaseField="0">
      <fieldGroup base="0">
        <rangePr groupBy="months" startDate="2026-02-10T00:00:00" endDate="2026-04-03T00:00:00"/>
        <groupItems count="14">
          <s v="&lt;10/02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3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s v="FT26065K7FK4/B10"/>
    <s v="Inward Clearing Debit - Cheque 100039"/>
    <n v="18249"/>
    <x v="0"/>
  </r>
  <r>
    <x v="1"/>
    <s v="FT26091RJNMR"/>
    <s v="Inhouse Cheque - Debit - Cheque 100035"/>
    <n v="6700"/>
    <x v="1"/>
  </r>
  <r>
    <x v="2"/>
    <n v="29165001"/>
    <s v="Dubai Taxi, AE"/>
    <n v="46"/>
    <x v="0"/>
  </r>
  <r>
    <x v="2"/>
    <s v="00757557"/>
    <s v="Afghan Kabab Village Re, AE"/>
    <n v="57"/>
    <x v="0"/>
  </r>
  <r>
    <x v="3"/>
    <s v="01393692"/>
    <s v="e&amp; Digital App, AE"/>
    <n v="313.95999999999998"/>
    <x v="0"/>
  </r>
  <r>
    <x v="2"/>
    <n v="63344606"/>
    <s v="Car Taxi Service Co LLC, AE"/>
    <n v="12.5"/>
    <x v="0"/>
  </r>
  <r>
    <x v="3"/>
    <n v="54162486"/>
    <s v="1121 Noor Al Shefaa Pharm, AE"/>
    <n v="23"/>
    <x v="0"/>
  </r>
  <r>
    <x v="4"/>
    <n v="90461829"/>
    <s v="Day To Day Hypermkt BR, AE"/>
    <n v="31.97"/>
    <x v="0"/>
  </r>
  <r>
    <x v="5"/>
    <s v="00777525"/>
    <s v="Intl Dcc Fee"/>
    <n v="1.1000000000000001"/>
    <x v="0"/>
  </r>
  <r>
    <x v="6"/>
    <n v="80336550"/>
    <s v="Falafel Alsawah Restuarn, AE"/>
    <n v="11"/>
    <x v="0"/>
  </r>
  <r>
    <x v="6"/>
    <n v="69507609"/>
    <s v="Nesto Hypermarket BR, AE"/>
    <n v="111.54"/>
    <x v="0"/>
  </r>
  <r>
    <x v="7"/>
    <s v="03560256"/>
    <s v="Fedex Experss Intl, AE"/>
    <n v="299"/>
    <x v="2"/>
  </r>
  <r>
    <x v="7"/>
    <n v="56845220"/>
    <s v="Al Madina, AE"/>
    <n v="2.75"/>
    <x v="0"/>
  </r>
  <r>
    <x v="8"/>
    <n v="85610447"/>
    <s v="Al Madina, AE"/>
    <n v="1.99"/>
    <x v="0"/>
  </r>
  <r>
    <x v="9"/>
    <n v="50560090"/>
    <s v="Wadi Shees Veg N Furit, AE"/>
    <n v="12"/>
    <x v="0"/>
  </r>
  <r>
    <x v="9"/>
    <n v="30610759"/>
    <s v="Adnoc Al Batayeh 272, AE"/>
    <n v="15.5"/>
    <x v="0"/>
  </r>
  <r>
    <x v="9"/>
    <n v="30610766"/>
    <s v="Adnoc Al Batayeh 272, AE"/>
    <n v="6.5"/>
    <x v="0"/>
  </r>
  <r>
    <x v="10"/>
    <n v="17123008"/>
    <s v="Carrefour Al Ghurair, AE"/>
    <n v="1.89"/>
    <x v="0"/>
  </r>
  <r>
    <x v="10"/>
    <n v="26507209"/>
    <s v="Carrefour Al Ghurair, AE"/>
    <n v="193.78"/>
    <x v="0"/>
  </r>
  <r>
    <x v="10"/>
    <n v="22297407"/>
    <s v="Walk Tea Cafeteria, AE"/>
    <n v="20"/>
    <x v="0"/>
  </r>
  <r>
    <x v="10"/>
    <n v="81106144"/>
    <s v="Day To Day Union BR, AE"/>
    <n v="51.94"/>
    <x v="0"/>
  </r>
  <r>
    <x v="10"/>
    <n v="75688811"/>
    <s v="Taj Saba Restaurant LLC, AE"/>
    <n v="54"/>
    <x v="0"/>
  </r>
  <r>
    <x v="9"/>
    <n v="16451610"/>
    <s v="Emart 6740 Al Mawred, AE"/>
    <n v="20"/>
    <x v="0"/>
  </r>
  <r>
    <x v="9"/>
    <n v="50097602"/>
    <s v="Eppco Site 77, AE"/>
    <n v="30"/>
    <x v="0"/>
  </r>
  <r>
    <x v="9"/>
    <n v="47279986"/>
    <s v="Khor Fakkan Municipality, AE"/>
    <n v="20"/>
    <x v="0"/>
  </r>
  <r>
    <x v="9"/>
    <n v="84026085"/>
    <s v="Mohammad Abdulla Veg N, AE"/>
    <n v="12"/>
    <x v="0"/>
  </r>
  <r>
    <x v="9"/>
    <n v="84026432"/>
    <s v="Mohammad Abdulla Veg N, AE"/>
    <n v="15"/>
    <x v="0"/>
  </r>
  <r>
    <x v="9"/>
    <n v="84201282"/>
    <s v="Al Zaytoon Al Asfar Veg, AE"/>
    <n v="15"/>
    <x v="0"/>
  </r>
  <r>
    <x v="11"/>
    <n v="31983035"/>
    <s v="Nesto Hypermarket BR, AE"/>
    <n v="472"/>
    <x v="0"/>
  </r>
  <r>
    <x v="12"/>
    <s v="02177059"/>
    <s v="Get More And Smile Gene, AE"/>
    <n v="84"/>
    <x v="0"/>
  </r>
  <r>
    <x v="13"/>
    <n v="12531207"/>
    <s v="Relief Pharmacy LLC BR, AE"/>
    <n v="95"/>
    <x v="0"/>
  </r>
  <r>
    <x v="13"/>
    <n v="61881129"/>
    <s v="Al Noor Polyclinic LLC, AE"/>
    <n v="130.5"/>
    <x v="0"/>
  </r>
  <r>
    <x v="2"/>
    <n v="89087842"/>
    <s v="Al Madina, AE"/>
    <n v="28.24"/>
    <x v="0"/>
  </r>
  <r>
    <x v="2"/>
    <n v="68247703"/>
    <s v="Meme Pay Payment Services, AE"/>
    <n v="475.1"/>
    <x v="0"/>
  </r>
  <r>
    <x v="3"/>
    <s v="04677410"/>
    <s v="Al Madina, AE"/>
    <n v="48.32"/>
    <x v="0"/>
  </r>
  <r>
    <x v="3"/>
    <n v="46617587"/>
    <s v="Amazon Grocery, AE"/>
    <n v="394.99"/>
    <x v="0"/>
  </r>
  <r>
    <x v="3"/>
    <n v="15443601"/>
    <s v="Vital Fule Trading LLC, AE"/>
    <n v="60"/>
    <x v="0"/>
  </r>
  <r>
    <x v="14"/>
    <n v="50614295"/>
    <s v="Afghan Kabab House LLC, AE"/>
    <n v="37"/>
    <x v="0"/>
  </r>
  <r>
    <x v="14"/>
    <n v="71709009"/>
    <s v="Pak Liyari Restaurant, AE"/>
    <n v="38"/>
    <x v="0"/>
  </r>
  <r>
    <x v="14"/>
    <n v="79739404"/>
    <s v="Choitram Dubai Tower, AE"/>
    <n v="26.78"/>
    <x v="0"/>
  </r>
  <r>
    <x v="14"/>
    <n v="56465939"/>
    <s v="K M A Grocery LLC, AE"/>
    <n v="18.75"/>
    <x v="0"/>
  </r>
  <r>
    <x v="15"/>
    <s v="03320138"/>
    <s v="Fedex Experss Intl, AE"/>
    <n v="198"/>
    <x v="2"/>
  </r>
  <r>
    <x v="5"/>
    <n v="73527387"/>
    <s v="Nesto Hypermarket BR, AE"/>
    <n v="347.42"/>
    <x v="0"/>
  </r>
  <r>
    <x v="16"/>
    <n v="41963206"/>
    <s v="Dubai Electricity, AE"/>
    <n v="233.89"/>
    <x v="1"/>
  </r>
  <r>
    <x v="17"/>
    <n v="10179008"/>
    <s v="DU Apple Pay, AE"/>
    <n v="209"/>
    <x v="1"/>
  </r>
  <r>
    <x v="18"/>
    <n v="35692307"/>
    <s v="Dubai Electricity, AE"/>
    <n v="605.55999999999995"/>
    <x v="0"/>
  </r>
  <r>
    <x v="19"/>
    <s v="01161935"/>
    <s v="e&amp; Digital App, AE"/>
    <n v="607.95000000000005"/>
    <x v="0"/>
  </r>
  <r>
    <x v="20"/>
    <s v="2621498"/>
    <s v="Intl Dcc Fee"/>
    <n v="1.1000000000000001"/>
    <x v="0"/>
  </r>
  <r>
    <x v="0"/>
    <n v="11311304"/>
    <s v="National Parking Company, AE"/>
    <n v="15"/>
    <x v="0"/>
  </r>
  <r>
    <x v="0"/>
    <n v="16072884"/>
    <s v="Nesto Hypermarket BR, AE"/>
    <n v="292.99"/>
    <x v="0"/>
  </r>
  <r>
    <x v="21"/>
    <n v="99304385"/>
    <s v="Tower Of Emirates BR, AE"/>
    <n v="93"/>
    <x v="0"/>
  </r>
  <r>
    <x v="21"/>
    <s v="01130653"/>
    <s v="Emirates General Petro, AE"/>
    <n v="85"/>
    <x v="0"/>
  </r>
  <r>
    <x v="21"/>
    <s v="09919305"/>
    <s v="Carrefour Al Ghurair, AE"/>
    <n v="121.35"/>
    <x v="0"/>
  </r>
  <r>
    <x v="21"/>
    <n v="42002556"/>
    <s v="Prime Madical Center,AE"/>
    <n v="300"/>
    <x v="0"/>
  </r>
  <r>
    <x v="21"/>
    <n v="40990481"/>
    <s v="Medi Prime Pharmacy, AE"/>
    <n v="115.17"/>
    <x v="0"/>
  </r>
  <r>
    <x v="22"/>
    <n v="47550992"/>
    <s v="Al Madina, AE"/>
    <n v="18.75"/>
    <x v="0"/>
  </r>
  <r>
    <x v="23"/>
    <n v="95670330"/>
    <s v="Emart 6915 Al Rigga, AE"/>
    <n v="40"/>
    <x v="0"/>
  </r>
  <r>
    <x v="24"/>
    <s v="01043831"/>
    <s v="Nesto Hypermarket BR, AE"/>
    <n v="175.72"/>
    <x v="0"/>
  </r>
  <r>
    <x v="23"/>
    <n v="43695236"/>
    <s v="Noon Food, AE"/>
    <n v="88.9"/>
    <x v="0"/>
  </r>
  <r>
    <x v="25"/>
    <n v="53337116"/>
    <s v="Nesto Hypermarket BR, AE"/>
    <n v="795.88"/>
    <x v="0"/>
  </r>
  <r>
    <x v="26"/>
    <n v="43409798"/>
    <s v="Al Madina Market LLC, AE"/>
    <n v="15.97"/>
    <x v="0"/>
  </r>
  <r>
    <x v="27"/>
    <n v="43267507"/>
    <s v="T Choithram And Sons LL, AE"/>
    <n v="20.5"/>
    <x v="0"/>
  </r>
  <r>
    <x v="27"/>
    <n v="21080180"/>
    <s v="Dubai Duty Free, AE"/>
    <n v="2"/>
    <x v="0"/>
  </r>
  <r>
    <x v="27"/>
    <n v="35038609"/>
    <s v="H N C Restaurant And C, AE"/>
    <n v="4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A5D73-74D0-4F8D-A6BD-162D12D411A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B73" firstHeaderRow="1" firstDataRow="1" firstDataCol="1"/>
  <pivotFields count="7">
    <pivotField numFmtId="14" showAll="0">
      <items count="33">
        <item m="1" x="29"/>
        <item m="1" x="30"/>
        <item m="1" x="31"/>
        <item x="6"/>
        <item x="7"/>
        <item x="8"/>
        <item x="10"/>
        <item x="9"/>
        <item x="11"/>
        <item x="12"/>
        <item x="13"/>
        <item x="2"/>
        <item x="3"/>
        <item x="4"/>
        <item x="14"/>
        <item x="5"/>
        <item x="15"/>
        <item x="16"/>
        <item x="0"/>
        <item x="21"/>
        <item x="22"/>
        <item x="24"/>
        <item x="17"/>
        <item x="23"/>
        <item x="25"/>
        <item x="26"/>
        <item x="18"/>
        <item x="27"/>
        <item x="19"/>
        <item x="1"/>
        <item x="20"/>
        <item m="1" x="28"/>
        <item t="default"/>
      </items>
    </pivotField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16C9-B38F-46D5-A798-93CE40F30079}">
  <dimension ref="A1:E73"/>
  <sheetViews>
    <sheetView tabSelected="1" topLeftCell="A45" workbookViewId="0">
      <selection activeCell="C65" sqref="C65"/>
    </sheetView>
  </sheetViews>
  <sheetFormatPr defaultRowHeight="15" x14ac:dyDescent="0.25"/>
  <cols>
    <col min="1" max="1" width="13.85546875" bestFit="1" customWidth="1"/>
    <col min="2" max="2" width="14.85546875" bestFit="1" customWidth="1"/>
    <col min="3" max="3" width="75.7109375" customWidth="1"/>
    <col min="4" max="4" width="19.85546875" bestFit="1" customWidth="1"/>
    <col min="5" max="5" width="13.85546875" bestFit="1" customWidth="1"/>
  </cols>
  <sheetData>
    <row r="1" spans="1:5" ht="18.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s="2">
        <v>46087</v>
      </c>
      <c r="B2" s="3" t="s">
        <v>0</v>
      </c>
      <c r="C2" s="3" t="s">
        <v>1</v>
      </c>
      <c r="D2" s="3">
        <v>18249</v>
      </c>
      <c r="E2" s="3" t="s">
        <v>2</v>
      </c>
    </row>
    <row r="3" spans="1:5" x14ac:dyDescent="0.25">
      <c r="A3" s="2">
        <v>46113</v>
      </c>
      <c r="B3" s="3" t="s">
        <v>3</v>
      </c>
      <c r="C3" s="3" t="s">
        <v>4</v>
      </c>
      <c r="D3" s="3">
        <v>6700</v>
      </c>
      <c r="E3" s="3" t="s">
        <v>5</v>
      </c>
    </row>
    <row r="4" spans="1:5" x14ac:dyDescent="0.25">
      <c r="A4" s="2">
        <v>46077</v>
      </c>
      <c r="B4" s="3">
        <v>29165001</v>
      </c>
      <c r="C4" s="3" t="s">
        <v>7</v>
      </c>
      <c r="D4" s="3">
        <v>46</v>
      </c>
      <c r="E4" s="3" t="s">
        <v>2</v>
      </c>
    </row>
    <row r="5" spans="1:5" x14ac:dyDescent="0.25">
      <c r="A5" s="2">
        <v>46077</v>
      </c>
      <c r="B5" s="4" t="s">
        <v>8</v>
      </c>
      <c r="C5" s="3" t="s">
        <v>9</v>
      </c>
      <c r="D5" s="3">
        <v>57</v>
      </c>
      <c r="E5" s="3" t="s">
        <v>2</v>
      </c>
    </row>
    <row r="6" spans="1:5" x14ac:dyDescent="0.25">
      <c r="A6" s="2">
        <v>46078</v>
      </c>
      <c r="B6" s="4" t="s">
        <v>10</v>
      </c>
      <c r="C6" s="3" t="s">
        <v>11</v>
      </c>
      <c r="D6" s="3">
        <v>313.95999999999998</v>
      </c>
      <c r="E6" s="3" t="s">
        <v>2</v>
      </c>
    </row>
    <row r="7" spans="1:5" x14ac:dyDescent="0.25">
      <c r="A7" s="2">
        <v>46077</v>
      </c>
      <c r="B7" s="3">
        <v>63344606</v>
      </c>
      <c r="C7" s="3" t="s">
        <v>12</v>
      </c>
      <c r="D7" s="3">
        <v>12.5</v>
      </c>
      <c r="E7" s="3" t="s">
        <v>2</v>
      </c>
    </row>
    <row r="8" spans="1:5" x14ac:dyDescent="0.25">
      <c r="A8" s="2">
        <v>46078</v>
      </c>
      <c r="B8" s="3">
        <v>54162486</v>
      </c>
      <c r="C8" s="3" t="s">
        <v>13</v>
      </c>
      <c r="D8" s="3">
        <v>23</v>
      </c>
      <c r="E8" s="3" t="s">
        <v>2</v>
      </c>
    </row>
    <row r="9" spans="1:5" x14ac:dyDescent="0.25">
      <c r="A9" s="2">
        <v>46079</v>
      </c>
      <c r="B9" s="3">
        <v>90461829</v>
      </c>
      <c r="C9" s="3" t="s">
        <v>14</v>
      </c>
      <c r="D9" s="3">
        <v>31.97</v>
      </c>
      <c r="E9" s="3" t="s">
        <v>2</v>
      </c>
    </row>
    <row r="10" spans="1:5" x14ac:dyDescent="0.25">
      <c r="A10" s="2">
        <v>46083</v>
      </c>
      <c r="B10" s="4" t="s">
        <v>42</v>
      </c>
      <c r="C10" s="3" t="s">
        <v>15</v>
      </c>
      <c r="D10" s="3">
        <v>1.1000000000000001</v>
      </c>
      <c r="E10" s="3" t="s">
        <v>2</v>
      </c>
    </row>
    <row r="11" spans="1:5" x14ac:dyDescent="0.25">
      <c r="A11" s="2">
        <v>46063</v>
      </c>
      <c r="B11" s="3">
        <v>80336550</v>
      </c>
      <c r="C11" s="3" t="s">
        <v>16</v>
      </c>
      <c r="D11" s="3">
        <v>11</v>
      </c>
      <c r="E11" s="3" t="s">
        <v>2</v>
      </c>
    </row>
    <row r="12" spans="1:5" x14ac:dyDescent="0.25">
      <c r="A12" s="2">
        <v>46063</v>
      </c>
      <c r="B12" s="3">
        <v>69507609</v>
      </c>
      <c r="C12" s="3" t="s">
        <v>17</v>
      </c>
      <c r="D12" s="3">
        <v>111.54</v>
      </c>
      <c r="E12" s="3" t="s">
        <v>2</v>
      </c>
    </row>
    <row r="13" spans="1:5" x14ac:dyDescent="0.25">
      <c r="A13" s="2">
        <v>46065</v>
      </c>
      <c r="B13" s="4" t="s">
        <v>43</v>
      </c>
      <c r="C13" s="3" t="s">
        <v>40</v>
      </c>
      <c r="D13" s="3">
        <v>299</v>
      </c>
      <c r="E13" s="3" t="s">
        <v>41</v>
      </c>
    </row>
    <row r="14" spans="1:5" x14ac:dyDescent="0.25">
      <c r="A14" s="2">
        <v>46065</v>
      </c>
      <c r="B14" s="3">
        <v>56845220</v>
      </c>
      <c r="C14" s="3" t="s">
        <v>18</v>
      </c>
      <c r="D14" s="3">
        <v>2.75</v>
      </c>
      <c r="E14" s="3" t="s">
        <v>2</v>
      </c>
    </row>
    <row r="15" spans="1:5" x14ac:dyDescent="0.25">
      <c r="A15" s="2">
        <v>46066</v>
      </c>
      <c r="B15" s="3">
        <v>85610447</v>
      </c>
      <c r="C15" s="3" t="s">
        <v>18</v>
      </c>
      <c r="D15" s="3">
        <v>1.99</v>
      </c>
      <c r="E15" s="3" t="s">
        <v>2</v>
      </c>
    </row>
    <row r="16" spans="1:5" x14ac:dyDescent="0.25">
      <c r="A16" s="2">
        <v>46068</v>
      </c>
      <c r="B16" s="3">
        <v>50560090</v>
      </c>
      <c r="C16" s="3" t="s">
        <v>19</v>
      </c>
      <c r="D16" s="3">
        <v>12</v>
      </c>
      <c r="E16" s="3" t="s">
        <v>2</v>
      </c>
    </row>
    <row r="17" spans="1:5" x14ac:dyDescent="0.25">
      <c r="A17" s="2">
        <v>46068</v>
      </c>
      <c r="B17" s="3">
        <v>30610759</v>
      </c>
      <c r="C17" s="3" t="s">
        <v>20</v>
      </c>
      <c r="D17" s="3">
        <v>15.5</v>
      </c>
      <c r="E17" s="3" t="s">
        <v>2</v>
      </c>
    </row>
    <row r="18" spans="1:5" x14ac:dyDescent="0.25">
      <c r="A18" s="2">
        <v>46068</v>
      </c>
      <c r="B18" s="3">
        <v>30610766</v>
      </c>
      <c r="C18" s="3" t="s">
        <v>20</v>
      </c>
      <c r="D18" s="3">
        <v>6.5</v>
      </c>
      <c r="E18" s="3" t="s">
        <v>2</v>
      </c>
    </row>
    <row r="19" spans="1:5" x14ac:dyDescent="0.25">
      <c r="A19" s="2">
        <v>46067</v>
      </c>
      <c r="B19" s="3">
        <v>17123008</v>
      </c>
      <c r="C19" s="3" t="s">
        <v>21</v>
      </c>
      <c r="D19" s="3">
        <v>1.89</v>
      </c>
      <c r="E19" s="3" t="s">
        <v>2</v>
      </c>
    </row>
    <row r="20" spans="1:5" x14ac:dyDescent="0.25">
      <c r="A20" s="2">
        <v>46067</v>
      </c>
      <c r="B20" s="3">
        <v>26507209</v>
      </c>
      <c r="C20" s="3" t="s">
        <v>21</v>
      </c>
      <c r="D20" s="3">
        <v>193.78</v>
      </c>
      <c r="E20" s="3" t="s">
        <v>2</v>
      </c>
    </row>
    <row r="21" spans="1:5" x14ac:dyDescent="0.25">
      <c r="A21" s="2">
        <v>46067</v>
      </c>
      <c r="B21" s="3">
        <v>22297407</v>
      </c>
      <c r="C21" s="3" t="s">
        <v>22</v>
      </c>
      <c r="D21" s="3">
        <v>20</v>
      </c>
      <c r="E21" s="3" t="s">
        <v>2</v>
      </c>
    </row>
    <row r="22" spans="1:5" x14ac:dyDescent="0.25">
      <c r="A22" s="2">
        <v>46067</v>
      </c>
      <c r="B22" s="3">
        <v>81106144</v>
      </c>
      <c r="C22" s="3" t="s">
        <v>23</v>
      </c>
      <c r="D22" s="3">
        <v>51.94</v>
      </c>
      <c r="E22" s="3" t="s">
        <v>2</v>
      </c>
    </row>
    <row r="23" spans="1:5" x14ac:dyDescent="0.25">
      <c r="A23" s="2">
        <v>46067</v>
      </c>
      <c r="B23" s="3">
        <v>75688811</v>
      </c>
      <c r="C23" s="3" t="s">
        <v>24</v>
      </c>
      <c r="D23" s="3">
        <v>54</v>
      </c>
      <c r="E23" s="3" t="s">
        <v>2</v>
      </c>
    </row>
    <row r="24" spans="1:5" x14ac:dyDescent="0.25">
      <c r="A24" s="2">
        <v>46068</v>
      </c>
      <c r="B24" s="3">
        <v>16451610</v>
      </c>
      <c r="C24" s="3" t="s">
        <v>25</v>
      </c>
      <c r="D24" s="3">
        <v>20</v>
      </c>
      <c r="E24" s="3" t="s">
        <v>2</v>
      </c>
    </row>
    <row r="25" spans="1:5" x14ac:dyDescent="0.25">
      <c r="A25" s="2">
        <v>46068</v>
      </c>
      <c r="B25" s="3">
        <v>50097602</v>
      </c>
      <c r="C25" s="3" t="s">
        <v>26</v>
      </c>
      <c r="D25" s="3">
        <v>30</v>
      </c>
      <c r="E25" s="3" t="s">
        <v>2</v>
      </c>
    </row>
    <row r="26" spans="1:5" x14ac:dyDescent="0.25">
      <c r="A26" s="2">
        <v>46068</v>
      </c>
      <c r="B26" s="3">
        <v>47279986</v>
      </c>
      <c r="C26" s="3" t="s">
        <v>27</v>
      </c>
      <c r="D26" s="3">
        <v>20</v>
      </c>
      <c r="E26" s="3" t="s">
        <v>2</v>
      </c>
    </row>
    <row r="27" spans="1:5" x14ac:dyDescent="0.25">
      <c r="A27" s="2">
        <v>46068</v>
      </c>
      <c r="B27" s="3">
        <v>84026085</v>
      </c>
      <c r="C27" s="3" t="s">
        <v>28</v>
      </c>
      <c r="D27" s="3">
        <v>12</v>
      </c>
      <c r="E27" s="3" t="s">
        <v>2</v>
      </c>
    </row>
    <row r="28" spans="1:5" x14ac:dyDescent="0.25">
      <c r="A28" s="2">
        <v>46068</v>
      </c>
      <c r="B28" s="3">
        <v>84026432</v>
      </c>
      <c r="C28" s="3" t="s">
        <v>28</v>
      </c>
      <c r="D28" s="3">
        <v>15</v>
      </c>
      <c r="E28" s="3" t="s">
        <v>2</v>
      </c>
    </row>
    <row r="29" spans="1:5" x14ac:dyDescent="0.25">
      <c r="A29" s="2">
        <v>46068</v>
      </c>
      <c r="B29" s="3">
        <v>84201282</v>
      </c>
      <c r="C29" s="3" t="s">
        <v>29</v>
      </c>
      <c r="D29" s="3">
        <v>15</v>
      </c>
      <c r="E29" s="3" t="s">
        <v>2</v>
      </c>
    </row>
    <row r="30" spans="1:5" x14ac:dyDescent="0.25">
      <c r="A30" s="2">
        <v>46071</v>
      </c>
      <c r="B30" s="3">
        <v>31983035</v>
      </c>
      <c r="C30" s="3" t="s">
        <v>17</v>
      </c>
      <c r="D30" s="3">
        <v>472</v>
      </c>
      <c r="E30" s="3" t="s">
        <v>2</v>
      </c>
    </row>
    <row r="31" spans="1:5" x14ac:dyDescent="0.25">
      <c r="A31" s="2">
        <v>46074</v>
      </c>
      <c r="B31" s="4" t="s">
        <v>44</v>
      </c>
      <c r="C31" s="3" t="s">
        <v>30</v>
      </c>
      <c r="D31" s="3">
        <v>84</v>
      </c>
      <c r="E31" s="3" t="s">
        <v>2</v>
      </c>
    </row>
    <row r="32" spans="1:5" x14ac:dyDescent="0.25">
      <c r="A32" s="2">
        <v>46076</v>
      </c>
      <c r="B32" s="3">
        <v>12531207</v>
      </c>
      <c r="C32" s="3" t="s">
        <v>31</v>
      </c>
      <c r="D32" s="3">
        <v>95</v>
      </c>
      <c r="E32" s="3" t="s">
        <v>2</v>
      </c>
    </row>
    <row r="33" spans="1:5" x14ac:dyDescent="0.25">
      <c r="A33" s="2">
        <v>46076</v>
      </c>
      <c r="B33" s="3">
        <v>61881129</v>
      </c>
      <c r="C33" s="3" t="s">
        <v>32</v>
      </c>
      <c r="D33" s="3">
        <v>130.5</v>
      </c>
      <c r="E33" s="3" t="s">
        <v>2</v>
      </c>
    </row>
    <row r="34" spans="1:5" x14ac:dyDescent="0.25">
      <c r="A34" s="2">
        <v>46077</v>
      </c>
      <c r="B34" s="3">
        <v>89087842</v>
      </c>
      <c r="C34" s="3" t="s">
        <v>18</v>
      </c>
      <c r="D34" s="3">
        <v>28.24</v>
      </c>
      <c r="E34" s="3" t="s">
        <v>2</v>
      </c>
    </row>
    <row r="35" spans="1:5" x14ac:dyDescent="0.25">
      <c r="A35" s="2">
        <v>46077</v>
      </c>
      <c r="B35" s="3">
        <v>68247703</v>
      </c>
      <c r="C35" s="3" t="s">
        <v>33</v>
      </c>
      <c r="D35" s="3">
        <v>475.1</v>
      </c>
      <c r="E35" s="3" t="s">
        <v>2</v>
      </c>
    </row>
    <row r="36" spans="1:5" x14ac:dyDescent="0.25">
      <c r="A36" s="2">
        <v>46078</v>
      </c>
      <c r="B36" s="4" t="s">
        <v>45</v>
      </c>
      <c r="C36" s="3" t="s">
        <v>18</v>
      </c>
      <c r="D36" s="3">
        <v>48.32</v>
      </c>
      <c r="E36" s="3" t="s">
        <v>2</v>
      </c>
    </row>
    <row r="37" spans="1:5" x14ac:dyDescent="0.25">
      <c r="A37" s="2">
        <v>46078</v>
      </c>
      <c r="B37" s="3">
        <v>46617587</v>
      </c>
      <c r="C37" s="3" t="s">
        <v>34</v>
      </c>
      <c r="D37" s="3">
        <v>394.99</v>
      </c>
      <c r="E37" s="3" t="s">
        <v>2</v>
      </c>
    </row>
    <row r="38" spans="1:5" x14ac:dyDescent="0.25">
      <c r="A38" s="2">
        <v>46078</v>
      </c>
      <c r="B38" s="3">
        <v>15443601</v>
      </c>
      <c r="C38" s="3" t="s">
        <v>35</v>
      </c>
      <c r="D38" s="3">
        <v>60</v>
      </c>
      <c r="E38" s="3" t="s">
        <v>2</v>
      </c>
    </row>
    <row r="39" spans="1:5" x14ac:dyDescent="0.25">
      <c r="A39" s="2">
        <v>46082</v>
      </c>
      <c r="B39" s="3">
        <v>50614295</v>
      </c>
      <c r="C39" s="3" t="s">
        <v>36</v>
      </c>
      <c r="D39" s="3">
        <v>37</v>
      </c>
      <c r="E39" s="3" t="s">
        <v>2</v>
      </c>
    </row>
    <row r="40" spans="1:5" x14ac:dyDescent="0.25">
      <c r="A40" s="2">
        <v>46082</v>
      </c>
      <c r="B40" s="3">
        <v>71709009</v>
      </c>
      <c r="C40" s="3" t="s">
        <v>37</v>
      </c>
      <c r="D40" s="3">
        <v>38</v>
      </c>
      <c r="E40" s="3" t="s">
        <v>2</v>
      </c>
    </row>
    <row r="41" spans="1:5" x14ac:dyDescent="0.25">
      <c r="A41" s="2">
        <v>46082</v>
      </c>
      <c r="B41" s="3">
        <v>79739404</v>
      </c>
      <c r="C41" s="3" t="s">
        <v>38</v>
      </c>
      <c r="D41" s="3">
        <v>26.78</v>
      </c>
      <c r="E41" s="3" t="s">
        <v>2</v>
      </c>
    </row>
    <row r="42" spans="1:5" x14ac:dyDescent="0.25">
      <c r="A42" s="2">
        <v>46082</v>
      </c>
      <c r="B42" s="3">
        <v>56465939</v>
      </c>
      <c r="C42" s="3" t="s">
        <v>39</v>
      </c>
      <c r="D42" s="3">
        <v>18.75</v>
      </c>
      <c r="E42" s="3" t="s">
        <v>2</v>
      </c>
    </row>
    <row r="43" spans="1:5" x14ac:dyDescent="0.25">
      <c r="A43" s="2">
        <v>46084</v>
      </c>
      <c r="B43" s="4" t="s">
        <v>46</v>
      </c>
      <c r="C43" s="3" t="s">
        <v>40</v>
      </c>
      <c r="D43" s="3">
        <v>198</v>
      </c>
      <c r="E43" s="3" t="s">
        <v>41</v>
      </c>
    </row>
    <row r="44" spans="1:5" x14ac:dyDescent="0.25">
      <c r="A44" s="2">
        <v>46083</v>
      </c>
      <c r="B44" s="3">
        <v>73527387</v>
      </c>
      <c r="C44" s="3" t="s">
        <v>17</v>
      </c>
      <c r="D44" s="3">
        <v>347.42</v>
      </c>
      <c r="E44" s="3" t="s">
        <v>2</v>
      </c>
    </row>
    <row r="45" spans="1:5" x14ac:dyDescent="0.25">
      <c r="A45" s="2">
        <v>46086</v>
      </c>
      <c r="B45" s="3">
        <v>41963206</v>
      </c>
      <c r="C45" s="3" t="s">
        <v>52</v>
      </c>
      <c r="D45" s="3">
        <v>233.89</v>
      </c>
      <c r="E45" s="3" t="s">
        <v>5</v>
      </c>
    </row>
    <row r="46" spans="1:5" x14ac:dyDescent="0.25">
      <c r="A46" s="2">
        <v>46095</v>
      </c>
      <c r="B46" s="3">
        <v>10179008</v>
      </c>
      <c r="C46" s="3" t="s">
        <v>6</v>
      </c>
      <c r="D46" s="3">
        <v>209</v>
      </c>
      <c r="E46" s="3" t="s">
        <v>5</v>
      </c>
    </row>
    <row r="47" spans="1:5" x14ac:dyDescent="0.25">
      <c r="A47" s="2">
        <v>46099</v>
      </c>
      <c r="B47" s="3">
        <v>35692307</v>
      </c>
      <c r="C47" s="3" t="s">
        <v>52</v>
      </c>
      <c r="D47" s="3">
        <v>605.55999999999995</v>
      </c>
      <c r="E47" s="3" t="s">
        <v>2</v>
      </c>
    </row>
    <row r="48" spans="1:5" x14ac:dyDescent="0.25">
      <c r="A48" s="2">
        <v>46106</v>
      </c>
      <c r="B48" s="3" t="s">
        <v>53</v>
      </c>
      <c r="C48" s="3" t="s">
        <v>11</v>
      </c>
      <c r="D48" s="3">
        <v>607.95000000000005</v>
      </c>
      <c r="E48" s="3" t="s">
        <v>2</v>
      </c>
    </row>
    <row r="49" spans="1:5" x14ac:dyDescent="0.25">
      <c r="A49" s="2">
        <v>46114</v>
      </c>
      <c r="B49" s="3" t="s">
        <v>54</v>
      </c>
      <c r="C49" s="3" t="s">
        <v>15</v>
      </c>
      <c r="D49" s="3">
        <v>1.1000000000000001</v>
      </c>
      <c r="E49" s="3" t="s">
        <v>2</v>
      </c>
    </row>
    <row r="50" spans="1:5" x14ac:dyDescent="0.25">
      <c r="A50" s="2">
        <v>46087</v>
      </c>
      <c r="B50" s="3">
        <v>11311304</v>
      </c>
      <c r="C50" s="3" t="s">
        <v>55</v>
      </c>
      <c r="D50" s="3">
        <v>15</v>
      </c>
      <c r="E50" s="3" t="s">
        <v>2</v>
      </c>
    </row>
    <row r="51" spans="1:5" x14ac:dyDescent="0.25">
      <c r="A51" s="2">
        <v>46087</v>
      </c>
      <c r="B51" s="3">
        <v>16072884</v>
      </c>
      <c r="C51" s="3" t="s">
        <v>17</v>
      </c>
      <c r="D51" s="3">
        <v>292.99</v>
      </c>
      <c r="E51" s="3" t="s">
        <v>2</v>
      </c>
    </row>
    <row r="52" spans="1:5" x14ac:dyDescent="0.25">
      <c r="A52" s="2">
        <v>46089</v>
      </c>
      <c r="B52" s="3">
        <v>99304385</v>
      </c>
      <c r="C52" s="3" t="s">
        <v>56</v>
      </c>
      <c r="D52" s="3">
        <v>93</v>
      </c>
      <c r="E52" s="3" t="s">
        <v>2</v>
      </c>
    </row>
    <row r="53" spans="1:5" x14ac:dyDescent="0.25">
      <c r="A53" s="2">
        <v>46089</v>
      </c>
      <c r="B53" s="3" t="s">
        <v>57</v>
      </c>
      <c r="C53" s="3" t="s">
        <v>58</v>
      </c>
      <c r="D53" s="3">
        <v>85</v>
      </c>
      <c r="E53" s="3" t="s">
        <v>2</v>
      </c>
    </row>
    <row r="54" spans="1:5" x14ac:dyDescent="0.25">
      <c r="A54" s="2">
        <v>46089</v>
      </c>
      <c r="B54" s="3" t="s">
        <v>59</v>
      </c>
      <c r="C54" s="3" t="s">
        <v>21</v>
      </c>
      <c r="D54" s="3">
        <v>121.35</v>
      </c>
      <c r="E54" s="3" t="s">
        <v>2</v>
      </c>
    </row>
    <row r="55" spans="1:5" x14ac:dyDescent="0.25">
      <c r="A55" s="2">
        <v>46089</v>
      </c>
      <c r="B55" s="3">
        <v>42002556</v>
      </c>
      <c r="C55" s="3" t="s">
        <v>60</v>
      </c>
      <c r="D55" s="3">
        <v>300</v>
      </c>
      <c r="E55" s="3" t="s">
        <v>2</v>
      </c>
    </row>
    <row r="56" spans="1:5" x14ac:dyDescent="0.25">
      <c r="A56" s="2">
        <v>46089</v>
      </c>
      <c r="B56" s="3">
        <v>40990481</v>
      </c>
      <c r="C56" s="3" t="s">
        <v>61</v>
      </c>
      <c r="D56" s="3">
        <v>115.17</v>
      </c>
      <c r="E56" s="3" t="s">
        <v>2</v>
      </c>
    </row>
    <row r="57" spans="1:5" x14ac:dyDescent="0.25">
      <c r="A57" s="2">
        <v>46092</v>
      </c>
      <c r="B57" s="3">
        <v>47550992</v>
      </c>
      <c r="C57" s="3" t="s">
        <v>18</v>
      </c>
      <c r="D57" s="3">
        <v>18.75</v>
      </c>
      <c r="E57" s="3" t="s">
        <v>2</v>
      </c>
    </row>
    <row r="58" spans="1:5" x14ac:dyDescent="0.25">
      <c r="A58" s="2">
        <v>46096</v>
      </c>
      <c r="B58" s="3">
        <v>95670330</v>
      </c>
      <c r="C58" s="3" t="s">
        <v>62</v>
      </c>
      <c r="D58" s="3">
        <v>40</v>
      </c>
      <c r="E58" s="3" t="s">
        <v>2</v>
      </c>
    </row>
    <row r="59" spans="1:5" x14ac:dyDescent="0.25">
      <c r="A59" s="2">
        <v>46094</v>
      </c>
      <c r="B59" s="3" t="s">
        <v>63</v>
      </c>
      <c r="C59" s="3" t="s">
        <v>17</v>
      </c>
      <c r="D59" s="3">
        <v>175.72</v>
      </c>
      <c r="E59" s="3" t="s">
        <v>2</v>
      </c>
    </row>
    <row r="60" spans="1:5" x14ac:dyDescent="0.25">
      <c r="A60" s="2">
        <v>46096</v>
      </c>
      <c r="B60" s="3">
        <v>43695236</v>
      </c>
      <c r="C60" s="3" t="s">
        <v>64</v>
      </c>
      <c r="D60" s="3">
        <v>88.9</v>
      </c>
      <c r="E60" s="3" t="s">
        <v>2</v>
      </c>
    </row>
    <row r="61" spans="1:5" x14ac:dyDescent="0.25">
      <c r="A61" s="2">
        <v>46097</v>
      </c>
      <c r="B61" s="3">
        <v>53337116</v>
      </c>
      <c r="C61" s="3" t="s">
        <v>17</v>
      </c>
      <c r="D61" s="3">
        <v>795.88</v>
      </c>
      <c r="E61" s="3" t="s">
        <v>2</v>
      </c>
    </row>
    <row r="62" spans="1:5" x14ac:dyDescent="0.25">
      <c r="A62" s="2">
        <v>46098</v>
      </c>
      <c r="B62" s="3">
        <v>43409798</v>
      </c>
      <c r="C62" s="3" t="s">
        <v>65</v>
      </c>
      <c r="D62" s="3">
        <v>15.97</v>
      </c>
      <c r="E62" s="3" t="s">
        <v>2</v>
      </c>
    </row>
    <row r="63" spans="1:5" x14ac:dyDescent="0.25">
      <c r="A63" s="2">
        <v>46102</v>
      </c>
      <c r="B63" s="3">
        <v>43267507</v>
      </c>
      <c r="C63" s="3" t="s">
        <v>66</v>
      </c>
      <c r="D63" s="3">
        <v>20.5</v>
      </c>
      <c r="E63" s="3" t="s">
        <v>2</v>
      </c>
    </row>
    <row r="64" spans="1:5" x14ac:dyDescent="0.25">
      <c r="A64" s="2">
        <v>46102</v>
      </c>
      <c r="B64" s="3">
        <v>21080180</v>
      </c>
      <c r="C64" s="3" t="s">
        <v>67</v>
      </c>
      <c r="D64" s="3">
        <v>2</v>
      </c>
      <c r="E64" s="3" t="s">
        <v>2</v>
      </c>
    </row>
    <row r="65" spans="1:5" x14ac:dyDescent="0.25">
      <c r="A65" s="2">
        <v>46102</v>
      </c>
      <c r="B65" s="3">
        <v>35038609</v>
      </c>
      <c r="C65" s="3" t="s">
        <v>68</v>
      </c>
      <c r="D65" s="3">
        <v>42</v>
      </c>
      <c r="E65" s="3" t="s">
        <v>2</v>
      </c>
    </row>
    <row r="66" spans="1:5" ht="18.75" x14ac:dyDescent="0.3">
      <c r="D66" s="5">
        <f>SUM(D2:D65)</f>
        <v>32662.25</v>
      </c>
    </row>
    <row r="69" spans="1:5" x14ac:dyDescent="0.25">
      <c r="A69" s="6" t="s">
        <v>69</v>
      </c>
      <c r="B69" t="s">
        <v>71</v>
      </c>
    </row>
    <row r="70" spans="1:5" x14ac:dyDescent="0.25">
      <c r="A70" s="7" t="s">
        <v>2</v>
      </c>
      <c r="B70">
        <v>25022.36</v>
      </c>
    </row>
    <row r="71" spans="1:5" x14ac:dyDescent="0.25">
      <c r="A71" s="7" t="s">
        <v>41</v>
      </c>
      <c r="B71">
        <v>497</v>
      </c>
    </row>
    <row r="72" spans="1:5" x14ac:dyDescent="0.25">
      <c r="A72" s="7" t="s">
        <v>5</v>
      </c>
      <c r="B72">
        <v>7142.89</v>
      </c>
    </row>
    <row r="73" spans="1:5" x14ac:dyDescent="0.25">
      <c r="A73" s="7" t="s">
        <v>70</v>
      </c>
      <c r="B73">
        <v>32662.25</v>
      </c>
    </row>
  </sheetData>
  <autoFilter ref="A1:E66" xr:uid="{76AD16C9-B38F-46D5-A798-93CE40F300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4F7F-DCD6-47A8-98AF-319F6F626148}">
  <dimension ref="A1:E61"/>
  <sheetViews>
    <sheetView topLeftCell="A28" workbookViewId="0">
      <selection activeCell="C57" sqref="C57"/>
    </sheetView>
  </sheetViews>
  <sheetFormatPr defaultRowHeight="15" x14ac:dyDescent="0.25"/>
  <cols>
    <col min="1" max="1" width="10.42578125" bestFit="1" customWidth="1"/>
    <col min="2" max="2" width="17.42578125" bestFit="1" customWidth="1"/>
    <col min="3" max="3" width="35.28515625" bestFit="1" customWidth="1"/>
    <col min="4" max="4" width="19.85546875" bestFit="1" customWidth="1"/>
    <col min="5" max="5" width="10.85546875" bestFit="1" customWidth="1"/>
  </cols>
  <sheetData>
    <row r="1" spans="1:5" ht="18.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s="2">
        <v>46087</v>
      </c>
      <c r="B2" s="3" t="s">
        <v>0</v>
      </c>
      <c r="C2" s="3" t="s">
        <v>1</v>
      </c>
      <c r="D2" s="8">
        <v>18249</v>
      </c>
      <c r="E2" s="3" t="s">
        <v>2</v>
      </c>
    </row>
    <row r="3" spans="1:5" x14ac:dyDescent="0.25">
      <c r="A3" s="2">
        <v>46077</v>
      </c>
      <c r="B3" s="3">
        <v>29165001</v>
      </c>
      <c r="C3" s="3" t="s">
        <v>7</v>
      </c>
      <c r="D3" s="8">
        <v>46</v>
      </c>
      <c r="E3" s="3" t="s">
        <v>2</v>
      </c>
    </row>
    <row r="4" spans="1:5" x14ac:dyDescent="0.25">
      <c r="A4" s="2">
        <v>46077</v>
      </c>
      <c r="B4" s="4" t="s">
        <v>8</v>
      </c>
      <c r="C4" s="3" t="s">
        <v>9</v>
      </c>
      <c r="D4" s="8">
        <v>57</v>
      </c>
      <c r="E4" s="3" t="s">
        <v>2</v>
      </c>
    </row>
    <row r="5" spans="1:5" x14ac:dyDescent="0.25">
      <c r="A5" s="2">
        <v>46078</v>
      </c>
      <c r="B5" s="4" t="s">
        <v>10</v>
      </c>
      <c r="C5" s="3" t="s">
        <v>11</v>
      </c>
      <c r="D5" s="8">
        <v>313.95999999999998</v>
      </c>
      <c r="E5" s="3" t="s">
        <v>2</v>
      </c>
    </row>
    <row r="6" spans="1:5" x14ac:dyDescent="0.25">
      <c r="A6" s="2">
        <v>46077</v>
      </c>
      <c r="B6" s="3">
        <v>63344606</v>
      </c>
      <c r="C6" s="3" t="s">
        <v>12</v>
      </c>
      <c r="D6" s="8">
        <v>12.5</v>
      </c>
      <c r="E6" s="3" t="s">
        <v>2</v>
      </c>
    </row>
    <row r="7" spans="1:5" x14ac:dyDescent="0.25">
      <c r="A7" s="2">
        <v>46078</v>
      </c>
      <c r="B7" s="3">
        <v>54162486</v>
      </c>
      <c r="C7" s="3" t="s">
        <v>13</v>
      </c>
      <c r="D7" s="8">
        <v>23</v>
      </c>
      <c r="E7" s="3" t="s">
        <v>2</v>
      </c>
    </row>
    <row r="8" spans="1:5" x14ac:dyDescent="0.25">
      <c r="A8" s="2">
        <v>46079</v>
      </c>
      <c r="B8" s="3">
        <v>90461829</v>
      </c>
      <c r="C8" s="3" t="s">
        <v>14</v>
      </c>
      <c r="D8" s="8">
        <v>31.97</v>
      </c>
      <c r="E8" s="3" t="s">
        <v>2</v>
      </c>
    </row>
    <row r="9" spans="1:5" x14ac:dyDescent="0.25">
      <c r="A9" s="2">
        <v>46083</v>
      </c>
      <c r="B9" s="4" t="s">
        <v>42</v>
      </c>
      <c r="C9" s="3" t="s">
        <v>15</v>
      </c>
      <c r="D9" s="8">
        <v>1.1000000000000001</v>
      </c>
      <c r="E9" s="3" t="s">
        <v>2</v>
      </c>
    </row>
    <row r="10" spans="1:5" x14ac:dyDescent="0.25">
      <c r="A10" s="2">
        <v>46063</v>
      </c>
      <c r="B10" s="3">
        <v>80336550</v>
      </c>
      <c r="C10" s="3" t="s">
        <v>16</v>
      </c>
      <c r="D10" s="8">
        <v>11</v>
      </c>
      <c r="E10" s="3" t="s">
        <v>2</v>
      </c>
    </row>
    <row r="11" spans="1:5" x14ac:dyDescent="0.25">
      <c r="A11" s="2">
        <v>46063</v>
      </c>
      <c r="B11" s="3">
        <v>69507609</v>
      </c>
      <c r="C11" s="3" t="s">
        <v>17</v>
      </c>
      <c r="D11" s="8">
        <v>111.54</v>
      </c>
      <c r="E11" s="3" t="s">
        <v>2</v>
      </c>
    </row>
    <row r="12" spans="1:5" x14ac:dyDescent="0.25">
      <c r="A12" s="2">
        <v>46065</v>
      </c>
      <c r="B12" s="3">
        <v>56845220</v>
      </c>
      <c r="C12" s="3" t="s">
        <v>18</v>
      </c>
      <c r="D12" s="8">
        <v>2.75</v>
      </c>
      <c r="E12" s="3" t="s">
        <v>2</v>
      </c>
    </row>
    <row r="13" spans="1:5" x14ac:dyDescent="0.25">
      <c r="A13" s="2">
        <v>46066</v>
      </c>
      <c r="B13" s="3">
        <v>85610447</v>
      </c>
      <c r="C13" s="3" t="s">
        <v>18</v>
      </c>
      <c r="D13" s="8">
        <v>1.99</v>
      </c>
      <c r="E13" s="3" t="s">
        <v>2</v>
      </c>
    </row>
    <row r="14" spans="1:5" x14ac:dyDescent="0.25">
      <c r="A14" s="2">
        <v>46068</v>
      </c>
      <c r="B14" s="3">
        <v>50560090</v>
      </c>
      <c r="C14" s="3" t="s">
        <v>19</v>
      </c>
      <c r="D14" s="8">
        <v>12</v>
      </c>
      <c r="E14" s="3" t="s">
        <v>2</v>
      </c>
    </row>
    <row r="15" spans="1:5" x14ac:dyDescent="0.25">
      <c r="A15" s="2">
        <v>46068</v>
      </c>
      <c r="B15" s="3">
        <v>30610759</v>
      </c>
      <c r="C15" s="3" t="s">
        <v>20</v>
      </c>
      <c r="D15" s="8">
        <v>15.5</v>
      </c>
      <c r="E15" s="3" t="s">
        <v>2</v>
      </c>
    </row>
    <row r="16" spans="1:5" x14ac:dyDescent="0.25">
      <c r="A16" s="2">
        <v>46068</v>
      </c>
      <c r="B16" s="3">
        <v>30610766</v>
      </c>
      <c r="C16" s="3" t="s">
        <v>20</v>
      </c>
      <c r="D16" s="8">
        <v>6.5</v>
      </c>
      <c r="E16" s="3" t="s">
        <v>2</v>
      </c>
    </row>
    <row r="17" spans="1:5" x14ac:dyDescent="0.25">
      <c r="A17" s="2">
        <v>46067</v>
      </c>
      <c r="B17" s="3">
        <v>17123008</v>
      </c>
      <c r="C17" s="3" t="s">
        <v>21</v>
      </c>
      <c r="D17" s="8">
        <v>1.89</v>
      </c>
      <c r="E17" s="3" t="s">
        <v>2</v>
      </c>
    </row>
    <row r="18" spans="1:5" x14ac:dyDescent="0.25">
      <c r="A18" s="2">
        <v>46067</v>
      </c>
      <c r="B18" s="3">
        <v>26507209</v>
      </c>
      <c r="C18" s="3" t="s">
        <v>21</v>
      </c>
      <c r="D18" s="8">
        <v>193.78</v>
      </c>
      <c r="E18" s="3" t="s">
        <v>2</v>
      </c>
    </row>
    <row r="19" spans="1:5" x14ac:dyDescent="0.25">
      <c r="A19" s="2">
        <v>46067</v>
      </c>
      <c r="B19" s="3">
        <v>22297407</v>
      </c>
      <c r="C19" s="3" t="s">
        <v>22</v>
      </c>
      <c r="D19" s="8">
        <v>20</v>
      </c>
      <c r="E19" s="3" t="s">
        <v>2</v>
      </c>
    </row>
    <row r="20" spans="1:5" x14ac:dyDescent="0.25">
      <c r="A20" s="2">
        <v>46067</v>
      </c>
      <c r="B20" s="3">
        <v>81106144</v>
      </c>
      <c r="C20" s="3" t="s">
        <v>23</v>
      </c>
      <c r="D20" s="8">
        <v>51.94</v>
      </c>
      <c r="E20" s="3" t="s">
        <v>2</v>
      </c>
    </row>
    <row r="21" spans="1:5" x14ac:dyDescent="0.25">
      <c r="A21" s="2">
        <v>46067</v>
      </c>
      <c r="B21" s="3">
        <v>75688811</v>
      </c>
      <c r="C21" s="3" t="s">
        <v>24</v>
      </c>
      <c r="D21" s="8">
        <v>54</v>
      </c>
      <c r="E21" s="3" t="s">
        <v>2</v>
      </c>
    </row>
    <row r="22" spans="1:5" x14ac:dyDescent="0.25">
      <c r="A22" s="2">
        <v>46068</v>
      </c>
      <c r="B22" s="3">
        <v>16451610</v>
      </c>
      <c r="C22" s="3" t="s">
        <v>25</v>
      </c>
      <c r="D22" s="8">
        <v>20</v>
      </c>
      <c r="E22" s="3" t="s">
        <v>2</v>
      </c>
    </row>
    <row r="23" spans="1:5" x14ac:dyDescent="0.25">
      <c r="A23" s="2">
        <v>46068</v>
      </c>
      <c r="B23" s="3">
        <v>50097602</v>
      </c>
      <c r="C23" s="3" t="s">
        <v>26</v>
      </c>
      <c r="D23" s="8">
        <v>30</v>
      </c>
      <c r="E23" s="3" t="s">
        <v>2</v>
      </c>
    </row>
    <row r="24" spans="1:5" x14ac:dyDescent="0.25">
      <c r="A24" s="2">
        <v>46068</v>
      </c>
      <c r="B24" s="3">
        <v>47279986</v>
      </c>
      <c r="C24" s="3" t="s">
        <v>27</v>
      </c>
      <c r="D24" s="8">
        <v>20</v>
      </c>
      <c r="E24" s="3" t="s">
        <v>2</v>
      </c>
    </row>
    <row r="25" spans="1:5" x14ac:dyDescent="0.25">
      <c r="A25" s="2">
        <v>46068</v>
      </c>
      <c r="B25" s="3">
        <v>84026085</v>
      </c>
      <c r="C25" s="3" t="s">
        <v>28</v>
      </c>
      <c r="D25" s="8">
        <v>12</v>
      </c>
      <c r="E25" s="3" t="s">
        <v>2</v>
      </c>
    </row>
    <row r="26" spans="1:5" x14ac:dyDescent="0.25">
      <c r="A26" s="2">
        <v>46068</v>
      </c>
      <c r="B26" s="3">
        <v>84026432</v>
      </c>
      <c r="C26" s="3" t="s">
        <v>28</v>
      </c>
      <c r="D26" s="8">
        <v>15</v>
      </c>
      <c r="E26" s="3" t="s">
        <v>2</v>
      </c>
    </row>
    <row r="27" spans="1:5" x14ac:dyDescent="0.25">
      <c r="A27" s="2">
        <v>46068</v>
      </c>
      <c r="B27" s="3">
        <v>84201282</v>
      </c>
      <c r="C27" s="3" t="s">
        <v>29</v>
      </c>
      <c r="D27" s="8">
        <v>15</v>
      </c>
      <c r="E27" s="3" t="s">
        <v>2</v>
      </c>
    </row>
    <row r="28" spans="1:5" x14ac:dyDescent="0.25">
      <c r="A28" s="2">
        <v>46071</v>
      </c>
      <c r="B28" s="3">
        <v>31983035</v>
      </c>
      <c r="C28" s="3" t="s">
        <v>17</v>
      </c>
      <c r="D28" s="8">
        <v>472</v>
      </c>
      <c r="E28" s="3" t="s">
        <v>2</v>
      </c>
    </row>
    <row r="29" spans="1:5" x14ac:dyDescent="0.25">
      <c r="A29" s="2">
        <v>46074</v>
      </c>
      <c r="B29" s="4" t="s">
        <v>44</v>
      </c>
      <c r="C29" s="3" t="s">
        <v>30</v>
      </c>
      <c r="D29" s="8">
        <v>84</v>
      </c>
      <c r="E29" s="3" t="s">
        <v>2</v>
      </c>
    </row>
    <row r="30" spans="1:5" x14ac:dyDescent="0.25">
      <c r="A30" s="2">
        <v>46076</v>
      </c>
      <c r="B30" s="3">
        <v>12531207</v>
      </c>
      <c r="C30" s="3" t="s">
        <v>31</v>
      </c>
      <c r="D30" s="8">
        <v>95</v>
      </c>
      <c r="E30" s="3" t="s">
        <v>2</v>
      </c>
    </row>
    <row r="31" spans="1:5" x14ac:dyDescent="0.25">
      <c r="A31" s="2">
        <v>46076</v>
      </c>
      <c r="B31" s="3">
        <v>61881129</v>
      </c>
      <c r="C31" s="3" t="s">
        <v>32</v>
      </c>
      <c r="D31" s="8">
        <v>130.5</v>
      </c>
      <c r="E31" s="3" t="s">
        <v>2</v>
      </c>
    </row>
    <row r="32" spans="1:5" x14ac:dyDescent="0.25">
      <c r="A32" s="2">
        <v>46077</v>
      </c>
      <c r="B32" s="3">
        <v>89087842</v>
      </c>
      <c r="C32" s="3" t="s">
        <v>18</v>
      </c>
      <c r="D32" s="8">
        <v>28.24</v>
      </c>
      <c r="E32" s="3" t="s">
        <v>2</v>
      </c>
    </row>
    <row r="33" spans="1:5" x14ac:dyDescent="0.25">
      <c r="A33" s="2">
        <v>46077</v>
      </c>
      <c r="B33" s="3">
        <v>68247703</v>
      </c>
      <c r="C33" s="3" t="s">
        <v>33</v>
      </c>
      <c r="D33" s="8">
        <v>475.1</v>
      </c>
      <c r="E33" s="3" t="s">
        <v>2</v>
      </c>
    </row>
    <row r="34" spans="1:5" x14ac:dyDescent="0.25">
      <c r="A34" s="2">
        <v>46078</v>
      </c>
      <c r="B34" s="4" t="s">
        <v>45</v>
      </c>
      <c r="C34" s="3" t="s">
        <v>18</v>
      </c>
      <c r="D34" s="8">
        <v>48.32</v>
      </c>
      <c r="E34" s="3" t="s">
        <v>2</v>
      </c>
    </row>
    <row r="35" spans="1:5" x14ac:dyDescent="0.25">
      <c r="A35" s="2">
        <v>46078</v>
      </c>
      <c r="B35" s="3">
        <v>46617587</v>
      </c>
      <c r="C35" s="3" t="s">
        <v>34</v>
      </c>
      <c r="D35" s="8">
        <v>394.99</v>
      </c>
      <c r="E35" s="3" t="s">
        <v>2</v>
      </c>
    </row>
    <row r="36" spans="1:5" x14ac:dyDescent="0.25">
      <c r="A36" s="2">
        <v>46078</v>
      </c>
      <c r="B36" s="3">
        <v>15443601</v>
      </c>
      <c r="C36" s="3" t="s">
        <v>35</v>
      </c>
      <c r="D36" s="8">
        <v>60</v>
      </c>
      <c r="E36" s="3" t="s">
        <v>2</v>
      </c>
    </row>
    <row r="37" spans="1:5" x14ac:dyDescent="0.25">
      <c r="A37" s="2">
        <v>46082</v>
      </c>
      <c r="B37" s="3">
        <v>50614295</v>
      </c>
      <c r="C37" s="3" t="s">
        <v>36</v>
      </c>
      <c r="D37" s="8">
        <v>37</v>
      </c>
      <c r="E37" s="3" t="s">
        <v>2</v>
      </c>
    </row>
    <row r="38" spans="1:5" x14ac:dyDescent="0.25">
      <c r="A38" s="2">
        <v>46082</v>
      </c>
      <c r="B38" s="3">
        <v>71709009</v>
      </c>
      <c r="C38" s="3" t="s">
        <v>37</v>
      </c>
      <c r="D38" s="8">
        <v>38</v>
      </c>
      <c r="E38" s="3" t="s">
        <v>2</v>
      </c>
    </row>
    <row r="39" spans="1:5" x14ac:dyDescent="0.25">
      <c r="A39" s="2">
        <v>46082</v>
      </c>
      <c r="B39" s="3">
        <v>79739404</v>
      </c>
      <c r="C39" s="3" t="s">
        <v>38</v>
      </c>
      <c r="D39" s="8">
        <v>26.78</v>
      </c>
      <c r="E39" s="3" t="s">
        <v>2</v>
      </c>
    </row>
    <row r="40" spans="1:5" x14ac:dyDescent="0.25">
      <c r="A40" s="2">
        <v>46082</v>
      </c>
      <c r="B40" s="3">
        <v>56465939</v>
      </c>
      <c r="C40" s="3" t="s">
        <v>39</v>
      </c>
      <c r="D40" s="8">
        <v>18.75</v>
      </c>
      <c r="E40" s="3" t="s">
        <v>2</v>
      </c>
    </row>
    <row r="41" spans="1:5" x14ac:dyDescent="0.25">
      <c r="A41" s="2">
        <v>46083</v>
      </c>
      <c r="B41" s="3">
        <v>73527387</v>
      </c>
      <c r="C41" s="3" t="s">
        <v>17</v>
      </c>
      <c r="D41" s="8">
        <v>347.42</v>
      </c>
      <c r="E41" s="3" t="s">
        <v>2</v>
      </c>
    </row>
    <row r="42" spans="1:5" x14ac:dyDescent="0.25">
      <c r="A42" s="2">
        <v>46099</v>
      </c>
      <c r="B42" s="3">
        <v>35692307</v>
      </c>
      <c r="C42" s="3" t="s">
        <v>52</v>
      </c>
      <c r="D42" s="8">
        <v>605.55999999999995</v>
      </c>
      <c r="E42" s="3" t="s">
        <v>2</v>
      </c>
    </row>
    <row r="43" spans="1:5" x14ac:dyDescent="0.25">
      <c r="A43" s="2">
        <v>46106</v>
      </c>
      <c r="B43" s="3" t="s">
        <v>53</v>
      </c>
      <c r="C43" s="3" t="s">
        <v>11</v>
      </c>
      <c r="D43" s="8">
        <v>607.95000000000005</v>
      </c>
      <c r="E43" s="3" t="s">
        <v>2</v>
      </c>
    </row>
    <row r="44" spans="1:5" x14ac:dyDescent="0.25">
      <c r="A44" s="2">
        <v>46114</v>
      </c>
      <c r="B44" s="3" t="s">
        <v>54</v>
      </c>
      <c r="C44" s="3" t="s">
        <v>15</v>
      </c>
      <c r="D44" s="8">
        <v>1.1000000000000001</v>
      </c>
      <c r="E44" s="3" t="s">
        <v>2</v>
      </c>
    </row>
    <row r="45" spans="1:5" x14ac:dyDescent="0.25">
      <c r="A45" s="2">
        <v>46087</v>
      </c>
      <c r="B45" s="3">
        <v>11311304</v>
      </c>
      <c r="C45" s="3" t="s">
        <v>55</v>
      </c>
      <c r="D45" s="8">
        <v>15</v>
      </c>
      <c r="E45" s="3" t="s">
        <v>2</v>
      </c>
    </row>
    <row r="46" spans="1:5" x14ac:dyDescent="0.25">
      <c r="A46" s="2">
        <v>46087</v>
      </c>
      <c r="B46" s="3">
        <v>16072884</v>
      </c>
      <c r="C46" s="3" t="s">
        <v>17</v>
      </c>
      <c r="D46" s="8">
        <v>292.99</v>
      </c>
      <c r="E46" s="3" t="s">
        <v>2</v>
      </c>
    </row>
    <row r="47" spans="1:5" x14ac:dyDescent="0.25">
      <c r="A47" s="2">
        <v>46089</v>
      </c>
      <c r="B47" s="3">
        <v>99304385</v>
      </c>
      <c r="C47" s="3" t="s">
        <v>56</v>
      </c>
      <c r="D47" s="8">
        <v>93</v>
      </c>
      <c r="E47" s="3" t="s">
        <v>2</v>
      </c>
    </row>
    <row r="48" spans="1:5" x14ac:dyDescent="0.25">
      <c r="A48" s="2">
        <v>46089</v>
      </c>
      <c r="B48" s="3" t="s">
        <v>57</v>
      </c>
      <c r="C48" s="3" t="s">
        <v>58</v>
      </c>
      <c r="D48" s="8">
        <v>85</v>
      </c>
      <c r="E48" s="3" t="s">
        <v>2</v>
      </c>
    </row>
    <row r="49" spans="1:5" x14ac:dyDescent="0.25">
      <c r="A49" s="2">
        <v>46089</v>
      </c>
      <c r="B49" s="3" t="s">
        <v>59</v>
      </c>
      <c r="C49" s="3" t="s">
        <v>21</v>
      </c>
      <c r="D49" s="8">
        <v>121.35</v>
      </c>
      <c r="E49" s="3" t="s">
        <v>2</v>
      </c>
    </row>
    <row r="50" spans="1:5" x14ac:dyDescent="0.25">
      <c r="A50" s="2">
        <v>46089</v>
      </c>
      <c r="B50" s="3">
        <v>42002556</v>
      </c>
      <c r="C50" s="3" t="s">
        <v>60</v>
      </c>
      <c r="D50" s="8">
        <v>300</v>
      </c>
      <c r="E50" s="3" t="s">
        <v>2</v>
      </c>
    </row>
    <row r="51" spans="1:5" x14ac:dyDescent="0.25">
      <c r="A51" s="2">
        <v>46089</v>
      </c>
      <c r="B51" s="3">
        <v>40990481</v>
      </c>
      <c r="C51" s="3" t="s">
        <v>61</v>
      </c>
      <c r="D51" s="8">
        <v>115.17</v>
      </c>
      <c r="E51" s="3" t="s">
        <v>2</v>
      </c>
    </row>
    <row r="52" spans="1:5" x14ac:dyDescent="0.25">
      <c r="A52" s="2">
        <v>46092</v>
      </c>
      <c r="B52" s="3">
        <v>47550992</v>
      </c>
      <c r="C52" s="3" t="s">
        <v>18</v>
      </c>
      <c r="D52" s="8">
        <v>18.75</v>
      </c>
      <c r="E52" s="3" t="s">
        <v>2</v>
      </c>
    </row>
    <row r="53" spans="1:5" x14ac:dyDescent="0.25">
      <c r="A53" s="2">
        <v>46096</v>
      </c>
      <c r="B53" s="3">
        <v>95670330</v>
      </c>
      <c r="C53" s="3" t="s">
        <v>62</v>
      </c>
      <c r="D53" s="8">
        <v>40</v>
      </c>
      <c r="E53" s="3" t="s">
        <v>2</v>
      </c>
    </row>
    <row r="54" spans="1:5" x14ac:dyDescent="0.25">
      <c r="A54" s="2">
        <v>46094</v>
      </c>
      <c r="B54" s="3" t="s">
        <v>63</v>
      </c>
      <c r="C54" s="3" t="s">
        <v>17</v>
      </c>
      <c r="D54" s="8">
        <v>175.72</v>
      </c>
      <c r="E54" s="3" t="s">
        <v>2</v>
      </c>
    </row>
    <row r="55" spans="1:5" x14ac:dyDescent="0.25">
      <c r="A55" s="2">
        <v>46096</v>
      </c>
      <c r="B55" s="3">
        <v>43695236</v>
      </c>
      <c r="C55" s="3" t="s">
        <v>64</v>
      </c>
      <c r="D55" s="8">
        <v>88.9</v>
      </c>
      <c r="E55" s="3" t="s">
        <v>2</v>
      </c>
    </row>
    <row r="56" spans="1:5" x14ac:dyDescent="0.25">
      <c r="A56" s="2">
        <v>46097</v>
      </c>
      <c r="B56" s="3">
        <v>53337116</v>
      </c>
      <c r="C56" s="3" t="s">
        <v>17</v>
      </c>
      <c r="D56" s="8">
        <v>795.88</v>
      </c>
      <c r="E56" s="3" t="s">
        <v>2</v>
      </c>
    </row>
    <row r="57" spans="1:5" x14ac:dyDescent="0.25">
      <c r="A57" s="2">
        <v>46098</v>
      </c>
      <c r="B57" s="3">
        <v>43409798</v>
      </c>
      <c r="C57" s="3" t="s">
        <v>65</v>
      </c>
      <c r="D57" s="8">
        <v>15.97</v>
      </c>
      <c r="E57" s="3" t="s">
        <v>2</v>
      </c>
    </row>
    <row r="58" spans="1:5" x14ac:dyDescent="0.25">
      <c r="A58" s="2">
        <v>46102</v>
      </c>
      <c r="B58" s="3">
        <v>43267507</v>
      </c>
      <c r="C58" s="3" t="s">
        <v>66</v>
      </c>
      <c r="D58" s="8">
        <v>20.5</v>
      </c>
      <c r="E58" s="3" t="s">
        <v>2</v>
      </c>
    </row>
    <row r="59" spans="1:5" x14ac:dyDescent="0.25">
      <c r="A59" s="2">
        <v>46102</v>
      </c>
      <c r="B59" s="3">
        <v>21080180</v>
      </c>
      <c r="C59" s="3" t="s">
        <v>67</v>
      </c>
      <c r="D59" s="8">
        <v>2</v>
      </c>
      <c r="E59" s="3" t="s">
        <v>2</v>
      </c>
    </row>
    <row r="60" spans="1:5" x14ac:dyDescent="0.25">
      <c r="A60" s="2">
        <v>46102</v>
      </c>
      <c r="B60" s="3">
        <v>35038609</v>
      </c>
      <c r="C60" s="3" t="s">
        <v>68</v>
      </c>
      <c r="D60" s="8">
        <v>42</v>
      </c>
      <c r="E60" s="3" t="s">
        <v>2</v>
      </c>
    </row>
    <row r="61" spans="1:5" ht="18.75" x14ac:dyDescent="0.25">
      <c r="D61" s="10">
        <f>SUM(D2:D60)</f>
        <v>25022.36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72AD-D241-4FFD-8195-39E26ED0E75F}">
  <dimension ref="A1:E5"/>
  <sheetViews>
    <sheetView workbookViewId="0">
      <selection activeCell="D5" sqref="D5"/>
    </sheetView>
  </sheetViews>
  <sheetFormatPr defaultRowHeight="15" x14ac:dyDescent="0.25"/>
  <cols>
    <col min="1" max="1" width="10.42578125" bestFit="1" customWidth="1"/>
    <col min="2" max="2" width="14.140625" bestFit="1" customWidth="1"/>
    <col min="3" max="3" width="36.7109375" bestFit="1" customWidth="1"/>
    <col min="4" max="4" width="18.42578125" bestFit="1" customWidth="1"/>
    <col min="5" max="5" width="10.5703125" bestFit="1" customWidth="1"/>
  </cols>
  <sheetData>
    <row r="1" spans="1:5" ht="18.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s="2">
        <v>46113</v>
      </c>
      <c r="B2" s="3" t="s">
        <v>3</v>
      </c>
      <c r="C2" s="3" t="s">
        <v>4</v>
      </c>
      <c r="D2" s="3">
        <v>6700</v>
      </c>
      <c r="E2" s="3" t="s">
        <v>5</v>
      </c>
    </row>
    <row r="3" spans="1:5" x14ac:dyDescent="0.25">
      <c r="A3" s="2">
        <v>46086</v>
      </c>
      <c r="B3" s="3">
        <v>41963206</v>
      </c>
      <c r="C3" s="3" t="s">
        <v>52</v>
      </c>
      <c r="D3" s="3">
        <v>233.89</v>
      </c>
      <c r="E3" s="3" t="s">
        <v>5</v>
      </c>
    </row>
    <row r="4" spans="1:5" x14ac:dyDescent="0.25">
      <c r="A4" s="2">
        <v>46095</v>
      </c>
      <c r="B4" s="3">
        <v>10179008</v>
      </c>
      <c r="C4" s="3" t="s">
        <v>6</v>
      </c>
      <c r="D4" s="3">
        <v>209</v>
      </c>
      <c r="E4" s="3" t="s">
        <v>5</v>
      </c>
    </row>
    <row r="5" spans="1:5" ht="18.75" x14ac:dyDescent="0.25">
      <c r="D5" s="9">
        <f>SUM(D2:D4)</f>
        <v>7142.89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78E3-C0BE-4CEB-BCDE-4835486F8C56}">
  <dimension ref="A1:E4"/>
  <sheetViews>
    <sheetView workbookViewId="0">
      <selection activeCell="D4" sqref="D4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9.85546875" bestFit="1" customWidth="1"/>
    <col min="4" max="4" width="16.140625" bestFit="1" customWidth="1"/>
    <col min="5" max="5" width="13.85546875" bestFit="1" customWidth="1"/>
  </cols>
  <sheetData>
    <row r="1" spans="1:5" ht="18.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s="2">
        <v>46065</v>
      </c>
      <c r="B2" s="4" t="s">
        <v>43</v>
      </c>
      <c r="C2" s="3" t="s">
        <v>40</v>
      </c>
      <c r="D2" s="3">
        <v>299</v>
      </c>
      <c r="E2" s="3" t="s">
        <v>41</v>
      </c>
    </row>
    <row r="3" spans="1:5" x14ac:dyDescent="0.25">
      <c r="A3" s="2">
        <v>46084</v>
      </c>
      <c r="B3" s="4" t="s">
        <v>46</v>
      </c>
      <c r="C3" s="3" t="s">
        <v>40</v>
      </c>
      <c r="D3" s="3">
        <v>198</v>
      </c>
      <c r="E3" s="3" t="s">
        <v>41</v>
      </c>
    </row>
    <row r="4" spans="1:5" ht="18.75" x14ac:dyDescent="0.25">
      <c r="D4" s="9">
        <f>SUM(D2:D3)</f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Details</vt:lpstr>
      <vt:lpstr>Faisal Bhai</vt:lpstr>
      <vt:lpstr>Swiss Tech</vt:lpstr>
      <vt:lpstr>Mudassir Bhai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2026-05-01T14:02:31Z</dcterms:created>
  <dcterms:modified xsi:type="dcterms:W3CDTF">2026-05-18T16:00:33Z</dcterms:modified>
</cp:coreProperties>
</file>