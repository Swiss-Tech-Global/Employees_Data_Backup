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E7E2C7F4-447A-4EAE-93C2-67EF97A67E6E}" xr6:coauthVersionLast="47" xr6:coauthVersionMax="47" xr10:uidLastSave="{00000000-0000-0000-0000-000000000000}"/>
  <bookViews>
    <workbookView xWindow="-120" yWindow="-120" windowWidth="20730" windowHeight="11040" xr2:uid="{DA31254E-A423-434C-938C-F7822EC57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  <c r="G34" i="1" l="1"/>
  <c r="H34" i="1" s="1"/>
  <c r="I34" i="1" s="1"/>
  <c r="G45" i="1"/>
  <c r="H45" i="1" s="1"/>
  <c r="I45" i="1" s="1"/>
  <c r="G21" i="1"/>
  <c r="H21" i="1"/>
  <c r="I21" i="1" s="1"/>
  <c r="G44" i="1"/>
  <c r="H44" i="1"/>
  <c r="I44" i="1" s="1"/>
  <c r="G8" i="1"/>
  <c r="H8" i="1" s="1"/>
  <c r="I8" i="1" s="1"/>
  <c r="G43" i="1"/>
  <c r="H43" i="1" s="1"/>
  <c r="I43" i="1" s="1"/>
  <c r="G7" i="1"/>
  <c r="H7" i="1"/>
  <c r="I7" i="1" s="1"/>
  <c r="G18" i="1"/>
  <c r="H18" i="1" s="1"/>
  <c r="I18" i="1" s="1"/>
  <c r="G17" i="1"/>
  <c r="H17" i="1" s="1"/>
  <c r="I17" i="1" s="1"/>
  <c r="G28" i="1"/>
  <c r="H28" i="1" s="1"/>
  <c r="I28" i="1" s="1"/>
  <c r="G39" i="1"/>
  <c r="H39" i="1" s="1"/>
  <c r="I39" i="1" s="1"/>
  <c r="G3" i="1"/>
  <c r="H3" i="1" s="1"/>
  <c r="I3" i="1" s="1"/>
  <c r="G2" i="1"/>
  <c r="H2" i="1" s="1"/>
  <c r="I2" i="1" s="1"/>
  <c r="G38" i="1"/>
  <c r="H38" i="1" s="1"/>
  <c r="I38" i="1" s="1"/>
  <c r="G26" i="1"/>
  <c r="H26" i="1" s="1"/>
  <c r="I26" i="1" s="1"/>
  <c r="G14" i="1"/>
  <c r="H14" i="1" s="1"/>
  <c r="I14" i="1" s="1"/>
  <c r="G22" i="1"/>
  <c r="H22" i="1" s="1"/>
  <c r="I22" i="1" s="1"/>
  <c r="G9" i="1"/>
  <c r="H9" i="1" s="1"/>
  <c r="I9" i="1" s="1"/>
  <c r="G20" i="1"/>
  <c r="H20" i="1" s="1"/>
  <c r="I20" i="1" s="1"/>
  <c r="G31" i="1"/>
  <c r="H31" i="1" s="1"/>
  <c r="I31" i="1" s="1"/>
  <c r="G42" i="1"/>
  <c r="H42" i="1" s="1"/>
  <c r="I42" i="1" s="1"/>
  <c r="G6" i="1"/>
  <c r="H6" i="1" s="1"/>
  <c r="I6" i="1" s="1"/>
  <c r="G29" i="1"/>
  <c r="H29" i="1" s="1"/>
  <c r="I29" i="1" s="1"/>
  <c r="G16" i="1"/>
  <c r="H16" i="1" s="1"/>
  <c r="I16" i="1" s="1"/>
  <c r="G15" i="1"/>
  <c r="H15" i="1" s="1"/>
  <c r="I15" i="1" s="1"/>
  <c r="G37" i="1"/>
  <c r="H37" i="1" s="1"/>
  <c r="I37" i="1" s="1"/>
  <c r="G13" i="1"/>
  <c r="H13" i="1" s="1"/>
  <c r="I13" i="1" s="1"/>
  <c r="G48" i="1"/>
  <c r="H48" i="1" s="1"/>
  <c r="I48" i="1" s="1"/>
  <c r="G36" i="1"/>
  <c r="H36" i="1" s="1"/>
  <c r="I36" i="1" s="1"/>
  <c r="G24" i="1"/>
  <c r="H24" i="1" s="1"/>
  <c r="I24" i="1" s="1"/>
  <c r="G12" i="1"/>
  <c r="H12" i="1" s="1"/>
  <c r="I12" i="1" s="1"/>
  <c r="G46" i="1"/>
  <c r="H46" i="1" s="1"/>
  <c r="I46" i="1" s="1"/>
  <c r="G10" i="1"/>
  <c r="H10" i="1" s="1"/>
  <c r="I10" i="1" s="1"/>
  <c r="G33" i="1"/>
  <c r="H33" i="1" s="1"/>
  <c r="I33" i="1" s="1"/>
  <c r="G32" i="1"/>
  <c r="H32" i="1" s="1"/>
  <c r="I32" i="1" s="1"/>
  <c r="G19" i="1"/>
  <c r="H19" i="1" s="1"/>
  <c r="I19" i="1" s="1"/>
  <c r="G30" i="1"/>
  <c r="H30" i="1" s="1"/>
  <c r="I30" i="1" s="1"/>
  <c r="G41" i="1"/>
  <c r="H41" i="1" s="1"/>
  <c r="I41" i="1" s="1"/>
  <c r="G5" i="1"/>
  <c r="H5" i="1" s="1"/>
  <c r="I5" i="1" s="1"/>
  <c r="G40" i="1"/>
  <c r="H40" i="1" s="1"/>
  <c r="I40" i="1" s="1"/>
  <c r="G4" i="1"/>
  <c r="H4" i="1" s="1"/>
  <c r="I4" i="1" s="1"/>
  <c r="G27" i="1"/>
  <c r="H27" i="1" s="1"/>
  <c r="I27" i="1" s="1"/>
  <c r="G49" i="1"/>
  <c r="H49" i="1" s="1"/>
  <c r="I49" i="1" s="1"/>
  <c r="G25" i="1"/>
  <c r="H25" i="1" s="1"/>
  <c r="I25" i="1" s="1"/>
  <c r="G47" i="1"/>
  <c r="H47" i="1"/>
  <c r="I47" i="1" s="1"/>
  <c r="G35" i="1"/>
  <c r="H35" i="1" s="1"/>
  <c r="I35" i="1" s="1"/>
  <c r="G23" i="1"/>
  <c r="H23" i="1" s="1"/>
  <c r="I23" i="1" s="1"/>
  <c r="G11" i="1"/>
  <c r="H11" i="1" s="1"/>
  <c r="I11" i="1" s="1"/>
</calcChain>
</file>

<file path=xl/sharedStrings.xml><?xml version="1.0" encoding="utf-8"?>
<sst xmlns="http://schemas.openxmlformats.org/spreadsheetml/2006/main" count="105" uniqueCount="62">
  <si>
    <t>Sr No</t>
  </si>
  <si>
    <t>Discarpation</t>
  </si>
  <si>
    <t>Apple iPhone 17 Pro Max 1TB (Cosmic Orange)</t>
  </si>
  <si>
    <t>Apple iPhone 17 Pro Max 1TB (Silver)</t>
  </si>
  <si>
    <t>Apple iPhone 17 Pro Max 2TB (Silver)</t>
  </si>
  <si>
    <t>Apple iPhone 17 Pro Max 2TB (Cosmic Orange)</t>
  </si>
  <si>
    <t>Apple iPhone 17 512GB (Sage)</t>
  </si>
  <si>
    <t>iPhone 17e 256GB Black</t>
  </si>
  <si>
    <t>iPhone 17e 256GB Soft Pink</t>
  </si>
  <si>
    <t>iPhone 17e 256GB White</t>
  </si>
  <si>
    <t>iPhone 17e 512GB White</t>
  </si>
  <si>
    <t>iPhone 17e 512GB Soft Pink</t>
  </si>
  <si>
    <t>iPhone 17e 512GB Black</t>
  </si>
  <si>
    <t>iPhone Air 256GB Light Gold</t>
  </si>
  <si>
    <t>Apple iPhone Air (512GB, Light Gold)</t>
  </si>
  <si>
    <t>iPhone Air 1TB Sky Blue</t>
  </si>
  <si>
    <t>iPhone Air 1TB Cloud White</t>
  </si>
  <si>
    <t>iPhone Air 1TB Light Gold</t>
  </si>
  <si>
    <t>iPhone Air 1TB Space Black</t>
  </si>
  <si>
    <t>Apple iPhone 17 Pro 256GB (Silver)</t>
  </si>
  <si>
    <t>Apple iPhone 17 Pro 256GB (Deep Blue)</t>
  </si>
  <si>
    <t>Apple iPhone 17 Pro 256GB (Cosmic Orange)</t>
  </si>
  <si>
    <t>Apple iPhone 17 Pro 512GB (Deep Blue)</t>
  </si>
  <si>
    <t>Apple iPhone 17 Pro 512GB (Silver)</t>
  </si>
  <si>
    <t>Website</t>
  </si>
  <si>
    <t>AUD Prices</t>
  </si>
  <si>
    <t>officeworks.com.au</t>
  </si>
  <si>
    <t>iPhone Air 256GB Cloud White</t>
  </si>
  <si>
    <t>iPhone Air 256GB Sky Blue</t>
  </si>
  <si>
    <t>iPhone Air 256GB Space Black</t>
  </si>
  <si>
    <t>iPhone Air 512GB Space Black</t>
  </si>
  <si>
    <t>iPhone Air 512GB Sky Blue</t>
  </si>
  <si>
    <t>dicksmith.com.au</t>
  </si>
  <si>
    <t>costco.com.au</t>
  </si>
  <si>
    <t>Apple iPhone 17 (256GB, Black) - eSim Only</t>
  </si>
  <si>
    <t>Apple iPhone 17 (256GB, Lavender) - eSim Only</t>
  </si>
  <si>
    <t>Apple iPhone 17 (256GB, Mist Blue) - eSim Only</t>
  </si>
  <si>
    <t>Apple iPhone 17 (256GB, Sage) - eSim Only</t>
  </si>
  <si>
    <t>Apple iPhone 17 (256GB, White) - eSim Only</t>
  </si>
  <si>
    <t>Apple iPhone 17 (512GB, Black) - eSim Only</t>
  </si>
  <si>
    <t>Apple iPhone 17 (512GB, Mist Blue) - eSim Only</t>
  </si>
  <si>
    <t>Apple iPhone 17 (512GB, White) - eSim Only</t>
  </si>
  <si>
    <t>digidirect.com.au</t>
  </si>
  <si>
    <t>iPhone 17 512GB Lavender</t>
  </si>
  <si>
    <t>Apple iPhone 17 Pro (512GB, Cosmic Orange)</t>
  </si>
  <si>
    <t>Apple iPhone 17 Pro (1TB, Cosmic Orange)</t>
  </si>
  <si>
    <t>iPhone 17 Pro 1TB Deep Blue</t>
  </si>
  <si>
    <t>iPhone 17 Pro 1TB Silver</t>
  </si>
  <si>
    <t>iPhone 17 Pro Max 256GB Silver</t>
  </si>
  <si>
    <t>iPhone 17 Pro Max 256GB Deep Blue</t>
  </si>
  <si>
    <t>iPhone 17 Pro Max 256GB Cosmic Orange</t>
  </si>
  <si>
    <t>iPhone 17 Pro Max 512GB Silver</t>
  </si>
  <si>
    <t>iPhone 17 Pro Max 512GB Deep Blue</t>
  </si>
  <si>
    <t>iPhone 17 Pro Max 512GB Cosmic Orange</t>
  </si>
  <si>
    <t>iPhone 17 Pro Max 1TB Deep Blue</t>
  </si>
  <si>
    <t>digidirect.com.au / officeworks.com.au</t>
  </si>
  <si>
    <t>iPhone 17 Pro Max 2TB Deep Blue</t>
  </si>
  <si>
    <t>AED Purchasing Rate</t>
  </si>
  <si>
    <t>LESS GST</t>
  </si>
  <si>
    <t>AFTER GST</t>
  </si>
  <si>
    <t>DIFFERENCE</t>
  </si>
  <si>
    <t>CONVERT TO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</si>
</sst>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AUD]\ * #,##0.00_-;\-[$AUD]\ * #,##0.00_-;_-[$AUD]\ * &quot;-&quot;??_-;_-@_-"/>
  </numFmts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AF1D-4C5A-4830-AE11-7668579C1362}">
  <dimension ref="A1:I49"/>
  <sheetViews>
    <sheetView tabSelected="1" zoomScale="98" zoomScaleNormal="98" workbookViewId="0">
      <selection activeCell="C1" sqref="C1"/>
    </sheetView>
  </sheetViews>
  <sheetFormatPr defaultRowHeight="15" x14ac:dyDescent="0.25"/>
  <cols>
    <col min="1" max="1" width="8" bestFit="1" customWidth="1"/>
    <col min="2" max="2" width="42.7109375" bestFit="1" customWidth="1"/>
    <col min="3" max="3" width="26.42578125" customWidth="1"/>
    <col min="4" max="4" width="30.5703125" customWidth="1"/>
    <col min="5" max="5" width="13.42578125" customWidth="1"/>
    <col min="6" max="6" width="23.85546875" bestFit="1" customWidth="1"/>
    <col min="7" max="7" width="13.5703125" bestFit="1" customWidth="1"/>
    <col min="8" max="8" width="14.85546875" bestFit="1" customWidth="1"/>
    <col min="9" max="9" width="17.7109375" bestFit="1" customWidth="1"/>
  </cols>
  <sheetData>
    <row r="1" spans="1:9" ht="21" x14ac:dyDescent="0.25">
      <c r="A1" s="1" t="s">
        <v>0</v>
      </c>
      <c r="B1" s="1" t="s">
        <v>1</v>
      </c>
      <c r="C1" s="1" t="s">
        <v>57</v>
      </c>
      <c r="D1" s="1" t="s">
        <v>24</v>
      </c>
      <c r="E1" s="1" t="s">
        <v>25</v>
      </c>
      <c r="F1" s="1" t="s">
        <v>61</v>
      </c>
      <c r="G1" s="3" t="s">
        <v>58</v>
      </c>
      <c r="H1" s="3" t="s">
        <v>59</v>
      </c>
      <c r="I1" s="3" t="s">
        <v>60</v>
      </c>
    </row>
    <row r="2" spans="1:9" x14ac:dyDescent="0.25">
      <c r="A2" s="2">
        <v>32</v>
      </c>
      <c r="B2" s="2" t="s">
        <v>13</v>
      </c>
      <c r="C2" s="2">
        <v>3200</v>
      </c>
      <c r="D2" s="2" t="s">
        <v>26</v>
      </c>
      <c r="E2" s="4">
        <v>1297</v>
      </c>
      <c r="F2" s="5">
        <f>E2*2.502</f>
        <v>3245.0939999999996</v>
      </c>
      <c r="G2" s="6">
        <f>F2/10</f>
        <v>324.50939999999997</v>
      </c>
      <c r="H2" s="6">
        <f>F2-G2</f>
        <v>2920.5845999999997</v>
      </c>
      <c r="I2" s="7">
        <f t="shared" ref="I2:I49" si="0">C2-H2</f>
        <v>279.41540000000032</v>
      </c>
    </row>
    <row r="3" spans="1:9" x14ac:dyDescent="0.25">
      <c r="A3" s="2">
        <v>39</v>
      </c>
      <c r="B3" s="2" t="s">
        <v>27</v>
      </c>
      <c r="C3" s="2">
        <v>3200</v>
      </c>
      <c r="D3" s="2" t="s">
        <v>26</v>
      </c>
      <c r="E3" s="4">
        <v>1297</v>
      </c>
      <c r="F3" s="5">
        <f t="shared" ref="F3:F49" si="1">E3*2.502</f>
        <v>3245.0939999999996</v>
      </c>
      <c r="G3" s="6">
        <f t="shared" ref="G3:G49" si="2">F3/10</f>
        <v>324.50939999999997</v>
      </c>
      <c r="H3" s="6">
        <f t="shared" ref="H3:H49" si="3">F3-G3</f>
        <v>2920.5845999999997</v>
      </c>
      <c r="I3" s="7">
        <f t="shared" si="0"/>
        <v>279.41540000000032</v>
      </c>
    </row>
    <row r="4" spans="1:9" x14ac:dyDescent="0.25">
      <c r="A4" s="2">
        <v>36</v>
      </c>
      <c r="B4" s="2" t="s">
        <v>28</v>
      </c>
      <c r="C4" s="2">
        <v>3200</v>
      </c>
      <c r="D4" s="2" t="s">
        <v>26</v>
      </c>
      <c r="E4" s="4">
        <v>1297</v>
      </c>
      <c r="F4" s="5">
        <f t="shared" si="1"/>
        <v>3245.0939999999996</v>
      </c>
      <c r="G4" s="6">
        <f t="shared" si="2"/>
        <v>324.50939999999997</v>
      </c>
      <c r="H4" s="6">
        <f t="shared" si="3"/>
        <v>2920.5845999999997</v>
      </c>
      <c r="I4" s="7">
        <f t="shared" si="0"/>
        <v>279.41540000000032</v>
      </c>
    </row>
    <row r="5" spans="1:9" x14ac:dyDescent="0.25">
      <c r="A5" s="2">
        <v>38</v>
      </c>
      <c r="B5" s="2" t="s">
        <v>29</v>
      </c>
      <c r="C5" s="2">
        <v>3140</v>
      </c>
      <c r="D5" s="2" t="s">
        <v>26</v>
      </c>
      <c r="E5" s="4">
        <v>1297</v>
      </c>
      <c r="F5" s="5">
        <f t="shared" si="1"/>
        <v>3245.0939999999996</v>
      </c>
      <c r="G5" s="6">
        <f t="shared" si="2"/>
        <v>324.50939999999997</v>
      </c>
      <c r="H5" s="6">
        <f t="shared" si="3"/>
        <v>2920.5845999999997</v>
      </c>
      <c r="I5" s="7">
        <f t="shared" si="0"/>
        <v>219.41540000000032</v>
      </c>
    </row>
    <row r="6" spans="1:9" x14ac:dyDescent="0.25">
      <c r="A6" s="2">
        <v>37</v>
      </c>
      <c r="B6" s="2" t="s">
        <v>30</v>
      </c>
      <c r="C6" s="2"/>
      <c r="D6" s="2" t="s">
        <v>26</v>
      </c>
      <c r="E6" s="4">
        <v>1697</v>
      </c>
      <c r="F6" s="5">
        <f t="shared" si="1"/>
        <v>4245.8939999999993</v>
      </c>
      <c r="G6" s="6">
        <f t="shared" si="2"/>
        <v>424.58939999999996</v>
      </c>
      <c r="H6" s="6">
        <f t="shared" si="3"/>
        <v>3821.3045999999995</v>
      </c>
      <c r="I6" s="6">
        <f t="shared" si="0"/>
        <v>-3821.3045999999995</v>
      </c>
    </row>
    <row r="7" spans="1:9" x14ac:dyDescent="0.25">
      <c r="A7" s="2">
        <v>26</v>
      </c>
      <c r="B7" s="2" t="s">
        <v>31</v>
      </c>
      <c r="C7" s="2"/>
      <c r="D7" s="2" t="s">
        <v>26</v>
      </c>
      <c r="E7" s="4">
        <v>1697</v>
      </c>
      <c r="F7" s="5">
        <f t="shared" si="1"/>
        <v>4245.8939999999993</v>
      </c>
      <c r="G7" s="6">
        <f t="shared" si="2"/>
        <v>424.58939999999996</v>
      </c>
      <c r="H7" s="6">
        <f t="shared" si="3"/>
        <v>3821.3045999999995</v>
      </c>
      <c r="I7" s="6">
        <f t="shared" si="0"/>
        <v>-3821.3045999999995</v>
      </c>
    </row>
    <row r="8" spans="1:9" x14ac:dyDescent="0.25">
      <c r="A8" s="2">
        <v>27</v>
      </c>
      <c r="B8" s="2" t="s">
        <v>14</v>
      </c>
      <c r="C8" s="2"/>
      <c r="D8" s="2" t="s">
        <v>32</v>
      </c>
      <c r="E8" s="4">
        <v>1789</v>
      </c>
      <c r="F8" s="5">
        <f t="shared" si="1"/>
        <v>4476.0779999999995</v>
      </c>
      <c r="G8" s="6">
        <f t="shared" si="2"/>
        <v>447.60779999999994</v>
      </c>
      <c r="H8" s="6">
        <f t="shared" si="3"/>
        <v>4028.4701999999997</v>
      </c>
      <c r="I8" s="6">
        <f t="shared" si="0"/>
        <v>-4028.4701999999997</v>
      </c>
    </row>
    <row r="9" spans="1:9" x14ac:dyDescent="0.25">
      <c r="A9" s="2">
        <v>28</v>
      </c>
      <c r="B9" s="2" t="s">
        <v>16</v>
      </c>
      <c r="C9" s="2">
        <v>4800</v>
      </c>
      <c r="D9" s="2" t="s">
        <v>26</v>
      </c>
      <c r="E9" s="4">
        <v>2097</v>
      </c>
      <c r="F9" s="5">
        <f t="shared" si="1"/>
        <v>5246.6939999999995</v>
      </c>
      <c r="G9" s="6">
        <f t="shared" si="2"/>
        <v>524.6694</v>
      </c>
      <c r="H9" s="6">
        <f t="shared" si="3"/>
        <v>4722.0245999999997</v>
      </c>
      <c r="I9" s="7">
        <f t="shared" si="0"/>
        <v>77.975400000000263</v>
      </c>
    </row>
    <row r="10" spans="1:9" x14ac:dyDescent="0.25">
      <c r="A10" s="2">
        <v>25</v>
      </c>
      <c r="B10" s="2" t="s">
        <v>17</v>
      </c>
      <c r="C10" s="2">
        <v>4800</v>
      </c>
      <c r="D10" s="2" t="s">
        <v>26</v>
      </c>
      <c r="E10" s="4">
        <v>2097</v>
      </c>
      <c r="F10" s="5">
        <f t="shared" si="1"/>
        <v>5246.6939999999995</v>
      </c>
      <c r="G10" s="6">
        <f t="shared" si="2"/>
        <v>524.6694</v>
      </c>
      <c r="H10" s="6">
        <f t="shared" si="3"/>
        <v>4722.0245999999997</v>
      </c>
      <c r="I10" s="7">
        <f t="shared" si="0"/>
        <v>77.975400000000263</v>
      </c>
    </row>
    <row r="11" spans="1:9" x14ac:dyDescent="0.25">
      <c r="A11" s="2">
        <v>24</v>
      </c>
      <c r="B11" s="2" t="s">
        <v>15</v>
      </c>
      <c r="C11" s="2">
        <v>4800</v>
      </c>
      <c r="D11" s="2" t="s">
        <v>26</v>
      </c>
      <c r="E11" s="4">
        <v>2097</v>
      </c>
      <c r="F11" s="5">
        <f t="shared" si="1"/>
        <v>5246.6939999999995</v>
      </c>
      <c r="G11" s="6">
        <f t="shared" si="2"/>
        <v>524.6694</v>
      </c>
      <c r="H11" s="6">
        <f t="shared" si="3"/>
        <v>4722.0245999999997</v>
      </c>
      <c r="I11" s="7">
        <f t="shared" si="0"/>
        <v>77.975400000000263</v>
      </c>
    </row>
    <row r="12" spans="1:9" x14ac:dyDescent="0.25">
      <c r="A12" s="2">
        <v>23</v>
      </c>
      <c r="B12" s="2" t="s">
        <v>18</v>
      </c>
      <c r="C12" s="2">
        <v>4800</v>
      </c>
      <c r="D12" s="2" t="s">
        <v>26</v>
      </c>
      <c r="E12" s="4">
        <v>2097</v>
      </c>
      <c r="F12" s="5">
        <f t="shared" si="1"/>
        <v>5246.6939999999995</v>
      </c>
      <c r="G12" s="6">
        <f t="shared" si="2"/>
        <v>524.6694</v>
      </c>
      <c r="H12" s="6">
        <f t="shared" si="3"/>
        <v>4722.0245999999997</v>
      </c>
      <c r="I12" s="7">
        <f t="shared" si="0"/>
        <v>77.975400000000263</v>
      </c>
    </row>
    <row r="13" spans="1:9" x14ac:dyDescent="0.25">
      <c r="A13" s="2">
        <v>35</v>
      </c>
      <c r="B13" s="2" t="s">
        <v>7</v>
      </c>
      <c r="C13" s="2">
        <v>2210</v>
      </c>
      <c r="D13" s="2" t="s">
        <v>33</v>
      </c>
      <c r="E13" s="4">
        <v>949.99</v>
      </c>
      <c r="F13" s="5">
        <f t="shared" si="1"/>
        <v>2376.8749799999996</v>
      </c>
      <c r="G13" s="6">
        <f t="shared" si="2"/>
        <v>237.68749799999995</v>
      </c>
      <c r="H13" s="6">
        <f t="shared" si="3"/>
        <v>2139.1874819999998</v>
      </c>
      <c r="I13" s="7">
        <f t="shared" si="0"/>
        <v>70.812518000000182</v>
      </c>
    </row>
    <row r="14" spans="1:9" x14ac:dyDescent="0.25">
      <c r="A14" s="2">
        <v>33</v>
      </c>
      <c r="B14" s="2" t="s">
        <v>8</v>
      </c>
      <c r="C14" s="2">
        <v>2220</v>
      </c>
      <c r="D14" s="2" t="s">
        <v>33</v>
      </c>
      <c r="E14" s="4">
        <v>949.99</v>
      </c>
      <c r="F14" s="5">
        <f t="shared" si="1"/>
        <v>2376.8749799999996</v>
      </c>
      <c r="G14" s="6">
        <f t="shared" si="2"/>
        <v>237.68749799999995</v>
      </c>
      <c r="H14" s="6">
        <f t="shared" si="3"/>
        <v>2139.1874819999998</v>
      </c>
      <c r="I14" s="7">
        <f t="shared" si="0"/>
        <v>80.812518000000182</v>
      </c>
    </row>
    <row r="15" spans="1:9" x14ac:dyDescent="0.25">
      <c r="A15" s="2">
        <v>34</v>
      </c>
      <c r="B15" s="2" t="s">
        <v>9</v>
      </c>
      <c r="C15" s="2">
        <v>2220</v>
      </c>
      <c r="D15" s="2" t="s">
        <v>33</v>
      </c>
      <c r="E15" s="4">
        <v>949.99</v>
      </c>
      <c r="F15" s="5">
        <f t="shared" si="1"/>
        <v>2376.8749799999996</v>
      </c>
      <c r="G15" s="6">
        <f t="shared" si="2"/>
        <v>237.68749799999995</v>
      </c>
      <c r="H15" s="6">
        <f t="shared" si="3"/>
        <v>2139.1874819999998</v>
      </c>
      <c r="I15" s="7">
        <f t="shared" si="0"/>
        <v>80.812518000000182</v>
      </c>
    </row>
    <row r="16" spans="1:9" x14ac:dyDescent="0.25">
      <c r="A16" s="2">
        <v>31</v>
      </c>
      <c r="B16" s="2" t="s">
        <v>11</v>
      </c>
      <c r="C16" s="2"/>
      <c r="D16" s="2" t="s">
        <v>33</v>
      </c>
      <c r="E16" s="4">
        <v>1349.99</v>
      </c>
      <c r="F16" s="5">
        <f t="shared" si="1"/>
        <v>3377.6749799999998</v>
      </c>
      <c r="G16" s="6">
        <f t="shared" si="2"/>
        <v>337.76749799999999</v>
      </c>
      <c r="H16" s="6">
        <f t="shared" si="3"/>
        <v>3039.9074819999996</v>
      </c>
      <c r="I16" s="6">
        <f t="shared" si="0"/>
        <v>-3039.9074819999996</v>
      </c>
    </row>
    <row r="17" spans="1:9" x14ac:dyDescent="0.25">
      <c r="A17" s="2">
        <v>30</v>
      </c>
      <c r="B17" s="2" t="s">
        <v>12</v>
      </c>
      <c r="C17" s="2"/>
      <c r="D17" s="2" t="s">
        <v>33</v>
      </c>
      <c r="E17" s="4">
        <v>1349.99</v>
      </c>
      <c r="F17" s="5">
        <f t="shared" si="1"/>
        <v>3377.6749799999998</v>
      </c>
      <c r="G17" s="6">
        <f t="shared" si="2"/>
        <v>337.76749799999999</v>
      </c>
      <c r="H17" s="6">
        <f t="shared" si="3"/>
        <v>3039.9074819999996</v>
      </c>
      <c r="I17" s="6">
        <f t="shared" si="0"/>
        <v>-3039.9074819999996</v>
      </c>
    </row>
    <row r="18" spans="1:9" x14ac:dyDescent="0.25">
      <c r="A18" s="2">
        <v>29</v>
      </c>
      <c r="B18" s="2" t="s">
        <v>10</v>
      </c>
      <c r="C18" s="2"/>
      <c r="D18" s="2" t="s">
        <v>33</v>
      </c>
      <c r="E18" s="4">
        <v>1349.99</v>
      </c>
      <c r="F18" s="5">
        <f t="shared" si="1"/>
        <v>3377.6749799999998</v>
      </c>
      <c r="G18" s="6">
        <f t="shared" si="2"/>
        <v>337.76749799999999</v>
      </c>
      <c r="H18" s="6">
        <f t="shared" si="3"/>
        <v>3039.9074819999996</v>
      </c>
      <c r="I18" s="6">
        <f t="shared" si="0"/>
        <v>-3039.9074819999996</v>
      </c>
    </row>
    <row r="19" spans="1:9" x14ac:dyDescent="0.25">
      <c r="A19" s="2">
        <v>4</v>
      </c>
      <c r="B19" s="2" t="s">
        <v>34</v>
      </c>
      <c r="C19" s="2">
        <v>2960</v>
      </c>
      <c r="D19" s="2" t="s">
        <v>32</v>
      </c>
      <c r="E19" s="4">
        <v>1289</v>
      </c>
      <c r="F19" s="5">
        <f t="shared" si="1"/>
        <v>3225.0779999999995</v>
      </c>
      <c r="G19" s="6">
        <f t="shared" si="2"/>
        <v>322.50779999999997</v>
      </c>
      <c r="H19" s="6">
        <f t="shared" si="3"/>
        <v>2902.5701999999997</v>
      </c>
      <c r="I19" s="7">
        <f t="shared" si="0"/>
        <v>57.429800000000341</v>
      </c>
    </row>
    <row r="20" spans="1:9" x14ac:dyDescent="0.25">
      <c r="A20" s="2">
        <v>5</v>
      </c>
      <c r="B20" s="2" t="s">
        <v>35</v>
      </c>
      <c r="C20" s="2">
        <v>3000</v>
      </c>
      <c r="D20" s="2" t="s">
        <v>32</v>
      </c>
      <c r="E20" s="4">
        <v>1289</v>
      </c>
      <c r="F20" s="5">
        <f t="shared" si="1"/>
        <v>3225.0779999999995</v>
      </c>
      <c r="G20" s="6">
        <f t="shared" si="2"/>
        <v>322.50779999999997</v>
      </c>
      <c r="H20" s="6">
        <f t="shared" si="3"/>
        <v>2902.5701999999997</v>
      </c>
      <c r="I20" s="7">
        <f t="shared" si="0"/>
        <v>97.429800000000341</v>
      </c>
    </row>
    <row r="21" spans="1:9" x14ac:dyDescent="0.25">
      <c r="A21" s="2">
        <v>6</v>
      </c>
      <c r="B21" s="2" t="s">
        <v>36</v>
      </c>
      <c r="C21" s="2">
        <v>2960</v>
      </c>
      <c r="D21" s="2" t="s">
        <v>32</v>
      </c>
      <c r="E21" s="4">
        <v>1289</v>
      </c>
      <c r="F21" s="5">
        <f t="shared" si="1"/>
        <v>3225.0779999999995</v>
      </c>
      <c r="G21" s="6">
        <f t="shared" si="2"/>
        <v>322.50779999999997</v>
      </c>
      <c r="H21" s="6">
        <f t="shared" si="3"/>
        <v>2902.5701999999997</v>
      </c>
      <c r="I21" s="7">
        <f t="shared" si="0"/>
        <v>57.429800000000341</v>
      </c>
    </row>
    <row r="22" spans="1:9" x14ac:dyDescent="0.25">
      <c r="A22" s="2">
        <v>10</v>
      </c>
      <c r="B22" s="2" t="s">
        <v>37</v>
      </c>
      <c r="C22" s="2">
        <v>3000</v>
      </c>
      <c r="D22" s="2" t="s">
        <v>32</v>
      </c>
      <c r="E22" s="4">
        <v>1289</v>
      </c>
      <c r="F22" s="5">
        <f t="shared" si="1"/>
        <v>3225.0779999999995</v>
      </c>
      <c r="G22" s="6">
        <f t="shared" si="2"/>
        <v>322.50779999999997</v>
      </c>
      <c r="H22" s="6">
        <f t="shared" si="3"/>
        <v>2902.5701999999997</v>
      </c>
      <c r="I22" s="7">
        <f t="shared" si="0"/>
        <v>97.429800000000341</v>
      </c>
    </row>
    <row r="23" spans="1:9" x14ac:dyDescent="0.25">
      <c r="A23" s="2">
        <v>12</v>
      </c>
      <c r="B23" s="2" t="s">
        <v>38</v>
      </c>
      <c r="C23" s="2">
        <v>2960</v>
      </c>
      <c r="D23" s="2" t="s">
        <v>32</v>
      </c>
      <c r="E23" s="4">
        <v>1289</v>
      </c>
      <c r="F23" s="5">
        <f t="shared" si="1"/>
        <v>3225.0779999999995</v>
      </c>
      <c r="G23" s="6">
        <f t="shared" si="2"/>
        <v>322.50779999999997</v>
      </c>
      <c r="H23" s="6">
        <f t="shared" si="3"/>
        <v>2902.5701999999997</v>
      </c>
      <c r="I23" s="7">
        <f t="shared" si="0"/>
        <v>57.429800000000341</v>
      </c>
    </row>
    <row r="24" spans="1:9" x14ac:dyDescent="0.25">
      <c r="A24" s="2">
        <v>11</v>
      </c>
      <c r="B24" s="2" t="s">
        <v>39</v>
      </c>
      <c r="C24" s="2">
        <v>3610</v>
      </c>
      <c r="D24" s="2" t="s">
        <v>32</v>
      </c>
      <c r="E24" s="4">
        <v>1689</v>
      </c>
      <c r="F24" s="5">
        <f t="shared" si="1"/>
        <v>4225.8779999999997</v>
      </c>
      <c r="G24" s="6">
        <f t="shared" si="2"/>
        <v>422.58779999999996</v>
      </c>
      <c r="H24" s="6">
        <f t="shared" si="3"/>
        <v>3803.2901999999999</v>
      </c>
      <c r="I24" s="8">
        <f t="shared" si="0"/>
        <v>-193.29019999999991</v>
      </c>
    </row>
    <row r="25" spans="1:9" x14ac:dyDescent="0.25">
      <c r="A25" s="2">
        <v>3</v>
      </c>
      <c r="B25" s="2" t="s">
        <v>40</v>
      </c>
      <c r="C25" s="2">
        <v>3600</v>
      </c>
      <c r="D25" s="2" t="s">
        <v>32</v>
      </c>
      <c r="E25" s="4">
        <v>1689</v>
      </c>
      <c r="F25" s="5">
        <f t="shared" si="1"/>
        <v>4225.8779999999997</v>
      </c>
      <c r="G25" s="6">
        <f t="shared" si="2"/>
        <v>422.58779999999996</v>
      </c>
      <c r="H25" s="6">
        <f t="shared" si="3"/>
        <v>3803.2901999999999</v>
      </c>
      <c r="I25" s="8">
        <f t="shared" si="0"/>
        <v>-203.29019999999991</v>
      </c>
    </row>
    <row r="26" spans="1:9" x14ac:dyDescent="0.25">
      <c r="A26" s="2">
        <v>2</v>
      </c>
      <c r="B26" s="2" t="s">
        <v>41</v>
      </c>
      <c r="C26" s="2">
        <v>3610</v>
      </c>
      <c r="D26" s="2" t="s">
        <v>32</v>
      </c>
      <c r="E26" s="4">
        <v>1689</v>
      </c>
      <c r="F26" s="5">
        <f t="shared" si="1"/>
        <v>4225.8779999999997</v>
      </c>
      <c r="G26" s="6">
        <f t="shared" si="2"/>
        <v>422.58779999999996</v>
      </c>
      <c r="H26" s="6">
        <f t="shared" si="3"/>
        <v>3803.2901999999999</v>
      </c>
      <c r="I26" s="8">
        <f t="shared" si="0"/>
        <v>-193.29019999999991</v>
      </c>
    </row>
    <row r="27" spans="1:9" x14ac:dyDescent="0.25">
      <c r="A27" s="2">
        <v>1</v>
      </c>
      <c r="B27" s="2" t="s">
        <v>6</v>
      </c>
      <c r="C27" s="2">
        <v>3660</v>
      </c>
      <c r="D27" s="2" t="s">
        <v>33</v>
      </c>
      <c r="E27" s="4">
        <v>1739.99</v>
      </c>
      <c r="F27" s="5">
        <f t="shared" si="1"/>
        <v>4353.4549799999995</v>
      </c>
      <c r="G27" s="6">
        <f t="shared" si="2"/>
        <v>435.34549799999996</v>
      </c>
      <c r="H27" s="6">
        <f t="shared" si="3"/>
        <v>3918.1094819999994</v>
      </c>
      <c r="I27" s="8">
        <f t="shared" si="0"/>
        <v>-258.10948199999939</v>
      </c>
    </row>
    <row r="28" spans="1:9" x14ac:dyDescent="0.25">
      <c r="A28" s="2">
        <v>9</v>
      </c>
      <c r="B28" s="2" t="s">
        <v>43</v>
      </c>
      <c r="C28" s="2">
        <v>3660</v>
      </c>
      <c r="D28" s="2" t="s">
        <v>33</v>
      </c>
      <c r="E28" s="4">
        <v>1739.99</v>
      </c>
      <c r="F28" s="5">
        <f t="shared" si="1"/>
        <v>4353.4549799999995</v>
      </c>
      <c r="G28" s="6">
        <f t="shared" si="2"/>
        <v>435.34549799999996</v>
      </c>
      <c r="H28" s="6">
        <f t="shared" si="3"/>
        <v>3918.1094819999994</v>
      </c>
      <c r="I28" s="8">
        <f t="shared" si="0"/>
        <v>-258.10948199999939</v>
      </c>
    </row>
    <row r="29" spans="1:9" x14ac:dyDescent="0.25">
      <c r="A29" s="2">
        <v>8</v>
      </c>
      <c r="B29" s="2" t="s">
        <v>19</v>
      </c>
      <c r="C29" s="2">
        <v>4670</v>
      </c>
      <c r="D29" s="2" t="s">
        <v>42</v>
      </c>
      <c r="E29" s="4">
        <v>1952</v>
      </c>
      <c r="F29" s="5">
        <f t="shared" si="1"/>
        <v>4883.9039999999995</v>
      </c>
      <c r="G29" s="6">
        <f t="shared" si="2"/>
        <v>488.39039999999994</v>
      </c>
      <c r="H29" s="6">
        <f t="shared" si="3"/>
        <v>4395.5135999999993</v>
      </c>
      <c r="I29" s="7">
        <f t="shared" si="0"/>
        <v>274.48640000000069</v>
      </c>
    </row>
    <row r="30" spans="1:9" x14ac:dyDescent="0.25">
      <c r="A30" s="2">
        <v>7</v>
      </c>
      <c r="B30" s="2" t="s">
        <v>20</v>
      </c>
      <c r="C30" s="2">
        <v>4640</v>
      </c>
      <c r="D30" s="2" t="s">
        <v>42</v>
      </c>
      <c r="E30" s="4">
        <v>1952</v>
      </c>
      <c r="F30" s="5">
        <f t="shared" si="1"/>
        <v>4883.9039999999995</v>
      </c>
      <c r="G30" s="6">
        <f t="shared" si="2"/>
        <v>488.39039999999994</v>
      </c>
      <c r="H30" s="6">
        <f t="shared" si="3"/>
        <v>4395.5135999999993</v>
      </c>
      <c r="I30" s="7">
        <f t="shared" si="0"/>
        <v>244.48640000000069</v>
      </c>
    </row>
    <row r="31" spans="1:9" x14ac:dyDescent="0.25">
      <c r="A31" s="2">
        <v>45</v>
      </c>
      <c r="B31" s="2" t="s">
        <v>21</v>
      </c>
      <c r="C31" s="2">
        <v>4620</v>
      </c>
      <c r="D31" s="2" t="s">
        <v>42</v>
      </c>
      <c r="E31" s="4">
        <v>1952</v>
      </c>
      <c r="F31" s="5">
        <f t="shared" si="1"/>
        <v>4883.9039999999995</v>
      </c>
      <c r="G31" s="6">
        <f t="shared" si="2"/>
        <v>488.39039999999994</v>
      </c>
      <c r="H31" s="6">
        <f t="shared" si="3"/>
        <v>4395.5135999999993</v>
      </c>
      <c r="I31" s="7">
        <f t="shared" si="0"/>
        <v>224.48640000000069</v>
      </c>
    </row>
    <row r="32" spans="1:9" x14ac:dyDescent="0.25">
      <c r="A32" s="2">
        <v>44</v>
      </c>
      <c r="B32" s="2" t="s">
        <v>44</v>
      </c>
      <c r="C32" s="2"/>
      <c r="D32" s="2" t="s">
        <v>32</v>
      </c>
      <c r="E32" s="4">
        <v>2339</v>
      </c>
      <c r="F32" s="5">
        <f t="shared" si="1"/>
        <v>5852.1779999999999</v>
      </c>
      <c r="G32" s="6">
        <f t="shared" si="2"/>
        <v>585.21780000000001</v>
      </c>
      <c r="H32" s="6">
        <f t="shared" si="3"/>
        <v>5266.9601999999995</v>
      </c>
      <c r="I32" s="6">
        <f t="shared" si="0"/>
        <v>-5266.9601999999995</v>
      </c>
    </row>
    <row r="33" spans="1:9" x14ac:dyDescent="0.25">
      <c r="A33" s="2">
        <v>43</v>
      </c>
      <c r="B33" s="2" t="s">
        <v>23</v>
      </c>
      <c r="C33" s="2"/>
      <c r="D33" s="2" t="s">
        <v>42</v>
      </c>
      <c r="E33" s="4">
        <v>2342</v>
      </c>
      <c r="F33" s="5">
        <f t="shared" si="1"/>
        <v>5859.6839999999993</v>
      </c>
      <c r="G33" s="6">
        <f t="shared" si="2"/>
        <v>585.96839999999997</v>
      </c>
      <c r="H33" s="6">
        <f t="shared" si="3"/>
        <v>5273.7155999999995</v>
      </c>
      <c r="I33" s="6">
        <f t="shared" si="0"/>
        <v>-5273.7155999999995</v>
      </c>
    </row>
    <row r="34" spans="1:9" x14ac:dyDescent="0.25">
      <c r="A34" s="2">
        <v>40</v>
      </c>
      <c r="B34" s="2" t="s">
        <v>22</v>
      </c>
      <c r="C34" s="2"/>
      <c r="D34" s="2" t="s">
        <v>42</v>
      </c>
      <c r="E34" s="4">
        <v>2342</v>
      </c>
      <c r="F34" s="5">
        <f t="shared" si="1"/>
        <v>5859.6839999999993</v>
      </c>
      <c r="G34" s="6">
        <f t="shared" si="2"/>
        <v>585.96839999999997</v>
      </c>
      <c r="H34" s="6">
        <f t="shared" si="3"/>
        <v>5273.7155999999995</v>
      </c>
      <c r="I34" s="6">
        <f t="shared" si="0"/>
        <v>-5273.7155999999995</v>
      </c>
    </row>
    <row r="35" spans="1:9" x14ac:dyDescent="0.25">
      <c r="A35" s="2">
        <v>41</v>
      </c>
      <c r="B35" s="2" t="s">
        <v>45</v>
      </c>
      <c r="C35" s="2">
        <v>6140</v>
      </c>
      <c r="D35" s="2" t="s">
        <v>32</v>
      </c>
      <c r="E35" s="4">
        <v>2789</v>
      </c>
      <c r="F35" s="5">
        <f t="shared" si="1"/>
        <v>6978.0779999999995</v>
      </c>
      <c r="G35" s="6">
        <f t="shared" si="2"/>
        <v>697.80779999999993</v>
      </c>
      <c r="H35" s="6">
        <f t="shared" si="3"/>
        <v>6280.2701999999999</v>
      </c>
      <c r="I35" s="8">
        <f t="shared" si="0"/>
        <v>-140.27019999999993</v>
      </c>
    </row>
    <row r="36" spans="1:9" x14ac:dyDescent="0.25">
      <c r="A36" s="2">
        <v>42</v>
      </c>
      <c r="B36" s="2" t="s">
        <v>46</v>
      </c>
      <c r="C36" s="2">
        <v>6140</v>
      </c>
      <c r="D36" s="2" t="s">
        <v>26</v>
      </c>
      <c r="E36" s="4">
        <v>2797</v>
      </c>
      <c r="F36" s="5">
        <f t="shared" si="1"/>
        <v>6998.0939999999991</v>
      </c>
      <c r="G36" s="6">
        <f t="shared" si="2"/>
        <v>699.80939999999987</v>
      </c>
      <c r="H36" s="6">
        <f t="shared" si="3"/>
        <v>6298.284599999999</v>
      </c>
      <c r="I36" s="8">
        <f t="shared" si="0"/>
        <v>-158.28459999999905</v>
      </c>
    </row>
    <row r="37" spans="1:9" x14ac:dyDescent="0.25">
      <c r="A37" s="2">
        <v>48</v>
      </c>
      <c r="B37" s="2" t="s">
        <v>47</v>
      </c>
      <c r="C37" s="2">
        <v>6140</v>
      </c>
      <c r="D37" s="2" t="s">
        <v>26</v>
      </c>
      <c r="E37" s="4">
        <v>2797</v>
      </c>
      <c r="F37" s="5">
        <f t="shared" si="1"/>
        <v>6998.0939999999991</v>
      </c>
      <c r="G37" s="6">
        <f t="shared" si="2"/>
        <v>699.80939999999987</v>
      </c>
      <c r="H37" s="6">
        <f t="shared" si="3"/>
        <v>6298.284599999999</v>
      </c>
      <c r="I37" s="8">
        <f t="shared" si="0"/>
        <v>-158.28459999999905</v>
      </c>
    </row>
    <row r="38" spans="1:9" x14ac:dyDescent="0.25">
      <c r="A38" s="2">
        <v>47</v>
      </c>
      <c r="B38" s="2" t="s">
        <v>48</v>
      </c>
      <c r="C38" s="2">
        <v>5040</v>
      </c>
      <c r="D38" s="2" t="s">
        <v>33</v>
      </c>
      <c r="E38" s="4">
        <v>2099.9899999999998</v>
      </c>
      <c r="F38" s="5">
        <f t="shared" si="1"/>
        <v>5254.1749799999989</v>
      </c>
      <c r="G38" s="6">
        <f t="shared" si="2"/>
        <v>525.41749799999991</v>
      </c>
      <c r="H38" s="6">
        <f t="shared" si="3"/>
        <v>4728.7574819999991</v>
      </c>
      <c r="I38" s="7">
        <f t="shared" si="0"/>
        <v>311.24251800000093</v>
      </c>
    </row>
    <row r="39" spans="1:9" x14ac:dyDescent="0.25">
      <c r="A39" s="2">
        <v>46</v>
      </c>
      <c r="B39" s="2" t="s">
        <v>49</v>
      </c>
      <c r="C39" s="2">
        <v>5040</v>
      </c>
      <c r="D39" s="2" t="s">
        <v>33</v>
      </c>
      <c r="E39" s="4">
        <v>2099.9899999999998</v>
      </c>
      <c r="F39" s="5">
        <f t="shared" si="1"/>
        <v>5254.1749799999989</v>
      </c>
      <c r="G39" s="6">
        <f t="shared" si="2"/>
        <v>525.41749799999991</v>
      </c>
      <c r="H39" s="6">
        <f t="shared" si="3"/>
        <v>4728.7574819999991</v>
      </c>
      <c r="I39" s="7">
        <f t="shared" si="0"/>
        <v>311.24251800000093</v>
      </c>
    </row>
    <row r="40" spans="1:9" x14ac:dyDescent="0.25">
      <c r="A40" s="2">
        <v>22</v>
      </c>
      <c r="B40" s="2" t="s">
        <v>50</v>
      </c>
      <c r="C40" s="2">
        <v>5090</v>
      </c>
      <c r="D40" s="2" t="s">
        <v>33</v>
      </c>
      <c r="E40" s="4">
        <v>2099.9899999999998</v>
      </c>
      <c r="F40" s="5">
        <f t="shared" si="1"/>
        <v>5254.1749799999989</v>
      </c>
      <c r="G40" s="6">
        <f t="shared" si="2"/>
        <v>525.41749799999991</v>
      </c>
      <c r="H40" s="6">
        <f t="shared" si="3"/>
        <v>4728.7574819999991</v>
      </c>
      <c r="I40" s="7">
        <f t="shared" si="0"/>
        <v>361.24251800000093</v>
      </c>
    </row>
    <row r="41" spans="1:9" x14ac:dyDescent="0.25">
      <c r="A41" s="2">
        <v>21</v>
      </c>
      <c r="B41" s="2" t="s">
        <v>51</v>
      </c>
      <c r="C41" s="2">
        <v>5810</v>
      </c>
      <c r="D41" s="2" t="s">
        <v>33</v>
      </c>
      <c r="E41" s="4">
        <v>2499.9899999999998</v>
      </c>
      <c r="F41" s="5">
        <f t="shared" si="1"/>
        <v>6254.9749799999991</v>
      </c>
      <c r="G41" s="6">
        <f t="shared" si="2"/>
        <v>625.49749799999995</v>
      </c>
      <c r="H41" s="6">
        <f t="shared" si="3"/>
        <v>5629.4774819999993</v>
      </c>
      <c r="I41" s="7">
        <f t="shared" si="0"/>
        <v>180.52251800000067</v>
      </c>
    </row>
    <row r="42" spans="1:9" x14ac:dyDescent="0.25">
      <c r="A42" s="2">
        <v>20</v>
      </c>
      <c r="B42" s="2" t="s">
        <v>52</v>
      </c>
      <c r="C42" s="2">
        <v>5800</v>
      </c>
      <c r="D42" s="2" t="s">
        <v>33</v>
      </c>
      <c r="E42" s="4">
        <v>2499.9899999999998</v>
      </c>
      <c r="F42" s="5">
        <f t="shared" si="1"/>
        <v>6254.9749799999991</v>
      </c>
      <c r="G42" s="6">
        <f t="shared" si="2"/>
        <v>625.49749799999995</v>
      </c>
      <c r="H42" s="6">
        <f t="shared" si="3"/>
        <v>5629.4774819999993</v>
      </c>
      <c r="I42" s="7">
        <f t="shared" si="0"/>
        <v>170.52251800000067</v>
      </c>
    </row>
    <row r="43" spans="1:9" x14ac:dyDescent="0.25">
      <c r="A43" s="2">
        <v>19</v>
      </c>
      <c r="B43" s="2" t="s">
        <v>53</v>
      </c>
      <c r="C43" s="2">
        <v>5800</v>
      </c>
      <c r="D43" s="2" t="s">
        <v>33</v>
      </c>
      <c r="E43" s="4">
        <v>2499.9899999999998</v>
      </c>
      <c r="F43" s="5">
        <f t="shared" si="1"/>
        <v>6254.9749799999991</v>
      </c>
      <c r="G43" s="6">
        <f t="shared" si="2"/>
        <v>625.49749799999995</v>
      </c>
      <c r="H43" s="6">
        <f t="shared" si="3"/>
        <v>5629.4774819999993</v>
      </c>
      <c r="I43" s="7">
        <f t="shared" si="0"/>
        <v>170.52251800000067</v>
      </c>
    </row>
    <row r="44" spans="1:9" x14ac:dyDescent="0.25">
      <c r="A44" s="2">
        <v>18</v>
      </c>
      <c r="B44" s="2" t="s">
        <v>2</v>
      </c>
      <c r="C44" s="2">
        <v>6670</v>
      </c>
      <c r="D44" s="2" t="s">
        <v>42</v>
      </c>
      <c r="E44" s="4">
        <v>2928</v>
      </c>
      <c r="F44" s="5">
        <f t="shared" si="1"/>
        <v>7325.8559999999998</v>
      </c>
      <c r="G44" s="6">
        <f t="shared" si="2"/>
        <v>732.5856</v>
      </c>
      <c r="H44" s="6">
        <f t="shared" si="3"/>
        <v>6593.2703999999994</v>
      </c>
      <c r="I44" s="7">
        <f t="shared" si="0"/>
        <v>76.729600000000573</v>
      </c>
    </row>
    <row r="45" spans="1:9" x14ac:dyDescent="0.25">
      <c r="A45" s="2">
        <v>17</v>
      </c>
      <c r="B45" s="2" t="s">
        <v>54</v>
      </c>
      <c r="C45" s="2">
        <v>6670</v>
      </c>
      <c r="D45" s="2" t="s">
        <v>55</v>
      </c>
      <c r="E45" s="4">
        <v>2997</v>
      </c>
      <c r="F45" s="5">
        <f t="shared" si="1"/>
        <v>7498.4939999999997</v>
      </c>
      <c r="G45" s="6">
        <f t="shared" si="2"/>
        <v>749.84939999999995</v>
      </c>
      <c r="H45" s="6">
        <f t="shared" si="3"/>
        <v>6748.6445999999996</v>
      </c>
      <c r="I45" s="8">
        <f t="shared" si="0"/>
        <v>-78.644599999999627</v>
      </c>
    </row>
    <row r="46" spans="1:9" x14ac:dyDescent="0.25">
      <c r="A46" s="2">
        <v>16</v>
      </c>
      <c r="B46" s="2" t="s">
        <v>3</v>
      </c>
      <c r="C46" s="2">
        <v>6670</v>
      </c>
      <c r="D46" s="2" t="s">
        <v>42</v>
      </c>
      <c r="E46" s="4">
        <v>2928</v>
      </c>
      <c r="F46" s="5">
        <f t="shared" si="1"/>
        <v>7325.8559999999998</v>
      </c>
      <c r="G46" s="6">
        <f t="shared" si="2"/>
        <v>732.5856</v>
      </c>
      <c r="H46" s="6">
        <f t="shared" si="3"/>
        <v>6593.2703999999994</v>
      </c>
      <c r="I46" s="7">
        <f t="shared" si="0"/>
        <v>76.729600000000573</v>
      </c>
    </row>
    <row r="47" spans="1:9" x14ac:dyDescent="0.25">
      <c r="A47" s="2">
        <v>15</v>
      </c>
      <c r="B47" s="2" t="s">
        <v>4</v>
      </c>
      <c r="C47" s="2">
        <v>7920</v>
      </c>
      <c r="D47" s="2" t="s">
        <v>42</v>
      </c>
      <c r="E47" s="4">
        <v>3710</v>
      </c>
      <c r="F47" s="5">
        <f t="shared" si="1"/>
        <v>9282.42</v>
      </c>
      <c r="G47" s="6">
        <f t="shared" si="2"/>
        <v>928.24199999999996</v>
      </c>
      <c r="H47" s="6">
        <f t="shared" si="3"/>
        <v>8354.1779999999999</v>
      </c>
      <c r="I47" s="8">
        <f t="shared" si="0"/>
        <v>-434.17799999999988</v>
      </c>
    </row>
    <row r="48" spans="1:9" x14ac:dyDescent="0.25">
      <c r="A48" s="2">
        <v>13</v>
      </c>
      <c r="B48" s="2" t="s">
        <v>56</v>
      </c>
      <c r="C48" s="2">
        <v>7920</v>
      </c>
      <c r="D48" s="2" t="s">
        <v>55</v>
      </c>
      <c r="E48" s="4">
        <v>3797</v>
      </c>
      <c r="F48" s="5">
        <f t="shared" si="1"/>
        <v>9500.0939999999991</v>
      </c>
      <c r="G48" s="6">
        <f t="shared" si="2"/>
        <v>950.00939999999991</v>
      </c>
      <c r="H48" s="6">
        <f t="shared" si="3"/>
        <v>8550.0845999999983</v>
      </c>
      <c r="I48" s="8">
        <f t="shared" si="0"/>
        <v>-630.08459999999832</v>
      </c>
    </row>
    <row r="49" spans="1:9" x14ac:dyDescent="0.25">
      <c r="A49" s="2">
        <v>14</v>
      </c>
      <c r="B49" s="2" t="s">
        <v>5</v>
      </c>
      <c r="C49" s="2">
        <v>7880</v>
      </c>
      <c r="D49" s="2" t="s">
        <v>42</v>
      </c>
      <c r="E49" s="4">
        <v>3710</v>
      </c>
      <c r="F49" s="5">
        <f t="shared" si="1"/>
        <v>9282.42</v>
      </c>
      <c r="G49" s="6">
        <f t="shared" si="2"/>
        <v>928.24199999999996</v>
      </c>
      <c r="H49" s="6">
        <f t="shared" si="3"/>
        <v>8354.1779999999999</v>
      </c>
      <c r="I49" s="8">
        <f t="shared" si="0"/>
        <v>-474.17799999999988</v>
      </c>
    </row>
  </sheetData>
  <sortState xmlns:xlrd2="http://schemas.microsoft.com/office/spreadsheetml/2017/richdata2" ref="A2:E49">
    <sortCondition descending="1" ref="B2:B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2026-04-08T08:52:53Z</dcterms:created>
  <dcterms:modified xsi:type="dcterms:W3CDTF">2026-04-08T10:48:46Z</dcterms:modified>
</cp:coreProperties>
</file>