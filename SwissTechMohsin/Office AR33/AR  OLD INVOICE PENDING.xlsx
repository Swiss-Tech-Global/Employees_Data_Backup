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92A5C193-1229-4E1F-8427-0FC194EAEA32}" xr6:coauthVersionLast="47" xr6:coauthVersionMax="47" xr10:uidLastSave="{00000000-0000-0000-0000-000000000000}"/>
  <bookViews>
    <workbookView xWindow="-30828" yWindow="8772" windowWidth="30936" windowHeight="16776" xr2:uid="{00000000-000D-0000-FFFF-FFFF00000000}"/>
  </bookViews>
  <sheets>
    <sheet name="Table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2" l="1"/>
  <c r="O8" i="2"/>
  <c r="O7" i="2"/>
  <c r="O6" i="2"/>
  <c r="O5" i="2"/>
  <c r="O4" i="2"/>
  <c r="O3" i="2"/>
  <c r="O2" i="2"/>
  <c r="O1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1" i="1"/>
</calcChain>
</file>

<file path=xl/sharedStrings.xml><?xml version="1.0" encoding="utf-8"?>
<sst xmlns="http://schemas.openxmlformats.org/spreadsheetml/2006/main" count="317" uniqueCount="76">
  <si>
    <t>iPhone</t>
  </si>
  <si>
    <t>15 Pro Max</t>
  </si>
  <si>
    <t>BLACK</t>
  </si>
  <si>
    <t>HSO</t>
  </si>
  <si>
    <t>TM</t>
  </si>
  <si>
    <t>Oct 27</t>
  </si>
  <si>
    <t>DXB</t>
  </si>
  <si>
    <t>AR 19</t>
  </si>
  <si>
    <r>
      <rPr>
        <sz val="10"/>
        <rFont val="Verdana"/>
        <family val="2"/>
      </rPr>
      <t>iPhone</t>
    </r>
  </si>
  <si>
    <r>
      <rPr>
        <sz val="10"/>
        <rFont val="Verdana"/>
        <family val="2"/>
      </rPr>
      <t>15 Pro</t>
    </r>
  </si>
  <si>
    <r>
      <rPr>
        <sz val="10"/>
        <rFont val="Verdana"/>
        <family val="2"/>
      </rPr>
      <t>HSO</t>
    </r>
  </si>
  <si>
    <r>
      <rPr>
        <sz val="10"/>
        <rFont val="Verdana"/>
        <family val="2"/>
      </rPr>
      <t>ACTIVE</t>
    </r>
  </si>
  <si>
    <r>
      <rPr>
        <sz val="10"/>
        <rFont val="Verdana"/>
        <family val="2"/>
      </rPr>
      <t>UNLOCK</t>
    </r>
  </si>
  <si>
    <r>
      <rPr>
        <sz val="10"/>
        <rFont val="Verdana"/>
        <family val="2"/>
      </rPr>
      <t>Oct 27</t>
    </r>
  </si>
  <si>
    <r>
      <rPr>
        <sz val="10"/>
        <rFont val="Verdana"/>
        <family val="2"/>
      </rPr>
      <t>DXB</t>
    </r>
  </si>
  <si>
    <r>
      <rPr>
        <sz val="10"/>
        <rFont val="Verdana"/>
        <family val="2"/>
      </rPr>
      <t>AR 19</t>
    </r>
  </si>
  <si>
    <r>
      <rPr>
        <sz val="10"/>
        <rFont val="Verdana"/>
        <family val="2"/>
      </rPr>
      <t>16 Pro</t>
    </r>
  </si>
  <si>
    <r>
      <rPr>
        <sz val="10"/>
        <rFont val="Verdana"/>
        <family val="2"/>
      </rPr>
      <t>U BOX</t>
    </r>
  </si>
  <si>
    <r>
      <rPr>
        <sz val="10"/>
        <rFont val="Verdana"/>
        <family val="2"/>
      </rPr>
      <t>16 Pro Max</t>
    </r>
  </si>
  <si>
    <r>
      <rPr>
        <sz val="10"/>
        <rFont val="Verdana"/>
        <family val="2"/>
      </rPr>
      <t>BLACK</t>
    </r>
  </si>
  <si>
    <r>
      <rPr>
        <sz val="10"/>
        <rFont val="Verdana"/>
        <family val="2"/>
      </rPr>
      <t>AT&amp;T</t>
    </r>
  </si>
  <si>
    <r>
      <rPr>
        <sz val="10"/>
        <rFont val="Verdana"/>
        <family val="2"/>
      </rPr>
      <t>SILVER</t>
    </r>
  </si>
  <si>
    <r>
      <rPr>
        <sz val="10"/>
        <rFont val="Verdana"/>
        <family val="2"/>
      </rPr>
      <t>VZW</t>
    </r>
  </si>
  <si>
    <r>
      <rPr>
        <sz val="10"/>
        <rFont val="Verdana"/>
        <family val="2"/>
      </rPr>
      <t>1TB</t>
    </r>
  </si>
  <si>
    <r>
      <rPr>
        <sz val="10"/>
        <rFont val="Verdana"/>
        <family val="2"/>
      </rPr>
      <t>Valve</t>
    </r>
  </si>
  <si>
    <r>
      <rPr>
        <sz val="10"/>
        <rFont val="Verdana"/>
        <family val="2"/>
      </rPr>
      <t>SteamDeck</t>
    </r>
  </si>
  <si>
    <r>
      <rPr>
        <sz val="10"/>
        <rFont val="Verdana"/>
        <family val="2"/>
      </rPr>
      <t>AFW1A31902D02</t>
    </r>
  </si>
  <si>
    <r>
      <rPr>
        <sz val="10"/>
        <rFont val="Verdana"/>
        <family val="2"/>
      </rPr>
      <t>BOX</t>
    </r>
  </si>
  <si>
    <r>
      <rPr>
        <sz val="10"/>
        <rFont val="Verdana"/>
        <family val="2"/>
      </rPr>
      <t>Jan 12</t>
    </r>
  </si>
  <si>
    <r>
      <rPr>
        <sz val="10"/>
        <rFont val="Verdana"/>
        <family val="2"/>
      </rPr>
      <t>AR 2</t>
    </r>
  </si>
  <si>
    <r>
      <rPr>
        <sz val="10"/>
        <rFont val="Verdana"/>
        <family val="2"/>
      </rPr>
      <t>Steam Deck</t>
    </r>
  </si>
  <si>
    <r>
      <rPr>
        <sz val="10"/>
        <rFont val="Verdana"/>
        <family val="2"/>
      </rPr>
      <t>AFVZZ53401A7C</t>
    </r>
  </si>
  <si>
    <r>
      <rPr>
        <sz val="10"/>
        <rFont val="Verdana"/>
        <family val="2"/>
      </rPr>
      <t>AFYZZ53701D2A</t>
    </r>
  </si>
  <si>
    <r>
      <rPr>
        <sz val="10"/>
        <rFont val="Verdana"/>
        <family val="2"/>
      </rPr>
      <t>AFYZZ542048F7</t>
    </r>
  </si>
  <si>
    <r>
      <rPr>
        <sz val="10"/>
        <rFont val="Verdana"/>
        <family val="2"/>
      </rPr>
      <t>NON-ACTIVE</t>
    </r>
  </si>
  <si>
    <r>
      <rPr>
        <sz val="10"/>
        <rFont val="Verdana"/>
        <family val="2"/>
      </rPr>
      <t>15 Plus</t>
    </r>
  </si>
  <si>
    <r>
      <rPr>
        <sz val="10"/>
        <rFont val="Verdana"/>
        <family val="2"/>
      </rPr>
      <t>Nov 3</t>
    </r>
  </si>
  <si>
    <r>
      <rPr>
        <sz val="10"/>
        <rFont val="Verdana"/>
        <family val="2"/>
      </rPr>
      <t>AR 20</t>
    </r>
  </si>
  <si>
    <r>
      <rPr>
        <sz val="10"/>
        <rFont val="Verdana"/>
        <family val="2"/>
      </rPr>
      <t>WHITE</t>
    </r>
  </si>
  <si>
    <r>
      <rPr>
        <sz val="10"/>
        <rFont val="Verdana"/>
        <family val="2"/>
      </rPr>
      <t>17 Pro</t>
    </r>
  </si>
  <si>
    <r>
      <rPr>
        <sz val="10"/>
        <rFont val="Verdana"/>
        <family val="2"/>
      </rPr>
      <t>BLUE</t>
    </r>
  </si>
  <si>
    <r>
      <rPr>
        <sz val="10"/>
        <rFont val="Verdana"/>
        <family val="2"/>
      </rPr>
      <t>17 Pro Max</t>
    </r>
  </si>
  <si>
    <r>
      <rPr>
        <sz val="10"/>
        <rFont val="Verdana"/>
        <family val="2"/>
      </rPr>
      <t>ORANGE</t>
    </r>
  </si>
  <si>
    <r>
      <rPr>
        <sz val="10"/>
        <rFont val="Verdana"/>
        <family val="2"/>
      </rPr>
      <t>DESERT</t>
    </r>
  </si>
  <si>
    <r>
      <rPr>
        <sz val="10"/>
        <rFont val="Verdana"/>
        <family val="2"/>
      </rPr>
      <t>iPad</t>
    </r>
  </si>
  <si>
    <r>
      <rPr>
        <sz val="10"/>
        <rFont val="Verdana"/>
        <family val="2"/>
      </rPr>
      <t>Magic Keyboar</t>
    </r>
  </si>
  <si>
    <r>
      <rPr>
        <sz val="10"/>
        <rFont val="Verdana"/>
        <family val="2"/>
      </rPr>
      <t>d</t>
    </r>
  </si>
  <si>
    <r>
      <rPr>
        <sz val="10"/>
        <rFont val="Verdana"/>
        <family val="2"/>
      </rPr>
      <t>SHFXWVVM2M6</t>
    </r>
  </si>
  <si>
    <r>
      <rPr>
        <sz val="10"/>
        <rFont val="Verdana"/>
        <family val="2"/>
      </rPr>
      <t>Nov 6</t>
    </r>
  </si>
  <si>
    <r>
      <rPr>
        <sz val="10"/>
        <rFont val="Verdana"/>
        <family val="2"/>
      </rPr>
      <t>AR 21</t>
    </r>
  </si>
  <si>
    <r>
      <rPr>
        <sz val="10"/>
        <rFont val="Verdana"/>
        <family val="2"/>
      </rPr>
      <t>16 Plus</t>
    </r>
  </si>
  <si>
    <r>
      <rPr>
        <sz val="10"/>
        <rFont val="Verdana"/>
        <family val="2"/>
      </rPr>
      <t>PINK</t>
    </r>
  </si>
  <si>
    <r>
      <rPr>
        <sz val="10"/>
        <rFont val="Verdana"/>
        <family val="2"/>
      </rPr>
      <t>Macbook</t>
    </r>
  </si>
  <si>
    <r>
      <rPr>
        <sz val="10"/>
        <rFont val="Verdana"/>
        <family val="2"/>
      </rPr>
      <t>ML2RFXV6NL</t>
    </r>
  </si>
  <si>
    <r>
      <rPr>
        <sz val="10"/>
        <rFont val="Verdana"/>
        <family val="2"/>
      </rPr>
      <t>GRAY</t>
    </r>
  </si>
  <si>
    <r>
      <rPr>
        <sz val="10"/>
        <rFont val="Verdana"/>
        <family val="2"/>
      </rPr>
      <t>LOCK</t>
    </r>
  </si>
  <si>
    <r>
      <rPr>
        <sz val="10"/>
        <rFont val="Verdana"/>
        <family val="2"/>
      </rPr>
      <t>Nov 15</t>
    </r>
  </si>
  <si>
    <r>
      <rPr>
        <sz val="10"/>
        <rFont val="Verdana"/>
        <family val="2"/>
      </rPr>
      <t>AR 22</t>
    </r>
  </si>
  <si>
    <r>
      <rPr>
        <sz val="10"/>
        <rFont val="Verdana"/>
        <family val="2"/>
      </rPr>
      <t>Samsung</t>
    </r>
  </si>
  <si>
    <r>
      <rPr>
        <sz val="10"/>
        <rFont val="Verdana"/>
        <family val="2"/>
      </rPr>
      <t>S25+</t>
    </r>
  </si>
  <si>
    <r>
      <rPr>
        <sz val="10"/>
        <rFont val="Verdana"/>
        <family val="2"/>
      </rPr>
      <t>Dec 9</t>
    </r>
  </si>
  <si>
    <r>
      <rPr>
        <sz val="10"/>
        <rFont val="Verdana"/>
        <family val="2"/>
      </rPr>
      <t>AR 24</t>
    </r>
  </si>
  <si>
    <r>
      <rPr>
        <sz val="10"/>
        <rFont val="Verdana"/>
        <family val="2"/>
      </rPr>
      <t>--</t>
    </r>
  </si>
  <si>
    <r>
      <rPr>
        <sz val="10"/>
        <rFont val="Verdana"/>
        <family val="2"/>
      </rPr>
      <t>---</t>
    </r>
  </si>
  <si>
    <r>
      <rPr>
        <sz val="10"/>
        <rFont val="Verdana"/>
        <family val="2"/>
      </rPr>
      <t>----</t>
    </r>
  </si>
  <si>
    <r>
      <rPr>
        <sz val="10"/>
        <rFont val="Verdana"/>
        <family val="2"/>
      </rPr>
      <t>Sony</t>
    </r>
  </si>
  <si>
    <r>
      <rPr>
        <sz val="10"/>
        <rFont val="Verdana"/>
        <family val="2"/>
      </rPr>
      <t>PS5 VR2</t>
    </r>
  </si>
  <si>
    <r>
      <rPr>
        <sz val="10"/>
        <rFont val="Verdana"/>
        <family val="2"/>
      </rPr>
      <t>S01G13200K1J11901709</t>
    </r>
  </si>
  <si>
    <r>
      <rPr>
        <sz val="10"/>
        <rFont val="Verdana"/>
        <family val="2"/>
      </rPr>
      <t>Dec 16</t>
    </r>
  </si>
  <si>
    <r>
      <rPr>
        <sz val="10"/>
        <rFont val="Verdana"/>
        <family val="2"/>
      </rPr>
      <t>AR 25</t>
    </r>
  </si>
  <si>
    <t>885521840190 Owais HT</t>
  </si>
  <si>
    <t>No Entery</t>
  </si>
  <si>
    <t>No Details</t>
  </si>
  <si>
    <t>885722026141 Owais HT</t>
  </si>
  <si>
    <t xml:space="preserve">885824396623 Owais HT </t>
  </si>
  <si>
    <t>887197830975 Owais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</si>
</sst>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70" formatCode="_-[$AED]\ * #,##0.00_-;\-[$AED]\ * #,##0.00_-;_-[$AED]\ * &quot;-&quot;??_-;_-@_-"/>
  </numFmts>
  <fonts count="5" x14ac:knownFonts="1">
    <font>
      <sz val="10"/>
      <color rgb="FF000000"/>
      <name val="Times New Roman"/>
      <charset val="204"/>
    </font>
    <font>
      <sz val="10"/>
      <name val="Verdana"/>
      <family val="2"/>
    </font>
    <font>
      <sz val="10"/>
      <color rgb="FF000000"/>
      <name val="Verdana"/>
      <family val="2"/>
    </font>
    <font>
      <sz val="10"/>
      <color rgb="FF000000"/>
      <name val="Times New Roman"/>
      <family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indent="1" shrinkToFit="1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/>
    </xf>
    <xf numFmtId="1" fontId="3" fillId="0" borderId="1" xfId="0" applyNumberFormat="1" applyFont="1" applyBorder="1" applyAlignment="1">
      <alignment horizontal="left" vertical="top"/>
    </xf>
    <xf numFmtId="170" fontId="0" fillId="0" borderId="1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4" fillId="0" borderId="0" xfId="0" applyFont="1" applyAlignment="1">
      <alignment horizontal="left" vertical="top"/>
    </xf>
    <xf numFmtId="1" fontId="1" fillId="0" borderId="1" xfId="0" applyNumberFormat="1" applyFont="1" applyBorder="1" applyAlignment="1">
      <alignment horizontal="center" vertical="top" wrapText="1"/>
    </xf>
    <xf numFmtId="1" fontId="3" fillId="2" borderId="1" xfId="0" applyNumberFormat="1" applyFont="1" applyFill="1" applyBorder="1" applyAlignment="1">
      <alignment horizontal="left" vertical="top"/>
    </xf>
    <xf numFmtId="2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workbookViewId="0">
      <selection activeCell="E42" sqref="E42"/>
    </sheetView>
  </sheetViews>
  <sheetFormatPr defaultRowHeight="12.75" x14ac:dyDescent="0.2"/>
  <cols>
    <col min="1" max="1" width="11" bestFit="1" customWidth="1"/>
    <col min="2" max="2" width="17.5" bestFit="1" customWidth="1"/>
    <col min="3" max="3" width="6.6640625" bestFit="1" customWidth="1"/>
    <col min="4" max="4" width="13.1640625" customWidth="1"/>
    <col min="5" max="5" width="31" customWidth="1"/>
    <col min="6" max="6" width="8" customWidth="1"/>
    <col min="7" max="7" width="15.33203125" bestFit="1" customWidth="1"/>
    <col min="8" max="8" width="11.83203125" customWidth="1"/>
    <col min="9" max="10" width="8" customWidth="1"/>
    <col min="11" max="11" width="16.5" customWidth="1"/>
    <col min="12" max="12" width="12.6640625" customWidth="1"/>
    <col min="13" max="13" width="13.83203125" customWidth="1"/>
    <col min="14" max="14" width="19" customWidth="1"/>
    <col min="15" max="15" width="16.1640625" bestFit="1" customWidth="1"/>
    <col min="16" max="16" width="11.1640625" bestFit="1" customWidth="1"/>
  </cols>
  <sheetData>
    <row r="1" spans="1:16" ht="21.75" customHeight="1" x14ac:dyDescent="0.2">
      <c r="A1" s="2" t="s">
        <v>0</v>
      </c>
      <c r="B1" s="2" t="s">
        <v>1</v>
      </c>
      <c r="C1" s="3">
        <v>256</v>
      </c>
      <c r="D1" s="4" t="s">
        <v>2</v>
      </c>
      <c r="E1" s="5">
        <v>352310722087571</v>
      </c>
      <c r="F1" s="4" t="s">
        <v>3</v>
      </c>
      <c r="G1" s="6"/>
      <c r="H1" s="4" t="s">
        <v>4</v>
      </c>
      <c r="I1" s="6"/>
      <c r="J1" s="6"/>
      <c r="K1" s="7">
        <v>480</v>
      </c>
      <c r="L1" s="4" t="s">
        <v>5</v>
      </c>
      <c r="M1" s="4" t="s">
        <v>6</v>
      </c>
      <c r="N1" s="4" t="s">
        <v>7</v>
      </c>
      <c r="O1" s="10">
        <f>K1*3.59</f>
        <v>1723.1999999999998</v>
      </c>
      <c r="P1" s="1" t="s">
        <v>71</v>
      </c>
    </row>
    <row r="2" spans="1:16" x14ac:dyDescent="0.2">
      <c r="A2" s="8" t="s">
        <v>8</v>
      </c>
      <c r="B2" s="8" t="s">
        <v>9</v>
      </c>
      <c r="C2" s="8">
        <v>512</v>
      </c>
      <c r="D2" s="8"/>
      <c r="E2" s="9">
        <v>354136652550926</v>
      </c>
      <c r="F2" s="8" t="s">
        <v>10</v>
      </c>
      <c r="G2" s="8" t="s">
        <v>11</v>
      </c>
      <c r="H2" s="8" t="s">
        <v>12</v>
      </c>
      <c r="I2" s="8"/>
      <c r="J2" s="8"/>
      <c r="K2" s="7">
        <v>650</v>
      </c>
      <c r="L2" s="8" t="s">
        <v>13</v>
      </c>
      <c r="M2" s="8" t="s">
        <v>14</v>
      </c>
      <c r="N2" s="8" t="s">
        <v>15</v>
      </c>
      <c r="O2" s="10">
        <f t="shared" ref="O2:O27" si="0">K2*3.59</f>
        <v>2333.5</v>
      </c>
      <c r="P2">
        <v>4</v>
      </c>
    </row>
    <row r="3" spans="1:16" x14ac:dyDescent="0.2">
      <c r="A3" s="8" t="s">
        <v>8</v>
      </c>
      <c r="B3" s="8" t="s">
        <v>16</v>
      </c>
      <c r="C3" s="8">
        <v>256</v>
      </c>
      <c r="D3" s="8"/>
      <c r="E3" s="9">
        <v>352772254261397</v>
      </c>
      <c r="F3" s="8" t="s">
        <v>17</v>
      </c>
      <c r="G3" s="8" t="s">
        <v>11</v>
      </c>
      <c r="H3" s="8" t="s">
        <v>12</v>
      </c>
      <c r="I3" s="8"/>
      <c r="J3" s="8"/>
      <c r="K3" s="7">
        <v>720</v>
      </c>
      <c r="L3" s="8" t="s">
        <v>13</v>
      </c>
      <c r="M3" s="8" t="s">
        <v>14</v>
      </c>
      <c r="N3" s="8" t="s">
        <v>15</v>
      </c>
      <c r="O3" s="10">
        <f t="shared" si="0"/>
        <v>2584.7999999999997</v>
      </c>
      <c r="P3">
        <v>4</v>
      </c>
    </row>
    <row r="4" spans="1:16" x14ac:dyDescent="0.2">
      <c r="A4" s="8" t="s">
        <v>8</v>
      </c>
      <c r="B4" s="8" t="s">
        <v>18</v>
      </c>
      <c r="C4" s="8">
        <v>256</v>
      </c>
      <c r="D4" s="8" t="s">
        <v>19</v>
      </c>
      <c r="E4" s="14">
        <v>355067543416630</v>
      </c>
      <c r="F4" s="8" t="s">
        <v>10</v>
      </c>
      <c r="G4" s="8"/>
      <c r="H4" s="8" t="s">
        <v>20</v>
      </c>
      <c r="I4" s="8"/>
      <c r="J4" s="8"/>
      <c r="K4" s="7">
        <v>650</v>
      </c>
      <c r="L4" s="8" t="s">
        <v>13</v>
      </c>
      <c r="M4" s="8" t="s">
        <v>14</v>
      </c>
      <c r="N4" s="8" t="s">
        <v>15</v>
      </c>
      <c r="O4" s="10">
        <f t="shared" si="0"/>
        <v>2333.5</v>
      </c>
      <c r="P4" s="1" t="s">
        <v>72</v>
      </c>
    </row>
    <row r="5" spans="1:16" x14ac:dyDescent="0.2">
      <c r="A5" s="8" t="s">
        <v>8</v>
      </c>
      <c r="B5" s="8" t="s">
        <v>18</v>
      </c>
      <c r="C5" s="8">
        <v>256</v>
      </c>
      <c r="D5" s="8" t="s">
        <v>19</v>
      </c>
      <c r="E5" s="9">
        <v>356541620272248</v>
      </c>
      <c r="F5" s="8" t="s">
        <v>17</v>
      </c>
      <c r="G5" s="8"/>
      <c r="H5" s="8" t="s">
        <v>12</v>
      </c>
      <c r="I5" s="8"/>
      <c r="J5" s="8"/>
      <c r="K5" s="7">
        <v>700</v>
      </c>
      <c r="L5" s="8" t="s">
        <v>13</v>
      </c>
      <c r="M5" s="8" t="s">
        <v>14</v>
      </c>
      <c r="N5" s="8" t="s">
        <v>15</v>
      </c>
      <c r="O5" s="10">
        <f t="shared" si="0"/>
        <v>2513</v>
      </c>
      <c r="P5">
        <v>4</v>
      </c>
    </row>
    <row r="6" spans="1:16" x14ac:dyDescent="0.2">
      <c r="A6" s="8" t="s">
        <v>8</v>
      </c>
      <c r="B6" s="8" t="s">
        <v>18</v>
      </c>
      <c r="C6" s="8">
        <v>256</v>
      </c>
      <c r="D6" s="8" t="s">
        <v>21</v>
      </c>
      <c r="E6" s="9">
        <v>354661679217035</v>
      </c>
      <c r="F6" s="8" t="s">
        <v>10</v>
      </c>
      <c r="G6" s="8"/>
      <c r="H6" s="8" t="s">
        <v>22</v>
      </c>
      <c r="I6" s="8"/>
      <c r="J6" s="8"/>
      <c r="K6" s="7">
        <v>650</v>
      </c>
      <c r="L6" s="8" t="s">
        <v>13</v>
      </c>
      <c r="M6" s="8" t="s">
        <v>14</v>
      </c>
      <c r="N6" s="8" t="s">
        <v>15</v>
      </c>
      <c r="O6" s="10">
        <f t="shared" si="0"/>
        <v>2333.5</v>
      </c>
      <c r="P6" s="1" t="s">
        <v>71</v>
      </c>
    </row>
    <row r="7" spans="1:16" x14ac:dyDescent="0.2">
      <c r="A7" s="8" t="s">
        <v>8</v>
      </c>
      <c r="B7" s="8" t="s">
        <v>18</v>
      </c>
      <c r="C7" s="8" t="s">
        <v>23</v>
      </c>
      <c r="D7" s="8" t="s">
        <v>19</v>
      </c>
      <c r="E7" s="9">
        <v>358862982966047</v>
      </c>
      <c r="F7" s="8" t="s">
        <v>10</v>
      </c>
      <c r="G7" s="8"/>
      <c r="H7" s="8" t="s">
        <v>20</v>
      </c>
      <c r="I7" s="8"/>
      <c r="J7" s="8"/>
      <c r="K7" s="7">
        <v>950</v>
      </c>
      <c r="L7" s="8" t="s">
        <v>13</v>
      </c>
      <c r="M7" s="8" t="s">
        <v>14</v>
      </c>
      <c r="N7" s="8" t="s">
        <v>15</v>
      </c>
      <c r="O7" s="10">
        <f t="shared" si="0"/>
        <v>3410.5</v>
      </c>
      <c r="P7" s="1" t="s">
        <v>71</v>
      </c>
    </row>
    <row r="8" spans="1:16" x14ac:dyDescent="0.2">
      <c r="A8" s="8" t="s">
        <v>24</v>
      </c>
      <c r="B8" s="8" t="s">
        <v>25</v>
      </c>
      <c r="C8" s="8">
        <v>256</v>
      </c>
      <c r="D8" s="8" t="s">
        <v>19</v>
      </c>
      <c r="E8" s="9" t="s">
        <v>26</v>
      </c>
      <c r="F8" s="8" t="s">
        <v>27</v>
      </c>
      <c r="G8" s="8"/>
      <c r="H8" s="8"/>
      <c r="I8" s="8"/>
      <c r="J8" s="8"/>
      <c r="K8" s="7">
        <v>400</v>
      </c>
      <c r="L8" s="8" t="s">
        <v>28</v>
      </c>
      <c r="M8" s="8" t="s">
        <v>14</v>
      </c>
      <c r="N8" s="8" t="s">
        <v>29</v>
      </c>
      <c r="O8" s="10">
        <f t="shared" si="0"/>
        <v>1436</v>
      </c>
      <c r="P8" s="1" t="s">
        <v>72</v>
      </c>
    </row>
    <row r="9" spans="1:16" x14ac:dyDescent="0.2">
      <c r="A9" s="8" t="s">
        <v>24</v>
      </c>
      <c r="B9" s="8" t="s">
        <v>30</v>
      </c>
      <c r="C9" s="8">
        <v>512</v>
      </c>
      <c r="D9" s="8"/>
      <c r="E9" s="9" t="s">
        <v>31</v>
      </c>
      <c r="F9" s="8" t="s">
        <v>27</v>
      </c>
      <c r="G9" s="8"/>
      <c r="H9" s="8"/>
      <c r="I9" s="8"/>
      <c r="J9" s="8"/>
      <c r="K9" s="7">
        <v>500</v>
      </c>
      <c r="L9" s="8" t="s">
        <v>28</v>
      </c>
      <c r="M9" s="8" t="s">
        <v>14</v>
      </c>
      <c r="N9" s="8" t="s">
        <v>29</v>
      </c>
      <c r="O9" s="10">
        <f t="shared" si="0"/>
        <v>1795</v>
      </c>
      <c r="P9" s="15">
        <v>1797.5</v>
      </c>
    </row>
    <row r="10" spans="1:16" x14ac:dyDescent="0.2">
      <c r="A10" s="8" t="s">
        <v>24</v>
      </c>
      <c r="B10" s="8" t="s">
        <v>25</v>
      </c>
      <c r="C10" s="8" t="s">
        <v>23</v>
      </c>
      <c r="D10" s="8" t="s">
        <v>19</v>
      </c>
      <c r="E10" s="9" t="s">
        <v>32</v>
      </c>
      <c r="F10" s="8" t="s">
        <v>27</v>
      </c>
      <c r="G10" s="8"/>
      <c r="H10" s="8"/>
      <c r="I10" s="8"/>
      <c r="J10" s="8"/>
      <c r="K10" s="7">
        <v>620</v>
      </c>
      <c r="L10" s="8" t="s">
        <v>28</v>
      </c>
      <c r="M10" s="8" t="s">
        <v>14</v>
      </c>
      <c r="N10" s="8" t="s">
        <v>29</v>
      </c>
      <c r="O10" s="10">
        <f t="shared" si="0"/>
        <v>2225.7999999999997</v>
      </c>
      <c r="P10" s="15">
        <v>2228.9</v>
      </c>
    </row>
    <row r="11" spans="1:16" x14ac:dyDescent="0.2">
      <c r="A11" s="8" t="s">
        <v>24</v>
      </c>
      <c r="B11" s="8" t="s">
        <v>30</v>
      </c>
      <c r="C11" s="8" t="s">
        <v>23</v>
      </c>
      <c r="D11" s="8" t="s">
        <v>19</v>
      </c>
      <c r="E11" s="9" t="s">
        <v>33</v>
      </c>
      <c r="F11" s="8" t="s">
        <v>27</v>
      </c>
      <c r="G11" s="8" t="s">
        <v>34</v>
      </c>
      <c r="H11" s="8"/>
      <c r="I11" s="8"/>
      <c r="J11" s="8"/>
      <c r="K11" s="7">
        <v>620</v>
      </c>
      <c r="L11" s="8" t="s">
        <v>28</v>
      </c>
      <c r="M11" s="8" t="s">
        <v>14</v>
      </c>
      <c r="N11" s="8" t="s">
        <v>29</v>
      </c>
      <c r="O11" s="10">
        <f t="shared" si="0"/>
        <v>2225.7999999999997</v>
      </c>
      <c r="P11" s="15">
        <v>2228.9</v>
      </c>
    </row>
    <row r="12" spans="1:16" x14ac:dyDescent="0.2">
      <c r="A12" s="8" t="s">
        <v>8</v>
      </c>
      <c r="B12" s="8" t="s">
        <v>35</v>
      </c>
      <c r="C12" s="8">
        <v>128</v>
      </c>
      <c r="D12" s="8" t="s">
        <v>19</v>
      </c>
      <c r="E12" s="9">
        <v>359081515096243</v>
      </c>
      <c r="F12" s="8" t="s">
        <v>10</v>
      </c>
      <c r="G12" s="8"/>
      <c r="H12" s="8" t="s">
        <v>20</v>
      </c>
      <c r="I12" s="8"/>
      <c r="J12" s="8"/>
      <c r="K12" s="7">
        <v>325</v>
      </c>
      <c r="L12" s="8" t="s">
        <v>36</v>
      </c>
      <c r="M12" s="8" t="s">
        <v>14</v>
      </c>
      <c r="N12" s="8" t="s">
        <v>37</v>
      </c>
      <c r="O12" s="10">
        <f t="shared" si="0"/>
        <v>1166.75</v>
      </c>
      <c r="P12" s="1" t="s">
        <v>71</v>
      </c>
    </row>
    <row r="13" spans="1:16" x14ac:dyDescent="0.2">
      <c r="A13" s="8" t="s">
        <v>8</v>
      </c>
      <c r="B13" s="8" t="s">
        <v>35</v>
      </c>
      <c r="C13" s="8">
        <v>128</v>
      </c>
      <c r="D13" s="8" t="s">
        <v>38</v>
      </c>
      <c r="E13" s="9">
        <v>353352950838027</v>
      </c>
      <c r="F13" s="8" t="s">
        <v>10</v>
      </c>
      <c r="G13" s="8" t="s">
        <v>11</v>
      </c>
      <c r="H13" s="8" t="s">
        <v>22</v>
      </c>
      <c r="I13" s="8"/>
      <c r="J13" s="8"/>
      <c r="K13" s="7">
        <v>325</v>
      </c>
      <c r="L13" s="8" t="s">
        <v>36</v>
      </c>
      <c r="M13" s="8" t="s">
        <v>14</v>
      </c>
      <c r="N13" s="8" t="s">
        <v>37</v>
      </c>
      <c r="O13" s="10">
        <f t="shared" si="0"/>
        <v>1166.75</v>
      </c>
      <c r="P13">
        <v>4</v>
      </c>
    </row>
    <row r="14" spans="1:16" x14ac:dyDescent="0.2">
      <c r="A14" s="8" t="s">
        <v>8</v>
      </c>
      <c r="B14" s="8" t="s">
        <v>39</v>
      </c>
      <c r="C14" s="8">
        <v>256</v>
      </c>
      <c r="D14" s="8" t="s">
        <v>40</v>
      </c>
      <c r="E14" s="9">
        <v>354996260768859</v>
      </c>
      <c r="F14" s="8" t="s">
        <v>10</v>
      </c>
      <c r="G14" s="8"/>
      <c r="H14" s="8" t="s">
        <v>20</v>
      </c>
      <c r="I14" s="8"/>
      <c r="J14" s="8"/>
      <c r="K14" s="7">
        <v>720</v>
      </c>
      <c r="L14" s="8" t="s">
        <v>36</v>
      </c>
      <c r="M14" s="8" t="s">
        <v>14</v>
      </c>
      <c r="N14" s="8" t="s">
        <v>37</v>
      </c>
      <c r="O14" s="10">
        <f t="shared" si="0"/>
        <v>2584.7999999999997</v>
      </c>
      <c r="P14">
        <v>4</v>
      </c>
    </row>
    <row r="15" spans="1:16" x14ac:dyDescent="0.2">
      <c r="A15" s="8" t="s">
        <v>8</v>
      </c>
      <c r="B15" s="8" t="s">
        <v>41</v>
      </c>
      <c r="C15" s="8">
        <v>256</v>
      </c>
      <c r="D15" s="8" t="s">
        <v>42</v>
      </c>
      <c r="E15" s="9">
        <v>357431269776478</v>
      </c>
      <c r="F15" s="8" t="s">
        <v>10</v>
      </c>
      <c r="G15" s="8"/>
      <c r="H15" s="8" t="s">
        <v>20</v>
      </c>
      <c r="I15" s="8"/>
      <c r="J15" s="8"/>
      <c r="K15" s="7">
        <v>900</v>
      </c>
      <c r="L15" s="8" t="s">
        <v>36</v>
      </c>
      <c r="M15" s="8" t="s">
        <v>14</v>
      </c>
      <c r="N15" s="8" t="s">
        <v>37</v>
      </c>
      <c r="O15" s="10">
        <f t="shared" si="0"/>
        <v>3231</v>
      </c>
      <c r="P15" s="1" t="s">
        <v>71</v>
      </c>
    </row>
    <row r="16" spans="1:16" x14ac:dyDescent="0.2">
      <c r="A16" s="8" t="s">
        <v>8</v>
      </c>
      <c r="B16" s="8" t="s">
        <v>16</v>
      </c>
      <c r="C16" s="8">
        <v>256</v>
      </c>
      <c r="D16" s="8" t="s">
        <v>43</v>
      </c>
      <c r="E16" s="9">
        <v>353357355939908</v>
      </c>
      <c r="F16" s="8" t="s">
        <v>10</v>
      </c>
      <c r="G16" s="8"/>
      <c r="H16" s="8" t="s">
        <v>12</v>
      </c>
      <c r="I16" s="8"/>
      <c r="J16" s="8"/>
      <c r="K16" s="7">
        <v>680</v>
      </c>
      <c r="L16" s="8" t="s">
        <v>36</v>
      </c>
      <c r="M16" s="8" t="s">
        <v>14</v>
      </c>
      <c r="N16" s="8" t="s">
        <v>37</v>
      </c>
      <c r="O16" s="10">
        <f t="shared" si="0"/>
        <v>2441.1999999999998</v>
      </c>
      <c r="P16">
        <v>4</v>
      </c>
    </row>
    <row r="17" spans="1:16" x14ac:dyDescent="0.2">
      <c r="A17" s="8" t="s">
        <v>44</v>
      </c>
      <c r="B17" s="8" t="s">
        <v>45</v>
      </c>
      <c r="C17" s="8" t="s">
        <v>46</v>
      </c>
      <c r="D17" s="8" t="s">
        <v>19</v>
      </c>
      <c r="E17" s="9" t="s">
        <v>47</v>
      </c>
      <c r="F17" s="8" t="s">
        <v>27</v>
      </c>
      <c r="G17" s="8" t="s">
        <v>34</v>
      </c>
      <c r="H17" s="8" t="s">
        <v>12</v>
      </c>
      <c r="I17" s="8"/>
      <c r="J17" s="8"/>
      <c r="K17" s="7">
        <v>225</v>
      </c>
      <c r="L17" s="8" t="s">
        <v>48</v>
      </c>
      <c r="M17" s="8" t="s">
        <v>14</v>
      </c>
      <c r="N17" s="8" t="s">
        <v>49</v>
      </c>
      <c r="O17" s="10">
        <f t="shared" si="0"/>
        <v>807.75</v>
      </c>
      <c r="P17" s="1" t="s">
        <v>71</v>
      </c>
    </row>
    <row r="18" spans="1:16" x14ac:dyDescent="0.2">
      <c r="A18" s="8" t="s">
        <v>8</v>
      </c>
      <c r="B18" s="8" t="s">
        <v>18</v>
      </c>
      <c r="C18" s="8">
        <v>256</v>
      </c>
      <c r="D18" s="8" t="s">
        <v>38</v>
      </c>
      <c r="E18" s="9">
        <v>352315400015596</v>
      </c>
      <c r="F18" s="8" t="s">
        <v>27</v>
      </c>
      <c r="G18" s="8"/>
      <c r="H18" s="8" t="s">
        <v>20</v>
      </c>
      <c r="I18" s="8"/>
      <c r="J18" s="8"/>
      <c r="K18" s="7">
        <v>650</v>
      </c>
      <c r="L18" s="8" t="s">
        <v>48</v>
      </c>
      <c r="M18" s="8" t="s">
        <v>14</v>
      </c>
      <c r="N18" s="8" t="s">
        <v>49</v>
      </c>
      <c r="O18" s="10">
        <f t="shared" si="0"/>
        <v>2333.5</v>
      </c>
      <c r="P18">
        <v>4</v>
      </c>
    </row>
    <row r="19" spans="1:16" x14ac:dyDescent="0.2">
      <c r="A19" s="8" t="s">
        <v>8</v>
      </c>
      <c r="B19" s="8" t="s">
        <v>18</v>
      </c>
      <c r="C19" s="8">
        <v>256</v>
      </c>
      <c r="D19" s="8" t="s">
        <v>43</v>
      </c>
      <c r="E19" s="9">
        <v>359222381700076</v>
      </c>
      <c r="F19" s="8" t="s">
        <v>27</v>
      </c>
      <c r="G19" s="8"/>
      <c r="H19" s="8" t="s">
        <v>12</v>
      </c>
      <c r="I19" s="8"/>
      <c r="J19" s="8"/>
      <c r="K19" s="7">
        <v>750</v>
      </c>
      <c r="L19" s="8" t="s">
        <v>48</v>
      </c>
      <c r="M19" s="8" t="s">
        <v>14</v>
      </c>
      <c r="N19" s="8" t="s">
        <v>49</v>
      </c>
      <c r="O19" s="10">
        <f t="shared" si="0"/>
        <v>2692.5</v>
      </c>
      <c r="P19" s="1">
        <v>4</v>
      </c>
    </row>
    <row r="20" spans="1:16" x14ac:dyDescent="0.2">
      <c r="A20" s="8" t="s">
        <v>8</v>
      </c>
      <c r="B20" s="8" t="s">
        <v>18</v>
      </c>
      <c r="C20" s="8">
        <v>256</v>
      </c>
      <c r="D20" s="8" t="s">
        <v>38</v>
      </c>
      <c r="E20" s="9">
        <v>352315400239840</v>
      </c>
      <c r="F20" s="8" t="s">
        <v>10</v>
      </c>
      <c r="G20" s="8"/>
      <c r="H20" s="8" t="s">
        <v>20</v>
      </c>
      <c r="I20" s="8"/>
      <c r="J20" s="8"/>
      <c r="K20" s="7">
        <v>650</v>
      </c>
      <c r="L20" s="8" t="s">
        <v>48</v>
      </c>
      <c r="M20" s="8" t="s">
        <v>14</v>
      </c>
      <c r="N20" s="8" t="s">
        <v>49</v>
      </c>
      <c r="O20" s="10">
        <f t="shared" si="0"/>
        <v>2333.5</v>
      </c>
      <c r="P20" s="1" t="s">
        <v>71</v>
      </c>
    </row>
    <row r="21" spans="1:16" x14ac:dyDescent="0.2">
      <c r="A21" s="8" t="s">
        <v>8</v>
      </c>
      <c r="B21" s="8" t="s">
        <v>50</v>
      </c>
      <c r="C21" s="8">
        <v>128</v>
      </c>
      <c r="D21" s="8" t="s">
        <v>51</v>
      </c>
      <c r="E21" s="9">
        <v>354035830382634</v>
      </c>
      <c r="F21" s="8" t="s">
        <v>27</v>
      </c>
      <c r="G21" s="8"/>
      <c r="H21" s="8"/>
      <c r="I21" s="8"/>
      <c r="J21" s="8"/>
      <c r="K21" s="7">
        <v>330</v>
      </c>
      <c r="L21" s="8" t="s">
        <v>48</v>
      </c>
      <c r="M21" s="8" t="s">
        <v>14</v>
      </c>
      <c r="N21" s="8" t="s">
        <v>49</v>
      </c>
      <c r="O21" s="10">
        <f t="shared" si="0"/>
        <v>1184.7</v>
      </c>
      <c r="P21" s="1" t="s">
        <v>71</v>
      </c>
    </row>
    <row r="22" spans="1:16" x14ac:dyDescent="0.2">
      <c r="A22" s="8" t="s">
        <v>8</v>
      </c>
      <c r="B22" s="8" t="s">
        <v>16</v>
      </c>
      <c r="C22" s="8">
        <v>512</v>
      </c>
      <c r="D22" s="8" t="s">
        <v>43</v>
      </c>
      <c r="E22" s="9">
        <v>354359265573842</v>
      </c>
      <c r="F22" s="8" t="s">
        <v>10</v>
      </c>
      <c r="G22" s="8"/>
      <c r="H22" s="8"/>
      <c r="I22" s="8"/>
      <c r="J22" s="8"/>
      <c r="K22" s="7">
        <v>640</v>
      </c>
      <c r="L22" s="8" t="s">
        <v>48</v>
      </c>
      <c r="M22" s="8" t="s">
        <v>14</v>
      </c>
      <c r="N22" s="8" t="s">
        <v>49</v>
      </c>
      <c r="O22" s="10">
        <f t="shared" si="0"/>
        <v>2297.6</v>
      </c>
      <c r="P22" s="1" t="s">
        <v>72</v>
      </c>
    </row>
    <row r="23" spans="1:16" x14ac:dyDescent="0.2">
      <c r="A23" s="8" t="s">
        <v>52</v>
      </c>
      <c r="B23" s="8" t="s">
        <v>53</v>
      </c>
      <c r="C23" s="8"/>
      <c r="D23" s="8" t="s">
        <v>54</v>
      </c>
      <c r="E23" s="9" t="s">
        <v>53</v>
      </c>
      <c r="F23" s="8" t="s">
        <v>10</v>
      </c>
      <c r="G23" s="8"/>
      <c r="H23" s="8" t="s">
        <v>55</v>
      </c>
      <c r="I23" s="8"/>
      <c r="J23" s="8"/>
      <c r="K23" s="7">
        <v>75</v>
      </c>
      <c r="L23" s="8" t="s">
        <v>56</v>
      </c>
      <c r="M23" s="8" t="s">
        <v>14</v>
      </c>
      <c r="N23" s="8" t="s">
        <v>57</v>
      </c>
      <c r="O23" s="10">
        <f t="shared" si="0"/>
        <v>269.25</v>
      </c>
      <c r="P23" s="1" t="s">
        <v>72</v>
      </c>
    </row>
    <row r="24" spans="1:16" x14ac:dyDescent="0.2">
      <c r="A24" s="8" t="s">
        <v>58</v>
      </c>
      <c r="B24" s="8" t="s">
        <v>59</v>
      </c>
      <c r="C24" s="8">
        <v>512</v>
      </c>
      <c r="D24" s="8"/>
      <c r="E24" s="9">
        <v>352393410539442</v>
      </c>
      <c r="F24" s="8" t="s">
        <v>27</v>
      </c>
      <c r="G24" s="8"/>
      <c r="H24" s="8" t="s">
        <v>12</v>
      </c>
      <c r="I24" s="8"/>
      <c r="J24" s="8"/>
      <c r="K24" s="7">
        <v>820</v>
      </c>
      <c r="L24" s="8" t="s">
        <v>60</v>
      </c>
      <c r="M24" s="8" t="s">
        <v>14</v>
      </c>
      <c r="N24" s="8" t="s">
        <v>61</v>
      </c>
      <c r="O24" s="10">
        <f t="shared" si="0"/>
        <v>2943.7999999999997</v>
      </c>
      <c r="P24" s="1" t="s">
        <v>71</v>
      </c>
    </row>
    <row r="25" spans="1:16" x14ac:dyDescent="0.2">
      <c r="A25" s="8" t="s">
        <v>8</v>
      </c>
      <c r="B25" s="8" t="s">
        <v>41</v>
      </c>
      <c r="C25" s="8">
        <v>256</v>
      </c>
      <c r="D25" s="8"/>
      <c r="E25" s="9"/>
      <c r="F25" s="8" t="s">
        <v>27</v>
      </c>
      <c r="G25" s="8"/>
      <c r="H25" s="8"/>
      <c r="I25" s="8"/>
      <c r="J25" s="8"/>
      <c r="K25" s="7">
        <v>900</v>
      </c>
      <c r="L25" s="8"/>
      <c r="M25" s="8" t="s">
        <v>14</v>
      </c>
      <c r="N25" s="8" t="s">
        <v>61</v>
      </c>
      <c r="O25" s="10">
        <f t="shared" si="0"/>
        <v>3231</v>
      </c>
    </row>
    <row r="26" spans="1:16" x14ac:dyDescent="0.2">
      <c r="A26" s="8" t="s">
        <v>8</v>
      </c>
      <c r="B26" s="8" t="s">
        <v>41</v>
      </c>
      <c r="C26" s="8" t="s">
        <v>62</v>
      </c>
      <c r="D26" s="8" t="s">
        <v>63</v>
      </c>
      <c r="E26" s="9" t="s">
        <v>63</v>
      </c>
      <c r="F26" s="8" t="s">
        <v>27</v>
      </c>
      <c r="G26" s="8" t="s">
        <v>64</v>
      </c>
      <c r="H26" s="8" t="s">
        <v>64</v>
      </c>
      <c r="I26" s="8"/>
      <c r="J26" s="8"/>
      <c r="K26" s="7">
        <v>900</v>
      </c>
      <c r="L26" s="8"/>
      <c r="M26" s="8" t="s">
        <v>14</v>
      </c>
      <c r="N26" s="8" t="s">
        <v>61</v>
      </c>
      <c r="O26" s="10">
        <f t="shared" si="0"/>
        <v>3231</v>
      </c>
    </row>
    <row r="27" spans="1:16" x14ac:dyDescent="0.2">
      <c r="A27" s="8" t="s">
        <v>65</v>
      </c>
      <c r="B27" s="8" t="s">
        <v>66</v>
      </c>
      <c r="C27" s="8" t="s">
        <v>62</v>
      </c>
      <c r="D27" s="8" t="s">
        <v>38</v>
      </c>
      <c r="E27" s="9" t="s">
        <v>67</v>
      </c>
      <c r="F27" s="8" t="s">
        <v>27</v>
      </c>
      <c r="G27" s="8"/>
      <c r="H27" s="8"/>
      <c r="I27" s="8"/>
      <c r="J27" s="8"/>
      <c r="K27" s="7">
        <v>350</v>
      </c>
      <c r="L27" s="8" t="s">
        <v>68</v>
      </c>
      <c r="M27" s="8" t="s">
        <v>14</v>
      </c>
      <c r="N27" s="8" t="s">
        <v>69</v>
      </c>
      <c r="O27" s="10">
        <f t="shared" si="0"/>
        <v>1256.5</v>
      </c>
      <c r="P27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47593-8BF7-4687-B49A-A1A2639DFB0A}">
  <dimension ref="A1:Q9"/>
  <sheetViews>
    <sheetView workbookViewId="0">
      <selection sqref="A1:Q9"/>
    </sheetView>
  </sheetViews>
  <sheetFormatPr defaultRowHeight="12.75" x14ac:dyDescent="0.2"/>
  <cols>
    <col min="2" max="2" width="18" bestFit="1" customWidth="1"/>
    <col min="5" max="5" width="30.33203125" bestFit="1" customWidth="1"/>
    <col min="7" max="7" width="16.33203125" bestFit="1" customWidth="1"/>
    <col min="15" max="15" width="16.1640625" bestFit="1" customWidth="1"/>
    <col min="16" max="16" width="12.1640625" bestFit="1" customWidth="1"/>
    <col min="17" max="17" width="25.83203125" bestFit="1" customWidth="1"/>
  </cols>
  <sheetData>
    <row r="1" spans="1:17" ht="25.5" x14ac:dyDescent="0.2">
      <c r="A1" s="2" t="s">
        <v>0</v>
      </c>
      <c r="B1" s="2" t="s">
        <v>1</v>
      </c>
      <c r="C1" s="3">
        <v>256</v>
      </c>
      <c r="D1" s="4" t="s">
        <v>2</v>
      </c>
      <c r="E1" s="13">
        <v>352310722087571</v>
      </c>
      <c r="F1" s="4" t="s">
        <v>3</v>
      </c>
      <c r="G1" s="6"/>
      <c r="H1" s="4" t="s">
        <v>4</v>
      </c>
      <c r="I1" s="6"/>
      <c r="J1" s="6"/>
      <c r="K1" s="7">
        <v>480</v>
      </c>
      <c r="L1" s="4" t="s">
        <v>5</v>
      </c>
      <c r="M1" s="4" t="s">
        <v>6</v>
      </c>
      <c r="N1" s="4" t="s">
        <v>7</v>
      </c>
      <c r="O1" s="10">
        <f>K1*3.59</f>
        <v>1723.1999999999998</v>
      </c>
      <c r="P1" s="11">
        <v>45959</v>
      </c>
      <c r="Q1" s="12" t="s">
        <v>70</v>
      </c>
    </row>
    <row r="2" spans="1:17" x14ac:dyDescent="0.2">
      <c r="A2" s="8" t="s">
        <v>8</v>
      </c>
      <c r="B2" s="8" t="s">
        <v>18</v>
      </c>
      <c r="C2" s="8">
        <v>256</v>
      </c>
      <c r="D2" s="8" t="s">
        <v>21</v>
      </c>
      <c r="E2" s="9">
        <v>354661679217035</v>
      </c>
      <c r="F2" s="8" t="s">
        <v>10</v>
      </c>
      <c r="G2" s="8"/>
      <c r="H2" s="8" t="s">
        <v>22</v>
      </c>
      <c r="I2" s="8"/>
      <c r="J2" s="8"/>
      <c r="K2" s="7">
        <v>650</v>
      </c>
      <c r="L2" s="8" t="s">
        <v>13</v>
      </c>
      <c r="M2" s="8" t="s">
        <v>14</v>
      </c>
      <c r="N2" s="8" t="s">
        <v>15</v>
      </c>
      <c r="O2" s="10">
        <f t="shared" ref="O2:O9" si="0">K2*3.59</f>
        <v>2333.5</v>
      </c>
      <c r="P2" s="11">
        <v>45959</v>
      </c>
      <c r="Q2" s="12" t="s">
        <v>70</v>
      </c>
    </row>
    <row r="3" spans="1:17" x14ac:dyDescent="0.2">
      <c r="A3" s="8" t="s">
        <v>8</v>
      </c>
      <c r="B3" s="8" t="s">
        <v>18</v>
      </c>
      <c r="C3" s="8" t="s">
        <v>23</v>
      </c>
      <c r="D3" s="8" t="s">
        <v>19</v>
      </c>
      <c r="E3" s="9">
        <v>358862982966047</v>
      </c>
      <c r="F3" s="8" t="s">
        <v>10</v>
      </c>
      <c r="G3" s="8"/>
      <c r="H3" s="8" t="s">
        <v>20</v>
      </c>
      <c r="I3" s="8"/>
      <c r="J3" s="8"/>
      <c r="K3" s="7">
        <v>950</v>
      </c>
      <c r="L3" s="8" t="s">
        <v>13</v>
      </c>
      <c r="M3" s="8" t="s">
        <v>14</v>
      </c>
      <c r="N3" s="8" t="s">
        <v>15</v>
      </c>
      <c r="O3" s="10">
        <f t="shared" si="0"/>
        <v>3410.5</v>
      </c>
      <c r="P3" s="11">
        <v>45959</v>
      </c>
      <c r="Q3" s="12" t="s">
        <v>70</v>
      </c>
    </row>
    <row r="4" spans="1:17" x14ac:dyDescent="0.2">
      <c r="A4" s="8" t="s">
        <v>8</v>
      </c>
      <c r="B4" s="8" t="s">
        <v>35</v>
      </c>
      <c r="C4" s="8">
        <v>128</v>
      </c>
      <c r="D4" s="8" t="s">
        <v>19</v>
      </c>
      <c r="E4" s="9">
        <v>359081515096243</v>
      </c>
      <c r="F4" s="8" t="s">
        <v>10</v>
      </c>
      <c r="G4" s="8"/>
      <c r="H4" s="8" t="s">
        <v>20</v>
      </c>
      <c r="I4" s="8"/>
      <c r="J4" s="8"/>
      <c r="K4" s="7">
        <v>325</v>
      </c>
      <c r="L4" s="8" t="s">
        <v>36</v>
      </c>
      <c r="M4" s="8" t="s">
        <v>14</v>
      </c>
      <c r="N4" s="8" t="s">
        <v>37</v>
      </c>
      <c r="O4" s="10">
        <f t="shared" si="0"/>
        <v>1166.75</v>
      </c>
      <c r="P4" s="11">
        <v>45966</v>
      </c>
      <c r="Q4" s="12" t="s">
        <v>73</v>
      </c>
    </row>
    <row r="5" spans="1:17" x14ac:dyDescent="0.2">
      <c r="A5" s="8" t="s">
        <v>8</v>
      </c>
      <c r="B5" s="8" t="s">
        <v>41</v>
      </c>
      <c r="C5" s="8">
        <v>256</v>
      </c>
      <c r="D5" s="8" t="s">
        <v>42</v>
      </c>
      <c r="E5" s="9">
        <v>357431269776478</v>
      </c>
      <c r="F5" s="8" t="s">
        <v>10</v>
      </c>
      <c r="G5" s="8"/>
      <c r="H5" s="8" t="s">
        <v>20</v>
      </c>
      <c r="I5" s="8"/>
      <c r="J5" s="8"/>
      <c r="K5" s="7">
        <v>900</v>
      </c>
      <c r="L5" s="8" t="s">
        <v>36</v>
      </c>
      <c r="M5" s="8" t="s">
        <v>14</v>
      </c>
      <c r="N5" s="8" t="s">
        <v>37</v>
      </c>
      <c r="O5" s="10">
        <f t="shared" si="0"/>
        <v>3231</v>
      </c>
      <c r="P5" s="11">
        <v>45966</v>
      </c>
      <c r="Q5" s="12" t="s">
        <v>73</v>
      </c>
    </row>
    <row r="6" spans="1:17" x14ac:dyDescent="0.2">
      <c r="A6" s="8" t="s">
        <v>44</v>
      </c>
      <c r="B6" s="8" t="s">
        <v>45</v>
      </c>
      <c r="C6" s="8" t="s">
        <v>46</v>
      </c>
      <c r="D6" s="8" t="s">
        <v>19</v>
      </c>
      <c r="E6" s="9" t="s">
        <v>47</v>
      </c>
      <c r="F6" s="8" t="s">
        <v>27</v>
      </c>
      <c r="G6" s="8" t="s">
        <v>34</v>
      </c>
      <c r="H6" s="8" t="s">
        <v>12</v>
      </c>
      <c r="I6" s="8"/>
      <c r="J6" s="8"/>
      <c r="K6" s="7">
        <v>225</v>
      </c>
      <c r="L6" s="8" t="s">
        <v>48</v>
      </c>
      <c r="M6" s="8" t="s">
        <v>14</v>
      </c>
      <c r="N6" s="8" t="s">
        <v>49</v>
      </c>
      <c r="O6" s="10">
        <f t="shared" si="0"/>
        <v>807.75</v>
      </c>
      <c r="P6" s="11">
        <v>45971</v>
      </c>
      <c r="Q6" s="12" t="s">
        <v>74</v>
      </c>
    </row>
    <row r="7" spans="1:17" x14ac:dyDescent="0.2">
      <c r="A7" s="8" t="s">
        <v>8</v>
      </c>
      <c r="B7" s="8" t="s">
        <v>18</v>
      </c>
      <c r="C7" s="8">
        <v>256</v>
      </c>
      <c r="D7" s="8" t="s">
        <v>38</v>
      </c>
      <c r="E7" s="9">
        <v>352315400239840</v>
      </c>
      <c r="F7" s="8" t="s">
        <v>10</v>
      </c>
      <c r="G7" s="8"/>
      <c r="H7" s="8" t="s">
        <v>20</v>
      </c>
      <c r="I7" s="8"/>
      <c r="J7" s="8"/>
      <c r="K7" s="7">
        <v>650</v>
      </c>
      <c r="L7" s="8" t="s">
        <v>48</v>
      </c>
      <c r="M7" s="8" t="s">
        <v>14</v>
      </c>
      <c r="N7" s="8" t="s">
        <v>49</v>
      </c>
      <c r="O7" s="10">
        <f t="shared" si="0"/>
        <v>2333.5</v>
      </c>
      <c r="P7" s="11">
        <v>45971</v>
      </c>
      <c r="Q7" s="12" t="s">
        <v>74</v>
      </c>
    </row>
    <row r="8" spans="1:17" x14ac:dyDescent="0.2">
      <c r="A8" s="8" t="s">
        <v>8</v>
      </c>
      <c r="B8" s="8" t="s">
        <v>50</v>
      </c>
      <c r="C8" s="8">
        <v>128</v>
      </c>
      <c r="D8" s="8" t="s">
        <v>51</v>
      </c>
      <c r="E8" s="9">
        <v>354035830382634</v>
      </c>
      <c r="F8" s="8" t="s">
        <v>27</v>
      </c>
      <c r="G8" s="8"/>
      <c r="H8" s="8"/>
      <c r="I8" s="8"/>
      <c r="J8" s="8"/>
      <c r="K8" s="7">
        <v>330</v>
      </c>
      <c r="L8" s="8" t="s">
        <v>48</v>
      </c>
      <c r="M8" s="8" t="s">
        <v>14</v>
      </c>
      <c r="N8" s="8" t="s">
        <v>49</v>
      </c>
      <c r="O8" s="10">
        <f t="shared" si="0"/>
        <v>1184.7</v>
      </c>
      <c r="P8" s="11">
        <v>45971</v>
      </c>
      <c r="Q8" s="12" t="s">
        <v>74</v>
      </c>
    </row>
    <row r="9" spans="1:17" x14ac:dyDescent="0.2">
      <c r="A9" s="8" t="s">
        <v>58</v>
      </c>
      <c r="B9" s="8" t="s">
        <v>59</v>
      </c>
      <c r="C9" s="8">
        <v>512</v>
      </c>
      <c r="D9" s="8"/>
      <c r="E9" s="9">
        <v>352393410539442</v>
      </c>
      <c r="F9" s="8" t="s">
        <v>27</v>
      </c>
      <c r="G9" s="8"/>
      <c r="H9" s="8" t="s">
        <v>12</v>
      </c>
      <c r="I9" s="8"/>
      <c r="J9" s="8"/>
      <c r="K9" s="7">
        <v>820</v>
      </c>
      <c r="L9" s="8" t="s">
        <v>60</v>
      </c>
      <c r="M9" s="8" t="s">
        <v>14</v>
      </c>
      <c r="N9" s="8" t="s">
        <v>61</v>
      </c>
      <c r="O9" s="10">
        <f t="shared" si="0"/>
        <v>2943.7999999999997</v>
      </c>
      <c r="P9" s="11">
        <v>46013</v>
      </c>
      <c r="Q9" s="1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LOCAL - Google Sheets</dc:title>
  <cp:lastModifiedBy>swiss tech</cp:lastModifiedBy>
  <dcterms:created xsi:type="dcterms:W3CDTF">2026-03-27T15:58:17Z</dcterms:created>
  <dcterms:modified xsi:type="dcterms:W3CDTF">2026-03-27T16:33:22Z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2026-03-26T00:00:00Z</vt:filetime>
  </property>
  <property fmtid="{D5CDD505-2E9C-101B-9397-08002B2CF9AE}" pid="3" name="Creator">
    <vt:lpwstr>Mozilla/5.0 (Windows NT 10.0; Win64; x64) AppleWebKit/537.36 (KHTML, like Gecko) Chrome/146.0.0.0 Safari/537.36</vt:lpwstr>
  </property>
  <property fmtid="{D5CDD505-2E9C-101B-9397-08002B2CF9AE}" pid="4" name="LastSaved">
    <vt:filetime>2026-03-27T00:00:00Z</vt:filetime>
  </property>
  <property fmtid="{D5CDD505-2E9C-101B-9397-08002B2CF9AE}" pid="5" name="Producer">
    <vt:lpwstr>Skia/PDF m146</vt:lpwstr>
  </property>
</Properties>
</file>