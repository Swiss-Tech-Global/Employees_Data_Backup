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15E08EA6-783E-487A-9657-1B352E226227}" xr6:coauthVersionLast="47" xr6:coauthVersionMax="47" xr10:uidLastSave="{00000000-0000-0000-0000-000000000000}"/>
  <bookViews>
    <workbookView xWindow="-120" yWindow="-120" windowWidth="20730" windowHeight="11040" xr2:uid="{2AB029AF-2434-4EB4-82C0-5F5BAA169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185" i="1"/>
  <c r="H184" i="1"/>
  <c r="H183" i="1"/>
  <c r="J171" i="1"/>
  <c r="J160" i="1"/>
  <c r="J142" i="1"/>
  <c r="J108" i="1"/>
  <c r="J103" i="1"/>
  <c r="J104" i="1"/>
  <c r="J105" i="1"/>
  <c r="H44" i="1"/>
  <c r="I44" i="1" s="1"/>
  <c r="J39" i="1"/>
  <c r="I39" i="1"/>
  <c r="H39" i="1"/>
  <c r="H35" i="1"/>
  <c r="I35" i="1" s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" i="1"/>
  <c r="J44" i="1" l="1"/>
  <c r="J35" i="1"/>
  <c r="K7" i="1" l="1"/>
  <c r="K8" i="1"/>
  <c r="K31" i="1"/>
  <c r="K32" i="1"/>
  <c r="K35" i="1"/>
  <c r="K39" i="1"/>
  <c r="K44" i="1"/>
  <c r="K103" i="1"/>
  <c r="K108" i="1"/>
  <c r="K142" i="1"/>
  <c r="K160" i="1"/>
  <c r="K162" i="1"/>
  <c r="K171" i="1"/>
  <c r="J3" i="1"/>
  <c r="K3" i="1" s="1"/>
  <c r="J4" i="1"/>
  <c r="K4" i="1" s="1"/>
  <c r="J7" i="1"/>
  <c r="J8" i="1"/>
  <c r="J9" i="1"/>
  <c r="K9" i="1" s="1"/>
  <c r="J19" i="1"/>
  <c r="K19" i="1" s="1"/>
  <c r="J20" i="1"/>
  <c r="K20" i="1" s="1"/>
  <c r="J31" i="1"/>
  <c r="J32" i="1"/>
  <c r="J33" i="1"/>
  <c r="K33" i="1" s="1"/>
  <c r="J50" i="1"/>
  <c r="K50" i="1" s="1"/>
  <c r="J67" i="1"/>
  <c r="K67" i="1" s="1"/>
  <c r="J79" i="1"/>
  <c r="K79" i="1" s="1"/>
  <c r="J93" i="1"/>
  <c r="K93" i="1" s="1"/>
  <c r="J106" i="1"/>
  <c r="K106" i="1" s="1"/>
  <c r="J107" i="1"/>
  <c r="K107" i="1" s="1"/>
  <c r="J123" i="1"/>
  <c r="K123" i="1" s="1"/>
  <c r="J137" i="1"/>
  <c r="K137" i="1" s="1"/>
  <c r="J150" i="1"/>
  <c r="K150" i="1" s="1"/>
  <c r="J176" i="1"/>
  <c r="K176" i="1" s="1"/>
  <c r="I3" i="1"/>
  <c r="I4" i="1"/>
  <c r="I5" i="1"/>
  <c r="J5" i="1" s="1"/>
  <c r="K5" i="1" s="1"/>
  <c r="I6" i="1"/>
  <c r="J6" i="1" s="1"/>
  <c r="K6" i="1" s="1"/>
  <c r="I7" i="1"/>
  <c r="I8" i="1"/>
  <c r="I9" i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I20" i="1"/>
  <c r="I21" i="1"/>
  <c r="J21" i="1" s="1"/>
  <c r="K21" i="1" s="1"/>
  <c r="I22" i="1"/>
  <c r="J22" i="1" s="1"/>
  <c r="K22" i="1" s="1"/>
  <c r="I23" i="1"/>
  <c r="J23" i="1" s="1"/>
  <c r="K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31" i="1"/>
  <c r="I32" i="1"/>
  <c r="I33" i="1"/>
  <c r="I34" i="1"/>
  <c r="J34" i="1" s="1"/>
  <c r="K34" i="1" s="1"/>
  <c r="I50" i="1"/>
  <c r="I51" i="1"/>
  <c r="I52" i="1"/>
  <c r="I53" i="1"/>
  <c r="I69" i="1"/>
  <c r="I70" i="1"/>
  <c r="I71" i="1"/>
  <c r="J71" i="1" s="1"/>
  <c r="K71" i="1" s="1"/>
  <c r="I72" i="1"/>
  <c r="J72" i="1" s="1"/>
  <c r="K72" i="1" s="1"/>
  <c r="I73" i="1"/>
  <c r="I83" i="1"/>
  <c r="I84" i="1"/>
  <c r="I85" i="1"/>
  <c r="I93" i="1"/>
  <c r="I94" i="1"/>
  <c r="I95" i="1"/>
  <c r="I96" i="1"/>
  <c r="I97" i="1"/>
  <c r="I105" i="1"/>
  <c r="I106" i="1"/>
  <c r="I107" i="1"/>
  <c r="I108" i="1"/>
  <c r="I109" i="1"/>
  <c r="J109" i="1" s="1"/>
  <c r="K109" i="1" s="1"/>
  <c r="I117" i="1"/>
  <c r="I118" i="1"/>
  <c r="J118" i="1" s="1"/>
  <c r="K118" i="1" s="1"/>
  <c r="I119" i="1"/>
  <c r="J119" i="1" s="1"/>
  <c r="K119" i="1" s="1"/>
  <c r="I120" i="1"/>
  <c r="J120" i="1" s="1"/>
  <c r="K120" i="1" s="1"/>
  <c r="I121" i="1"/>
  <c r="J121" i="1" s="1"/>
  <c r="K121" i="1" s="1"/>
  <c r="I129" i="1"/>
  <c r="J129" i="1" s="1"/>
  <c r="K129" i="1" s="1"/>
  <c r="I130" i="1"/>
  <c r="I131" i="1"/>
  <c r="J131" i="1" s="1"/>
  <c r="K131" i="1" s="1"/>
  <c r="I132" i="1"/>
  <c r="J132" i="1" s="1"/>
  <c r="K132" i="1" s="1"/>
  <c r="I133" i="1"/>
  <c r="J133" i="1" s="1"/>
  <c r="K133" i="1" s="1"/>
  <c r="I141" i="1"/>
  <c r="J141" i="1" s="1"/>
  <c r="K141" i="1" s="1"/>
  <c r="I143" i="1"/>
  <c r="J143" i="1" s="1"/>
  <c r="K143" i="1" s="1"/>
  <c r="I144" i="1"/>
  <c r="I145" i="1"/>
  <c r="J145" i="1" s="1"/>
  <c r="K145" i="1" s="1"/>
  <c r="I153" i="1"/>
  <c r="I154" i="1"/>
  <c r="J154" i="1" s="1"/>
  <c r="K154" i="1" s="1"/>
  <c r="I155" i="1"/>
  <c r="J155" i="1" s="1"/>
  <c r="K155" i="1" s="1"/>
  <c r="I156" i="1"/>
  <c r="I157" i="1"/>
  <c r="J157" i="1" s="1"/>
  <c r="K157" i="1" s="1"/>
  <c r="I165" i="1"/>
  <c r="I166" i="1"/>
  <c r="I167" i="1"/>
  <c r="J167" i="1" s="1"/>
  <c r="K167" i="1" s="1"/>
  <c r="I168" i="1"/>
  <c r="J168" i="1" s="1"/>
  <c r="K168" i="1" s="1"/>
  <c r="I169" i="1"/>
  <c r="I177" i="1"/>
  <c r="I178" i="1"/>
  <c r="I179" i="1"/>
  <c r="I180" i="1"/>
  <c r="I183" i="1"/>
  <c r="I184" i="1"/>
  <c r="I185" i="1"/>
  <c r="I2" i="1"/>
  <c r="J2" i="1" s="1"/>
  <c r="K2" i="1" s="1"/>
  <c r="H37" i="1"/>
  <c r="I37" i="1" s="1"/>
  <c r="H38" i="1"/>
  <c r="H40" i="1"/>
  <c r="I40" i="1" s="1"/>
  <c r="H41" i="1"/>
  <c r="H42" i="1"/>
  <c r="I42" i="1" s="1"/>
  <c r="H43" i="1"/>
  <c r="I43" i="1" s="1"/>
  <c r="H45" i="1"/>
  <c r="H46" i="1"/>
  <c r="I46" i="1" s="1"/>
  <c r="H47" i="1"/>
  <c r="I47" i="1" s="1"/>
  <c r="H48" i="1"/>
  <c r="I48" i="1" s="1"/>
  <c r="H49" i="1"/>
  <c r="I49" i="1" s="1"/>
  <c r="H50" i="1"/>
  <c r="H51" i="1"/>
  <c r="H52" i="1"/>
  <c r="H53" i="1"/>
  <c r="H54" i="1"/>
  <c r="H55" i="1"/>
  <c r="I55" i="1" s="1"/>
  <c r="H56" i="1"/>
  <c r="I56" i="1" s="1"/>
  <c r="H58" i="1"/>
  <c r="H59" i="1"/>
  <c r="I59" i="1" s="1"/>
  <c r="H60" i="1"/>
  <c r="I60" i="1" s="1"/>
  <c r="H61" i="1"/>
  <c r="I61" i="1" s="1"/>
  <c r="H62" i="1"/>
  <c r="I62" i="1" s="1"/>
  <c r="H63" i="1"/>
  <c r="I63" i="1" s="1"/>
  <c r="J63" i="1" s="1"/>
  <c r="K63" i="1" s="1"/>
  <c r="H64" i="1"/>
  <c r="I64" i="1" s="1"/>
  <c r="H65" i="1"/>
  <c r="H66" i="1"/>
  <c r="H67" i="1"/>
  <c r="I67" i="1" s="1"/>
  <c r="H68" i="1"/>
  <c r="H69" i="1"/>
  <c r="J69" i="1" s="1"/>
  <c r="K69" i="1" s="1"/>
  <c r="H70" i="1"/>
  <c r="J70" i="1" s="1"/>
  <c r="K70" i="1" s="1"/>
  <c r="H71" i="1"/>
  <c r="H72" i="1"/>
  <c r="H73" i="1"/>
  <c r="H74" i="1"/>
  <c r="I74" i="1" s="1"/>
  <c r="J74" i="1" s="1"/>
  <c r="K74" i="1" s="1"/>
  <c r="H75" i="1"/>
  <c r="I75" i="1" s="1"/>
  <c r="J75" i="1" s="1"/>
  <c r="K75" i="1" s="1"/>
  <c r="H76" i="1"/>
  <c r="I76" i="1" s="1"/>
  <c r="J76" i="1" s="1"/>
  <c r="K76" i="1" s="1"/>
  <c r="H77" i="1"/>
  <c r="I77" i="1" s="1"/>
  <c r="J77" i="1" s="1"/>
  <c r="K77" i="1" s="1"/>
  <c r="H78" i="1"/>
  <c r="I78" i="1" s="1"/>
  <c r="J78" i="1" s="1"/>
  <c r="K78" i="1" s="1"/>
  <c r="H79" i="1"/>
  <c r="I79" i="1" s="1"/>
  <c r="H80" i="1"/>
  <c r="H83" i="1"/>
  <c r="J83" i="1" s="1"/>
  <c r="K83" i="1" s="1"/>
  <c r="H84" i="1"/>
  <c r="J84" i="1" s="1"/>
  <c r="K84" i="1" s="1"/>
  <c r="H85" i="1"/>
  <c r="J85" i="1" s="1"/>
  <c r="K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H92" i="1"/>
  <c r="H93" i="1"/>
  <c r="H94" i="1"/>
  <c r="J94" i="1" s="1"/>
  <c r="K94" i="1" s="1"/>
  <c r="H95" i="1"/>
  <c r="J95" i="1" s="1"/>
  <c r="K95" i="1" s="1"/>
  <c r="H96" i="1"/>
  <c r="J96" i="1" s="1"/>
  <c r="K96" i="1" s="1"/>
  <c r="H97" i="1"/>
  <c r="J97" i="1" s="1"/>
  <c r="K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H106" i="1"/>
  <c r="H107" i="1"/>
  <c r="H108" i="1"/>
  <c r="H109" i="1"/>
  <c r="H110" i="1"/>
  <c r="H111" i="1"/>
  <c r="H112" i="1"/>
  <c r="H113" i="1"/>
  <c r="I113" i="1" s="1"/>
  <c r="H114" i="1"/>
  <c r="H115" i="1"/>
  <c r="I115" i="1" s="1"/>
  <c r="H116" i="1"/>
  <c r="H117" i="1"/>
  <c r="J117" i="1" s="1"/>
  <c r="K117" i="1" s="1"/>
  <c r="H118" i="1"/>
  <c r="H119" i="1"/>
  <c r="H120" i="1"/>
  <c r="H121" i="1"/>
  <c r="H122" i="1"/>
  <c r="I122" i="1" s="1"/>
  <c r="J122" i="1" s="1"/>
  <c r="K122" i="1" s="1"/>
  <c r="H123" i="1"/>
  <c r="I123" i="1" s="1"/>
  <c r="H124" i="1"/>
  <c r="H125" i="1"/>
  <c r="H126" i="1"/>
  <c r="H127" i="1"/>
  <c r="H128" i="1"/>
  <c r="I128" i="1" s="1"/>
  <c r="H129" i="1"/>
  <c r="H130" i="1"/>
  <c r="J130" i="1" s="1"/>
  <c r="K130" i="1" s="1"/>
  <c r="H131" i="1"/>
  <c r="H132" i="1"/>
  <c r="H133" i="1"/>
  <c r="H134" i="1"/>
  <c r="I134" i="1" s="1"/>
  <c r="H135" i="1"/>
  <c r="I135" i="1" s="1"/>
  <c r="J135" i="1" s="1"/>
  <c r="K135" i="1" s="1"/>
  <c r="H136" i="1"/>
  <c r="I136" i="1" s="1"/>
  <c r="J136" i="1" s="1"/>
  <c r="K136" i="1" s="1"/>
  <c r="H137" i="1"/>
  <c r="I137" i="1" s="1"/>
  <c r="H138" i="1"/>
  <c r="H139" i="1"/>
  <c r="H140" i="1"/>
  <c r="H141" i="1"/>
  <c r="H142" i="1"/>
  <c r="I142" i="1" s="1"/>
  <c r="H143" i="1"/>
  <c r="H144" i="1"/>
  <c r="J144" i="1" s="1"/>
  <c r="K144" i="1" s="1"/>
  <c r="H145" i="1"/>
  <c r="H146" i="1"/>
  <c r="I146" i="1" s="1"/>
  <c r="J146" i="1" s="1"/>
  <c r="K146" i="1" s="1"/>
  <c r="H147" i="1"/>
  <c r="I147" i="1" s="1"/>
  <c r="J147" i="1" s="1"/>
  <c r="K147" i="1" s="1"/>
  <c r="H148" i="1"/>
  <c r="I148" i="1" s="1"/>
  <c r="J148" i="1" s="1"/>
  <c r="K148" i="1" s="1"/>
  <c r="H149" i="1"/>
  <c r="I149" i="1" s="1"/>
  <c r="J149" i="1" s="1"/>
  <c r="K149" i="1" s="1"/>
  <c r="H150" i="1"/>
  <c r="I150" i="1" s="1"/>
  <c r="H151" i="1"/>
  <c r="H152" i="1"/>
  <c r="H153" i="1"/>
  <c r="J153" i="1" s="1"/>
  <c r="K153" i="1" s="1"/>
  <c r="H154" i="1"/>
  <c r="H155" i="1"/>
  <c r="H156" i="1"/>
  <c r="J156" i="1" s="1"/>
  <c r="K156" i="1" s="1"/>
  <c r="H157" i="1"/>
  <c r="H158" i="1"/>
  <c r="I158" i="1" s="1"/>
  <c r="J158" i="1" s="1"/>
  <c r="K158" i="1" s="1"/>
  <c r="H159" i="1"/>
  <c r="I159" i="1" s="1"/>
  <c r="J159" i="1" s="1"/>
  <c r="K159" i="1" s="1"/>
  <c r="H160" i="1"/>
  <c r="I160" i="1" s="1"/>
  <c r="H161" i="1"/>
  <c r="I161" i="1" s="1"/>
  <c r="J161" i="1" s="1"/>
  <c r="K161" i="1" s="1"/>
  <c r="H162" i="1"/>
  <c r="I162" i="1" s="1"/>
  <c r="J162" i="1" s="1"/>
  <c r="H163" i="1"/>
  <c r="I163" i="1" s="1"/>
  <c r="H164" i="1"/>
  <c r="H165" i="1"/>
  <c r="J165" i="1" s="1"/>
  <c r="K165" i="1" s="1"/>
  <c r="H166" i="1"/>
  <c r="J166" i="1" s="1"/>
  <c r="K166" i="1" s="1"/>
  <c r="H167" i="1"/>
  <c r="H168" i="1"/>
  <c r="H169" i="1"/>
  <c r="J169" i="1" s="1"/>
  <c r="K169" i="1" s="1"/>
  <c r="H170" i="1"/>
  <c r="I170" i="1" s="1"/>
  <c r="J170" i="1" s="1"/>
  <c r="K170" i="1" s="1"/>
  <c r="H171" i="1"/>
  <c r="I171" i="1" s="1"/>
  <c r="H172" i="1"/>
  <c r="H173" i="1"/>
  <c r="I173" i="1" s="1"/>
  <c r="H174" i="1"/>
  <c r="I174" i="1" s="1"/>
  <c r="H175" i="1"/>
  <c r="H176" i="1"/>
  <c r="I176" i="1" s="1"/>
  <c r="H177" i="1"/>
  <c r="J177" i="1" s="1"/>
  <c r="K177" i="1" s="1"/>
  <c r="H178" i="1"/>
  <c r="J178" i="1" s="1"/>
  <c r="K178" i="1" s="1"/>
  <c r="H179" i="1"/>
  <c r="J179" i="1" s="1"/>
  <c r="K179" i="1" s="1"/>
  <c r="H180" i="1"/>
  <c r="J180" i="1" s="1"/>
  <c r="K180" i="1" s="1"/>
  <c r="H181" i="1"/>
  <c r="H182" i="1"/>
  <c r="I182" i="1" s="1"/>
  <c r="H186" i="1"/>
  <c r="H187" i="1"/>
  <c r="J185" i="1" l="1"/>
  <c r="K185" i="1" s="1"/>
  <c r="J184" i="1"/>
  <c r="K184" i="1" s="1"/>
  <c r="J181" i="1"/>
  <c r="K181" i="1" s="1"/>
  <c r="I181" i="1"/>
  <c r="K183" i="1"/>
  <c r="J183" i="1"/>
  <c r="J73" i="1"/>
  <c r="K73" i="1" s="1"/>
  <c r="I164" i="1"/>
  <c r="J164" i="1" s="1"/>
  <c r="K164" i="1" s="1"/>
  <c r="I152" i="1"/>
  <c r="J152" i="1" s="1"/>
  <c r="K152" i="1" s="1"/>
  <c r="I140" i="1"/>
  <c r="J140" i="1" s="1"/>
  <c r="K140" i="1" s="1"/>
  <c r="I116" i="1"/>
  <c r="J116" i="1" s="1"/>
  <c r="K116" i="1" s="1"/>
  <c r="I92" i="1"/>
  <c r="J92" i="1"/>
  <c r="K92" i="1" s="1"/>
  <c r="I80" i="1"/>
  <c r="J80" i="1" s="1"/>
  <c r="K80" i="1" s="1"/>
  <c r="I68" i="1"/>
  <c r="J68" i="1" s="1"/>
  <c r="K68" i="1" s="1"/>
  <c r="J163" i="1"/>
  <c r="K163" i="1" s="1"/>
  <c r="I151" i="1"/>
  <c r="J151" i="1" s="1"/>
  <c r="K151" i="1" s="1"/>
  <c r="I54" i="1"/>
  <c r="J54" i="1" s="1"/>
  <c r="K54" i="1" s="1"/>
  <c r="J110" i="1"/>
  <c r="K110" i="1" s="1"/>
  <c r="I175" i="1"/>
  <c r="J175" i="1" s="1"/>
  <c r="K175" i="1" s="1"/>
  <c r="J139" i="1"/>
  <c r="K139" i="1" s="1"/>
  <c r="I139" i="1"/>
  <c r="I127" i="1"/>
  <c r="J127" i="1" s="1"/>
  <c r="K127" i="1" s="1"/>
  <c r="I91" i="1"/>
  <c r="J91" i="1" s="1"/>
  <c r="K91" i="1" s="1"/>
  <c r="I41" i="1"/>
  <c r="J41" i="1" s="1"/>
  <c r="K41" i="1" s="1"/>
  <c r="J138" i="1"/>
  <c r="K138" i="1" s="1"/>
  <c r="J114" i="1"/>
  <c r="K114" i="1" s="1"/>
  <c r="J187" i="1"/>
  <c r="K187" i="1" s="1"/>
  <c r="J53" i="1"/>
  <c r="K53" i="1" s="1"/>
  <c r="J90" i="1"/>
  <c r="K90" i="1" s="1"/>
  <c r="J89" i="1"/>
  <c r="K89" i="1" s="1"/>
  <c r="J100" i="1"/>
  <c r="K100" i="1" s="1"/>
  <c r="I187" i="1"/>
  <c r="I38" i="1"/>
  <c r="J38" i="1" s="1"/>
  <c r="K38" i="1" s="1"/>
  <c r="J182" i="1"/>
  <c r="K182" i="1" s="1"/>
  <c r="J99" i="1"/>
  <c r="K99" i="1" s="1"/>
  <c r="J87" i="1"/>
  <c r="K87" i="1" s="1"/>
  <c r="J174" i="1"/>
  <c r="K174" i="1" s="1"/>
  <c r="J102" i="1"/>
  <c r="K102" i="1" s="1"/>
  <c r="J51" i="1"/>
  <c r="K51" i="1" s="1"/>
  <c r="J101" i="1"/>
  <c r="K101" i="1" s="1"/>
  <c r="J88" i="1"/>
  <c r="K88" i="1" s="1"/>
  <c r="I186" i="1"/>
  <c r="J186" i="1" s="1"/>
  <c r="K186" i="1" s="1"/>
  <c r="I126" i="1"/>
  <c r="J126" i="1" s="1"/>
  <c r="K126" i="1" s="1"/>
  <c r="J98" i="1"/>
  <c r="K98" i="1" s="1"/>
  <c r="I125" i="1"/>
  <c r="J125" i="1" s="1"/>
  <c r="K125" i="1" s="1"/>
  <c r="I172" i="1"/>
  <c r="J172" i="1" s="1"/>
  <c r="K172" i="1" s="1"/>
  <c r="I124" i="1"/>
  <c r="J124" i="1" s="1"/>
  <c r="K124" i="1" s="1"/>
  <c r="I112" i="1"/>
  <c r="J112" i="1" s="1"/>
  <c r="K112" i="1" s="1"/>
  <c r="J173" i="1"/>
  <c r="K173" i="1" s="1"/>
  <c r="J64" i="1"/>
  <c r="K64" i="1" s="1"/>
  <c r="I138" i="1"/>
  <c r="I114" i="1"/>
  <c r="I66" i="1"/>
  <c r="J66" i="1" s="1"/>
  <c r="K66" i="1" s="1"/>
  <c r="I65" i="1"/>
  <c r="J65" i="1" s="1"/>
  <c r="K65" i="1" s="1"/>
  <c r="I111" i="1"/>
  <c r="J111" i="1" s="1"/>
  <c r="K111" i="1" s="1"/>
  <c r="J40" i="1"/>
  <c r="K40" i="1" s="1"/>
  <c r="J52" i="1"/>
  <c r="K52" i="1" s="1"/>
  <c r="J37" i="1"/>
  <c r="K37" i="1" s="1"/>
  <c r="J86" i="1"/>
  <c r="K86" i="1" s="1"/>
  <c r="I110" i="1"/>
  <c r="J49" i="1"/>
  <c r="K49" i="1" s="1"/>
  <c r="J61" i="1"/>
  <c r="K61" i="1" s="1"/>
  <c r="J47" i="1"/>
  <c r="K47" i="1" s="1"/>
  <c r="I58" i="1"/>
  <c r="J58" i="1" s="1"/>
  <c r="K58" i="1" s="1"/>
  <c r="I45" i="1"/>
  <c r="J45" i="1" s="1"/>
  <c r="K45" i="1" s="1"/>
  <c r="J62" i="1"/>
  <c r="K62" i="1" s="1"/>
  <c r="J48" i="1"/>
  <c r="K48" i="1" s="1"/>
  <c r="J60" i="1"/>
  <c r="K60" i="1" s="1"/>
  <c r="J59" i="1"/>
  <c r="K59" i="1" s="1"/>
  <c r="J46" i="1"/>
  <c r="K46" i="1" s="1"/>
  <c r="J56" i="1"/>
  <c r="K56" i="1" s="1"/>
  <c r="J43" i="1"/>
  <c r="K43" i="1" s="1"/>
  <c r="J55" i="1"/>
  <c r="K55" i="1" s="1"/>
  <c r="J42" i="1"/>
  <c r="K4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</calcChain>
</file>

<file path=xl/sharedStrings.xml><?xml version="1.0" encoding="utf-8"?>
<sst xmlns="http://schemas.openxmlformats.org/spreadsheetml/2006/main" count="548" uniqueCount="241">
  <si>
    <t>item_name</t>
  </si>
  <si>
    <t>brand</t>
  </si>
  <si>
    <t>last_purchase_price</t>
  </si>
  <si>
    <t>last_purchase_date</t>
  </si>
  <si>
    <t>ACER ASPIRE 7 A715-59G-58A8 16 GB, 512 GB</t>
  </si>
  <si>
    <t>Acer</t>
  </si>
  <si>
    <t>AIRPODS 4</t>
  </si>
  <si>
    <t>Apple</t>
  </si>
  <si>
    <t>AIRPODS 4 (ANC)</t>
  </si>
  <si>
    <t>AIRPODS PRO 2</t>
  </si>
  <si>
    <t>AIRPODS PRO 3</t>
  </si>
  <si>
    <t>APPLE IPAD MAGIC KEYBOARD 13</t>
  </si>
  <si>
    <t>APPLE IPAD PRO MAGIC KEYBOARD 11</t>
  </si>
  <si>
    <t>APPLE PENCIL USB-C</t>
  </si>
  <si>
    <t>APPLE WATCH SE 2 40MM</t>
  </si>
  <si>
    <t>APPLE WATCH SE 2 44MM</t>
  </si>
  <si>
    <t>APPLE WATCH SE 3 40MM</t>
  </si>
  <si>
    <t>APPLE WATCH SE 3 44MM</t>
  </si>
  <si>
    <t>APPLE WATCH SERIES 10 46MM</t>
  </si>
  <si>
    <t>APPLE WATCH SERIES 11 42MM</t>
  </si>
  <si>
    <t>APPLE WATCH SERIES 11 46MM</t>
  </si>
  <si>
    <t>APPLE WATCH ULTRA 2 49MM</t>
  </si>
  <si>
    <t>APPLE WATCH ULTRA 3 49MM</t>
  </si>
  <si>
    <t>ASTRO BOT GAME CD</t>
  </si>
  <si>
    <t>BlueRayy</t>
  </si>
  <si>
    <t>BEATS PILL SPEAKER</t>
  </si>
  <si>
    <t>Beats</t>
  </si>
  <si>
    <t>BEATS POWERBEATS PRO BUDS</t>
  </si>
  <si>
    <t>BLINK OUTDOOR 4</t>
  </si>
  <si>
    <t>BOSE QUIETCOMFORT ULTRA HEADPHONES 2</t>
  </si>
  <si>
    <t>Bose</t>
  </si>
  <si>
    <t>BOSE SOUNDLINK MICRO SPEAKER</t>
  </si>
  <si>
    <t>BRAUN 9 IN 1</t>
  </si>
  <si>
    <t>Braun</t>
  </si>
  <si>
    <t>BRAUN ALL IN ONE TRIMMER 5</t>
  </si>
  <si>
    <t>BRAUN ALL IN ONE TRIMMER 7</t>
  </si>
  <si>
    <t>BRAUN IPL 5137</t>
  </si>
  <si>
    <t>BRAUN SHAVER 6</t>
  </si>
  <si>
    <t>BRAUN SILK EPILATOR 7</t>
  </si>
  <si>
    <t>BRAUN SILK EPILATOR 9</t>
  </si>
  <si>
    <t>CANON G7X MARK III</t>
  </si>
  <si>
    <t>Canon</t>
  </si>
  <si>
    <t>CANON IXUS 285 HA</t>
  </si>
  <si>
    <t>CANON SX 740 HS</t>
  </si>
  <si>
    <t>CYBERPOWER PC SERIES C</t>
  </si>
  <si>
    <t>CyberPower</t>
  </si>
  <si>
    <t>DCS</t>
  </si>
  <si>
    <t>DJI MAVIC 4 PRO CREATOR COMBO</t>
  </si>
  <si>
    <t>DJI</t>
  </si>
  <si>
    <t>DJI MAVIC 4 PRO FLY MORE COMBO</t>
  </si>
  <si>
    <t>DJI MAVIC 4 PRO STANDARD</t>
  </si>
  <si>
    <t>DJI MIC 3</t>
  </si>
  <si>
    <t>DJI MIC MINI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</si>
  <si>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</si>
  <si>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</si>
  <si>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</si>
  <si>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</si>
  <si>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</si>
  <si>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</si>
  <si>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DJI OSMO POCKET 3 CREATOR COMBO</t>
  </si>
  <si>
    <t>DUAL SENSE EDGE WIRELESS CONTROLLER</t>
  </si>
  <si>
    <t>Sony</t>
  </si>
  <si>
    <t>GALAXY S23 ULTRA 256 GB</t>
  </si>
  <si>
    <t>Samsung</t>
  </si>
  <si>
    <t>GALAXY S25 ULTRA 256 GB</t>
  </si>
  <si>
    <t>GALAXY S25 ULTRA 512 GB</t>
  </si>
  <si>
    <t>GALAXY TAB S10+ (5G)</t>
  </si>
  <si>
    <t>Galaxy Watch Ultra</t>
  </si>
  <si>
    <t>GALAXY WATCH ULTRA</t>
  </si>
  <si>
    <t>GALAXY Z FLIP 7 256 GB</t>
  </si>
  <si>
    <t>GALAXY Z FOLD 7 256 GB</t>
  </si>
  <si>
    <t>GARMIN VIVOACTIVE 5 WATCH</t>
  </si>
  <si>
    <t>Garmin</t>
  </si>
  <si>
    <t>GO PRO 13</t>
  </si>
  <si>
    <t>GoPro</t>
  </si>
  <si>
    <t>GO PRO FLOATY HERO</t>
  </si>
  <si>
    <t>GOOGLE PIXEL 7</t>
  </si>
  <si>
    <t>Google</t>
  </si>
  <si>
    <t>GOOGLE PIXEL BUDS 2A</t>
  </si>
  <si>
    <t>GOOGLE PIXEL WATCH 4</t>
  </si>
  <si>
    <t>INSTAX FILM 20 PACK</t>
  </si>
  <si>
    <t>Instax</t>
  </si>
  <si>
    <t>INSTAX MINI 12</t>
  </si>
  <si>
    <t>instax</t>
  </si>
  <si>
    <t>INSTAX MINI EVO</t>
  </si>
  <si>
    <t>INSTAX MINI LIPLAY</t>
  </si>
  <si>
    <t>INSTAX WIDE 400</t>
  </si>
  <si>
    <t>IPAD A16 (W) 128 GB</t>
  </si>
  <si>
    <t>IPAD A16 (W+C)128 GB</t>
  </si>
  <si>
    <t>IPAD AIR M3 11 (W) 128 GB</t>
  </si>
  <si>
    <t>IPAD AIR M3 13 (W) 128 GB</t>
  </si>
  <si>
    <t>IPAD AIR M3 13 (W) 512GB</t>
  </si>
  <si>
    <t>IPAD AIR M3 13 (W+C) 128GB</t>
  </si>
  <si>
    <t>IPAD MINI A17 PRO (W) 256 GB</t>
  </si>
  <si>
    <t>IPAD MINI A17 PRO (W+C) 128 GB</t>
  </si>
  <si>
    <t>IPAD PRO M1 (W) 128GB</t>
  </si>
  <si>
    <t>IPAD PRO M1 13" (W) 256GB</t>
  </si>
  <si>
    <t>IPAD PRO M3 13 (W)</t>
  </si>
  <si>
    <t>IPAD PRO M3 13 (W) 256GB</t>
  </si>
  <si>
    <t>IPAD PRO M4 13 (W) 256 GB</t>
  </si>
  <si>
    <t>IPAD PRO M4 13 (W+C) 2 TB</t>
  </si>
  <si>
    <t>IPAD PRO M4 13 (W+C) 256 GB</t>
  </si>
  <si>
    <t>IPAD PRO M5 11 (W+C) 256 GB</t>
  </si>
  <si>
    <t>IPAD PRO M5 13 (W) 1 TB</t>
  </si>
  <si>
    <t>IPAD PRO M5 13 (W) 256 GB</t>
  </si>
  <si>
    <t>IPAD PRO M5 13 (W) 512 GB</t>
  </si>
  <si>
    <t>IPAD PRO M5 13 (W+C) 256 GB</t>
  </si>
  <si>
    <t>IPAD PRO M5 13 (W+C) 2TB</t>
  </si>
  <si>
    <t>IPHONE 11 PRO 256</t>
  </si>
  <si>
    <t>IPHONE 11 PRO MAX 256</t>
  </si>
  <si>
    <t>IPHONE 13 128 GB</t>
  </si>
  <si>
    <t>IPHONE 13 PRO MAX 128 GB</t>
  </si>
  <si>
    <t>IPHONE 13 PRO MAX 256 GB</t>
  </si>
  <si>
    <t>IPHONE 13 PRO MAX 512 GB</t>
  </si>
  <si>
    <t>IPHONE 14 PRO MAX 128 GB</t>
  </si>
  <si>
    <t>IPHONE 14 PRO MAX 256 GB</t>
  </si>
  <si>
    <t>IPHONE 15 128 GB</t>
  </si>
  <si>
    <t>IPHONE 15 PLUS 128 GB</t>
  </si>
  <si>
    <t>IPHONE 15 PRO 128 GB</t>
  </si>
  <si>
    <t>IPHONE 15 PRO 512 GB</t>
  </si>
  <si>
    <t>IPHONE 15 PRO MAX 256 GB</t>
  </si>
  <si>
    <t>IPHONE 16 128 GB</t>
  </si>
  <si>
    <t>IPHONE 16 256 GB</t>
  </si>
  <si>
    <t>IPHONE 16 PLUS 128 GB</t>
  </si>
  <si>
    <t>IPHONE 16 PRO 128 GB</t>
  </si>
  <si>
    <t>IPHONE 16 PRO 256 GB</t>
  </si>
  <si>
    <t>IPHONE 16 PRO 512 GB</t>
  </si>
  <si>
    <t>IPHONE 16 PRO MAX 1 TB</t>
  </si>
  <si>
    <t>IPHONE 16 PRO MAX 256 GB</t>
  </si>
  <si>
    <t>IPHONE 16 PRO MAX 512 GB</t>
  </si>
  <si>
    <t>IPHONE 16E 128 GB</t>
  </si>
  <si>
    <t>IPHONE 17 256 GB</t>
  </si>
  <si>
    <t>IPHONE 17 512 GB</t>
  </si>
  <si>
    <t>IPHONE 17 AIR 256 GB</t>
  </si>
  <si>
    <t>IPHONE 17 PRO 1 TB</t>
  </si>
  <si>
    <t>IPHONE 17 PRO 256 GB</t>
  </si>
  <si>
    <t>IPHONE 17 PRO 512 GB</t>
  </si>
  <si>
    <t>IPHONE 17 PRO MAX 1 TB</t>
  </si>
  <si>
    <t>IPHONE 17 PRO MAX 2 TB</t>
  </si>
  <si>
    <t>IPHONE 17 PRO MAX 256 GB</t>
  </si>
  <si>
    <t>IPHONE 17 PRO MAX 512 GB</t>
  </si>
  <si>
    <t>IPHONE AIR 1TB</t>
  </si>
  <si>
    <t>IPHONE SE 128 GB</t>
  </si>
  <si>
    <t>JBL CHARGE 6</t>
  </si>
  <si>
    <t>JBL</t>
  </si>
  <si>
    <t>JBL FLIP 7</t>
  </si>
  <si>
    <t>LENOVO THINK VISION E24-40 LCD MONITOR</t>
  </si>
  <si>
    <t>Lenovo</t>
  </si>
  <si>
    <t>MACBOOK AIR M1 13 8 GB, 512 GB</t>
  </si>
  <si>
    <t>MACBOOK AIR M2 13 16 GB, 256 GB</t>
  </si>
  <si>
    <t>MACBOOK AIR M2 13 8 GB, 256 GB</t>
  </si>
  <si>
    <t>MACBOOK AIR M3 15 24 GB, 512 GB</t>
  </si>
  <si>
    <t>MACBOOK AIR M3 15 8 GB, 256 GB</t>
  </si>
  <si>
    <t>MACBOOK AIR M4 13 16 GB, 256 GB</t>
  </si>
  <si>
    <t>MACBOOK AIR M4 13 16 GB, 512 GB</t>
  </si>
  <si>
    <t>MACBOOK AIR M4 13 24 GB, 512 GB</t>
  </si>
  <si>
    <t>MACBOOK AIR M4 15 16 GB, 512 GB</t>
  </si>
  <si>
    <t>MACBOOK AIR M4 15 24GB, 512 GB</t>
  </si>
  <si>
    <t>MACBOOK PRO M1 16 16 GB, 512 GB</t>
  </si>
  <si>
    <t>MACBOOK PRO M4 14 16 GB, 1 TB</t>
  </si>
  <si>
    <t>MACBOOK PRO M4 MAX 16 36 GB, 1 TB</t>
  </si>
  <si>
    <t>MACBOOK PRO M4 MAX 16 48 GB, 1 TB</t>
  </si>
  <si>
    <t>MACBOOK PRO M4 PRO 14 24 GB, 512 GB</t>
  </si>
  <si>
    <t>MACBOOK PRO M5 14 16 GB, 1 TB</t>
  </si>
  <si>
    <t>MACBOOK PRO M5 14 16 GB, 512 GB</t>
  </si>
  <si>
    <t>MACBOOK PRO M5 14 24 GB, 1 TB</t>
  </si>
  <si>
    <t>META HEADLINER GEN 2</t>
  </si>
  <si>
    <t>Meta</t>
  </si>
  <si>
    <t>META QUEST 3 512 GB</t>
  </si>
  <si>
    <t>META QUEST 3S</t>
  </si>
  <si>
    <t>META SKYLER</t>
  </si>
  <si>
    <t>META SKYLER GEN 2</t>
  </si>
  <si>
    <t>META VANGUARD</t>
  </si>
  <si>
    <t>META WAYFARER</t>
  </si>
  <si>
    <t>META WAYFARER GEN 2</t>
  </si>
  <si>
    <t>MOTOROLLA EDGE 5G 2025</t>
  </si>
  <si>
    <t>Motorola</t>
  </si>
  <si>
    <t>MOTOROLLA G (5G)</t>
  </si>
  <si>
    <t>MOTOROLLA G STYLUS 5G</t>
  </si>
  <si>
    <t>NINJA CREAMI</t>
  </si>
  <si>
    <t>Ninja</t>
  </si>
  <si>
    <t>NINJA PORTABLE BLENDER</t>
  </si>
  <si>
    <t>NINJA SLUSHI</t>
  </si>
  <si>
    <t>NINTENDO SWITCH 2</t>
  </si>
  <si>
    <t>Nintendo</t>
  </si>
  <si>
    <t>NINTENDO SWITCH 2 MARIOKART</t>
  </si>
  <si>
    <t>NINTENDO SWITCH REGULAR</t>
  </si>
  <si>
    <t>ONN RE-USABLE CAMERA WITH FLASH</t>
  </si>
  <si>
    <t>Onn</t>
  </si>
  <si>
    <t>ONN SINGLE USE CAMERA WITH FLASH</t>
  </si>
  <si>
    <t>PLAYSTATION PORTAL</t>
  </si>
  <si>
    <t>PLAYSTATION VR2</t>
  </si>
  <si>
    <t>POKEMON CARD</t>
  </si>
  <si>
    <t>PRESTO ELECTRIC KETTLE</t>
  </si>
  <si>
    <t>Presto</t>
  </si>
  <si>
    <t>PS5 CD DISCS</t>
  </si>
  <si>
    <t>PS5 DUAL SENSE CONTROLLER</t>
  </si>
  <si>
    <t>PS5 PRO</t>
  </si>
  <si>
    <t>PS5 SLIM DIGITAL</t>
  </si>
  <si>
    <t>PS5 SLIM DISC</t>
  </si>
  <si>
    <t>RAYBAN GLASSES</t>
  </si>
  <si>
    <t>SAMSUNG GALAXY S25 ULTRA 512</t>
  </si>
  <si>
    <t>SKYLINE V2 POUCH 3</t>
  </si>
  <si>
    <t>Skyline</t>
  </si>
  <si>
    <t>STARLINK HP</t>
  </si>
  <si>
    <t>Starlink</t>
  </si>
  <si>
    <t>STARLINK MINI</t>
  </si>
  <si>
    <t xml:space="preserve">Starlink </t>
  </si>
  <si>
    <t>STARLINK V4</t>
  </si>
  <si>
    <t>STEAM DECK 256 GB</t>
  </si>
  <si>
    <t>Valve</t>
  </si>
  <si>
    <t>STEAM DECK OLED 1 TB</t>
  </si>
  <si>
    <t>STEAM DECK OLED 512 GB</t>
  </si>
  <si>
    <t>XBOX SERIES X</t>
  </si>
  <si>
    <t>Microsoft</t>
  </si>
  <si>
    <t>Sno</t>
  </si>
  <si>
    <t>Website</t>
  </si>
  <si>
    <t>dicksmith</t>
  </si>
  <si>
    <t>AUD Prise</t>
  </si>
  <si>
    <t>officeworks</t>
  </si>
  <si>
    <t>officeworks / harveynorman</t>
  </si>
  <si>
    <t>digidirect</t>
  </si>
  <si>
    <t>jbhifi</t>
  </si>
  <si>
    <t>mobileciti</t>
  </si>
  <si>
    <t>costco</t>
  </si>
  <si>
    <t>thegoodguys</t>
  </si>
  <si>
    <t>bigw</t>
  </si>
  <si>
    <t>bunnings</t>
  </si>
  <si>
    <t>harveynorman</t>
  </si>
  <si>
    <t>canon</t>
  </si>
  <si>
    <t>Galaxy Tab S10 FE (128GB)</t>
  </si>
  <si>
    <t>GALAXY TAB S10 FE (256)</t>
  </si>
  <si>
    <t>camera-warehouse</t>
  </si>
  <si>
    <t>GOOGLE PIXEL FOLD 256 GB (9 Pro)</t>
  </si>
  <si>
    <t>GOOGLE PIXEL FOLD 512 GB (9 Pro)</t>
  </si>
  <si>
    <t>CONVERT TO AED</t>
  </si>
  <si>
    <t>LESS GST</t>
  </si>
  <si>
    <t>AFTER GST</t>
  </si>
  <si>
    <t>DIFFERENCE</t>
  </si>
  <si>
    <t>M4</t>
  </si>
  <si>
    <t>G57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</si>
</sst>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AED]\ * #,##0_);_([$AED]\ * \(#,##0\);_([$AED]\ * &quot;-&quot;_);_(@_)"/>
    <numFmt numFmtId="165" formatCode="_-[$AUD]\ * #,##0.00_-;\-[$AUD]\ * #,##0.00_-;_-[$AUD]\ * &quot;-&quot;??_-;_-@_-"/>
    <numFmt numFmtId="166" formatCode="_-[$AED]\ * #,##0.00_-;\-[$AED]\ * #,##0.00_-;_-[$AED]\ * &quot;-&quot;??_-;_-@_-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166" fontId="0" fillId="0" borderId="1" xfId="0" applyNumberForma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6" fontId="0" fillId="3" borderId="1" xfId="0" applyNumberFormat="1" applyFill="1" applyBorder="1"/>
    <xf numFmtId="166" fontId="0" fillId="4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27E9-959D-4D04-99D0-193A6B17B076}">
  <dimension ref="A1:L187"/>
  <sheetViews>
    <sheetView tabSelected="1" topLeftCell="A11" zoomScale="80" zoomScaleNormal="80" workbookViewId="0">
      <selection activeCell="M24" sqref="M24"/>
    </sheetView>
  </sheetViews>
  <sheetFormatPr defaultRowHeight="15" x14ac:dyDescent="0.25"/>
  <cols>
    <col min="2" max="2" width="43.85546875" bestFit="1" customWidth="1"/>
    <col min="3" max="3" width="11.85546875" bestFit="1" customWidth="1"/>
    <col min="4" max="4" width="22.28515625" style="2" bestFit="1" customWidth="1"/>
    <col min="5" max="5" width="21.85546875" style="1" bestFit="1" customWidth="1"/>
    <col min="6" max="6" width="15" bestFit="1" customWidth="1"/>
    <col min="7" max="7" width="26.5703125" bestFit="1" customWidth="1"/>
    <col min="8" max="8" width="19.7109375" bestFit="1" customWidth="1"/>
    <col min="9" max="9" width="14.5703125" bestFit="1" customWidth="1"/>
    <col min="10" max="10" width="15.7109375" bestFit="1" customWidth="1"/>
    <col min="11" max="11" width="14.5703125" bestFit="1" customWidth="1"/>
    <col min="12" max="12" width="8.42578125" bestFit="1" customWidth="1"/>
  </cols>
  <sheetData>
    <row r="1" spans="1:12" ht="15.75" x14ac:dyDescent="0.25">
      <c r="A1" s="8" t="s">
        <v>215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218</v>
      </c>
      <c r="G1" s="8" t="s">
        <v>216</v>
      </c>
      <c r="H1" s="8" t="s">
        <v>235</v>
      </c>
      <c r="I1" s="8" t="s">
        <v>236</v>
      </c>
      <c r="J1" s="8" t="s">
        <v>237</v>
      </c>
      <c r="K1" s="11" t="s">
        <v>238</v>
      </c>
    </row>
    <row r="2" spans="1:12" x14ac:dyDescent="0.25">
      <c r="A2" s="3">
        <v>1</v>
      </c>
      <c r="B2" s="3" t="s">
        <v>4</v>
      </c>
      <c r="C2" s="3" t="s">
        <v>5</v>
      </c>
      <c r="D2" s="4">
        <v>2082.41</v>
      </c>
      <c r="E2" s="5">
        <v>46027</v>
      </c>
      <c r="F2" s="7">
        <v>1100.6600000000001</v>
      </c>
      <c r="G2" s="6" t="s">
        <v>217</v>
      </c>
      <c r="H2" s="10">
        <f>F2*2.5</f>
        <v>2751.65</v>
      </c>
      <c r="I2" s="9">
        <f>H2/10</f>
        <v>275.16500000000002</v>
      </c>
      <c r="J2" s="9">
        <f>H2-I2</f>
        <v>2476.4850000000001</v>
      </c>
      <c r="K2" s="12">
        <f>D2-J2</f>
        <v>-394.07500000000027</v>
      </c>
      <c r="L2" s="14"/>
    </row>
    <row r="3" spans="1:12" x14ac:dyDescent="0.25">
      <c r="A3" s="3">
        <f>A2+1</f>
        <v>2</v>
      </c>
      <c r="B3" s="3" t="s">
        <v>6</v>
      </c>
      <c r="C3" s="3" t="s">
        <v>7</v>
      </c>
      <c r="D3" s="4">
        <v>305.14999999999998</v>
      </c>
      <c r="E3" s="5">
        <v>46066</v>
      </c>
      <c r="F3" s="7">
        <v>178</v>
      </c>
      <c r="G3" s="6" t="s">
        <v>219</v>
      </c>
      <c r="H3" s="10">
        <f t="shared" ref="H3:H35" si="0">F3*2.5</f>
        <v>445</v>
      </c>
      <c r="I3" s="9">
        <f t="shared" ref="I3:I66" si="1">H3/10</f>
        <v>44.5</v>
      </c>
      <c r="J3" s="9">
        <f t="shared" ref="J3:J66" si="2">H3-I3</f>
        <v>400.5</v>
      </c>
      <c r="K3" s="12">
        <f t="shared" ref="K3:K66" si="3">D3-J3</f>
        <v>-95.350000000000023</v>
      </c>
      <c r="L3" s="14"/>
    </row>
    <row r="4" spans="1:12" x14ac:dyDescent="0.25">
      <c r="A4" s="3">
        <f t="shared" ref="A4:A67" si="4">A3+1</f>
        <v>3</v>
      </c>
      <c r="B4" s="3" t="s">
        <v>8</v>
      </c>
      <c r="C4" s="3" t="s">
        <v>7</v>
      </c>
      <c r="D4" s="4">
        <v>448.75</v>
      </c>
      <c r="E4" s="5">
        <v>46066</v>
      </c>
      <c r="F4" s="7">
        <v>258</v>
      </c>
      <c r="G4" s="6" t="s">
        <v>220</v>
      </c>
      <c r="H4" s="10">
        <f t="shared" si="0"/>
        <v>645</v>
      </c>
      <c r="I4" s="9">
        <f t="shared" si="1"/>
        <v>64.5</v>
      </c>
      <c r="J4" s="9">
        <f t="shared" si="2"/>
        <v>580.5</v>
      </c>
      <c r="K4" s="12">
        <f t="shared" si="3"/>
        <v>-131.75</v>
      </c>
      <c r="L4" s="14"/>
    </row>
    <row r="5" spans="1:12" x14ac:dyDescent="0.25">
      <c r="A5" s="3">
        <f t="shared" si="4"/>
        <v>4</v>
      </c>
      <c r="B5" s="3" t="s">
        <v>9</v>
      </c>
      <c r="C5" s="3" t="s">
        <v>7</v>
      </c>
      <c r="D5" s="4">
        <v>719</v>
      </c>
      <c r="E5" s="5">
        <v>46039</v>
      </c>
      <c r="F5" s="7">
        <v>299</v>
      </c>
      <c r="G5" s="6" t="s">
        <v>217</v>
      </c>
      <c r="H5" s="10">
        <f>F5*2.5</f>
        <v>747.5</v>
      </c>
      <c r="I5" s="9">
        <f t="shared" si="1"/>
        <v>74.75</v>
      </c>
      <c r="J5" s="9">
        <f t="shared" si="2"/>
        <v>672.75</v>
      </c>
      <c r="K5" s="13">
        <f t="shared" si="3"/>
        <v>46.25</v>
      </c>
      <c r="L5" s="14"/>
    </row>
    <row r="6" spans="1:12" x14ac:dyDescent="0.25">
      <c r="A6" s="3">
        <f t="shared" si="4"/>
        <v>5</v>
      </c>
      <c r="B6" s="3" t="s">
        <v>10</v>
      </c>
      <c r="C6" s="3" t="s">
        <v>7</v>
      </c>
      <c r="D6" s="4">
        <v>735.95</v>
      </c>
      <c r="E6" s="5">
        <v>46066</v>
      </c>
      <c r="F6" s="7">
        <v>375</v>
      </c>
      <c r="G6" s="6" t="s">
        <v>217</v>
      </c>
      <c r="H6" s="10">
        <f t="shared" si="0"/>
        <v>937.5</v>
      </c>
      <c r="I6" s="9">
        <f t="shared" si="1"/>
        <v>93.75</v>
      </c>
      <c r="J6" s="9">
        <f t="shared" si="2"/>
        <v>843.75</v>
      </c>
      <c r="K6" s="12">
        <f t="shared" si="3"/>
        <v>-107.79999999999995</v>
      </c>
      <c r="L6" s="14"/>
    </row>
    <row r="7" spans="1:12" x14ac:dyDescent="0.25">
      <c r="A7" s="3">
        <f t="shared" si="4"/>
        <v>6</v>
      </c>
      <c r="B7" s="3" t="s">
        <v>11</v>
      </c>
      <c r="C7" s="3"/>
      <c r="D7" s="4">
        <v>413.42</v>
      </c>
      <c r="E7" s="5">
        <v>46055</v>
      </c>
      <c r="F7" s="7">
        <v>564.95000000000005</v>
      </c>
      <c r="G7" s="6" t="s">
        <v>221</v>
      </c>
      <c r="H7" s="10">
        <f t="shared" si="0"/>
        <v>1412.375</v>
      </c>
      <c r="I7" s="9">
        <f t="shared" si="1"/>
        <v>141.23750000000001</v>
      </c>
      <c r="J7" s="9">
        <f t="shared" si="2"/>
        <v>1271.1375</v>
      </c>
      <c r="K7" s="12">
        <f t="shared" si="3"/>
        <v>-857.71749999999997</v>
      </c>
      <c r="L7" s="14"/>
    </row>
    <row r="8" spans="1:12" x14ac:dyDescent="0.25">
      <c r="A8" s="3">
        <f t="shared" si="4"/>
        <v>7</v>
      </c>
      <c r="B8" s="3" t="s">
        <v>12</v>
      </c>
      <c r="C8" s="3" t="s">
        <v>7</v>
      </c>
      <c r="D8" s="4">
        <v>4</v>
      </c>
      <c r="E8" s="5">
        <v>46027</v>
      </c>
      <c r="F8" s="7">
        <v>439</v>
      </c>
      <c r="G8" s="6" t="s">
        <v>222</v>
      </c>
      <c r="H8" s="10">
        <f t="shared" si="0"/>
        <v>1097.5</v>
      </c>
      <c r="I8" s="9">
        <f t="shared" si="1"/>
        <v>109.75</v>
      </c>
      <c r="J8" s="9">
        <f t="shared" si="2"/>
        <v>987.75</v>
      </c>
      <c r="K8" s="12">
        <f t="shared" si="3"/>
        <v>-983.75</v>
      </c>
      <c r="L8" s="14"/>
    </row>
    <row r="9" spans="1:12" x14ac:dyDescent="0.25">
      <c r="A9" s="3">
        <f t="shared" si="4"/>
        <v>8</v>
      </c>
      <c r="B9" s="3" t="s">
        <v>13</v>
      </c>
      <c r="C9" s="3" t="s">
        <v>7</v>
      </c>
      <c r="D9" s="4">
        <v>180</v>
      </c>
      <c r="E9" s="5">
        <v>46027</v>
      </c>
      <c r="F9" s="7">
        <v>118</v>
      </c>
      <c r="G9" s="6" t="s">
        <v>220</v>
      </c>
      <c r="H9" s="10">
        <f t="shared" si="0"/>
        <v>295</v>
      </c>
      <c r="I9" s="9">
        <f t="shared" si="1"/>
        <v>29.5</v>
      </c>
      <c r="J9" s="9">
        <f t="shared" si="2"/>
        <v>265.5</v>
      </c>
      <c r="K9" s="12">
        <f t="shared" si="3"/>
        <v>-85.5</v>
      </c>
      <c r="L9" s="14"/>
    </row>
    <row r="10" spans="1:12" x14ac:dyDescent="0.25">
      <c r="A10" s="3">
        <f t="shared" si="4"/>
        <v>9</v>
      </c>
      <c r="B10" s="3" t="s">
        <v>14</v>
      </c>
      <c r="C10" s="3" t="s">
        <v>7</v>
      </c>
      <c r="D10" s="4">
        <v>539.20000000000005</v>
      </c>
      <c r="E10" s="5">
        <v>46027</v>
      </c>
      <c r="F10" s="7">
        <v>331.73</v>
      </c>
      <c r="G10" s="6" t="s">
        <v>217</v>
      </c>
      <c r="H10" s="10">
        <f t="shared" si="0"/>
        <v>829.32500000000005</v>
      </c>
      <c r="I10" s="9">
        <f t="shared" si="1"/>
        <v>82.932500000000005</v>
      </c>
      <c r="J10" s="9">
        <f t="shared" si="2"/>
        <v>746.39250000000004</v>
      </c>
      <c r="K10" s="12">
        <f t="shared" si="3"/>
        <v>-207.1925</v>
      </c>
      <c r="L10" s="14"/>
    </row>
    <row r="11" spans="1:12" x14ac:dyDescent="0.25">
      <c r="A11" s="3">
        <f t="shared" si="4"/>
        <v>10</v>
      </c>
      <c r="B11" s="3" t="s">
        <v>15</v>
      </c>
      <c r="C11" s="3" t="s">
        <v>7</v>
      </c>
      <c r="D11" s="4">
        <v>575.20000000000005</v>
      </c>
      <c r="E11" s="5">
        <v>46027</v>
      </c>
      <c r="F11" s="7">
        <v>477</v>
      </c>
      <c r="G11" s="6" t="s">
        <v>223</v>
      </c>
      <c r="H11" s="10">
        <f t="shared" si="0"/>
        <v>1192.5</v>
      </c>
      <c r="I11" s="9">
        <f t="shared" si="1"/>
        <v>119.25</v>
      </c>
      <c r="J11" s="9">
        <f t="shared" si="2"/>
        <v>1073.25</v>
      </c>
      <c r="K11" s="12">
        <f t="shared" si="3"/>
        <v>-498.04999999999995</v>
      </c>
      <c r="L11" s="14"/>
    </row>
    <row r="12" spans="1:12" x14ac:dyDescent="0.25">
      <c r="A12" s="3">
        <f t="shared" si="4"/>
        <v>11</v>
      </c>
      <c r="B12" s="3" t="s">
        <v>16</v>
      </c>
      <c r="C12" s="3" t="s">
        <v>7</v>
      </c>
      <c r="D12" s="4">
        <v>900</v>
      </c>
      <c r="E12" s="5">
        <v>46060</v>
      </c>
      <c r="F12" s="7">
        <v>359.99</v>
      </c>
      <c r="G12" s="6" t="s">
        <v>224</v>
      </c>
      <c r="H12" s="10">
        <f t="shared" si="0"/>
        <v>899.97500000000002</v>
      </c>
      <c r="I12" s="9">
        <f t="shared" si="1"/>
        <v>89.997500000000002</v>
      </c>
      <c r="J12" s="9">
        <f t="shared" si="2"/>
        <v>809.97749999999996</v>
      </c>
      <c r="K12" s="12">
        <f t="shared" si="3"/>
        <v>90.022500000000036</v>
      </c>
      <c r="L12" s="14"/>
    </row>
    <row r="13" spans="1:12" x14ac:dyDescent="0.25">
      <c r="A13" s="3">
        <f t="shared" si="4"/>
        <v>12</v>
      </c>
      <c r="B13" s="3" t="s">
        <v>17</v>
      </c>
      <c r="C13" s="3" t="s">
        <v>7</v>
      </c>
      <c r="D13" s="4">
        <v>800</v>
      </c>
      <c r="E13" s="5">
        <v>46069</v>
      </c>
      <c r="F13" s="7">
        <v>417</v>
      </c>
      <c r="G13" s="6" t="s">
        <v>225</v>
      </c>
      <c r="H13" s="10">
        <f t="shared" si="0"/>
        <v>1042.5</v>
      </c>
      <c r="I13" s="9">
        <f t="shared" si="1"/>
        <v>104.25</v>
      </c>
      <c r="J13" s="9">
        <f t="shared" si="2"/>
        <v>938.25</v>
      </c>
      <c r="K13" s="12">
        <f t="shared" si="3"/>
        <v>-138.25</v>
      </c>
      <c r="L13" s="14"/>
    </row>
    <row r="14" spans="1:12" x14ac:dyDescent="0.25">
      <c r="A14" s="3">
        <f t="shared" si="4"/>
        <v>13</v>
      </c>
      <c r="B14" s="3" t="s">
        <v>18</v>
      </c>
      <c r="C14" s="3" t="s">
        <v>7</v>
      </c>
      <c r="D14" s="4">
        <v>790.9</v>
      </c>
      <c r="E14" s="5">
        <v>46027</v>
      </c>
      <c r="F14" s="7">
        <v>669.99</v>
      </c>
      <c r="G14" s="6" t="s">
        <v>224</v>
      </c>
      <c r="H14" s="10">
        <f t="shared" si="0"/>
        <v>1674.9749999999999</v>
      </c>
      <c r="I14" s="9">
        <f t="shared" si="1"/>
        <v>167.4975</v>
      </c>
      <c r="J14" s="9">
        <f t="shared" si="2"/>
        <v>1507.4775</v>
      </c>
      <c r="K14" s="12">
        <f t="shared" si="3"/>
        <v>-716.57749999999999</v>
      </c>
      <c r="L14" s="14"/>
    </row>
    <row r="15" spans="1:12" x14ac:dyDescent="0.25">
      <c r="A15" s="3">
        <f t="shared" si="4"/>
        <v>14</v>
      </c>
      <c r="B15" s="3" t="s">
        <v>19</v>
      </c>
      <c r="C15" s="3" t="s">
        <v>7</v>
      </c>
      <c r="D15" s="4">
        <v>1077</v>
      </c>
      <c r="E15" s="5">
        <v>46066</v>
      </c>
      <c r="F15" s="7">
        <v>547</v>
      </c>
      <c r="G15" s="6" t="s">
        <v>225</v>
      </c>
      <c r="H15" s="10">
        <f t="shared" si="0"/>
        <v>1367.5</v>
      </c>
      <c r="I15" s="9">
        <f t="shared" si="1"/>
        <v>136.75</v>
      </c>
      <c r="J15" s="9">
        <f t="shared" si="2"/>
        <v>1230.75</v>
      </c>
      <c r="K15" s="12">
        <f t="shared" si="3"/>
        <v>-153.75</v>
      </c>
      <c r="L15" s="14"/>
    </row>
    <row r="16" spans="1:12" x14ac:dyDescent="0.25">
      <c r="A16" s="3">
        <f t="shared" si="4"/>
        <v>15</v>
      </c>
      <c r="B16" s="3" t="s">
        <v>20</v>
      </c>
      <c r="C16" s="3" t="s">
        <v>7</v>
      </c>
      <c r="D16" s="4">
        <v>1148.8</v>
      </c>
      <c r="E16" s="5">
        <v>46066</v>
      </c>
      <c r="F16" s="7">
        <v>597</v>
      </c>
      <c r="G16" s="6" t="s">
        <v>219</v>
      </c>
      <c r="H16" s="10">
        <f t="shared" si="0"/>
        <v>1492.5</v>
      </c>
      <c r="I16" s="9">
        <f t="shared" si="1"/>
        <v>149.25</v>
      </c>
      <c r="J16" s="9">
        <f t="shared" si="2"/>
        <v>1343.25</v>
      </c>
      <c r="K16" s="12">
        <f t="shared" si="3"/>
        <v>-194.45000000000005</v>
      </c>
      <c r="L16" s="14"/>
    </row>
    <row r="17" spans="1:12" x14ac:dyDescent="0.25">
      <c r="A17" s="3">
        <f t="shared" si="4"/>
        <v>16</v>
      </c>
      <c r="B17" s="3" t="s">
        <v>21</v>
      </c>
      <c r="C17" s="3" t="s">
        <v>7</v>
      </c>
      <c r="D17" s="4">
        <v>1</v>
      </c>
      <c r="E17" s="5">
        <v>46052</v>
      </c>
      <c r="F17" s="7">
        <v>1197</v>
      </c>
      <c r="G17" s="6" t="s">
        <v>222</v>
      </c>
      <c r="H17" s="10">
        <f t="shared" si="0"/>
        <v>2992.5</v>
      </c>
      <c r="I17" s="9">
        <f t="shared" si="1"/>
        <v>299.25</v>
      </c>
      <c r="J17" s="9">
        <f t="shared" si="2"/>
        <v>2693.25</v>
      </c>
      <c r="K17" s="12">
        <f t="shared" si="3"/>
        <v>-2692.25</v>
      </c>
      <c r="L17" s="14"/>
    </row>
    <row r="18" spans="1:12" x14ac:dyDescent="0.25">
      <c r="A18" s="3">
        <f t="shared" si="4"/>
        <v>17</v>
      </c>
      <c r="B18" s="3" t="s">
        <v>22</v>
      </c>
      <c r="C18" s="3" t="s">
        <v>7</v>
      </c>
      <c r="D18" s="4">
        <v>2280</v>
      </c>
      <c r="E18" s="5">
        <v>46069</v>
      </c>
      <c r="F18" s="7">
        <v>1388</v>
      </c>
      <c r="G18" s="6" t="s">
        <v>223</v>
      </c>
      <c r="H18" s="10">
        <f t="shared" si="0"/>
        <v>3470</v>
      </c>
      <c r="I18" s="9">
        <f t="shared" si="1"/>
        <v>347</v>
      </c>
      <c r="J18" s="9">
        <f t="shared" si="2"/>
        <v>3123</v>
      </c>
      <c r="K18" s="12">
        <f t="shared" si="3"/>
        <v>-843</v>
      </c>
      <c r="L18" s="14"/>
    </row>
    <row r="19" spans="1:12" x14ac:dyDescent="0.25">
      <c r="A19" s="3">
        <f t="shared" si="4"/>
        <v>18</v>
      </c>
      <c r="B19" s="3" t="s">
        <v>23</v>
      </c>
      <c r="C19" s="3" t="s">
        <v>24</v>
      </c>
      <c r="D19" s="4">
        <v>103.21</v>
      </c>
      <c r="E19" s="5">
        <v>46027</v>
      </c>
      <c r="F19" s="7">
        <v>89</v>
      </c>
      <c r="G19" s="6" t="s">
        <v>226</v>
      </c>
      <c r="H19" s="10">
        <f t="shared" si="0"/>
        <v>222.5</v>
      </c>
      <c r="I19" s="9">
        <f t="shared" si="1"/>
        <v>22.25</v>
      </c>
      <c r="J19" s="9">
        <f t="shared" si="2"/>
        <v>200.25</v>
      </c>
      <c r="K19" s="12">
        <f t="shared" si="3"/>
        <v>-97.04</v>
      </c>
      <c r="L19" s="14"/>
    </row>
    <row r="20" spans="1:12" x14ac:dyDescent="0.25">
      <c r="A20" s="3">
        <f t="shared" si="4"/>
        <v>19</v>
      </c>
      <c r="B20" s="3" t="s">
        <v>25</v>
      </c>
      <c r="C20" s="3" t="s">
        <v>26</v>
      </c>
      <c r="D20" s="4">
        <v>269.5</v>
      </c>
      <c r="E20" s="5">
        <v>46027</v>
      </c>
      <c r="F20" s="7">
        <v>188</v>
      </c>
      <c r="G20" s="6" t="s">
        <v>223</v>
      </c>
      <c r="H20" s="10">
        <f t="shared" si="0"/>
        <v>470</v>
      </c>
      <c r="I20" s="9">
        <f t="shared" si="1"/>
        <v>47</v>
      </c>
      <c r="J20" s="9">
        <f t="shared" si="2"/>
        <v>423</v>
      </c>
      <c r="K20" s="12">
        <f t="shared" si="3"/>
        <v>-153.5</v>
      </c>
      <c r="L20" s="14"/>
    </row>
    <row r="21" spans="1:12" x14ac:dyDescent="0.25">
      <c r="A21" s="3">
        <f t="shared" si="4"/>
        <v>20</v>
      </c>
      <c r="B21" s="3" t="s">
        <v>27</v>
      </c>
      <c r="C21" s="3" t="s">
        <v>26</v>
      </c>
      <c r="D21" s="4">
        <v>503.5</v>
      </c>
      <c r="E21" s="5">
        <v>46027</v>
      </c>
      <c r="F21" s="7">
        <v>399</v>
      </c>
      <c r="G21" s="6" t="s">
        <v>219</v>
      </c>
      <c r="H21" s="10">
        <f t="shared" si="0"/>
        <v>997.5</v>
      </c>
      <c r="I21" s="9">
        <f t="shared" si="1"/>
        <v>99.75</v>
      </c>
      <c r="J21" s="9">
        <f t="shared" si="2"/>
        <v>897.75</v>
      </c>
      <c r="K21" s="12">
        <f t="shared" si="3"/>
        <v>-394.25</v>
      </c>
      <c r="L21" s="14"/>
    </row>
    <row r="22" spans="1:12" x14ac:dyDescent="0.25">
      <c r="A22" s="3">
        <f t="shared" si="4"/>
        <v>21</v>
      </c>
      <c r="B22" s="3" t="s">
        <v>28</v>
      </c>
      <c r="C22" s="3"/>
      <c r="D22" s="4">
        <v>4</v>
      </c>
      <c r="E22" s="5">
        <v>46026</v>
      </c>
      <c r="F22" s="7">
        <v>99</v>
      </c>
      <c r="G22" s="6" t="s">
        <v>227</v>
      </c>
      <c r="H22" s="10">
        <f t="shared" si="0"/>
        <v>247.5</v>
      </c>
      <c r="I22" s="9">
        <f t="shared" si="1"/>
        <v>24.75</v>
      </c>
      <c r="J22" s="9">
        <f t="shared" si="2"/>
        <v>222.75</v>
      </c>
      <c r="K22" s="12">
        <f t="shared" si="3"/>
        <v>-218.75</v>
      </c>
      <c r="L22" s="14"/>
    </row>
    <row r="23" spans="1:12" x14ac:dyDescent="0.25">
      <c r="A23" s="3">
        <f t="shared" si="4"/>
        <v>22</v>
      </c>
      <c r="B23" s="3" t="s">
        <v>29</v>
      </c>
      <c r="C23" s="3" t="s">
        <v>30</v>
      </c>
      <c r="D23" s="4">
        <v>629</v>
      </c>
      <c r="E23" s="5">
        <v>46027</v>
      </c>
      <c r="F23" s="7">
        <v>529</v>
      </c>
      <c r="G23" s="6" t="s">
        <v>217</v>
      </c>
      <c r="H23" s="10">
        <f t="shared" si="0"/>
        <v>1322.5</v>
      </c>
      <c r="I23" s="9">
        <f t="shared" si="1"/>
        <v>132.25</v>
      </c>
      <c r="J23" s="9">
        <f t="shared" si="2"/>
        <v>1190.25</v>
      </c>
      <c r="K23" s="12">
        <f t="shared" si="3"/>
        <v>-561.25</v>
      </c>
      <c r="L23" s="14"/>
    </row>
    <row r="24" spans="1:12" x14ac:dyDescent="0.25">
      <c r="A24" s="3">
        <f t="shared" si="4"/>
        <v>23</v>
      </c>
      <c r="B24" s="3" t="s">
        <v>31</v>
      </c>
      <c r="C24" s="3" t="s">
        <v>30</v>
      </c>
      <c r="D24" s="4">
        <v>306</v>
      </c>
      <c r="E24" s="5">
        <v>46027</v>
      </c>
      <c r="F24" s="7">
        <v>99</v>
      </c>
      <c r="G24" s="6" t="s">
        <v>222</v>
      </c>
      <c r="H24" s="10">
        <f t="shared" si="0"/>
        <v>247.5</v>
      </c>
      <c r="I24" s="9">
        <f t="shared" si="1"/>
        <v>24.75</v>
      </c>
      <c r="J24" s="9">
        <f t="shared" si="2"/>
        <v>222.75</v>
      </c>
      <c r="K24" s="12">
        <f t="shared" si="3"/>
        <v>83.25</v>
      </c>
      <c r="L24" s="14"/>
    </row>
    <row r="25" spans="1:12" x14ac:dyDescent="0.25">
      <c r="A25" s="3">
        <f t="shared" si="4"/>
        <v>24</v>
      </c>
      <c r="B25" s="3" t="s">
        <v>32</v>
      </c>
      <c r="C25" s="3" t="s">
        <v>33</v>
      </c>
      <c r="D25" s="4">
        <v>524.5</v>
      </c>
      <c r="E25" s="5">
        <v>46027</v>
      </c>
      <c r="F25" s="7">
        <v>279</v>
      </c>
      <c r="G25" s="6" t="s">
        <v>222</v>
      </c>
      <c r="H25" s="10">
        <f t="shared" si="0"/>
        <v>697.5</v>
      </c>
      <c r="I25" s="9">
        <f t="shared" si="1"/>
        <v>69.75</v>
      </c>
      <c r="J25" s="9">
        <f t="shared" si="2"/>
        <v>627.75</v>
      </c>
      <c r="K25" s="12">
        <f t="shared" si="3"/>
        <v>-103.25</v>
      </c>
      <c r="L25" s="14"/>
    </row>
    <row r="26" spans="1:12" x14ac:dyDescent="0.25">
      <c r="A26" s="3">
        <f t="shared" si="4"/>
        <v>25</v>
      </c>
      <c r="B26" s="3" t="s">
        <v>34</v>
      </c>
      <c r="C26" s="3" t="s">
        <v>33</v>
      </c>
      <c r="D26" s="4">
        <v>236.02</v>
      </c>
      <c r="E26" s="5">
        <v>46027</v>
      </c>
      <c r="F26" s="7">
        <v>99</v>
      </c>
      <c r="G26" s="6" t="s">
        <v>225</v>
      </c>
      <c r="H26" s="10">
        <f t="shared" si="0"/>
        <v>247.5</v>
      </c>
      <c r="I26" s="9">
        <f t="shared" si="1"/>
        <v>24.75</v>
      </c>
      <c r="J26" s="9">
        <f t="shared" si="2"/>
        <v>222.75</v>
      </c>
      <c r="K26" s="13">
        <f t="shared" si="3"/>
        <v>13.27000000000001</v>
      </c>
      <c r="L26" s="14"/>
    </row>
    <row r="27" spans="1:12" x14ac:dyDescent="0.25">
      <c r="A27" s="3">
        <f t="shared" si="4"/>
        <v>26</v>
      </c>
      <c r="B27" s="3" t="s">
        <v>35</v>
      </c>
      <c r="C27" s="3" t="s">
        <v>33</v>
      </c>
      <c r="D27" s="4">
        <v>344.29</v>
      </c>
      <c r="E27" s="5">
        <v>46027</v>
      </c>
      <c r="F27" s="7">
        <v>149</v>
      </c>
      <c r="G27" s="6" t="s">
        <v>222</v>
      </c>
      <c r="H27" s="10">
        <f t="shared" si="0"/>
        <v>372.5</v>
      </c>
      <c r="I27" s="9">
        <f t="shared" si="1"/>
        <v>37.25</v>
      </c>
      <c r="J27" s="9">
        <f t="shared" si="2"/>
        <v>335.25</v>
      </c>
      <c r="K27" s="13">
        <f t="shared" si="3"/>
        <v>9.0400000000000205</v>
      </c>
      <c r="L27" s="14"/>
    </row>
    <row r="28" spans="1:12" x14ac:dyDescent="0.25">
      <c r="A28" s="3">
        <f t="shared" si="4"/>
        <v>27</v>
      </c>
      <c r="B28" s="3" t="s">
        <v>36</v>
      </c>
      <c r="C28" s="3" t="s">
        <v>33</v>
      </c>
      <c r="D28" s="4">
        <v>979.24</v>
      </c>
      <c r="E28" s="5">
        <v>46027</v>
      </c>
      <c r="F28" s="7">
        <v>873.99</v>
      </c>
      <c r="G28" s="6" t="s">
        <v>217</v>
      </c>
      <c r="H28" s="10">
        <f t="shared" si="0"/>
        <v>2184.9749999999999</v>
      </c>
      <c r="I28" s="9">
        <f t="shared" si="1"/>
        <v>218.4975</v>
      </c>
      <c r="J28" s="9">
        <f t="shared" si="2"/>
        <v>1966.4775</v>
      </c>
      <c r="K28" s="12">
        <f t="shared" si="3"/>
        <v>-987.23749999999995</v>
      </c>
      <c r="L28" s="14"/>
    </row>
    <row r="29" spans="1:12" x14ac:dyDescent="0.25">
      <c r="A29" s="3">
        <f t="shared" si="4"/>
        <v>28</v>
      </c>
      <c r="B29" s="3" t="s">
        <v>37</v>
      </c>
      <c r="C29" s="3" t="s">
        <v>33</v>
      </c>
      <c r="D29" s="4">
        <v>322.64</v>
      </c>
      <c r="E29" s="5">
        <v>46027</v>
      </c>
      <c r="F29" s="7">
        <v>149</v>
      </c>
      <c r="G29" s="6" t="s">
        <v>222</v>
      </c>
      <c r="H29" s="10">
        <f t="shared" si="0"/>
        <v>372.5</v>
      </c>
      <c r="I29" s="9">
        <f t="shared" si="1"/>
        <v>37.25</v>
      </c>
      <c r="J29" s="9">
        <f t="shared" si="2"/>
        <v>335.25</v>
      </c>
      <c r="K29" s="12">
        <f t="shared" si="3"/>
        <v>-12.610000000000014</v>
      </c>
      <c r="L29" s="14"/>
    </row>
    <row r="30" spans="1:12" x14ac:dyDescent="0.25">
      <c r="A30" s="3">
        <f t="shared" si="4"/>
        <v>29</v>
      </c>
      <c r="B30" s="3" t="s">
        <v>38</v>
      </c>
      <c r="C30" s="3" t="s">
        <v>33</v>
      </c>
      <c r="D30" s="4">
        <v>409.26</v>
      </c>
      <c r="E30" s="5">
        <v>46027</v>
      </c>
      <c r="F30" s="7">
        <v>186</v>
      </c>
      <c r="G30" s="6" t="s">
        <v>228</v>
      </c>
      <c r="H30" s="10">
        <f t="shared" si="0"/>
        <v>465</v>
      </c>
      <c r="I30" s="9">
        <f t="shared" si="1"/>
        <v>46.5</v>
      </c>
      <c r="J30" s="9">
        <f t="shared" si="2"/>
        <v>418.5</v>
      </c>
      <c r="K30" s="12">
        <f t="shared" si="3"/>
        <v>-9.2400000000000091</v>
      </c>
      <c r="L30" s="14"/>
    </row>
    <row r="31" spans="1:12" x14ac:dyDescent="0.25">
      <c r="A31" s="3">
        <f t="shared" si="4"/>
        <v>30</v>
      </c>
      <c r="B31" s="3" t="s">
        <v>39</v>
      </c>
      <c r="C31" s="3" t="s">
        <v>33</v>
      </c>
      <c r="D31" s="4">
        <v>433.08</v>
      </c>
      <c r="E31" s="5">
        <v>46027</v>
      </c>
      <c r="F31" s="7">
        <v>247</v>
      </c>
      <c r="G31" s="6" t="s">
        <v>228</v>
      </c>
      <c r="H31" s="10">
        <f t="shared" si="0"/>
        <v>617.5</v>
      </c>
      <c r="I31" s="9">
        <f t="shared" si="1"/>
        <v>61.75</v>
      </c>
      <c r="J31" s="9">
        <f t="shared" si="2"/>
        <v>555.75</v>
      </c>
      <c r="K31" s="12">
        <f t="shared" si="3"/>
        <v>-122.67000000000002</v>
      </c>
      <c r="L31" s="14"/>
    </row>
    <row r="32" spans="1:12" x14ac:dyDescent="0.25">
      <c r="A32" s="3">
        <f t="shared" si="4"/>
        <v>31</v>
      </c>
      <c r="B32" s="3" t="s">
        <v>40</v>
      </c>
      <c r="C32" s="3" t="s">
        <v>41</v>
      </c>
      <c r="D32" s="4">
        <v>3072</v>
      </c>
      <c r="E32" s="5">
        <v>46058</v>
      </c>
      <c r="F32" s="7">
        <v>1349</v>
      </c>
      <c r="G32" s="6" t="s">
        <v>229</v>
      </c>
      <c r="H32" s="10">
        <f t="shared" si="0"/>
        <v>3372.5</v>
      </c>
      <c r="I32" s="9">
        <f t="shared" si="1"/>
        <v>337.25</v>
      </c>
      <c r="J32" s="9">
        <f t="shared" si="2"/>
        <v>3035.25</v>
      </c>
      <c r="K32" s="13">
        <f t="shared" si="3"/>
        <v>36.75</v>
      </c>
      <c r="L32" s="14"/>
    </row>
    <row r="33" spans="1:12" x14ac:dyDescent="0.25">
      <c r="A33" s="3">
        <f t="shared" si="4"/>
        <v>32</v>
      </c>
      <c r="B33" s="3" t="s">
        <v>42</v>
      </c>
      <c r="C33" s="3" t="s">
        <v>41</v>
      </c>
      <c r="D33" s="4">
        <v>1314.3</v>
      </c>
      <c r="E33" s="5">
        <v>46027</v>
      </c>
      <c r="F33" s="7">
        <v>548</v>
      </c>
      <c r="G33" s="6" t="s">
        <v>228</v>
      </c>
      <c r="H33" s="10">
        <f t="shared" si="0"/>
        <v>1370</v>
      </c>
      <c r="I33" s="9">
        <f t="shared" si="1"/>
        <v>137</v>
      </c>
      <c r="J33" s="9">
        <f t="shared" si="2"/>
        <v>1233</v>
      </c>
      <c r="K33" s="13">
        <f t="shared" si="3"/>
        <v>81.299999999999955</v>
      </c>
      <c r="L33" s="14"/>
    </row>
    <row r="34" spans="1:12" x14ac:dyDescent="0.25">
      <c r="A34" s="3">
        <f t="shared" si="4"/>
        <v>33</v>
      </c>
      <c r="B34" s="3" t="s">
        <v>43</v>
      </c>
      <c r="C34" s="3" t="s">
        <v>41</v>
      </c>
      <c r="D34" s="4">
        <v>1569</v>
      </c>
      <c r="E34" s="5">
        <v>46058</v>
      </c>
      <c r="F34" s="7">
        <v>792</v>
      </c>
      <c r="G34" s="6" t="s">
        <v>221</v>
      </c>
      <c r="H34" s="10">
        <f t="shared" si="0"/>
        <v>1980</v>
      </c>
      <c r="I34" s="9">
        <f t="shared" si="1"/>
        <v>198</v>
      </c>
      <c r="J34" s="9">
        <f t="shared" si="2"/>
        <v>1782</v>
      </c>
      <c r="K34" s="12">
        <f t="shared" si="3"/>
        <v>-213</v>
      </c>
      <c r="L34" s="14"/>
    </row>
    <row r="35" spans="1:12" x14ac:dyDescent="0.25">
      <c r="A35" s="3">
        <f t="shared" si="4"/>
        <v>34</v>
      </c>
      <c r="B35" s="3" t="s">
        <v>44</v>
      </c>
      <c r="C35" s="3" t="s">
        <v>45</v>
      </c>
      <c r="D35" s="4">
        <v>1797.5</v>
      </c>
      <c r="E35" s="5">
        <v>46027</v>
      </c>
      <c r="F35" s="7">
        <v>506.2</v>
      </c>
      <c r="G35" s="6" t="s">
        <v>217</v>
      </c>
      <c r="H35" s="10">
        <f t="shared" si="0"/>
        <v>1265.5</v>
      </c>
      <c r="I35" s="9">
        <f t="shared" si="1"/>
        <v>126.55</v>
      </c>
      <c r="J35" s="9">
        <f t="shared" si="2"/>
        <v>1138.95</v>
      </c>
      <c r="K35" s="13">
        <f t="shared" si="3"/>
        <v>658.55</v>
      </c>
      <c r="L35" s="14"/>
    </row>
    <row r="36" spans="1:12" x14ac:dyDescent="0.25">
      <c r="A36" s="3">
        <f t="shared" si="4"/>
        <v>35</v>
      </c>
      <c r="B36" s="3" t="s">
        <v>46</v>
      </c>
      <c r="C36" s="3" t="s">
        <v>7</v>
      </c>
      <c r="D36" s="4"/>
      <c r="E36" s="6"/>
      <c r="F36" s="7"/>
      <c r="G36" s="6"/>
      <c r="H36" s="10"/>
      <c r="I36" s="9"/>
      <c r="J36" s="9"/>
      <c r="K36" s="9"/>
      <c r="L36" s="14"/>
    </row>
    <row r="37" spans="1:12" x14ac:dyDescent="0.25">
      <c r="A37" s="3">
        <f t="shared" si="4"/>
        <v>36</v>
      </c>
      <c r="B37" s="3" t="s">
        <v>47</v>
      </c>
      <c r="C37" s="3" t="s">
        <v>48</v>
      </c>
      <c r="D37" s="4">
        <v>10586</v>
      </c>
      <c r="E37" s="5">
        <v>46027</v>
      </c>
      <c r="F37" s="7">
        <v>5091</v>
      </c>
      <c r="G37" s="6" t="s">
        <v>228</v>
      </c>
      <c r="H37" s="10">
        <f t="shared" ref="H37:H66" si="5">F37*2.41</f>
        <v>12269.310000000001</v>
      </c>
      <c r="I37" s="9">
        <f t="shared" si="1"/>
        <v>1226.931</v>
      </c>
      <c r="J37" s="9">
        <f t="shared" si="2"/>
        <v>11042.379000000001</v>
      </c>
      <c r="K37" s="12">
        <f t="shared" si="3"/>
        <v>-456.37900000000081</v>
      </c>
      <c r="L37" s="14"/>
    </row>
    <row r="38" spans="1:12" x14ac:dyDescent="0.25">
      <c r="A38" s="3">
        <f t="shared" si="4"/>
        <v>37</v>
      </c>
      <c r="B38" s="3" t="s">
        <v>49</v>
      </c>
      <c r="C38" s="3" t="s">
        <v>48</v>
      </c>
      <c r="D38" s="4">
        <v>7820</v>
      </c>
      <c r="E38" s="5">
        <v>46027</v>
      </c>
      <c r="F38" s="7">
        <v>3885</v>
      </c>
      <c r="G38" s="6" t="s">
        <v>228</v>
      </c>
      <c r="H38" s="10">
        <f t="shared" si="5"/>
        <v>9362.85</v>
      </c>
      <c r="I38" s="9">
        <f t="shared" si="1"/>
        <v>936.28500000000008</v>
      </c>
      <c r="J38" s="9">
        <f t="shared" si="2"/>
        <v>8426.5650000000005</v>
      </c>
      <c r="K38" s="12">
        <f t="shared" si="3"/>
        <v>-606.56500000000051</v>
      </c>
      <c r="L38" s="14"/>
    </row>
    <row r="39" spans="1:12" x14ac:dyDescent="0.25">
      <c r="A39" s="3">
        <f t="shared" si="4"/>
        <v>38</v>
      </c>
      <c r="B39" s="3" t="s">
        <v>50</v>
      </c>
      <c r="C39" s="3" t="s">
        <v>48</v>
      </c>
      <c r="D39" s="4">
        <v>6047</v>
      </c>
      <c r="E39" s="5">
        <v>46045</v>
      </c>
      <c r="F39" s="7">
        <v>2885</v>
      </c>
      <c r="G39" s="6" t="s">
        <v>228</v>
      </c>
      <c r="H39" s="10">
        <f t="shared" si="5"/>
        <v>6952.85</v>
      </c>
      <c r="I39" s="9">
        <f t="shared" si="1"/>
        <v>695.28500000000008</v>
      </c>
      <c r="J39" s="9">
        <f t="shared" si="2"/>
        <v>6257.5650000000005</v>
      </c>
      <c r="K39" s="12">
        <f t="shared" si="3"/>
        <v>-210.56500000000051</v>
      </c>
      <c r="L39" s="14"/>
    </row>
    <row r="40" spans="1:12" x14ac:dyDescent="0.25">
      <c r="A40" s="3">
        <f t="shared" si="4"/>
        <v>39</v>
      </c>
      <c r="B40" s="3" t="s">
        <v>51</v>
      </c>
      <c r="C40" s="3" t="s">
        <v>48</v>
      </c>
      <c r="D40" s="4">
        <v>1008</v>
      </c>
      <c r="E40" s="5">
        <v>46045</v>
      </c>
      <c r="F40" s="7">
        <v>311</v>
      </c>
      <c r="G40" s="6" t="s">
        <v>228</v>
      </c>
      <c r="H40" s="10">
        <f t="shared" si="5"/>
        <v>749.51</v>
      </c>
      <c r="I40" s="9">
        <f t="shared" si="1"/>
        <v>74.950999999999993</v>
      </c>
      <c r="J40" s="9">
        <f t="shared" si="2"/>
        <v>674.55899999999997</v>
      </c>
      <c r="K40" s="13">
        <f t="shared" si="3"/>
        <v>333.44100000000003</v>
      </c>
      <c r="L40" s="14"/>
    </row>
    <row r="41" spans="1:12" x14ac:dyDescent="0.25">
      <c r="A41" s="3">
        <f t="shared" si="4"/>
        <v>40</v>
      </c>
      <c r="B41" s="3" t="s">
        <v>52</v>
      </c>
      <c r="C41" s="3" t="s">
        <v>48</v>
      </c>
      <c r="D41" s="4">
        <v>253</v>
      </c>
      <c r="E41" s="5">
        <v>46027</v>
      </c>
      <c r="F41" s="7">
        <v>149</v>
      </c>
      <c r="G41" s="6" t="s">
        <v>222</v>
      </c>
      <c r="H41" s="10">
        <f t="shared" si="5"/>
        <v>359.09000000000003</v>
      </c>
      <c r="I41" s="9">
        <f t="shared" si="1"/>
        <v>35.909000000000006</v>
      </c>
      <c r="J41" s="9">
        <f t="shared" si="2"/>
        <v>323.18100000000004</v>
      </c>
      <c r="K41" s="12">
        <f t="shared" si="3"/>
        <v>-70.18100000000004</v>
      </c>
      <c r="L41" s="14"/>
    </row>
    <row r="42" spans="1:12" x14ac:dyDescent="0.25">
      <c r="A42" s="3">
        <f t="shared" si="4"/>
        <v>41</v>
      </c>
      <c r="B42" s="3" t="s">
        <v>53</v>
      </c>
      <c r="C42" s="3" t="s">
        <v>48</v>
      </c>
      <c r="D42" s="4">
        <v>2741.46</v>
      </c>
      <c r="E42" s="5">
        <v>46027</v>
      </c>
      <c r="F42" s="7">
        <v>838</v>
      </c>
      <c r="G42" s="6" t="s">
        <v>228</v>
      </c>
      <c r="H42" s="10">
        <f t="shared" si="5"/>
        <v>2019.5800000000002</v>
      </c>
      <c r="I42" s="9">
        <f t="shared" si="1"/>
        <v>201.95800000000003</v>
      </c>
      <c r="J42" s="9">
        <f t="shared" si="2"/>
        <v>1817.6220000000001</v>
      </c>
      <c r="K42" s="13">
        <f t="shared" si="3"/>
        <v>923.83799999999997</v>
      </c>
      <c r="L42" s="14"/>
    </row>
    <row r="43" spans="1:12" x14ac:dyDescent="0.25">
      <c r="A43" s="3">
        <f t="shared" si="4"/>
        <v>42</v>
      </c>
      <c r="B43" s="3" t="s">
        <v>54</v>
      </c>
      <c r="C43" s="3" t="s">
        <v>48</v>
      </c>
      <c r="D43" s="4">
        <v>3003.7</v>
      </c>
      <c r="E43" s="5">
        <v>46027</v>
      </c>
      <c r="F43" s="7">
        <v>1278</v>
      </c>
      <c r="G43" s="6" t="s">
        <v>228</v>
      </c>
      <c r="H43" s="10">
        <f t="shared" si="5"/>
        <v>3079.98</v>
      </c>
      <c r="I43" s="9">
        <f t="shared" si="1"/>
        <v>307.99799999999999</v>
      </c>
      <c r="J43" s="9">
        <f t="shared" si="2"/>
        <v>2771.982</v>
      </c>
      <c r="K43" s="13">
        <f t="shared" si="3"/>
        <v>231.71799999999985</v>
      </c>
      <c r="L43" s="14"/>
    </row>
    <row r="44" spans="1:12" x14ac:dyDescent="0.25">
      <c r="A44" s="3">
        <f t="shared" si="4"/>
        <v>43</v>
      </c>
      <c r="B44" s="3" t="s">
        <v>55</v>
      </c>
      <c r="C44" s="3" t="s">
        <v>48</v>
      </c>
      <c r="D44" s="4">
        <v>2492.75</v>
      </c>
      <c r="E44" s="5">
        <v>46027</v>
      </c>
      <c r="F44" s="7">
        <v>838</v>
      </c>
      <c r="G44" s="6" t="s">
        <v>228</v>
      </c>
      <c r="H44" s="10">
        <f t="shared" si="5"/>
        <v>2019.5800000000002</v>
      </c>
      <c r="I44" s="9">
        <f t="shared" si="1"/>
        <v>201.95800000000003</v>
      </c>
      <c r="J44" s="9">
        <f t="shared" si="2"/>
        <v>1817.6220000000001</v>
      </c>
      <c r="K44" s="13">
        <f t="shared" si="3"/>
        <v>675.12799999999993</v>
      </c>
      <c r="L44" s="14"/>
    </row>
    <row r="45" spans="1:12" x14ac:dyDescent="0.25">
      <c r="A45" s="3">
        <f t="shared" si="4"/>
        <v>44</v>
      </c>
      <c r="B45" s="3" t="s">
        <v>56</v>
      </c>
      <c r="C45" s="3" t="s">
        <v>48</v>
      </c>
      <c r="D45" s="4">
        <v>1260</v>
      </c>
      <c r="E45" s="5">
        <v>46045</v>
      </c>
      <c r="F45" s="7">
        <v>588</v>
      </c>
      <c r="G45" s="6" t="s">
        <v>228</v>
      </c>
      <c r="H45" s="10">
        <f t="shared" si="5"/>
        <v>1417.0800000000002</v>
      </c>
      <c r="I45" s="9">
        <f t="shared" si="1"/>
        <v>141.70800000000003</v>
      </c>
      <c r="J45" s="9">
        <f t="shared" si="2"/>
        <v>1275.3720000000001</v>
      </c>
      <c r="K45" s="12">
        <f t="shared" si="3"/>
        <v>-15.372000000000071</v>
      </c>
      <c r="L45" s="14"/>
    </row>
    <row r="46" spans="1:12" x14ac:dyDescent="0.25">
      <c r="A46" s="3">
        <f t="shared" si="4"/>
        <v>45</v>
      </c>
      <c r="B46" s="3" t="s">
        <v>57</v>
      </c>
      <c r="C46" s="3" t="s">
        <v>48</v>
      </c>
      <c r="D46" s="4">
        <v>3374.5</v>
      </c>
      <c r="E46" s="5">
        <v>46027</v>
      </c>
      <c r="F46" s="7">
        <v>1699</v>
      </c>
      <c r="G46" s="6" t="s">
        <v>221</v>
      </c>
      <c r="H46" s="10">
        <f t="shared" si="5"/>
        <v>4094.59</v>
      </c>
      <c r="I46" s="9">
        <f t="shared" si="1"/>
        <v>409.459</v>
      </c>
      <c r="J46" s="9">
        <f t="shared" si="2"/>
        <v>3685.1310000000003</v>
      </c>
      <c r="K46" s="12">
        <f t="shared" si="3"/>
        <v>-310.63100000000031</v>
      </c>
      <c r="L46" s="14"/>
    </row>
    <row r="47" spans="1:12" x14ac:dyDescent="0.25">
      <c r="A47" s="3">
        <f t="shared" si="4"/>
        <v>46</v>
      </c>
      <c r="B47" s="3" t="s">
        <v>58</v>
      </c>
      <c r="C47" s="3" t="s">
        <v>48</v>
      </c>
      <c r="D47" s="4">
        <v>1376.27</v>
      </c>
      <c r="E47" s="5">
        <v>46027</v>
      </c>
      <c r="F47" s="7">
        <v>678</v>
      </c>
      <c r="G47" s="6" t="s">
        <v>228</v>
      </c>
      <c r="H47" s="10">
        <f t="shared" si="5"/>
        <v>1633.98</v>
      </c>
      <c r="I47" s="9">
        <f t="shared" si="1"/>
        <v>163.398</v>
      </c>
      <c r="J47" s="9">
        <f t="shared" si="2"/>
        <v>1470.5820000000001</v>
      </c>
      <c r="K47" s="12">
        <f t="shared" si="3"/>
        <v>-94.312000000000126</v>
      </c>
      <c r="L47" s="14"/>
    </row>
    <row r="48" spans="1:12" x14ac:dyDescent="0.25">
      <c r="A48" s="3">
        <f t="shared" si="4"/>
        <v>47</v>
      </c>
      <c r="B48" s="3" t="s">
        <v>59</v>
      </c>
      <c r="C48" s="3" t="s">
        <v>48</v>
      </c>
      <c r="D48" s="4">
        <v>1</v>
      </c>
      <c r="E48" s="5">
        <v>46027</v>
      </c>
      <c r="F48" s="7">
        <v>898</v>
      </c>
      <c r="G48" s="6" t="s">
        <v>228</v>
      </c>
      <c r="H48" s="10">
        <f t="shared" si="5"/>
        <v>2164.1800000000003</v>
      </c>
      <c r="I48" s="9">
        <f t="shared" si="1"/>
        <v>216.41800000000003</v>
      </c>
      <c r="J48" s="9">
        <f t="shared" si="2"/>
        <v>1947.7620000000002</v>
      </c>
      <c r="K48" s="12">
        <f t="shared" si="3"/>
        <v>-1946.7620000000002</v>
      </c>
      <c r="L48" s="14"/>
    </row>
    <row r="49" spans="1:12" x14ac:dyDescent="0.25">
      <c r="A49" s="3">
        <f t="shared" si="4"/>
        <v>48</v>
      </c>
      <c r="B49" s="3" t="s">
        <v>60</v>
      </c>
      <c r="C49" s="3" t="s">
        <v>61</v>
      </c>
      <c r="D49" s="4">
        <v>485.32</v>
      </c>
      <c r="E49" s="5">
        <v>46032</v>
      </c>
      <c r="F49" s="7">
        <v>299.99</v>
      </c>
      <c r="G49" s="6" t="s">
        <v>224</v>
      </c>
      <c r="H49" s="10">
        <f t="shared" si="5"/>
        <v>722.97590000000002</v>
      </c>
      <c r="I49" s="9">
        <f t="shared" si="1"/>
        <v>72.29759</v>
      </c>
      <c r="J49" s="9">
        <f t="shared" si="2"/>
        <v>650.67831000000001</v>
      </c>
      <c r="K49" s="12">
        <f t="shared" si="3"/>
        <v>-165.35831000000002</v>
      </c>
      <c r="L49" s="14"/>
    </row>
    <row r="50" spans="1:12" x14ac:dyDescent="0.25">
      <c r="A50" s="3">
        <f t="shared" si="4"/>
        <v>49</v>
      </c>
      <c r="B50" s="3" t="s">
        <v>62</v>
      </c>
      <c r="C50" s="3" t="s">
        <v>63</v>
      </c>
      <c r="D50" s="4">
        <v>4</v>
      </c>
      <c r="E50" s="5">
        <v>46026</v>
      </c>
      <c r="F50" s="7">
        <v>1049</v>
      </c>
      <c r="G50" s="6" t="s">
        <v>223</v>
      </c>
      <c r="H50" s="10">
        <f t="shared" si="5"/>
        <v>2528.09</v>
      </c>
      <c r="I50" s="9">
        <f t="shared" si="1"/>
        <v>252.80900000000003</v>
      </c>
      <c r="J50" s="9">
        <f t="shared" si="2"/>
        <v>2275.2809999999999</v>
      </c>
      <c r="K50" s="12">
        <f t="shared" si="3"/>
        <v>-2271.2809999999999</v>
      </c>
      <c r="L50" s="14"/>
    </row>
    <row r="51" spans="1:12" x14ac:dyDescent="0.25">
      <c r="A51" s="3">
        <f t="shared" si="4"/>
        <v>50</v>
      </c>
      <c r="B51" s="3" t="s">
        <v>64</v>
      </c>
      <c r="C51" s="3" t="s">
        <v>63</v>
      </c>
      <c r="D51" s="4">
        <v>1880</v>
      </c>
      <c r="E51" s="5">
        <v>46069</v>
      </c>
      <c r="F51" s="7">
        <v>1697</v>
      </c>
      <c r="G51" s="6" t="s">
        <v>219</v>
      </c>
      <c r="H51" s="10">
        <f t="shared" si="5"/>
        <v>4089.7700000000004</v>
      </c>
      <c r="I51" s="9">
        <f t="shared" si="1"/>
        <v>408.97700000000003</v>
      </c>
      <c r="J51" s="9">
        <f t="shared" si="2"/>
        <v>3680.7930000000006</v>
      </c>
      <c r="K51" s="12">
        <f t="shared" si="3"/>
        <v>-1800.7930000000006</v>
      </c>
      <c r="L51" s="14"/>
    </row>
    <row r="52" spans="1:12" x14ac:dyDescent="0.25">
      <c r="A52" s="3">
        <f t="shared" si="4"/>
        <v>51</v>
      </c>
      <c r="B52" s="3" t="s">
        <v>65</v>
      </c>
      <c r="C52" s="3" t="s">
        <v>63</v>
      </c>
      <c r="D52" s="4">
        <v>1980</v>
      </c>
      <c r="E52" s="5">
        <v>46069</v>
      </c>
      <c r="F52" s="7">
        <v>1937</v>
      </c>
      <c r="G52" s="6" t="s">
        <v>222</v>
      </c>
      <c r="H52" s="10">
        <f t="shared" si="5"/>
        <v>4668.17</v>
      </c>
      <c r="I52" s="9">
        <f t="shared" si="1"/>
        <v>466.81700000000001</v>
      </c>
      <c r="J52" s="9">
        <f t="shared" si="2"/>
        <v>4201.3530000000001</v>
      </c>
      <c r="K52" s="12">
        <f t="shared" si="3"/>
        <v>-2221.3530000000001</v>
      </c>
      <c r="L52" s="14"/>
    </row>
    <row r="53" spans="1:12" x14ac:dyDescent="0.25">
      <c r="A53" s="3">
        <f t="shared" si="4"/>
        <v>52</v>
      </c>
      <c r="B53" s="3" t="s">
        <v>230</v>
      </c>
      <c r="C53" s="3"/>
      <c r="D53" s="4">
        <v>1400</v>
      </c>
      <c r="E53" s="5">
        <v>46027</v>
      </c>
      <c r="F53" s="7">
        <v>847</v>
      </c>
      <c r="G53" s="6" t="s">
        <v>219</v>
      </c>
      <c r="H53" s="10">
        <f t="shared" si="5"/>
        <v>2041.2700000000002</v>
      </c>
      <c r="I53" s="9">
        <f t="shared" si="1"/>
        <v>204.12700000000001</v>
      </c>
      <c r="J53" s="9">
        <f t="shared" si="2"/>
        <v>1837.1430000000003</v>
      </c>
      <c r="K53" s="12">
        <f t="shared" si="3"/>
        <v>-437.14300000000026</v>
      </c>
      <c r="L53" s="14"/>
    </row>
    <row r="54" spans="1:12" x14ac:dyDescent="0.25">
      <c r="A54" s="3">
        <f t="shared" si="4"/>
        <v>53</v>
      </c>
      <c r="B54" s="3" t="s">
        <v>231</v>
      </c>
      <c r="C54" s="3" t="s">
        <v>63</v>
      </c>
      <c r="D54" s="4"/>
      <c r="E54" s="6"/>
      <c r="F54" s="7">
        <v>999</v>
      </c>
      <c r="G54" s="6" t="s">
        <v>222</v>
      </c>
      <c r="H54" s="10">
        <f t="shared" si="5"/>
        <v>2407.59</v>
      </c>
      <c r="I54" s="9">
        <f t="shared" si="1"/>
        <v>240.75900000000001</v>
      </c>
      <c r="J54" s="9">
        <f t="shared" si="2"/>
        <v>2166.8310000000001</v>
      </c>
      <c r="K54" s="12">
        <f t="shared" si="3"/>
        <v>-2166.8310000000001</v>
      </c>
      <c r="L54" s="14"/>
    </row>
    <row r="55" spans="1:12" x14ac:dyDescent="0.25">
      <c r="A55" s="3">
        <f t="shared" si="4"/>
        <v>54</v>
      </c>
      <c r="B55" s="3" t="s">
        <v>66</v>
      </c>
      <c r="C55" s="3" t="s">
        <v>63</v>
      </c>
      <c r="D55" s="4">
        <v>4</v>
      </c>
      <c r="E55" s="5">
        <v>46030</v>
      </c>
      <c r="F55" s="7">
        <v>1797</v>
      </c>
      <c r="G55" s="6" t="s">
        <v>219</v>
      </c>
      <c r="H55" s="10">
        <f t="shared" si="5"/>
        <v>4330.7700000000004</v>
      </c>
      <c r="I55" s="9">
        <f t="shared" si="1"/>
        <v>433.07700000000006</v>
      </c>
      <c r="J55" s="9">
        <f t="shared" si="2"/>
        <v>3897.6930000000002</v>
      </c>
      <c r="K55" s="12">
        <f t="shared" si="3"/>
        <v>-3893.6930000000002</v>
      </c>
      <c r="L55" s="14"/>
    </row>
    <row r="56" spans="1:12" x14ac:dyDescent="0.25">
      <c r="A56" s="3">
        <f t="shared" si="4"/>
        <v>55</v>
      </c>
      <c r="B56" s="3" t="s">
        <v>67</v>
      </c>
      <c r="C56" s="3"/>
      <c r="D56" s="4">
        <v>1200</v>
      </c>
      <c r="E56" s="5">
        <v>46027</v>
      </c>
      <c r="F56" s="7">
        <v>1149.98</v>
      </c>
      <c r="G56" s="6" t="s">
        <v>224</v>
      </c>
      <c r="H56" s="10">
        <f t="shared" si="5"/>
        <v>2771.4518000000003</v>
      </c>
      <c r="I56" s="9">
        <f t="shared" si="1"/>
        <v>277.14518000000004</v>
      </c>
      <c r="J56" s="9">
        <f t="shared" si="2"/>
        <v>2494.3066200000003</v>
      </c>
      <c r="K56" s="12">
        <f t="shared" si="3"/>
        <v>-1294.3066200000003</v>
      </c>
      <c r="L56" s="14"/>
    </row>
    <row r="57" spans="1:12" x14ac:dyDescent="0.25">
      <c r="A57" s="3">
        <f t="shared" si="4"/>
        <v>56</v>
      </c>
      <c r="B57" s="3" t="s">
        <v>68</v>
      </c>
      <c r="C57" s="3" t="s">
        <v>63</v>
      </c>
      <c r="D57" s="4"/>
      <c r="E57" s="6"/>
      <c r="F57" s="7"/>
      <c r="G57" s="6"/>
      <c r="H57" s="10"/>
      <c r="I57" s="9"/>
      <c r="J57" s="9"/>
      <c r="K57" s="9"/>
      <c r="L57" s="14"/>
    </row>
    <row r="58" spans="1:12" x14ac:dyDescent="0.25">
      <c r="A58" s="3">
        <f t="shared" si="4"/>
        <v>57</v>
      </c>
      <c r="B58" s="3" t="s">
        <v>69</v>
      </c>
      <c r="C58" s="3" t="s">
        <v>63</v>
      </c>
      <c r="D58" s="4">
        <v>3100</v>
      </c>
      <c r="E58" s="5">
        <v>46048</v>
      </c>
      <c r="F58" s="7">
        <v>1599</v>
      </c>
      <c r="G58" s="6" t="s">
        <v>221</v>
      </c>
      <c r="H58" s="10">
        <f t="shared" si="5"/>
        <v>3853.59</v>
      </c>
      <c r="I58" s="9">
        <f t="shared" si="1"/>
        <v>385.35900000000004</v>
      </c>
      <c r="J58" s="9">
        <f t="shared" si="2"/>
        <v>3468.2310000000002</v>
      </c>
      <c r="K58" s="12">
        <f t="shared" si="3"/>
        <v>-368.23100000000022</v>
      </c>
      <c r="L58" s="14"/>
    </row>
    <row r="59" spans="1:12" x14ac:dyDescent="0.25">
      <c r="A59" s="3">
        <f t="shared" si="4"/>
        <v>58</v>
      </c>
      <c r="B59" s="3" t="s">
        <v>70</v>
      </c>
      <c r="C59" s="3" t="s">
        <v>63</v>
      </c>
      <c r="D59" s="4">
        <v>3250</v>
      </c>
      <c r="E59" s="5">
        <v>46069</v>
      </c>
      <c r="F59" s="7">
        <v>2749.99</v>
      </c>
      <c r="G59" s="6" t="s">
        <v>224</v>
      </c>
      <c r="H59" s="10">
        <f t="shared" si="5"/>
        <v>6627.4758999999995</v>
      </c>
      <c r="I59" s="9">
        <f t="shared" si="1"/>
        <v>662.74758999999995</v>
      </c>
      <c r="J59" s="9">
        <f t="shared" si="2"/>
        <v>5964.7283099999995</v>
      </c>
      <c r="K59" s="12">
        <f t="shared" si="3"/>
        <v>-2714.7283099999995</v>
      </c>
      <c r="L59" s="14"/>
    </row>
    <row r="60" spans="1:12" x14ac:dyDescent="0.25">
      <c r="A60" s="3">
        <f t="shared" si="4"/>
        <v>59</v>
      </c>
      <c r="B60" s="3" t="s">
        <v>71</v>
      </c>
      <c r="C60" s="3" t="s">
        <v>72</v>
      </c>
      <c r="D60" s="4">
        <v>449</v>
      </c>
      <c r="E60" s="5">
        <v>46027</v>
      </c>
      <c r="F60" s="7">
        <v>498</v>
      </c>
      <c r="G60" s="6" t="s">
        <v>219</v>
      </c>
      <c r="H60" s="10">
        <f t="shared" si="5"/>
        <v>1200.18</v>
      </c>
      <c r="I60" s="9">
        <f t="shared" si="1"/>
        <v>120.018</v>
      </c>
      <c r="J60" s="9">
        <f t="shared" si="2"/>
        <v>1080.162</v>
      </c>
      <c r="K60" s="12">
        <f t="shared" si="3"/>
        <v>-631.16200000000003</v>
      </c>
      <c r="L60" s="14"/>
    </row>
    <row r="61" spans="1:12" x14ac:dyDescent="0.25">
      <c r="A61" s="3">
        <f t="shared" si="4"/>
        <v>60</v>
      </c>
      <c r="B61" s="3" t="s">
        <v>73</v>
      </c>
      <c r="C61" s="3" t="s">
        <v>74</v>
      </c>
      <c r="D61" s="4">
        <v>629</v>
      </c>
      <c r="E61" s="5">
        <v>46027</v>
      </c>
      <c r="F61" s="7">
        <v>579</v>
      </c>
      <c r="G61" s="6" t="s">
        <v>223</v>
      </c>
      <c r="H61" s="10">
        <f t="shared" si="5"/>
        <v>1395.39</v>
      </c>
      <c r="I61" s="9">
        <f t="shared" si="1"/>
        <v>139.53900000000002</v>
      </c>
      <c r="J61" s="9">
        <f t="shared" si="2"/>
        <v>1255.8510000000001</v>
      </c>
      <c r="K61" s="12">
        <f t="shared" si="3"/>
        <v>-626.85100000000011</v>
      </c>
      <c r="L61" s="14"/>
    </row>
    <row r="62" spans="1:12" x14ac:dyDescent="0.25">
      <c r="A62" s="3">
        <f t="shared" si="4"/>
        <v>61</v>
      </c>
      <c r="B62" s="3" t="s">
        <v>75</v>
      </c>
      <c r="C62" s="3" t="s">
        <v>74</v>
      </c>
      <c r="D62" s="4">
        <v>4</v>
      </c>
      <c r="E62" s="5">
        <v>46026</v>
      </c>
      <c r="F62" s="7">
        <v>38.65</v>
      </c>
      <c r="G62" s="6" t="s">
        <v>232</v>
      </c>
      <c r="H62" s="10">
        <f t="shared" si="5"/>
        <v>93.146500000000003</v>
      </c>
      <c r="I62" s="9">
        <f t="shared" si="1"/>
        <v>9.3146500000000003</v>
      </c>
      <c r="J62" s="9">
        <f t="shared" si="2"/>
        <v>83.831850000000003</v>
      </c>
      <c r="K62" s="12">
        <f t="shared" si="3"/>
        <v>-79.831850000000003</v>
      </c>
      <c r="L62" s="14"/>
    </row>
    <row r="63" spans="1:12" x14ac:dyDescent="0.25">
      <c r="A63" s="3">
        <f t="shared" si="4"/>
        <v>62</v>
      </c>
      <c r="B63" s="3" t="s">
        <v>76</v>
      </c>
      <c r="C63" s="3" t="s">
        <v>77</v>
      </c>
      <c r="D63" s="4">
        <v>4</v>
      </c>
      <c r="E63" s="5">
        <v>46029</v>
      </c>
      <c r="F63" s="7">
        <v>579</v>
      </c>
      <c r="G63" s="6" t="s">
        <v>223</v>
      </c>
      <c r="H63" s="10">
        <f t="shared" si="5"/>
        <v>1395.39</v>
      </c>
      <c r="I63" s="9">
        <f t="shared" si="1"/>
        <v>139.53900000000002</v>
      </c>
      <c r="J63" s="9">
        <f t="shared" si="2"/>
        <v>1255.8510000000001</v>
      </c>
      <c r="K63" s="12">
        <f t="shared" si="3"/>
        <v>-1251.8510000000001</v>
      </c>
      <c r="L63" s="14"/>
    </row>
    <row r="64" spans="1:12" x14ac:dyDescent="0.25">
      <c r="A64" s="3">
        <f t="shared" si="4"/>
        <v>63</v>
      </c>
      <c r="B64" s="3" t="s">
        <v>78</v>
      </c>
      <c r="C64" s="3" t="s">
        <v>77</v>
      </c>
      <c r="D64" s="4">
        <v>269.5</v>
      </c>
      <c r="E64" s="5">
        <v>46027</v>
      </c>
      <c r="F64" s="7">
        <v>161.88</v>
      </c>
      <c r="G64" s="6" t="s">
        <v>217</v>
      </c>
      <c r="H64" s="10">
        <f t="shared" si="5"/>
        <v>390.13080000000002</v>
      </c>
      <c r="I64" s="9">
        <f t="shared" si="1"/>
        <v>39.013080000000002</v>
      </c>
      <c r="J64" s="9">
        <f t="shared" si="2"/>
        <v>351.11772000000002</v>
      </c>
      <c r="K64" s="12">
        <f t="shared" si="3"/>
        <v>-81.61772000000002</v>
      </c>
      <c r="L64" s="14"/>
    </row>
    <row r="65" spans="1:12" x14ac:dyDescent="0.25">
      <c r="A65" s="3">
        <f t="shared" si="4"/>
        <v>64</v>
      </c>
      <c r="B65" s="3" t="s">
        <v>233</v>
      </c>
      <c r="C65" s="3" t="s">
        <v>77</v>
      </c>
      <c r="D65" s="4">
        <v>1258</v>
      </c>
      <c r="E65" s="5">
        <v>46027</v>
      </c>
      <c r="F65" s="7">
        <v>2297</v>
      </c>
      <c r="G65" s="6" t="s">
        <v>222</v>
      </c>
      <c r="H65" s="10">
        <f t="shared" si="5"/>
        <v>5535.77</v>
      </c>
      <c r="I65" s="9">
        <f t="shared" si="1"/>
        <v>553.577</v>
      </c>
      <c r="J65" s="9">
        <f t="shared" si="2"/>
        <v>4982.1930000000002</v>
      </c>
      <c r="K65" s="12">
        <f t="shared" si="3"/>
        <v>-3724.1930000000002</v>
      </c>
      <c r="L65" s="14"/>
    </row>
    <row r="66" spans="1:12" x14ac:dyDescent="0.25">
      <c r="A66" s="3">
        <f t="shared" si="4"/>
        <v>65</v>
      </c>
      <c r="B66" s="3" t="s">
        <v>234</v>
      </c>
      <c r="C66" s="3" t="s">
        <v>77</v>
      </c>
      <c r="D66" s="4">
        <v>1258</v>
      </c>
      <c r="E66" s="5">
        <v>46027</v>
      </c>
      <c r="F66" s="7">
        <v>2497</v>
      </c>
      <c r="G66" s="6" t="s">
        <v>222</v>
      </c>
      <c r="H66" s="10">
        <f t="shared" si="5"/>
        <v>6017.77</v>
      </c>
      <c r="I66" s="9">
        <f t="shared" si="1"/>
        <v>601.77700000000004</v>
      </c>
      <c r="J66" s="9">
        <f t="shared" si="2"/>
        <v>5415.9930000000004</v>
      </c>
      <c r="K66" s="12">
        <f t="shared" si="3"/>
        <v>-4157.9930000000004</v>
      </c>
      <c r="L66" s="14"/>
    </row>
    <row r="67" spans="1:12" x14ac:dyDescent="0.25">
      <c r="A67" s="3">
        <f t="shared" si="4"/>
        <v>66</v>
      </c>
      <c r="B67" s="3" t="s">
        <v>79</v>
      </c>
      <c r="C67" s="3" t="s">
        <v>77</v>
      </c>
      <c r="D67" s="4">
        <v>575</v>
      </c>
      <c r="E67" s="5">
        <v>46027</v>
      </c>
      <c r="F67" s="7">
        <v>478</v>
      </c>
      <c r="G67" s="6" t="s">
        <v>228</v>
      </c>
      <c r="H67" s="10">
        <f t="shared" ref="H67:H130" si="6">F67*2.41</f>
        <v>1151.98</v>
      </c>
      <c r="I67" s="9">
        <f t="shared" ref="I67:I130" si="7">H67/10</f>
        <v>115.19800000000001</v>
      </c>
      <c r="J67" s="9">
        <f t="shared" ref="J67:J130" si="8">H67-I67</f>
        <v>1036.7819999999999</v>
      </c>
      <c r="K67" s="12">
        <f t="shared" ref="K67:K130" si="9">D67-J67</f>
        <v>-461.78199999999993</v>
      </c>
      <c r="L67" s="14"/>
    </row>
    <row r="68" spans="1:12" x14ac:dyDescent="0.25">
      <c r="A68" s="3">
        <f t="shared" ref="A68:A131" si="10">A67+1</f>
        <v>67</v>
      </c>
      <c r="B68" s="3" t="s">
        <v>80</v>
      </c>
      <c r="C68" s="3" t="s">
        <v>81</v>
      </c>
      <c r="D68" s="4">
        <v>59.36</v>
      </c>
      <c r="E68" s="5">
        <v>46027</v>
      </c>
      <c r="F68" s="7">
        <v>29</v>
      </c>
      <c r="G68" s="6" t="s">
        <v>228</v>
      </c>
      <c r="H68" s="10">
        <f t="shared" si="6"/>
        <v>69.89</v>
      </c>
      <c r="I68" s="9">
        <f t="shared" si="7"/>
        <v>6.9889999999999999</v>
      </c>
      <c r="J68" s="9">
        <f t="shared" si="8"/>
        <v>62.901000000000003</v>
      </c>
      <c r="K68" s="12">
        <f t="shared" si="9"/>
        <v>-3.5410000000000039</v>
      </c>
      <c r="L68" s="14"/>
    </row>
    <row r="69" spans="1:12" x14ac:dyDescent="0.25">
      <c r="A69" s="3">
        <f t="shared" si="10"/>
        <v>68</v>
      </c>
      <c r="B69" s="3" t="s">
        <v>82</v>
      </c>
      <c r="C69" s="3" t="s">
        <v>83</v>
      </c>
      <c r="D69" s="4">
        <v>636</v>
      </c>
      <c r="E69" s="5">
        <v>46058</v>
      </c>
      <c r="F69" s="7">
        <v>106</v>
      </c>
      <c r="G69" s="6" t="s">
        <v>228</v>
      </c>
      <c r="H69" s="10">
        <f t="shared" si="6"/>
        <v>255.46</v>
      </c>
      <c r="I69" s="9">
        <f t="shared" si="7"/>
        <v>25.545999999999999</v>
      </c>
      <c r="J69" s="9">
        <f t="shared" si="8"/>
        <v>229.91400000000002</v>
      </c>
      <c r="K69" s="13">
        <f t="shared" si="9"/>
        <v>406.08600000000001</v>
      </c>
      <c r="L69" s="14"/>
    </row>
    <row r="70" spans="1:12" x14ac:dyDescent="0.25">
      <c r="A70" s="3">
        <f t="shared" si="10"/>
        <v>69</v>
      </c>
      <c r="B70" s="3" t="s">
        <v>84</v>
      </c>
      <c r="C70" s="3" t="s">
        <v>81</v>
      </c>
      <c r="D70" s="4">
        <v>637</v>
      </c>
      <c r="E70" s="5">
        <v>46062</v>
      </c>
      <c r="F70" s="7">
        <v>239</v>
      </c>
      <c r="G70" s="6" t="s">
        <v>219</v>
      </c>
      <c r="H70" s="10">
        <f t="shared" si="6"/>
        <v>575.99</v>
      </c>
      <c r="I70" s="9">
        <f t="shared" si="7"/>
        <v>57.599000000000004</v>
      </c>
      <c r="J70" s="9">
        <f t="shared" si="8"/>
        <v>518.39099999999996</v>
      </c>
      <c r="K70" s="13">
        <f t="shared" si="9"/>
        <v>118.60900000000004</v>
      </c>
      <c r="L70" s="14"/>
    </row>
    <row r="71" spans="1:12" x14ac:dyDescent="0.25">
      <c r="A71" s="3">
        <f t="shared" si="10"/>
        <v>70</v>
      </c>
      <c r="B71" s="3" t="s">
        <v>85</v>
      </c>
      <c r="C71" s="3" t="s">
        <v>81</v>
      </c>
      <c r="D71" s="4">
        <v>10</v>
      </c>
      <c r="E71" s="5">
        <v>46027</v>
      </c>
      <c r="F71" s="7">
        <v>236</v>
      </c>
      <c r="G71" s="6" t="s">
        <v>219</v>
      </c>
      <c r="H71" s="10">
        <f t="shared" si="6"/>
        <v>568.76</v>
      </c>
      <c r="I71" s="9">
        <f t="shared" si="7"/>
        <v>56.875999999999998</v>
      </c>
      <c r="J71" s="9">
        <f t="shared" si="8"/>
        <v>511.88400000000001</v>
      </c>
      <c r="K71" s="12">
        <f t="shared" si="9"/>
        <v>-501.88400000000001</v>
      </c>
      <c r="L71" s="14"/>
    </row>
    <row r="72" spans="1:12" x14ac:dyDescent="0.25">
      <c r="A72" s="3">
        <f t="shared" si="10"/>
        <v>71</v>
      </c>
      <c r="B72" s="3" t="s">
        <v>86</v>
      </c>
      <c r="C72" s="3" t="s">
        <v>81</v>
      </c>
      <c r="D72" s="4">
        <v>437.1</v>
      </c>
      <c r="E72" s="5">
        <v>46027</v>
      </c>
      <c r="F72" s="7">
        <v>198</v>
      </c>
      <c r="G72" s="6" t="s">
        <v>228</v>
      </c>
      <c r="H72" s="10">
        <f t="shared" si="6"/>
        <v>477.18</v>
      </c>
      <c r="I72" s="9">
        <f t="shared" si="7"/>
        <v>47.718000000000004</v>
      </c>
      <c r="J72" s="9">
        <f t="shared" si="8"/>
        <v>429.46199999999999</v>
      </c>
      <c r="K72" s="13">
        <f t="shared" si="9"/>
        <v>7.6380000000000337</v>
      </c>
      <c r="L72" s="14"/>
    </row>
    <row r="73" spans="1:12" x14ac:dyDescent="0.25">
      <c r="A73" s="3">
        <f t="shared" si="10"/>
        <v>72</v>
      </c>
      <c r="B73" s="3" t="s">
        <v>87</v>
      </c>
      <c r="C73" s="3"/>
      <c r="D73" s="4">
        <v>1000</v>
      </c>
      <c r="E73" s="5">
        <v>46027</v>
      </c>
      <c r="F73" s="7">
        <v>498</v>
      </c>
      <c r="G73" s="6" t="s">
        <v>219</v>
      </c>
      <c r="H73" s="10">
        <f t="shared" si="6"/>
        <v>1200.18</v>
      </c>
      <c r="I73" s="9">
        <f t="shared" si="7"/>
        <v>120.018</v>
      </c>
      <c r="J73" s="9">
        <f t="shared" si="8"/>
        <v>1080.162</v>
      </c>
      <c r="K73" s="12">
        <f t="shared" si="9"/>
        <v>-80.162000000000035</v>
      </c>
      <c r="L73" s="14"/>
    </row>
    <row r="74" spans="1:12" x14ac:dyDescent="0.25">
      <c r="A74" s="3">
        <f t="shared" si="10"/>
        <v>73</v>
      </c>
      <c r="B74" s="3" t="s">
        <v>88</v>
      </c>
      <c r="C74" s="3" t="s">
        <v>7</v>
      </c>
      <c r="D74" s="4">
        <v>1200</v>
      </c>
      <c r="E74" s="5">
        <v>46053</v>
      </c>
      <c r="F74" s="7">
        <v>499</v>
      </c>
      <c r="G74" s="6" t="s">
        <v>222</v>
      </c>
      <c r="H74" s="10">
        <f t="shared" si="6"/>
        <v>1202.5900000000001</v>
      </c>
      <c r="I74" s="9">
        <f t="shared" si="7"/>
        <v>120.25900000000001</v>
      </c>
      <c r="J74" s="9">
        <f t="shared" si="8"/>
        <v>1082.3310000000001</v>
      </c>
      <c r="K74" s="13">
        <f t="shared" si="9"/>
        <v>117.66899999999987</v>
      </c>
      <c r="L74" s="14"/>
    </row>
    <row r="75" spans="1:12" x14ac:dyDescent="0.25">
      <c r="A75" s="3">
        <f t="shared" si="10"/>
        <v>74</v>
      </c>
      <c r="B75" s="3" t="s">
        <v>89</v>
      </c>
      <c r="C75" s="3" t="s">
        <v>7</v>
      </c>
      <c r="D75" s="4">
        <v>1545.85</v>
      </c>
      <c r="E75" s="5">
        <v>46039</v>
      </c>
      <c r="F75" s="7">
        <v>919</v>
      </c>
      <c r="G75" s="6" t="s">
        <v>223</v>
      </c>
      <c r="H75" s="10">
        <f t="shared" si="6"/>
        <v>2214.79</v>
      </c>
      <c r="I75" s="9">
        <f t="shared" si="7"/>
        <v>221.47899999999998</v>
      </c>
      <c r="J75" s="9">
        <f t="shared" si="8"/>
        <v>1993.3109999999999</v>
      </c>
      <c r="K75" s="12">
        <f t="shared" si="9"/>
        <v>-447.46100000000001</v>
      </c>
      <c r="L75" s="14"/>
    </row>
    <row r="76" spans="1:12" x14ac:dyDescent="0.25">
      <c r="A76" s="3">
        <f t="shared" si="10"/>
        <v>75</v>
      </c>
      <c r="B76" s="3" t="s">
        <v>90</v>
      </c>
      <c r="C76" s="3" t="s">
        <v>7</v>
      </c>
      <c r="D76" s="4">
        <v>2157</v>
      </c>
      <c r="E76" s="5">
        <v>46039</v>
      </c>
      <c r="F76" s="7">
        <v>1279.99</v>
      </c>
      <c r="G76" s="6" t="s">
        <v>224</v>
      </c>
      <c r="H76" s="10">
        <f t="shared" si="6"/>
        <v>3084.7759000000001</v>
      </c>
      <c r="I76" s="9">
        <f t="shared" si="7"/>
        <v>308.47759000000002</v>
      </c>
      <c r="J76" s="9">
        <f t="shared" si="8"/>
        <v>2776.2983100000001</v>
      </c>
      <c r="K76" s="12">
        <f t="shared" si="9"/>
        <v>-619.29831000000013</v>
      </c>
      <c r="L76" s="14"/>
    </row>
    <row r="77" spans="1:12" x14ac:dyDescent="0.25">
      <c r="A77" s="3">
        <f t="shared" si="10"/>
        <v>76</v>
      </c>
      <c r="B77" s="3" t="s">
        <v>91</v>
      </c>
      <c r="C77" s="3" t="s">
        <v>7</v>
      </c>
      <c r="D77" s="4">
        <v>3120</v>
      </c>
      <c r="E77" s="5">
        <v>46043</v>
      </c>
      <c r="F77" s="7">
        <v>1799.99</v>
      </c>
      <c r="G77" s="6" t="s">
        <v>224</v>
      </c>
      <c r="H77" s="10">
        <f t="shared" si="6"/>
        <v>4337.9759000000004</v>
      </c>
      <c r="I77" s="9">
        <f t="shared" si="7"/>
        <v>433.79759000000001</v>
      </c>
      <c r="J77" s="9">
        <f t="shared" si="8"/>
        <v>3904.1783100000002</v>
      </c>
      <c r="K77" s="12">
        <f t="shared" si="9"/>
        <v>-784.17831000000024</v>
      </c>
      <c r="L77" s="14"/>
    </row>
    <row r="78" spans="1:12" x14ac:dyDescent="0.25">
      <c r="A78" s="3">
        <f t="shared" si="10"/>
        <v>77</v>
      </c>
      <c r="B78" s="3" t="s">
        <v>92</v>
      </c>
      <c r="C78" s="3" t="s">
        <v>7</v>
      </c>
      <c r="D78" s="4">
        <v>2700</v>
      </c>
      <c r="E78" s="5">
        <v>46069</v>
      </c>
      <c r="F78" s="7">
        <v>1597</v>
      </c>
      <c r="G78" s="6" t="s">
        <v>219</v>
      </c>
      <c r="H78" s="10">
        <f t="shared" si="6"/>
        <v>3848.7700000000004</v>
      </c>
      <c r="I78" s="9">
        <f t="shared" si="7"/>
        <v>384.87700000000007</v>
      </c>
      <c r="J78" s="9">
        <f t="shared" si="8"/>
        <v>3463.8930000000005</v>
      </c>
      <c r="K78" s="12">
        <f t="shared" si="9"/>
        <v>-763.89300000000048</v>
      </c>
      <c r="L78" s="14"/>
    </row>
    <row r="79" spans="1:12" x14ac:dyDescent="0.25">
      <c r="A79" s="3">
        <f t="shared" si="10"/>
        <v>78</v>
      </c>
      <c r="B79" s="3" t="s">
        <v>93</v>
      </c>
      <c r="C79" s="3" t="s">
        <v>7</v>
      </c>
      <c r="D79" s="4">
        <v>1710</v>
      </c>
      <c r="E79" s="5">
        <v>46030</v>
      </c>
      <c r="F79" s="7">
        <v>699</v>
      </c>
      <c r="G79" s="6" t="s">
        <v>222</v>
      </c>
      <c r="H79" s="10">
        <f t="shared" si="6"/>
        <v>1684.5900000000001</v>
      </c>
      <c r="I79" s="9">
        <f t="shared" si="7"/>
        <v>168.459</v>
      </c>
      <c r="J79" s="9">
        <f t="shared" si="8"/>
        <v>1516.1310000000001</v>
      </c>
      <c r="K79" s="13">
        <f t="shared" si="9"/>
        <v>193.86899999999991</v>
      </c>
      <c r="L79" s="14"/>
    </row>
    <row r="80" spans="1:12" x14ac:dyDescent="0.25">
      <c r="A80" s="3">
        <f t="shared" si="10"/>
        <v>79</v>
      </c>
      <c r="B80" s="3" t="s">
        <v>94</v>
      </c>
      <c r="C80" s="3" t="s">
        <v>7</v>
      </c>
      <c r="D80" s="4">
        <v>1618</v>
      </c>
      <c r="E80" s="5">
        <v>46041</v>
      </c>
      <c r="F80" s="7">
        <v>949</v>
      </c>
      <c r="G80" s="6" t="s">
        <v>222</v>
      </c>
      <c r="H80" s="10">
        <f t="shared" si="6"/>
        <v>2287.09</v>
      </c>
      <c r="I80" s="9">
        <f t="shared" si="7"/>
        <v>228.709</v>
      </c>
      <c r="J80" s="9">
        <f t="shared" si="8"/>
        <v>2058.3810000000003</v>
      </c>
      <c r="K80" s="12">
        <f t="shared" si="9"/>
        <v>-440.38100000000031</v>
      </c>
      <c r="L80" s="14"/>
    </row>
    <row r="81" spans="1:12" x14ac:dyDescent="0.25">
      <c r="A81" s="3">
        <f t="shared" si="10"/>
        <v>80</v>
      </c>
      <c r="B81" s="3" t="s">
        <v>95</v>
      </c>
      <c r="C81" s="3"/>
      <c r="D81" s="4">
        <v>1438</v>
      </c>
      <c r="E81" s="5">
        <v>46055</v>
      </c>
      <c r="F81" s="7"/>
      <c r="G81" s="6"/>
      <c r="H81" s="10"/>
      <c r="I81" s="9"/>
      <c r="J81" s="9"/>
      <c r="K81" s="9"/>
      <c r="L81" s="14"/>
    </row>
    <row r="82" spans="1:12" x14ac:dyDescent="0.25">
      <c r="A82" s="3">
        <f t="shared" si="10"/>
        <v>81</v>
      </c>
      <c r="B82" s="3" t="s">
        <v>96</v>
      </c>
      <c r="C82" s="3"/>
      <c r="D82" s="4"/>
      <c r="E82" s="6"/>
      <c r="F82" s="7"/>
      <c r="G82" s="6"/>
      <c r="H82" s="10"/>
      <c r="I82" s="9"/>
      <c r="J82" s="9"/>
      <c r="K82" s="9"/>
      <c r="L82" s="14"/>
    </row>
    <row r="83" spans="1:12" x14ac:dyDescent="0.25">
      <c r="A83" s="3">
        <f t="shared" si="10"/>
        <v>82</v>
      </c>
      <c r="B83" s="3" t="s">
        <v>97</v>
      </c>
      <c r="C83" s="3"/>
      <c r="D83" s="4"/>
      <c r="E83" s="6"/>
      <c r="F83" s="7">
        <v>1347</v>
      </c>
      <c r="G83" s="6" t="s">
        <v>219</v>
      </c>
      <c r="H83" s="10">
        <f t="shared" si="6"/>
        <v>3246.27</v>
      </c>
      <c r="I83" s="9">
        <f t="shared" si="7"/>
        <v>324.62700000000001</v>
      </c>
      <c r="J83" s="9">
        <f t="shared" si="8"/>
        <v>2921.643</v>
      </c>
      <c r="K83" s="12">
        <f t="shared" si="9"/>
        <v>-2921.643</v>
      </c>
      <c r="L83" s="14"/>
    </row>
    <row r="84" spans="1:12" x14ac:dyDescent="0.25">
      <c r="A84" s="3">
        <f t="shared" si="10"/>
        <v>83</v>
      </c>
      <c r="B84" s="3" t="s">
        <v>98</v>
      </c>
      <c r="C84" s="3"/>
      <c r="D84" s="4">
        <v>1000</v>
      </c>
      <c r="E84" s="5">
        <v>46057</v>
      </c>
      <c r="F84" s="7">
        <v>1547</v>
      </c>
      <c r="G84" s="6" t="s">
        <v>219</v>
      </c>
      <c r="H84" s="10">
        <f t="shared" si="6"/>
        <v>3728.2700000000004</v>
      </c>
      <c r="I84" s="9">
        <f t="shared" si="7"/>
        <v>372.82700000000006</v>
      </c>
      <c r="J84" s="9">
        <f t="shared" si="8"/>
        <v>3355.4430000000002</v>
      </c>
      <c r="K84" s="12">
        <f t="shared" si="9"/>
        <v>-2355.4430000000002</v>
      </c>
      <c r="L84" s="14"/>
    </row>
    <row r="85" spans="1:12" x14ac:dyDescent="0.25">
      <c r="A85" s="3">
        <f t="shared" si="10"/>
        <v>84</v>
      </c>
      <c r="B85" s="3" t="s">
        <v>99</v>
      </c>
      <c r="C85" s="3" t="s">
        <v>7</v>
      </c>
      <c r="D85" s="4">
        <v>3595</v>
      </c>
      <c r="E85" s="5">
        <v>46027</v>
      </c>
      <c r="F85" s="7">
        <v>2116.9499999999998</v>
      </c>
      <c r="G85" s="6" t="s">
        <v>221</v>
      </c>
      <c r="H85" s="10">
        <f t="shared" si="6"/>
        <v>5101.8495000000003</v>
      </c>
      <c r="I85" s="9">
        <f t="shared" si="7"/>
        <v>510.18495000000001</v>
      </c>
      <c r="J85" s="9">
        <f t="shared" si="8"/>
        <v>4591.6645500000004</v>
      </c>
      <c r="K85" s="12">
        <f t="shared" si="9"/>
        <v>-996.66455000000042</v>
      </c>
      <c r="L85" s="14"/>
    </row>
    <row r="86" spans="1:12" x14ac:dyDescent="0.25">
      <c r="A86" s="3">
        <f t="shared" si="10"/>
        <v>85</v>
      </c>
      <c r="B86" s="3" t="s">
        <v>100</v>
      </c>
      <c r="C86" s="3" t="s">
        <v>7</v>
      </c>
      <c r="D86" s="4">
        <v>5206</v>
      </c>
      <c r="E86" s="5">
        <v>46027</v>
      </c>
      <c r="F86" s="7">
        <v>4129</v>
      </c>
      <c r="G86" s="6" t="s">
        <v>222</v>
      </c>
      <c r="H86" s="10">
        <f t="shared" si="6"/>
        <v>9950.8900000000012</v>
      </c>
      <c r="I86" s="9">
        <f t="shared" si="7"/>
        <v>995.08900000000017</v>
      </c>
      <c r="J86" s="9">
        <f t="shared" si="8"/>
        <v>8955.8010000000013</v>
      </c>
      <c r="K86" s="12">
        <f t="shared" si="9"/>
        <v>-3749.8010000000013</v>
      </c>
      <c r="L86" s="14"/>
    </row>
    <row r="87" spans="1:12" x14ac:dyDescent="0.25">
      <c r="A87" s="3">
        <f t="shared" si="10"/>
        <v>86</v>
      </c>
      <c r="B87" s="3" t="s">
        <v>101</v>
      </c>
      <c r="C87" s="3" t="s">
        <v>7</v>
      </c>
      <c r="D87" s="4">
        <v>3402</v>
      </c>
      <c r="E87" s="5">
        <v>46030</v>
      </c>
      <c r="F87" s="7">
        <v>2549</v>
      </c>
      <c r="G87" s="6" t="s">
        <v>228</v>
      </c>
      <c r="H87" s="10">
        <f t="shared" si="6"/>
        <v>6143.09</v>
      </c>
      <c r="I87" s="9">
        <f t="shared" si="7"/>
        <v>614.30899999999997</v>
      </c>
      <c r="J87" s="9">
        <f t="shared" si="8"/>
        <v>5528.7809999999999</v>
      </c>
      <c r="K87" s="12">
        <f t="shared" si="9"/>
        <v>-2126.7809999999999</v>
      </c>
      <c r="L87" s="14"/>
    </row>
    <row r="88" spans="1:12" x14ac:dyDescent="0.25">
      <c r="A88" s="3">
        <f t="shared" si="10"/>
        <v>87</v>
      </c>
      <c r="B88" s="3" t="s">
        <v>102</v>
      </c>
      <c r="C88" s="3" t="s">
        <v>7</v>
      </c>
      <c r="D88" s="4">
        <v>3020</v>
      </c>
      <c r="E88" s="5">
        <v>46055</v>
      </c>
      <c r="F88" s="7">
        <v>2048</v>
      </c>
      <c r="G88" s="6" t="s">
        <v>219</v>
      </c>
      <c r="H88" s="10">
        <f t="shared" si="6"/>
        <v>4935.68</v>
      </c>
      <c r="I88" s="9">
        <f t="shared" si="7"/>
        <v>493.56800000000004</v>
      </c>
      <c r="J88" s="9">
        <f t="shared" si="8"/>
        <v>4442.1120000000001</v>
      </c>
      <c r="K88" s="12">
        <f t="shared" si="9"/>
        <v>-1422.1120000000001</v>
      </c>
      <c r="L88" s="14"/>
    </row>
    <row r="89" spans="1:12" x14ac:dyDescent="0.25">
      <c r="A89" s="3">
        <f t="shared" si="10"/>
        <v>88</v>
      </c>
      <c r="B89" s="3" t="s">
        <v>103</v>
      </c>
      <c r="C89" s="3" t="s">
        <v>7</v>
      </c>
      <c r="D89" s="4">
        <v>4300</v>
      </c>
      <c r="E89" s="5">
        <v>46027</v>
      </c>
      <c r="F89" s="7">
        <v>3099.99</v>
      </c>
      <c r="G89" s="6" t="s">
        <v>224</v>
      </c>
      <c r="H89" s="10">
        <f t="shared" si="6"/>
        <v>7470.9759000000004</v>
      </c>
      <c r="I89" s="9">
        <f t="shared" si="7"/>
        <v>747.09759000000008</v>
      </c>
      <c r="J89" s="9">
        <f t="shared" si="8"/>
        <v>6723.8783100000001</v>
      </c>
      <c r="K89" s="12">
        <f t="shared" si="9"/>
        <v>-2423.8783100000001</v>
      </c>
      <c r="L89" s="14"/>
    </row>
    <row r="90" spans="1:12" x14ac:dyDescent="0.25">
      <c r="A90" s="3">
        <f t="shared" si="10"/>
        <v>89</v>
      </c>
      <c r="B90" s="3" t="s">
        <v>104</v>
      </c>
      <c r="C90" s="3" t="s">
        <v>7</v>
      </c>
      <c r="D90" s="4">
        <v>3769.5</v>
      </c>
      <c r="E90" s="5">
        <v>46066</v>
      </c>
      <c r="F90" s="7">
        <v>2099.9899999999998</v>
      </c>
      <c r="G90" s="6" t="s">
        <v>224</v>
      </c>
      <c r="H90" s="10">
        <f t="shared" si="6"/>
        <v>5060.9758999999995</v>
      </c>
      <c r="I90" s="9">
        <f t="shared" si="7"/>
        <v>506.09758999999997</v>
      </c>
      <c r="J90" s="9">
        <f t="shared" si="8"/>
        <v>4554.8783099999991</v>
      </c>
      <c r="K90" s="12">
        <f t="shared" si="9"/>
        <v>-785.37830999999915</v>
      </c>
      <c r="L90" s="14"/>
    </row>
    <row r="91" spans="1:12" x14ac:dyDescent="0.25">
      <c r="A91" s="3">
        <f t="shared" si="10"/>
        <v>90</v>
      </c>
      <c r="B91" s="3" t="s">
        <v>105</v>
      </c>
      <c r="C91" s="3" t="s">
        <v>7</v>
      </c>
      <c r="D91" s="4">
        <v>4493.75</v>
      </c>
      <c r="E91" s="5">
        <v>46039</v>
      </c>
      <c r="F91" s="7">
        <v>2399.9899999999998</v>
      </c>
      <c r="G91" s="6" t="s">
        <v>224</v>
      </c>
      <c r="H91" s="10">
        <f t="shared" si="6"/>
        <v>5783.9758999999995</v>
      </c>
      <c r="I91" s="9">
        <f t="shared" si="7"/>
        <v>578.39758999999992</v>
      </c>
      <c r="J91" s="9">
        <f t="shared" si="8"/>
        <v>5205.5783099999999</v>
      </c>
      <c r="K91" s="12">
        <f t="shared" si="9"/>
        <v>-711.82830999999987</v>
      </c>
      <c r="L91" s="14"/>
    </row>
    <row r="92" spans="1:12" x14ac:dyDescent="0.25">
      <c r="A92" s="3">
        <f t="shared" si="10"/>
        <v>91</v>
      </c>
      <c r="B92" s="3" t="s">
        <v>106</v>
      </c>
      <c r="C92" s="3" t="s">
        <v>7</v>
      </c>
      <c r="D92" s="4">
        <v>3850</v>
      </c>
      <c r="E92" s="5">
        <v>46069</v>
      </c>
      <c r="F92" s="7">
        <v>2399.9899999999998</v>
      </c>
      <c r="G92" s="6" t="s">
        <v>224</v>
      </c>
      <c r="H92" s="10">
        <f t="shared" si="6"/>
        <v>5783.9758999999995</v>
      </c>
      <c r="I92" s="9">
        <f t="shared" si="7"/>
        <v>578.39758999999992</v>
      </c>
      <c r="J92" s="9">
        <f t="shared" si="8"/>
        <v>5205.5783099999999</v>
      </c>
      <c r="K92" s="12">
        <f t="shared" si="9"/>
        <v>-1355.5783099999999</v>
      </c>
      <c r="L92" s="14"/>
    </row>
    <row r="93" spans="1:12" x14ac:dyDescent="0.25">
      <c r="A93" s="3">
        <f t="shared" si="10"/>
        <v>92</v>
      </c>
      <c r="B93" s="3" t="s">
        <v>107</v>
      </c>
      <c r="C93" s="3"/>
      <c r="D93" s="4">
        <v>4600</v>
      </c>
      <c r="E93" s="5">
        <v>46060</v>
      </c>
      <c r="F93" s="7">
        <v>4099.99</v>
      </c>
      <c r="G93" s="6" t="s">
        <v>224</v>
      </c>
      <c r="H93" s="10">
        <f t="shared" si="6"/>
        <v>9880.9758999999995</v>
      </c>
      <c r="I93" s="9">
        <f t="shared" si="7"/>
        <v>988.09758999999997</v>
      </c>
      <c r="J93" s="9">
        <f t="shared" si="8"/>
        <v>8892.8783100000001</v>
      </c>
      <c r="K93" s="12">
        <f t="shared" si="9"/>
        <v>-4292.8783100000001</v>
      </c>
      <c r="L93" s="14"/>
    </row>
    <row r="94" spans="1:12" x14ac:dyDescent="0.25">
      <c r="A94" s="3">
        <f t="shared" si="10"/>
        <v>93</v>
      </c>
      <c r="B94" s="3" t="s">
        <v>108</v>
      </c>
      <c r="C94" s="3" t="s">
        <v>7</v>
      </c>
      <c r="D94" s="4">
        <v>4</v>
      </c>
      <c r="E94" s="5">
        <v>46029</v>
      </c>
      <c r="F94" s="7">
        <v>769</v>
      </c>
      <c r="G94" s="6" t="s">
        <v>223</v>
      </c>
      <c r="H94" s="10">
        <f t="shared" si="6"/>
        <v>1853.2900000000002</v>
      </c>
      <c r="I94" s="9">
        <f t="shared" si="7"/>
        <v>185.32900000000001</v>
      </c>
      <c r="J94" s="9">
        <f t="shared" si="8"/>
        <v>1667.9610000000002</v>
      </c>
      <c r="K94" s="12">
        <f t="shared" si="9"/>
        <v>-1663.9610000000002</v>
      </c>
      <c r="L94" s="14"/>
    </row>
    <row r="95" spans="1:12" x14ac:dyDescent="0.25">
      <c r="A95" s="3">
        <f t="shared" si="10"/>
        <v>94</v>
      </c>
      <c r="B95" s="3" t="s">
        <v>109</v>
      </c>
      <c r="C95" s="3" t="s">
        <v>7</v>
      </c>
      <c r="D95" s="4">
        <v>630</v>
      </c>
      <c r="E95" s="5">
        <v>46030</v>
      </c>
      <c r="F95" s="7">
        <v>1599</v>
      </c>
      <c r="G95" s="6" t="s">
        <v>223</v>
      </c>
      <c r="H95" s="10">
        <f t="shared" si="6"/>
        <v>3853.59</v>
      </c>
      <c r="I95" s="9">
        <f t="shared" si="7"/>
        <v>385.35900000000004</v>
      </c>
      <c r="J95" s="9">
        <f t="shared" si="8"/>
        <v>3468.2310000000002</v>
      </c>
      <c r="K95" s="12">
        <f t="shared" si="9"/>
        <v>-2838.2310000000002</v>
      </c>
      <c r="L95" s="14"/>
    </row>
    <row r="96" spans="1:12" x14ac:dyDescent="0.25">
      <c r="A96" s="3">
        <f t="shared" si="10"/>
        <v>95</v>
      </c>
      <c r="B96" s="3" t="s">
        <v>110</v>
      </c>
      <c r="C96" s="3" t="s">
        <v>7</v>
      </c>
      <c r="D96" s="4">
        <v>720</v>
      </c>
      <c r="E96" s="5">
        <v>46030</v>
      </c>
      <c r="F96" s="7">
        <v>717</v>
      </c>
      <c r="G96" s="6" t="s">
        <v>223</v>
      </c>
      <c r="H96" s="10">
        <f t="shared" si="6"/>
        <v>1727.97</v>
      </c>
      <c r="I96" s="9">
        <f t="shared" si="7"/>
        <v>172.797</v>
      </c>
      <c r="J96" s="9">
        <f t="shared" si="8"/>
        <v>1555.173</v>
      </c>
      <c r="K96" s="12">
        <f t="shared" si="9"/>
        <v>-835.173</v>
      </c>
      <c r="L96" s="14"/>
    </row>
    <row r="97" spans="1:12" x14ac:dyDescent="0.25">
      <c r="A97" s="3">
        <f t="shared" si="10"/>
        <v>96</v>
      </c>
      <c r="B97" s="3" t="s">
        <v>111</v>
      </c>
      <c r="C97" s="3" t="s">
        <v>7</v>
      </c>
      <c r="D97" s="4">
        <v>1078.5</v>
      </c>
      <c r="E97" s="5">
        <v>46027</v>
      </c>
      <c r="F97" s="7">
        <v>759</v>
      </c>
      <c r="G97" s="6" t="s">
        <v>223</v>
      </c>
      <c r="H97" s="10">
        <f t="shared" si="6"/>
        <v>1829.19</v>
      </c>
      <c r="I97" s="9">
        <f t="shared" si="7"/>
        <v>182.91900000000001</v>
      </c>
      <c r="J97" s="9">
        <f t="shared" si="8"/>
        <v>1646.271</v>
      </c>
      <c r="K97" s="12">
        <f t="shared" si="9"/>
        <v>-567.77099999999996</v>
      </c>
      <c r="L97" s="14"/>
    </row>
    <row r="98" spans="1:12" x14ac:dyDescent="0.25">
      <c r="A98" s="3">
        <f t="shared" si="10"/>
        <v>97</v>
      </c>
      <c r="B98" s="3" t="s">
        <v>112</v>
      </c>
      <c r="C98" s="3" t="s">
        <v>7</v>
      </c>
      <c r="D98" s="4">
        <v>4</v>
      </c>
      <c r="E98" s="5">
        <v>46029</v>
      </c>
      <c r="F98" s="7">
        <v>1449</v>
      </c>
      <c r="G98" s="6" t="s">
        <v>223</v>
      </c>
      <c r="H98" s="10">
        <f t="shared" si="6"/>
        <v>3492.09</v>
      </c>
      <c r="I98" s="9">
        <f t="shared" si="7"/>
        <v>349.209</v>
      </c>
      <c r="J98" s="9">
        <f t="shared" si="8"/>
        <v>3142.8810000000003</v>
      </c>
      <c r="K98" s="12">
        <f t="shared" si="9"/>
        <v>-3138.8810000000003</v>
      </c>
      <c r="L98" s="14"/>
    </row>
    <row r="99" spans="1:12" x14ac:dyDescent="0.25">
      <c r="A99" s="3">
        <f t="shared" si="10"/>
        <v>98</v>
      </c>
      <c r="B99" s="3" t="s">
        <v>113</v>
      </c>
      <c r="C99" s="3" t="s">
        <v>7</v>
      </c>
      <c r="D99" s="4">
        <v>4</v>
      </c>
      <c r="E99" s="5">
        <v>46027</v>
      </c>
      <c r="F99" s="7">
        <v>2199</v>
      </c>
      <c r="G99" s="6" t="s">
        <v>223</v>
      </c>
      <c r="H99" s="10">
        <f t="shared" si="6"/>
        <v>5299.59</v>
      </c>
      <c r="I99" s="9">
        <f t="shared" si="7"/>
        <v>529.95900000000006</v>
      </c>
      <c r="J99" s="9">
        <f t="shared" si="8"/>
        <v>4769.6310000000003</v>
      </c>
      <c r="K99" s="12">
        <f t="shared" si="9"/>
        <v>-4765.6310000000003</v>
      </c>
      <c r="L99" s="14"/>
    </row>
    <row r="100" spans="1:12" x14ac:dyDescent="0.25">
      <c r="A100" s="3">
        <f t="shared" si="10"/>
        <v>99</v>
      </c>
      <c r="B100" s="3" t="s">
        <v>114</v>
      </c>
      <c r="C100" s="3" t="s">
        <v>7</v>
      </c>
      <c r="D100" s="4">
        <v>1476</v>
      </c>
      <c r="E100" s="5">
        <v>46030</v>
      </c>
      <c r="F100" s="7">
        <v>1349</v>
      </c>
      <c r="G100" s="6" t="s">
        <v>223</v>
      </c>
      <c r="H100" s="10">
        <f t="shared" si="6"/>
        <v>3251.09</v>
      </c>
      <c r="I100" s="9">
        <f t="shared" si="7"/>
        <v>325.10900000000004</v>
      </c>
      <c r="J100" s="9">
        <f t="shared" si="8"/>
        <v>2925.9810000000002</v>
      </c>
      <c r="K100" s="12">
        <f t="shared" si="9"/>
        <v>-1449.9810000000002</v>
      </c>
      <c r="L100" s="14"/>
    </row>
    <row r="101" spans="1:12" x14ac:dyDescent="0.25">
      <c r="A101" s="3">
        <f t="shared" si="10"/>
        <v>100</v>
      </c>
      <c r="B101" s="3" t="s">
        <v>115</v>
      </c>
      <c r="C101" s="3" t="s">
        <v>7</v>
      </c>
      <c r="D101" s="4">
        <v>1512</v>
      </c>
      <c r="E101" s="5">
        <v>46030</v>
      </c>
      <c r="F101" s="7">
        <v>1499</v>
      </c>
      <c r="G101" s="6" t="s">
        <v>223</v>
      </c>
      <c r="H101" s="10">
        <f t="shared" si="6"/>
        <v>3612.59</v>
      </c>
      <c r="I101" s="9">
        <f t="shared" si="7"/>
        <v>361.25900000000001</v>
      </c>
      <c r="J101" s="9">
        <f t="shared" si="8"/>
        <v>3251.3310000000001</v>
      </c>
      <c r="K101" s="12">
        <f t="shared" si="9"/>
        <v>-1739.3310000000001</v>
      </c>
      <c r="L101" s="14"/>
    </row>
    <row r="102" spans="1:12" x14ac:dyDescent="0.25">
      <c r="A102" s="3">
        <f t="shared" si="10"/>
        <v>101</v>
      </c>
      <c r="B102" s="3" t="s">
        <v>116</v>
      </c>
      <c r="C102" s="3" t="s">
        <v>7</v>
      </c>
      <c r="D102" s="4">
        <v>1006</v>
      </c>
      <c r="E102" s="5">
        <v>46055</v>
      </c>
      <c r="F102" s="7">
        <v>1097</v>
      </c>
      <c r="G102" s="6" t="s">
        <v>219</v>
      </c>
      <c r="H102" s="10">
        <f t="shared" si="6"/>
        <v>2643.77</v>
      </c>
      <c r="I102" s="9">
        <f t="shared" si="7"/>
        <v>264.37700000000001</v>
      </c>
      <c r="J102" s="9">
        <f t="shared" si="8"/>
        <v>2379.393</v>
      </c>
      <c r="K102" s="12">
        <f t="shared" si="9"/>
        <v>-1373.393</v>
      </c>
      <c r="L102" s="14"/>
    </row>
    <row r="103" spans="1:12" x14ac:dyDescent="0.25">
      <c r="A103" s="3">
        <f t="shared" si="10"/>
        <v>102</v>
      </c>
      <c r="B103" s="3" t="s">
        <v>117</v>
      </c>
      <c r="C103" s="3" t="s">
        <v>7</v>
      </c>
      <c r="D103" s="4">
        <v>4</v>
      </c>
      <c r="E103" s="5">
        <v>46027</v>
      </c>
      <c r="F103" s="7">
        <v>837</v>
      </c>
      <c r="G103" s="6" t="s">
        <v>217</v>
      </c>
      <c r="H103" s="10">
        <f t="shared" si="6"/>
        <v>2017.17</v>
      </c>
      <c r="I103" s="9">
        <f t="shared" si="7"/>
        <v>201.71700000000001</v>
      </c>
      <c r="J103" s="9">
        <f t="shared" si="8"/>
        <v>1815.453</v>
      </c>
      <c r="K103" s="12">
        <f t="shared" si="9"/>
        <v>-1811.453</v>
      </c>
      <c r="L103" s="14"/>
    </row>
    <row r="104" spans="1:12" x14ac:dyDescent="0.25">
      <c r="A104" s="3">
        <f t="shared" si="10"/>
        <v>103</v>
      </c>
      <c r="B104" s="3" t="s">
        <v>118</v>
      </c>
      <c r="C104" s="3" t="s">
        <v>7</v>
      </c>
      <c r="D104" s="4">
        <v>2157</v>
      </c>
      <c r="E104" s="5">
        <v>46027</v>
      </c>
      <c r="F104" s="7"/>
      <c r="G104" s="6"/>
      <c r="H104" s="10">
        <f t="shared" si="6"/>
        <v>0</v>
      </c>
      <c r="I104" s="9">
        <f t="shared" si="7"/>
        <v>0</v>
      </c>
      <c r="J104" s="9">
        <f t="shared" si="8"/>
        <v>0</v>
      </c>
      <c r="K104" s="9"/>
      <c r="L104" s="14"/>
    </row>
    <row r="105" spans="1:12" x14ac:dyDescent="0.25">
      <c r="A105" s="3">
        <f t="shared" si="10"/>
        <v>104</v>
      </c>
      <c r="B105" s="3" t="s">
        <v>119</v>
      </c>
      <c r="C105" s="3" t="s">
        <v>7</v>
      </c>
      <c r="D105" s="4">
        <v>4</v>
      </c>
      <c r="E105" s="5">
        <v>46027</v>
      </c>
      <c r="F105" s="7"/>
      <c r="G105" s="6"/>
      <c r="H105" s="10">
        <f t="shared" si="6"/>
        <v>0</v>
      </c>
      <c r="I105" s="9">
        <f t="shared" si="7"/>
        <v>0</v>
      </c>
      <c r="J105" s="9">
        <f t="shared" si="8"/>
        <v>0</v>
      </c>
      <c r="K105" s="9"/>
      <c r="L105" s="14"/>
    </row>
    <row r="106" spans="1:12" x14ac:dyDescent="0.25">
      <c r="A106" s="3">
        <f t="shared" si="10"/>
        <v>105</v>
      </c>
      <c r="B106" s="3" t="s">
        <v>120</v>
      </c>
      <c r="C106" s="3" t="s">
        <v>7</v>
      </c>
      <c r="D106" s="4">
        <v>1797.5</v>
      </c>
      <c r="E106" s="5">
        <v>46029</v>
      </c>
      <c r="F106" s="7">
        <v>1694</v>
      </c>
      <c r="G106" s="6" t="s">
        <v>219</v>
      </c>
      <c r="H106" s="10">
        <f t="shared" si="6"/>
        <v>4082.5400000000004</v>
      </c>
      <c r="I106" s="9">
        <f t="shared" si="7"/>
        <v>408.25400000000002</v>
      </c>
      <c r="J106" s="9">
        <f t="shared" si="8"/>
        <v>3674.2860000000005</v>
      </c>
      <c r="K106" s="12">
        <f t="shared" si="9"/>
        <v>-1876.7860000000005</v>
      </c>
      <c r="L106" s="14"/>
    </row>
    <row r="107" spans="1:12" x14ac:dyDescent="0.25">
      <c r="A107" s="3">
        <f t="shared" si="10"/>
        <v>106</v>
      </c>
      <c r="B107" s="3" t="s">
        <v>121</v>
      </c>
      <c r="C107" s="3" t="s">
        <v>7</v>
      </c>
      <c r="D107" s="4">
        <v>1869</v>
      </c>
      <c r="E107" s="5">
        <v>46055</v>
      </c>
      <c r="F107" s="7">
        <v>1239.99</v>
      </c>
      <c r="G107" s="6" t="s">
        <v>224</v>
      </c>
      <c r="H107" s="10">
        <f t="shared" si="6"/>
        <v>2988.3759</v>
      </c>
      <c r="I107" s="9">
        <f t="shared" si="7"/>
        <v>298.83758999999998</v>
      </c>
      <c r="J107" s="9">
        <f t="shared" si="8"/>
        <v>2689.5383099999999</v>
      </c>
      <c r="K107" s="12">
        <f t="shared" si="9"/>
        <v>-820.53830999999991</v>
      </c>
      <c r="L107" s="14"/>
    </row>
    <row r="108" spans="1:12" x14ac:dyDescent="0.25">
      <c r="A108" s="3">
        <f t="shared" si="10"/>
        <v>107</v>
      </c>
      <c r="B108" s="3" t="s">
        <v>122</v>
      </c>
      <c r="C108" s="3" t="s">
        <v>7</v>
      </c>
      <c r="D108" s="4">
        <v>1692</v>
      </c>
      <c r="E108" s="5">
        <v>46030</v>
      </c>
      <c r="F108" s="7">
        <v>1497</v>
      </c>
      <c r="G108" s="6" t="s">
        <v>221</v>
      </c>
      <c r="H108" s="10">
        <f t="shared" si="6"/>
        <v>3607.7700000000004</v>
      </c>
      <c r="I108" s="9">
        <f t="shared" si="7"/>
        <v>360.77700000000004</v>
      </c>
      <c r="J108" s="9">
        <f t="shared" si="8"/>
        <v>3246.9930000000004</v>
      </c>
      <c r="K108" s="12">
        <f t="shared" si="9"/>
        <v>-1554.9930000000004</v>
      </c>
      <c r="L108" s="14"/>
    </row>
    <row r="109" spans="1:12" x14ac:dyDescent="0.25">
      <c r="A109" s="3">
        <f t="shared" si="10"/>
        <v>108</v>
      </c>
      <c r="B109" s="3" t="s">
        <v>123</v>
      </c>
      <c r="C109" s="3" t="s">
        <v>7</v>
      </c>
      <c r="D109" s="4">
        <v>1650</v>
      </c>
      <c r="E109" s="5">
        <v>46029</v>
      </c>
      <c r="F109" s="7">
        <v>1397</v>
      </c>
      <c r="G109" s="6" t="s">
        <v>219</v>
      </c>
      <c r="H109" s="10">
        <f t="shared" si="6"/>
        <v>3366.77</v>
      </c>
      <c r="I109" s="9">
        <f t="shared" si="7"/>
        <v>336.67700000000002</v>
      </c>
      <c r="J109" s="9">
        <f t="shared" si="8"/>
        <v>3030.0929999999998</v>
      </c>
      <c r="K109" s="12">
        <f t="shared" si="9"/>
        <v>-1380.0929999999998</v>
      </c>
      <c r="L109" s="14"/>
    </row>
    <row r="110" spans="1:12" x14ac:dyDescent="0.25">
      <c r="A110" s="3">
        <f t="shared" si="10"/>
        <v>109</v>
      </c>
      <c r="B110" s="3" t="s">
        <v>124</v>
      </c>
      <c r="C110" s="3" t="s">
        <v>7</v>
      </c>
      <c r="D110" s="4">
        <v>1690</v>
      </c>
      <c r="E110" s="5">
        <v>46055</v>
      </c>
      <c r="F110" s="7">
        <v>1697</v>
      </c>
      <c r="G110" s="6" t="s">
        <v>219</v>
      </c>
      <c r="H110" s="10">
        <f t="shared" si="6"/>
        <v>4089.7700000000004</v>
      </c>
      <c r="I110" s="9">
        <f t="shared" si="7"/>
        <v>408.97700000000003</v>
      </c>
      <c r="J110" s="9">
        <f t="shared" si="8"/>
        <v>3680.7930000000006</v>
      </c>
      <c r="K110" s="12">
        <f t="shared" si="9"/>
        <v>-1990.7930000000006</v>
      </c>
      <c r="L110" s="14"/>
    </row>
    <row r="111" spans="1:12" x14ac:dyDescent="0.25">
      <c r="A111" s="3">
        <f t="shared" si="10"/>
        <v>110</v>
      </c>
      <c r="B111" s="3" t="s">
        <v>125</v>
      </c>
      <c r="C111" s="3" t="s">
        <v>7</v>
      </c>
      <c r="D111" s="4">
        <v>2232</v>
      </c>
      <c r="E111" s="5">
        <v>46030</v>
      </c>
      <c r="F111" s="7">
        <v>1992.51</v>
      </c>
      <c r="G111" s="6" t="s">
        <v>221</v>
      </c>
      <c r="H111" s="10">
        <f t="shared" si="6"/>
        <v>4801.9490999999998</v>
      </c>
      <c r="I111" s="9">
        <f t="shared" si="7"/>
        <v>480.19490999999999</v>
      </c>
      <c r="J111" s="9">
        <f t="shared" si="8"/>
        <v>4321.7541899999997</v>
      </c>
      <c r="K111" s="12">
        <f t="shared" si="9"/>
        <v>-2089.7541899999997</v>
      </c>
      <c r="L111" s="14"/>
    </row>
    <row r="112" spans="1:12" x14ac:dyDescent="0.25">
      <c r="A112" s="3">
        <f t="shared" si="10"/>
        <v>111</v>
      </c>
      <c r="B112" s="3" t="s">
        <v>126</v>
      </c>
      <c r="C112" s="3"/>
      <c r="D112" s="4">
        <v>4</v>
      </c>
      <c r="E112" s="5">
        <v>46029</v>
      </c>
      <c r="F112" s="7">
        <v>2497</v>
      </c>
      <c r="G112" s="6" t="s">
        <v>221</v>
      </c>
      <c r="H112" s="10">
        <f t="shared" si="6"/>
        <v>6017.77</v>
      </c>
      <c r="I112" s="9">
        <f t="shared" si="7"/>
        <v>601.77700000000004</v>
      </c>
      <c r="J112" s="9">
        <f t="shared" si="8"/>
        <v>5415.9930000000004</v>
      </c>
      <c r="K112" s="12">
        <f t="shared" si="9"/>
        <v>-5411.9930000000004</v>
      </c>
      <c r="L112" s="14"/>
    </row>
    <row r="113" spans="1:12" x14ac:dyDescent="0.25">
      <c r="A113" s="3">
        <f t="shared" si="10"/>
        <v>112</v>
      </c>
      <c r="B113" s="3" t="s">
        <v>127</v>
      </c>
      <c r="C113" s="3" t="s">
        <v>7</v>
      </c>
      <c r="D113" s="4">
        <v>2232</v>
      </c>
      <c r="E113" s="5">
        <v>46030</v>
      </c>
      <c r="F113" s="7"/>
      <c r="G113" s="6"/>
      <c r="H113" s="10">
        <f t="shared" si="6"/>
        <v>0</v>
      </c>
      <c r="I113" s="9">
        <f t="shared" si="7"/>
        <v>0</v>
      </c>
      <c r="J113" s="9"/>
      <c r="K113" s="9"/>
      <c r="L113" s="14"/>
    </row>
    <row r="114" spans="1:12" x14ac:dyDescent="0.25">
      <c r="A114" s="3">
        <f t="shared" si="10"/>
        <v>113</v>
      </c>
      <c r="B114" s="3" t="s">
        <v>128</v>
      </c>
      <c r="C114" s="3" t="s">
        <v>7</v>
      </c>
      <c r="D114" s="4">
        <v>2696</v>
      </c>
      <c r="E114" s="5">
        <v>46055</v>
      </c>
      <c r="F114" s="7">
        <v>1897</v>
      </c>
      <c r="G114" s="6" t="s">
        <v>228</v>
      </c>
      <c r="H114" s="10">
        <f t="shared" si="6"/>
        <v>4571.7700000000004</v>
      </c>
      <c r="I114" s="9">
        <f t="shared" si="7"/>
        <v>457.17700000000002</v>
      </c>
      <c r="J114" s="9">
        <f t="shared" si="8"/>
        <v>4114.5930000000008</v>
      </c>
      <c r="K114" s="12">
        <f t="shared" si="9"/>
        <v>-1418.5930000000008</v>
      </c>
      <c r="L114" s="14"/>
    </row>
    <row r="115" spans="1:12" x14ac:dyDescent="0.25">
      <c r="A115" s="3">
        <f t="shared" si="10"/>
        <v>114</v>
      </c>
      <c r="B115" s="3" t="s">
        <v>129</v>
      </c>
      <c r="C115" s="3" t="s">
        <v>7</v>
      </c>
      <c r="D115" s="4">
        <v>2157</v>
      </c>
      <c r="E115" s="5">
        <v>46055</v>
      </c>
      <c r="F115" s="7"/>
      <c r="G115" s="6"/>
      <c r="H115" s="10">
        <f t="shared" si="6"/>
        <v>0</v>
      </c>
      <c r="I115" s="9">
        <f t="shared" si="7"/>
        <v>0</v>
      </c>
      <c r="J115" s="9"/>
      <c r="K115" s="9"/>
      <c r="L115" s="14"/>
    </row>
    <row r="116" spans="1:12" x14ac:dyDescent="0.25">
      <c r="A116" s="3">
        <f t="shared" si="10"/>
        <v>115</v>
      </c>
      <c r="B116" s="3" t="s">
        <v>130</v>
      </c>
      <c r="C116" s="3" t="s">
        <v>7</v>
      </c>
      <c r="D116" s="4">
        <v>1528</v>
      </c>
      <c r="E116" s="5">
        <v>46041</v>
      </c>
      <c r="F116" s="7">
        <v>987</v>
      </c>
      <c r="G116" s="6" t="s">
        <v>219</v>
      </c>
      <c r="H116" s="10">
        <f t="shared" si="6"/>
        <v>2378.67</v>
      </c>
      <c r="I116" s="9">
        <f t="shared" si="7"/>
        <v>237.86700000000002</v>
      </c>
      <c r="J116" s="9">
        <f t="shared" si="8"/>
        <v>2140.8029999999999</v>
      </c>
      <c r="K116" s="12">
        <f t="shared" si="9"/>
        <v>-612.80299999999988</v>
      </c>
      <c r="L116" s="14"/>
    </row>
    <row r="117" spans="1:12" x14ac:dyDescent="0.25">
      <c r="A117" s="3">
        <f t="shared" si="10"/>
        <v>116</v>
      </c>
      <c r="B117" s="3" t="s">
        <v>131</v>
      </c>
      <c r="C117" s="3" t="s">
        <v>7</v>
      </c>
      <c r="D117" s="4">
        <v>1920</v>
      </c>
      <c r="E117" s="5">
        <v>46069</v>
      </c>
      <c r="F117" s="7">
        <v>1349.99</v>
      </c>
      <c r="G117" s="6" t="s">
        <v>224</v>
      </c>
      <c r="H117" s="10">
        <f t="shared" si="6"/>
        <v>3253.4759000000004</v>
      </c>
      <c r="I117" s="9">
        <f t="shared" si="7"/>
        <v>325.34759000000003</v>
      </c>
      <c r="J117" s="9">
        <f t="shared" si="8"/>
        <v>2928.1283100000005</v>
      </c>
      <c r="K117" s="12">
        <f t="shared" si="9"/>
        <v>-1008.1283100000005</v>
      </c>
      <c r="L117" s="14"/>
    </row>
    <row r="118" spans="1:12" x14ac:dyDescent="0.25">
      <c r="A118" s="3">
        <f t="shared" si="10"/>
        <v>117</v>
      </c>
      <c r="B118" s="3" t="s">
        <v>132</v>
      </c>
      <c r="C118" s="3" t="s">
        <v>7</v>
      </c>
      <c r="D118" s="4">
        <v>3091.7</v>
      </c>
      <c r="E118" s="5">
        <v>46027</v>
      </c>
      <c r="F118" s="7">
        <v>1739.99</v>
      </c>
      <c r="G118" s="6" t="s">
        <v>224</v>
      </c>
      <c r="H118" s="10">
        <f t="shared" si="6"/>
        <v>4193.3759</v>
      </c>
      <c r="I118" s="9">
        <f t="shared" si="7"/>
        <v>419.33758999999998</v>
      </c>
      <c r="J118" s="9">
        <f t="shared" si="8"/>
        <v>3774.0383099999999</v>
      </c>
      <c r="K118" s="12">
        <f t="shared" si="9"/>
        <v>-682.33831000000009</v>
      </c>
      <c r="L118" s="14"/>
    </row>
    <row r="119" spans="1:12" x14ac:dyDescent="0.25">
      <c r="A119" s="3">
        <f t="shared" si="10"/>
        <v>118</v>
      </c>
      <c r="B119" s="3" t="s">
        <v>133</v>
      </c>
      <c r="C119" s="3" t="s">
        <v>7</v>
      </c>
      <c r="D119" s="4">
        <v>1920</v>
      </c>
      <c r="E119" s="5">
        <v>46069</v>
      </c>
      <c r="F119" s="7">
        <v>1467</v>
      </c>
      <c r="G119" s="6" t="s">
        <v>219</v>
      </c>
      <c r="H119" s="10">
        <f t="shared" si="6"/>
        <v>3535.4700000000003</v>
      </c>
      <c r="I119" s="9">
        <f t="shared" si="7"/>
        <v>353.54700000000003</v>
      </c>
      <c r="J119" s="9">
        <f t="shared" si="8"/>
        <v>3181.9230000000002</v>
      </c>
      <c r="K119" s="12">
        <f t="shared" si="9"/>
        <v>-1261.9230000000002</v>
      </c>
      <c r="L119" s="14"/>
    </row>
    <row r="120" spans="1:12" x14ac:dyDescent="0.25">
      <c r="A120" s="3">
        <f t="shared" si="10"/>
        <v>119</v>
      </c>
      <c r="B120" s="3" t="s">
        <v>134</v>
      </c>
      <c r="C120" s="3" t="s">
        <v>7</v>
      </c>
      <c r="D120" s="4">
        <v>3235.5</v>
      </c>
      <c r="E120" s="5">
        <v>46029</v>
      </c>
      <c r="F120" s="7">
        <v>2699.99</v>
      </c>
      <c r="G120" s="6" t="s">
        <v>224</v>
      </c>
      <c r="H120" s="10">
        <f t="shared" si="6"/>
        <v>6506.9758999999995</v>
      </c>
      <c r="I120" s="9">
        <f t="shared" si="7"/>
        <v>650.69758999999999</v>
      </c>
      <c r="J120" s="9">
        <f t="shared" si="8"/>
        <v>5856.2783099999997</v>
      </c>
      <c r="K120" s="12">
        <f t="shared" si="9"/>
        <v>-2620.7783099999997</v>
      </c>
      <c r="L120" s="14"/>
    </row>
    <row r="121" spans="1:12" x14ac:dyDescent="0.25">
      <c r="A121" s="3">
        <f t="shared" si="10"/>
        <v>120</v>
      </c>
      <c r="B121" s="3" t="s">
        <v>135</v>
      </c>
      <c r="C121" s="3" t="s">
        <v>7</v>
      </c>
      <c r="D121" s="4">
        <v>2600</v>
      </c>
      <c r="E121" s="5">
        <v>46069</v>
      </c>
      <c r="F121" s="7">
        <v>1929.99</v>
      </c>
      <c r="G121" s="6" t="s">
        <v>224</v>
      </c>
      <c r="H121" s="10">
        <f t="shared" si="6"/>
        <v>4651.2759000000005</v>
      </c>
      <c r="I121" s="9">
        <f t="shared" si="7"/>
        <v>465.12759000000005</v>
      </c>
      <c r="J121" s="9">
        <f t="shared" si="8"/>
        <v>4186.1483100000005</v>
      </c>
      <c r="K121" s="12">
        <f t="shared" si="9"/>
        <v>-1586.1483100000005</v>
      </c>
      <c r="L121" s="14"/>
    </row>
    <row r="122" spans="1:12" x14ac:dyDescent="0.25">
      <c r="A122" s="3">
        <f t="shared" si="10"/>
        <v>121</v>
      </c>
      <c r="B122" s="3" t="s">
        <v>136</v>
      </c>
      <c r="C122" s="3"/>
      <c r="D122" s="4">
        <v>4272.1000000000004</v>
      </c>
      <c r="E122" s="5">
        <v>46066</v>
      </c>
      <c r="F122" s="7">
        <v>2319.9899999999998</v>
      </c>
      <c r="G122" s="6" t="s">
        <v>224</v>
      </c>
      <c r="H122" s="10">
        <f t="shared" si="6"/>
        <v>5591.1759000000002</v>
      </c>
      <c r="I122" s="9">
        <f t="shared" si="7"/>
        <v>559.11759000000006</v>
      </c>
      <c r="J122" s="9">
        <f t="shared" si="8"/>
        <v>5032.0583100000003</v>
      </c>
      <c r="K122" s="12">
        <f t="shared" si="9"/>
        <v>-759.95830999999998</v>
      </c>
      <c r="L122" s="14"/>
    </row>
    <row r="123" spans="1:12" x14ac:dyDescent="0.25">
      <c r="A123" s="3">
        <f t="shared" si="10"/>
        <v>122</v>
      </c>
      <c r="B123" s="3" t="s">
        <v>137</v>
      </c>
      <c r="C123" s="3" t="s">
        <v>7</v>
      </c>
      <c r="D123" s="4">
        <v>3810</v>
      </c>
      <c r="E123" s="5">
        <v>46055</v>
      </c>
      <c r="F123" s="7">
        <v>2899.99</v>
      </c>
      <c r="G123" s="6" t="s">
        <v>224</v>
      </c>
      <c r="H123" s="10">
        <f t="shared" si="6"/>
        <v>6988.9758999999995</v>
      </c>
      <c r="I123" s="9">
        <f t="shared" si="7"/>
        <v>698.89758999999992</v>
      </c>
      <c r="J123" s="9">
        <f t="shared" si="8"/>
        <v>6290.0783099999999</v>
      </c>
      <c r="K123" s="12">
        <f t="shared" si="9"/>
        <v>-2480.0783099999999</v>
      </c>
      <c r="L123" s="14"/>
    </row>
    <row r="124" spans="1:12" x14ac:dyDescent="0.25">
      <c r="A124" s="3">
        <f t="shared" si="10"/>
        <v>123</v>
      </c>
      <c r="B124" s="3" t="s">
        <v>138</v>
      </c>
      <c r="C124" s="3" t="s">
        <v>7</v>
      </c>
      <c r="D124" s="4">
        <v>6390.2</v>
      </c>
      <c r="E124" s="5">
        <v>46066</v>
      </c>
      <c r="F124" s="7">
        <v>3679.98</v>
      </c>
      <c r="G124" s="6" t="s">
        <v>224</v>
      </c>
      <c r="H124" s="10">
        <f t="shared" si="6"/>
        <v>8868.7518</v>
      </c>
      <c r="I124" s="9">
        <f t="shared" si="7"/>
        <v>886.87518</v>
      </c>
      <c r="J124" s="9">
        <f t="shared" si="8"/>
        <v>7981.87662</v>
      </c>
      <c r="K124" s="12">
        <f t="shared" si="9"/>
        <v>-1591.6766200000002</v>
      </c>
      <c r="L124" s="14"/>
    </row>
    <row r="125" spans="1:12" x14ac:dyDescent="0.25">
      <c r="A125" s="3">
        <f t="shared" si="10"/>
        <v>124</v>
      </c>
      <c r="B125" s="3" t="s">
        <v>139</v>
      </c>
      <c r="C125" s="3" t="s">
        <v>7</v>
      </c>
      <c r="D125" s="4">
        <v>3500</v>
      </c>
      <c r="E125" s="5">
        <v>46069</v>
      </c>
      <c r="F125" s="7">
        <v>2099.9899999999998</v>
      </c>
      <c r="G125" s="6" t="s">
        <v>224</v>
      </c>
      <c r="H125" s="10">
        <f t="shared" si="6"/>
        <v>5060.9758999999995</v>
      </c>
      <c r="I125" s="9">
        <f t="shared" si="7"/>
        <v>506.09758999999997</v>
      </c>
      <c r="J125" s="9">
        <f t="shared" si="8"/>
        <v>4554.8783099999991</v>
      </c>
      <c r="K125" s="12">
        <f t="shared" si="9"/>
        <v>-1054.8783099999991</v>
      </c>
      <c r="L125" s="14"/>
    </row>
    <row r="126" spans="1:12" x14ac:dyDescent="0.25">
      <c r="A126" s="3">
        <f t="shared" si="10"/>
        <v>125</v>
      </c>
      <c r="B126" s="3" t="s">
        <v>140</v>
      </c>
      <c r="C126" s="3" t="s">
        <v>7</v>
      </c>
      <c r="D126" s="4">
        <v>3300</v>
      </c>
      <c r="E126" s="5">
        <v>46069</v>
      </c>
      <c r="F126" s="7">
        <v>2499.9899999999998</v>
      </c>
      <c r="G126" s="6" t="s">
        <v>224</v>
      </c>
      <c r="H126" s="10">
        <f t="shared" si="6"/>
        <v>6024.9758999999995</v>
      </c>
      <c r="I126" s="9">
        <f t="shared" si="7"/>
        <v>602.49758999999995</v>
      </c>
      <c r="J126" s="9">
        <f t="shared" si="8"/>
        <v>5422.4783099999995</v>
      </c>
      <c r="K126" s="12">
        <f t="shared" si="9"/>
        <v>-2122.4783099999995</v>
      </c>
      <c r="L126" s="14"/>
    </row>
    <row r="127" spans="1:12" x14ac:dyDescent="0.25">
      <c r="A127" s="3">
        <f t="shared" si="10"/>
        <v>126</v>
      </c>
      <c r="B127" s="3" t="s">
        <v>141</v>
      </c>
      <c r="C127" s="3" t="s">
        <v>7</v>
      </c>
      <c r="D127" s="4">
        <v>2225.8000000000002</v>
      </c>
      <c r="E127" s="5">
        <v>46066</v>
      </c>
      <c r="F127" s="7">
        <v>2197</v>
      </c>
      <c r="G127" s="6" t="s">
        <v>219</v>
      </c>
      <c r="H127" s="10">
        <f t="shared" si="6"/>
        <v>5294.77</v>
      </c>
      <c r="I127" s="9">
        <f t="shared" si="7"/>
        <v>529.47700000000009</v>
      </c>
      <c r="J127" s="9">
        <f t="shared" si="8"/>
        <v>4765.2930000000006</v>
      </c>
      <c r="K127" s="12">
        <f t="shared" si="9"/>
        <v>-2539.4930000000004</v>
      </c>
      <c r="L127" s="14"/>
    </row>
    <row r="128" spans="1:12" x14ac:dyDescent="0.25">
      <c r="A128" s="3">
        <f t="shared" si="10"/>
        <v>127</v>
      </c>
      <c r="B128" s="3" t="s">
        <v>142</v>
      </c>
      <c r="C128" s="3" t="s">
        <v>7</v>
      </c>
      <c r="D128" s="4">
        <v>288</v>
      </c>
      <c r="E128" s="5">
        <v>46030</v>
      </c>
      <c r="F128" s="7"/>
      <c r="G128" s="6"/>
      <c r="H128" s="10">
        <f t="shared" si="6"/>
        <v>0</v>
      </c>
      <c r="I128" s="9">
        <f t="shared" si="7"/>
        <v>0</v>
      </c>
      <c r="J128" s="9"/>
      <c r="K128" s="9"/>
      <c r="L128" s="14"/>
    </row>
    <row r="129" spans="1:12" x14ac:dyDescent="0.25">
      <c r="A129" s="3">
        <f t="shared" si="10"/>
        <v>128</v>
      </c>
      <c r="B129" s="3" t="s">
        <v>143</v>
      </c>
      <c r="C129" s="3" t="s">
        <v>144</v>
      </c>
      <c r="D129" s="4">
        <v>313.98</v>
      </c>
      <c r="E129" s="5">
        <v>46027</v>
      </c>
      <c r="F129" s="7">
        <v>186</v>
      </c>
      <c r="G129" s="6" t="s">
        <v>228</v>
      </c>
      <c r="H129" s="10">
        <f t="shared" si="6"/>
        <v>448.26000000000005</v>
      </c>
      <c r="I129" s="9">
        <f t="shared" si="7"/>
        <v>44.826000000000008</v>
      </c>
      <c r="J129" s="9">
        <f t="shared" si="8"/>
        <v>403.43400000000003</v>
      </c>
      <c r="K129" s="12">
        <f t="shared" si="9"/>
        <v>-89.454000000000008</v>
      </c>
      <c r="L129" s="14"/>
    </row>
    <row r="130" spans="1:12" x14ac:dyDescent="0.25">
      <c r="A130" s="3">
        <f t="shared" si="10"/>
        <v>129</v>
      </c>
      <c r="B130" s="3" t="s">
        <v>145</v>
      </c>
      <c r="C130" s="3" t="s">
        <v>144</v>
      </c>
      <c r="D130" s="4">
        <v>252.63</v>
      </c>
      <c r="E130" s="5">
        <v>46027</v>
      </c>
      <c r="F130" s="7">
        <v>169.95</v>
      </c>
      <c r="G130" s="6" t="s">
        <v>217</v>
      </c>
      <c r="H130" s="10">
        <f t="shared" si="6"/>
        <v>409.5795</v>
      </c>
      <c r="I130" s="9">
        <f t="shared" si="7"/>
        <v>40.957949999999997</v>
      </c>
      <c r="J130" s="9">
        <f t="shared" si="8"/>
        <v>368.62155000000001</v>
      </c>
      <c r="K130" s="12">
        <f t="shared" si="9"/>
        <v>-115.99155000000002</v>
      </c>
      <c r="L130" s="14"/>
    </row>
    <row r="131" spans="1:12" x14ac:dyDescent="0.25">
      <c r="A131" s="3">
        <f t="shared" si="10"/>
        <v>130</v>
      </c>
      <c r="B131" s="3" t="s">
        <v>146</v>
      </c>
      <c r="C131" s="3" t="s">
        <v>147</v>
      </c>
      <c r="D131" s="4">
        <v>4</v>
      </c>
      <c r="E131" s="5">
        <v>46026</v>
      </c>
      <c r="F131" s="7">
        <v>221.84</v>
      </c>
      <c r="G131" s="6" t="s">
        <v>226</v>
      </c>
      <c r="H131" s="10">
        <f t="shared" ref="H131:H187" si="11">F131*2.41</f>
        <v>534.63440000000003</v>
      </c>
      <c r="I131" s="9">
        <f t="shared" ref="I131:I187" si="12">H131/10</f>
        <v>53.463440000000006</v>
      </c>
      <c r="J131" s="9">
        <f t="shared" ref="J131:J187" si="13">H131-I131</f>
        <v>481.17096000000004</v>
      </c>
      <c r="K131" s="12">
        <f t="shared" ref="K131:K187" si="14">D131-J131</f>
        <v>-477.17096000000004</v>
      </c>
      <c r="L131" s="14"/>
    </row>
    <row r="132" spans="1:12" x14ac:dyDescent="0.25">
      <c r="A132" s="3">
        <f t="shared" ref="A132:A187" si="15">A131+1</f>
        <v>131</v>
      </c>
      <c r="B132" s="3" t="s">
        <v>148</v>
      </c>
      <c r="C132" s="3" t="s">
        <v>7</v>
      </c>
      <c r="D132" s="4">
        <v>1300</v>
      </c>
      <c r="E132" s="5">
        <v>46027</v>
      </c>
      <c r="F132" s="7">
        <v>1299</v>
      </c>
      <c r="G132" s="6" t="s">
        <v>223</v>
      </c>
      <c r="H132" s="10">
        <f t="shared" si="11"/>
        <v>3130.59</v>
      </c>
      <c r="I132" s="9">
        <f t="shared" si="12"/>
        <v>313.05900000000003</v>
      </c>
      <c r="J132" s="9">
        <f t="shared" si="13"/>
        <v>2817.5309999999999</v>
      </c>
      <c r="K132" s="12">
        <f t="shared" si="14"/>
        <v>-1517.5309999999999</v>
      </c>
      <c r="L132" s="14"/>
    </row>
    <row r="133" spans="1:12" x14ac:dyDescent="0.25">
      <c r="A133" s="3">
        <f t="shared" si="15"/>
        <v>132</v>
      </c>
      <c r="B133" s="3" t="s">
        <v>149</v>
      </c>
      <c r="C133" s="3" t="s">
        <v>7</v>
      </c>
      <c r="D133" s="4">
        <v>2000</v>
      </c>
      <c r="E133" s="5">
        <v>46027</v>
      </c>
      <c r="F133" s="7">
        <v>1347</v>
      </c>
      <c r="G133" s="6" t="s">
        <v>219</v>
      </c>
      <c r="H133" s="10">
        <f t="shared" si="11"/>
        <v>3246.27</v>
      </c>
      <c r="I133" s="9">
        <f t="shared" si="12"/>
        <v>324.62700000000001</v>
      </c>
      <c r="J133" s="9">
        <f t="shared" si="13"/>
        <v>2921.643</v>
      </c>
      <c r="K133" s="12">
        <f t="shared" si="14"/>
        <v>-921.64300000000003</v>
      </c>
      <c r="L133" s="14"/>
    </row>
    <row r="134" spans="1:12" x14ac:dyDescent="0.25">
      <c r="A134" s="3">
        <f t="shared" si="15"/>
        <v>133</v>
      </c>
      <c r="B134" s="3" t="s">
        <v>150</v>
      </c>
      <c r="C134" s="3" t="s">
        <v>7</v>
      </c>
      <c r="D134" s="4">
        <v>2334</v>
      </c>
      <c r="E134" s="5">
        <v>46027</v>
      </c>
      <c r="F134" s="7"/>
      <c r="G134" s="6"/>
      <c r="H134" s="10">
        <f t="shared" si="11"/>
        <v>0</v>
      </c>
      <c r="I134" s="9">
        <f t="shared" si="12"/>
        <v>0</v>
      </c>
      <c r="J134" s="9"/>
      <c r="K134" s="9"/>
      <c r="L134" s="14"/>
    </row>
    <row r="135" spans="1:12" x14ac:dyDescent="0.25">
      <c r="A135" s="3">
        <f t="shared" si="15"/>
        <v>134</v>
      </c>
      <c r="B135" s="3" t="s">
        <v>151</v>
      </c>
      <c r="C135" s="3" t="s">
        <v>7</v>
      </c>
      <c r="D135" s="4">
        <v>4007.46</v>
      </c>
      <c r="E135" s="5">
        <v>46027</v>
      </c>
      <c r="F135" s="7">
        <v>1994</v>
      </c>
      <c r="G135" s="6" t="s">
        <v>219</v>
      </c>
      <c r="H135" s="10">
        <f t="shared" si="11"/>
        <v>4805.54</v>
      </c>
      <c r="I135" s="9">
        <f t="shared" si="12"/>
        <v>480.55399999999997</v>
      </c>
      <c r="J135" s="9">
        <f t="shared" si="13"/>
        <v>4324.9859999999999</v>
      </c>
      <c r="K135" s="12">
        <f t="shared" si="14"/>
        <v>-317.52599999999984</v>
      </c>
      <c r="L135" s="14"/>
    </row>
    <row r="136" spans="1:12" x14ac:dyDescent="0.25">
      <c r="A136" s="3">
        <f t="shared" si="15"/>
        <v>135</v>
      </c>
      <c r="B136" s="3" t="s">
        <v>152</v>
      </c>
      <c r="C136" s="3" t="s">
        <v>7</v>
      </c>
      <c r="D136" s="4">
        <v>2000</v>
      </c>
      <c r="E136" s="5">
        <v>46027</v>
      </c>
      <c r="F136" s="7">
        <v>1834</v>
      </c>
      <c r="G136" s="6" t="s">
        <v>228</v>
      </c>
      <c r="H136" s="10">
        <f t="shared" si="11"/>
        <v>4419.9400000000005</v>
      </c>
      <c r="I136" s="9">
        <f t="shared" si="12"/>
        <v>441.99400000000003</v>
      </c>
      <c r="J136" s="9">
        <f t="shared" si="13"/>
        <v>3977.9460000000004</v>
      </c>
      <c r="K136" s="12">
        <f t="shared" si="14"/>
        <v>-1977.9460000000004</v>
      </c>
      <c r="L136" s="14"/>
    </row>
    <row r="137" spans="1:12" x14ac:dyDescent="0.25">
      <c r="A137" s="3">
        <f t="shared" si="15"/>
        <v>136</v>
      </c>
      <c r="B137" s="3" t="s">
        <v>153</v>
      </c>
      <c r="C137" s="3" t="s">
        <v>7</v>
      </c>
      <c r="D137" s="4">
        <v>2516</v>
      </c>
      <c r="E137" s="5">
        <v>46029</v>
      </c>
      <c r="F137" s="7">
        <v>1367</v>
      </c>
      <c r="G137" s="6" t="s">
        <v>219</v>
      </c>
      <c r="H137" s="10">
        <f t="shared" si="11"/>
        <v>3294.4700000000003</v>
      </c>
      <c r="I137" s="9">
        <f t="shared" si="12"/>
        <v>329.447</v>
      </c>
      <c r="J137" s="9">
        <f t="shared" si="13"/>
        <v>2965.0230000000001</v>
      </c>
      <c r="K137" s="12">
        <f t="shared" si="14"/>
        <v>-449.02300000000014</v>
      </c>
      <c r="L137" s="14"/>
    </row>
    <row r="138" spans="1:12" x14ac:dyDescent="0.25">
      <c r="A138" s="3">
        <f t="shared" si="15"/>
        <v>137</v>
      </c>
      <c r="B138" s="3" t="s">
        <v>154</v>
      </c>
      <c r="C138" s="3" t="s">
        <v>7</v>
      </c>
      <c r="D138" s="4">
        <v>3410.5</v>
      </c>
      <c r="E138" s="5">
        <v>46066</v>
      </c>
      <c r="F138" s="7">
        <v>1647</v>
      </c>
      <c r="G138" s="6" t="s">
        <v>219</v>
      </c>
      <c r="H138" s="10">
        <f t="shared" si="11"/>
        <v>3969.2700000000004</v>
      </c>
      <c r="I138" s="9">
        <f t="shared" si="12"/>
        <v>396.92700000000002</v>
      </c>
      <c r="J138" s="9">
        <f t="shared" si="13"/>
        <v>3572.3430000000003</v>
      </c>
      <c r="K138" s="12">
        <f t="shared" si="14"/>
        <v>-161.8430000000003</v>
      </c>
      <c r="L138" s="14"/>
    </row>
    <row r="139" spans="1:12" x14ac:dyDescent="0.25">
      <c r="A139" s="3">
        <f t="shared" si="15"/>
        <v>138</v>
      </c>
      <c r="B139" s="3" t="s">
        <v>155</v>
      </c>
      <c r="C139" s="3" t="s">
        <v>7</v>
      </c>
      <c r="D139" s="4">
        <v>4008</v>
      </c>
      <c r="E139" s="5">
        <v>46027</v>
      </c>
      <c r="F139" s="7">
        <v>1937</v>
      </c>
      <c r="G139" s="6" t="s">
        <v>219</v>
      </c>
      <c r="H139" s="10">
        <f t="shared" si="11"/>
        <v>4668.17</v>
      </c>
      <c r="I139" s="9">
        <f t="shared" si="12"/>
        <v>466.81700000000001</v>
      </c>
      <c r="J139" s="9">
        <f t="shared" si="13"/>
        <v>4201.3530000000001</v>
      </c>
      <c r="K139" s="12">
        <f t="shared" si="14"/>
        <v>-193.35300000000007</v>
      </c>
      <c r="L139" s="14"/>
    </row>
    <row r="140" spans="1:12" x14ac:dyDescent="0.25">
      <c r="A140" s="3">
        <f t="shared" si="15"/>
        <v>139</v>
      </c>
      <c r="B140" s="3" t="s">
        <v>156</v>
      </c>
      <c r="C140" s="3" t="s">
        <v>7</v>
      </c>
      <c r="D140" s="4">
        <v>4038.75</v>
      </c>
      <c r="E140" s="5">
        <v>46066</v>
      </c>
      <c r="F140" s="7">
        <v>2047</v>
      </c>
      <c r="G140" s="6" t="s">
        <v>219</v>
      </c>
      <c r="H140" s="10">
        <f t="shared" si="11"/>
        <v>4933.2700000000004</v>
      </c>
      <c r="I140" s="9">
        <f t="shared" si="12"/>
        <v>493.32700000000006</v>
      </c>
      <c r="J140" s="9">
        <f t="shared" si="13"/>
        <v>4439.9430000000002</v>
      </c>
      <c r="K140" s="12">
        <f t="shared" si="14"/>
        <v>-401.19300000000021</v>
      </c>
      <c r="L140" s="14"/>
    </row>
    <row r="141" spans="1:12" x14ac:dyDescent="0.25">
      <c r="A141" s="3">
        <f t="shared" si="15"/>
        <v>140</v>
      </c>
      <c r="B141" s="3" t="s">
        <v>157</v>
      </c>
      <c r="C141" s="3" t="s">
        <v>7</v>
      </c>
      <c r="D141" s="4">
        <v>4738.8</v>
      </c>
      <c r="E141" s="5">
        <v>46066</v>
      </c>
      <c r="F141" s="7">
        <v>2397</v>
      </c>
      <c r="G141" s="6" t="s">
        <v>219</v>
      </c>
      <c r="H141" s="10">
        <f t="shared" si="11"/>
        <v>5776.77</v>
      </c>
      <c r="I141" s="9">
        <f t="shared" si="12"/>
        <v>577.67700000000002</v>
      </c>
      <c r="J141" s="9">
        <f t="shared" si="13"/>
        <v>5199.0930000000008</v>
      </c>
      <c r="K141" s="12">
        <f t="shared" si="14"/>
        <v>-460.29300000000057</v>
      </c>
      <c r="L141" s="14"/>
    </row>
    <row r="142" spans="1:12" x14ac:dyDescent="0.25">
      <c r="A142" s="3">
        <f t="shared" si="15"/>
        <v>141</v>
      </c>
      <c r="B142" s="3" t="s">
        <v>158</v>
      </c>
      <c r="C142" s="3" t="s">
        <v>7</v>
      </c>
      <c r="D142" s="4">
        <v>2685</v>
      </c>
      <c r="E142" s="5">
        <v>46027</v>
      </c>
      <c r="F142" s="7">
        <v>2499</v>
      </c>
      <c r="G142" s="6" t="s">
        <v>228</v>
      </c>
      <c r="H142" s="10">
        <f t="shared" si="11"/>
        <v>6022.59</v>
      </c>
      <c r="I142" s="9">
        <f t="shared" si="12"/>
        <v>602.25900000000001</v>
      </c>
      <c r="J142" s="9">
        <f t="shared" si="13"/>
        <v>5420.3310000000001</v>
      </c>
      <c r="K142" s="12">
        <f t="shared" si="14"/>
        <v>-2735.3310000000001</v>
      </c>
      <c r="L142" s="14" t="s">
        <v>239</v>
      </c>
    </row>
    <row r="143" spans="1:12" x14ac:dyDescent="0.25">
      <c r="A143" s="3">
        <f t="shared" si="15"/>
        <v>142</v>
      </c>
      <c r="B143" s="3" t="s">
        <v>159</v>
      </c>
      <c r="C143" s="3" t="s">
        <v>7</v>
      </c>
      <c r="D143" s="4">
        <v>4920</v>
      </c>
      <c r="E143" s="5">
        <v>46027</v>
      </c>
      <c r="F143" s="7">
        <v>2297</v>
      </c>
      <c r="G143" s="6" t="s">
        <v>219</v>
      </c>
      <c r="H143" s="10">
        <f t="shared" si="11"/>
        <v>5535.77</v>
      </c>
      <c r="I143" s="9">
        <f t="shared" si="12"/>
        <v>553.577</v>
      </c>
      <c r="J143" s="9">
        <f t="shared" si="13"/>
        <v>4982.1930000000002</v>
      </c>
      <c r="K143" s="12">
        <f t="shared" si="14"/>
        <v>-62.193000000000211</v>
      </c>
      <c r="L143" s="14"/>
    </row>
    <row r="144" spans="1:12" x14ac:dyDescent="0.25">
      <c r="A144" s="3">
        <f t="shared" si="15"/>
        <v>143</v>
      </c>
      <c r="B144" s="3" t="s">
        <v>160</v>
      </c>
      <c r="C144" s="3" t="s">
        <v>7</v>
      </c>
      <c r="D144" s="4">
        <v>9886</v>
      </c>
      <c r="E144" s="5">
        <v>46027</v>
      </c>
      <c r="F144" s="7">
        <v>5197</v>
      </c>
      <c r="G144" s="6" t="s">
        <v>219</v>
      </c>
      <c r="H144" s="10">
        <f t="shared" si="11"/>
        <v>12524.77</v>
      </c>
      <c r="I144" s="9">
        <f t="shared" si="12"/>
        <v>1252.4770000000001</v>
      </c>
      <c r="J144" s="9">
        <f t="shared" si="13"/>
        <v>11272.293</v>
      </c>
      <c r="K144" s="12">
        <f t="shared" si="14"/>
        <v>-1386.2929999999997</v>
      </c>
      <c r="L144" s="14"/>
    </row>
    <row r="145" spans="1:12" x14ac:dyDescent="0.25">
      <c r="A145" s="3">
        <f t="shared" si="15"/>
        <v>144</v>
      </c>
      <c r="B145" s="3" t="s">
        <v>161</v>
      </c>
      <c r="C145" s="3" t="s">
        <v>7</v>
      </c>
      <c r="D145" s="4">
        <v>8628</v>
      </c>
      <c r="E145" s="5">
        <v>46027</v>
      </c>
      <c r="F145" s="7">
        <v>6099.98</v>
      </c>
      <c r="G145" s="6" t="s">
        <v>224</v>
      </c>
      <c r="H145" s="10">
        <f t="shared" si="11"/>
        <v>14700.951799999999</v>
      </c>
      <c r="I145" s="9">
        <f t="shared" si="12"/>
        <v>1470.0951799999998</v>
      </c>
      <c r="J145" s="9">
        <f t="shared" si="13"/>
        <v>13230.856619999999</v>
      </c>
      <c r="K145" s="12">
        <f t="shared" si="14"/>
        <v>-4602.8566199999987</v>
      </c>
      <c r="L145" s="14"/>
    </row>
    <row r="146" spans="1:12" x14ac:dyDescent="0.25">
      <c r="A146" s="3">
        <f t="shared" si="15"/>
        <v>145</v>
      </c>
      <c r="B146" s="3" t="s">
        <v>162</v>
      </c>
      <c r="C146" s="3" t="s">
        <v>7</v>
      </c>
      <c r="D146" s="4">
        <v>5859.85</v>
      </c>
      <c r="E146" s="5">
        <v>46039</v>
      </c>
      <c r="F146" s="7">
        <v>2997</v>
      </c>
      <c r="G146" s="6" t="s">
        <v>219</v>
      </c>
      <c r="H146" s="10">
        <f t="shared" si="11"/>
        <v>7222.77</v>
      </c>
      <c r="I146" s="9">
        <f t="shared" si="12"/>
        <v>722.27700000000004</v>
      </c>
      <c r="J146" s="9">
        <f t="shared" si="13"/>
        <v>6500.4930000000004</v>
      </c>
      <c r="K146" s="12">
        <f t="shared" si="14"/>
        <v>-640.64300000000003</v>
      </c>
      <c r="L146" s="14"/>
    </row>
    <row r="147" spans="1:12" x14ac:dyDescent="0.25">
      <c r="A147" s="3">
        <f t="shared" si="15"/>
        <v>146</v>
      </c>
      <c r="B147" s="3" t="s">
        <v>163</v>
      </c>
      <c r="C147" s="3" t="s">
        <v>7</v>
      </c>
      <c r="D147" s="4">
        <v>5580</v>
      </c>
      <c r="E147" s="5">
        <v>46030</v>
      </c>
      <c r="F147" s="7">
        <v>2649.99</v>
      </c>
      <c r="G147" s="6" t="s">
        <v>224</v>
      </c>
      <c r="H147" s="10">
        <f t="shared" si="11"/>
        <v>6386.4758999999995</v>
      </c>
      <c r="I147" s="9">
        <f t="shared" si="12"/>
        <v>638.64758999999992</v>
      </c>
      <c r="J147" s="9">
        <f t="shared" si="13"/>
        <v>5747.8283099999999</v>
      </c>
      <c r="K147" s="12">
        <f t="shared" si="14"/>
        <v>-167.82830999999987</v>
      </c>
      <c r="L147" s="14"/>
    </row>
    <row r="148" spans="1:12" x14ac:dyDescent="0.25">
      <c r="A148" s="3">
        <f t="shared" si="15"/>
        <v>147</v>
      </c>
      <c r="B148" s="3" t="s">
        <v>164</v>
      </c>
      <c r="C148" s="3" t="s">
        <v>7</v>
      </c>
      <c r="D148" s="4">
        <v>4817</v>
      </c>
      <c r="E148" s="5">
        <v>46041</v>
      </c>
      <c r="F148" s="7">
        <v>2298</v>
      </c>
      <c r="G148" s="6" t="s">
        <v>219</v>
      </c>
      <c r="H148" s="10">
        <f t="shared" si="11"/>
        <v>5538.18</v>
      </c>
      <c r="I148" s="9">
        <f t="shared" si="12"/>
        <v>553.81799999999998</v>
      </c>
      <c r="J148" s="9">
        <f t="shared" si="13"/>
        <v>4984.3620000000001</v>
      </c>
      <c r="K148" s="12">
        <f t="shared" si="14"/>
        <v>-167.36200000000008</v>
      </c>
      <c r="L148" s="14"/>
    </row>
    <row r="149" spans="1:12" x14ac:dyDescent="0.25">
      <c r="A149" s="3">
        <f t="shared" si="15"/>
        <v>148</v>
      </c>
      <c r="B149" s="3" t="s">
        <v>165</v>
      </c>
      <c r="C149" s="3" t="s">
        <v>7</v>
      </c>
      <c r="D149" s="4">
        <v>6533</v>
      </c>
      <c r="E149" s="5">
        <v>46045</v>
      </c>
      <c r="F149" s="7">
        <v>2897</v>
      </c>
      <c r="G149" s="6" t="s">
        <v>219</v>
      </c>
      <c r="H149" s="10">
        <f t="shared" si="11"/>
        <v>6981.77</v>
      </c>
      <c r="I149" s="9">
        <f t="shared" si="12"/>
        <v>698.17700000000002</v>
      </c>
      <c r="J149" s="9">
        <f t="shared" si="13"/>
        <v>6283.5930000000008</v>
      </c>
      <c r="K149" s="12">
        <f t="shared" si="14"/>
        <v>249.40699999999924</v>
      </c>
      <c r="L149" s="14"/>
    </row>
    <row r="150" spans="1:12" x14ac:dyDescent="0.25">
      <c r="A150" s="3">
        <f t="shared" si="15"/>
        <v>149</v>
      </c>
      <c r="B150" s="3" t="s">
        <v>166</v>
      </c>
      <c r="C150" s="3" t="s">
        <v>167</v>
      </c>
      <c r="D150" s="4">
        <v>1078</v>
      </c>
      <c r="E150" s="5">
        <v>46044</v>
      </c>
      <c r="F150" s="7">
        <v>598</v>
      </c>
      <c r="G150" s="6" t="s">
        <v>228</v>
      </c>
      <c r="H150" s="10">
        <f t="shared" si="11"/>
        <v>1441.18</v>
      </c>
      <c r="I150" s="9">
        <f t="shared" si="12"/>
        <v>144.11799999999999</v>
      </c>
      <c r="J150" s="9">
        <f t="shared" si="13"/>
        <v>1297.0620000000001</v>
      </c>
      <c r="K150" s="12">
        <f t="shared" si="14"/>
        <v>-219.06200000000013</v>
      </c>
      <c r="L150" s="14"/>
    </row>
    <row r="151" spans="1:12" x14ac:dyDescent="0.25">
      <c r="A151" s="3">
        <f t="shared" si="15"/>
        <v>150</v>
      </c>
      <c r="B151" s="3" t="s">
        <v>168</v>
      </c>
      <c r="C151" s="3" t="s">
        <v>167</v>
      </c>
      <c r="D151" s="4">
        <v>1528</v>
      </c>
      <c r="E151" s="5">
        <v>46044</v>
      </c>
      <c r="F151" s="7">
        <v>798</v>
      </c>
      <c r="G151" s="6" t="s">
        <v>228</v>
      </c>
      <c r="H151" s="10">
        <f t="shared" si="11"/>
        <v>1923.18</v>
      </c>
      <c r="I151" s="9">
        <f t="shared" si="12"/>
        <v>192.31800000000001</v>
      </c>
      <c r="J151" s="9">
        <f t="shared" si="13"/>
        <v>1730.8620000000001</v>
      </c>
      <c r="K151" s="12">
        <f t="shared" si="14"/>
        <v>-202.86200000000008</v>
      </c>
      <c r="L151" s="14"/>
    </row>
    <row r="152" spans="1:12" x14ac:dyDescent="0.25">
      <c r="A152" s="3">
        <f t="shared" si="15"/>
        <v>151</v>
      </c>
      <c r="B152" s="3" t="s">
        <v>169</v>
      </c>
      <c r="C152" s="3" t="s">
        <v>167</v>
      </c>
      <c r="D152" s="4">
        <v>1028</v>
      </c>
      <c r="E152" s="5">
        <v>46027</v>
      </c>
      <c r="F152" s="7">
        <v>482.08</v>
      </c>
      <c r="G152" s="6" t="s">
        <v>217</v>
      </c>
      <c r="H152" s="10">
        <f t="shared" si="11"/>
        <v>1161.8127999999999</v>
      </c>
      <c r="I152" s="9">
        <f t="shared" si="12"/>
        <v>116.18127999999999</v>
      </c>
      <c r="J152" s="9">
        <f t="shared" si="13"/>
        <v>1045.6315199999999</v>
      </c>
      <c r="K152" s="12">
        <f t="shared" si="14"/>
        <v>-17.631519999999909</v>
      </c>
      <c r="L152" s="14"/>
    </row>
    <row r="153" spans="1:12" x14ac:dyDescent="0.25">
      <c r="A153" s="3">
        <f t="shared" si="15"/>
        <v>152</v>
      </c>
      <c r="B153" s="3" t="s">
        <v>170</v>
      </c>
      <c r="C153" s="3" t="s">
        <v>167</v>
      </c>
      <c r="D153" s="4">
        <v>1080</v>
      </c>
      <c r="E153" s="5">
        <v>46030</v>
      </c>
      <c r="F153" s="7">
        <v>538</v>
      </c>
      <c r="G153" s="6" t="s">
        <v>228</v>
      </c>
      <c r="H153" s="10">
        <f t="shared" si="11"/>
        <v>1296.5800000000002</v>
      </c>
      <c r="I153" s="9">
        <f t="shared" si="12"/>
        <v>129.65800000000002</v>
      </c>
      <c r="J153" s="9">
        <f t="shared" si="13"/>
        <v>1166.922</v>
      </c>
      <c r="K153" s="12">
        <f t="shared" si="14"/>
        <v>-86.922000000000025</v>
      </c>
      <c r="L153" s="14"/>
    </row>
    <row r="154" spans="1:12" x14ac:dyDescent="0.25">
      <c r="A154" s="3">
        <f t="shared" si="15"/>
        <v>153</v>
      </c>
      <c r="B154" s="3" t="s">
        <v>171</v>
      </c>
      <c r="C154" s="3" t="s">
        <v>167</v>
      </c>
      <c r="D154" s="4">
        <v>1079</v>
      </c>
      <c r="E154" s="5">
        <v>46044</v>
      </c>
      <c r="F154" s="7">
        <v>598</v>
      </c>
      <c r="G154" s="6" t="s">
        <v>228</v>
      </c>
      <c r="H154" s="10">
        <f t="shared" si="11"/>
        <v>1441.18</v>
      </c>
      <c r="I154" s="9">
        <f t="shared" si="12"/>
        <v>144.11799999999999</v>
      </c>
      <c r="J154" s="9">
        <f t="shared" si="13"/>
        <v>1297.0620000000001</v>
      </c>
      <c r="K154" s="12">
        <f t="shared" si="14"/>
        <v>-218.06200000000013</v>
      </c>
      <c r="L154" s="14"/>
    </row>
    <row r="155" spans="1:12" x14ac:dyDescent="0.25">
      <c r="A155" s="3">
        <f t="shared" si="15"/>
        <v>154</v>
      </c>
      <c r="B155" s="3" t="s">
        <v>172</v>
      </c>
      <c r="C155" s="3" t="s">
        <v>167</v>
      </c>
      <c r="D155" s="4">
        <v>1438</v>
      </c>
      <c r="E155" s="5">
        <v>46044</v>
      </c>
      <c r="F155" s="7">
        <v>788</v>
      </c>
      <c r="G155" s="6" t="s">
        <v>228</v>
      </c>
      <c r="H155" s="10">
        <f t="shared" si="11"/>
        <v>1899.0800000000002</v>
      </c>
      <c r="I155" s="9">
        <f t="shared" si="12"/>
        <v>189.90800000000002</v>
      </c>
      <c r="J155" s="9">
        <f t="shared" si="13"/>
        <v>1709.172</v>
      </c>
      <c r="K155" s="12">
        <f t="shared" si="14"/>
        <v>-271.17200000000003</v>
      </c>
      <c r="L155" s="14"/>
    </row>
    <row r="156" spans="1:12" x14ac:dyDescent="0.25">
      <c r="A156" s="3">
        <f t="shared" si="15"/>
        <v>155</v>
      </c>
      <c r="B156" s="3" t="s">
        <v>173</v>
      </c>
      <c r="C156" s="3" t="s">
        <v>167</v>
      </c>
      <c r="D156" s="4">
        <v>1260</v>
      </c>
      <c r="E156" s="5">
        <v>46030</v>
      </c>
      <c r="F156" s="7">
        <v>538</v>
      </c>
      <c r="G156" s="6" t="s">
        <v>228</v>
      </c>
      <c r="H156" s="10">
        <f t="shared" si="11"/>
        <v>1296.5800000000002</v>
      </c>
      <c r="I156" s="9">
        <f t="shared" si="12"/>
        <v>129.65800000000002</v>
      </c>
      <c r="J156" s="9">
        <f t="shared" si="13"/>
        <v>1166.922</v>
      </c>
      <c r="K156" s="12">
        <f t="shared" si="14"/>
        <v>93.077999999999975</v>
      </c>
      <c r="L156" s="14"/>
    </row>
    <row r="157" spans="1:12" x14ac:dyDescent="0.25">
      <c r="A157" s="3">
        <f t="shared" si="15"/>
        <v>156</v>
      </c>
      <c r="B157" s="3" t="s">
        <v>174</v>
      </c>
      <c r="C157" s="3" t="s">
        <v>167</v>
      </c>
      <c r="D157" s="4">
        <v>1258</v>
      </c>
      <c r="E157" s="5">
        <v>46044</v>
      </c>
      <c r="F157" s="7">
        <v>689</v>
      </c>
      <c r="G157" s="6" t="s">
        <v>222</v>
      </c>
      <c r="H157" s="10">
        <f t="shared" si="11"/>
        <v>1660.49</v>
      </c>
      <c r="I157" s="9">
        <f t="shared" si="12"/>
        <v>166.04900000000001</v>
      </c>
      <c r="J157" s="9">
        <f t="shared" si="13"/>
        <v>1494.441</v>
      </c>
      <c r="K157" s="12">
        <f t="shared" si="14"/>
        <v>-236.44100000000003</v>
      </c>
      <c r="L157" s="14"/>
    </row>
    <row r="158" spans="1:12" x14ac:dyDescent="0.25">
      <c r="A158" s="3">
        <f t="shared" si="15"/>
        <v>157</v>
      </c>
      <c r="B158" s="3" t="s">
        <v>175</v>
      </c>
      <c r="C158" s="3" t="s">
        <v>176</v>
      </c>
      <c r="D158" s="4">
        <v>295</v>
      </c>
      <c r="E158" s="5">
        <v>46027</v>
      </c>
      <c r="F158" s="7">
        <v>399</v>
      </c>
      <c r="G158" s="6" t="s">
        <v>222</v>
      </c>
      <c r="H158" s="10">
        <f t="shared" si="11"/>
        <v>961.59</v>
      </c>
      <c r="I158" s="9">
        <f t="shared" si="12"/>
        <v>96.159000000000006</v>
      </c>
      <c r="J158" s="9">
        <f t="shared" si="13"/>
        <v>865.43100000000004</v>
      </c>
      <c r="K158" s="12">
        <f t="shared" si="14"/>
        <v>-570.43100000000004</v>
      </c>
      <c r="L158" s="14"/>
    </row>
    <row r="159" spans="1:12" x14ac:dyDescent="0.25">
      <c r="A159" s="3">
        <f t="shared" si="15"/>
        <v>158</v>
      </c>
      <c r="B159" s="3" t="s">
        <v>177</v>
      </c>
      <c r="C159" s="3" t="s">
        <v>176</v>
      </c>
      <c r="D159" s="4">
        <v>108</v>
      </c>
      <c r="E159" s="5">
        <v>46027</v>
      </c>
      <c r="F159" s="7">
        <v>198</v>
      </c>
      <c r="G159" s="6" t="s">
        <v>228</v>
      </c>
      <c r="H159" s="10">
        <f t="shared" si="11"/>
        <v>477.18</v>
      </c>
      <c r="I159" s="9">
        <f t="shared" si="12"/>
        <v>47.718000000000004</v>
      </c>
      <c r="J159" s="9">
        <f t="shared" si="13"/>
        <v>429.46199999999999</v>
      </c>
      <c r="K159" s="12">
        <f t="shared" si="14"/>
        <v>-321.46199999999999</v>
      </c>
      <c r="L159" s="14"/>
    </row>
    <row r="160" spans="1:12" x14ac:dyDescent="0.25">
      <c r="A160" s="3">
        <f t="shared" si="15"/>
        <v>159</v>
      </c>
      <c r="B160" s="3" t="s">
        <v>178</v>
      </c>
      <c r="C160" s="3" t="s">
        <v>176</v>
      </c>
      <c r="D160" s="4">
        <v>270</v>
      </c>
      <c r="E160" s="5">
        <v>46027</v>
      </c>
      <c r="F160" s="7">
        <v>249</v>
      </c>
      <c r="G160" s="6" t="s">
        <v>222</v>
      </c>
      <c r="H160" s="10">
        <f t="shared" si="11"/>
        <v>600.09</v>
      </c>
      <c r="I160" s="9">
        <f t="shared" si="12"/>
        <v>60.009</v>
      </c>
      <c r="J160" s="9">
        <f t="shared" si="13"/>
        <v>540.08100000000002</v>
      </c>
      <c r="K160" s="12">
        <f t="shared" si="14"/>
        <v>-270.08100000000002</v>
      </c>
      <c r="L160" s="14" t="s">
        <v>240</v>
      </c>
    </row>
    <row r="161" spans="1:12" x14ac:dyDescent="0.25">
      <c r="A161" s="3">
        <f t="shared" si="15"/>
        <v>160</v>
      </c>
      <c r="B161" s="3" t="s">
        <v>179</v>
      </c>
      <c r="C161" s="3" t="s">
        <v>180</v>
      </c>
      <c r="D161" s="4">
        <v>841.5</v>
      </c>
      <c r="E161" s="5">
        <v>46027</v>
      </c>
      <c r="F161" s="7">
        <v>449</v>
      </c>
      <c r="G161" s="6" t="s">
        <v>225</v>
      </c>
      <c r="H161" s="10">
        <f t="shared" si="11"/>
        <v>1082.0900000000001</v>
      </c>
      <c r="I161" s="9">
        <f t="shared" si="12"/>
        <v>108.20900000000002</v>
      </c>
      <c r="J161" s="9">
        <f t="shared" si="13"/>
        <v>973.88100000000009</v>
      </c>
      <c r="K161" s="12">
        <f t="shared" si="14"/>
        <v>-132.38100000000009</v>
      </c>
      <c r="L161" s="14"/>
    </row>
    <row r="162" spans="1:12" x14ac:dyDescent="0.25">
      <c r="A162" s="3">
        <f t="shared" si="15"/>
        <v>161</v>
      </c>
      <c r="B162" s="3" t="s">
        <v>181</v>
      </c>
      <c r="C162" s="3" t="s">
        <v>180</v>
      </c>
      <c r="D162" s="4">
        <v>92.5</v>
      </c>
      <c r="E162" s="5">
        <v>46027</v>
      </c>
      <c r="F162" s="7">
        <v>57</v>
      </c>
      <c r="G162" s="6" t="s">
        <v>222</v>
      </c>
      <c r="H162" s="10">
        <f t="shared" si="11"/>
        <v>137.37</v>
      </c>
      <c r="I162" s="9">
        <f t="shared" si="12"/>
        <v>13.737</v>
      </c>
      <c r="J162" s="9">
        <f t="shared" si="13"/>
        <v>123.63300000000001</v>
      </c>
      <c r="K162" s="12">
        <f t="shared" si="14"/>
        <v>-31.13300000000001</v>
      </c>
      <c r="L162" s="14"/>
    </row>
    <row r="163" spans="1:12" x14ac:dyDescent="0.25">
      <c r="A163" s="3">
        <f t="shared" si="15"/>
        <v>162</v>
      </c>
      <c r="B163" s="3" t="s">
        <v>182</v>
      </c>
      <c r="C163" s="3" t="s">
        <v>180</v>
      </c>
      <c r="D163" s="4">
        <v>946.4</v>
      </c>
      <c r="E163" s="5">
        <v>46027</v>
      </c>
      <c r="F163" s="7">
        <v>479</v>
      </c>
      <c r="G163" s="6" t="s">
        <v>222</v>
      </c>
      <c r="H163" s="10">
        <f t="shared" si="11"/>
        <v>1154.3900000000001</v>
      </c>
      <c r="I163" s="9">
        <f t="shared" si="12"/>
        <v>115.43900000000001</v>
      </c>
      <c r="J163" s="9">
        <f t="shared" si="13"/>
        <v>1038.951</v>
      </c>
      <c r="K163" s="12">
        <f t="shared" si="14"/>
        <v>-92.551000000000045</v>
      </c>
      <c r="L163" s="14"/>
    </row>
    <row r="164" spans="1:12" x14ac:dyDescent="0.25">
      <c r="A164" s="3">
        <f t="shared" si="15"/>
        <v>163</v>
      </c>
      <c r="B164" s="3" t="s">
        <v>183</v>
      </c>
      <c r="C164" s="3" t="s">
        <v>184</v>
      </c>
      <c r="D164" s="4">
        <v>1293.3800000000001</v>
      </c>
      <c r="E164" s="5">
        <v>46027</v>
      </c>
      <c r="F164" s="7">
        <v>659</v>
      </c>
      <c r="G164" s="6" t="s">
        <v>219</v>
      </c>
      <c r="H164" s="10">
        <f t="shared" si="11"/>
        <v>1588.19</v>
      </c>
      <c r="I164" s="9">
        <f t="shared" si="12"/>
        <v>158.81900000000002</v>
      </c>
      <c r="J164" s="9">
        <f t="shared" si="13"/>
        <v>1429.3710000000001</v>
      </c>
      <c r="K164" s="12">
        <f t="shared" si="14"/>
        <v>-135.99099999999999</v>
      </c>
      <c r="L164" s="14"/>
    </row>
    <row r="165" spans="1:12" x14ac:dyDescent="0.25">
      <c r="A165" s="3">
        <f t="shared" si="15"/>
        <v>164</v>
      </c>
      <c r="B165" s="3" t="s">
        <v>185</v>
      </c>
      <c r="C165" s="3" t="s">
        <v>184</v>
      </c>
      <c r="D165" s="4">
        <v>1658</v>
      </c>
      <c r="E165" s="5">
        <v>46027</v>
      </c>
      <c r="F165" s="7">
        <v>729</v>
      </c>
      <c r="G165" s="6" t="s">
        <v>219</v>
      </c>
      <c r="H165" s="10">
        <f t="shared" si="11"/>
        <v>1756.89</v>
      </c>
      <c r="I165" s="9">
        <f t="shared" si="12"/>
        <v>175.68900000000002</v>
      </c>
      <c r="J165" s="9">
        <f t="shared" si="13"/>
        <v>1581.201</v>
      </c>
      <c r="K165" s="12">
        <f t="shared" si="14"/>
        <v>76.798999999999978</v>
      </c>
      <c r="L165" s="14"/>
    </row>
    <row r="166" spans="1:12" x14ac:dyDescent="0.25">
      <c r="A166" s="3">
        <f t="shared" si="15"/>
        <v>165</v>
      </c>
      <c r="B166" s="3" t="s">
        <v>186</v>
      </c>
      <c r="C166" s="3" t="s">
        <v>184</v>
      </c>
      <c r="D166" s="4">
        <v>646</v>
      </c>
      <c r="E166" s="5">
        <v>46027</v>
      </c>
      <c r="F166" s="7">
        <v>448</v>
      </c>
      <c r="G166" s="6" t="s">
        <v>228</v>
      </c>
      <c r="H166" s="10">
        <f t="shared" si="11"/>
        <v>1079.68</v>
      </c>
      <c r="I166" s="9">
        <f t="shared" si="12"/>
        <v>107.968</v>
      </c>
      <c r="J166" s="9">
        <f t="shared" si="13"/>
        <v>971.7120000000001</v>
      </c>
      <c r="K166" s="12">
        <f t="shared" si="14"/>
        <v>-325.7120000000001</v>
      </c>
      <c r="L166" s="14"/>
    </row>
    <row r="167" spans="1:12" x14ac:dyDescent="0.25">
      <c r="A167" s="3">
        <f t="shared" si="15"/>
        <v>166</v>
      </c>
      <c r="B167" s="3" t="s">
        <v>187</v>
      </c>
      <c r="C167" s="3" t="s">
        <v>188</v>
      </c>
      <c r="D167" s="4">
        <v>7</v>
      </c>
      <c r="E167" s="5">
        <v>46027</v>
      </c>
      <c r="F167" s="7">
        <v>49</v>
      </c>
      <c r="G167" s="6" t="s">
        <v>222</v>
      </c>
      <c r="H167" s="10">
        <f t="shared" si="11"/>
        <v>118.09</v>
      </c>
      <c r="I167" s="9">
        <f t="shared" si="12"/>
        <v>11.809000000000001</v>
      </c>
      <c r="J167" s="9">
        <f t="shared" si="13"/>
        <v>106.28100000000001</v>
      </c>
      <c r="K167" s="12">
        <f t="shared" si="14"/>
        <v>-99.281000000000006</v>
      </c>
      <c r="L167" s="14"/>
    </row>
    <row r="168" spans="1:12" x14ac:dyDescent="0.25">
      <c r="A168" s="3">
        <f t="shared" si="15"/>
        <v>167</v>
      </c>
      <c r="B168" s="3" t="s">
        <v>189</v>
      </c>
      <c r="C168" s="3" t="s">
        <v>188</v>
      </c>
      <c r="D168" s="4">
        <v>7</v>
      </c>
      <c r="E168" s="5">
        <v>46027</v>
      </c>
      <c r="F168" s="7">
        <v>26.95</v>
      </c>
      <c r="G168" s="6" t="s">
        <v>222</v>
      </c>
      <c r="H168" s="10">
        <f t="shared" si="11"/>
        <v>64.9495</v>
      </c>
      <c r="I168" s="9">
        <f t="shared" si="12"/>
        <v>6.4949500000000002</v>
      </c>
      <c r="J168" s="9">
        <f t="shared" si="13"/>
        <v>58.454549999999998</v>
      </c>
      <c r="K168" s="12">
        <f t="shared" si="14"/>
        <v>-51.454549999999998</v>
      </c>
      <c r="L168" s="14"/>
    </row>
    <row r="169" spans="1:12" x14ac:dyDescent="0.25">
      <c r="A169" s="3">
        <f t="shared" si="15"/>
        <v>168</v>
      </c>
      <c r="B169" s="3" t="s">
        <v>190</v>
      </c>
      <c r="C169" s="3" t="s">
        <v>61</v>
      </c>
      <c r="D169" s="4">
        <v>503.5</v>
      </c>
      <c r="E169" s="5">
        <v>46027</v>
      </c>
      <c r="F169" s="7">
        <v>328</v>
      </c>
      <c r="G169" s="6" t="s">
        <v>228</v>
      </c>
      <c r="H169" s="10">
        <f t="shared" si="11"/>
        <v>790.48</v>
      </c>
      <c r="I169" s="9">
        <f t="shared" si="12"/>
        <v>79.048000000000002</v>
      </c>
      <c r="J169" s="9">
        <f t="shared" si="13"/>
        <v>711.43200000000002</v>
      </c>
      <c r="K169" s="12">
        <f t="shared" si="14"/>
        <v>-207.93200000000002</v>
      </c>
      <c r="L169" s="14"/>
    </row>
    <row r="170" spans="1:12" x14ac:dyDescent="0.25">
      <c r="A170" s="3">
        <f t="shared" si="15"/>
        <v>169</v>
      </c>
      <c r="B170" s="3" t="s">
        <v>191</v>
      </c>
      <c r="C170" s="3" t="s">
        <v>61</v>
      </c>
      <c r="D170" s="4">
        <v>1142</v>
      </c>
      <c r="E170" s="5">
        <v>46027</v>
      </c>
      <c r="F170" s="7">
        <v>648</v>
      </c>
      <c r="G170" s="6" t="s">
        <v>228</v>
      </c>
      <c r="H170" s="10">
        <f t="shared" si="11"/>
        <v>1561.68</v>
      </c>
      <c r="I170" s="9">
        <f t="shared" si="12"/>
        <v>156.16800000000001</v>
      </c>
      <c r="J170" s="9">
        <f t="shared" si="13"/>
        <v>1405.5120000000002</v>
      </c>
      <c r="K170" s="12">
        <f t="shared" si="14"/>
        <v>-263.51200000000017</v>
      </c>
      <c r="L170" s="14"/>
    </row>
    <row r="171" spans="1:12" x14ac:dyDescent="0.25">
      <c r="A171" s="3">
        <f t="shared" si="15"/>
        <v>170</v>
      </c>
      <c r="B171" s="3" t="s">
        <v>192</v>
      </c>
      <c r="C171" s="3"/>
      <c r="D171" s="4">
        <v>4</v>
      </c>
      <c r="E171" s="5">
        <v>46026</v>
      </c>
      <c r="F171" s="7">
        <v>8.5</v>
      </c>
      <c r="G171" s="6" t="s">
        <v>222</v>
      </c>
      <c r="H171" s="10">
        <f t="shared" si="11"/>
        <v>20.484999999999999</v>
      </c>
      <c r="I171" s="9">
        <f t="shared" si="12"/>
        <v>2.0484999999999998</v>
      </c>
      <c r="J171" s="9">
        <f t="shared" si="13"/>
        <v>18.436499999999999</v>
      </c>
      <c r="K171" s="12">
        <f t="shared" si="14"/>
        <v>-14.436499999999999</v>
      </c>
      <c r="L171" s="14"/>
    </row>
    <row r="172" spans="1:12" x14ac:dyDescent="0.25">
      <c r="A172" s="3">
        <f t="shared" si="15"/>
        <v>171</v>
      </c>
      <c r="B172" s="3" t="s">
        <v>193</v>
      </c>
      <c r="C172" s="3" t="s">
        <v>194</v>
      </c>
      <c r="D172" s="4">
        <v>4</v>
      </c>
      <c r="E172" s="5">
        <v>46026</v>
      </c>
      <c r="F172" s="7">
        <v>149</v>
      </c>
      <c r="G172" s="6" t="s">
        <v>225</v>
      </c>
      <c r="H172" s="10">
        <f t="shared" si="11"/>
        <v>359.09000000000003</v>
      </c>
      <c r="I172" s="9">
        <f t="shared" si="12"/>
        <v>35.909000000000006</v>
      </c>
      <c r="J172" s="9">
        <f t="shared" si="13"/>
        <v>323.18100000000004</v>
      </c>
      <c r="K172" s="12">
        <f t="shared" si="14"/>
        <v>-319.18100000000004</v>
      </c>
      <c r="L172" s="14"/>
    </row>
    <row r="173" spans="1:12" x14ac:dyDescent="0.25">
      <c r="A173" s="3">
        <f t="shared" si="15"/>
        <v>172</v>
      </c>
      <c r="B173" s="3" t="s">
        <v>195</v>
      </c>
      <c r="C173" s="3" t="s">
        <v>61</v>
      </c>
      <c r="D173" s="4">
        <v>151</v>
      </c>
      <c r="E173" s="5">
        <v>46027</v>
      </c>
      <c r="F173" s="7">
        <v>124</v>
      </c>
      <c r="G173" s="6" t="s">
        <v>222</v>
      </c>
      <c r="H173" s="10">
        <f t="shared" si="11"/>
        <v>298.84000000000003</v>
      </c>
      <c r="I173" s="9">
        <f t="shared" si="12"/>
        <v>29.884000000000004</v>
      </c>
      <c r="J173" s="9">
        <f t="shared" si="13"/>
        <v>268.95600000000002</v>
      </c>
      <c r="K173" s="12">
        <f t="shared" si="14"/>
        <v>-117.95600000000002</v>
      </c>
      <c r="L173" s="14"/>
    </row>
    <row r="174" spans="1:12" x14ac:dyDescent="0.25">
      <c r="A174" s="3">
        <f t="shared" si="15"/>
        <v>173</v>
      </c>
      <c r="B174" s="3" t="s">
        <v>196</v>
      </c>
      <c r="C174" s="3" t="s">
        <v>61</v>
      </c>
      <c r="D174" s="4">
        <v>161.55000000000001</v>
      </c>
      <c r="E174" s="5">
        <v>46055</v>
      </c>
      <c r="F174" s="7">
        <v>108</v>
      </c>
      <c r="G174" s="6" t="s">
        <v>228</v>
      </c>
      <c r="H174" s="10">
        <f t="shared" si="11"/>
        <v>260.28000000000003</v>
      </c>
      <c r="I174" s="9">
        <f t="shared" si="12"/>
        <v>26.028000000000002</v>
      </c>
      <c r="J174" s="9">
        <f t="shared" si="13"/>
        <v>234.25200000000004</v>
      </c>
      <c r="K174" s="12">
        <f t="shared" si="14"/>
        <v>-72.702000000000027</v>
      </c>
      <c r="L174" s="14"/>
    </row>
    <row r="175" spans="1:12" x14ac:dyDescent="0.25">
      <c r="A175" s="3">
        <f t="shared" si="15"/>
        <v>174</v>
      </c>
      <c r="B175" s="3" t="s">
        <v>197</v>
      </c>
      <c r="C175" s="3" t="s">
        <v>61</v>
      </c>
      <c r="D175" s="4">
        <v>2300.8000000000002</v>
      </c>
      <c r="E175" s="5">
        <v>46027</v>
      </c>
      <c r="F175" s="7">
        <v>1199</v>
      </c>
      <c r="G175" s="6" t="s">
        <v>222</v>
      </c>
      <c r="H175" s="10">
        <f t="shared" si="11"/>
        <v>2889.59</v>
      </c>
      <c r="I175" s="9">
        <f t="shared" si="12"/>
        <v>288.959</v>
      </c>
      <c r="J175" s="9">
        <f t="shared" si="13"/>
        <v>2600.6310000000003</v>
      </c>
      <c r="K175" s="12">
        <f t="shared" si="14"/>
        <v>-299.83100000000013</v>
      </c>
      <c r="L175" s="14"/>
    </row>
    <row r="176" spans="1:12" x14ac:dyDescent="0.25">
      <c r="A176" s="3">
        <f t="shared" si="15"/>
        <v>175</v>
      </c>
      <c r="B176" s="3" t="s">
        <v>198</v>
      </c>
      <c r="C176" s="3" t="s">
        <v>61</v>
      </c>
      <c r="D176" s="4">
        <v>1141.9000000000001</v>
      </c>
      <c r="E176" s="5">
        <v>46044</v>
      </c>
      <c r="F176" s="7">
        <v>748</v>
      </c>
      <c r="G176" s="6" t="s">
        <v>228</v>
      </c>
      <c r="H176" s="10">
        <f t="shared" si="11"/>
        <v>1802.68</v>
      </c>
      <c r="I176" s="9">
        <f t="shared" si="12"/>
        <v>180.268</v>
      </c>
      <c r="J176" s="9">
        <f t="shared" si="13"/>
        <v>1622.412</v>
      </c>
      <c r="K176" s="12">
        <f t="shared" si="14"/>
        <v>-480.51199999999994</v>
      </c>
      <c r="L176" s="14"/>
    </row>
    <row r="177" spans="1:12" x14ac:dyDescent="0.25">
      <c r="A177" s="3">
        <f t="shared" si="15"/>
        <v>176</v>
      </c>
      <c r="B177" s="3" t="s">
        <v>199</v>
      </c>
      <c r="C177" s="3" t="s">
        <v>61</v>
      </c>
      <c r="D177" s="4">
        <v>1528</v>
      </c>
      <c r="E177" s="5">
        <v>46045</v>
      </c>
      <c r="F177" s="7">
        <v>799.99</v>
      </c>
      <c r="G177" s="6" t="s">
        <v>224</v>
      </c>
      <c r="H177" s="10">
        <f t="shared" si="11"/>
        <v>1927.9759000000001</v>
      </c>
      <c r="I177" s="9">
        <f t="shared" si="12"/>
        <v>192.79759000000001</v>
      </c>
      <c r="J177" s="9">
        <f t="shared" si="13"/>
        <v>1735.1783100000002</v>
      </c>
      <c r="K177" s="12">
        <f t="shared" si="14"/>
        <v>-207.17831000000024</v>
      </c>
      <c r="L177" s="14"/>
    </row>
    <row r="178" spans="1:12" x14ac:dyDescent="0.25">
      <c r="A178" s="3">
        <f t="shared" si="15"/>
        <v>177</v>
      </c>
      <c r="B178" s="3" t="s">
        <v>200</v>
      </c>
      <c r="C178" s="3" t="s">
        <v>167</v>
      </c>
      <c r="D178" s="4">
        <v>1544.65</v>
      </c>
      <c r="E178" s="5">
        <v>46027</v>
      </c>
      <c r="F178" s="7">
        <v>449</v>
      </c>
      <c r="G178" s="6" t="s">
        <v>222</v>
      </c>
      <c r="H178" s="10">
        <f t="shared" si="11"/>
        <v>1082.0900000000001</v>
      </c>
      <c r="I178" s="9">
        <f t="shared" si="12"/>
        <v>108.20900000000002</v>
      </c>
      <c r="J178" s="9">
        <f t="shared" si="13"/>
        <v>973.88100000000009</v>
      </c>
      <c r="K178" s="13">
        <f t="shared" si="14"/>
        <v>570.76900000000001</v>
      </c>
      <c r="L178" s="14"/>
    </row>
    <row r="179" spans="1:12" x14ac:dyDescent="0.25">
      <c r="A179" s="3">
        <f t="shared" si="15"/>
        <v>178</v>
      </c>
      <c r="B179" s="3" t="s">
        <v>201</v>
      </c>
      <c r="C179" s="3" t="s">
        <v>63</v>
      </c>
      <c r="D179" s="4">
        <v>4304.33</v>
      </c>
      <c r="E179" s="5">
        <v>46027</v>
      </c>
      <c r="F179" s="7">
        <v>1898</v>
      </c>
      <c r="G179" s="6" t="s">
        <v>219</v>
      </c>
      <c r="H179" s="10">
        <f t="shared" si="11"/>
        <v>4574.18</v>
      </c>
      <c r="I179" s="9">
        <f t="shared" si="12"/>
        <v>457.41800000000001</v>
      </c>
      <c r="J179" s="9">
        <f t="shared" si="13"/>
        <v>4116.7620000000006</v>
      </c>
      <c r="K179" s="13">
        <f t="shared" si="14"/>
        <v>187.5679999999993</v>
      </c>
      <c r="L179" s="14"/>
    </row>
    <row r="180" spans="1:12" x14ac:dyDescent="0.25">
      <c r="A180" s="3">
        <f t="shared" si="15"/>
        <v>179</v>
      </c>
      <c r="B180" s="3" t="s">
        <v>202</v>
      </c>
      <c r="C180" s="3" t="s">
        <v>203</v>
      </c>
      <c r="D180" s="4">
        <v>1</v>
      </c>
      <c r="E180" s="5">
        <v>46026</v>
      </c>
      <c r="F180" s="7">
        <v>23.2</v>
      </c>
      <c r="G180" s="6" t="s">
        <v>221</v>
      </c>
      <c r="H180" s="10">
        <f t="shared" si="11"/>
        <v>55.911999999999999</v>
      </c>
      <c r="I180" s="9">
        <f t="shared" si="12"/>
        <v>5.5911999999999997</v>
      </c>
      <c r="J180" s="9">
        <f t="shared" si="13"/>
        <v>50.320799999999998</v>
      </c>
      <c r="K180" s="12">
        <f t="shared" si="14"/>
        <v>-49.320799999999998</v>
      </c>
      <c r="L180" s="14"/>
    </row>
    <row r="181" spans="1:12" x14ac:dyDescent="0.25">
      <c r="A181" s="3">
        <f t="shared" si="15"/>
        <v>180</v>
      </c>
      <c r="B181" s="3" t="s">
        <v>204</v>
      </c>
      <c r="C181" s="3" t="s">
        <v>205</v>
      </c>
      <c r="D181" s="4">
        <v>3753.63</v>
      </c>
      <c r="E181" s="5">
        <v>46027</v>
      </c>
      <c r="F181" s="7">
        <v>999</v>
      </c>
      <c r="G181" s="6" t="s">
        <v>222</v>
      </c>
      <c r="H181" s="10">
        <f t="shared" si="11"/>
        <v>2407.59</v>
      </c>
      <c r="I181" s="9">
        <f t="shared" si="12"/>
        <v>240.75900000000001</v>
      </c>
      <c r="J181" s="9">
        <f t="shared" si="13"/>
        <v>2166.8310000000001</v>
      </c>
      <c r="K181" s="13">
        <f t="shared" si="14"/>
        <v>1586.799</v>
      </c>
      <c r="L181" s="14"/>
    </row>
    <row r="182" spans="1:12" x14ac:dyDescent="0.25">
      <c r="A182" s="3">
        <f t="shared" si="15"/>
        <v>181</v>
      </c>
      <c r="B182" s="3" t="s">
        <v>206</v>
      </c>
      <c r="C182" s="3" t="s">
        <v>207</v>
      </c>
      <c r="D182" s="4">
        <v>743</v>
      </c>
      <c r="E182" s="5">
        <v>46058</v>
      </c>
      <c r="F182" s="7">
        <v>397</v>
      </c>
      <c r="G182" s="6" t="s">
        <v>219</v>
      </c>
      <c r="H182" s="10">
        <f t="shared" si="11"/>
        <v>956.7700000000001</v>
      </c>
      <c r="I182" s="9">
        <f t="shared" si="12"/>
        <v>95.677000000000007</v>
      </c>
      <c r="J182" s="9">
        <f t="shared" si="13"/>
        <v>861.09300000000007</v>
      </c>
      <c r="K182" s="12">
        <f t="shared" si="14"/>
        <v>-118.09300000000007</v>
      </c>
      <c r="L182" s="14"/>
    </row>
    <row r="183" spans="1:12" x14ac:dyDescent="0.25">
      <c r="A183" s="3">
        <f t="shared" si="15"/>
        <v>182</v>
      </c>
      <c r="B183" s="3" t="s">
        <v>208</v>
      </c>
      <c r="C183" s="3" t="s">
        <v>205</v>
      </c>
      <c r="D183" s="4">
        <v>1058.4100000000001</v>
      </c>
      <c r="E183" s="5">
        <v>46066</v>
      </c>
      <c r="F183" s="7">
        <v>459</v>
      </c>
      <c r="G183" s="6" t="s">
        <v>217</v>
      </c>
      <c r="H183" s="10">
        <f t="shared" si="11"/>
        <v>1106.19</v>
      </c>
      <c r="I183" s="9">
        <f t="shared" si="12"/>
        <v>110.619</v>
      </c>
      <c r="J183" s="9">
        <f t="shared" si="13"/>
        <v>995.57100000000003</v>
      </c>
      <c r="K183" s="13">
        <f t="shared" si="14"/>
        <v>62.839000000000055</v>
      </c>
      <c r="L183" s="14"/>
    </row>
    <row r="184" spans="1:12" x14ac:dyDescent="0.25">
      <c r="A184" s="3">
        <f t="shared" si="15"/>
        <v>183</v>
      </c>
      <c r="B184" s="3" t="s">
        <v>209</v>
      </c>
      <c r="C184" s="3" t="s">
        <v>210</v>
      </c>
      <c r="D184" s="4">
        <v>1438</v>
      </c>
      <c r="E184" s="5">
        <v>46039</v>
      </c>
      <c r="F184" s="7">
        <v>899.95</v>
      </c>
      <c r="G184" s="6" t="s">
        <v>226</v>
      </c>
      <c r="H184" s="10">
        <f t="shared" si="11"/>
        <v>2168.8795000000005</v>
      </c>
      <c r="I184" s="9">
        <f t="shared" si="12"/>
        <v>216.88795000000005</v>
      </c>
      <c r="J184" s="9">
        <f t="shared" si="13"/>
        <v>1951.9915500000004</v>
      </c>
      <c r="K184" s="12">
        <f t="shared" si="14"/>
        <v>-513.99155000000042</v>
      </c>
      <c r="L184" s="14"/>
    </row>
    <row r="185" spans="1:12" x14ac:dyDescent="0.25">
      <c r="A185" s="3">
        <f t="shared" si="15"/>
        <v>184</v>
      </c>
      <c r="B185" s="3" t="s">
        <v>211</v>
      </c>
      <c r="C185" s="3" t="s">
        <v>210</v>
      </c>
      <c r="D185" s="4">
        <v>2228.9</v>
      </c>
      <c r="E185" s="5">
        <v>46039</v>
      </c>
      <c r="F185" s="7">
        <v>1179</v>
      </c>
      <c r="G185" s="6" t="s">
        <v>226</v>
      </c>
      <c r="H185" s="10">
        <f t="shared" si="11"/>
        <v>2841.3900000000003</v>
      </c>
      <c r="I185" s="9">
        <f t="shared" si="12"/>
        <v>284.13900000000001</v>
      </c>
      <c r="J185" s="9">
        <f t="shared" si="13"/>
        <v>2557.2510000000002</v>
      </c>
      <c r="K185" s="12">
        <f t="shared" si="14"/>
        <v>-328.35100000000011</v>
      </c>
      <c r="L185" s="14"/>
    </row>
    <row r="186" spans="1:12" x14ac:dyDescent="0.25">
      <c r="A186" s="3">
        <f t="shared" si="15"/>
        <v>185</v>
      </c>
      <c r="B186" s="3" t="s">
        <v>212</v>
      </c>
      <c r="C186" s="3" t="s">
        <v>210</v>
      </c>
      <c r="D186" s="4">
        <v>1797.5</v>
      </c>
      <c r="E186" s="5">
        <v>46039</v>
      </c>
      <c r="F186" s="7">
        <v>979</v>
      </c>
      <c r="G186" s="6" t="s">
        <v>217</v>
      </c>
      <c r="H186" s="10">
        <f t="shared" si="11"/>
        <v>2359.3900000000003</v>
      </c>
      <c r="I186" s="9">
        <f t="shared" si="12"/>
        <v>235.93900000000002</v>
      </c>
      <c r="J186" s="9">
        <f t="shared" si="13"/>
        <v>2123.4510000000005</v>
      </c>
      <c r="K186" s="12">
        <f t="shared" si="14"/>
        <v>-325.95100000000048</v>
      </c>
      <c r="L186" s="14"/>
    </row>
    <row r="187" spans="1:12" x14ac:dyDescent="0.25">
      <c r="A187" s="3">
        <f t="shared" si="15"/>
        <v>186</v>
      </c>
      <c r="B187" s="3" t="s">
        <v>213</v>
      </c>
      <c r="C187" s="3" t="s">
        <v>214</v>
      </c>
      <c r="D187" s="4">
        <v>1708</v>
      </c>
      <c r="E187" s="5">
        <v>46027</v>
      </c>
      <c r="F187" s="7">
        <v>699</v>
      </c>
      <c r="G187" s="6" t="s">
        <v>226</v>
      </c>
      <c r="H187" s="10">
        <f t="shared" si="11"/>
        <v>1684.5900000000001</v>
      </c>
      <c r="I187" s="9">
        <f t="shared" si="12"/>
        <v>168.459</v>
      </c>
      <c r="J187" s="9">
        <f t="shared" si="13"/>
        <v>1516.1310000000001</v>
      </c>
      <c r="K187" s="13">
        <f t="shared" si="14"/>
        <v>191.86899999999991</v>
      </c>
      <c r="L18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2026-02-17T12:36:58Z</dcterms:created>
  <dcterms:modified xsi:type="dcterms:W3CDTF">2026-02-18T09:47:46Z</dcterms:modified>
</cp:coreProperties>
</file>