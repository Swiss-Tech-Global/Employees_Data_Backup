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8_{629BF6F9-DF0F-4CBB-A027-E50B7A0EC08F}" xr6:coauthVersionLast="47" xr6:coauthVersionMax="47" xr10:uidLastSave="{00000000-0000-0000-0000-000000000000}"/>
  <bookViews>
    <workbookView xWindow="-30828" yWindow="8772" windowWidth="30936" windowHeight="16776" xr2:uid="{E7C17F49-33B8-433A-BE22-A21B4C93A5FB}"/>
  </bookViews>
  <sheets>
    <sheet name="Faisal Bhai" sheetId="1" r:id="rId1"/>
    <sheet name="Swiss Tech" sheetId="2" r:id="rId2"/>
    <sheet name="Waheed Bhai" sheetId="3" r:id="rId3"/>
    <sheet name="Mudassi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4" l="1"/>
  <c r="D6" i="3"/>
  <c r="D6" i="2"/>
  <c r="D54" i="1"/>
</calcChain>
</file>

<file path=xl/sharedStrings.xml><?xml version="1.0" encoding="utf-8"?>
<sst xmlns="http://schemas.openxmlformats.org/spreadsheetml/2006/main" count="91" uniqueCount="60">
  <si>
    <t>TRANS DATE</t>
  </si>
  <si>
    <t>CHQ/REF NO</t>
  </si>
  <si>
    <t>PARTICULARS</t>
  </si>
  <si>
    <t>DEBIT</t>
  </si>
  <si>
    <t>FT25340Y7G11\B01</t>
  </si>
  <si>
    <t>Inward Clearing Debit - CHEQUE 100037</t>
  </si>
  <si>
    <t>FT26065K7FK4\B10</t>
  </si>
  <si>
    <t>Inward Clearing Debit - CHEQUE 100039</t>
  </si>
  <si>
    <t>DUBAI ELECTRICITY, AE</t>
  </si>
  <si>
    <t>JADEED AL RAYYAN MANDI, AE</t>
  </si>
  <si>
    <t>NOON FOOD, AE</t>
  </si>
  <si>
    <t>1594 PHARMACY FOR LESS 1, AE</t>
  </si>
  <si>
    <t>DUBAI TAXI, AE</t>
  </si>
  <si>
    <t>CARS TAXI SERVICES CO LLC, AE</t>
  </si>
  <si>
    <t>QUSAIS FALCON CAFETERIA L, AE</t>
  </si>
  <si>
    <t>ARABIA TAXI, AE</t>
  </si>
  <si>
    <t>Smart Dubai Government, AE</t>
  </si>
  <si>
    <t>NESTO HYPERMARKET BR, AE</t>
  </si>
  <si>
    <t>JANAN MOBILE PHONES TRADI, AE</t>
  </si>
  <si>
    <t>AL MADINA, AE</t>
  </si>
  <si>
    <t>05305003</t>
  </si>
  <si>
    <t>08785800</t>
  </si>
  <si>
    <t>03508004</t>
  </si>
  <si>
    <t>01597480</t>
  </si>
  <si>
    <t>01096561</t>
  </si>
  <si>
    <t>00285803</t>
  </si>
  <si>
    <r>
      <rPr>
        <b/>
        <sz val="12"/>
        <color theme="1" tint="4.9989318521683403E-2"/>
        <rFont val="Tahoma"/>
        <family val="2"/>
      </rPr>
      <t>TAJ SABA RESTAURANT LLC, AE</t>
    </r>
  </si>
  <si>
    <r>
      <rPr>
        <b/>
        <sz val="12"/>
        <color theme="1" tint="4.9989318521683403E-2"/>
        <rFont val="Tahoma"/>
        <family val="2"/>
      </rPr>
      <t>ENOC 1302, AE</t>
    </r>
  </si>
  <si>
    <r>
      <rPr>
        <b/>
        <sz val="12"/>
        <color theme="1" tint="4.9989318521683403E-2"/>
        <rFont val="Tahoma"/>
        <family val="2"/>
      </rPr>
      <t>NESTO HYPERMARKET BR, AE</t>
    </r>
  </si>
  <si>
    <r>
      <rPr>
        <b/>
        <sz val="12"/>
        <color theme="1" tint="4.9989318521683403E-2"/>
        <rFont val="Tahoma"/>
        <family val="2"/>
      </rPr>
      <t>AL AYAM GRILL N RESTAURAN, AE</t>
    </r>
  </si>
  <si>
    <r>
      <rPr>
        <b/>
        <sz val="12"/>
        <color theme="1" tint="4.9989318521683403E-2"/>
        <rFont val="Tahoma"/>
        <family val="2"/>
      </rPr>
      <t>AL MADINA, AE</t>
    </r>
  </si>
  <si>
    <r>
      <rPr>
        <b/>
        <sz val="12"/>
        <color theme="1" tint="4.9989318521683403E-2"/>
        <rFont val="Tahoma"/>
        <family val="2"/>
      </rPr>
      <t>CHOITRAM DUBAI TOWER, AE</t>
    </r>
  </si>
  <si>
    <r>
      <rPr>
        <b/>
        <sz val="12"/>
        <color theme="1" tint="4.9989318521683403E-2"/>
        <rFont val="Tahoma"/>
        <family val="2"/>
      </rPr>
      <t>EXPRESS AL MADINA HYPE, AE</t>
    </r>
  </si>
  <si>
    <r>
      <rPr>
        <b/>
        <sz val="12"/>
        <color theme="1" tint="4.9989318521683403E-2"/>
        <rFont val="Tahoma"/>
        <family val="2"/>
      </rPr>
      <t>Asmak Elsawwah Restaura, AE</t>
    </r>
  </si>
  <si>
    <r>
      <rPr>
        <b/>
        <sz val="12"/>
        <color theme="1" tint="4.9989318521683403E-2"/>
        <rFont val="Tahoma"/>
        <family val="2"/>
      </rPr>
      <t>PAK LIYARI RESTAURANT, AE</t>
    </r>
  </si>
  <si>
    <r>
      <rPr>
        <b/>
        <sz val="12"/>
        <color theme="1" tint="4.9989318521683403E-2"/>
        <rFont val="Tahoma"/>
        <family val="2"/>
      </rPr>
      <t>RTA MARINE STATIONS, AE</t>
    </r>
  </si>
  <si>
    <r>
      <rPr>
        <b/>
        <sz val="12"/>
        <color theme="1" tint="4.9989318521683403E-2"/>
        <rFont val="Tahoma"/>
        <family val="2"/>
      </rPr>
      <t>CARREFOUR AL GHURAIR, AE</t>
    </r>
  </si>
  <si>
    <r>
      <rPr>
        <b/>
        <sz val="12"/>
        <color theme="1" tint="4.9989318521683403E-2"/>
        <rFont val="Tahoma"/>
        <family val="2"/>
      </rPr>
      <t>DELHI QILA RESTAURANT LLC, AE</t>
    </r>
  </si>
  <si>
    <r>
      <rPr>
        <b/>
        <sz val="12"/>
        <color theme="1" tint="4.9989318521683403E-2"/>
        <rFont val="Tahoma"/>
        <family val="2"/>
      </rPr>
      <t>T CHOITHRAM AND SONS LL, AE</t>
    </r>
  </si>
  <si>
    <r>
      <rPr>
        <b/>
        <sz val="12"/>
        <color theme="1" tint="4.9989318521683403E-2"/>
        <rFont val="Tahoma"/>
        <family val="2"/>
      </rPr>
      <t>MBME PAY PAYMENT SERVICES, AE</t>
    </r>
  </si>
  <si>
    <r>
      <rPr>
        <b/>
        <sz val="12"/>
        <color theme="1" tint="4.9989318521683403E-2"/>
        <rFont val="Tahoma"/>
        <family val="2"/>
      </rPr>
      <t>FALAFEL ALSAWAH RESTAUR, AE</t>
    </r>
  </si>
  <si>
    <r>
      <rPr>
        <b/>
        <sz val="12"/>
        <color theme="1" tint="4.9989318521683403E-2"/>
        <rFont val="Tahoma"/>
        <family val="2"/>
      </rPr>
      <t>LAFFAH RESTAURANT LLC B, AE</t>
    </r>
  </si>
  <si>
    <r>
      <rPr>
        <b/>
        <sz val="12"/>
        <color theme="1" tint="4.9989318521683403E-2"/>
        <rFont val="Tahoma"/>
        <family val="2"/>
      </rPr>
      <t>ADNOC MUHAISNAH 519, AE</t>
    </r>
  </si>
  <si>
    <r>
      <rPr>
        <b/>
        <sz val="12"/>
        <color theme="1" tint="4.9989318521683403E-2"/>
        <rFont val="Tahoma"/>
        <family val="2"/>
      </rPr>
      <t>NEW RAHAT SWEETS N REST, AE</t>
    </r>
  </si>
  <si>
    <r>
      <rPr>
        <b/>
        <sz val="12"/>
        <color theme="1" tint="4.9989318521683403E-2"/>
        <rFont val="Tahoma"/>
        <family val="2"/>
      </rPr>
      <t>NESTO HYPERMARKET, AE</t>
    </r>
  </si>
  <si>
    <r>
      <rPr>
        <b/>
        <sz val="12"/>
        <color theme="1" tint="4.9989318521683403E-2"/>
        <rFont val="Tahoma"/>
        <family val="2"/>
      </rPr>
      <t>EASY MAX MINI MART LLC, AE</t>
    </r>
  </si>
  <si>
    <r>
      <rPr>
        <b/>
        <sz val="12"/>
        <color theme="1" tint="4.9989318521683403E-2"/>
        <rFont val="Tahoma"/>
        <family val="2"/>
      </rPr>
      <t>BRIGHT DAY RENT A CAR LLC, AE</t>
    </r>
  </si>
  <si>
    <r>
      <rPr>
        <b/>
        <sz val="12"/>
        <color theme="1" tint="4.9989318521683403E-2"/>
        <rFont val="Tahoma"/>
        <family val="2"/>
      </rPr>
      <t>H N C restaurant and c, AE</t>
    </r>
  </si>
  <si>
    <r>
      <rPr>
        <b/>
        <sz val="12"/>
        <rFont val="Arial MT"/>
        <family val="2"/>
      </rPr>
      <t>FT253403VYDD</t>
    </r>
  </si>
  <si>
    <r>
      <rPr>
        <b/>
        <sz val="12"/>
        <rFont val="Arial MT"/>
        <family val="2"/>
      </rPr>
      <t>INHOUSE CHEQUE - DEBIT -</t>
    </r>
  </si>
  <si>
    <r>
      <rPr>
        <b/>
        <sz val="12"/>
        <rFont val="Tahoma"/>
        <family val="2"/>
      </rPr>
      <t>DUBAI ELECTRICITY, AE</t>
    </r>
  </si>
  <si>
    <r>
      <rPr>
        <b/>
        <sz val="12"/>
        <rFont val="Tahoma"/>
        <family val="2"/>
      </rPr>
      <t>DU Apple Pay, AE</t>
    </r>
  </si>
  <si>
    <r>
      <rPr>
        <b/>
        <sz val="12"/>
        <rFont val="Tahoma"/>
        <family val="2"/>
      </rPr>
      <t>Annual fee</t>
    </r>
  </si>
  <si>
    <r>
      <rPr>
        <b/>
        <sz val="14"/>
        <rFont val="Tahoma"/>
        <family val="2"/>
      </rPr>
      <t>BUNNINGS 492000(AUD 2000.00 ), AU</t>
    </r>
  </si>
  <si>
    <r>
      <rPr>
        <b/>
        <sz val="14"/>
        <rFont val="Tahoma"/>
        <family val="2"/>
      </rPr>
      <t>BUNNINGS 666000(AUD 7088.00 ), AU</t>
    </r>
  </si>
  <si>
    <r>
      <rPr>
        <b/>
        <sz val="14"/>
        <rFont val="Tahoma"/>
        <family val="2"/>
      </rPr>
      <t>BUNNINGS 666000(AUD 1194.00 ), AU</t>
    </r>
  </si>
  <si>
    <r>
      <rPr>
        <b/>
        <sz val="14"/>
        <rFont val="Tahoma"/>
        <family val="2"/>
      </rPr>
      <t>NOEL LEEMING(NZD 7245.00 ), NZ</t>
    </r>
  </si>
  <si>
    <r>
      <rPr>
        <b/>
        <sz val="12"/>
        <rFont val="Tahoma"/>
        <family val="2"/>
      </rPr>
      <t>FEDEX EXPRESS INTL, AE</t>
    </r>
  </si>
  <si>
    <t>ToTal Amount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</si>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</sst>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dd/mm/yyyy;@"/>
    <numFmt numFmtId="172" formatCode="dd\.mm\.yy;@"/>
    <numFmt numFmtId="173" formatCode="d/mm/yyyy;@"/>
  </numFmts>
  <fonts count="13">
    <font>
      <sz val="11"/>
      <color theme="1"/>
      <name val="Aptos Narrow"/>
      <family val="2"/>
      <scheme val="minor"/>
    </font>
    <font>
      <b/>
      <sz val="12"/>
      <color theme="1" tint="4.9989318521683403E-2"/>
      <name val="Aptos Narrow"/>
      <family val="2"/>
      <scheme val="minor"/>
    </font>
    <font>
      <b/>
      <sz val="12"/>
      <color theme="1" tint="4.9989318521683403E-2"/>
      <name val="Tahoma"/>
      <family val="2"/>
    </font>
    <font>
      <b/>
      <sz val="12"/>
      <color theme="1"/>
      <name val="Aptos Narrow"/>
      <family val="2"/>
      <scheme val="minor"/>
    </font>
    <font>
      <b/>
      <sz val="12"/>
      <name val="Arial MT"/>
      <family val="2"/>
    </font>
    <font>
      <b/>
      <sz val="12"/>
      <name val="Tahoma"/>
      <family val="2"/>
    </font>
    <font>
      <b/>
      <sz val="14"/>
      <color theme="1"/>
      <name val="Aptos Narrow"/>
      <family val="2"/>
      <scheme val="minor"/>
    </font>
    <font>
      <b/>
      <sz val="14"/>
      <name val="Tahoma"/>
      <family val="2"/>
    </font>
    <font>
      <b/>
      <sz val="20"/>
      <color theme="1"/>
      <name val="Aptos Narrow"/>
      <family val="2"/>
      <scheme val="minor"/>
    </font>
    <font>
      <b/>
      <sz val="16"/>
      <color theme="1" tint="4.9989318521683403E-2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5" fontId="1" fillId="2" borderId="1" xfId="0" applyNumberFormat="1" applyFont="1" applyFill="1" applyBorder="1" applyAlignment="1">
      <alignment horizontal="center" vertical="center"/>
    </xf>
    <xf numFmtId="4" fontId="1" fillId="2" borderId="1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72" fontId="0" fillId="0" borderId="0" xfId="0" applyNumberFormat="1"/>
    <xf numFmtId="168" fontId="0" fillId="0" borderId="0" xfId="0" applyNumberFormat="1"/>
    <xf numFmtId="173" fontId="0" fillId="0" borderId="0" xfId="0" applyNumberFormat="1"/>
    <xf numFmtId="168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8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1" xfId="0" applyFont="1" applyFill="1" applyBorder="1"/>
    <xf numFmtId="0" fontId="12" fillId="4" borderId="1" xfId="0" applyFont="1" applyFill="1" applyBorder="1" applyAlignment="1">
      <alignment horizontal="center" vertical="center"/>
    </xf>
    <xf numFmtId="0" fontId="12" fillId="4" borderId="1" xfId="0" applyFont="1" applyFill="1" applyBorder="1"/>
    <xf numFmtId="0" fontId="9" fillId="4" borderId="1" xfId="0" applyFont="1" applyFill="1" applyBorder="1" applyAlignment="1">
      <alignment horizontal="center" vertical="center"/>
    </xf>
    <xf numFmtId="4" fontId="8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7BC31-3CEA-41E8-A359-193408A64FB1}">
  <dimension ref="A1:Q54"/>
  <sheetViews>
    <sheetView tabSelected="1" topLeftCell="A25" workbookViewId="0">
      <selection activeCell="D36" sqref="D36"/>
    </sheetView>
  </sheetViews>
  <sheetFormatPr defaultRowHeight="15"/>
  <cols>
    <col min="1" max="1" width="21.5703125" customWidth="1"/>
    <col min="2" max="2" width="29.7109375" customWidth="1"/>
    <col min="3" max="3" width="50" customWidth="1"/>
    <col min="4" max="4" width="24.5703125" customWidth="1"/>
    <col min="5" max="5" width="28.42578125" customWidth="1"/>
    <col min="7" max="7" width="25.85546875" bestFit="1" customWidth="1"/>
  </cols>
  <sheetData>
    <row r="1" spans="1:4" ht="15.75">
      <c r="A1" s="7" t="s">
        <v>0</v>
      </c>
      <c r="B1" s="7" t="s">
        <v>1</v>
      </c>
      <c r="C1" s="7" t="s">
        <v>2</v>
      </c>
      <c r="D1" s="7" t="s">
        <v>3</v>
      </c>
    </row>
    <row r="2" spans="1:4" ht="15.75">
      <c r="A2" s="3">
        <v>45997</v>
      </c>
      <c r="B2" s="2" t="s">
        <v>4</v>
      </c>
      <c r="C2" s="2" t="s">
        <v>5</v>
      </c>
      <c r="D2" s="4">
        <v>18249</v>
      </c>
    </row>
    <row r="3" spans="1:4" ht="15.75">
      <c r="A3" s="3">
        <v>46087</v>
      </c>
      <c r="B3" s="2" t="s">
        <v>6</v>
      </c>
      <c r="C3" s="2" t="s">
        <v>7</v>
      </c>
      <c r="D3" s="4">
        <v>18249</v>
      </c>
    </row>
    <row r="4" spans="1:4" ht="15.75">
      <c r="A4" s="5">
        <v>46012</v>
      </c>
      <c r="B4" s="2">
        <v>52248003</v>
      </c>
      <c r="C4" s="2" t="s">
        <v>8</v>
      </c>
      <c r="D4" s="2">
        <v>651.45000000000005</v>
      </c>
    </row>
    <row r="5" spans="1:4" ht="15.75">
      <c r="A5" s="5">
        <v>46016</v>
      </c>
      <c r="B5" s="6" t="s">
        <v>25</v>
      </c>
      <c r="C5" s="2" t="s">
        <v>9</v>
      </c>
      <c r="D5" s="2">
        <v>12.6</v>
      </c>
    </row>
    <row r="6" spans="1:4" ht="15.75">
      <c r="A6" s="5">
        <v>46016</v>
      </c>
      <c r="B6" s="6" t="s">
        <v>24</v>
      </c>
      <c r="C6" s="2" t="s">
        <v>10</v>
      </c>
      <c r="D6" s="2">
        <v>37.15</v>
      </c>
    </row>
    <row r="7" spans="1:4" ht="15.75">
      <c r="A7" s="5">
        <v>46019</v>
      </c>
      <c r="B7" s="2">
        <v>32772895</v>
      </c>
      <c r="C7" s="2" t="s">
        <v>11</v>
      </c>
      <c r="D7" s="2">
        <v>129</v>
      </c>
    </row>
    <row r="8" spans="1:4" ht="15.75">
      <c r="A8" s="5">
        <v>46019</v>
      </c>
      <c r="B8" s="2">
        <v>94865306</v>
      </c>
      <c r="C8" s="2" t="s">
        <v>12</v>
      </c>
      <c r="D8" s="2">
        <v>17</v>
      </c>
    </row>
    <row r="9" spans="1:4" ht="15.75">
      <c r="A9" s="5">
        <v>46018</v>
      </c>
      <c r="B9" s="2">
        <v>83757958</v>
      </c>
      <c r="C9" s="2" t="s">
        <v>10</v>
      </c>
      <c r="D9" s="2">
        <v>77.400000000000006</v>
      </c>
    </row>
    <row r="10" spans="1:4" ht="15.75">
      <c r="A10" s="5">
        <v>46019</v>
      </c>
      <c r="B10" s="2">
        <v>24487709</v>
      </c>
      <c r="C10" s="2" t="s">
        <v>13</v>
      </c>
      <c r="D10" s="2">
        <v>16</v>
      </c>
    </row>
    <row r="11" spans="1:4" ht="15.75">
      <c r="A11" s="5">
        <v>46019</v>
      </c>
      <c r="B11" s="2">
        <v>24810801</v>
      </c>
      <c r="C11" s="2" t="s">
        <v>14</v>
      </c>
      <c r="D11" s="2">
        <v>3</v>
      </c>
    </row>
    <row r="12" spans="1:4" ht="15.75">
      <c r="A12" s="5">
        <v>46019</v>
      </c>
      <c r="B12" s="2">
        <v>42792205</v>
      </c>
      <c r="C12" s="2" t="s">
        <v>15</v>
      </c>
      <c r="D12" s="2">
        <v>16.5</v>
      </c>
    </row>
    <row r="13" spans="1:4" ht="15.75">
      <c r="A13" s="5">
        <v>46019</v>
      </c>
      <c r="B13" s="2">
        <v>73433201</v>
      </c>
      <c r="C13" s="2" t="s">
        <v>16</v>
      </c>
      <c r="D13" s="2">
        <v>320</v>
      </c>
    </row>
    <row r="14" spans="1:4" ht="15.75">
      <c r="A14" s="5">
        <v>45999</v>
      </c>
      <c r="B14" s="2">
        <v>99646233</v>
      </c>
      <c r="C14" s="2" t="s">
        <v>17</v>
      </c>
      <c r="D14" s="2">
        <v>310.07</v>
      </c>
    </row>
    <row r="15" spans="1:4" ht="15.75">
      <c r="A15" s="5">
        <v>46001</v>
      </c>
      <c r="B15" s="2">
        <v>52173607</v>
      </c>
      <c r="C15" s="2" t="s">
        <v>18</v>
      </c>
      <c r="D15" s="2">
        <v>35</v>
      </c>
    </row>
    <row r="16" spans="1:4" ht="15.75">
      <c r="A16" s="5">
        <v>46001</v>
      </c>
      <c r="B16" s="2">
        <v>44847299</v>
      </c>
      <c r="C16" s="2" t="s">
        <v>19</v>
      </c>
      <c r="D16" s="2">
        <v>7</v>
      </c>
    </row>
    <row r="17" spans="1:17" ht="15.75">
      <c r="A17" s="5">
        <v>46002</v>
      </c>
      <c r="B17" s="2">
        <v>64933304</v>
      </c>
      <c r="C17" s="2" t="s">
        <v>18</v>
      </c>
      <c r="D17" s="2">
        <v>30</v>
      </c>
    </row>
    <row r="18" spans="1:17" ht="15" customHeight="1">
      <c r="A18" s="5">
        <v>46001</v>
      </c>
      <c r="B18" s="2">
        <v>60713025</v>
      </c>
      <c r="C18" s="2" t="s">
        <v>26</v>
      </c>
      <c r="D18" s="2">
        <v>27</v>
      </c>
      <c r="I18" s="1"/>
      <c r="M18" s="1"/>
      <c r="Q18" s="1"/>
    </row>
    <row r="19" spans="1:17" ht="15" customHeight="1">
      <c r="A19" s="5">
        <v>46005</v>
      </c>
      <c r="B19" s="2">
        <v>50893601</v>
      </c>
      <c r="C19" s="2" t="s">
        <v>27</v>
      </c>
      <c r="D19" s="2">
        <v>40</v>
      </c>
      <c r="I19" s="1"/>
      <c r="M19" s="1"/>
      <c r="Q19" s="1"/>
    </row>
    <row r="20" spans="1:17" ht="15" customHeight="1">
      <c r="A20" s="5">
        <v>46005</v>
      </c>
      <c r="B20" s="2">
        <v>86056357</v>
      </c>
      <c r="C20" s="2" t="s">
        <v>28</v>
      </c>
      <c r="D20" s="2">
        <v>252.33</v>
      </c>
      <c r="I20" s="1"/>
      <c r="M20" s="1"/>
      <c r="Q20" s="1"/>
    </row>
    <row r="21" spans="1:17" ht="15" customHeight="1">
      <c r="A21" s="5">
        <v>46005</v>
      </c>
      <c r="B21" s="2">
        <v>86151331</v>
      </c>
      <c r="C21" s="2" t="s">
        <v>28</v>
      </c>
      <c r="D21" s="2">
        <v>19.98</v>
      </c>
      <c r="I21" s="1"/>
      <c r="M21" s="1"/>
      <c r="Q21" s="1"/>
    </row>
    <row r="22" spans="1:17" ht="15" customHeight="1">
      <c r="A22" s="5">
        <v>46005</v>
      </c>
      <c r="B22" s="2">
        <v>47506398</v>
      </c>
      <c r="C22" s="2" t="s">
        <v>29</v>
      </c>
      <c r="D22" s="2">
        <v>95</v>
      </c>
      <c r="I22" s="1"/>
      <c r="M22" s="1"/>
      <c r="Q22" s="1"/>
    </row>
    <row r="23" spans="1:17" ht="15" customHeight="1">
      <c r="A23" s="5">
        <v>46007</v>
      </c>
      <c r="B23" s="2">
        <v>58880988</v>
      </c>
      <c r="C23" s="2" t="s">
        <v>30</v>
      </c>
      <c r="D23" s="2">
        <v>2.95</v>
      </c>
      <c r="I23" s="1"/>
      <c r="M23" s="1"/>
      <c r="Q23" s="1"/>
    </row>
    <row r="24" spans="1:17" ht="15" customHeight="1">
      <c r="A24" s="5">
        <v>46007</v>
      </c>
      <c r="B24" s="2">
        <v>43461103</v>
      </c>
      <c r="C24" s="2" t="s">
        <v>31</v>
      </c>
      <c r="D24" s="2">
        <v>33.450000000000003</v>
      </c>
      <c r="I24" s="1"/>
      <c r="M24" s="1"/>
      <c r="Q24" s="1"/>
    </row>
    <row r="25" spans="1:17" ht="15" customHeight="1">
      <c r="A25" s="5">
        <v>46008</v>
      </c>
      <c r="B25" s="2">
        <v>80608495</v>
      </c>
      <c r="C25" s="2" t="s">
        <v>32</v>
      </c>
      <c r="D25" s="2">
        <v>2.99</v>
      </c>
      <c r="I25" s="1"/>
      <c r="M25" s="1"/>
      <c r="Q25" s="1"/>
    </row>
    <row r="26" spans="1:17" ht="15" customHeight="1">
      <c r="A26" s="5">
        <v>46011</v>
      </c>
      <c r="B26" s="6" t="s">
        <v>23</v>
      </c>
      <c r="C26" s="2" t="s">
        <v>33</v>
      </c>
      <c r="D26" s="2">
        <v>20</v>
      </c>
      <c r="I26" s="1"/>
      <c r="M26" s="1"/>
      <c r="Q26" s="1"/>
    </row>
    <row r="27" spans="1:17" ht="15" customHeight="1">
      <c r="A27" s="5">
        <v>46010</v>
      </c>
      <c r="B27" s="2">
        <v>14720116</v>
      </c>
      <c r="C27" s="2" t="s">
        <v>34</v>
      </c>
      <c r="D27" s="2">
        <v>17</v>
      </c>
      <c r="I27" s="1"/>
      <c r="M27" s="1"/>
      <c r="Q27" s="1"/>
    </row>
    <row r="28" spans="1:17" ht="15" customHeight="1">
      <c r="A28" s="5">
        <v>46010</v>
      </c>
      <c r="B28" s="6" t="s">
        <v>22</v>
      </c>
      <c r="C28" s="2" t="s">
        <v>35</v>
      </c>
      <c r="D28" s="2">
        <v>4</v>
      </c>
      <c r="I28" s="1"/>
      <c r="M28" s="1"/>
      <c r="Q28" s="1"/>
    </row>
    <row r="29" spans="1:17" ht="15" customHeight="1">
      <c r="A29" s="5">
        <v>46010</v>
      </c>
      <c r="B29" s="2">
        <v>11915803</v>
      </c>
      <c r="C29" s="2" t="s">
        <v>35</v>
      </c>
      <c r="D29" s="2">
        <v>4</v>
      </c>
      <c r="I29" s="1"/>
      <c r="M29" s="1"/>
      <c r="Q29" s="1"/>
    </row>
    <row r="30" spans="1:17" ht="15" customHeight="1">
      <c r="A30" s="5">
        <v>46010</v>
      </c>
      <c r="B30" s="2">
        <v>21197702</v>
      </c>
      <c r="C30" s="2" t="s">
        <v>36</v>
      </c>
      <c r="D30" s="2">
        <v>19.989999999999998</v>
      </c>
      <c r="I30" s="1"/>
      <c r="M30" s="1"/>
      <c r="Q30" s="1"/>
    </row>
    <row r="31" spans="1:17" ht="15" customHeight="1">
      <c r="A31" s="5">
        <v>46012</v>
      </c>
      <c r="B31" s="2">
        <v>80677004</v>
      </c>
      <c r="C31" s="2" t="s">
        <v>34</v>
      </c>
      <c r="D31" s="2">
        <v>34</v>
      </c>
      <c r="I31" s="1"/>
      <c r="M31" s="1"/>
      <c r="Q31" s="1"/>
    </row>
    <row r="32" spans="1:17" ht="15" customHeight="1">
      <c r="A32" s="5">
        <v>46012</v>
      </c>
      <c r="B32" s="2">
        <v>61348547</v>
      </c>
      <c r="C32" s="2" t="s">
        <v>37</v>
      </c>
      <c r="D32" s="2">
        <v>61</v>
      </c>
      <c r="I32" s="1"/>
      <c r="M32" s="1"/>
      <c r="Q32" s="1"/>
    </row>
    <row r="33" spans="1:17" ht="15" customHeight="1">
      <c r="A33" s="5">
        <v>46012</v>
      </c>
      <c r="B33" s="2">
        <v>62591616</v>
      </c>
      <c r="C33" s="2" t="s">
        <v>28</v>
      </c>
      <c r="D33" s="2">
        <v>4</v>
      </c>
      <c r="I33" s="1"/>
      <c r="M33" s="1"/>
      <c r="Q33" s="1"/>
    </row>
    <row r="34" spans="1:17" ht="15" customHeight="1">
      <c r="A34" s="5">
        <v>46012</v>
      </c>
      <c r="B34" s="2">
        <v>67316773</v>
      </c>
      <c r="C34" s="2" t="s">
        <v>28</v>
      </c>
      <c r="D34" s="2">
        <v>319.82</v>
      </c>
      <c r="I34" s="1"/>
      <c r="M34" s="1"/>
      <c r="Q34" s="1"/>
    </row>
    <row r="35" spans="1:17" ht="15" customHeight="1">
      <c r="A35" s="5">
        <v>46012</v>
      </c>
      <c r="B35" s="2">
        <v>67411160</v>
      </c>
      <c r="C35" s="2" t="s">
        <v>28</v>
      </c>
      <c r="D35" s="2">
        <v>477.93</v>
      </c>
      <c r="I35" s="1"/>
      <c r="M35" s="1"/>
      <c r="Q35" s="1"/>
    </row>
    <row r="36" spans="1:17" ht="15" customHeight="1">
      <c r="A36" s="5">
        <v>46012</v>
      </c>
      <c r="B36" s="2">
        <v>68078083</v>
      </c>
      <c r="C36" s="2" t="s">
        <v>28</v>
      </c>
      <c r="D36" s="2">
        <v>16.75</v>
      </c>
      <c r="I36" s="1"/>
      <c r="M36" s="1"/>
      <c r="Q36" s="1"/>
    </row>
    <row r="37" spans="1:17" ht="15" customHeight="1">
      <c r="A37" s="5">
        <v>46021</v>
      </c>
      <c r="B37" s="2">
        <v>30138262</v>
      </c>
      <c r="C37" s="2" t="s">
        <v>38</v>
      </c>
      <c r="D37" s="2">
        <v>31.45</v>
      </c>
      <c r="I37" s="1"/>
      <c r="M37" s="1"/>
      <c r="Q37" s="1"/>
    </row>
    <row r="38" spans="1:17" ht="15" customHeight="1">
      <c r="A38" s="5">
        <v>46020</v>
      </c>
      <c r="B38" s="2">
        <v>93741373</v>
      </c>
      <c r="C38" s="2" t="s">
        <v>39</v>
      </c>
      <c r="D38" s="2">
        <v>375.04</v>
      </c>
      <c r="I38" s="1"/>
      <c r="M38" s="1"/>
      <c r="Q38" s="1"/>
    </row>
    <row r="39" spans="1:17" ht="15" customHeight="1">
      <c r="A39" s="5">
        <v>46021</v>
      </c>
      <c r="B39" s="2">
        <v>32120912</v>
      </c>
      <c r="C39" s="2" t="s">
        <v>30</v>
      </c>
      <c r="D39" s="2">
        <v>3.25</v>
      </c>
      <c r="I39" s="1"/>
      <c r="M39" s="1"/>
      <c r="Q39" s="1"/>
    </row>
    <row r="40" spans="1:17" ht="15" customHeight="1">
      <c r="A40" s="5">
        <v>46022</v>
      </c>
      <c r="B40" s="2">
        <v>12816448</v>
      </c>
      <c r="C40" s="2" t="s">
        <v>40</v>
      </c>
      <c r="D40" s="2">
        <v>9</v>
      </c>
      <c r="I40" s="1"/>
      <c r="M40" s="1"/>
      <c r="Q40" s="1"/>
    </row>
    <row r="41" spans="1:17" ht="15" customHeight="1">
      <c r="A41" s="5">
        <v>46023</v>
      </c>
      <c r="B41" s="2">
        <v>35374901</v>
      </c>
      <c r="C41" s="2" t="s">
        <v>41</v>
      </c>
      <c r="D41" s="2">
        <v>91</v>
      </c>
      <c r="I41" s="1"/>
      <c r="M41" s="1"/>
      <c r="Q41" s="1"/>
    </row>
    <row r="42" spans="1:17" ht="15.75">
      <c r="A42" s="5">
        <v>46023</v>
      </c>
      <c r="B42" s="2">
        <v>20823153</v>
      </c>
      <c r="C42" s="2" t="s">
        <v>42</v>
      </c>
      <c r="D42" s="2">
        <v>30</v>
      </c>
      <c r="I42" s="1"/>
      <c r="M42" s="1"/>
      <c r="Q42" s="1"/>
    </row>
    <row r="43" spans="1:17" ht="15.75">
      <c r="A43" s="5">
        <v>46023</v>
      </c>
      <c r="B43" s="2">
        <v>19680608</v>
      </c>
      <c r="C43" s="2" t="s">
        <v>43</v>
      </c>
      <c r="D43" s="2">
        <v>149</v>
      </c>
      <c r="I43" s="1"/>
      <c r="M43" s="1"/>
      <c r="Q43" s="1"/>
    </row>
    <row r="44" spans="1:17" ht="15.75">
      <c r="A44" s="5">
        <v>46023</v>
      </c>
      <c r="B44" s="2">
        <v>21497009</v>
      </c>
      <c r="C44" s="2" t="s">
        <v>43</v>
      </c>
      <c r="D44" s="2">
        <v>13</v>
      </c>
      <c r="I44" s="1"/>
      <c r="M44" s="1"/>
      <c r="Q44" s="1"/>
    </row>
    <row r="45" spans="1:17" ht="15.75">
      <c r="A45" s="5">
        <v>46023</v>
      </c>
      <c r="B45" s="2">
        <v>91539017</v>
      </c>
      <c r="C45" s="2" t="s">
        <v>44</v>
      </c>
      <c r="D45" s="2">
        <v>227.43</v>
      </c>
      <c r="I45" s="1"/>
      <c r="M45" s="1"/>
      <c r="Q45" s="1"/>
    </row>
    <row r="46" spans="1:17" ht="15.75">
      <c r="A46" s="5">
        <v>46026</v>
      </c>
      <c r="B46" s="2">
        <v>20482774</v>
      </c>
      <c r="C46" s="2" t="s">
        <v>45</v>
      </c>
      <c r="D46" s="2">
        <v>6</v>
      </c>
      <c r="I46" s="1"/>
      <c r="M46" s="1"/>
      <c r="Q46" s="1"/>
    </row>
    <row r="47" spans="1:17" ht="15.75">
      <c r="A47" s="5">
        <v>46024</v>
      </c>
      <c r="B47" s="6" t="s">
        <v>21</v>
      </c>
      <c r="C47" s="2" t="s">
        <v>46</v>
      </c>
      <c r="D47" s="2">
        <v>103</v>
      </c>
      <c r="I47" s="1"/>
      <c r="M47" s="1"/>
      <c r="Q47" s="1"/>
    </row>
    <row r="48" spans="1:17" ht="15.75">
      <c r="A48" s="5">
        <v>46025</v>
      </c>
      <c r="B48" s="6" t="s">
        <v>20</v>
      </c>
      <c r="C48" s="2" t="s">
        <v>47</v>
      </c>
      <c r="D48" s="2">
        <v>9</v>
      </c>
      <c r="I48" s="1"/>
      <c r="M48" s="1"/>
      <c r="Q48" s="1"/>
    </row>
    <row r="49" spans="1:17" ht="15.75">
      <c r="A49" s="5">
        <v>46027</v>
      </c>
      <c r="B49" s="2">
        <v>20760491</v>
      </c>
      <c r="C49" s="2" t="s">
        <v>40</v>
      </c>
      <c r="D49" s="2">
        <v>9</v>
      </c>
      <c r="I49" s="1"/>
      <c r="M49" s="1"/>
      <c r="Q49" s="1"/>
    </row>
    <row r="50" spans="1:17" ht="15.75">
      <c r="A50" s="5">
        <v>46026</v>
      </c>
      <c r="B50" s="2">
        <v>59296228</v>
      </c>
      <c r="C50" s="2" t="s">
        <v>28</v>
      </c>
      <c r="D50" s="2">
        <v>99</v>
      </c>
      <c r="I50" s="1"/>
      <c r="M50" s="1"/>
      <c r="Q50" s="1"/>
    </row>
    <row r="51" spans="1:17" ht="15.75">
      <c r="A51" s="5">
        <v>46026</v>
      </c>
      <c r="B51" s="2">
        <v>59411207</v>
      </c>
      <c r="C51" s="2" t="s">
        <v>28</v>
      </c>
      <c r="D51" s="2">
        <v>59</v>
      </c>
      <c r="I51" s="1"/>
      <c r="M51" s="1"/>
      <c r="Q51" s="1"/>
    </row>
    <row r="52" spans="1:17" ht="15.75">
      <c r="A52" s="5">
        <v>46026</v>
      </c>
      <c r="B52" s="2">
        <v>59465492</v>
      </c>
      <c r="C52" s="2" t="s">
        <v>28</v>
      </c>
      <c r="D52" s="2">
        <v>60</v>
      </c>
      <c r="I52" s="1"/>
      <c r="M52" s="1"/>
      <c r="Q52" s="1"/>
    </row>
    <row r="53" spans="1:17" ht="15.75">
      <c r="A53" s="5">
        <v>46026</v>
      </c>
      <c r="B53" s="2">
        <v>55713018</v>
      </c>
      <c r="C53" s="2" t="s">
        <v>26</v>
      </c>
      <c r="D53" s="2">
        <v>32</v>
      </c>
      <c r="I53" s="1"/>
      <c r="M53" s="1"/>
      <c r="Q53" s="1"/>
    </row>
    <row r="54" spans="1:17" ht="26.25">
      <c r="C54" s="20" t="s">
        <v>58</v>
      </c>
      <c r="D54" s="21">
        <f>SUM(D2:D53)</f>
        <v>40918.529999999992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71147-DD46-43EE-BE6C-8BE16F329C1F}">
  <dimension ref="A1:U13"/>
  <sheetViews>
    <sheetView workbookViewId="0">
      <selection activeCell="C13" sqref="C13"/>
    </sheetView>
  </sheetViews>
  <sheetFormatPr defaultRowHeight="15"/>
  <cols>
    <col min="1" max="1" width="21.140625" customWidth="1"/>
    <col min="2" max="2" width="24" customWidth="1"/>
    <col min="3" max="3" width="41.28515625" customWidth="1"/>
    <col min="4" max="4" width="20.7109375" customWidth="1"/>
    <col min="6" max="6" width="9.5703125" bestFit="1" customWidth="1"/>
    <col min="13" max="13" width="21.140625" bestFit="1" customWidth="1"/>
  </cols>
  <sheetData>
    <row r="1" spans="1:21" ht="15.75">
      <c r="A1" s="7" t="s">
        <v>0</v>
      </c>
      <c r="B1" s="7" t="s">
        <v>1</v>
      </c>
      <c r="C1" s="7" t="s">
        <v>2</v>
      </c>
      <c r="D1" s="7" t="s">
        <v>3</v>
      </c>
    </row>
    <row r="2" spans="1:21" ht="15" customHeight="1">
      <c r="A2" s="11">
        <v>45997</v>
      </c>
      <c r="B2" s="12" t="s">
        <v>48</v>
      </c>
      <c r="C2" s="12" t="s">
        <v>49</v>
      </c>
      <c r="D2" s="12">
        <v>6700</v>
      </c>
      <c r="F2" s="10"/>
    </row>
    <row r="3" spans="1:21" ht="15" customHeight="1">
      <c r="A3" s="11">
        <v>45999</v>
      </c>
      <c r="B3" s="12">
        <v>95909903</v>
      </c>
      <c r="C3" s="12" t="s">
        <v>50</v>
      </c>
      <c r="D3" s="12">
        <v>258.85000000000002</v>
      </c>
      <c r="I3" s="9"/>
      <c r="M3" s="9"/>
      <c r="Q3" s="9"/>
      <c r="U3" s="9"/>
    </row>
    <row r="4" spans="1:21" ht="15" customHeight="1">
      <c r="A4" s="11">
        <v>46001</v>
      </c>
      <c r="B4" s="12">
        <v>11284678</v>
      </c>
      <c r="C4" s="12" t="s">
        <v>51</v>
      </c>
      <c r="D4" s="12">
        <v>208.95</v>
      </c>
      <c r="I4" s="9"/>
      <c r="M4" s="9"/>
      <c r="Q4" s="9"/>
      <c r="U4" s="9"/>
    </row>
    <row r="5" spans="1:21" ht="15" customHeight="1">
      <c r="A5" s="11">
        <v>46014</v>
      </c>
      <c r="B5" s="12">
        <v>43364428</v>
      </c>
      <c r="C5" s="12" t="s">
        <v>52</v>
      </c>
      <c r="D5" s="12">
        <v>1575</v>
      </c>
    </row>
    <row r="6" spans="1:21" ht="24">
      <c r="C6" s="16" t="s">
        <v>59</v>
      </c>
      <c r="D6" s="17">
        <f>SUM(D2:D5)</f>
        <v>8742.7999999999993</v>
      </c>
    </row>
    <row r="13" spans="1:21">
      <c r="F13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41A7A-E03B-4B43-AAE1-2F3C3C8AAD41}">
  <dimension ref="A1:D6"/>
  <sheetViews>
    <sheetView workbookViewId="0">
      <selection activeCell="C15" sqref="C15"/>
    </sheetView>
  </sheetViews>
  <sheetFormatPr defaultRowHeight="15"/>
  <cols>
    <col min="1" max="1" width="22.28515625" customWidth="1"/>
    <col min="2" max="2" width="25" customWidth="1"/>
    <col min="3" max="3" width="69.42578125" customWidth="1"/>
    <col min="4" max="4" width="22.28515625" customWidth="1"/>
  </cols>
  <sheetData>
    <row r="1" spans="1:4" ht="15.75">
      <c r="A1" s="7" t="s">
        <v>0</v>
      </c>
      <c r="B1" s="7" t="s">
        <v>1</v>
      </c>
      <c r="C1" s="7" t="s">
        <v>2</v>
      </c>
      <c r="D1" s="7" t="s">
        <v>3</v>
      </c>
    </row>
    <row r="2" spans="1:4" ht="15" customHeight="1">
      <c r="A2" s="13">
        <v>46007</v>
      </c>
      <c r="B2" s="14">
        <v>53303739</v>
      </c>
      <c r="C2" s="14" t="s">
        <v>53</v>
      </c>
      <c r="D2" s="14">
        <v>5088.68</v>
      </c>
    </row>
    <row r="3" spans="1:4" ht="15" customHeight="1">
      <c r="A3" s="13">
        <v>46008</v>
      </c>
      <c r="B3" s="14">
        <v>63807067</v>
      </c>
      <c r="C3" s="14" t="s">
        <v>54</v>
      </c>
      <c r="D3" s="14">
        <v>17991.310000000001</v>
      </c>
    </row>
    <row r="4" spans="1:4" ht="15" customHeight="1">
      <c r="A4" s="13">
        <v>46008</v>
      </c>
      <c r="B4" s="14">
        <v>63807075</v>
      </c>
      <c r="C4" s="14" t="s">
        <v>55</v>
      </c>
      <c r="D4" s="14">
        <v>3030.71</v>
      </c>
    </row>
    <row r="5" spans="1:4" ht="15" customHeight="1">
      <c r="A5" s="13">
        <v>46013</v>
      </c>
      <c r="B5" s="14">
        <v>43401790</v>
      </c>
      <c r="C5" s="14" t="s">
        <v>56</v>
      </c>
      <c r="D5" s="14">
        <v>15968.42</v>
      </c>
    </row>
    <row r="6" spans="1:4" ht="28.5">
      <c r="C6" s="18" t="s">
        <v>59</v>
      </c>
      <c r="D6" s="19">
        <f>SUM(D2:D5)</f>
        <v>42079.12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AF3E1-6481-41D4-A064-38A8D9A9B276}">
  <dimension ref="A1:D4"/>
  <sheetViews>
    <sheetView workbookViewId="0">
      <selection activeCell="B7" sqref="B7"/>
    </sheetView>
  </sheetViews>
  <sheetFormatPr defaultRowHeight="15"/>
  <cols>
    <col min="1" max="1" width="21.5703125" customWidth="1"/>
    <col min="2" max="2" width="30.5703125" customWidth="1"/>
    <col min="3" max="3" width="44.42578125" customWidth="1"/>
    <col min="4" max="4" width="25.42578125" customWidth="1"/>
  </cols>
  <sheetData>
    <row r="1" spans="1:4" ht="15.75">
      <c r="A1" s="7" t="s">
        <v>0</v>
      </c>
      <c r="B1" s="7" t="s">
        <v>1</v>
      </c>
      <c r="C1" s="7" t="s">
        <v>2</v>
      </c>
      <c r="D1" s="7" t="s">
        <v>3</v>
      </c>
    </row>
    <row r="2" spans="1:4" ht="15.75">
      <c r="A2" s="12">
        <v>45999</v>
      </c>
      <c r="B2" s="12">
        <v>3930202</v>
      </c>
      <c r="C2" s="12" t="s">
        <v>57</v>
      </c>
      <c r="D2" s="12">
        <v>189</v>
      </c>
    </row>
    <row r="3" spans="1:4" ht="15" customHeight="1">
      <c r="A3" s="12">
        <v>45999</v>
      </c>
      <c r="B3" s="12">
        <v>3930210</v>
      </c>
      <c r="C3" s="12" t="s">
        <v>57</v>
      </c>
      <c r="D3" s="12">
        <v>213</v>
      </c>
    </row>
    <row r="4" spans="1:4" ht="23.25" customHeight="1">
      <c r="C4" s="15" t="s">
        <v>59</v>
      </c>
      <c r="D4" s="15">
        <f>SUM(D2:D3)</f>
        <v>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Faisal Bhai</vt:lpstr>
      <vt:lpstr>Swiss Tech</vt:lpstr>
      <vt:lpstr>Waheed Bhai</vt:lpstr>
      <vt:lpstr>Mudassir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2026-03-11T09:31:46Z</dcterms:created>
  <dcterms:modified xsi:type="dcterms:W3CDTF">2026-03-11T14:47:26Z</dcterms:modified>
</cp:coreProperties>
</file>