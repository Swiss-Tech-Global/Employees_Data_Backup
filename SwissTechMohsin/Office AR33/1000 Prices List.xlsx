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wiss\Downloads\"/>
    </mc:Choice>
  </mc:AlternateContent>
  <xr:revisionPtr revIDLastSave="0" documentId="13_ncr:1_{4EE25F60-C9D6-42F8-A520-98FF754CFD5D}" xr6:coauthVersionLast="47" xr6:coauthVersionMax="47" xr10:uidLastSave="{00000000-0000-0000-0000-000000000000}"/>
  <bookViews>
    <workbookView xWindow="-120" yWindow="-120" windowWidth="20730" windowHeight="11040" xr2:uid="{02ADD14B-8867-428B-8A9B-6C906AC2E167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5" i="1" l="1"/>
  <c r="E34" i="1"/>
  <c r="E33" i="1"/>
  <c r="E32" i="1"/>
  <c r="E31" i="1"/>
  <c r="E30" i="1"/>
  <c r="E29" i="1"/>
  <c r="E28" i="1"/>
  <c r="E27" i="1"/>
  <c r="E26" i="1"/>
  <c r="E25" i="1"/>
  <c r="E24" i="1"/>
  <c r="E14" i="2"/>
  <c r="E13" i="2"/>
  <c r="E12" i="2"/>
  <c r="E11" i="2"/>
  <c r="E22" i="3"/>
  <c r="E23" i="3"/>
  <c r="E24" i="3"/>
  <c r="E21" i="3"/>
  <c r="E5" i="3"/>
  <c r="E6" i="3"/>
  <c r="E7" i="3"/>
  <c r="E8" i="3"/>
  <c r="E9" i="3"/>
  <c r="E10" i="3"/>
  <c r="E11" i="3"/>
  <c r="E12" i="3"/>
  <c r="E13" i="3"/>
  <c r="E14" i="3"/>
  <c r="E15" i="3"/>
  <c r="E4" i="3"/>
  <c r="E5" i="2"/>
  <c r="F5" i="2" s="1"/>
  <c r="G5" i="2" s="1"/>
  <c r="E4" i="2"/>
  <c r="F4" i="2" s="1"/>
  <c r="G4" i="2" s="1"/>
  <c r="G5" i="1"/>
  <c r="G6" i="1"/>
  <c r="G7" i="1"/>
  <c r="G10" i="1"/>
  <c r="F5" i="1"/>
  <c r="F6" i="1"/>
  <c r="F7" i="1"/>
  <c r="F8" i="1"/>
  <c r="F10" i="1"/>
  <c r="F11" i="1"/>
  <c r="F13" i="1"/>
  <c r="F14" i="1"/>
  <c r="F4" i="1"/>
  <c r="E5" i="1"/>
  <c r="E6" i="1"/>
  <c r="E7" i="1"/>
  <c r="E8" i="1"/>
  <c r="E9" i="1"/>
  <c r="F9" i="1" s="1"/>
  <c r="E10" i="1"/>
  <c r="E11" i="1"/>
  <c r="E12" i="1"/>
  <c r="F12" i="1" s="1"/>
  <c r="E13" i="1"/>
  <c r="G13" i="1" s="1"/>
  <c r="E14" i="1"/>
  <c r="G14" i="1" s="1"/>
  <c r="E4" i="1"/>
  <c r="G4" i="1" s="1"/>
  <c r="G11" i="1" l="1"/>
  <c r="G8" i="1"/>
  <c r="G12" i="1"/>
  <c r="G9" i="1"/>
</calcChain>
</file>

<file path=xl/sharedStrings.xml><?xml version="1.0" encoding="utf-8"?>
<sst xmlns="http://schemas.openxmlformats.org/spreadsheetml/2006/main" count="136" uniqueCount="58">
  <si>
    <t>MINELAB GOLD MONSTER 1000 - GOLD DETECTOR</t>
  </si>
  <si>
    <t>goldballarat.com.au</t>
  </si>
  <si>
    <t>Minelab Gold Monster 1000 Metal Detector</t>
  </si>
  <si>
    <t>bcf.com.au</t>
  </si>
  <si>
    <t>Gold Monster 1000</t>
  </si>
  <si>
    <t>vastcom.com.au</t>
  </si>
  <si>
    <t>luckystrikegold.com.au</t>
  </si>
  <si>
    <t>Minelab Gold Monster 1000 Gold Detector</t>
  </si>
  <si>
    <t>ryda.com.au</t>
  </si>
  <si>
    <t>Gold Monster 1000 - Minelab Metal Detector</t>
  </si>
  <si>
    <t>highbanker.com.au</t>
  </si>
  <si>
    <t>uavme.com.au</t>
  </si>
  <si>
    <t>theprospectorsdepot.com.au</t>
  </si>
  <si>
    <t>Minelab Gold Monster 1000 Detector</t>
  </si>
  <si>
    <t>ruralandoutdoors.com.au</t>
  </si>
  <si>
    <t>shop.ec.com.au</t>
  </si>
  <si>
    <t>Minelab Gold Monster 1000 Metal Detector - 3317-0001</t>
  </si>
  <si>
    <t>ebay.com.au</t>
  </si>
  <si>
    <t>motackle.com.au</t>
  </si>
  <si>
    <t>Minelab Gold Monster 1000 Metal Detector (2024)</t>
  </si>
  <si>
    <t>Minelab Gold Monster 1000 Metal Detector Including 1 extra Battery</t>
  </si>
  <si>
    <t>Minelab Gold Monster 1000 Gold / Metal Detector Fully Automatic Plus Many Extras</t>
  </si>
  <si>
    <t xml:space="preserve">Sr No </t>
  </si>
  <si>
    <t>Discarpation</t>
  </si>
  <si>
    <t>Website</t>
  </si>
  <si>
    <t>AUD Prices</t>
  </si>
  <si>
    <t>ebay.com.au  26 Sold</t>
  </si>
  <si>
    <t>AED Prices</t>
  </si>
  <si>
    <t>GST</t>
  </si>
  <si>
    <t>After GST Prices AED</t>
  </si>
  <si>
    <t>Minelab GPZ 8000 Metal Detector - PREORDER (FIRST PRIORITY)</t>
  </si>
  <si>
    <t>Minelab GPZ 8000 Metal Detector Three Coil Pack - PREORDER (FIRST PRIORITY)</t>
  </si>
  <si>
    <t>GOLD MONSTER 1000 with 5" COIL</t>
  </si>
  <si>
    <t>usa.minelab.com</t>
  </si>
  <si>
    <t>Minelab Gold Monster 1000 Metal Detector w/ 5 inch Coil</t>
  </si>
  <si>
    <t>kellycodetectors.com</t>
  </si>
  <si>
    <t>Minelab Gold Monster 1000 Prospecting Metal Detector with 5" Coil</t>
  </si>
  <si>
    <t>detectorwarehouse.com</t>
  </si>
  <si>
    <t>Minelab GOLD MONSTER 1000 Easy-to-Use High Performance Metal Detector</t>
  </si>
  <si>
    <t>ebay.com</t>
  </si>
  <si>
    <t>Minelab Gold Monster 1000 Metal Detector with 5" DD Waterproof Search Coil</t>
  </si>
  <si>
    <t>Minelab Gold Monster 1000 Metal Detector with 5" Search Coil</t>
  </si>
  <si>
    <t>Minelab GOLD MONSTER 1000 with Pro Find 15, 2 Search Coils, Headphones, and More</t>
  </si>
  <si>
    <t>modernmetaldetectors.com</t>
  </si>
  <si>
    <t>metaldetector.com</t>
  </si>
  <si>
    <t>Minelab - Gold Monster 1000 Metal Detector - 15% Military Discount</t>
  </si>
  <si>
    <t>colonialmetaldetectors.com</t>
  </si>
  <si>
    <t>MINELAB GOLD MONSTER 1000</t>
  </si>
  <si>
    <t>hangtownhardware.com</t>
  </si>
  <si>
    <t>Minelab Gold Monster 1000 Metal Detector with 5" coil and extra rechargeable Battery</t>
  </si>
  <si>
    <t>highplainsprospectors.com</t>
  </si>
  <si>
    <t>Minelab GPZ 8000 3 Coil Pack Gold Metal Detector</t>
  </si>
  <si>
    <t>Minelab GPZ 8000 Metal Detector Three Coil Pack Z13, Z17 and Z18.</t>
  </si>
  <si>
    <t>GPZ 8000 - Single Coil Pack</t>
  </si>
  <si>
    <t>Minelab GPZ 8000 Metal Detector/ Three Coil Pack</t>
  </si>
  <si>
    <t>americandivingsupply.com</t>
  </si>
  <si>
    <t>USA</t>
  </si>
  <si>
    <t>Australia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</si>
</sst>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AUD]\ * #,##0.00_-;\-[$AUD]\ * #,##0.00_-;_-[$AUD]\ * &quot;-&quot;??_-;_-@_-"/>
    <numFmt numFmtId="165" formatCode="_-[$AED]\ * #,##0.00_-;\-[$AED]\ * #,##0.00_-;_-[$AED]\ * &quot;-&quot;??_-;_-@_-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28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0" fontId="2" fillId="4" borderId="0" xfId="0" applyFont="1" applyFill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303E9-7146-4849-9DF8-05EFF80ADC0B}">
  <dimension ref="A1:G35"/>
  <sheetViews>
    <sheetView tabSelected="1" topLeftCell="A16" workbookViewId="0">
      <selection activeCell="G26" sqref="G26"/>
    </sheetView>
  </sheetViews>
  <sheetFormatPr defaultRowHeight="15" x14ac:dyDescent="0.25"/>
  <cols>
    <col min="2" max="2" width="79.140625" customWidth="1"/>
    <col min="3" max="3" width="27.140625" bestFit="1" customWidth="1"/>
    <col min="4" max="5" width="13.85546875" bestFit="1" customWidth="1"/>
    <col min="6" max="6" width="11.85546875" bestFit="1" customWidth="1"/>
    <col min="7" max="7" width="18.7109375" bestFit="1" customWidth="1"/>
  </cols>
  <sheetData>
    <row r="1" spans="1:7" x14ac:dyDescent="0.25">
      <c r="A1" s="7" t="s">
        <v>57</v>
      </c>
      <c r="B1" s="7"/>
      <c r="C1" s="7"/>
      <c r="D1" s="7"/>
      <c r="E1" s="7"/>
      <c r="F1" s="7"/>
      <c r="G1" s="7"/>
    </row>
    <row r="2" spans="1:7" x14ac:dyDescent="0.25">
      <c r="A2" s="8"/>
      <c r="B2" s="8"/>
      <c r="C2" s="8"/>
      <c r="D2" s="8"/>
      <c r="E2" s="8"/>
      <c r="F2" s="8"/>
      <c r="G2" s="8"/>
    </row>
    <row r="3" spans="1:7" x14ac:dyDescent="0.25">
      <c r="A3" s="2" t="s">
        <v>22</v>
      </c>
      <c r="B3" s="2" t="s">
        <v>23</v>
      </c>
      <c r="C3" s="2" t="s">
        <v>24</v>
      </c>
      <c r="D3" s="2" t="s">
        <v>25</v>
      </c>
      <c r="E3" s="2" t="s">
        <v>27</v>
      </c>
      <c r="F3" s="2" t="s">
        <v>28</v>
      </c>
      <c r="G3" s="2" t="s">
        <v>29</v>
      </c>
    </row>
    <row r="4" spans="1:7" x14ac:dyDescent="0.25">
      <c r="A4" s="1">
        <v>1</v>
      </c>
      <c r="B4" s="1" t="s">
        <v>0</v>
      </c>
      <c r="C4" s="1" t="s">
        <v>1</v>
      </c>
      <c r="D4" s="3">
        <v>1249</v>
      </c>
      <c r="E4" s="4">
        <f>D4*2.5585</f>
        <v>3195.5664999999999</v>
      </c>
      <c r="F4" s="4">
        <f>E4/11</f>
        <v>290.50604545454547</v>
      </c>
      <c r="G4" s="5">
        <f>E4-F4</f>
        <v>2905.0604545454544</v>
      </c>
    </row>
    <row r="5" spans="1:7" x14ac:dyDescent="0.25">
      <c r="A5" s="1">
        <v>2</v>
      </c>
      <c r="B5" s="1" t="s">
        <v>2</v>
      </c>
      <c r="C5" s="1" t="s">
        <v>3</v>
      </c>
      <c r="D5" s="3">
        <v>1199</v>
      </c>
      <c r="E5" s="4">
        <f t="shared" ref="E5:E14" si="0">D5*2.5585</f>
        <v>3067.6415000000002</v>
      </c>
      <c r="F5" s="4">
        <f t="shared" ref="F5:F14" si="1">E5/11</f>
        <v>278.87650000000002</v>
      </c>
      <c r="G5" s="5">
        <f t="shared" ref="G5:G14" si="2">E5-F5</f>
        <v>2788.7650000000003</v>
      </c>
    </row>
    <row r="6" spans="1:7" x14ac:dyDescent="0.25">
      <c r="A6" s="1">
        <v>3</v>
      </c>
      <c r="B6" s="1" t="s">
        <v>4</v>
      </c>
      <c r="C6" s="1" t="s">
        <v>5</v>
      </c>
      <c r="D6" s="3">
        <v>1199</v>
      </c>
      <c r="E6" s="4">
        <f t="shared" si="0"/>
        <v>3067.6415000000002</v>
      </c>
      <c r="F6" s="4">
        <f t="shared" si="1"/>
        <v>278.87650000000002</v>
      </c>
      <c r="G6" s="5">
        <f t="shared" si="2"/>
        <v>2788.7650000000003</v>
      </c>
    </row>
    <row r="7" spans="1:7" x14ac:dyDescent="0.25">
      <c r="A7" s="1">
        <v>4</v>
      </c>
      <c r="B7" s="1" t="s">
        <v>2</v>
      </c>
      <c r="C7" s="1" t="s">
        <v>6</v>
      </c>
      <c r="D7" s="3">
        <v>1249</v>
      </c>
      <c r="E7" s="4">
        <f t="shared" si="0"/>
        <v>3195.5664999999999</v>
      </c>
      <c r="F7" s="4">
        <f t="shared" si="1"/>
        <v>290.50604545454547</v>
      </c>
      <c r="G7" s="5">
        <f t="shared" si="2"/>
        <v>2905.0604545454544</v>
      </c>
    </row>
    <row r="8" spans="1:7" x14ac:dyDescent="0.25">
      <c r="A8" s="1">
        <v>5</v>
      </c>
      <c r="B8" s="1" t="s">
        <v>7</v>
      </c>
      <c r="C8" s="1" t="s">
        <v>8</v>
      </c>
      <c r="D8" s="3">
        <v>1148.8499999999999</v>
      </c>
      <c r="E8" s="4">
        <f t="shared" si="0"/>
        <v>2939.3327249999998</v>
      </c>
      <c r="F8" s="4">
        <f t="shared" si="1"/>
        <v>267.21206590909088</v>
      </c>
      <c r="G8" s="5">
        <f t="shared" si="2"/>
        <v>2672.1206590909087</v>
      </c>
    </row>
    <row r="9" spans="1:7" x14ac:dyDescent="0.25">
      <c r="A9" s="1">
        <v>6</v>
      </c>
      <c r="B9" s="1" t="s">
        <v>9</v>
      </c>
      <c r="C9" s="1" t="s">
        <v>10</v>
      </c>
      <c r="D9" s="3">
        <v>1299</v>
      </c>
      <c r="E9" s="4">
        <f t="shared" si="0"/>
        <v>3323.4915000000001</v>
      </c>
      <c r="F9" s="4">
        <f t="shared" si="1"/>
        <v>302.13559090909092</v>
      </c>
      <c r="G9" s="5">
        <f t="shared" si="2"/>
        <v>3021.3559090909093</v>
      </c>
    </row>
    <row r="10" spans="1:7" x14ac:dyDescent="0.25">
      <c r="A10" s="1">
        <v>7</v>
      </c>
      <c r="B10" s="1" t="s">
        <v>2</v>
      </c>
      <c r="C10" s="1" t="s">
        <v>11</v>
      </c>
      <c r="D10" s="3">
        <v>1399</v>
      </c>
      <c r="E10" s="4">
        <f t="shared" si="0"/>
        <v>3579.3415</v>
      </c>
      <c r="F10" s="4">
        <f t="shared" si="1"/>
        <v>325.39468181818182</v>
      </c>
      <c r="G10" s="5">
        <f t="shared" si="2"/>
        <v>3253.9468181818183</v>
      </c>
    </row>
    <row r="11" spans="1:7" x14ac:dyDescent="0.25">
      <c r="A11" s="1">
        <v>8</v>
      </c>
      <c r="B11" s="1" t="s">
        <v>4</v>
      </c>
      <c r="C11" s="1" t="s">
        <v>12</v>
      </c>
      <c r="D11" s="3">
        <v>1439</v>
      </c>
      <c r="E11" s="4">
        <f t="shared" si="0"/>
        <v>3681.6815000000001</v>
      </c>
      <c r="F11" s="4">
        <f t="shared" si="1"/>
        <v>334.69831818181819</v>
      </c>
      <c r="G11" s="5">
        <f t="shared" si="2"/>
        <v>3346.9831818181819</v>
      </c>
    </row>
    <row r="12" spans="1:7" x14ac:dyDescent="0.25">
      <c r="A12" s="1">
        <v>9</v>
      </c>
      <c r="B12" s="1" t="s">
        <v>13</v>
      </c>
      <c r="C12" s="1" t="s">
        <v>14</v>
      </c>
      <c r="D12" s="3">
        <v>1439</v>
      </c>
      <c r="E12" s="4">
        <f t="shared" si="0"/>
        <v>3681.6815000000001</v>
      </c>
      <c r="F12" s="4">
        <f t="shared" si="1"/>
        <v>334.69831818181819</v>
      </c>
      <c r="G12" s="5">
        <f t="shared" si="2"/>
        <v>3346.9831818181819</v>
      </c>
    </row>
    <row r="13" spans="1:7" x14ac:dyDescent="0.25">
      <c r="A13" s="1">
        <v>10</v>
      </c>
      <c r="B13" s="1" t="s">
        <v>2</v>
      </c>
      <c r="C13" s="1" t="s">
        <v>15</v>
      </c>
      <c r="D13" s="3">
        <v>1399</v>
      </c>
      <c r="E13" s="4">
        <f t="shared" si="0"/>
        <v>3579.3415</v>
      </c>
      <c r="F13" s="4">
        <f t="shared" si="1"/>
        <v>325.39468181818182</v>
      </c>
      <c r="G13" s="5">
        <f t="shared" si="2"/>
        <v>3253.9468181818183</v>
      </c>
    </row>
    <row r="14" spans="1:7" x14ac:dyDescent="0.25">
      <c r="A14" s="1">
        <v>11</v>
      </c>
      <c r="B14" s="1" t="s">
        <v>19</v>
      </c>
      <c r="C14" s="1" t="s">
        <v>18</v>
      </c>
      <c r="D14" s="3">
        <v>1299</v>
      </c>
      <c r="E14" s="4">
        <f t="shared" si="0"/>
        <v>3323.4915000000001</v>
      </c>
      <c r="F14" s="4">
        <f t="shared" si="1"/>
        <v>302.13559090909092</v>
      </c>
      <c r="G14" s="5">
        <f t="shared" si="2"/>
        <v>3021.3559090909093</v>
      </c>
    </row>
    <row r="15" spans="1:7" x14ac:dyDescent="0.25">
      <c r="A15" s="1">
        <v>12</v>
      </c>
      <c r="B15" s="1" t="s">
        <v>16</v>
      </c>
      <c r="C15" s="1" t="s">
        <v>17</v>
      </c>
      <c r="D15" s="3">
        <v>1249</v>
      </c>
      <c r="E15" s="4"/>
      <c r="F15" s="4"/>
      <c r="G15" s="5"/>
    </row>
    <row r="16" spans="1:7" x14ac:dyDescent="0.25">
      <c r="A16" s="1">
        <v>13</v>
      </c>
      <c r="B16" s="1" t="s">
        <v>20</v>
      </c>
      <c r="C16" s="1" t="s">
        <v>26</v>
      </c>
      <c r="D16" s="3">
        <v>1239</v>
      </c>
      <c r="E16" s="4"/>
      <c r="F16" s="4"/>
      <c r="G16" s="5"/>
    </row>
    <row r="17" spans="1:7" x14ac:dyDescent="0.25">
      <c r="A17" s="1">
        <v>14</v>
      </c>
      <c r="B17" s="1" t="s">
        <v>21</v>
      </c>
      <c r="C17" s="1" t="s">
        <v>17</v>
      </c>
      <c r="D17" s="3">
        <v>1785</v>
      </c>
      <c r="E17" s="4"/>
      <c r="F17" s="4"/>
      <c r="G17" s="5"/>
    </row>
    <row r="21" spans="1:7" x14ac:dyDescent="0.25">
      <c r="A21" s="9" t="s">
        <v>56</v>
      </c>
      <c r="B21" s="9"/>
      <c r="C21" s="9"/>
      <c r="D21" s="9"/>
      <c r="E21" s="9"/>
    </row>
    <row r="22" spans="1:7" x14ac:dyDescent="0.25">
      <c r="A22" s="9"/>
      <c r="B22" s="9"/>
      <c r="C22" s="9"/>
      <c r="D22" s="9"/>
      <c r="E22" s="9"/>
    </row>
    <row r="23" spans="1:7" x14ac:dyDescent="0.25">
      <c r="A23" s="2" t="s">
        <v>22</v>
      </c>
      <c r="B23" s="2" t="s">
        <v>23</v>
      </c>
      <c r="C23" s="2" t="s">
        <v>24</v>
      </c>
      <c r="D23" s="2" t="s">
        <v>25</v>
      </c>
      <c r="E23" s="2" t="s">
        <v>27</v>
      </c>
    </row>
    <row r="24" spans="1:7" x14ac:dyDescent="0.25">
      <c r="A24" s="1">
        <v>1</v>
      </c>
      <c r="B24" s="1" t="s">
        <v>32</v>
      </c>
      <c r="C24" s="1" t="s">
        <v>33</v>
      </c>
      <c r="D24" s="1">
        <v>899</v>
      </c>
      <c r="E24" s="1">
        <f>D24*3.58</f>
        <v>3218.42</v>
      </c>
    </row>
    <row r="25" spans="1:7" x14ac:dyDescent="0.25">
      <c r="A25" s="1">
        <v>2</v>
      </c>
      <c r="B25" s="1" t="s">
        <v>34</v>
      </c>
      <c r="C25" s="1" t="s">
        <v>35</v>
      </c>
      <c r="D25" s="1">
        <v>899</v>
      </c>
      <c r="E25" s="1">
        <f t="shared" ref="E25:E35" si="3">D25*3.58</f>
        <v>3218.42</v>
      </c>
    </row>
    <row r="26" spans="1:7" x14ac:dyDescent="0.25">
      <c r="A26" s="1">
        <v>3</v>
      </c>
      <c r="B26" s="1" t="s">
        <v>36</v>
      </c>
      <c r="C26" s="1" t="s">
        <v>37</v>
      </c>
      <c r="D26" s="1">
        <v>899</v>
      </c>
      <c r="E26" s="1">
        <f t="shared" si="3"/>
        <v>3218.42</v>
      </c>
    </row>
    <row r="27" spans="1:7" x14ac:dyDescent="0.25">
      <c r="A27" s="1">
        <v>4</v>
      </c>
      <c r="B27" s="1" t="s">
        <v>38</v>
      </c>
      <c r="C27" s="1" t="s">
        <v>39</v>
      </c>
      <c r="D27" s="1">
        <v>899</v>
      </c>
      <c r="E27" s="1">
        <f t="shared" si="3"/>
        <v>3218.42</v>
      </c>
    </row>
    <row r="28" spans="1:7" x14ac:dyDescent="0.25">
      <c r="A28" s="1">
        <v>5</v>
      </c>
      <c r="B28" s="1" t="s">
        <v>40</v>
      </c>
      <c r="C28" s="1" t="s">
        <v>39</v>
      </c>
      <c r="D28" s="1">
        <v>900.66</v>
      </c>
      <c r="E28" s="1">
        <f t="shared" si="3"/>
        <v>3224.3627999999999</v>
      </c>
    </row>
    <row r="29" spans="1:7" x14ac:dyDescent="0.25">
      <c r="A29" s="1">
        <v>6</v>
      </c>
      <c r="B29" s="1" t="s">
        <v>41</v>
      </c>
      <c r="C29" s="1" t="s">
        <v>39</v>
      </c>
      <c r="D29" s="1">
        <v>899</v>
      </c>
      <c r="E29" s="1">
        <f t="shared" si="3"/>
        <v>3218.42</v>
      </c>
    </row>
    <row r="30" spans="1:7" x14ac:dyDescent="0.25">
      <c r="A30" s="1">
        <v>7</v>
      </c>
      <c r="B30" s="1" t="s">
        <v>42</v>
      </c>
      <c r="C30" s="1" t="s">
        <v>39</v>
      </c>
      <c r="D30" s="6">
        <v>1128.99</v>
      </c>
      <c r="E30" s="1">
        <f t="shared" si="3"/>
        <v>4041.7842000000001</v>
      </c>
    </row>
    <row r="31" spans="1:7" x14ac:dyDescent="0.25">
      <c r="A31" s="1">
        <v>8</v>
      </c>
      <c r="B31" s="1" t="s">
        <v>7</v>
      </c>
      <c r="C31" s="1" t="s">
        <v>43</v>
      </c>
      <c r="D31" s="1">
        <v>899</v>
      </c>
      <c r="E31" s="1">
        <f t="shared" si="3"/>
        <v>3218.42</v>
      </c>
    </row>
    <row r="32" spans="1:7" x14ac:dyDescent="0.25">
      <c r="A32" s="1">
        <v>9</v>
      </c>
      <c r="B32" s="1" t="s">
        <v>2</v>
      </c>
      <c r="C32" s="1" t="s">
        <v>44</v>
      </c>
      <c r="D32" s="1">
        <v>899</v>
      </c>
      <c r="E32" s="1">
        <f t="shared" si="3"/>
        <v>3218.42</v>
      </c>
    </row>
    <row r="33" spans="1:5" x14ac:dyDescent="0.25">
      <c r="A33" s="1">
        <v>10</v>
      </c>
      <c r="B33" s="1" t="s">
        <v>45</v>
      </c>
      <c r="C33" s="1" t="s">
        <v>46</v>
      </c>
      <c r="D33" s="1">
        <v>899</v>
      </c>
      <c r="E33" s="1">
        <f t="shared" si="3"/>
        <v>3218.42</v>
      </c>
    </row>
    <row r="34" spans="1:5" x14ac:dyDescent="0.25">
      <c r="A34" s="1">
        <v>11</v>
      </c>
      <c r="B34" s="1" t="s">
        <v>47</v>
      </c>
      <c r="C34" s="1" t="s">
        <v>48</v>
      </c>
      <c r="D34" s="1">
        <v>849.99</v>
      </c>
      <c r="E34" s="1">
        <f t="shared" si="3"/>
        <v>3042.9641999999999</v>
      </c>
    </row>
    <row r="35" spans="1:5" x14ac:dyDescent="0.25">
      <c r="A35" s="1">
        <v>12</v>
      </c>
      <c r="B35" s="1" t="s">
        <v>49</v>
      </c>
      <c r="C35" s="1" t="s">
        <v>50</v>
      </c>
      <c r="D35" s="1">
        <v>899</v>
      </c>
      <c r="E35" s="1">
        <f t="shared" si="3"/>
        <v>3218.42</v>
      </c>
    </row>
  </sheetData>
  <mergeCells count="2">
    <mergeCell ref="A21:E22"/>
    <mergeCell ref="A1:G2"/>
  </mergeCells>
  <conditionalFormatting sqref="C19 C3:C17 D3 C36:C1048576">
    <cfRule type="duplicateValues" dxfId="5" priority="3"/>
  </conditionalFormatting>
  <conditionalFormatting sqref="C23:D23">
    <cfRule type="duplicateValues" dxfId="4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A91F8-6DF6-48AE-B9FA-104B69EB372C}">
  <dimension ref="A1:G14"/>
  <sheetViews>
    <sheetView workbookViewId="0">
      <selection activeCell="F17" sqref="F17"/>
    </sheetView>
  </sheetViews>
  <sheetFormatPr defaultRowHeight="15" x14ac:dyDescent="0.25"/>
  <cols>
    <col min="2" max="2" width="71.28515625" bestFit="1" customWidth="1"/>
    <col min="3" max="3" width="22" bestFit="1" customWidth="1"/>
    <col min="4" max="5" width="14.85546875" bestFit="1" customWidth="1"/>
    <col min="6" max="6" width="13.85546875" bestFit="1" customWidth="1"/>
    <col min="7" max="7" width="19.85546875" bestFit="1" customWidth="1"/>
  </cols>
  <sheetData>
    <row r="1" spans="1:7" x14ac:dyDescent="0.25">
      <c r="A1" s="7" t="s">
        <v>57</v>
      </c>
      <c r="B1" s="7"/>
      <c r="C1" s="7"/>
      <c r="D1" s="7"/>
      <c r="E1" s="7"/>
      <c r="F1" s="7"/>
      <c r="G1" s="7"/>
    </row>
    <row r="2" spans="1:7" x14ac:dyDescent="0.25">
      <c r="A2" s="8"/>
      <c r="B2" s="8"/>
      <c r="C2" s="8"/>
      <c r="D2" s="8"/>
      <c r="E2" s="8"/>
      <c r="F2" s="8"/>
      <c r="G2" s="8"/>
    </row>
    <row r="3" spans="1:7" x14ac:dyDescent="0.25">
      <c r="A3" s="2" t="s">
        <v>22</v>
      </c>
      <c r="B3" s="2" t="s">
        <v>23</v>
      </c>
      <c r="C3" s="2" t="s">
        <v>24</v>
      </c>
      <c r="D3" s="2" t="s">
        <v>25</v>
      </c>
      <c r="E3" s="2" t="s">
        <v>27</v>
      </c>
      <c r="F3" s="2" t="s">
        <v>28</v>
      </c>
      <c r="G3" s="2" t="s">
        <v>29</v>
      </c>
    </row>
    <row r="4" spans="1:7" x14ac:dyDescent="0.25">
      <c r="A4" s="1">
        <v>1</v>
      </c>
      <c r="B4" s="1" t="s">
        <v>30</v>
      </c>
      <c r="C4" s="1" t="s">
        <v>6</v>
      </c>
      <c r="D4" s="3">
        <v>14999</v>
      </c>
      <c r="E4" s="4">
        <f>D4*2.5585</f>
        <v>38374.941500000001</v>
      </c>
      <c r="F4" s="4">
        <f>E4/11</f>
        <v>3488.6310454545455</v>
      </c>
      <c r="G4" s="4">
        <f>E4-F4</f>
        <v>34886.310454545455</v>
      </c>
    </row>
    <row r="5" spans="1:7" x14ac:dyDescent="0.25">
      <c r="A5" s="1">
        <v>2</v>
      </c>
      <c r="B5" s="1" t="s">
        <v>31</v>
      </c>
      <c r="C5" s="1" t="s">
        <v>6</v>
      </c>
      <c r="D5" s="3">
        <v>16999</v>
      </c>
      <c r="E5" s="4">
        <f>D5*2.5585</f>
        <v>43491.941500000001</v>
      </c>
      <c r="F5" s="4">
        <f>E5/11</f>
        <v>3953.8128636363635</v>
      </c>
      <c r="G5" s="4">
        <f>E5-F5</f>
        <v>39538.128636363639</v>
      </c>
    </row>
    <row r="8" spans="1:7" x14ac:dyDescent="0.25">
      <c r="A8" s="9" t="s">
        <v>56</v>
      </c>
      <c r="B8" s="9"/>
      <c r="C8" s="9"/>
      <c r="D8" s="9"/>
      <c r="E8" s="9"/>
    </row>
    <row r="9" spans="1:7" x14ac:dyDescent="0.25">
      <c r="A9" s="9"/>
      <c r="B9" s="9"/>
      <c r="C9" s="9"/>
      <c r="D9" s="9"/>
      <c r="E9" s="9"/>
    </row>
    <row r="10" spans="1:7" x14ac:dyDescent="0.25">
      <c r="A10" s="2" t="s">
        <v>22</v>
      </c>
      <c r="B10" s="2" t="s">
        <v>23</v>
      </c>
      <c r="C10" s="2" t="s">
        <v>24</v>
      </c>
      <c r="D10" s="2" t="s">
        <v>25</v>
      </c>
      <c r="E10" s="2" t="s">
        <v>27</v>
      </c>
    </row>
    <row r="11" spans="1:7" x14ac:dyDescent="0.25">
      <c r="A11" s="1">
        <v>1</v>
      </c>
      <c r="B11" s="1" t="s">
        <v>51</v>
      </c>
      <c r="C11" s="1" t="s">
        <v>43</v>
      </c>
      <c r="D11" s="1">
        <v>11999</v>
      </c>
      <c r="E11" s="1">
        <f>D11*3.58</f>
        <v>42956.42</v>
      </c>
    </row>
    <row r="12" spans="1:7" x14ac:dyDescent="0.25">
      <c r="A12" s="1">
        <v>2</v>
      </c>
      <c r="B12" s="1" t="s">
        <v>52</v>
      </c>
      <c r="C12" s="1" t="s">
        <v>35</v>
      </c>
      <c r="D12" s="1">
        <v>11999</v>
      </c>
      <c r="E12" s="1">
        <f t="shared" ref="E12:E14" si="0">D12*3.58</f>
        <v>42956.42</v>
      </c>
    </row>
    <row r="13" spans="1:7" x14ac:dyDescent="0.25">
      <c r="A13" s="1">
        <v>3</v>
      </c>
      <c r="B13" s="1" t="s">
        <v>53</v>
      </c>
      <c r="C13" s="1" t="s">
        <v>33</v>
      </c>
      <c r="D13" s="1">
        <v>9999</v>
      </c>
      <c r="E13" s="1">
        <f t="shared" si="0"/>
        <v>35796.42</v>
      </c>
    </row>
    <row r="14" spans="1:7" x14ac:dyDescent="0.25">
      <c r="A14" s="1">
        <v>4</v>
      </c>
      <c r="B14" s="1" t="s">
        <v>54</v>
      </c>
      <c r="C14" s="1" t="s">
        <v>55</v>
      </c>
      <c r="D14" s="1">
        <v>11999</v>
      </c>
      <c r="E14" s="1">
        <f t="shared" si="0"/>
        <v>42956.42</v>
      </c>
    </row>
  </sheetData>
  <mergeCells count="2">
    <mergeCell ref="A1:G2"/>
    <mergeCell ref="A8:E9"/>
  </mergeCells>
  <conditionalFormatting sqref="C3:D3">
    <cfRule type="duplicateValues" dxfId="3" priority="2"/>
  </conditionalFormatting>
  <conditionalFormatting sqref="C10:D10">
    <cfRule type="duplicateValues" dxfId="2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91FF2-36D1-4E3C-9011-785C3BE77597}">
  <dimension ref="A1:E24"/>
  <sheetViews>
    <sheetView workbookViewId="0">
      <selection sqref="A1:E15"/>
    </sheetView>
  </sheetViews>
  <sheetFormatPr defaultRowHeight="15" x14ac:dyDescent="0.25"/>
  <cols>
    <col min="2" max="2" width="78.140625" bestFit="1" customWidth="1"/>
    <col min="3" max="3" width="26" bestFit="1" customWidth="1"/>
    <col min="4" max="4" width="12.5703125" customWidth="1"/>
    <col min="5" max="5" width="14" customWidth="1"/>
  </cols>
  <sheetData>
    <row r="1" spans="1:5" x14ac:dyDescent="0.25">
      <c r="A1" s="9" t="s">
        <v>56</v>
      </c>
      <c r="B1" s="9"/>
      <c r="C1" s="9"/>
      <c r="D1" s="9"/>
      <c r="E1" s="9"/>
    </row>
    <row r="2" spans="1:5" x14ac:dyDescent="0.25">
      <c r="A2" s="9"/>
      <c r="B2" s="9"/>
      <c r="C2" s="9"/>
      <c r="D2" s="9"/>
      <c r="E2" s="9"/>
    </row>
    <row r="3" spans="1:5" x14ac:dyDescent="0.25">
      <c r="A3" s="2" t="s">
        <v>22</v>
      </c>
      <c r="B3" s="2" t="s">
        <v>23</v>
      </c>
      <c r="C3" s="2" t="s">
        <v>24</v>
      </c>
      <c r="D3" s="2" t="s">
        <v>25</v>
      </c>
      <c r="E3" s="2" t="s">
        <v>27</v>
      </c>
    </row>
    <row r="4" spans="1:5" x14ac:dyDescent="0.25">
      <c r="A4" s="1">
        <v>1</v>
      </c>
      <c r="B4" s="1" t="s">
        <v>32</v>
      </c>
      <c r="C4" s="1" t="s">
        <v>33</v>
      </c>
      <c r="D4" s="1">
        <v>899</v>
      </c>
      <c r="E4" s="1">
        <f>D4*3.58</f>
        <v>3218.42</v>
      </c>
    </row>
    <row r="5" spans="1:5" x14ac:dyDescent="0.25">
      <c r="A5" s="1">
        <v>2</v>
      </c>
      <c r="B5" s="1" t="s">
        <v>34</v>
      </c>
      <c r="C5" s="1" t="s">
        <v>35</v>
      </c>
      <c r="D5" s="1">
        <v>899</v>
      </c>
      <c r="E5" s="1">
        <f t="shared" ref="E5:E15" si="0">D5*3.58</f>
        <v>3218.42</v>
      </c>
    </row>
    <row r="6" spans="1:5" x14ac:dyDescent="0.25">
      <c r="A6" s="1">
        <v>3</v>
      </c>
      <c r="B6" s="1" t="s">
        <v>36</v>
      </c>
      <c r="C6" s="1" t="s">
        <v>37</v>
      </c>
      <c r="D6" s="1">
        <v>899</v>
      </c>
      <c r="E6" s="1">
        <f t="shared" si="0"/>
        <v>3218.42</v>
      </c>
    </row>
    <row r="7" spans="1:5" x14ac:dyDescent="0.25">
      <c r="A7" s="1">
        <v>4</v>
      </c>
      <c r="B7" s="1" t="s">
        <v>38</v>
      </c>
      <c r="C7" s="1" t="s">
        <v>39</v>
      </c>
      <c r="D7" s="1">
        <v>899</v>
      </c>
      <c r="E7" s="1">
        <f t="shared" si="0"/>
        <v>3218.42</v>
      </c>
    </row>
    <row r="8" spans="1:5" x14ac:dyDescent="0.25">
      <c r="A8" s="1">
        <v>5</v>
      </c>
      <c r="B8" s="1" t="s">
        <v>40</v>
      </c>
      <c r="C8" s="1" t="s">
        <v>39</v>
      </c>
      <c r="D8" s="1">
        <v>900.66</v>
      </c>
      <c r="E8" s="1">
        <f t="shared" si="0"/>
        <v>3224.3627999999999</v>
      </c>
    </row>
    <row r="9" spans="1:5" x14ac:dyDescent="0.25">
      <c r="A9" s="1">
        <v>6</v>
      </c>
      <c r="B9" s="1" t="s">
        <v>41</v>
      </c>
      <c r="C9" s="1" t="s">
        <v>39</v>
      </c>
      <c r="D9" s="1">
        <v>899</v>
      </c>
      <c r="E9" s="1">
        <f t="shared" si="0"/>
        <v>3218.42</v>
      </c>
    </row>
    <row r="10" spans="1:5" x14ac:dyDescent="0.25">
      <c r="A10" s="1">
        <v>7</v>
      </c>
      <c r="B10" s="1" t="s">
        <v>42</v>
      </c>
      <c r="C10" s="1" t="s">
        <v>39</v>
      </c>
      <c r="D10" s="6">
        <v>1128.99</v>
      </c>
      <c r="E10" s="1">
        <f t="shared" si="0"/>
        <v>4041.7842000000001</v>
      </c>
    </row>
    <row r="11" spans="1:5" x14ac:dyDescent="0.25">
      <c r="A11" s="1">
        <v>8</v>
      </c>
      <c r="B11" s="1" t="s">
        <v>7</v>
      </c>
      <c r="C11" s="1" t="s">
        <v>43</v>
      </c>
      <c r="D11" s="1">
        <v>899</v>
      </c>
      <c r="E11" s="1">
        <f t="shared" si="0"/>
        <v>3218.42</v>
      </c>
    </row>
    <row r="12" spans="1:5" x14ac:dyDescent="0.25">
      <c r="A12" s="1">
        <v>9</v>
      </c>
      <c r="B12" s="1" t="s">
        <v>2</v>
      </c>
      <c r="C12" s="1" t="s">
        <v>44</v>
      </c>
      <c r="D12" s="1">
        <v>899</v>
      </c>
      <c r="E12" s="1">
        <f t="shared" si="0"/>
        <v>3218.42</v>
      </c>
    </row>
    <row r="13" spans="1:5" x14ac:dyDescent="0.25">
      <c r="A13" s="1">
        <v>10</v>
      </c>
      <c r="B13" s="1" t="s">
        <v>45</v>
      </c>
      <c r="C13" s="1" t="s">
        <v>46</v>
      </c>
      <c r="D13" s="1">
        <v>899</v>
      </c>
      <c r="E13" s="1">
        <f t="shared" si="0"/>
        <v>3218.42</v>
      </c>
    </row>
    <row r="14" spans="1:5" x14ac:dyDescent="0.25">
      <c r="A14" s="1">
        <v>11</v>
      </c>
      <c r="B14" s="1" t="s">
        <v>47</v>
      </c>
      <c r="C14" s="1" t="s">
        <v>48</v>
      </c>
      <c r="D14" s="1">
        <v>849.99</v>
      </c>
      <c r="E14" s="1">
        <f t="shared" si="0"/>
        <v>3042.9641999999999</v>
      </c>
    </row>
    <row r="15" spans="1:5" x14ac:dyDescent="0.25">
      <c r="A15" s="1">
        <v>12</v>
      </c>
      <c r="B15" s="1" t="s">
        <v>49</v>
      </c>
      <c r="C15" s="1" t="s">
        <v>50</v>
      </c>
      <c r="D15" s="1">
        <v>899</v>
      </c>
      <c r="E15" s="1">
        <f t="shared" si="0"/>
        <v>3218.42</v>
      </c>
    </row>
    <row r="18" spans="1:5" x14ac:dyDescent="0.25">
      <c r="A18" s="9" t="s">
        <v>56</v>
      </c>
      <c r="B18" s="9"/>
      <c r="C18" s="9"/>
      <c r="D18" s="9"/>
      <c r="E18" s="9"/>
    </row>
    <row r="19" spans="1:5" x14ac:dyDescent="0.25">
      <c r="A19" s="9"/>
      <c r="B19" s="9"/>
      <c r="C19" s="9"/>
      <c r="D19" s="9"/>
      <c r="E19" s="9"/>
    </row>
    <row r="20" spans="1:5" x14ac:dyDescent="0.25">
      <c r="A20" s="2" t="s">
        <v>22</v>
      </c>
      <c r="B20" s="2" t="s">
        <v>23</v>
      </c>
      <c r="C20" s="2" t="s">
        <v>24</v>
      </c>
      <c r="D20" s="2" t="s">
        <v>25</v>
      </c>
      <c r="E20" s="2" t="s">
        <v>27</v>
      </c>
    </row>
    <row r="21" spans="1:5" x14ac:dyDescent="0.25">
      <c r="A21" s="1">
        <v>1</v>
      </c>
      <c r="B21" s="1" t="s">
        <v>51</v>
      </c>
      <c r="C21" s="1" t="s">
        <v>43</v>
      </c>
      <c r="D21" s="1">
        <v>11999</v>
      </c>
      <c r="E21" s="1">
        <f>D21*3.58</f>
        <v>42956.42</v>
      </c>
    </row>
    <row r="22" spans="1:5" x14ac:dyDescent="0.25">
      <c r="A22" s="1">
        <v>2</v>
      </c>
      <c r="B22" s="1" t="s">
        <v>52</v>
      </c>
      <c r="C22" s="1" t="s">
        <v>35</v>
      </c>
      <c r="D22" s="1">
        <v>11999</v>
      </c>
      <c r="E22" s="1">
        <f t="shared" ref="E22:E24" si="1">D22*3.58</f>
        <v>42956.42</v>
      </c>
    </row>
    <row r="23" spans="1:5" x14ac:dyDescent="0.25">
      <c r="A23" s="1">
        <v>3</v>
      </c>
      <c r="B23" s="1" t="s">
        <v>53</v>
      </c>
      <c r="C23" s="1" t="s">
        <v>33</v>
      </c>
      <c r="D23" s="1">
        <v>9999</v>
      </c>
      <c r="E23" s="1">
        <f t="shared" si="1"/>
        <v>35796.42</v>
      </c>
    </row>
    <row r="24" spans="1:5" x14ac:dyDescent="0.25">
      <c r="A24" s="1">
        <v>4</v>
      </c>
      <c r="B24" s="1" t="s">
        <v>54</v>
      </c>
      <c r="C24" s="1" t="s">
        <v>55</v>
      </c>
      <c r="D24" s="1">
        <v>11999</v>
      </c>
      <c r="E24" s="1">
        <f t="shared" si="1"/>
        <v>42956.42</v>
      </c>
    </row>
  </sheetData>
  <mergeCells count="2">
    <mergeCell ref="A18:E19"/>
    <mergeCell ref="A1:E2"/>
  </mergeCells>
  <conditionalFormatting sqref="C3:D3">
    <cfRule type="duplicateValues" dxfId="1" priority="2"/>
  </conditionalFormatting>
  <conditionalFormatting sqref="C20:D20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swiss tech</dc:creator>
  <cp:lastModifiedBy>swiss tech</cp:lastModifiedBy>
  <dcterms:created xsi:type="dcterms:W3CDTF">2026-04-18T14:51:12Z</dcterms:created>
  <dcterms:modified xsi:type="dcterms:W3CDTF">2026-04-18T17:44:14Z</dcterms:modified>
</cp:coreProperties>
</file>