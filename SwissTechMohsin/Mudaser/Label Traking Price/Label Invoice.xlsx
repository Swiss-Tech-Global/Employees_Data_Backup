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Mudaser/Label Traking Price/"/>
    </mc:Choice>
  </mc:AlternateContent>
  <xr:revisionPtr revIDLastSave="2" documentId="13_ncr:1_{BF7645E2-54E8-42C7-B3A7-B8166EECC1C2}" xr6:coauthVersionLast="47" xr6:coauthVersionMax="47" xr10:uidLastSave="{6A0E6E53-87C8-43BE-B71F-8D5D257B8BA7}"/>
  <bookViews>
    <workbookView xWindow="-120" yWindow="-120" windowWidth="20730" windowHeight="11040" xr2:uid="{F2A01609-62D1-43AF-A359-31697E438A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F30" i="1"/>
  <c r="E30" i="1"/>
  <c r="I30" i="1"/>
  <c r="I3" i="1"/>
  <c r="I4" i="1"/>
  <c r="I5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27" i="1" l="1"/>
  <c r="G28" i="1"/>
  <c r="G29" i="1"/>
  <c r="G2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<sst xmlns="http://schemas.openxmlformats.org/spreadsheetml/2006/main" count="67" uniqueCount="41">
  <si>
    <t>DATE</t>
  </si>
  <si>
    <t>LABEL TRACKING</t>
  </si>
  <si>
    <t>Mudaser Prices</t>
  </si>
  <si>
    <t>Fedex Invoice</t>
  </si>
  <si>
    <t>Diffreent Price</t>
  </si>
  <si>
    <t>02 Box</t>
  </si>
  <si>
    <t>01 Box</t>
  </si>
  <si>
    <t>Weight</t>
  </si>
  <si>
    <t>38.6 LB/17.52 KG</t>
  </si>
  <si>
    <t>42.0 LB/19.07 KG</t>
  </si>
  <si>
    <t>19.40 LB/8.8 KG</t>
  </si>
  <si>
    <t>39.6 LB/17.98 KG</t>
  </si>
  <si>
    <t>7.72 LB/3.5 KG</t>
  </si>
  <si>
    <t>20.0 LB/9.08 KG</t>
  </si>
  <si>
    <t>6.39 LB/2.9 KG</t>
  </si>
  <si>
    <t>5.95 LB/2.7 KG</t>
  </si>
  <si>
    <t>5.07 LB/2.3 KG</t>
  </si>
  <si>
    <t>70 lbs / 31.75 kgs</t>
  </si>
  <si>
    <t>31.75 LB/14.4 KG</t>
  </si>
  <si>
    <t>105 lbs / 47.63 kgs</t>
  </si>
  <si>
    <t>03 Box</t>
  </si>
  <si>
    <t>887153381046 / 887153381057 / 887153381068</t>
  </si>
  <si>
    <t>72.97 LB/33.1 KG</t>
  </si>
  <si>
    <t>35.0 LB/15.89 KG</t>
  </si>
  <si>
    <t>37.26 LB/16.9 KG</t>
  </si>
  <si>
    <t>47.84 LB/21.7 KG</t>
  </si>
  <si>
    <t>39.0 LB/17.71 KG</t>
  </si>
  <si>
    <t>24.47 LB/11.1 KG</t>
  </si>
  <si>
    <t>51.7 LB/23.47 KG</t>
  </si>
  <si>
    <t>29.0 LB/13.17 KG</t>
  </si>
  <si>
    <t>888035857727 / 888035857738</t>
  </si>
  <si>
    <t>34.17 LB/15.5 KG</t>
  </si>
  <si>
    <t>The tracking number you 
entered can't be found right now.
 Please check the number with the shipper or try again later.</t>
  </si>
  <si>
    <t>885715775467 Master</t>
  </si>
  <si>
    <t>885825374761 Master</t>
  </si>
  <si>
    <t>45.19 LB/20.5 KG</t>
  </si>
  <si>
    <t>36.7 LB/16.66 KG</t>
  </si>
  <si>
    <t>5.51 LB/2.5 KG</t>
  </si>
  <si>
    <t>Shipment Pices</t>
  </si>
  <si>
    <t>Bill To Mudassir</t>
  </si>
  <si>
    <t>106 lbs / 48.08 kgs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</si>
</sst>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_-[$USD]\ * #,##0.00_-;\-[$USD]\ * #,##0.00_-;_-[$USD]\ 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Eras Demi ITC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5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5" fontId="1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5C6E0-2341-4AEE-9074-979B4CDA2741}">
  <dimension ref="A1:J30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1" width="15.140625" customWidth="1"/>
    <col min="2" max="2" width="41.5703125" bestFit="1" customWidth="1"/>
    <col min="3" max="3" width="20.140625" customWidth="1"/>
    <col min="4" max="4" width="16.85546875" bestFit="1" customWidth="1"/>
    <col min="5" max="5" width="17" customWidth="1"/>
    <col min="6" max="6" width="17.7109375" customWidth="1"/>
    <col min="7" max="7" width="16.7109375" customWidth="1"/>
    <col min="8" max="8" width="15.140625" bestFit="1" customWidth="1"/>
    <col min="9" max="9" width="15.140625" customWidth="1"/>
    <col min="10" max="10" width="54.5703125" bestFit="1" customWidth="1"/>
  </cols>
  <sheetData>
    <row r="1" spans="1:10" x14ac:dyDescent="0.25">
      <c r="A1" s="11" t="s">
        <v>0</v>
      </c>
      <c r="B1" s="11" t="s">
        <v>1</v>
      </c>
      <c r="C1" s="12" t="s">
        <v>38</v>
      </c>
      <c r="D1" s="13" t="s">
        <v>7</v>
      </c>
      <c r="E1" s="12" t="s">
        <v>2</v>
      </c>
      <c r="F1" s="12" t="s">
        <v>3</v>
      </c>
      <c r="G1" s="12" t="s">
        <v>4</v>
      </c>
      <c r="H1" s="13" t="s">
        <v>39</v>
      </c>
      <c r="I1" s="18"/>
    </row>
    <row r="2" spans="1:10" x14ac:dyDescent="0.25">
      <c r="A2" s="3">
        <v>45964</v>
      </c>
      <c r="B2" s="5">
        <v>885685740000</v>
      </c>
      <c r="C2" s="2" t="s">
        <v>6</v>
      </c>
      <c r="D2" s="2" t="s">
        <v>8</v>
      </c>
      <c r="E2" s="4">
        <v>290</v>
      </c>
      <c r="F2" s="4">
        <v>272.27999999999997</v>
      </c>
      <c r="G2" s="4">
        <f>E2-F2</f>
        <v>17.720000000000027</v>
      </c>
      <c r="H2" s="1">
        <v>400</v>
      </c>
      <c r="I2" s="1">
        <f>H2-F2</f>
        <v>127.72000000000003</v>
      </c>
    </row>
    <row r="3" spans="1:10" x14ac:dyDescent="0.25">
      <c r="A3" s="3">
        <v>45965</v>
      </c>
      <c r="B3" s="5" t="s">
        <v>33</v>
      </c>
      <c r="C3" s="2" t="s">
        <v>5</v>
      </c>
      <c r="D3" s="2" t="s">
        <v>40</v>
      </c>
      <c r="E3" s="4">
        <v>364</v>
      </c>
      <c r="F3" s="4">
        <v>144.75</v>
      </c>
      <c r="G3" s="4">
        <f t="shared" ref="G3:G21" si="0">E3-F3</f>
        <v>219.25</v>
      </c>
      <c r="H3" s="1">
        <v>576</v>
      </c>
      <c r="I3" s="1">
        <f t="shared" ref="I3:I29" si="1">H3-F3</f>
        <v>431.25</v>
      </c>
    </row>
    <row r="4" spans="1:10" x14ac:dyDescent="0.25">
      <c r="A4" s="3">
        <v>45966</v>
      </c>
      <c r="B4" s="5">
        <v>885779784197</v>
      </c>
      <c r="C4" s="2" t="s">
        <v>6</v>
      </c>
      <c r="D4" s="2" t="s">
        <v>9</v>
      </c>
      <c r="E4" s="4">
        <v>290</v>
      </c>
      <c r="F4" s="4">
        <v>56.74</v>
      </c>
      <c r="G4" s="4">
        <f t="shared" si="0"/>
        <v>233.26</v>
      </c>
      <c r="H4" s="1">
        <v>400</v>
      </c>
      <c r="I4" s="1">
        <f t="shared" si="1"/>
        <v>343.26</v>
      </c>
    </row>
    <row r="5" spans="1:10" x14ac:dyDescent="0.25">
      <c r="A5" s="3">
        <v>45967</v>
      </c>
      <c r="B5" s="5" t="s">
        <v>34</v>
      </c>
      <c r="C5" s="2" t="s">
        <v>5</v>
      </c>
      <c r="D5" s="2" t="s">
        <v>40</v>
      </c>
      <c r="E5" s="4">
        <v>364</v>
      </c>
      <c r="F5" s="4">
        <v>102.78</v>
      </c>
      <c r="G5" s="4">
        <f t="shared" si="0"/>
        <v>261.22000000000003</v>
      </c>
      <c r="H5" s="1">
        <v>576</v>
      </c>
      <c r="I5" s="1">
        <f t="shared" si="1"/>
        <v>473.22</v>
      </c>
    </row>
    <row r="6" spans="1:10" ht="60" x14ac:dyDescent="0.25">
      <c r="A6" s="7">
        <v>45968</v>
      </c>
      <c r="B6" s="6">
        <v>885857533303</v>
      </c>
      <c r="C6" s="8"/>
      <c r="D6" s="8"/>
      <c r="E6" s="9"/>
      <c r="F6" s="9">
        <v>20.81</v>
      </c>
      <c r="G6" s="9">
        <f t="shared" si="0"/>
        <v>-20.81</v>
      </c>
      <c r="H6" s="9"/>
      <c r="I6" s="9"/>
      <c r="J6" s="10" t="s">
        <v>32</v>
      </c>
    </row>
    <row r="7" spans="1:10" x14ac:dyDescent="0.25">
      <c r="A7" s="3">
        <v>45972</v>
      </c>
      <c r="B7" s="5">
        <v>885946336728</v>
      </c>
      <c r="C7" s="2" t="s">
        <v>6</v>
      </c>
      <c r="D7" s="2" t="s">
        <v>10</v>
      </c>
      <c r="E7" s="4">
        <v>290</v>
      </c>
      <c r="F7" s="4">
        <v>237.8</v>
      </c>
      <c r="G7" s="4">
        <f t="shared" si="0"/>
        <v>52.199999999999989</v>
      </c>
      <c r="H7" s="1">
        <v>400</v>
      </c>
      <c r="I7" s="1">
        <f t="shared" si="1"/>
        <v>162.19999999999999</v>
      </c>
    </row>
    <row r="8" spans="1:10" x14ac:dyDescent="0.25">
      <c r="A8" s="3">
        <v>45979</v>
      </c>
      <c r="B8" s="5">
        <v>886166203914</v>
      </c>
      <c r="C8" s="2" t="s">
        <v>6</v>
      </c>
      <c r="D8" s="2" t="s">
        <v>11</v>
      </c>
      <c r="E8" s="4">
        <v>290</v>
      </c>
      <c r="F8" s="4">
        <v>276.02999999999997</v>
      </c>
      <c r="G8" s="4">
        <f t="shared" si="0"/>
        <v>13.970000000000027</v>
      </c>
      <c r="H8" s="1">
        <v>400</v>
      </c>
      <c r="I8" s="1">
        <f t="shared" si="1"/>
        <v>123.97000000000003</v>
      </c>
    </row>
    <row r="9" spans="1:10" x14ac:dyDescent="0.25">
      <c r="A9" s="3">
        <v>45979</v>
      </c>
      <c r="B9" s="5">
        <v>886166640471</v>
      </c>
      <c r="C9" s="2" t="s">
        <v>6</v>
      </c>
      <c r="D9" s="2" t="s">
        <v>12</v>
      </c>
      <c r="E9" s="4">
        <v>130</v>
      </c>
      <c r="F9" s="4">
        <v>121.1</v>
      </c>
      <c r="G9" s="4">
        <f t="shared" si="0"/>
        <v>8.9000000000000057</v>
      </c>
      <c r="H9" s="1">
        <v>150</v>
      </c>
      <c r="I9" s="1">
        <f t="shared" si="1"/>
        <v>28.900000000000006</v>
      </c>
    </row>
    <row r="10" spans="1:10" x14ac:dyDescent="0.25">
      <c r="A10" s="14">
        <v>45979</v>
      </c>
      <c r="B10" s="15">
        <v>886167178570</v>
      </c>
      <c r="C10" s="16" t="s">
        <v>6</v>
      </c>
      <c r="D10" s="16" t="s">
        <v>13</v>
      </c>
      <c r="E10" s="17">
        <v>130</v>
      </c>
      <c r="F10" s="17">
        <v>43.78</v>
      </c>
      <c r="G10" s="9">
        <f t="shared" si="0"/>
        <v>86.22</v>
      </c>
      <c r="H10" s="1">
        <v>150</v>
      </c>
      <c r="I10" s="1">
        <f t="shared" si="1"/>
        <v>106.22</v>
      </c>
    </row>
    <row r="11" spans="1:10" x14ac:dyDescent="0.25">
      <c r="A11" s="3">
        <v>45981</v>
      </c>
      <c r="B11" s="5">
        <v>886246191631</v>
      </c>
      <c r="C11" s="2" t="s">
        <v>6</v>
      </c>
      <c r="D11" s="2" t="s">
        <v>14</v>
      </c>
      <c r="E11" s="4">
        <v>130</v>
      </c>
      <c r="F11" s="4">
        <v>121.34</v>
      </c>
      <c r="G11" s="4">
        <f t="shared" si="0"/>
        <v>8.6599999999999966</v>
      </c>
      <c r="H11" s="1">
        <v>150</v>
      </c>
      <c r="I11" s="1">
        <f t="shared" si="1"/>
        <v>28.659999999999997</v>
      </c>
    </row>
    <row r="12" spans="1:10" x14ac:dyDescent="0.25">
      <c r="A12" s="3">
        <v>45981</v>
      </c>
      <c r="B12" s="5">
        <v>886246349894</v>
      </c>
      <c r="C12" s="2" t="s">
        <v>6</v>
      </c>
      <c r="D12" s="2" t="s">
        <v>15</v>
      </c>
      <c r="E12" s="4">
        <v>130</v>
      </c>
      <c r="F12" s="4">
        <v>121.34</v>
      </c>
      <c r="G12" s="4">
        <f t="shared" si="0"/>
        <v>8.6599999999999966</v>
      </c>
      <c r="H12" s="1">
        <v>150</v>
      </c>
      <c r="I12" s="1">
        <f t="shared" si="1"/>
        <v>28.659999999999997</v>
      </c>
    </row>
    <row r="13" spans="1:10" x14ac:dyDescent="0.25">
      <c r="A13" s="3">
        <v>45985</v>
      </c>
      <c r="B13" s="5">
        <v>886353820345</v>
      </c>
      <c r="C13" s="2" t="s">
        <v>6</v>
      </c>
      <c r="D13" s="2" t="s">
        <v>16</v>
      </c>
      <c r="E13" s="4">
        <v>130</v>
      </c>
      <c r="F13" s="4">
        <v>121.34</v>
      </c>
      <c r="G13" s="4">
        <f t="shared" si="0"/>
        <v>8.6599999999999966</v>
      </c>
      <c r="H13" s="1">
        <v>150</v>
      </c>
      <c r="I13" s="1">
        <f t="shared" si="1"/>
        <v>28.659999999999997</v>
      </c>
    </row>
    <row r="14" spans="1:10" x14ac:dyDescent="0.25">
      <c r="A14" s="3">
        <v>45996</v>
      </c>
      <c r="B14" s="5">
        <v>886652427579</v>
      </c>
      <c r="C14" s="2" t="s">
        <v>5</v>
      </c>
      <c r="D14" s="2" t="s">
        <v>17</v>
      </c>
      <c r="E14" s="4">
        <v>364</v>
      </c>
      <c r="F14" s="4">
        <v>441.7</v>
      </c>
      <c r="G14" s="9">
        <f t="shared" si="0"/>
        <v>-77.699999999999989</v>
      </c>
      <c r="H14" s="1">
        <v>576</v>
      </c>
      <c r="I14" s="1">
        <f t="shared" si="1"/>
        <v>134.30000000000001</v>
      </c>
    </row>
    <row r="15" spans="1:10" x14ac:dyDescent="0.25">
      <c r="A15" s="3">
        <v>46002</v>
      </c>
      <c r="B15" s="5">
        <v>886994778149</v>
      </c>
      <c r="C15" s="2" t="s">
        <v>6</v>
      </c>
      <c r="D15" s="2" t="s">
        <v>18</v>
      </c>
      <c r="E15" s="4">
        <v>290</v>
      </c>
      <c r="F15" s="4">
        <v>235.43</v>
      </c>
      <c r="G15" s="4">
        <f t="shared" si="0"/>
        <v>54.569999999999993</v>
      </c>
      <c r="H15" s="1">
        <v>400</v>
      </c>
      <c r="I15" s="1">
        <f t="shared" si="1"/>
        <v>164.57</v>
      </c>
    </row>
    <row r="16" spans="1:10" x14ac:dyDescent="0.25">
      <c r="A16" s="3">
        <v>46007</v>
      </c>
      <c r="B16" s="5" t="s">
        <v>21</v>
      </c>
      <c r="C16" s="2" t="s">
        <v>20</v>
      </c>
      <c r="D16" s="2" t="s">
        <v>19</v>
      </c>
      <c r="E16" s="4">
        <v>364</v>
      </c>
      <c r="F16" s="4">
        <v>498.69</v>
      </c>
      <c r="G16" s="9">
        <f t="shared" si="0"/>
        <v>-134.69</v>
      </c>
      <c r="H16" s="1">
        <v>576</v>
      </c>
      <c r="I16" s="1">
        <f t="shared" si="1"/>
        <v>77.31</v>
      </c>
    </row>
    <row r="17" spans="1:9" x14ac:dyDescent="0.25">
      <c r="A17" s="3">
        <v>46009</v>
      </c>
      <c r="B17" s="5">
        <v>887230848958</v>
      </c>
      <c r="C17" s="2" t="s">
        <v>6</v>
      </c>
      <c r="D17" s="2" t="s">
        <v>22</v>
      </c>
      <c r="E17" s="4">
        <v>290</v>
      </c>
      <c r="F17" s="4">
        <v>250.67</v>
      </c>
      <c r="G17" s="4">
        <f t="shared" si="0"/>
        <v>39.330000000000013</v>
      </c>
      <c r="H17" s="1">
        <v>400</v>
      </c>
      <c r="I17" s="1">
        <f t="shared" si="1"/>
        <v>149.33000000000001</v>
      </c>
    </row>
    <row r="18" spans="1:9" x14ac:dyDescent="0.25">
      <c r="A18" s="3">
        <v>46010</v>
      </c>
      <c r="B18" s="5">
        <v>887280868921</v>
      </c>
      <c r="C18" s="2" t="s">
        <v>6</v>
      </c>
      <c r="D18" s="2" t="s">
        <v>23</v>
      </c>
      <c r="E18" s="4">
        <v>290</v>
      </c>
      <c r="F18" s="4">
        <v>141.35</v>
      </c>
      <c r="G18" s="4">
        <f t="shared" si="0"/>
        <v>148.65</v>
      </c>
      <c r="H18" s="1">
        <v>400</v>
      </c>
      <c r="I18" s="1">
        <f t="shared" si="1"/>
        <v>258.64999999999998</v>
      </c>
    </row>
    <row r="19" spans="1:9" x14ac:dyDescent="0.25">
      <c r="A19" s="3">
        <v>46021</v>
      </c>
      <c r="B19" s="5">
        <v>887515954108</v>
      </c>
      <c r="C19" s="2" t="s">
        <v>6</v>
      </c>
      <c r="D19" s="2" t="s">
        <v>24</v>
      </c>
      <c r="E19" s="4">
        <v>290</v>
      </c>
      <c r="F19" s="4">
        <v>148.36000000000001</v>
      </c>
      <c r="G19" s="4">
        <f t="shared" si="0"/>
        <v>141.63999999999999</v>
      </c>
      <c r="H19" s="1">
        <v>400</v>
      </c>
      <c r="I19" s="1">
        <f t="shared" si="1"/>
        <v>251.64</v>
      </c>
    </row>
    <row r="20" spans="1:9" x14ac:dyDescent="0.25">
      <c r="A20" s="3">
        <v>46021</v>
      </c>
      <c r="B20" s="5">
        <v>887516310429</v>
      </c>
      <c r="C20" s="2" t="s">
        <v>6</v>
      </c>
      <c r="D20" s="2" t="s">
        <v>25</v>
      </c>
      <c r="E20" s="4">
        <v>290</v>
      </c>
      <c r="F20" s="4">
        <v>169.38</v>
      </c>
      <c r="G20" s="4">
        <f t="shared" si="0"/>
        <v>120.62</v>
      </c>
      <c r="H20" s="1">
        <v>400</v>
      </c>
      <c r="I20" s="1">
        <f t="shared" si="1"/>
        <v>230.62</v>
      </c>
    </row>
    <row r="21" spans="1:9" x14ac:dyDescent="0.25">
      <c r="A21" s="3">
        <v>46024</v>
      </c>
      <c r="B21" s="5">
        <v>887569550855</v>
      </c>
      <c r="C21" s="2" t="s">
        <v>6</v>
      </c>
      <c r="D21" s="2" t="s">
        <v>26</v>
      </c>
      <c r="E21" s="4">
        <v>290</v>
      </c>
      <c r="F21" s="1">
        <v>154.4</v>
      </c>
      <c r="G21" s="4">
        <f t="shared" si="0"/>
        <v>135.6</v>
      </c>
      <c r="H21" s="1">
        <v>400</v>
      </c>
      <c r="I21" s="1">
        <f t="shared" si="1"/>
        <v>245.6</v>
      </c>
    </row>
    <row r="22" spans="1:9" x14ac:dyDescent="0.25">
      <c r="A22" s="3">
        <v>46027</v>
      </c>
      <c r="B22" s="5">
        <v>887637924960</v>
      </c>
      <c r="C22" s="2" t="s">
        <v>6</v>
      </c>
      <c r="D22" s="2" t="s">
        <v>27</v>
      </c>
      <c r="E22" s="4">
        <v>290</v>
      </c>
      <c r="F22" s="1">
        <v>101.79</v>
      </c>
      <c r="G22" s="1">
        <f>E22-F21</f>
        <v>135.6</v>
      </c>
      <c r="H22" s="1">
        <v>400</v>
      </c>
      <c r="I22" s="1">
        <f t="shared" si="1"/>
        <v>298.20999999999998</v>
      </c>
    </row>
    <row r="23" spans="1:9" x14ac:dyDescent="0.25">
      <c r="A23" s="3">
        <v>46035</v>
      </c>
      <c r="B23" s="5">
        <v>887877646921</v>
      </c>
      <c r="C23" s="2" t="s">
        <v>6</v>
      </c>
      <c r="D23" s="2" t="s">
        <v>28</v>
      </c>
      <c r="E23" s="4">
        <v>290</v>
      </c>
      <c r="F23" s="1">
        <v>177.12</v>
      </c>
      <c r="G23" s="1">
        <f>E23-F22</f>
        <v>188.20999999999998</v>
      </c>
      <c r="H23" s="1">
        <v>400</v>
      </c>
      <c r="I23" s="1">
        <f t="shared" si="1"/>
        <v>222.88</v>
      </c>
    </row>
    <row r="24" spans="1:9" x14ac:dyDescent="0.25">
      <c r="A24" s="3">
        <v>46041</v>
      </c>
      <c r="B24" s="5">
        <v>888034557424</v>
      </c>
      <c r="C24" s="2" t="s">
        <v>6</v>
      </c>
      <c r="D24" s="2" t="s">
        <v>29</v>
      </c>
      <c r="E24" s="4">
        <v>290</v>
      </c>
      <c r="F24" s="1">
        <v>135.78</v>
      </c>
      <c r="G24" s="1">
        <f>E24-F23</f>
        <v>112.88</v>
      </c>
      <c r="H24" s="1">
        <v>400</v>
      </c>
      <c r="I24" s="1">
        <f t="shared" si="1"/>
        <v>264.22000000000003</v>
      </c>
    </row>
    <row r="25" spans="1:9" x14ac:dyDescent="0.25">
      <c r="A25" s="3">
        <v>46041</v>
      </c>
      <c r="B25" s="5" t="s">
        <v>30</v>
      </c>
      <c r="C25" s="2" t="s">
        <v>5</v>
      </c>
      <c r="D25" s="2" t="s">
        <v>17</v>
      </c>
      <c r="E25" s="4">
        <v>364</v>
      </c>
      <c r="F25" s="1">
        <v>174.04</v>
      </c>
      <c r="G25" s="1">
        <f>E25-F24</f>
        <v>228.22</v>
      </c>
      <c r="H25" s="1">
        <v>576</v>
      </c>
      <c r="I25" s="1">
        <f t="shared" si="1"/>
        <v>401.96000000000004</v>
      </c>
    </row>
    <row r="26" spans="1:9" x14ac:dyDescent="0.25">
      <c r="A26" s="3">
        <v>46043</v>
      </c>
      <c r="B26" s="5">
        <v>888091896702</v>
      </c>
      <c r="C26" s="2" t="s">
        <v>6</v>
      </c>
      <c r="D26" s="2" t="s">
        <v>31</v>
      </c>
      <c r="E26" s="4">
        <v>290</v>
      </c>
      <c r="F26" s="1">
        <v>184.21</v>
      </c>
      <c r="G26" s="1">
        <f>E26-F25</f>
        <v>115.96000000000001</v>
      </c>
      <c r="H26" s="1">
        <v>400</v>
      </c>
      <c r="I26" s="1">
        <f t="shared" si="1"/>
        <v>215.79</v>
      </c>
    </row>
    <row r="27" spans="1:9" x14ac:dyDescent="0.25">
      <c r="A27" s="14">
        <v>45992</v>
      </c>
      <c r="B27" s="15">
        <v>886588731317</v>
      </c>
      <c r="C27" s="16" t="s">
        <v>6</v>
      </c>
      <c r="D27" s="16" t="s">
        <v>35</v>
      </c>
      <c r="E27" s="17">
        <v>290</v>
      </c>
      <c r="F27" s="17">
        <v>297.38</v>
      </c>
      <c r="G27" s="9">
        <f t="shared" ref="G27:G29" si="2">E27-F26</f>
        <v>105.78999999999999</v>
      </c>
      <c r="H27" s="1">
        <v>400</v>
      </c>
      <c r="I27" s="1">
        <f t="shared" si="1"/>
        <v>102.62</v>
      </c>
    </row>
    <row r="28" spans="1:9" x14ac:dyDescent="0.25">
      <c r="A28" s="14">
        <v>46046</v>
      </c>
      <c r="B28" s="15">
        <v>888184232989</v>
      </c>
      <c r="C28" s="16" t="s">
        <v>6</v>
      </c>
      <c r="D28" s="16" t="s">
        <v>36</v>
      </c>
      <c r="E28" s="17">
        <v>290</v>
      </c>
      <c r="F28" s="17">
        <v>145.47</v>
      </c>
      <c r="G28" s="9">
        <f t="shared" si="2"/>
        <v>-7.3799999999999955</v>
      </c>
      <c r="H28" s="1">
        <v>400</v>
      </c>
      <c r="I28" s="1">
        <f t="shared" si="1"/>
        <v>254.53</v>
      </c>
    </row>
    <row r="29" spans="1:9" x14ac:dyDescent="0.25">
      <c r="A29" s="14">
        <v>46051</v>
      </c>
      <c r="B29" s="15">
        <v>888308746732</v>
      </c>
      <c r="C29" s="16" t="s">
        <v>6</v>
      </c>
      <c r="D29" s="16" t="s">
        <v>37</v>
      </c>
      <c r="E29" s="17">
        <v>130</v>
      </c>
      <c r="F29" s="17">
        <v>51.22</v>
      </c>
      <c r="G29" s="9">
        <f t="shared" si="2"/>
        <v>-15.469999999999999</v>
      </c>
      <c r="H29" s="1">
        <v>150</v>
      </c>
      <c r="I29" s="1">
        <f t="shared" si="1"/>
        <v>98.78</v>
      </c>
    </row>
    <row r="30" spans="1:9" x14ac:dyDescent="0.25">
      <c r="E30" s="19">
        <f>SUM(E2:E29)</f>
        <v>7240</v>
      </c>
      <c r="F30" s="19">
        <f>SUM(F2:F29)</f>
        <v>4947.0800000000008</v>
      </c>
      <c r="G30" s="20"/>
      <c r="H30" s="19">
        <f>SUM(H2:H29)</f>
        <v>10180</v>
      </c>
      <c r="I30" s="19">
        <f>SUM(I2:I29)</f>
        <v>5253.73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2026-03-03T12:02:30Z</dcterms:created>
  <dcterms:modified xsi:type="dcterms:W3CDTF">2026-06-06T09:24:34Z</dcterms:modified>
</cp:coreProperties>
</file>