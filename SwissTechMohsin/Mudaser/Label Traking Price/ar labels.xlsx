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oaib\OneDrive\Desktop\Muddassir\"/>
    </mc:Choice>
  </mc:AlternateContent>
  <bookViews>
    <workbookView xWindow="0" yWindow="0" windowWidth="20490" windowHeight="7620"/>
  </bookViews>
  <sheets>
    <sheet name="labe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5" i="1" l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A3" i="1"/>
  <c r="A4" i="1" s="1"/>
  <c r="A5" i="1" s="1"/>
  <c r="A6" i="1" s="1"/>
  <c r="A7" i="1" s="1"/>
  <c r="A8" i="1" s="1"/>
  <c r="F2" i="1"/>
  <c r="F76" i="1" s="1"/>
</calcChain>
</file>

<file path=xl/sharedStrings.xml><?xml version="1.0" encoding="utf-8"?>
<sst xmlns="http://schemas.openxmlformats.org/spreadsheetml/2006/main" count="85" uniqueCount="29">
  <si>
    <t>SNO</t>
  </si>
  <si>
    <t>DATE</t>
  </si>
  <si>
    <t>LABEL TRACKING</t>
  </si>
  <si>
    <t>FEDEX COST</t>
  </si>
  <si>
    <t>CLEARING CHARGES</t>
  </si>
  <si>
    <t>AMOUNT</t>
  </si>
  <si>
    <t>BOXES</t>
  </si>
  <si>
    <t>(386$ @3.678)</t>
  </si>
  <si>
    <t>1 box</t>
  </si>
  <si>
    <t xml:space="preserve"> (525$ @3.678)</t>
  </si>
  <si>
    <t>2 box</t>
  </si>
  <si>
    <t>(507$ @3.678)</t>
  </si>
  <si>
    <t xml:space="preserve"> (39$ @3.678) usa to usa</t>
  </si>
  <si>
    <t>usa to ussa</t>
  </si>
  <si>
    <t>CANCELD</t>
  </si>
  <si>
    <t>2 box 60pcs</t>
  </si>
  <si>
    <t>1 box 30 pcs</t>
  </si>
  <si>
    <t>usa to usa</t>
  </si>
  <si>
    <t>change address</t>
  </si>
  <si>
    <t>usa to ua</t>
  </si>
  <si>
    <t xml:space="preserve">UNUSED </t>
  </si>
  <si>
    <t>1 BOX</t>
  </si>
  <si>
    <t>2 BOX</t>
  </si>
  <si>
    <t>1 Box</t>
  </si>
  <si>
    <t>SMALL (RESD)</t>
  </si>
  <si>
    <t>double ecnomy</t>
  </si>
  <si>
    <t>single box</t>
  </si>
  <si>
    <t>three box</t>
  </si>
  <si>
    <t>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</si>
</sst>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164" formatCode="[$-409]d\-mmm\-yy;@"/>
    <numFmt numFmtId="165" formatCode="_([$AED]\ * #,##0.00_);_([$AED]\ * \(#,##0.00\);_([$AED]\ * &quot;-&quot;??_);_(@_)"/>
    <numFmt numFmtId="166" formatCode="_([$AED]\ * #,##0.000_);_([$AED]\ * \(#,##0.000\);_([$AED]\ * &quot;-&quot;?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Eras Demi IT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1" fontId="3" fillId="0" borderId="1" xfId="0" applyNumberFormat="1" applyFont="1" applyFill="1" applyBorder="1"/>
    <xf numFmtId="0" fontId="0" fillId="0" borderId="1" xfId="0" applyBorder="1"/>
    <xf numFmtId="164" fontId="3" fillId="0" borderId="1" xfId="0" applyNumberFormat="1" applyFont="1" applyFill="1" applyBorder="1"/>
    <xf numFmtId="165" fontId="3" fillId="0" borderId="1" xfId="0" applyNumberFormat="1" applyFont="1" applyFill="1" applyBorder="1"/>
    <xf numFmtId="0" fontId="0" fillId="0" borderId="1" xfId="0" applyFill="1" applyBorder="1"/>
    <xf numFmtId="166" fontId="3" fillId="0" borderId="1" xfId="0" applyNumberFormat="1" applyFont="1" applyFill="1" applyBorder="1"/>
    <xf numFmtId="44" fontId="3" fillId="0" borderId="1" xfId="1" applyFont="1" applyFill="1" applyBorder="1"/>
    <xf numFmtId="164" fontId="3" fillId="0" borderId="1" xfId="0" applyNumberFormat="1" applyFont="1" applyBorder="1"/>
    <xf numFmtId="1" fontId="3" fillId="0" borderId="1" xfId="0" applyNumberFormat="1" applyFont="1" applyBorder="1" applyAlignment="1">
      <alignment horizontal="right"/>
    </xf>
    <xf numFmtId="44" fontId="3" fillId="0" borderId="1" xfId="1" applyFont="1" applyBorder="1" applyAlignment="1">
      <alignment horizontal="left"/>
    </xf>
    <xf numFmtId="44" fontId="3" fillId="0" borderId="1" xfId="1" applyFont="1" applyFill="1" applyBorder="1" applyAlignment="1">
      <alignment horizontal="left"/>
    </xf>
    <xf numFmtId="164" fontId="3" fillId="2" borderId="1" xfId="0" applyNumberFormat="1" applyFont="1" applyFill="1" applyBorder="1"/>
    <xf numFmtId="1" fontId="3" fillId="2" borderId="1" xfId="0" applyNumberFormat="1" applyFont="1" applyFill="1" applyBorder="1" applyAlignment="1">
      <alignment horizontal="right"/>
    </xf>
    <xf numFmtId="44" fontId="3" fillId="2" borderId="1" xfId="1" applyFont="1" applyFill="1" applyBorder="1" applyAlignment="1">
      <alignment horizontal="left"/>
    </xf>
    <xf numFmtId="165" fontId="3" fillId="2" borderId="1" xfId="0" applyNumberFormat="1" applyFont="1" applyFill="1" applyBorder="1"/>
    <xf numFmtId="166" fontId="3" fillId="2" borderId="1" xfId="0" applyNumberFormat="1" applyFont="1" applyFill="1" applyBorder="1"/>
    <xf numFmtId="0" fontId="0" fillId="2" borderId="1" xfId="0" applyFill="1" applyBorder="1"/>
    <xf numFmtId="164" fontId="3" fillId="3" borderId="1" xfId="0" applyNumberFormat="1" applyFont="1" applyFill="1" applyBorder="1"/>
    <xf numFmtId="1" fontId="3" fillId="3" borderId="1" xfId="0" applyNumberFormat="1" applyFont="1" applyFill="1" applyBorder="1" applyAlignment="1">
      <alignment horizontal="right"/>
    </xf>
    <xf numFmtId="44" fontId="3" fillId="3" borderId="1" xfId="1" applyFont="1" applyFill="1" applyBorder="1" applyAlignment="1">
      <alignment horizontal="left"/>
    </xf>
    <xf numFmtId="165" fontId="3" fillId="3" borderId="1" xfId="0" applyNumberFormat="1" applyFont="1" applyFill="1" applyBorder="1"/>
    <xf numFmtId="166" fontId="3" fillId="3" borderId="1" xfId="0" applyNumberFormat="1" applyFont="1" applyFill="1" applyBorder="1"/>
    <xf numFmtId="0" fontId="0" fillId="3" borderId="1" xfId="0" applyFill="1" applyBorder="1"/>
    <xf numFmtId="0" fontId="0" fillId="0" borderId="2" xfId="0" applyFill="1" applyBorder="1"/>
    <xf numFmtId="1" fontId="3" fillId="0" borderId="1" xfId="0" applyNumberFormat="1" applyFont="1" applyBorder="1" applyAlignment="1">
      <alignment horizontal="left"/>
    </xf>
    <xf numFmtId="1" fontId="0" fillId="0" borderId="1" xfId="0" applyNumberFormat="1" applyBorder="1"/>
    <xf numFmtId="165" fontId="2" fillId="0" borderId="1" xfId="0" applyNumberFormat="1" applyFont="1" applyBorder="1"/>
    <xf numFmtId="44" fontId="3" fillId="0" borderId="0" xfId="1" applyFont="1" applyBorder="1" applyAlignment="1">
      <alignment horizontal="left"/>
    </xf>
    <xf numFmtId="0" fontId="0" fillId="0" borderId="0" xfId="0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tabSelected="1" topLeftCell="B59" zoomScale="131" workbookViewId="0">
      <selection activeCell="B62" sqref="B62"/>
    </sheetView>
  </sheetViews>
  <sheetFormatPr defaultRowHeight="15" x14ac:dyDescent="0.25"/>
  <cols>
    <col min="2" max="2" width="15.7109375" customWidth="1"/>
    <col min="3" max="3" width="19.42578125" bestFit="1" customWidth="1"/>
    <col min="4" max="4" width="26.7109375" bestFit="1" customWidth="1"/>
    <col min="5" max="5" width="22.7109375" bestFit="1" customWidth="1"/>
    <col min="6" max="6" width="17.85546875" customWidth="1"/>
    <col min="7" max="7" width="12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15" customHeight="1" x14ac:dyDescent="0.25">
      <c r="A2" s="2">
        <v>1</v>
      </c>
      <c r="B2" s="3">
        <v>45828</v>
      </c>
      <c r="C2" s="1">
        <v>882190243917</v>
      </c>
      <c r="D2" s="1" t="s">
        <v>7</v>
      </c>
      <c r="E2" s="4">
        <v>650</v>
      </c>
      <c r="F2" s="4">
        <f>E2+386*3.678</f>
        <v>2069.7080000000001</v>
      </c>
      <c r="G2" s="5" t="s">
        <v>8</v>
      </c>
    </row>
    <row r="3" spans="1:8" x14ac:dyDescent="0.25">
      <c r="A3" s="2">
        <f>A2+1</f>
        <v>2</v>
      </c>
      <c r="B3" s="3">
        <v>45831</v>
      </c>
      <c r="C3" s="1">
        <v>882247971323</v>
      </c>
      <c r="D3" s="1" t="s">
        <v>9</v>
      </c>
      <c r="E3" s="4">
        <v>650</v>
      </c>
      <c r="F3" s="4">
        <f>E3+525*3.678</f>
        <v>2580.9499999999998</v>
      </c>
      <c r="G3" s="5" t="s">
        <v>10</v>
      </c>
    </row>
    <row r="4" spans="1:8" x14ac:dyDescent="0.25">
      <c r="A4" s="2">
        <f t="shared" ref="A4:A8" si="0">A3+1</f>
        <v>3</v>
      </c>
      <c r="B4" s="3">
        <v>45832</v>
      </c>
      <c r="C4" s="1">
        <v>882279322688</v>
      </c>
      <c r="D4" s="1" t="s">
        <v>11</v>
      </c>
      <c r="E4" s="4">
        <v>650</v>
      </c>
      <c r="F4" s="4">
        <f>E4+507*3.678</f>
        <v>2514.7460000000001</v>
      </c>
      <c r="G4" s="5" t="s">
        <v>10</v>
      </c>
    </row>
    <row r="5" spans="1:8" x14ac:dyDescent="0.25">
      <c r="A5" s="2">
        <f>A4+1</f>
        <v>4</v>
      </c>
      <c r="B5" s="3">
        <v>45840</v>
      </c>
      <c r="C5" s="1">
        <v>882482082780</v>
      </c>
      <c r="D5" s="1" t="s">
        <v>12</v>
      </c>
      <c r="E5" s="4">
        <v>0</v>
      </c>
      <c r="F5" s="6">
        <f>3.678*39</f>
        <v>143.44200000000001</v>
      </c>
      <c r="G5" s="5" t="s">
        <v>13</v>
      </c>
    </row>
    <row r="6" spans="1:8" x14ac:dyDescent="0.25">
      <c r="A6" s="2">
        <f>A5+1</f>
        <v>5</v>
      </c>
      <c r="B6" s="3">
        <v>45841</v>
      </c>
      <c r="C6" s="1">
        <v>882514785114</v>
      </c>
      <c r="D6" s="7">
        <v>364</v>
      </c>
      <c r="E6" s="4">
        <v>650</v>
      </c>
      <c r="F6" s="6">
        <f t="shared" ref="F6:F13" si="1">D6*3.678+E6</f>
        <v>1988.7919999999999</v>
      </c>
      <c r="G6" s="5" t="s">
        <v>10</v>
      </c>
      <c r="H6">
        <v>290</v>
      </c>
    </row>
    <row r="7" spans="1:8" x14ac:dyDescent="0.25">
      <c r="A7" s="2">
        <f t="shared" si="0"/>
        <v>6</v>
      </c>
      <c r="B7" s="3">
        <v>45841</v>
      </c>
      <c r="C7" s="1">
        <v>882514794042</v>
      </c>
      <c r="D7" s="7">
        <v>364</v>
      </c>
      <c r="E7" s="4">
        <v>650</v>
      </c>
      <c r="F7" s="6">
        <f t="shared" si="1"/>
        <v>1988.7919999999999</v>
      </c>
      <c r="G7" s="5" t="s">
        <v>10</v>
      </c>
      <c r="H7">
        <v>364</v>
      </c>
    </row>
    <row r="8" spans="1:8" x14ac:dyDescent="0.25">
      <c r="A8" s="2">
        <f t="shared" si="0"/>
        <v>7</v>
      </c>
      <c r="B8" s="3">
        <v>45841</v>
      </c>
      <c r="C8" s="1">
        <v>882516018213</v>
      </c>
      <c r="D8" s="7">
        <v>0</v>
      </c>
      <c r="E8" s="4"/>
      <c r="F8" s="6">
        <f t="shared" si="1"/>
        <v>0</v>
      </c>
      <c r="G8" s="5" t="s">
        <v>14</v>
      </c>
    </row>
    <row r="9" spans="1:8" x14ac:dyDescent="0.25">
      <c r="A9" s="2">
        <v>8</v>
      </c>
      <c r="B9" s="3">
        <v>45845</v>
      </c>
      <c r="C9" s="1">
        <v>882576156598</v>
      </c>
      <c r="D9" s="7">
        <v>290</v>
      </c>
      <c r="E9" s="4">
        <v>650</v>
      </c>
      <c r="F9" s="6">
        <f t="shared" si="1"/>
        <v>1716.62</v>
      </c>
      <c r="G9" s="5" t="s">
        <v>8</v>
      </c>
    </row>
    <row r="10" spans="1:8" x14ac:dyDescent="0.25">
      <c r="A10" s="2">
        <v>9</v>
      </c>
      <c r="B10" s="8">
        <v>45848</v>
      </c>
      <c r="C10" s="9">
        <v>882583663746</v>
      </c>
      <c r="D10" s="10">
        <v>290</v>
      </c>
      <c r="E10" s="4">
        <v>650</v>
      </c>
      <c r="F10" s="6">
        <f t="shared" si="1"/>
        <v>1716.62</v>
      </c>
      <c r="G10" s="2" t="s">
        <v>8</v>
      </c>
    </row>
    <row r="11" spans="1:8" x14ac:dyDescent="0.25">
      <c r="A11" s="2">
        <v>10</v>
      </c>
      <c r="B11" s="8">
        <v>45852</v>
      </c>
      <c r="C11" s="9">
        <v>882762916529</v>
      </c>
      <c r="D11" s="10">
        <v>364</v>
      </c>
      <c r="E11" s="4">
        <v>650</v>
      </c>
      <c r="F11" s="6">
        <f t="shared" si="1"/>
        <v>1988.7919999999999</v>
      </c>
      <c r="G11" s="2" t="s">
        <v>10</v>
      </c>
    </row>
    <row r="12" spans="1:8" x14ac:dyDescent="0.25">
      <c r="A12" s="2">
        <v>11</v>
      </c>
      <c r="B12" s="8">
        <v>45852</v>
      </c>
      <c r="C12" s="9">
        <v>882778083163</v>
      </c>
      <c r="D12" s="10">
        <v>290</v>
      </c>
      <c r="E12" s="4">
        <v>650</v>
      </c>
      <c r="F12" s="6">
        <f t="shared" si="1"/>
        <v>1716.62</v>
      </c>
      <c r="G12" s="2" t="s">
        <v>8</v>
      </c>
    </row>
    <row r="13" spans="1:8" x14ac:dyDescent="0.25">
      <c r="A13" s="2">
        <v>12</v>
      </c>
      <c r="B13" s="8">
        <v>45855</v>
      </c>
      <c r="C13" s="9">
        <v>882857263746</v>
      </c>
      <c r="D13" s="11">
        <v>364</v>
      </c>
      <c r="E13" s="4">
        <v>650</v>
      </c>
      <c r="F13" s="6">
        <f t="shared" si="1"/>
        <v>1988.7919999999999</v>
      </c>
      <c r="G13" s="2" t="s">
        <v>10</v>
      </c>
    </row>
    <row r="14" spans="1:8" x14ac:dyDescent="0.25">
      <c r="A14" s="2">
        <v>13</v>
      </c>
      <c r="B14" s="8">
        <v>45856</v>
      </c>
      <c r="C14" s="9">
        <v>882884547421</v>
      </c>
      <c r="D14" s="11">
        <v>364</v>
      </c>
      <c r="E14" s="4">
        <v>650</v>
      </c>
      <c r="F14" s="6">
        <f>E14</f>
        <v>650</v>
      </c>
      <c r="G14" s="5" t="s">
        <v>15</v>
      </c>
    </row>
    <row r="15" spans="1:8" x14ac:dyDescent="0.25">
      <c r="A15" s="2">
        <v>14</v>
      </c>
      <c r="B15" s="8">
        <v>45862</v>
      </c>
      <c r="C15" s="9">
        <v>883043369848</v>
      </c>
      <c r="D15" s="11">
        <v>290</v>
      </c>
      <c r="E15" s="4">
        <v>650</v>
      </c>
      <c r="F15" s="6">
        <f>D15*3.678+E15</f>
        <v>1716.62</v>
      </c>
      <c r="G15" s="5" t="s">
        <v>16</v>
      </c>
    </row>
    <row r="16" spans="1:8" x14ac:dyDescent="0.25">
      <c r="A16" s="2">
        <v>15</v>
      </c>
      <c r="B16" s="8">
        <v>45862</v>
      </c>
      <c r="C16" s="9">
        <v>883044458379</v>
      </c>
      <c r="D16" s="10">
        <v>290</v>
      </c>
      <c r="E16" s="4">
        <v>650</v>
      </c>
      <c r="F16" s="6">
        <f t="shared" ref="F16:F75" si="2">D16*3.678+E16</f>
        <v>1716.62</v>
      </c>
      <c r="G16" s="5" t="s">
        <v>16</v>
      </c>
    </row>
    <row r="17" spans="1:7" x14ac:dyDescent="0.25">
      <c r="A17" s="2">
        <v>16</v>
      </c>
      <c r="B17" s="8">
        <v>45862</v>
      </c>
      <c r="C17" s="9">
        <v>883045782080</v>
      </c>
      <c r="D17" s="10">
        <v>364</v>
      </c>
      <c r="E17" s="4">
        <v>650</v>
      </c>
      <c r="F17" s="6">
        <f t="shared" si="2"/>
        <v>1988.7919999999999</v>
      </c>
      <c r="G17" s="5" t="s">
        <v>15</v>
      </c>
    </row>
    <row r="18" spans="1:7" x14ac:dyDescent="0.25">
      <c r="A18" s="2">
        <v>17</v>
      </c>
      <c r="B18" s="8">
        <v>45868</v>
      </c>
      <c r="C18" s="9">
        <v>883181822799</v>
      </c>
      <c r="D18" s="10">
        <v>364</v>
      </c>
      <c r="E18" s="4">
        <v>650</v>
      </c>
      <c r="F18" s="6">
        <f t="shared" si="2"/>
        <v>1988.7919999999999</v>
      </c>
      <c r="G18" s="5" t="s">
        <v>15</v>
      </c>
    </row>
    <row r="19" spans="1:7" x14ac:dyDescent="0.25">
      <c r="A19" s="2">
        <v>18</v>
      </c>
      <c r="B19" s="8">
        <v>45868</v>
      </c>
      <c r="C19" s="9">
        <v>883181219833</v>
      </c>
      <c r="D19" s="10">
        <v>364</v>
      </c>
      <c r="E19" s="4">
        <v>650</v>
      </c>
      <c r="F19" s="6">
        <f t="shared" si="2"/>
        <v>1988.7919999999999</v>
      </c>
      <c r="G19" s="5" t="s">
        <v>15</v>
      </c>
    </row>
    <row r="20" spans="1:7" x14ac:dyDescent="0.25">
      <c r="A20" s="2">
        <v>19</v>
      </c>
      <c r="B20" s="8">
        <v>45875</v>
      </c>
      <c r="C20" s="9">
        <v>883370027775</v>
      </c>
      <c r="D20" s="10">
        <v>290</v>
      </c>
      <c r="E20" s="4">
        <v>650</v>
      </c>
      <c r="F20" s="6">
        <f t="shared" si="2"/>
        <v>1716.62</v>
      </c>
      <c r="G20" s="5" t="s">
        <v>16</v>
      </c>
    </row>
    <row r="21" spans="1:7" x14ac:dyDescent="0.25">
      <c r="A21" s="2">
        <v>20</v>
      </c>
      <c r="B21" s="8">
        <v>45875</v>
      </c>
      <c r="C21" s="9">
        <v>883370708860</v>
      </c>
      <c r="D21" s="10">
        <v>364</v>
      </c>
      <c r="E21" s="4">
        <v>650</v>
      </c>
      <c r="F21" s="6">
        <f t="shared" si="2"/>
        <v>1988.7919999999999</v>
      </c>
      <c r="G21" s="5" t="s">
        <v>15</v>
      </c>
    </row>
    <row r="22" spans="1:7" x14ac:dyDescent="0.25">
      <c r="A22" s="2">
        <v>21</v>
      </c>
      <c r="B22" s="8">
        <v>45884</v>
      </c>
      <c r="C22" s="9">
        <v>883609061335</v>
      </c>
      <c r="D22" s="10">
        <v>290</v>
      </c>
      <c r="E22" s="4">
        <v>650</v>
      </c>
      <c r="F22" s="6">
        <f t="shared" si="2"/>
        <v>1716.62</v>
      </c>
      <c r="G22" s="5" t="s">
        <v>16</v>
      </c>
    </row>
    <row r="23" spans="1:7" x14ac:dyDescent="0.25">
      <c r="A23" s="2">
        <v>22</v>
      </c>
      <c r="B23" s="8">
        <v>45884</v>
      </c>
      <c r="C23" s="9">
        <v>883609383084</v>
      </c>
      <c r="D23" s="10">
        <v>290</v>
      </c>
      <c r="E23" s="4">
        <v>650</v>
      </c>
      <c r="F23" s="6">
        <f t="shared" si="2"/>
        <v>1716.62</v>
      </c>
      <c r="G23" s="5" t="s">
        <v>16</v>
      </c>
    </row>
    <row r="24" spans="1:7" x14ac:dyDescent="0.25">
      <c r="A24" s="2">
        <v>23</v>
      </c>
      <c r="B24" s="8">
        <v>45885</v>
      </c>
      <c r="C24" s="9">
        <v>883625023786</v>
      </c>
      <c r="D24" s="10">
        <v>364</v>
      </c>
      <c r="E24" s="4">
        <v>650</v>
      </c>
      <c r="F24" s="6">
        <f t="shared" si="2"/>
        <v>1988.7919999999999</v>
      </c>
      <c r="G24" s="5" t="s">
        <v>15</v>
      </c>
    </row>
    <row r="25" spans="1:7" x14ac:dyDescent="0.25">
      <c r="A25" s="2">
        <v>24</v>
      </c>
      <c r="B25" s="8">
        <v>45891</v>
      </c>
      <c r="C25" s="9">
        <v>883788751040</v>
      </c>
      <c r="D25" s="10">
        <v>364</v>
      </c>
      <c r="E25" s="4">
        <v>650</v>
      </c>
      <c r="F25" s="6">
        <f t="shared" si="2"/>
        <v>1988.7919999999999</v>
      </c>
      <c r="G25" s="5" t="s">
        <v>10</v>
      </c>
    </row>
    <row r="26" spans="1:7" x14ac:dyDescent="0.25">
      <c r="A26" s="2">
        <v>25</v>
      </c>
      <c r="B26" s="8">
        <v>45897</v>
      </c>
      <c r="C26" s="9">
        <v>883946231157</v>
      </c>
      <c r="D26" s="10">
        <v>290</v>
      </c>
      <c r="E26" s="4">
        <v>650</v>
      </c>
      <c r="F26" s="6">
        <f t="shared" si="2"/>
        <v>1716.62</v>
      </c>
      <c r="G26" s="5" t="s">
        <v>8</v>
      </c>
    </row>
    <row r="27" spans="1:7" x14ac:dyDescent="0.25">
      <c r="A27" s="2">
        <v>26</v>
      </c>
      <c r="B27" s="8">
        <v>45898</v>
      </c>
      <c r="C27" s="9">
        <v>883961143478</v>
      </c>
      <c r="D27" s="10">
        <v>16.59</v>
      </c>
      <c r="E27" s="4">
        <v>0</v>
      </c>
      <c r="F27" s="6">
        <f t="shared" si="2"/>
        <v>61.01802</v>
      </c>
      <c r="G27" s="2" t="s">
        <v>17</v>
      </c>
    </row>
    <row r="28" spans="1:7" x14ac:dyDescent="0.25">
      <c r="A28" s="2">
        <v>27</v>
      </c>
      <c r="B28" s="12">
        <v>45905</v>
      </c>
      <c r="C28" s="13">
        <v>884153427763</v>
      </c>
      <c r="D28" s="14">
        <v>0</v>
      </c>
      <c r="E28" s="15">
        <v>0</v>
      </c>
      <c r="F28" s="16">
        <f t="shared" si="2"/>
        <v>0</v>
      </c>
      <c r="G28" s="17" t="s">
        <v>18</v>
      </c>
    </row>
    <row r="29" spans="1:7" x14ac:dyDescent="0.25">
      <c r="A29" s="2">
        <v>28</v>
      </c>
      <c r="B29" s="8">
        <v>45908</v>
      </c>
      <c r="C29" s="9">
        <v>884208471185</v>
      </c>
      <c r="D29" s="10">
        <v>290</v>
      </c>
      <c r="E29" s="4">
        <v>650</v>
      </c>
      <c r="F29" s="6">
        <f t="shared" si="2"/>
        <v>1716.62</v>
      </c>
      <c r="G29" s="5" t="s">
        <v>8</v>
      </c>
    </row>
    <row r="30" spans="1:7" x14ac:dyDescent="0.25">
      <c r="A30" s="2">
        <v>29</v>
      </c>
      <c r="B30" s="8">
        <v>45908</v>
      </c>
      <c r="C30" s="9">
        <v>884208794942</v>
      </c>
      <c r="D30" s="10">
        <v>364</v>
      </c>
      <c r="E30" s="4">
        <v>650</v>
      </c>
      <c r="F30" s="6">
        <f t="shared" si="2"/>
        <v>1988.7919999999999</v>
      </c>
      <c r="G30" s="5" t="s">
        <v>10</v>
      </c>
    </row>
    <row r="31" spans="1:7" x14ac:dyDescent="0.25">
      <c r="A31" s="2">
        <v>30</v>
      </c>
      <c r="B31" s="8">
        <v>45909</v>
      </c>
      <c r="C31" s="9">
        <v>884240212850</v>
      </c>
      <c r="D31" s="10">
        <v>290</v>
      </c>
      <c r="E31" s="4">
        <v>650</v>
      </c>
      <c r="F31" s="6">
        <f t="shared" si="2"/>
        <v>1716.62</v>
      </c>
      <c r="G31" s="5" t="s">
        <v>8</v>
      </c>
    </row>
    <row r="32" spans="1:7" x14ac:dyDescent="0.25">
      <c r="A32" s="2">
        <v>31</v>
      </c>
      <c r="B32" s="8">
        <v>45910</v>
      </c>
      <c r="C32" s="9">
        <v>884247722815</v>
      </c>
      <c r="D32" s="10">
        <v>364</v>
      </c>
      <c r="E32" s="4">
        <v>650</v>
      </c>
      <c r="F32" s="6">
        <f t="shared" si="2"/>
        <v>1988.7919999999999</v>
      </c>
      <c r="G32" s="5" t="s">
        <v>10</v>
      </c>
    </row>
    <row r="33" spans="1:7" x14ac:dyDescent="0.25">
      <c r="A33" s="2">
        <v>32</v>
      </c>
      <c r="B33" s="8">
        <v>45912</v>
      </c>
      <c r="C33" s="9">
        <v>884337543305</v>
      </c>
      <c r="D33" s="10">
        <v>60</v>
      </c>
      <c r="E33" s="4">
        <v>0</v>
      </c>
      <c r="F33" s="6">
        <f t="shared" si="2"/>
        <v>220.68</v>
      </c>
      <c r="G33" s="2" t="s">
        <v>19</v>
      </c>
    </row>
    <row r="34" spans="1:7" x14ac:dyDescent="0.25">
      <c r="A34" s="2">
        <v>33</v>
      </c>
      <c r="B34" s="8">
        <v>45916</v>
      </c>
      <c r="C34" s="9">
        <v>884423139238</v>
      </c>
      <c r="D34" s="10">
        <v>290</v>
      </c>
      <c r="E34" s="4">
        <v>650</v>
      </c>
      <c r="F34" s="6">
        <f t="shared" si="2"/>
        <v>1716.62</v>
      </c>
      <c r="G34" s="5" t="s">
        <v>8</v>
      </c>
    </row>
    <row r="35" spans="1:7" x14ac:dyDescent="0.25">
      <c r="A35" s="2">
        <v>34</v>
      </c>
      <c r="B35" s="8">
        <v>45922</v>
      </c>
      <c r="C35" s="9">
        <v>884574885700</v>
      </c>
      <c r="D35" s="10">
        <v>364</v>
      </c>
      <c r="E35" s="4">
        <v>650</v>
      </c>
      <c r="F35" s="6">
        <f t="shared" si="2"/>
        <v>1988.7919999999999</v>
      </c>
      <c r="G35" s="5" t="s">
        <v>10</v>
      </c>
    </row>
    <row r="36" spans="1:7" x14ac:dyDescent="0.25">
      <c r="A36" s="2">
        <v>35</v>
      </c>
      <c r="B36" s="18">
        <v>45922</v>
      </c>
      <c r="C36" s="19">
        <v>884583815319</v>
      </c>
      <c r="D36" s="20"/>
      <c r="E36" s="21"/>
      <c r="F36" s="22">
        <f t="shared" si="2"/>
        <v>0</v>
      </c>
      <c r="G36" s="23" t="s">
        <v>20</v>
      </c>
    </row>
    <row r="37" spans="1:7" x14ac:dyDescent="0.25">
      <c r="A37" s="2">
        <v>36</v>
      </c>
      <c r="B37" s="8">
        <v>45923</v>
      </c>
      <c r="C37" s="9">
        <v>884614874090</v>
      </c>
      <c r="D37" s="10">
        <v>290</v>
      </c>
      <c r="E37" s="4">
        <v>650</v>
      </c>
      <c r="F37" s="6">
        <f t="shared" si="2"/>
        <v>1716.62</v>
      </c>
      <c r="G37" s="5" t="s">
        <v>8</v>
      </c>
    </row>
    <row r="38" spans="1:7" x14ac:dyDescent="0.25">
      <c r="A38" s="2">
        <v>37</v>
      </c>
      <c r="B38" s="8">
        <v>45929</v>
      </c>
      <c r="C38" s="9">
        <v>884764993533</v>
      </c>
      <c r="D38" s="10">
        <v>290</v>
      </c>
      <c r="E38" s="4">
        <v>650</v>
      </c>
      <c r="F38" s="6">
        <f t="shared" si="2"/>
        <v>1716.62</v>
      </c>
      <c r="G38" s="5" t="s">
        <v>21</v>
      </c>
    </row>
    <row r="39" spans="1:7" x14ac:dyDescent="0.25">
      <c r="A39" s="2">
        <v>38</v>
      </c>
      <c r="B39" s="8"/>
      <c r="C39" s="9">
        <v>884767135284</v>
      </c>
      <c r="D39" s="10">
        <v>364</v>
      </c>
      <c r="E39" s="4">
        <v>650</v>
      </c>
      <c r="F39" s="6">
        <f t="shared" si="2"/>
        <v>1988.7919999999999</v>
      </c>
      <c r="G39" s="5" t="s">
        <v>22</v>
      </c>
    </row>
    <row r="40" spans="1:7" x14ac:dyDescent="0.25">
      <c r="A40" s="2">
        <v>39</v>
      </c>
      <c r="B40" s="8">
        <v>45933</v>
      </c>
      <c r="C40" s="9">
        <v>884896497095</v>
      </c>
      <c r="D40" s="10">
        <v>290</v>
      </c>
      <c r="E40" s="4">
        <v>650</v>
      </c>
      <c r="F40" s="6">
        <f t="shared" si="2"/>
        <v>1716.62</v>
      </c>
      <c r="G40" s="5" t="s">
        <v>8</v>
      </c>
    </row>
    <row r="41" spans="1:7" x14ac:dyDescent="0.25">
      <c r="A41" s="2">
        <v>40</v>
      </c>
      <c r="B41" s="8">
        <v>45940</v>
      </c>
      <c r="C41" s="9">
        <v>885073337013</v>
      </c>
      <c r="D41" s="10">
        <v>290</v>
      </c>
      <c r="E41" s="4">
        <v>650</v>
      </c>
      <c r="F41" s="6">
        <f t="shared" si="2"/>
        <v>1716.62</v>
      </c>
      <c r="G41" s="5" t="s">
        <v>23</v>
      </c>
    </row>
    <row r="42" spans="1:7" x14ac:dyDescent="0.25">
      <c r="A42" s="2">
        <v>41</v>
      </c>
      <c r="B42" s="8">
        <v>45941</v>
      </c>
      <c r="C42" s="9">
        <v>885097150836</v>
      </c>
      <c r="D42" s="10">
        <v>364</v>
      </c>
      <c r="E42" s="4">
        <v>650</v>
      </c>
      <c r="F42" s="6">
        <f t="shared" si="2"/>
        <v>1988.7919999999999</v>
      </c>
      <c r="G42" s="5" t="s">
        <v>22</v>
      </c>
    </row>
    <row r="43" spans="1:7" x14ac:dyDescent="0.25">
      <c r="A43" s="2">
        <v>42</v>
      </c>
      <c r="B43" s="8">
        <v>45941</v>
      </c>
      <c r="C43" s="9">
        <v>885113992558</v>
      </c>
      <c r="D43" s="10">
        <v>290</v>
      </c>
      <c r="E43" s="4">
        <v>650</v>
      </c>
      <c r="F43" s="6">
        <f t="shared" si="2"/>
        <v>1716.62</v>
      </c>
      <c r="G43" s="5" t="s">
        <v>23</v>
      </c>
    </row>
    <row r="44" spans="1:7" x14ac:dyDescent="0.25">
      <c r="A44" s="2">
        <v>43</v>
      </c>
      <c r="B44" s="8">
        <v>45950</v>
      </c>
      <c r="C44" s="9">
        <v>885303364990</v>
      </c>
      <c r="D44" s="10">
        <v>290</v>
      </c>
      <c r="E44" s="4">
        <v>650</v>
      </c>
      <c r="F44" s="6">
        <f t="shared" si="2"/>
        <v>1716.62</v>
      </c>
      <c r="G44" s="5" t="s">
        <v>23</v>
      </c>
    </row>
    <row r="45" spans="1:7" x14ac:dyDescent="0.25">
      <c r="A45" s="2">
        <v>44</v>
      </c>
      <c r="B45" s="8">
        <v>45952</v>
      </c>
      <c r="C45" s="9">
        <v>885397208270</v>
      </c>
      <c r="D45" s="10">
        <v>290</v>
      </c>
      <c r="E45" s="4">
        <v>650</v>
      </c>
      <c r="F45" s="6">
        <f t="shared" si="2"/>
        <v>1716.62</v>
      </c>
      <c r="G45" s="5" t="s">
        <v>23</v>
      </c>
    </row>
    <row r="46" spans="1:7" x14ac:dyDescent="0.25">
      <c r="A46" s="2">
        <v>45</v>
      </c>
      <c r="B46" s="8">
        <v>45953</v>
      </c>
      <c r="C46" s="9">
        <v>885437006729</v>
      </c>
      <c r="D46" s="10">
        <v>290</v>
      </c>
      <c r="E46" s="4">
        <v>650</v>
      </c>
      <c r="F46" s="6">
        <f t="shared" si="2"/>
        <v>1716.62</v>
      </c>
      <c r="G46" s="5" t="s">
        <v>23</v>
      </c>
    </row>
    <row r="47" spans="1:7" x14ac:dyDescent="0.25">
      <c r="A47" s="2">
        <v>46</v>
      </c>
      <c r="B47" s="8">
        <v>45959</v>
      </c>
      <c r="C47" s="9">
        <v>885595456580</v>
      </c>
      <c r="D47" s="10">
        <v>130</v>
      </c>
      <c r="E47" s="4">
        <v>215</v>
      </c>
      <c r="F47" s="6">
        <f t="shared" si="2"/>
        <v>693.14</v>
      </c>
      <c r="G47" s="2" t="s">
        <v>24</v>
      </c>
    </row>
    <row r="48" spans="1:7" x14ac:dyDescent="0.25">
      <c r="A48" s="2">
        <v>47</v>
      </c>
      <c r="B48" s="8">
        <v>45959</v>
      </c>
      <c r="C48" s="9">
        <v>885595695115</v>
      </c>
      <c r="D48" s="10">
        <v>130</v>
      </c>
      <c r="E48" s="4">
        <v>215</v>
      </c>
      <c r="F48" s="6">
        <f t="shared" si="2"/>
        <v>693.14</v>
      </c>
      <c r="G48" s="2" t="s">
        <v>24</v>
      </c>
    </row>
    <row r="49" spans="1:7" x14ac:dyDescent="0.25">
      <c r="A49" s="2">
        <v>48</v>
      </c>
      <c r="B49" s="8">
        <v>45960</v>
      </c>
      <c r="C49" s="9">
        <v>885623154950</v>
      </c>
      <c r="D49" s="10">
        <v>130</v>
      </c>
      <c r="E49" s="4">
        <v>215</v>
      </c>
      <c r="F49" s="6">
        <f t="shared" si="2"/>
        <v>693.14</v>
      </c>
      <c r="G49" s="2" t="s">
        <v>24</v>
      </c>
    </row>
    <row r="50" spans="1:7" x14ac:dyDescent="0.25">
      <c r="A50" s="2">
        <v>49</v>
      </c>
      <c r="B50" s="8">
        <v>45960</v>
      </c>
      <c r="C50" s="9">
        <v>885623585218</v>
      </c>
      <c r="D50" s="10">
        <v>290</v>
      </c>
      <c r="E50" s="4">
        <v>650</v>
      </c>
      <c r="F50" s="6">
        <f t="shared" si="2"/>
        <v>1716.62</v>
      </c>
      <c r="G50" s="5" t="s">
        <v>23</v>
      </c>
    </row>
    <row r="51" spans="1:7" x14ac:dyDescent="0.25">
      <c r="A51" s="2">
        <v>50</v>
      </c>
      <c r="B51" s="8">
        <v>45964</v>
      </c>
      <c r="C51" s="9">
        <v>885685740000</v>
      </c>
      <c r="D51" s="10">
        <v>290</v>
      </c>
      <c r="E51" s="4">
        <v>650</v>
      </c>
      <c r="F51" s="6">
        <f t="shared" si="2"/>
        <v>1716.62</v>
      </c>
      <c r="G51" s="5" t="s">
        <v>23</v>
      </c>
    </row>
    <row r="52" spans="1:7" x14ac:dyDescent="0.25">
      <c r="A52" s="2">
        <v>51</v>
      </c>
      <c r="B52" s="8">
        <v>45965</v>
      </c>
      <c r="C52" s="9">
        <v>885715775467</v>
      </c>
      <c r="D52" s="10">
        <v>364</v>
      </c>
      <c r="E52" s="4">
        <v>650</v>
      </c>
      <c r="F52" s="6">
        <f t="shared" si="2"/>
        <v>1988.7919999999999</v>
      </c>
      <c r="G52" s="2" t="s">
        <v>10</v>
      </c>
    </row>
    <row r="53" spans="1:7" x14ac:dyDescent="0.25">
      <c r="A53" s="2">
        <v>50</v>
      </c>
      <c r="B53" s="8">
        <v>45966</v>
      </c>
      <c r="C53" s="9">
        <v>885779784197</v>
      </c>
      <c r="D53" s="10">
        <v>290</v>
      </c>
      <c r="E53" s="4">
        <v>650</v>
      </c>
      <c r="F53" s="6">
        <f t="shared" si="2"/>
        <v>1716.62</v>
      </c>
      <c r="G53" s="24" t="s">
        <v>8</v>
      </c>
    </row>
    <row r="54" spans="1:7" x14ac:dyDescent="0.25">
      <c r="A54" s="2">
        <v>51</v>
      </c>
      <c r="B54" s="8">
        <v>45967</v>
      </c>
      <c r="C54" s="9">
        <v>885825374761</v>
      </c>
      <c r="D54" s="10">
        <v>364</v>
      </c>
      <c r="E54" s="4">
        <v>650</v>
      </c>
      <c r="F54" s="6">
        <f t="shared" si="2"/>
        <v>1988.7919999999999</v>
      </c>
      <c r="G54" s="2" t="s">
        <v>25</v>
      </c>
    </row>
    <row r="55" spans="1:7" x14ac:dyDescent="0.25">
      <c r="A55" s="2">
        <v>52</v>
      </c>
      <c r="B55" s="8">
        <v>45968</v>
      </c>
      <c r="C55" s="9">
        <v>885857533303</v>
      </c>
      <c r="D55" s="10"/>
      <c r="E55" s="4">
        <v>0</v>
      </c>
      <c r="F55" s="6">
        <f t="shared" si="2"/>
        <v>0</v>
      </c>
      <c r="G55" s="2" t="s">
        <v>17</v>
      </c>
    </row>
    <row r="56" spans="1:7" x14ac:dyDescent="0.25">
      <c r="A56" s="2">
        <v>53</v>
      </c>
      <c r="B56" s="8">
        <v>45972</v>
      </c>
      <c r="C56" s="9">
        <v>885946336728</v>
      </c>
      <c r="D56" s="10">
        <v>290</v>
      </c>
      <c r="E56" s="4">
        <v>650</v>
      </c>
      <c r="F56" s="6">
        <f t="shared" si="2"/>
        <v>1716.62</v>
      </c>
      <c r="G56" s="2" t="s">
        <v>26</v>
      </c>
    </row>
    <row r="57" spans="1:7" x14ac:dyDescent="0.25">
      <c r="A57" s="2">
        <v>54</v>
      </c>
      <c r="B57" s="8">
        <v>45979</v>
      </c>
      <c r="C57" s="9">
        <v>886166203914</v>
      </c>
      <c r="D57" s="10">
        <v>290</v>
      </c>
      <c r="E57" s="4">
        <v>650</v>
      </c>
      <c r="F57" s="6">
        <f t="shared" si="2"/>
        <v>1716.62</v>
      </c>
      <c r="G57" s="2" t="s">
        <v>26</v>
      </c>
    </row>
    <row r="58" spans="1:7" x14ac:dyDescent="0.25">
      <c r="A58" s="2">
        <v>55</v>
      </c>
      <c r="B58" s="8">
        <v>45979</v>
      </c>
      <c r="C58" s="9">
        <v>886166640471</v>
      </c>
      <c r="D58" s="10">
        <v>130</v>
      </c>
      <c r="E58" s="4">
        <v>650</v>
      </c>
      <c r="F58" s="6">
        <f t="shared" si="2"/>
        <v>1128.1399999999999</v>
      </c>
      <c r="G58" s="2" t="s">
        <v>24</v>
      </c>
    </row>
    <row r="59" spans="1:7" x14ac:dyDescent="0.25">
      <c r="A59" s="2">
        <v>56</v>
      </c>
      <c r="B59" s="8">
        <v>45979</v>
      </c>
      <c r="C59" s="9">
        <v>886167178570</v>
      </c>
      <c r="D59" s="10"/>
      <c r="E59" s="25"/>
      <c r="F59" s="6">
        <f t="shared" si="2"/>
        <v>0</v>
      </c>
      <c r="G59" s="2" t="s">
        <v>17</v>
      </c>
    </row>
    <row r="60" spans="1:7" x14ac:dyDescent="0.25">
      <c r="A60" s="2">
        <v>57</v>
      </c>
      <c r="B60" s="8">
        <v>45981</v>
      </c>
      <c r="C60" s="9">
        <v>886246191631</v>
      </c>
      <c r="D60" s="10">
        <v>130</v>
      </c>
      <c r="E60" s="4">
        <v>215</v>
      </c>
      <c r="F60" s="6">
        <f t="shared" si="2"/>
        <v>693.14</v>
      </c>
      <c r="G60" s="2" t="s">
        <v>24</v>
      </c>
    </row>
    <row r="61" spans="1:7" x14ac:dyDescent="0.25">
      <c r="A61" s="2">
        <v>58</v>
      </c>
      <c r="B61" s="8">
        <v>45981</v>
      </c>
      <c r="C61" s="9">
        <v>886246349894</v>
      </c>
      <c r="D61" s="10">
        <v>130</v>
      </c>
      <c r="E61" s="4">
        <v>215</v>
      </c>
      <c r="F61" s="6">
        <f t="shared" si="2"/>
        <v>693.14</v>
      </c>
      <c r="G61" s="2" t="s">
        <v>24</v>
      </c>
    </row>
    <row r="62" spans="1:7" x14ac:dyDescent="0.25">
      <c r="A62" s="2">
        <v>59</v>
      </c>
      <c r="B62" s="8">
        <v>45985</v>
      </c>
      <c r="C62" s="9">
        <v>886353820345</v>
      </c>
      <c r="D62" s="10">
        <v>130</v>
      </c>
      <c r="E62" s="4">
        <v>215</v>
      </c>
      <c r="F62" s="6">
        <f t="shared" si="2"/>
        <v>693.14</v>
      </c>
      <c r="G62" s="2" t="s">
        <v>24</v>
      </c>
    </row>
    <row r="63" spans="1:7" x14ac:dyDescent="0.25">
      <c r="A63" s="2">
        <v>60</v>
      </c>
      <c r="B63" s="8">
        <v>45996</v>
      </c>
      <c r="C63" s="9">
        <v>886652427579</v>
      </c>
      <c r="D63" s="10">
        <v>364</v>
      </c>
      <c r="E63" s="4">
        <v>650</v>
      </c>
      <c r="F63" s="6">
        <f t="shared" si="2"/>
        <v>1988.7919999999999</v>
      </c>
      <c r="G63" s="2" t="s">
        <v>25</v>
      </c>
    </row>
    <row r="64" spans="1:7" x14ac:dyDescent="0.25">
      <c r="A64" s="2">
        <v>61</v>
      </c>
      <c r="B64" s="8">
        <v>46002</v>
      </c>
      <c r="C64" s="9">
        <v>886994778149</v>
      </c>
      <c r="D64" s="10">
        <v>290</v>
      </c>
      <c r="E64" s="4">
        <v>650</v>
      </c>
      <c r="F64" s="6">
        <f t="shared" si="2"/>
        <v>1716.62</v>
      </c>
      <c r="G64" s="2" t="s">
        <v>26</v>
      </c>
    </row>
    <row r="65" spans="1:7" x14ac:dyDescent="0.25">
      <c r="A65" s="2">
        <v>62</v>
      </c>
      <c r="B65" s="8">
        <v>46007</v>
      </c>
      <c r="C65" s="9">
        <v>887153381046</v>
      </c>
      <c r="D65" s="10">
        <v>364</v>
      </c>
      <c r="E65" s="4">
        <v>650</v>
      </c>
      <c r="F65" s="6">
        <f t="shared" si="2"/>
        <v>1988.7919999999999</v>
      </c>
      <c r="G65" s="2" t="s">
        <v>27</v>
      </c>
    </row>
    <row r="66" spans="1:7" x14ac:dyDescent="0.25">
      <c r="A66" s="2">
        <v>63</v>
      </c>
      <c r="B66" s="8">
        <v>46009</v>
      </c>
      <c r="C66" s="9">
        <v>887230848958</v>
      </c>
      <c r="D66" s="10">
        <v>290</v>
      </c>
      <c r="E66" s="4">
        <v>650</v>
      </c>
      <c r="F66" s="6">
        <f t="shared" si="2"/>
        <v>1716.62</v>
      </c>
      <c r="G66" s="2" t="s">
        <v>26</v>
      </c>
    </row>
    <row r="67" spans="1:7" x14ac:dyDescent="0.25">
      <c r="A67" s="2">
        <v>64</v>
      </c>
      <c r="B67" s="8">
        <v>46010</v>
      </c>
      <c r="C67" s="9">
        <v>887280868921</v>
      </c>
      <c r="D67" s="10">
        <v>290</v>
      </c>
      <c r="E67" s="4">
        <v>650</v>
      </c>
      <c r="F67" s="6">
        <f t="shared" si="2"/>
        <v>1716.62</v>
      </c>
      <c r="G67" s="2" t="s">
        <v>26</v>
      </c>
    </row>
    <row r="68" spans="1:7" x14ac:dyDescent="0.25">
      <c r="A68" s="2">
        <v>65</v>
      </c>
      <c r="B68" s="8">
        <v>46021</v>
      </c>
      <c r="C68" s="9">
        <v>887515954108</v>
      </c>
      <c r="D68" s="10">
        <v>290</v>
      </c>
      <c r="E68" s="4">
        <v>650</v>
      </c>
      <c r="F68" s="6">
        <f t="shared" si="2"/>
        <v>1716.62</v>
      </c>
      <c r="G68" s="2" t="s">
        <v>26</v>
      </c>
    </row>
    <row r="69" spans="1:7" x14ac:dyDescent="0.25">
      <c r="A69" s="2">
        <v>66</v>
      </c>
      <c r="B69" s="8">
        <v>46021</v>
      </c>
      <c r="C69" s="9">
        <v>887516310429</v>
      </c>
      <c r="D69" s="10">
        <v>290</v>
      </c>
      <c r="E69" s="4">
        <v>650</v>
      </c>
      <c r="F69" s="6">
        <f t="shared" si="2"/>
        <v>1716.62</v>
      </c>
      <c r="G69" s="2" t="s">
        <v>26</v>
      </c>
    </row>
    <row r="70" spans="1:7" x14ac:dyDescent="0.25">
      <c r="A70" s="2">
        <v>67</v>
      </c>
      <c r="B70" s="8">
        <v>46024</v>
      </c>
      <c r="C70" s="9">
        <v>887569550855</v>
      </c>
      <c r="D70" s="10">
        <v>290</v>
      </c>
      <c r="E70" s="4">
        <v>650</v>
      </c>
      <c r="F70" s="6">
        <f t="shared" si="2"/>
        <v>1716.62</v>
      </c>
      <c r="G70" s="2" t="s">
        <v>26</v>
      </c>
    </row>
    <row r="71" spans="1:7" x14ac:dyDescent="0.25">
      <c r="A71" s="2">
        <v>68</v>
      </c>
      <c r="B71" s="8">
        <v>46027</v>
      </c>
      <c r="C71" s="9">
        <v>887637924960</v>
      </c>
      <c r="D71" s="10">
        <v>290</v>
      </c>
      <c r="E71" s="4">
        <v>650</v>
      </c>
      <c r="F71" s="6">
        <f t="shared" si="2"/>
        <v>1716.62</v>
      </c>
      <c r="G71" s="2" t="s">
        <v>26</v>
      </c>
    </row>
    <row r="72" spans="1:7" x14ac:dyDescent="0.25">
      <c r="A72" s="2">
        <v>69</v>
      </c>
      <c r="B72" s="8">
        <v>46035</v>
      </c>
      <c r="C72" s="9">
        <v>887877646921</v>
      </c>
      <c r="D72" s="10">
        <v>290</v>
      </c>
      <c r="E72" s="4">
        <v>650</v>
      </c>
      <c r="F72" s="6">
        <f t="shared" si="2"/>
        <v>1716.62</v>
      </c>
      <c r="G72" s="2" t="s">
        <v>26</v>
      </c>
    </row>
    <row r="73" spans="1:7" x14ac:dyDescent="0.25">
      <c r="A73" s="2">
        <v>70</v>
      </c>
      <c r="B73" s="8">
        <v>46041</v>
      </c>
      <c r="C73" s="9">
        <v>888034557424</v>
      </c>
      <c r="D73" s="10">
        <v>290</v>
      </c>
      <c r="E73" s="4">
        <v>650</v>
      </c>
      <c r="F73" s="6">
        <f t="shared" si="2"/>
        <v>1716.62</v>
      </c>
      <c r="G73" s="2" t="s">
        <v>26</v>
      </c>
    </row>
    <row r="74" spans="1:7" x14ac:dyDescent="0.25">
      <c r="A74" s="2">
        <v>71</v>
      </c>
      <c r="B74" s="8">
        <v>46041</v>
      </c>
      <c r="C74" s="9">
        <v>888035857727</v>
      </c>
      <c r="D74" s="10">
        <v>364</v>
      </c>
      <c r="E74" s="4">
        <v>650</v>
      </c>
      <c r="F74" s="6">
        <f t="shared" si="2"/>
        <v>1988.7919999999999</v>
      </c>
      <c r="G74" s="2" t="s">
        <v>28</v>
      </c>
    </row>
    <row r="75" spans="1:7" x14ac:dyDescent="0.25">
      <c r="A75" s="2"/>
      <c r="B75" s="8">
        <v>46043</v>
      </c>
      <c r="C75" s="9">
        <v>888091896702</v>
      </c>
      <c r="D75" s="10">
        <v>290</v>
      </c>
      <c r="E75" s="4">
        <v>650</v>
      </c>
      <c r="F75" s="6">
        <f t="shared" si="2"/>
        <v>1716.62</v>
      </c>
      <c r="G75" s="2" t="s">
        <v>26</v>
      </c>
    </row>
    <row r="76" spans="1:7" x14ac:dyDescent="0.25">
      <c r="A76" s="2"/>
      <c r="B76" s="8"/>
      <c r="C76" s="2"/>
      <c r="D76" s="10"/>
      <c r="E76" s="26"/>
      <c r="F76" s="27">
        <f>SUM(F2:F75)</f>
        <v>113385.06401999995</v>
      </c>
      <c r="G76" s="2"/>
    </row>
    <row r="77" spans="1:7" x14ac:dyDescent="0.25">
      <c r="D77" s="28"/>
      <c r="G77" s="29"/>
    </row>
    <row r="78" spans="1:7" x14ac:dyDescent="0.25">
      <c r="D78" s="28"/>
      <c r="G78" s="29"/>
    </row>
    <row r="79" spans="1:7" x14ac:dyDescent="0.25">
      <c r="D79" s="28"/>
      <c r="G79" s="29"/>
    </row>
    <row r="80" spans="1:7" x14ac:dyDescent="0.25">
      <c r="D80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2026-01-21T20:30:23Z</dcterms:created>
  <dcterms:modified xsi:type="dcterms:W3CDTF">2026-01-21T20:30:44Z</dcterms:modified>
</cp:coreProperties>
</file>