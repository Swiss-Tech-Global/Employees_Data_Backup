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Mudaser/"/>
    </mc:Choice>
  </mc:AlternateContent>
  <xr:revisionPtr revIDLastSave="2" documentId="8_{D221292B-B09E-409C-BA6A-6D424EB77188}" xr6:coauthVersionLast="47" xr6:coauthVersionMax="47" xr10:uidLastSave="{4B4835CD-0973-4016-9164-5382E0808957}"/>
  <bookViews>
    <workbookView xWindow="20370" yWindow="-120" windowWidth="29040" windowHeight="17520" xr2:uid="{8D120AC1-AFA8-4182-9201-DEDF6274A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" l="1"/>
  <c r="H48" i="1"/>
  <c r="I48" i="1"/>
  <c r="J48" i="1"/>
  <c r="K48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2" i="1"/>
</calcChain>
</file>

<file path=xl/sharedStrings.xml><?xml version="1.0" encoding="utf-8"?>
<sst xmlns="http://schemas.openxmlformats.org/spreadsheetml/2006/main" count="134" uniqueCount="63">
  <si>
    <t>SNO</t>
  </si>
  <si>
    <t>DATE</t>
  </si>
  <si>
    <t>LABEL TRACKING</t>
  </si>
  <si>
    <t>FEDEX COST</t>
  </si>
  <si>
    <t>BOXES</t>
  </si>
  <si>
    <t>38.6 LB/17.52 KG</t>
  </si>
  <si>
    <t>01 Box</t>
  </si>
  <si>
    <t>106 lbs / 48.08 kgs</t>
  </si>
  <si>
    <t>02 Box</t>
  </si>
  <si>
    <t>42.0 LB/19.07 KG</t>
  </si>
  <si>
    <t>double ecnomy</t>
  </si>
  <si>
    <t>usa to usa</t>
  </si>
  <si>
    <t>single box</t>
  </si>
  <si>
    <t>19.40 LB/8.8 KG</t>
  </si>
  <si>
    <t>39.6 LB/17.98 KG</t>
  </si>
  <si>
    <t>SMALL (RESD)</t>
  </si>
  <si>
    <t>7.72 LB/3.5 KG</t>
  </si>
  <si>
    <t>6.39 LB/2.9 KG</t>
  </si>
  <si>
    <t>5.95 LB/2.7 KG</t>
  </si>
  <si>
    <t>5.07 LB/2.3 KG</t>
  </si>
  <si>
    <t>70 lbs / 31.75 kgs</t>
  </si>
  <si>
    <t>31.75 LB/14.4 KG</t>
  </si>
  <si>
    <t>three box</t>
  </si>
  <si>
    <t>105 lbs / 47.63 kgs</t>
  </si>
  <si>
    <t>03 Box</t>
  </si>
  <si>
    <t>72.97 LB/33.1 KG</t>
  </si>
  <si>
    <t>35.0 LB/15.89 KG</t>
  </si>
  <si>
    <t>37.26 LB/16.9 KG</t>
  </si>
  <si>
    <t>47.84 LB/21.7 KG</t>
  </si>
  <si>
    <t>39.0 LB/17.71 KG</t>
  </si>
  <si>
    <t>24.47 LB/11.1 KG</t>
  </si>
  <si>
    <t>51.7 LB/23.47 KG</t>
  </si>
  <si>
    <t>29.0 LB/13.17 KG</t>
  </si>
  <si>
    <t>double</t>
  </si>
  <si>
    <t>34.17 LB/15.5 KG</t>
  </si>
  <si>
    <t>36.7 LB/16.66 KG</t>
  </si>
  <si>
    <t>small</t>
  </si>
  <si>
    <t>5.51 LB/2.5 KG</t>
  </si>
  <si>
    <t>4.19 LB/1.9 KG</t>
  </si>
  <si>
    <t>sing</t>
  </si>
  <si>
    <t>37.9 LB/17.21 KG</t>
  </si>
  <si>
    <t>37.70 LB/17.1 KG</t>
  </si>
  <si>
    <t>35.5 LB/16.12 KG</t>
  </si>
  <si>
    <t>small box</t>
  </si>
  <si>
    <t>5.5 LB/2.50 KG</t>
  </si>
  <si>
    <t>not used</t>
  </si>
  <si>
    <t>29.1 LB/13.21 KG</t>
  </si>
  <si>
    <t>22.9 LB/10.40 KG</t>
  </si>
  <si>
    <t>72.0 LB/32.69 KG</t>
  </si>
  <si>
    <t>40.0 LB/18.14 KG</t>
  </si>
  <si>
    <t>30.64 LB/13.9 KG</t>
  </si>
  <si>
    <t>31.31 LB/14.2 KG</t>
  </si>
  <si>
    <t>26.90 LB/12.2 KG</t>
  </si>
  <si>
    <t>33.51 LB/15.2 KG</t>
  </si>
  <si>
    <t>21.83 LB/9.9 KG</t>
  </si>
  <si>
    <t>6.61 LB/3.0 KG</t>
  </si>
  <si>
    <t>19.4 LB/8.8 KG</t>
  </si>
  <si>
    <t>Weight</t>
  </si>
  <si>
    <t>Shipment Pices</t>
  </si>
  <si>
    <t>Fedex Invoice</t>
  </si>
  <si>
    <t>45.19 LB/20.5 KG</t>
  </si>
  <si>
    <t>4.9 LB/2.22 KG</t>
  </si>
  <si>
    <t>Different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</si>
</sst>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Eras Demi ITC"/>
      <family val="2"/>
    </font>
    <font>
      <sz val="12"/>
      <color theme="1"/>
      <name val="Eras Demi IT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165" fontId="2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/>
    <xf numFmtId="165" fontId="3" fillId="4" borderId="1" xfId="0" applyNumberFormat="1" applyFont="1" applyFill="1" applyBorder="1"/>
    <xf numFmtId="1" fontId="2" fillId="4" borderId="1" xfId="0" applyNumberFormat="1" applyFont="1" applyFill="1" applyBorder="1" applyAlignment="1">
      <alignment horizontal="center" vertical="center"/>
    </xf>
    <xf numFmtId="0" fontId="0" fillId="4" borderId="0" xfId="0" applyFill="1"/>
    <xf numFmtId="1" fontId="2" fillId="4" borderId="2" xfId="0" applyNumberFormat="1" applyFont="1" applyFill="1" applyBorder="1" applyAlignment="1">
      <alignment horizontal="center" vertical="center"/>
    </xf>
    <xf numFmtId="165" fontId="0" fillId="3" borderId="0" xfId="0" applyNumberFormat="1" applyFill="1"/>
    <xf numFmtId="165" fontId="2" fillId="3" borderId="2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/>
  </cellXfs>
  <cellStyles count="2">
    <cellStyle name="Normal" xfId="0" builtinId="0"/>
    <cellStyle name="Normal 2" xfId="1" xr:uid="{EAFD389D-8E15-4407-B84C-CF239BF4DD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9178-C0AC-46EB-A451-4D9F1118B48A}">
  <dimension ref="A1:K48"/>
  <sheetViews>
    <sheetView tabSelected="1" workbookViewId="0">
      <selection activeCell="G15" sqref="G15"/>
    </sheetView>
  </sheetViews>
  <sheetFormatPr defaultRowHeight="15" x14ac:dyDescent="0.25"/>
  <cols>
    <col min="1" max="1" width="13.5703125" customWidth="1"/>
    <col min="2" max="2" width="22.42578125" customWidth="1"/>
    <col min="3" max="3" width="20.85546875" customWidth="1"/>
    <col min="4" max="4" width="27.7109375" customWidth="1"/>
    <col min="5" max="5" width="29.28515625" customWidth="1"/>
    <col min="6" max="6" width="25" customWidth="1"/>
    <col min="7" max="7" width="20.140625" customWidth="1"/>
    <col min="8" max="8" width="15.140625" bestFit="1" customWidth="1"/>
    <col min="9" max="9" width="13.7109375" bestFit="1" customWidth="1"/>
    <col min="10" max="10" width="17.7109375" customWidth="1"/>
    <col min="11" max="11" width="19.42578125" bestFit="1" customWidth="1"/>
  </cols>
  <sheetData>
    <row r="1" spans="1:11" x14ac:dyDescent="0.25">
      <c r="A1" s="24" t="s">
        <v>0</v>
      </c>
      <c r="B1" s="24" t="s">
        <v>1</v>
      </c>
      <c r="C1" s="24" t="s">
        <v>2</v>
      </c>
      <c r="D1" s="24" t="s">
        <v>57</v>
      </c>
      <c r="E1" s="24" t="s">
        <v>4</v>
      </c>
      <c r="F1" s="24" t="s">
        <v>58</v>
      </c>
      <c r="G1" s="24" t="s">
        <v>3</v>
      </c>
      <c r="H1" s="24" t="s">
        <v>59</v>
      </c>
      <c r="I1" s="25"/>
      <c r="J1" s="26" t="s">
        <v>3</v>
      </c>
      <c r="K1" s="24" t="s">
        <v>62</v>
      </c>
    </row>
    <row r="2" spans="1:11" x14ac:dyDescent="0.25">
      <c r="A2" s="6">
        <v>1</v>
      </c>
      <c r="B2" s="7">
        <v>45964</v>
      </c>
      <c r="C2" s="5">
        <v>885685740000</v>
      </c>
      <c r="D2" s="1" t="s">
        <v>5</v>
      </c>
      <c r="E2" s="5"/>
      <c r="F2" s="1" t="s">
        <v>6</v>
      </c>
      <c r="G2" s="3">
        <v>400</v>
      </c>
      <c r="H2" s="2">
        <v>272.27999999999997</v>
      </c>
      <c r="I2" s="20">
        <f t="shared" ref="I2:I47" si="0">G2-H2</f>
        <v>127.72000000000003</v>
      </c>
      <c r="J2" s="21">
        <v>400</v>
      </c>
      <c r="K2" s="22">
        <f>G2-J2</f>
        <v>0</v>
      </c>
    </row>
    <row r="3" spans="1:11" x14ac:dyDescent="0.25">
      <c r="A3" s="6">
        <v>2</v>
      </c>
      <c r="B3" s="7">
        <v>45965</v>
      </c>
      <c r="C3" s="5">
        <v>885715775467</v>
      </c>
      <c r="D3" s="1" t="s">
        <v>7</v>
      </c>
      <c r="E3" s="5"/>
      <c r="F3" s="1" t="s">
        <v>8</v>
      </c>
      <c r="G3" s="3">
        <v>576</v>
      </c>
      <c r="H3" s="2">
        <v>144.75</v>
      </c>
      <c r="I3" s="20">
        <f t="shared" si="0"/>
        <v>431.25</v>
      </c>
      <c r="J3" s="21">
        <v>576</v>
      </c>
      <c r="K3" s="22">
        <f t="shared" ref="K3:K47" si="1">G3-J3</f>
        <v>0</v>
      </c>
    </row>
    <row r="4" spans="1:11" x14ac:dyDescent="0.25">
      <c r="A4" s="6">
        <v>3</v>
      </c>
      <c r="B4" s="7">
        <v>45966</v>
      </c>
      <c r="C4" s="5">
        <v>885779784197</v>
      </c>
      <c r="D4" s="1" t="s">
        <v>9</v>
      </c>
      <c r="E4" s="5"/>
      <c r="F4" s="1" t="s">
        <v>6</v>
      </c>
      <c r="G4" s="3">
        <v>400</v>
      </c>
      <c r="H4" s="2">
        <v>56.74</v>
      </c>
      <c r="I4" s="20">
        <f t="shared" si="0"/>
        <v>343.26</v>
      </c>
      <c r="J4" s="21">
        <v>400</v>
      </c>
      <c r="K4" s="22">
        <f t="shared" si="1"/>
        <v>0</v>
      </c>
    </row>
    <row r="5" spans="1:11" x14ac:dyDescent="0.25">
      <c r="A5" s="6">
        <v>4</v>
      </c>
      <c r="B5" s="7">
        <v>45967</v>
      </c>
      <c r="C5" s="5">
        <v>885825374761</v>
      </c>
      <c r="D5" s="1" t="s">
        <v>7</v>
      </c>
      <c r="E5" s="5" t="s">
        <v>10</v>
      </c>
      <c r="F5" s="1" t="s">
        <v>8</v>
      </c>
      <c r="G5" s="3">
        <v>576</v>
      </c>
      <c r="H5" s="2">
        <v>102.78</v>
      </c>
      <c r="I5" s="20">
        <f t="shared" si="0"/>
        <v>473.22</v>
      </c>
      <c r="J5" s="21">
        <v>576</v>
      </c>
      <c r="K5" s="22">
        <f t="shared" si="1"/>
        <v>0</v>
      </c>
    </row>
    <row r="6" spans="1:11" x14ac:dyDescent="0.25">
      <c r="A6" s="6">
        <v>5</v>
      </c>
      <c r="B6" s="7">
        <v>45968</v>
      </c>
      <c r="C6" s="5">
        <v>885857533303</v>
      </c>
      <c r="D6" s="9"/>
      <c r="E6" s="5" t="s">
        <v>11</v>
      </c>
      <c r="F6" s="10"/>
      <c r="G6" s="3">
        <v>0</v>
      </c>
      <c r="H6" s="18"/>
      <c r="I6" s="20">
        <f t="shared" si="0"/>
        <v>0</v>
      </c>
      <c r="J6" s="21"/>
      <c r="K6" s="22">
        <f t="shared" si="1"/>
        <v>0</v>
      </c>
    </row>
    <row r="7" spans="1:11" x14ac:dyDescent="0.25">
      <c r="A7" s="6">
        <v>6</v>
      </c>
      <c r="B7" s="7">
        <v>45972</v>
      </c>
      <c r="C7" s="5">
        <v>885946336728</v>
      </c>
      <c r="D7" s="1" t="s">
        <v>13</v>
      </c>
      <c r="E7" s="5" t="s">
        <v>12</v>
      </c>
      <c r="F7" s="1" t="s">
        <v>6</v>
      </c>
      <c r="G7" s="3">
        <v>400</v>
      </c>
      <c r="H7" s="2">
        <v>237.8</v>
      </c>
      <c r="I7" s="20">
        <f t="shared" si="0"/>
        <v>162.19999999999999</v>
      </c>
      <c r="J7" s="21">
        <v>400</v>
      </c>
      <c r="K7" s="22">
        <f t="shared" si="1"/>
        <v>0</v>
      </c>
    </row>
    <row r="8" spans="1:11" x14ac:dyDescent="0.25">
      <c r="A8" s="6">
        <v>7</v>
      </c>
      <c r="B8" s="7">
        <v>45979</v>
      </c>
      <c r="C8" s="5">
        <v>886166203914</v>
      </c>
      <c r="D8" s="1" t="s">
        <v>14</v>
      </c>
      <c r="E8" s="5" t="s">
        <v>12</v>
      </c>
      <c r="F8" s="1" t="s">
        <v>6</v>
      </c>
      <c r="G8" s="3">
        <v>400</v>
      </c>
      <c r="H8" s="2">
        <v>276.02999999999997</v>
      </c>
      <c r="I8" s="20">
        <f t="shared" si="0"/>
        <v>123.97000000000003</v>
      </c>
      <c r="J8" s="21">
        <v>400</v>
      </c>
      <c r="K8" s="22">
        <f t="shared" si="1"/>
        <v>0</v>
      </c>
    </row>
    <row r="9" spans="1:11" x14ac:dyDescent="0.25">
      <c r="A9" s="6">
        <v>8</v>
      </c>
      <c r="B9" s="7">
        <v>45979</v>
      </c>
      <c r="C9" s="5">
        <v>886166640471</v>
      </c>
      <c r="D9" s="1" t="s">
        <v>16</v>
      </c>
      <c r="E9" s="5" t="s">
        <v>15</v>
      </c>
      <c r="F9" s="1" t="s">
        <v>6</v>
      </c>
      <c r="G9" s="3">
        <v>150</v>
      </c>
      <c r="H9" s="2">
        <v>121.1</v>
      </c>
      <c r="I9" s="20">
        <f t="shared" si="0"/>
        <v>28.900000000000006</v>
      </c>
      <c r="J9" s="21">
        <v>150</v>
      </c>
      <c r="K9" s="22">
        <f t="shared" si="1"/>
        <v>0</v>
      </c>
    </row>
    <row r="10" spans="1:11" x14ac:dyDescent="0.25">
      <c r="A10" s="6">
        <v>9</v>
      </c>
      <c r="B10" s="7">
        <v>45979</v>
      </c>
      <c r="C10" s="5">
        <v>886167178570</v>
      </c>
      <c r="D10" s="9"/>
      <c r="E10" s="5" t="s">
        <v>11</v>
      </c>
      <c r="F10" s="10"/>
      <c r="G10" s="3">
        <v>0</v>
      </c>
      <c r="H10" s="18"/>
      <c r="I10" s="20">
        <f t="shared" si="0"/>
        <v>0</v>
      </c>
      <c r="J10" s="21"/>
      <c r="K10" s="22">
        <f t="shared" si="1"/>
        <v>0</v>
      </c>
    </row>
    <row r="11" spans="1:11" x14ac:dyDescent="0.25">
      <c r="A11" s="6">
        <v>10</v>
      </c>
      <c r="B11" s="7">
        <v>45981</v>
      </c>
      <c r="C11" s="5">
        <v>886246191631</v>
      </c>
      <c r="D11" s="1" t="s">
        <v>17</v>
      </c>
      <c r="E11" s="5"/>
      <c r="F11" s="1" t="s">
        <v>6</v>
      </c>
      <c r="G11" s="3">
        <v>150</v>
      </c>
      <c r="H11" s="2">
        <v>121.34</v>
      </c>
      <c r="I11" s="20">
        <f t="shared" si="0"/>
        <v>28.659999999999997</v>
      </c>
      <c r="J11" s="21">
        <v>150</v>
      </c>
      <c r="K11" s="22">
        <f t="shared" si="1"/>
        <v>0</v>
      </c>
    </row>
    <row r="12" spans="1:11" x14ac:dyDescent="0.25">
      <c r="A12" s="6">
        <v>11</v>
      </c>
      <c r="B12" s="7">
        <v>45981</v>
      </c>
      <c r="C12" s="5">
        <v>886246349894</v>
      </c>
      <c r="D12" s="1" t="s">
        <v>18</v>
      </c>
      <c r="E12" s="5"/>
      <c r="F12" s="1" t="s">
        <v>6</v>
      </c>
      <c r="G12" s="3">
        <v>150</v>
      </c>
      <c r="H12" s="2">
        <v>121.34</v>
      </c>
      <c r="I12" s="20">
        <f t="shared" si="0"/>
        <v>28.659999999999997</v>
      </c>
      <c r="J12" s="21">
        <v>150</v>
      </c>
      <c r="K12" s="22">
        <f t="shared" si="1"/>
        <v>0</v>
      </c>
    </row>
    <row r="13" spans="1:11" x14ac:dyDescent="0.25">
      <c r="A13" s="6">
        <v>12</v>
      </c>
      <c r="B13" s="7">
        <v>45985</v>
      </c>
      <c r="C13" s="5">
        <v>886353820345</v>
      </c>
      <c r="D13" s="1" t="s">
        <v>19</v>
      </c>
      <c r="E13" s="5"/>
      <c r="F13" s="1" t="s">
        <v>6</v>
      </c>
      <c r="G13" s="3">
        <v>150</v>
      </c>
      <c r="H13" s="2">
        <v>121.34</v>
      </c>
      <c r="I13" s="20">
        <f t="shared" si="0"/>
        <v>28.659999999999997</v>
      </c>
      <c r="J13" s="21">
        <v>150</v>
      </c>
      <c r="K13" s="22">
        <f t="shared" si="1"/>
        <v>0</v>
      </c>
    </row>
    <row r="14" spans="1:11" x14ac:dyDescent="0.25">
      <c r="A14" s="12">
        <v>13</v>
      </c>
      <c r="B14" s="13">
        <v>45992</v>
      </c>
      <c r="C14" s="14">
        <v>886588731317</v>
      </c>
      <c r="D14" s="15" t="s">
        <v>60</v>
      </c>
      <c r="E14" s="14"/>
      <c r="F14" s="15" t="s">
        <v>6</v>
      </c>
      <c r="G14" s="16"/>
      <c r="H14" s="16">
        <v>297.38</v>
      </c>
      <c r="I14" s="27">
        <f t="shared" si="0"/>
        <v>-297.38</v>
      </c>
      <c r="J14" s="28">
        <v>400</v>
      </c>
      <c r="K14" s="29">
        <f t="shared" si="1"/>
        <v>-400</v>
      </c>
    </row>
    <row r="15" spans="1:11" x14ac:dyDescent="0.25">
      <c r="A15" s="6">
        <v>14</v>
      </c>
      <c r="B15" s="7">
        <v>45996</v>
      </c>
      <c r="C15" s="5">
        <v>886652427579</v>
      </c>
      <c r="D15" s="1" t="s">
        <v>20</v>
      </c>
      <c r="E15" s="5" t="s">
        <v>10</v>
      </c>
      <c r="F15" s="1" t="s">
        <v>8</v>
      </c>
      <c r="G15" s="3">
        <v>480</v>
      </c>
      <c r="H15" s="2">
        <v>441.7</v>
      </c>
      <c r="I15" s="20">
        <f t="shared" si="0"/>
        <v>38.300000000000011</v>
      </c>
      <c r="J15" s="21">
        <v>576</v>
      </c>
      <c r="K15" s="22">
        <f t="shared" si="1"/>
        <v>-96</v>
      </c>
    </row>
    <row r="16" spans="1:11" x14ac:dyDescent="0.25">
      <c r="A16" s="6">
        <v>15</v>
      </c>
      <c r="B16" s="7">
        <v>46002</v>
      </c>
      <c r="C16" s="5">
        <v>886994778149</v>
      </c>
      <c r="D16" s="1" t="s">
        <v>21</v>
      </c>
      <c r="E16" s="5" t="s">
        <v>12</v>
      </c>
      <c r="F16" s="1" t="s">
        <v>6</v>
      </c>
      <c r="G16" s="3">
        <v>350</v>
      </c>
      <c r="H16" s="2">
        <v>235.43</v>
      </c>
      <c r="I16" s="20">
        <f t="shared" si="0"/>
        <v>114.57</v>
      </c>
      <c r="J16" s="21">
        <v>400</v>
      </c>
      <c r="K16" s="22">
        <f t="shared" si="1"/>
        <v>-50</v>
      </c>
    </row>
    <row r="17" spans="1:11" x14ac:dyDescent="0.25">
      <c r="A17" s="6">
        <v>16</v>
      </c>
      <c r="B17" s="7">
        <v>46007</v>
      </c>
      <c r="C17" s="5">
        <v>887153381046</v>
      </c>
      <c r="D17" s="1" t="s">
        <v>23</v>
      </c>
      <c r="E17" s="5" t="s">
        <v>22</v>
      </c>
      <c r="F17" s="1" t="s">
        <v>24</v>
      </c>
      <c r="G17" s="3">
        <v>520</v>
      </c>
      <c r="H17" s="2">
        <v>498.69</v>
      </c>
      <c r="I17" s="20">
        <f t="shared" si="0"/>
        <v>21.310000000000002</v>
      </c>
      <c r="J17" s="21">
        <v>576</v>
      </c>
      <c r="K17" s="22">
        <f t="shared" si="1"/>
        <v>-56</v>
      </c>
    </row>
    <row r="18" spans="1:11" x14ac:dyDescent="0.25">
      <c r="A18" s="6">
        <v>17</v>
      </c>
      <c r="B18" s="7">
        <v>46009</v>
      </c>
      <c r="C18" s="5">
        <v>887230848958</v>
      </c>
      <c r="D18" s="1" t="s">
        <v>25</v>
      </c>
      <c r="E18" s="5" t="s">
        <v>12</v>
      </c>
      <c r="F18" s="1" t="s">
        <v>6</v>
      </c>
      <c r="G18" s="3">
        <v>350</v>
      </c>
      <c r="H18" s="2">
        <v>250.67</v>
      </c>
      <c r="I18" s="20">
        <f t="shared" si="0"/>
        <v>99.330000000000013</v>
      </c>
      <c r="J18" s="21">
        <v>400</v>
      </c>
      <c r="K18" s="22">
        <f t="shared" si="1"/>
        <v>-50</v>
      </c>
    </row>
    <row r="19" spans="1:11" x14ac:dyDescent="0.25">
      <c r="A19" s="6">
        <v>18</v>
      </c>
      <c r="B19" s="7">
        <v>46010</v>
      </c>
      <c r="C19" s="5">
        <v>887280868921</v>
      </c>
      <c r="D19" s="1" t="s">
        <v>26</v>
      </c>
      <c r="E19" s="5" t="s">
        <v>12</v>
      </c>
      <c r="F19" s="1" t="s">
        <v>6</v>
      </c>
      <c r="G19" s="3">
        <v>350</v>
      </c>
      <c r="H19" s="2">
        <v>141.35</v>
      </c>
      <c r="I19" s="20">
        <f t="shared" si="0"/>
        <v>208.65</v>
      </c>
      <c r="J19" s="21">
        <v>400</v>
      </c>
      <c r="K19" s="22">
        <f t="shared" si="1"/>
        <v>-50</v>
      </c>
    </row>
    <row r="20" spans="1:11" x14ac:dyDescent="0.25">
      <c r="A20" s="6">
        <v>19</v>
      </c>
      <c r="B20" s="7">
        <v>46021</v>
      </c>
      <c r="C20" s="5">
        <v>887515954108</v>
      </c>
      <c r="D20" s="1" t="s">
        <v>27</v>
      </c>
      <c r="E20" s="5" t="s">
        <v>12</v>
      </c>
      <c r="F20" s="1" t="s">
        <v>6</v>
      </c>
      <c r="G20" s="3">
        <v>350</v>
      </c>
      <c r="H20" s="2">
        <v>148.36000000000001</v>
      </c>
      <c r="I20" s="20">
        <f t="shared" si="0"/>
        <v>201.64</v>
      </c>
      <c r="J20" s="21">
        <v>400</v>
      </c>
      <c r="K20" s="22">
        <f t="shared" si="1"/>
        <v>-50</v>
      </c>
    </row>
    <row r="21" spans="1:11" x14ac:dyDescent="0.25">
      <c r="A21" s="6">
        <v>20</v>
      </c>
      <c r="B21" s="7">
        <v>46021</v>
      </c>
      <c r="C21" s="5">
        <v>887516310429</v>
      </c>
      <c r="D21" s="1" t="s">
        <v>28</v>
      </c>
      <c r="E21" s="5" t="s">
        <v>12</v>
      </c>
      <c r="F21" s="1" t="s">
        <v>6</v>
      </c>
      <c r="G21" s="3">
        <v>350</v>
      </c>
      <c r="H21" s="2">
        <v>169.38</v>
      </c>
      <c r="I21" s="20">
        <f t="shared" si="0"/>
        <v>180.62</v>
      </c>
      <c r="J21" s="21">
        <v>400</v>
      </c>
      <c r="K21" s="22">
        <f t="shared" si="1"/>
        <v>-50</v>
      </c>
    </row>
    <row r="22" spans="1:11" x14ac:dyDescent="0.25">
      <c r="A22" s="6">
        <v>21</v>
      </c>
      <c r="B22" s="7">
        <v>46024</v>
      </c>
      <c r="C22" s="5">
        <v>887569550855</v>
      </c>
      <c r="D22" s="1" t="s">
        <v>29</v>
      </c>
      <c r="E22" s="5" t="s">
        <v>12</v>
      </c>
      <c r="F22" s="1" t="s">
        <v>6</v>
      </c>
      <c r="G22" s="3">
        <v>350</v>
      </c>
      <c r="H22" s="3">
        <v>154.4</v>
      </c>
      <c r="I22" s="20">
        <f t="shared" si="0"/>
        <v>195.6</v>
      </c>
      <c r="J22" s="21">
        <v>400</v>
      </c>
      <c r="K22" s="22">
        <f t="shared" si="1"/>
        <v>-50</v>
      </c>
    </row>
    <row r="23" spans="1:11" x14ac:dyDescent="0.25">
      <c r="A23" s="6">
        <v>22</v>
      </c>
      <c r="B23" s="7">
        <v>46027</v>
      </c>
      <c r="C23" s="5">
        <v>887637924960</v>
      </c>
      <c r="D23" s="1" t="s">
        <v>30</v>
      </c>
      <c r="E23" s="5" t="s">
        <v>12</v>
      </c>
      <c r="F23" s="1" t="s">
        <v>6</v>
      </c>
      <c r="G23" s="3">
        <v>350</v>
      </c>
      <c r="H23" s="3">
        <v>101.79</v>
      </c>
      <c r="I23" s="20">
        <f t="shared" si="0"/>
        <v>248.20999999999998</v>
      </c>
      <c r="J23" s="21">
        <v>400</v>
      </c>
      <c r="K23" s="22">
        <f t="shared" si="1"/>
        <v>-50</v>
      </c>
    </row>
    <row r="24" spans="1:11" x14ac:dyDescent="0.25">
      <c r="A24" s="6">
        <v>23</v>
      </c>
      <c r="B24" s="7">
        <v>46035</v>
      </c>
      <c r="C24" s="5">
        <v>887877646921</v>
      </c>
      <c r="D24" s="1" t="s">
        <v>31</v>
      </c>
      <c r="E24" s="5" t="s">
        <v>12</v>
      </c>
      <c r="F24" s="1" t="s">
        <v>6</v>
      </c>
      <c r="G24" s="3">
        <v>350</v>
      </c>
      <c r="H24" s="3">
        <v>177.12</v>
      </c>
      <c r="I24" s="20">
        <f t="shared" si="0"/>
        <v>172.88</v>
      </c>
      <c r="J24" s="21">
        <v>400</v>
      </c>
      <c r="K24" s="22">
        <f t="shared" si="1"/>
        <v>-50</v>
      </c>
    </row>
    <row r="25" spans="1:11" x14ac:dyDescent="0.25">
      <c r="A25" s="6">
        <v>24</v>
      </c>
      <c r="B25" s="7">
        <v>46041</v>
      </c>
      <c r="C25" s="5">
        <v>888034557424</v>
      </c>
      <c r="D25" s="1" t="s">
        <v>32</v>
      </c>
      <c r="E25" s="5" t="s">
        <v>12</v>
      </c>
      <c r="F25" s="1" t="s">
        <v>6</v>
      </c>
      <c r="G25" s="3">
        <v>350</v>
      </c>
      <c r="H25" s="3">
        <v>135.78</v>
      </c>
      <c r="I25" s="20">
        <f t="shared" si="0"/>
        <v>214.22</v>
      </c>
      <c r="J25" s="21">
        <v>400</v>
      </c>
      <c r="K25" s="22">
        <f t="shared" si="1"/>
        <v>-50</v>
      </c>
    </row>
    <row r="26" spans="1:11" x14ac:dyDescent="0.25">
      <c r="A26" s="6">
        <v>25</v>
      </c>
      <c r="B26" s="7">
        <v>46041</v>
      </c>
      <c r="C26" s="5">
        <v>888035857727</v>
      </c>
      <c r="D26" s="1" t="s">
        <v>20</v>
      </c>
      <c r="E26" s="5" t="s">
        <v>33</v>
      </c>
      <c r="F26" s="1" t="s">
        <v>8</v>
      </c>
      <c r="G26" s="3">
        <v>520</v>
      </c>
      <c r="H26" s="3">
        <v>174.04</v>
      </c>
      <c r="I26" s="20">
        <f t="shared" si="0"/>
        <v>345.96000000000004</v>
      </c>
      <c r="J26" s="21">
        <v>576</v>
      </c>
      <c r="K26" s="22">
        <f t="shared" si="1"/>
        <v>-56</v>
      </c>
    </row>
    <row r="27" spans="1:11" x14ac:dyDescent="0.25">
      <c r="A27" s="6">
        <v>26</v>
      </c>
      <c r="B27" s="7">
        <v>46043</v>
      </c>
      <c r="C27" s="5">
        <v>888091896702</v>
      </c>
      <c r="D27" s="1" t="s">
        <v>34</v>
      </c>
      <c r="E27" s="5" t="s">
        <v>12</v>
      </c>
      <c r="F27" s="1" t="s">
        <v>6</v>
      </c>
      <c r="G27" s="3">
        <v>350</v>
      </c>
      <c r="H27" s="3">
        <v>184.21</v>
      </c>
      <c r="I27" s="20">
        <f t="shared" si="0"/>
        <v>165.79</v>
      </c>
      <c r="J27" s="21">
        <v>400</v>
      </c>
      <c r="K27" s="22">
        <f t="shared" si="1"/>
        <v>-50</v>
      </c>
    </row>
    <row r="28" spans="1:11" x14ac:dyDescent="0.25">
      <c r="A28" s="6">
        <v>27</v>
      </c>
      <c r="B28" s="7">
        <v>46046</v>
      </c>
      <c r="C28" s="5">
        <v>888184232989</v>
      </c>
      <c r="D28" s="1" t="s">
        <v>35</v>
      </c>
      <c r="E28" s="5" t="s">
        <v>12</v>
      </c>
      <c r="F28" s="1" t="s">
        <v>6</v>
      </c>
      <c r="G28" s="3">
        <v>350</v>
      </c>
      <c r="H28" s="3">
        <v>145.47</v>
      </c>
      <c r="I28" s="20">
        <f t="shared" si="0"/>
        <v>204.53</v>
      </c>
      <c r="J28" s="21">
        <v>400</v>
      </c>
      <c r="K28" s="22">
        <f t="shared" si="1"/>
        <v>-50</v>
      </c>
    </row>
    <row r="29" spans="1:11" x14ac:dyDescent="0.25">
      <c r="A29" s="6">
        <v>28</v>
      </c>
      <c r="B29" s="7">
        <v>46051</v>
      </c>
      <c r="C29" s="5">
        <v>888308746732</v>
      </c>
      <c r="D29" s="1" t="s">
        <v>37</v>
      </c>
      <c r="E29" s="5" t="s">
        <v>36</v>
      </c>
      <c r="F29" s="1" t="s">
        <v>6</v>
      </c>
      <c r="G29" s="3">
        <v>150</v>
      </c>
      <c r="H29" s="3">
        <v>51.22</v>
      </c>
      <c r="I29" s="20">
        <f t="shared" si="0"/>
        <v>98.78</v>
      </c>
      <c r="J29" s="21">
        <v>150</v>
      </c>
      <c r="K29" s="22">
        <f t="shared" si="1"/>
        <v>0</v>
      </c>
    </row>
    <row r="30" spans="1:11" x14ac:dyDescent="0.25">
      <c r="A30" s="6">
        <v>29</v>
      </c>
      <c r="B30" s="11">
        <v>46055</v>
      </c>
      <c r="C30" s="4">
        <v>888413467425</v>
      </c>
      <c r="D30" s="1" t="s">
        <v>38</v>
      </c>
      <c r="E30" s="5" t="s">
        <v>36</v>
      </c>
      <c r="F30" s="1" t="s">
        <v>6</v>
      </c>
      <c r="G30" s="3">
        <v>150</v>
      </c>
      <c r="H30" s="3">
        <v>49.05</v>
      </c>
      <c r="I30" s="20">
        <f t="shared" si="0"/>
        <v>100.95</v>
      </c>
      <c r="J30" s="21">
        <v>150</v>
      </c>
      <c r="K30" s="22">
        <f t="shared" si="1"/>
        <v>0</v>
      </c>
    </row>
    <row r="31" spans="1:11" x14ac:dyDescent="0.25">
      <c r="A31" s="6">
        <v>30</v>
      </c>
      <c r="B31" s="11">
        <v>46057</v>
      </c>
      <c r="C31" s="4">
        <v>888477945105</v>
      </c>
      <c r="D31" s="1" t="s">
        <v>40</v>
      </c>
      <c r="E31" s="5" t="s">
        <v>39</v>
      </c>
      <c r="F31" s="1" t="s">
        <v>6</v>
      </c>
      <c r="G31" s="3">
        <v>350</v>
      </c>
      <c r="H31" s="3">
        <v>163.30000000000001</v>
      </c>
      <c r="I31" s="20">
        <f t="shared" si="0"/>
        <v>186.7</v>
      </c>
      <c r="J31" s="21">
        <v>400</v>
      </c>
      <c r="K31" s="22">
        <f t="shared" si="1"/>
        <v>-50</v>
      </c>
    </row>
    <row r="32" spans="1:11" x14ac:dyDescent="0.25">
      <c r="A32" s="6">
        <v>31</v>
      </c>
      <c r="B32" s="11">
        <v>46059</v>
      </c>
      <c r="C32" s="4">
        <v>888546250716</v>
      </c>
      <c r="D32" s="1" t="s">
        <v>41</v>
      </c>
      <c r="E32" s="5" t="s">
        <v>12</v>
      </c>
      <c r="F32" s="1" t="s">
        <v>6</v>
      </c>
      <c r="G32" s="3">
        <v>350</v>
      </c>
      <c r="H32" s="3">
        <v>149.72999999999999</v>
      </c>
      <c r="I32" s="20">
        <f t="shared" si="0"/>
        <v>200.27</v>
      </c>
      <c r="J32" s="21">
        <v>400</v>
      </c>
      <c r="K32" s="22">
        <f t="shared" si="1"/>
        <v>-50</v>
      </c>
    </row>
    <row r="33" spans="1:11" x14ac:dyDescent="0.25">
      <c r="A33" s="6">
        <v>32</v>
      </c>
      <c r="B33" s="11">
        <v>46069</v>
      </c>
      <c r="C33" s="5">
        <v>888794117170</v>
      </c>
      <c r="D33" s="1" t="s">
        <v>42</v>
      </c>
      <c r="E33" s="5" t="s">
        <v>12</v>
      </c>
      <c r="F33" s="1" t="s">
        <v>6</v>
      </c>
      <c r="G33" s="3">
        <v>350</v>
      </c>
      <c r="H33" s="3">
        <v>138.99</v>
      </c>
      <c r="I33" s="20">
        <f t="shared" si="0"/>
        <v>211.01</v>
      </c>
      <c r="J33" s="21">
        <v>400</v>
      </c>
      <c r="K33" s="22">
        <f t="shared" si="1"/>
        <v>-50</v>
      </c>
    </row>
    <row r="34" spans="1:11" x14ac:dyDescent="0.25">
      <c r="A34" s="6">
        <v>33</v>
      </c>
      <c r="B34" s="11">
        <v>46072</v>
      </c>
      <c r="C34" s="5">
        <v>888925017390</v>
      </c>
      <c r="D34" s="1" t="s">
        <v>44</v>
      </c>
      <c r="E34" s="5" t="s">
        <v>43</v>
      </c>
      <c r="F34" s="1" t="s">
        <v>6</v>
      </c>
      <c r="G34" s="3">
        <v>150</v>
      </c>
      <c r="H34" s="3">
        <v>50.39</v>
      </c>
      <c r="I34" s="20">
        <f t="shared" si="0"/>
        <v>99.61</v>
      </c>
      <c r="J34" s="21">
        <v>150</v>
      </c>
      <c r="K34" s="22">
        <f t="shared" si="1"/>
        <v>0</v>
      </c>
    </row>
    <row r="35" spans="1:11" x14ac:dyDescent="0.25">
      <c r="A35" s="6">
        <v>34</v>
      </c>
      <c r="B35" s="11">
        <v>46072</v>
      </c>
      <c r="C35" s="5">
        <v>888925112050</v>
      </c>
      <c r="D35" s="17"/>
      <c r="E35" s="5" t="s">
        <v>45</v>
      </c>
      <c r="F35" s="8"/>
      <c r="G35" s="3">
        <v>0</v>
      </c>
      <c r="H35" s="19"/>
      <c r="I35" s="20">
        <f t="shared" si="0"/>
        <v>0</v>
      </c>
      <c r="J35" s="21"/>
      <c r="K35" s="22">
        <f t="shared" si="1"/>
        <v>0</v>
      </c>
    </row>
    <row r="36" spans="1:11" x14ac:dyDescent="0.25">
      <c r="A36" s="6">
        <v>35</v>
      </c>
      <c r="B36" s="11">
        <v>46074</v>
      </c>
      <c r="C36" s="5">
        <v>888962842891</v>
      </c>
      <c r="D36" s="1" t="s">
        <v>46</v>
      </c>
      <c r="E36" s="5" t="s">
        <v>12</v>
      </c>
      <c r="F36" s="1" t="s">
        <v>6</v>
      </c>
      <c r="G36" s="3">
        <v>350</v>
      </c>
      <c r="H36" s="3">
        <v>132.21</v>
      </c>
      <c r="I36" s="20">
        <f t="shared" si="0"/>
        <v>217.79</v>
      </c>
      <c r="J36" s="21">
        <v>400</v>
      </c>
      <c r="K36" s="22">
        <f t="shared" si="1"/>
        <v>-50</v>
      </c>
    </row>
    <row r="37" spans="1:11" x14ac:dyDescent="0.25">
      <c r="A37" s="6">
        <v>36</v>
      </c>
      <c r="B37" s="11">
        <v>46074</v>
      </c>
      <c r="C37" s="5">
        <v>888962891970</v>
      </c>
      <c r="D37" s="1" t="s">
        <v>47</v>
      </c>
      <c r="E37" s="5" t="s">
        <v>12</v>
      </c>
      <c r="F37" s="1" t="s">
        <v>6</v>
      </c>
      <c r="G37" s="3">
        <v>350</v>
      </c>
      <c r="H37" s="3">
        <v>97.51</v>
      </c>
      <c r="I37" s="20">
        <f t="shared" si="0"/>
        <v>252.49</v>
      </c>
      <c r="J37" s="21">
        <v>400</v>
      </c>
      <c r="K37" s="22">
        <f t="shared" si="1"/>
        <v>-50</v>
      </c>
    </row>
    <row r="38" spans="1:11" x14ac:dyDescent="0.25">
      <c r="A38" s="6">
        <v>37</v>
      </c>
      <c r="B38" s="11">
        <v>46077</v>
      </c>
      <c r="C38" s="5">
        <v>889037399074</v>
      </c>
      <c r="D38" s="1" t="s">
        <v>48</v>
      </c>
      <c r="E38" s="5" t="s">
        <v>12</v>
      </c>
      <c r="F38" s="1" t="s">
        <v>6</v>
      </c>
      <c r="G38" s="3">
        <v>350</v>
      </c>
      <c r="H38" s="3">
        <v>261.88</v>
      </c>
      <c r="I38" s="20">
        <f t="shared" si="0"/>
        <v>88.12</v>
      </c>
      <c r="J38" s="21">
        <v>400</v>
      </c>
      <c r="K38" s="22">
        <f t="shared" si="1"/>
        <v>-50</v>
      </c>
    </row>
    <row r="39" spans="1:11" x14ac:dyDescent="0.25">
      <c r="A39" s="12">
        <v>38</v>
      </c>
      <c r="B39" s="13">
        <v>46080</v>
      </c>
      <c r="C39" s="14">
        <v>889155908516</v>
      </c>
      <c r="D39" s="15" t="s">
        <v>61</v>
      </c>
      <c r="E39" s="14"/>
      <c r="F39" s="15" t="s">
        <v>6</v>
      </c>
      <c r="G39" s="16"/>
      <c r="H39" s="16">
        <v>51.33</v>
      </c>
      <c r="I39" s="27">
        <f t="shared" si="0"/>
        <v>-51.33</v>
      </c>
      <c r="J39" s="28">
        <v>150</v>
      </c>
      <c r="K39" s="29">
        <f t="shared" si="1"/>
        <v>-150</v>
      </c>
    </row>
    <row r="40" spans="1:11" x14ac:dyDescent="0.25">
      <c r="A40" s="6">
        <v>39</v>
      </c>
      <c r="B40" s="11">
        <v>46099</v>
      </c>
      <c r="C40" s="4">
        <v>889748979671</v>
      </c>
      <c r="D40" s="1" t="s">
        <v>49</v>
      </c>
      <c r="E40" s="5" t="s">
        <v>12</v>
      </c>
      <c r="F40" s="1" t="s">
        <v>6</v>
      </c>
      <c r="G40" s="3">
        <v>350</v>
      </c>
      <c r="H40" s="3">
        <v>200.33</v>
      </c>
      <c r="I40" s="20">
        <f t="shared" si="0"/>
        <v>149.66999999999999</v>
      </c>
      <c r="J40" s="21">
        <v>400</v>
      </c>
      <c r="K40" s="22">
        <f t="shared" si="1"/>
        <v>-50</v>
      </c>
    </row>
    <row r="41" spans="1:11" x14ac:dyDescent="0.25">
      <c r="A41" s="6">
        <v>40</v>
      </c>
      <c r="B41" s="11">
        <v>46118</v>
      </c>
      <c r="C41" s="4">
        <v>870355907366</v>
      </c>
      <c r="D41" s="1" t="s">
        <v>50</v>
      </c>
      <c r="E41" s="5" t="s">
        <v>12</v>
      </c>
      <c r="F41" s="1" t="s">
        <v>6</v>
      </c>
      <c r="G41" s="3">
        <v>350</v>
      </c>
      <c r="H41" s="3">
        <v>308.07</v>
      </c>
      <c r="I41" s="20">
        <f t="shared" si="0"/>
        <v>41.930000000000007</v>
      </c>
      <c r="J41" s="21">
        <v>400</v>
      </c>
      <c r="K41" s="22">
        <f t="shared" si="1"/>
        <v>-50</v>
      </c>
    </row>
    <row r="42" spans="1:11" x14ac:dyDescent="0.25">
      <c r="A42" s="6">
        <v>41</v>
      </c>
      <c r="B42" s="11">
        <v>46130</v>
      </c>
      <c r="C42" s="4">
        <v>870816996835</v>
      </c>
      <c r="D42" s="1" t="s">
        <v>51</v>
      </c>
      <c r="E42" s="5" t="s">
        <v>12</v>
      </c>
      <c r="F42" s="1" t="s">
        <v>6</v>
      </c>
      <c r="G42" s="3">
        <v>350</v>
      </c>
      <c r="H42" s="3">
        <v>169.95</v>
      </c>
      <c r="I42" s="20">
        <f t="shared" si="0"/>
        <v>180.05</v>
      </c>
      <c r="J42" s="21">
        <v>400</v>
      </c>
      <c r="K42" s="22">
        <f t="shared" si="1"/>
        <v>-50</v>
      </c>
    </row>
    <row r="43" spans="1:11" x14ac:dyDescent="0.25">
      <c r="A43" s="6">
        <v>42</v>
      </c>
      <c r="B43" s="11">
        <v>46136</v>
      </c>
      <c r="C43" s="4">
        <v>871043618440</v>
      </c>
      <c r="D43" s="1" t="s">
        <v>52</v>
      </c>
      <c r="E43" s="5" t="s">
        <v>12</v>
      </c>
      <c r="F43" s="1" t="s">
        <v>6</v>
      </c>
      <c r="G43" s="3">
        <v>350</v>
      </c>
      <c r="H43" s="3">
        <v>175.68</v>
      </c>
      <c r="I43" s="20">
        <f t="shared" si="0"/>
        <v>174.32</v>
      </c>
      <c r="J43" s="21">
        <v>400</v>
      </c>
      <c r="K43" s="22">
        <f t="shared" si="1"/>
        <v>-50</v>
      </c>
    </row>
    <row r="44" spans="1:11" x14ac:dyDescent="0.25">
      <c r="A44" s="6">
        <v>43</v>
      </c>
      <c r="B44" s="11">
        <v>46141</v>
      </c>
      <c r="C44" s="4">
        <v>871190582000</v>
      </c>
      <c r="D44" s="1" t="s">
        <v>53</v>
      </c>
      <c r="E44" s="5" t="s">
        <v>12</v>
      </c>
      <c r="F44" s="1" t="s">
        <v>6</v>
      </c>
      <c r="G44" s="3">
        <v>350</v>
      </c>
      <c r="H44" s="3">
        <v>202.55</v>
      </c>
      <c r="I44" s="20">
        <f t="shared" si="0"/>
        <v>147.44999999999999</v>
      </c>
      <c r="J44" s="21">
        <v>400</v>
      </c>
      <c r="K44" s="22">
        <f t="shared" si="1"/>
        <v>-50</v>
      </c>
    </row>
    <row r="45" spans="1:11" x14ac:dyDescent="0.25">
      <c r="A45" s="6">
        <v>44</v>
      </c>
      <c r="B45" s="11">
        <v>46149</v>
      </c>
      <c r="C45" s="4">
        <v>871538132434</v>
      </c>
      <c r="D45" s="1" t="s">
        <v>54</v>
      </c>
      <c r="E45" s="5" t="s">
        <v>12</v>
      </c>
      <c r="F45" s="1" t="s">
        <v>6</v>
      </c>
      <c r="G45" s="3">
        <v>350</v>
      </c>
      <c r="H45" s="3">
        <v>131.65</v>
      </c>
      <c r="I45" s="20">
        <f t="shared" si="0"/>
        <v>218.35</v>
      </c>
      <c r="J45" s="21">
        <v>400</v>
      </c>
      <c r="K45" s="22">
        <f t="shared" si="1"/>
        <v>-50</v>
      </c>
    </row>
    <row r="46" spans="1:11" x14ac:dyDescent="0.25">
      <c r="A46" s="6">
        <v>45</v>
      </c>
      <c r="B46" s="11">
        <v>46149</v>
      </c>
      <c r="C46" s="4">
        <v>871538580610</v>
      </c>
      <c r="D46" s="1" t="s">
        <v>55</v>
      </c>
      <c r="E46" s="5" t="s">
        <v>36</v>
      </c>
      <c r="F46" s="1" t="s">
        <v>6</v>
      </c>
      <c r="G46" s="3">
        <v>150</v>
      </c>
      <c r="H46" s="3">
        <v>68.540000000000006</v>
      </c>
      <c r="I46" s="20">
        <f t="shared" si="0"/>
        <v>81.459999999999994</v>
      </c>
      <c r="J46" s="21">
        <v>150</v>
      </c>
      <c r="K46" s="22">
        <f t="shared" si="1"/>
        <v>0</v>
      </c>
    </row>
    <row r="47" spans="1:11" x14ac:dyDescent="0.25">
      <c r="A47" s="6">
        <v>46</v>
      </c>
      <c r="B47" s="11">
        <v>46172</v>
      </c>
      <c r="C47" s="4">
        <v>872432225224</v>
      </c>
      <c r="D47" s="1" t="s">
        <v>56</v>
      </c>
      <c r="E47" s="5" t="s">
        <v>12</v>
      </c>
      <c r="F47" s="1" t="s">
        <v>6</v>
      </c>
      <c r="G47" s="3">
        <v>350</v>
      </c>
      <c r="H47" s="19"/>
      <c r="I47" s="20">
        <f t="shared" si="0"/>
        <v>350</v>
      </c>
      <c r="J47" s="21">
        <v>400</v>
      </c>
      <c r="K47" s="22">
        <f t="shared" si="1"/>
        <v>-50</v>
      </c>
    </row>
    <row r="48" spans="1:11" ht="15.75" x14ac:dyDescent="0.25">
      <c r="G48" s="23">
        <f>SUM(G2:G47)</f>
        <v>13872</v>
      </c>
      <c r="H48" s="23">
        <f>SUM(H2:H47)</f>
        <v>7233.65</v>
      </c>
      <c r="I48" s="23">
        <f>SUM(I2:I47)</f>
        <v>6638.35</v>
      </c>
      <c r="J48" s="23">
        <f>SUM(J2:J47)</f>
        <v>15830</v>
      </c>
      <c r="K48" s="23">
        <f>SUM(K2:K47)</f>
        <v>-1958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2026-06-06T10:02:49Z</dcterms:created>
  <dcterms:modified xsi:type="dcterms:W3CDTF">2026-06-06T11:08:31Z</dcterms:modified>
</cp:coreProperties>
</file>