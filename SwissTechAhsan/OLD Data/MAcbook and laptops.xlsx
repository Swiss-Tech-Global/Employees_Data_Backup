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43" i="1"/>
  <c r="O44" i="1"/>
  <c r="O45" i="1"/>
  <c r="O46" i="1"/>
  <c r="O48" i="1"/>
  <c r="O49" i="1"/>
  <c r="O50" i="1"/>
  <c r="O51" i="1"/>
  <c r="O52" i="1"/>
  <c r="O53" i="1"/>
  <c r="O54" i="1"/>
  <c r="O55" i="1"/>
  <c r="O56" i="1"/>
  <c r="O57" i="1"/>
  <c r="O58" i="1"/>
  <c r="O61" i="1"/>
  <c r="O62" i="1"/>
  <c r="O63" i="1"/>
  <c r="O4" i="1"/>
  <c r="P6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</calcChain>
</file>

<file path=xl/sharedStrings.xml><?xml version="1.0" encoding="utf-8"?>
<sst xmlns="http://schemas.openxmlformats.org/spreadsheetml/2006/main" count="503" uniqueCount="135">
  <si>
    <t>No.</t>
  </si>
  <si>
    <t>Category</t>
  </si>
  <si>
    <t>Model / Code</t>
  </si>
  <si>
    <t>Processor</t>
  </si>
  <si>
    <t>CPU / GPU</t>
  </si>
  <si>
    <t>RAM</t>
  </si>
  <si>
    <t>Storage</t>
  </si>
  <si>
    <t>Display</t>
  </si>
  <si>
    <t>Color</t>
  </si>
  <si>
    <t>Qty</t>
  </si>
  <si>
    <t>Price (AED)</t>
  </si>
  <si>
    <t>APPLE MACBOOK PRO 14” – NEW MODEL 2025</t>
  </si>
  <si>
    <t>MDE04 LL/A</t>
  </si>
  <si>
    <t>M5</t>
  </si>
  <si>
    <t>10C-10C</t>
  </si>
  <si>
    <t>16GB</t>
  </si>
  <si>
    <t>512GB</t>
  </si>
  <si>
    <t>14”</t>
  </si>
  <si>
    <t>Space Black</t>
  </si>
  <si>
    <t>MDE54 ZP/A</t>
  </si>
  <si>
    <t>1TB</t>
  </si>
  <si>
    <t>Silver</t>
  </si>
  <si>
    <t>MDE34 ZA/A</t>
  </si>
  <si>
    <t>24GB</t>
  </si>
  <si>
    <t>APPLE MACBOOK PRO 16” – NEW MODEL 2024</t>
  </si>
  <si>
    <t>MX2X3 HN/A</t>
  </si>
  <si>
    <t>M4 Pro</t>
  </si>
  <si>
    <t>14C-20C</t>
  </si>
  <si>
    <t>16”</t>
  </si>
  <si>
    <t>MX2T3 B/A</t>
  </si>
  <si>
    <t>MX2V3 B/A</t>
  </si>
  <si>
    <t>M4 Max</t>
  </si>
  <si>
    <t>14C-32C</t>
  </si>
  <si>
    <t>36GB</t>
  </si>
  <si>
    <t>APPLE MACBOOK PRO CTO – NEW MODEL</t>
  </si>
  <si>
    <t>Z1FW000H4</t>
  </si>
  <si>
    <t>16C-40C</t>
  </si>
  <si>
    <t>48GB</t>
  </si>
  <si>
    <t>2TB</t>
  </si>
  <si>
    <t>APPLE MACBOOK AIR CTO – NEW MODEL</t>
  </si>
  <si>
    <t>Z1DC000S2</t>
  </si>
  <si>
    <t>M4</t>
  </si>
  <si>
    <t>15”</t>
  </si>
  <si>
    <t>Z1DH000Q5</t>
  </si>
  <si>
    <t>Midnight</t>
  </si>
  <si>
    <t>Z1H0000MH</t>
  </si>
  <si>
    <t>32GB</t>
  </si>
  <si>
    <t>APPLE MACBOOK AIR – 2025 (M4)</t>
  </si>
  <si>
    <t>MW0Y3 LL/A &amp; HN/A</t>
  </si>
  <si>
    <t>10C-8C</t>
  </si>
  <si>
    <t>256GB</t>
  </si>
  <si>
    <t>13”</t>
  </si>
  <si>
    <t>Starlight</t>
  </si>
  <si>
    <t>MW123 LL/A</t>
  </si>
  <si>
    <t>MC6T4 LL/A</t>
  </si>
  <si>
    <t>Sky Blue</t>
  </si>
  <si>
    <t>MW0W3 LL/A</t>
  </si>
  <si>
    <t>MW0X3 LL/A</t>
  </si>
  <si>
    <t>MW103 LL/A</t>
  </si>
  <si>
    <t>MC654 LL/A</t>
  </si>
  <si>
    <t>MC6A4 LL/A</t>
  </si>
  <si>
    <t>MC6C4 ZE/A</t>
  </si>
  <si>
    <t>MC6V4 LL/A</t>
  </si>
  <si>
    <t>MW1G3 LL/A</t>
  </si>
  <si>
    <t>MC7A4 B/A &amp; LL/A &amp; ZA/A</t>
  </si>
  <si>
    <t>MW1L3 LL/A</t>
  </si>
  <si>
    <t>MW1J3 LL/A</t>
  </si>
  <si>
    <t>MW1H3 LL/A</t>
  </si>
  <si>
    <t>MW1K3 LL/A</t>
  </si>
  <si>
    <t>MC7C4 LL/A</t>
  </si>
  <si>
    <t>MW1M3 LL/A</t>
  </si>
  <si>
    <t>MC6J4 ZE/A</t>
  </si>
  <si>
    <t>MC6K4 LL/A</t>
  </si>
  <si>
    <t>MC6L4 LL/A</t>
  </si>
  <si>
    <t>MC7D4 ZA/A &amp; PA/A &amp; LL/A</t>
  </si>
  <si>
    <t>APPLE MACBOOK AIR – 2023 &amp; 2024</t>
  </si>
  <si>
    <t>MC8M4 ZP/A &amp; HN/A &amp; X/A</t>
  </si>
  <si>
    <t>M3</t>
  </si>
  <si>
    <t>8C-10C</t>
  </si>
  <si>
    <t>Space Grey</t>
  </si>
  <si>
    <t>MC8P4 HN/A &amp; ZP/A</t>
  </si>
  <si>
    <t>MC9G4 HN/A</t>
  </si>
  <si>
    <t>MC9H4 ZP/A</t>
  </si>
  <si>
    <t>MC9J4 ZP/A</t>
  </si>
  <si>
    <t>MC9K4 ZP/A &amp; HN/A</t>
  </si>
  <si>
    <t>MGND3 HN/A</t>
  </si>
  <si>
    <t>M1</t>
  </si>
  <si>
    <t>8C-7C</t>
  </si>
  <si>
    <t>8GB</t>
  </si>
  <si>
    <t>Gold</t>
  </si>
  <si>
    <t>APPLE MAC MINI – NEW MODEL 2024</t>
  </si>
  <si>
    <t>MU9D3 LL/A</t>
  </si>
  <si>
    <t>—</t>
  </si>
  <si>
    <t>Standard</t>
  </si>
  <si>
    <t>MU9E3 B/A &amp; X/A</t>
  </si>
  <si>
    <t>System Active (2550)</t>
  </si>
  <si>
    <t>MCYT4 HN/A</t>
  </si>
  <si>
    <t>MCX44 LL/A</t>
  </si>
  <si>
    <t>12C-16C</t>
  </si>
  <si>
    <t>Z1CG00083</t>
  </si>
  <si>
    <t>CTO</t>
  </si>
  <si>
    <t>APPLE IMAC – 2024</t>
  </si>
  <si>
    <t>MWUC3 B/A</t>
  </si>
  <si>
    <t>8C-8C</t>
  </si>
  <si>
    <t>24”</t>
  </si>
  <si>
    <t>MWUF3 B/A</t>
  </si>
  <si>
    <t>Blue</t>
  </si>
  <si>
    <t>MWUE3 B/A</t>
  </si>
  <si>
    <t>Green</t>
  </si>
  <si>
    <t>MWUG3 B/A</t>
  </si>
  <si>
    <t>Pink</t>
  </si>
  <si>
    <t>MWUU3 B/A</t>
  </si>
  <si>
    <t>MWV13 B/A</t>
  </si>
  <si>
    <t>MWUV3 B/A</t>
  </si>
  <si>
    <t>MWV53 B/A</t>
  </si>
  <si>
    <t>MD2T4 B/A</t>
  </si>
  <si>
    <t>MCR24 B/A</t>
  </si>
  <si>
    <t>MD3H4 B/A</t>
  </si>
  <si>
    <t>Silver (Nano Texture Display)</t>
  </si>
  <si>
    <t>APPLE IMAC – 2024 – CUSTOMIZED</t>
  </si>
  <si>
    <t>Z1K1000KS</t>
  </si>
  <si>
    <t>Z1K5000J4</t>
  </si>
  <si>
    <t>APPLE MAC STUDIO – NEW 2025</t>
  </si>
  <si>
    <t>MU963 B/A</t>
  </si>
  <si>
    <t>APPLE STUDIO DISPLAY – 27 INCH</t>
  </si>
  <si>
    <t>MYJG3B/A</t>
  </si>
  <si>
    <t>27”</t>
  </si>
  <si>
    <t>Standard Glass / Tilt Only</t>
  </si>
  <si>
    <t>Apple store</t>
  </si>
  <si>
    <t>reduced 150</t>
  </si>
  <si>
    <t>In AED</t>
  </si>
  <si>
    <t>MACBOOK PRICES APPLE STORE</t>
  </si>
  <si>
    <t>Difference</t>
  </si>
  <si>
    <t>-</t>
  </si>
  <si>
    <t>Last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</si>
</sst>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0" xfId="0" applyFont="1" applyFill="1"/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0" xfId="0" applyNumberFormat="1"/>
    <xf numFmtId="43" fontId="0" fillId="0" borderId="1" xfId="0" applyNumberFormat="1" applyBorder="1"/>
    <xf numFmtId="43" fontId="0" fillId="0" borderId="0" xfId="0" applyNumberFormat="1"/>
    <xf numFmtId="0" fontId="2" fillId="4" borderId="1" xfId="0" applyFont="1" applyFill="1" applyBorder="1"/>
    <xf numFmtId="0" fontId="0" fillId="2" borderId="0" xfId="0" applyFill="1"/>
    <xf numFmtId="0" fontId="3" fillId="2" borderId="0" xfId="0" applyFont="1" applyFill="1" applyAlignment="1">
      <alignment horizontal="center"/>
    </xf>
    <xf numFmtId="43" fontId="0" fillId="7" borderId="1" xfId="0" applyNumberFormat="1" applyFill="1" applyBorder="1"/>
    <xf numFmtId="43" fontId="0" fillId="8" borderId="1" xfId="0" applyNumberFormat="1" applyFill="1" applyBorder="1"/>
    <xf numFmtId="164" fontId="1" fillId="2" borderId="2" xfId="0" applyNumberFormat="1" applyFont="1" applyFill="1" applyBorder="1"/>
    <xf numFmtId="43" fontId="1" fillId="2" borderId="1" xfId="0" applyNumberFormat="1" applyFont="1" applyFill="1" applyBorder="1" applyAlignment="1">
      <alignment horizontal="center"/>
    </xf>
    <xf numFmtId="43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3"/>
  <sheetViews>
    <sheetView tabSelected="1" zoomScale="80" zoomScaleNormal="80" workbookViewId="0">
      <selection activeCell="Q15" sqref="Q15"/>
    </sheetView>
  </sheetViews>
  <sheetFormatPr defaultRowHeight="15" x14ac:dyDescent="0.25"/>
  <cols>
    <col min="1" max="1" width="4.140625" customWidth="1"/>
    <col min="2" max="2" width="42" customWidth="1"/>
    <col min="3" max="3" width="25.140625" customWidth="1"/>
    <col min="4" max="4" width="10" customWidth="1"/>
    <col min="5" max="5" width="12.140625" customWidth="1"/>
    <col min="9" max="9" width="15.140625" customWidth="1"/>
    <col min="10" max="10" width="8.5703125" customWidth="1"/>
    <col min="11" max="11" width="11" customWidth="1"/>
    <col min="12" max="12" width="13" style="8" customWidth="1"/>
    <col min="13" max="13" width="12" style="14" customWidth="1"/>
    <col min="14" max="14" width="13.28515625" style="16" customWidth="1"/>
    <col min="15" max="15" width="11.5703125" customWidth="1"/>
    <col min="16" max="18" width="12.140625" customWidth="1"/>
    <col min="19" max="19" width="13.5703125" customWidth="1"/>
    <col min="20" max="20" width="12.42578125" customWidth="1"/>
    <col min="21" max="21" width="15.28515625" customWidth="1"/>
  </cols>
  <sheetData>
    <row r="1" spans="1:21" ht="21" x14ac:dyDescent="0.35">
      <c r="A1" s="19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8"/>
      <c r="P1" s="18"/>
    </row>
    <row r="2" spans="1:2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10</v>
      </c>
      <c r="M2" s="22" t="s">
        <v>128</v>
      </c>
      <c r="N2" s="23" t="s">
        <v>130</v>
      </c>
      <c r="O2" s="23" t="s">
        <v>132</v>
      </c>
      <c r="P2" s="3" t="s">
        <v>134</v>
      </c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9" t="s">
        <v>129</v>
      </c>
      <c r="M3" s="13"/>
      <c r="N3" s="1"/>
      <c r="O3" s="1"/>
      <c r="P3" s="1"/>
    </row>
    <row r="4" spans="1:21" x14ac:dyDescent="0.25">
      <c r="A4" s="2">
        <v>1</v>
      </c>
      <c r="B4" s="5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1</v>
      </c>
      <c r="K4" s="1">
        <v>5325</v>
      </c>
      <c r="L4" s="17">
        <f>K4-150</f>
        <v>5175</v>
      </c>
      <c r="M4" s="13">
        <v>2499</v>
      </c>
      <c r="N4" s="15">
        <v>5497.8</v>
      </c>
      <c r="O4" s="20">
        <f>L4-N4</f>
        <v>-322.80000000000018</v>
      </c>
      <c r="P4" s="15">
        <v>5150</v>
      </c>
      <c r="Q4" s="14"/>
      <c r="R4" s="16"/>
      <c r="S4" s="16"/>
      <c r="T4" s="16"/>
      <c r="U4" s="16"/>
    </row>
    <row r="5" spans="1:21" x14ac:dyDescent="0.25">
      <c r="A5" s="2">
        <v>2</v>
      </c>
      <c r="B5" s="5" t="s">
        <v>11</v>
      </c>
      <c r="C5" s="1" t="s">
        <v>19</v>
      </c>
      <c r="D5" s="1" t="s">
        <v>13</v>
      </c>
      <c r="E5" s="1" t="s">
        <v>14</v>
      </c>
      <c r="F5" s="1" t="s">
        <v>15</v>
      </c>
      <c r="G5" s="1" t="s">
        <v>20</v>
      </c>
      <c r="H5" s="1" t="s">
        <v>17</v>
      </c>
      <c r="I5" s="1" t="s">
        <v>21</v>
      </c>
      <c r="J5" s="1">
        <v>1</v>
      </c>
      <c r="K5" s="1">
        <v>6250</v>
      </c>
      <c r="L5" s="17">
        <f t="shared" ref="L5:L62" si="0">K5-150</f>
        <v>6100</v>
      </c>
      <c r="M5" s="13">
        <v>2799</v>
      </c>
      <c r="N5" s="15">
        <v>6157.7999999999993</v>
      </c>
      <c r="O5" s="20">
        <f t="shared" ref="O5:O63" si="1">L5-N5</f>
        <v>-57.799999999999272</v>
      </c>
      <c r="P5" s="15">
        <v>5930</v>
      </c>
      <c r="Q5" s="14"/>
      <c r="R5" s="16"/>
      <c r="S5" s="16"/>
      <c r="T5" s="16"/>
      <c r="U5" s="16"/>
    </row>
    <row r="6" spans="1:21" x14ac:dyDescent="0.25">
      <c r="A6" s="2">
        <v>3</v>
      </c>
      <c r="B6" s="5" t="s">
        <v>11</v>
      </c>
      <c r="C6" s="1" t="s">
        <v>22</v>
      </c>
      <c r="D6" s="1" t="s">
        <v>13</v>
      </c>
      <c r="E6" s="1" t="s">
        <v>14</v>
      </c>
      <c r="F6" s="1" t="s">
        <v>23</v>
      </c>
      <c r="G6" s="1" t="s">
        <v>20</v>
      </c>
      <c r="H6" s="1" t="s">
        <v>17</v>
      </c>
      <c r="I6" s="1" t="s">
        <v>18</v>
      </c>
      <c r="J6" s="1">
        <v>1</v>
      </c>
      <c r="K6" s="1">
        <v>7200</v>
      </c>
      <c r="L6" s="17">
        <f t="shared" si="0"/>
        <v>7050</v>
      </c>
      <c r="M6" s="13">
        <v>3099</v>
      </c>
      <c r="N6" s="15">
        <v>6817.7999999999993</v>
      </c>
      <c r="O6" s="21">
        <f t="shared" si="1"/>
        <v>232.20000000000073</v>
      </c>
      <c r="P6" s="15">
        <v>6300</v>
      </c>
      <c r="Q6" s="14"/>
      <c r="R6" s="16"/>
      <c r="S6" s="16"/>
      <c r="T6" s="16"/>
      <c r="U6" s="16"/>
    </row>
    <row r="7" spans="1:21" x14ac:dyDescent="0.25">
      <c r="A7" s="2">
        <v>4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23</v>
      </c>
      <c r="G7" s="1" t="s">
        <v>16</v>
      </c>
      <c r="H7" s="1" t="s">
        <v>28</v>
      </c>
      <c r="I7" s="1" t="s">
        <v>18</v>
      </c>
      <c r="J7" s="1">
        <v>1</v>
      </c>
      <c r="K7" s="1">
        <v>8100</v>
      </c>
      <c r="L7" s="17">
        <f t="shared" si="0"/>
        <v>7950</v>
      </c>
      <c r="M7" s="13">
        <v>3999</v>
      </c>
      <c r="N7" s="15">
        <v>8797.7999999999993</v>
      </c>
      <c r="O7" s="20">
        <f t="shared" si="1"/>
        <v>-847.79999999999927</v>
      </c>
      <c r="P7" s="15">
        <v>7400</v>
      </c>
      <c r="Q7" s="14"/>
      <c r="R7" s="16"/>
      <c r="S7" s="16"/>
      <c r="T7" s="16"/>
      <c r="U7" s="16"/>
    </row>
    <row r="8" spans="1:21" x14ac:dyDescent="0.25">
      <c r="A8" s="2">
        <v>5</v>
      </c>
      <c r="B8" s="1" t="s">
        <v>24</v>
      </c>
      <c r="C8" s="1" t="s">
        <v>29</v>
      </c>
      <c r="D8" s="1" t="s">
        <v>26</v>
      </c>
      <c r="E8" s="1" t="s">
        <v>27</v>
      </c>
      <c r="F8" s="1" t="s">
        <v>23</v>
      </c>
      <c r="G8" s="1" t="s">
        <v>16</v>
      </c>
      <c r="H8" s="1" t="s">
        <v>28</v>
      </c>
      <c r="I8" s="1" t="s">
        <v>21</v>
      </c>
      <c r="J8" s="1">
        <v>1</v>
      </c>
      <c r="K8" s="1">
        <v>8100</v>
      </c>
      <c r="L8" s="17">
        <f t="shared" si="0"/>
        <v>7950</v>
      </c>
      <c r="M8" s="13">
        <v>3999</v>
      </c>
      <c r="N8" s="15">
        <v>8797.7999999999993</v>
      </c>
      <c r="O8" s="20">
        <f t="shared" si="1"/>
        <v>-847.79999999999927</v>
      </c>
      <c r="P8" s="15">
        <v>7400</v>
      </c>
      <c r="Q8" s="14"/>
      <c r="R8" s="16"/>
      <c r="S8" s="16"/>
      <c r="T8" s="16"/>
      <c r="U8" s="16"/>
    </row>
    <row r="9" spans="1:21" x14ac:dyDescent="0.25">
      <c r="A9" s="2">
        <v>6</v>
      </c>
      <c r="B9" s="1" t="s">
        <v>24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20</v>
      </c>
      <c r="H9" s="1" t="s">
        <v>28</v>
      </c>
      <c r="I9" s="1" t="s">
        <v>21</v>
      </c>
      <c r="J9" s="1">
        <v>1</v>
      </c>
      <c r="K9" s="1">
        <v>11400</v>
      </c>
      <c r="L9" s="17">
        <f t="shared" si="0"/>
        <v>11250</v>
      </c>
      <c r="M9" s="13">
        <v>5699</v>
      </c>
      <c r="N9" s="15">
        <v>12537.8</v>
      </c>
      <c r="O9" s="20">
        <f t="shared" si="1"/>
        <v>-1287.7999999999993</v>
      </c>
      <c r="P9" s="15" t="s">
        <v>133</v>
      </c>
      <c r="Q9" s="14"/>
      <c r="R9" s="16"/>
      <c r="S9" s="16"/>
      <c r="T9" s="16"/>
      <c r="U9" s="16"/>
    </row>
    <row r="10" spans="1:21" x14ac:dyDescent="0.25">
      <c r="A10" s="2">
        <v>7</v>
      </c>
      <c r="B10" s="5" t="s">
        <v>34</v>
      </c>
      <c r="C10" s="1" t="s">
        <v>35</v>
      </c>
      <c r="D10" s="1" t="s">
        <v>31</v>
      </c>
      <c r="E10" s="1" t="s">
        <v>36</v>
      </c>
      <c r="F10" s="1" t="s">
        <v>37</v>
      </c>
      <c r="G10" s="1" t="s">
        <v>38</v>
      </c>
      <c r="H10" s="1" t="s">
        <v>28</v>
      </c>
      <c r="I10" s="1" t="s">
        <v>18</v>
      </c>
      <c r="J10" s="1">
        <v>1</v>
      </c>
      <c r="K10" s="1">
        <v>16400</v>
      </c>
      <c r="L10" s="17">
        <f t="shared" si="0"/>
        <v>16250</v>
      </c>
      <c r="M10" s="13"/>
      <c r="N10" s="15">
        <v>0</v>
      </c>
      <c r="O10" s="24"/>
      <c r="P10" s="15"/>
      <c r="Q10" s="14"/>
      <c r="R10" s="16"/>
      <c r="S10" s="16"/>
      <c r="T10" s="16"/>
      <c r="U10" s="16"/>
    </row>
    <row r="11" spans="1:21" x14ac:dyDescent="0.25">
      <c r="A11" s="2">
        <v>8</v>
      </c>
      <c r="B11" s="1" t="s">
        <v>39</v>
      </c>
      <c r="C11" s="1" t="s">
        <v>40</v>
      </c>
      <c r="D11" s="1" t="s">
        <v>41</v>
      </c>
      <c r="E11" s="1" t="s">
        <v>14</v>
      </c>
      <c r="F11" s="1" t="s">
        <v>15</v>
      </c>
      <c r="G11" s="1" t="s">
        <v>20</v>
      </c>
      <c r="H11" s="1" t="s">
        <v>42</v>
      </c>
      <c r="I11" s="1" t="s">
        <v>21</v>
      </c>
      <c r="J11" s="1">
        <v>3</v>
      </c>
      <c r="K11" s="1">
        <v>6100</v>
      </c>
      <c r="L11" s="17">
        <f t="shared" si="0"/>
        <v>5950</v>
      </c>
      <c r="M11" s="13"/>
      <c r="N11" s="15">
        <v>0</v>
      </c>
      <c r="O11" s="24"/>
      <c r="P11" s="15"/>
      <c r="Q11" s="14"/>
      <c r="R11" s="16"/>
      <c r="S11" s="16"/>
      <c r="T11" s="16"/>
      <c r="U11" s="16"/>
    </row>
    <row r="12" spans="1:21" x14ac:dyDescent="0.25">
      <c r="A12" s="2">
        <v>9</v>
      </c>
      <c r="B12" s="1" t="s">
        <v>39</v>
      </c>
      <c r="C12" s="1" t="s">
        <v>43</v>
      </c>
      <c r="D12" s="1" t="s">
        <v>41</v>
      </c>
      <c r="E12" s="1" t="s">
        <v>14</v>
      </c>
      <c r="F12" s="1" t="s">
        <v>15</v>
      </c>
      <c r="G12" s="1" t="s">
        <v>20</v>
      </c>
      <c r="H12" s="1" t="s">
        <v>42</v>
      </c>
      <c r="I12" s="1" t="s">
        <v>44</v>
      </c>
      <c r="J12" s="1">
        <v>2</v>
      </c>
      <c r="K12" s="1">
        <v>6100</v>
      </c>
      <c r="L12" s="17">
        <f t="shared" si="0"/>
        <v>5950</v>
      </c>
      <c r="M12" s="13"/>
      <c r="N12" s="15">
        <v>0</v>
      </c>
      <c r="O12" s="24"/>
      <c r="P12" s="15"/>
      <c r="Q12" s="14"/>
      <c r="R12" s="16"/>
      <c r="S12" s="16"/>
      <c r="T12" s="16"/>
      <c r="U12" s="16"/>
    </row>
    <row r="13" spans="1:21" x14ac:dyDescent="0.25">
      <c r="A13" s="2">
        <v>10</v>
      </c>
      <c r="B13" s="1" t="s">
        <v>39</v>
      </c>
      <c r="C13" s="1" t="s">
        <v>45</v>
      </c>
      <c r="D13" s="1" t="s">
        <v>41</v>
      </c>
      <c r="E13" s="1" t="s">
        <v>14</v>
      </c>
      <c r="F13" s="1" t="s">
        <v>46</v>
      </c>
      <c r="G13" s="1" t="s">
        <v>20</v>
      </c>
      <c r="H13" s="1" t="s">
        <v>42</v>
      </c>
      <c r="I13" s="1" t="s">
        <v>21</v>
      </c>
      <c r="J13" s="1">
        <v>1</v>
      </c>
      <c r="K13" s="1">
        <v>7550</v>
      </c>
      <c r="L13" s="17">
        <f t="shared" si="0"/>
        <v>7400</v>
      </c>
      <c r="M13" s="13"/>
      <c r="N13" s="15">
        <v>0</v>
      </c>
      <c r="O13" s="24"/>
      <c r="P13" s="15"/>
      <c r="Q13" s="14"/>
      <c r="R13" s="16"/>
      <c r="S13" s="16"/>
      <c r="T13" s="16"/>
      <c r="U13" s="16"/>
    </row>
    <row r="14" spans="1:21" x14ac:dyDescent="0.25">
      <c r="A14" s="2">
        <v>1</v>
      </c>
      <c r="B14" s="5" t="s">
        <v>47</v>
      </c>
      <c r="C14" s="1" t="s">
        <v>48</v>
      </c>
      <c r="D14" s="1" t="s">
        <v>41</v>
      </c>
      <c r="E14" s="1" t="s">
        <v>49</v>
      </c>
      <c r="F14" s="1" t="s">
        <v>15</v>
      </c>
      <c r="G14" s="1" t="s">
        <v>50</v>
      </c>
      <c r="H14" s="1" t="s">
        <v>51</v>
      </c>
      <c r="I14" s="1" t="s">
        <v>52</v>
      </c>
      <c r="J14" s="1">
        <v>1</v>
      </c>
      <c r="K14" s="1">
        <v>2950</v>
      </c>
      <c r="L14" s="17">
        <f t="shared" si="0"/>
        <v>2800</v>
      </c>
      <c r="M14" s="13">
        <v>1699</v>
      </c>
      <c r="N14" s="15">
        <v>3737.7999999999997</v>
      </c>
      <c r="O14" s="20">
        <f t="shared" si="1"/>
        <v>-937.79999999999973</v>
      </c>
      <c r="P14" s="15">
        <v>2830</v>
      </c>
      <c r="Q14" s="14"/>
      <c r="R14" s="16"/>
      <c r="S14" s="16"/>
      <c r="T14" s="16"/>
      <c r="U14" s="16"/>
    </row>
    <row r="15" spans="1:21" x14ac:dyDescent="0.25">
      <c r="A15" s="2">
        <v>2</v>
      </c>
      <c r="B15" s="5" t="s">
        <v>47</v>
      </c>
      <c r="C15" s="1" t="s">
        <v>53</v>
      </c>
      <c r="D15" s="1" t="s">
        <v>41</v>
      </c>
      <c r="E15" s="1" t="s">
        <v>49</v>
      </c>
      <c r="F15" s="1" t="s">
        <v>15</v>
      </c>
      <c r="G15" s="1" t="s">
        <v>50</v>
      </c>
      <c r="H15" s="1" t="s">
        <v>51</v>
      </c>
      <c r="I15" s="1" t="s">
        <v>44</v>
      </c>
      <c r="J15" s="1">
        <v>1</v>
      </c>
      <c r="K15" s="1">
        <v>3000</v>
      </c>
      <c r="L15" s="17">
        <f t="shared" si="0"/>
        <v>2850</v>
      </c>
      <c r="M15" s="13">
        <v>1699</v>
      </c>
      <c r="N15" s="15">
        <v>3737.7999999999997</v>
      </c>
      <c r="O15" s="20">
        <f t="shared" si="1"/>
        <v>-887.79999999999973</v>
      </c>
      <c r="P15" s="15">
        <v>2830</v>
      </c>
      <c r="Q15" s="14"/>
      <c r="R15" s="16"/>
      <c r="S15" s="16"/>
      <c r="T15" s="16"/>
      <c r="U15" s="16"/>
    </row>
    <row r="16" spans="1:21" x14ac:dyDescent="0.25">
      <c r="A16" s="2">
        <v>3</v>
      </c>
      <c r="B16" s="5" t="s">
        <v>47</v>
      </c>
      <c r="C16" s="1" t="s">
        <v>54</v>
      </c>
      <c r="D16" s="1" t="s">
        <v>41</v>
      </c>
      <c r="E16" s="1" t="s">
        <v>49</v>
      </c>
      <c r="F16" s="1" t="s">
        <v>15</v>
      </c>
      <c r="G16" s="1" t="s">
        <v>50</v>
      </c>
      <c r="H16" s="1" t="s">
        <v>51</v>
      </c>
      <c r="I16" s="1" t="s">
        <v>55</v>
      </c>
      <c r="J16" s="1">
        <v>1</v>
      </c>
      <c r="K16" s="1">
        <v>3000</v>
      </c>
      <c r="L16" s="17">
        <f t="shared" si="0"/>
        <v>2850</v>
      </c>
      <c r="M16" s="13">
        <v>1699</v>
      </c>
      <c r="N16" s="15">
        <v>3737.7999999999997</v>
      </c>
      <c r="O16" s="20">
        <f t="shared" si="1"/>
        <v>-887.79999999999973</v>
      </c>
      <c r="P16" s="15">
        <v>2830</v>
      </c>
      <c r="Q16" s="14"/>
      <c r="R16" s="16"/>
      <c r="S16" s="16"/>
      <c r="T16" s="16"/>
      <c r="U16" s="16"/>
    </row>
    <row r="17" spans="1:21" x14ac:dyDescent="0.25">
      <c r="A17" s="2">
        <v>4</v>
      </c>
      <c r="B17" s="5" t="s">
        <v>47</v>
      </c>
      <c r="C17" s="1" t="s">
        <v>56</v>
      </c>
      <c r="D17" s="1" t="s">
        <v>41</v>
      </c>
      <c r="E17" s="1" t="s">
        <v>49</v>
      </c>
      <c r="F17" s="1" t="s">
        <v>15</v>
      </c>
      <c r="G17" s="1" t="s">
        <v>50</v>
      </c>
      <c r="H17" s="1" t="s">
        <v>51</v>
      </c>
      <c r="I17" s="1" t="s">
        <v>21</v>
      </c>
      <c r="J17" s="1">
        <v>1</v>
      </c>
      <c r="K17" s="1">
        <v>3000</v>
      </c>
      <c r="L17" s="17">
        <f t="shared" si="0"/>
        <v>2850</v>
      </c>
      <c r="M17" s="13">
        <v>1699</v>
      </c>
      <c r="N17" s="15">
        <v>3737.7999999999997</v>
      </c>
      <c r="O17" s="20">
        <f t="shared" si="1"/>
        <v>-887.79999999999973</v>
      </c>
      <c r="P17" s="15">
        <v>2830</v>
      </c>
      <c r="Q17" s="14"/>
      <c r="R17" s="16"/>
      <c r="S17" s="16"/>
      <c r="T17" s="16"/>
      <c r="U17" s="16"/>
    </row>
    <row r="18" spans="1:21" x14ac:dyDescent="0.25">
      <c r="A18" s="2">
        <v>5</v>
      </c>
      <c r="B18" s="5" t="s">
        <v>47</v>
      </c>
      <c r="C18" s="1" t="s">
        <v>57</v>
      </c>
      <c r="D18" s="1" t="s">
        <v>41</v>
      </c>
      <c r="E18" s="1" t="s">
        <v>14</v>
      </c>
      <c r="F18" s="1" t="s">
        <v>15</v>
      </c>
      <c r="G18" s="1" t="s">
        <v>16</v>
      </c>
      <c r="H18" s="1" t="s">
        <v>51</v>
      </c>
      <c r="I18" s="1" t="s">
        <v>21</v>
      </c>
      <c r="J18" s="1">
        <v>1</v>
      </c>
      <c r="K18" s="1">
        <v>3700</v>
      </c>
      <c r="L18" s="17">
        <f t="shared" si="0"/>
        <v>3550</v>
      </c>
      <c r="M18" s="13">
        <v>1999</v>
      </c>
      <c r="N18" s="15">
        <v>4397.8</v>
      </c>
      <c r="O18" s="20">
        <f t="shared" si="1"/>
        <v>-847.80000000000018</v>
      </c>
      <c r="P18" s="15">
        <v>3320</v>
      </c>
      <c r="Q18" s="14"/>
      <c r="R18" s="16"/>
      <c r="S18" s="16"/>
      <c r="T18" s="16"/>
      <c r="U18" s="16"/>
    </row>
    <row r="19" spans="1:21" x14ac:dyDescent="0.25">
      <c r="A19" s="2">
        <v>6</v>
      </c>
      <c r="B19" s="5" t="s">
        <v>47</v>
      </c>
      <c r="C19" s="1" t="s">
        <v>58</v>
      </c>
      <c r="D19" s="1" t="s">
        <v>41</v>
      </c>
      <c r="E19" s="1" t="s">
        <v>14</v>
      </c>
      <c r="F19" s="1" t="s">
        <v>15</v>
      </c>
      <c r="G19" s="1" t="s">
        <v>16</v>
      </c>
      <c r="H19" s="1" t="s">
        <v>51</v>
      </c>
      <c r="I19" s="1" t="s">
        <v>52</v>
      </c>
      <c r="J19" s="1">
        <v>1</v>
      </c>
      <c r="K19" s="1">
        <v>3700</v>
      </c>
      <c r="L19" s="17">
        <f t="shared" si="0"/>
        <v>3550</v>
      </c>
      <c r="M19" s="13">
        <v>1999</v>
      </c>
      <c r="N19" s="15">
        <v>4397.8</v>
      </c>
      <c r="O19" s="20">
        <f t="shared" si="1"/>
        <v>-847.80000000000018</v>
      </c>
      <c r="P19" s="15">
        <v>3320</v>
      </c>
      <c r="Q19" s="14"/>
      <c r="R19" s="16"/>
      <c r="S19" s="16"/>
      <c r="T19" s="16"/>
      <c r="U19" s="16"/>
    </row>
    <row r="20" spans="1:21" x14ac:dyDescent="0.25">
      <c r="A20" s="2">
        <v>7</v>
      </c>
      <c r="B20" s="5" t="s">
        <v>47</v>
      </c>
      <c r="C20" s="1" t="s">
        <v>59</v>
      </c>
      <c r="D20" s="1" t="s">
        <v>41</v>
      </c>
      <c r="E20" s="1" t="s">
        <v>14</v>
      </c>
      <c r="F20" s="1" t="s">
        <v>23</v>
      </c>
      <c r="G20" s="1" t="s">
        <v>16</v>
      </c>
      <c r="H20" s="1" t="s">
        <v>51</v>
      </c>
      <c r="I20" s="1" t="s">
        <v>21</v>
      </c>
      <c r="J20" s="1">
        <v>1</v>
      </c>
      <c r="K20" s="1">
        <v>4500</v>
      </c>
      <c r="L20" s="17">
        <f t="shared" si="0"/>
        <v>4350</v>
      </c>
      <c r="M20" s="13">
        <v>2299</v>
      </c>
      <c r="N20" s="15">
        <v>5057.8</v>
      </c>
      <c r="O20" s="20">
        <f t="shared" si="1"/>
        <v>-707.80000000000018</v>
      </c>
      <c r="P20" s="15" t="s">
        <v>133</v>
      </c>
      <c r="Q20" s="14"/>
      <c r="R20" s="16"/>
      <c r="S20" s="16"/>
      <c r="T20" s="16"/>
      <c r="U20" s="16"/>
    </row>
    <row r="21" spans="1:21" x14ac:dyDescent="0.25">
      <c r="A21" s="2">
        <v>8</v>
      </c>
      <c r="B21" s="5" t="s">
        <v>47</v>
      </c>
      <c r="C21" s="1" t="s">
        <v>60</v>
      </c>
      <c r="D21" s="1" t="s">
        <v>41</v>
      </c>
      <c r="E21" s="1" t="s">
        <v>14</v>
      </c>
      <c r="F21" s="1" t="s">
        <v>23</v>
      </c>
      <c r="G21" s="1" t="s">
        <v>16</v>
      </c>
      <c r="H21" s="1" t="s">
        <v>51</v>
      </c>
      <c r="I21" s="1" t="s">
        <v>52</v>
      </c>
      <c r="J21" s="1">
        <v>1</v>
      </c>
      <c r="K21" s="1">
        <v>4500</v>
      </c>
      <c r="L21" s="17">
        <f t="shared" si="0"/>
        <v>4350</v>
      </c>
      <c r="M21" s="13">
        <v>2299</v>
      </c>
      <c r="N21" s="15">
        <v>5057.8</v>
      </c>
      <c r="O21" s="20">
        <f t="shared" si="1"/>
        <v>-707.80000000000018</v>
      </c>
      <c r="P21" s="15" t="s">
        <v>133</v>
      </c>
      <c r="Q21" s="14"/>
      <c r="R21" s="16"/>
      <c r="S21" s="16"/>
      <c r="T21" s="16"/>
      <c r="U21" s="16"/>
    </row>
    <row r="22" spans="1:21" x14ac:dyDescent="0.25">
      <c r="A22" s="2">
        <v>9</v>
      </c>
      <c r="B22" s="5" t="s">
        <v>47</v>
      </c>
      <c r="C22" s="1" t="s">
        <v>61</v>
      </c>
      <c r="D22" s="1" t="s">
        <v>41</v>
      </c>
      <c r="E22" s="1" t="s">
        <v>14</v>
      </c>
      <c r="F22" s="1" t="s">
        <v>23</v>
      </c>
      <c r="G22" s="1" t="s">
        <v>16</v>
      </c>
      <c r="H22" s="1" t="s">
        <v>51</v>
      </c>
      <c r="I22" s="1" t="s">
        <v>44</v>
      </c>
      <c r="J22" s="1">
        <v>1</v>
      </c>
      <c r="K22" s="1">
        <v>4500</v>
      </c>
      <c r="L22" s="17">
        <f t="shared" si="0"/>
        <v>4350</v>
      </c>
      <c r="M22" s="13">
        <v>2299</v>
      </c>
      <c r="N22" s="15">
        <v>5057.8</v>
      </c>
      <c r="O22" s="20">
        <f t="shared" si="1"/>
        <v>-707.80000000000018</v>
      </c>
      <c r="P22" s="15" t="s">
        <v>133</v>
      </c>
      <c r="Q22" s="14"/>
      <c r="R22" s="16"/>
      <c r="S22" s="16"/>
      <c r="T22" s="16"/>
      <c r="U22" s="16"/>
    </row>
    <row r="23" spans="1:21" x14ac:dyDescent="0.25">
      <c r="A23" s="2">
        <v>10</v>
      </c>
      <c r="B23" s="5" t="s">
        <v>47</v>
      </c>
      <c r="C23" s="1" t="s">
        <v>62</v>
      </c>
      <c r="D23" s="1" t="s">
        <v>41</v>
      </c>
      <c r="E23" s="1" t="s">
        <v>14</v>
      </c>
      <c r="F23" s="1" t="s">
        <v>23</v>
      </c>
      <c r="G23" s="1" t="s">
        <v>16</v>
      </c>
      <c r="H23" s="1" t="s">
        <v>51</v>
      </c>
      <c r="I23" s="1" t="s">
        <v>55</v>
      </c>
      <c r="J23" s="1">
        <v>1</v>
      </c>
      <c r="K23" s="1">
        <v>4500</v>
      </c>
      <c r="L23" s="17">
        <f t="shared" si="0"/>
        <v>4350</v>
      </c>
      <c r="M23" s="13">
        <v>2299</v>
      </c>
      <c r="N23" s="15">
        <v>5057.8</v>
      </c>
      <c r="O23" s="20">
        <f t="shared" si="1"/>
        <v>-707.80000000000018</v>
      </c>
      <c r="P23" s="15" t="s">
        <v>133</v>
      </c>
      <c r="Q23" s="14"/>
      <c r="R23" s="16"/>
      <c r="S23" s="16"/>
      <c r="T23" s="16"/>
      <c r="U23" s="16"/>
    </row>
    <row r="24" spans="1:21" x14ac:dyDescent="0.25">
      <c r="A24" s="2">
        <v>1</v>
      </c>
      <c r="B24" s="1" t="s">
        <v>47</v>
      </c>
      <c r="C24" s="1" t="s">
        <v>63</v>
      </c>
      <c r="D24" s="1" t="s">
        <v>41</v>
      </c>
      <c r="E24" s="1" t="s">
        <v>14</v>
      </c>
      <c r="F24" s="1" t="s">
        <v>15</v>
      </c>
      <c r="G24" s="1" t="s">
        <v>50</v>
      </c>
      <c r="H24" s="1" t="s">
        <v>42</v>
      </c>
      <c r="I24" s="1" t="s">
        <v>21</v>
      </c>
      <c r="J24" s="1">
        <v>1</v>
      </c>
      <c r="K24" s="1">
        <v>3700</v>
      </c>
      <c r="L24" s="17">
        <f t="shared" si="0"/>
        <v>3550</v>
      </c>
      <c r="M24" s="13">
        <v>2099</v>
      </c>
      <c r="N24" s="15">
        <v>4617.8</v>
      </c>
      <c r="O24" s="20">
        <f t="shared" si="1"/>
        <v>-1067.8000000000002</v>
      </c>
      <c r="P24" s="15">
        <v>3520</v>
      </c>
      <c r="Q24" s="14"/>
      <c r="R24" s="16"/>
      <c r="S24" s="16"/>
      <c r="T24" s="16"/>
      <c r="U24" s="16"/>
    </row>
    <row r="25" spans="1:21" x14ac:dyDescent="0.25">
      <c r="A25" s="2">
        <v>2</v>
      </c>
      <c r="B25" s="1" t="s">
        <v>47</v>
      </c>
      <c r="C25" s="1" t="s">
        <v>64</v>
      </c>
      <c r="D25" s="1" t="s">
        <v>41</v>
      </c>
      <c r="E25" s="1" t="s">
        <v>14</v>
      </c>
      <c r="F25" s="1" t="s">
        <v>15</v>
      </c>
      <c r="G25" s="1" t="s">
        <v>50</v>
      </c>
      <c r="H25" s="1" t="s">
        <v>42</v>
      </c>
      <c r="I25" s="1" t="s">
        <v>55</v>
      </c>
      <c r="J25" s="1">
        <v>1</v>
      </c>
      <c r="K25" s="1">
        <v>3700</v>
      </c>
      <c r="L25" s="17">
        <f t="shared" si="0"/>
        <v>3550</v>
      </c>
      <c r="M25" s="13">
        <v>2099</v>
      </c>
      <c r="N25" s="15">
        <v>4617.8</v>
      </c>
      <c r="O25" s="20">
        <f t="shared" si="1"/>
        <v>-1067.8000000000002</v>
      </c>
      <c r="P25" s="15">
        <v>3520</v>
      </c>
      <c r="Q25" s="14"/>
      <c r="R25" s="16"/>
      <c r="S25" s="16"/>
      <c r="T25" s="16"/>
      <c r="U25" s="16"/>
    </row>
    <row r="26" spans="1:21" x14ac:dyDescent="0.25">
      <c r="A26" s="2">
        <v>3</v>
      </c>
      <c r="B26" s="1" t="s">
        <v>47</v>
      </c>
      <c r="C26" s="1" t="s">
        <v>65</v>
      </c>
      <c r="D26" s="1" t="s">
        <v>41</v>
      </c>
      <c r="E26" s="1" t="s">
        <v>14</v>
      </c>
      <c r="F26" s="1" t="s">
        <v>15</v>
      </c>
      <c r="G26" s="1" t="s">
        <v>50</v>
      </c>
      <c r="H26" s="1" t="s">
        <v>42</v>
      </c>
      <c r="I26" s="1" t="s">
        <v>44</v>
      </c>
      <c r="J26" s="1">
        <v>1</v>
      </c>
      <c r="K26" s="1">
        <v>3700</v>
      </c>
      <c r="L26" s="17">
        <f t="shared" si="0"/>
        <v>3550</v>
      </c>
      <c r="M26" s="13">
        <v>2099</v>
      </c>
      <c r="N26" s="15">
        <v>4617.8</v>
      </c>
      <c r="O26" s="20">
        <f t="shared" si="1"/>
        <v>-1067.8000000000002</v>
      </c>
      <c r="P26" s="15">
        <v>3520</v>
      </c>
      <c r="Q26" s="14"/>
      <c r="R26" s="16"/>
      <c r="S26" s="16"/>
      <c r="T26" s="16"/>
      <c r="U26" s="16"/>
    </row>
    <row r="27" spans="1:21" x14ac:dyDescent="0.25">
      <c r="A27" s="2">
        <v>4</v>
      </c>
      <c r="B27" s="1" t="s">
        <v>47</v>
      </c>
      <c r="C27" s="1" t="s">
        <v>66</v>
      </c>
      <c r="D27" s="1" t="s">
        <v>41</v>
      </c>
      <c r="E27" s="1" t="s">
        <v>14</v>
      </c>
      <c r="F27" s="1" t="s">
        <v>15</v>
      </c>
      <c r="G27" s="1" t="s">
        <v>50</v>
      </c>
      <c r="H27" s="1" t="s">
        <v>42</v>
      </c>
      <c r="I27" s="1" t="s">
        <v>52</v>
      </c>
      <c r="J27" s="1">
        <v>1</v>
      </c>
      <c r="K27" s="1">
        <v>3700</v>
      </c>
      <c r="L27" s="17">
        <f t="shared" si="0"/>
        <v>3550</v>
      </c>
      <c r="M27" s="13">
        <v>2099</v>
      </c>
      <c r="N27" s="15">
        <v>4617.8</v>
      </c>
      <c r="O27" s="20">
        <f t="shared" si="1"/>
        <v>-1067.8000000000002</v>
      </c>
      <c r="P27" s="15">
        <v>3520</v>
      </c>
      <c r="Q27" s="14"/>
      <c r="R27" s="16"/>
      <c r="S27" s="16"/>
      <c r="T27" s="16"/>
      <c r="U27" s="16"/>
    </row>
    <row r="28" spans="1:21" x14ac:dyDescent="0.25">
      <c r="A28" s="2">
        <v>5</v>
      </c>
      <c r="B28" s="1" t="s">
        <v>47</v>
      </c>
      <c r="C28" s="1" t="s">
        <v>67</v>
      </c>
      <c r="D28" s="1" t="s">
        <v>41</v>
      </c>
      <c r="E28" s="1" t="s">
        <v>14</v>
      </c>
      <c r="F28" s="1" t="s">
        <v>15</v>
      </c>
      <c r="G28" s="1" t="s">
        <v>16</v>
      </c>
      <c r="H28" s="1" t="s">
        <v>42</v>
      </c>
      <c r="I28" s="1" t="s">
        <v>21</v>
      </c>
      <c r="J28" s="1">
        <v>1</v>
      </c>
      <c r="K28" s="1">
        <v>4500</v>
      </c>
      <c r="L28" s="17">
        <f t="shared" si="0"/>
        <v>4350</v>
      </c>
      <c r="M28" s="13">
        <v>2399</v>
      </c>
      <c r="N28" s="15">
        <v>5277.8</v>
      </c>
      <c r="O28" s="20">
        <f t="shared" si="1"/>
        <v>-927.80000000000018</v>
      </c>
      <c r="P28" s="15" t="s">
        <v>133</v>
      </c>
      <c r="Q28" s="14"/>
      <c r="R28" s="16"/>
      <c r="S28" s="16"/>
      <c r="T28" s="16"/>
      <c r="U28" s="16"/>
    </row>
    <row r="29" spans="1:21" x14ac:dyDescent="0.25">
      <c r="A29" s="2">
        <v>6</v>
      </c>
      <c r="B29" s="1" t="s">
        <v>47</v>
      </c>
      <c r="C29" s="1" t="s">
        <v>68</v>
      </c>
      <c r="D29" s="1" t="s">
        <v>41</v>
      </c>
      <c r="E29" s="1" t="s">
        <v>14</v>
      </c>
      <c r="F29" s="1" t="s">
        <v>15</v>
      </c>
      <c r="G29" s="1" t="s">
        <v>16</v>
      </c>
      <c r="H29" s="1" t="s">
        <v>42</v>
      </c>
      <c r="I29" s="1" t="s">
        <v>52</v>
      </c>
      <c r="J29" s="1">
        <v>1</v>
      </c>
      <c r="K29" s="1">
        <v>4500</v>
      </c>
      <c r="L29" s="17">
        <f t="shared" si="0"/>
        <v>4350</v>
      </c>
      <c r="M29" s="13">
        <v>2399</v>
      </c>
      <c r="N29" s="15">
        <v>5277.8</v>
      </c>
      <c r="O29" s="20">
        <f t="shared" si="1"/>
        <v>-927.80000000000018</v>
      </c>
      <c r="P29" s="15" t="s">
        <v>133</v>
      </c>
      <c r="Q29" s="14"/>
      <c r="R29" s="16"/>
      <c r="S29" s="16"/>
      <c r="T29" s="16"/>
      <c r="U29" s="16"/>
    </row>
    <row r="30" spans="1:21" x14ac:dyDescent="0.25">
      <c r="A30" s="2">
        <v>7</v>
      </c>
      <c r="B30" s="1" t="s">
        <v>47</v>
      </c>
      <c r="C30" s="1" t="s">
        <v>69</v>
      </c>
      <c r="D30" s="1" t="s">
        <v>41</v>
      </c>
      <c r="E30" s="1" t="s">
        <v>14</v>
      </c>
      <c r="F30" s="1" t="s">
        <v>15</v>
      </c>
      <c r="G30" s="1" t="s">
        <v>16</v>
      </c>
      <c r="H30" s="1" t="s">
        <v>42</v>
      </c>
      <c r="I30" s="1" t="s">
        <v>55</v>
      </c>
      <c r="J30" s="1">
        <v>1</v>
      </c>
      <c r="K30" s="1">
        <v>4500</v>
      </c>
      <c r="L30" s="17">
        <f t="shared" si="0"/>
        <v>4350</v>
      </c>
      <c r="M30" s="13">
        <v>2399</v>
      </c>
      <c r="N30" s="15">
        <v>5277.8</v>
      </c>
      <c r="O30" s="20">
        <f t="shared" si="1"/>
        <v>-927.80000000000018</v>
      </c>
      <c r="P30" s="15" t="s">
        <v>133</v>
      </c>
      <c r="Q30" s="14"/>
      <c r="R30" s="16"/>
      <c r="S30" s="16"/>
      <c r="T30" s="16"/>
      <c r="U30" s="16"/>
    </row>
    <row r="31" spans="1:21" x14ac:dyDescent="0.25">
      <c r="A31" s="2">
        <v>8</v>
      </c>
      <c r="B31" s="1" t="s">
        <v>47</v>
      </c>
      <c r="C31" s="1" t="s">
        <v>70</v>
      </c>
      <c r="D31" s="1" t="s">
        <v>41</v>
      </c>
      <c r="E31" s="1" t="s">
        <v>14</v>
      </c>
      <c r="F31" s="1" t="s">
        <v>15</v>
      </c>
      <c r="G31" s="1" t="s">
        <v>16</v>
      </c>
      <c r="H31" s="1" t="s">
        <v>42</v>
      </c>
      <c r="I31" s="1" t="s">
        <v>44</v>
      </c>
      <c r="J31" s="1">
        <v>1</v>
      </c>
      <c r="K31" s="1">
        <v>4500</v>
      </c>
      <c r="L31" s="17">
        <f t="shared" si="0"/>
        <v>4350</v>
      </c>
      <c r="M31" s="13">
        <v>2399</v>
      </c>
      <c r="N31" s="15">
        <v>5277.8</v>
      </c>
      <c r="O31" s="20">
        <f t="shared" si="1"/>
        <v>-927.80000000000018</v>
      </c>
      <c r="P31" s="15" t="s">
        <v>133</v>
      </c>
      <c r="Q31" s="14"/>
      <c r="R31" s="16"/>
      <c r="S31" s="16"/>
      <c r="T31" s="16"/>
      <c r="U31" s="16"/>
    </row>
    <row r="32" spans="1:21" x14ac:dyDescent="0.25">
      <c r="A32" s="2">
        <v>9</v>
      </c>
      <c r="B32" s="1" t="s">
        <v>47</v>
      </c>
      <c r="C32" s="1" t="s">
        <v>71</v>
      </c>
      <c r="D32" s="1" t="s">
        <v>41</v>
      </c>
      <c r="E32" s="1" t="s">
        <v>14</v>
      </c>
      <c r="F32" s="1" t="s">
        <v>23</v>
      </c>
      <c r="G32" s="1" t="s">
        <v>16</v>
      </c>
      <c r="H32" s="1" t="s">
        <v>42</v>
      </c>
      <c r="I32" s="1" t="s">
        <v>21</v>
      </c>
      <c r="J32" s="1">
        <v>1</v>
      </c>
      <c r="K32" s="1">
        <v>5200</v>
      </c>
      <c r="L32" s="17">
        <f t="shared" si="0"/>
        <v>5050</v>
      </c>
      <c r="M32" s="13">
        <v>2699</v>
      </c>
      <c r="N32" s="15">
        <v>5937.7999999999993</v>
      </c>
      <c r="O32" s="20">
        <f t="shared" si="1"/>
        <v>-887.79999999999927</v>
      </c>
      <c r="P32" s="15" t="s">
        <v>133</v>
      </c>
      <c r="Q32" s="14"/>
      <c r="R32" s="16"/>
      <c r="S32" s="16"/>
      <c r="T32" s="16"/>
      <c r="U32" s="16"/>
    </row>
    <row r="33" spans="1:21" x14ac:dyDescent="0.25">
      <c r="A33" s="2">
        <v>10</v>
      </c>
      <c r="B33" s="1" t="s">
        <v>47</v>
      </c>
      <c r="C33" s="1" t="s">
        <v>72</v>
      </c>
      <c r="D33" s="1" t="s">
        <v>41</v>
      </c>
      <c r="E33" s="1" t="s">
        <v>14</v>
      </c>
      <c r="F33" s="1" t="s">
        <v>23</v>
      </c>
      <c r="G33" s="1" t="s">
        <v>16</v>
      </c>
      <c r="H33" s="1" t="s">
        <v>42</v>
      </c>
      <c r="I33" s="1" t="s">
        <v>52</v>
      </c>
      <c r="J33" s="1">
        <v>1</v>
      </c>
      <c r="K33" s="1">
        <v>5200</v>
      </c>
      <c r="L33" s="17">
        <f t="shared" si="0"/>
        <v>5050</v>
      </c>
      <c r="M33" s="13">
        <v>2699</v>
      </c>
      <c r="N33" s="15">
        <v>5937.7999999999993</v>
      </c>
      <c r="O33" s="20">
        <f t="shared" si="1"/>
        <v>-887.79999999999927</v>
      </c>
      <c r="P33" s="15" t="s">
        <v>133</v>
      </c>
      <c r="Q33" s="14"/>
      <c r="R33" s="16"/>
      <c r="S33" s="16"/>
      <c r="T33" s="16"/>
      <c r="U33" s="16"/>
    </row>
    <row r="34" spans="1:21" x14ac:dyDescent="0.25">
      <c r="A34" s="2">
        <v>11</v>
      </c>
      <c r="B34" s="1" t="s">
        <v>47</v>
      </c>
      <c r="C34" s="1" t="s">
        <v>73</v>
      </c>
      <c r="D34" s="1" t="s">
        <v>41</v>
      </c>
      <c r="E34" s="1" t="s">
        <v>14</v>
      </c>
      <c r="F34" s="1" t="s">
        <v>23</v>
      </c>
      <c r="G34" s="1" t="s">
        <v>16</v>
      </c>
      <c r="H34" s="1" t="s">
        <v>42</v>
      </c>
      <c r="I34" s="1" t="s">
        <v>44</v>
      </c>
      <c r="J34" s="1">
        <v>1</v>
      </c>
      <c r="K34" s="1">
        <v>5200</v>
      </c>
      <c r="L34" s="17">
        <f t="shared" si="0"/>
        <v>5050</v>
      </c>
      <c r="M34" s="13">
        <v>2699</v>
      </c>
      <c r="N34" s="15">
        <v>5937.7999999999993</v>
      </c>
      <c r="O34" s="20">
        <f t="shared" si="1"/>
        <v>-887.79999999999927</v>
      </c>
      <c r="P34" s="15" t="s">
        <v>133</v>
      </c>
      <c r="Q34" s="14"/>
      <c r="R34" s="16"/>
      <c r="S34" s="16"/>
      <c r="T34" s="16"/>
      <c r="U34" s="16"/>
    </row>
    <row r="35" spans="1:21" x14ac:dyDescent="0.25">
      <c r="A35" s="2">
        <v>12</v>
      </c>
      <c r="B35" s="1" t="s">
        <v>47</v>
      </c>
      <c r="C35" s="1" t="s">
        <v>74</v>
      </c>
      <c r="D35" s="1" t="s">
        <v>41</v>
      </c>
      <c r="E35" s="1" t="s">
        <v>14</v>
      </c>
      <c r="F35" s="1" t="s">
        <v>23</v>
      </c>
      <c r="G35" s="1" t="s">
        <v>16</v>
      </c>
      <c r="H35" s="1" t="s">
        <v>42</v>
      </c>
      <c r="I35" s="1" t="s">
        <v>55</v>
      </c>
      <c r="J35" s="1">
        <v>1</v>
      </c>
      <c r="K35" s="1">
        <v>5200</v>
      </c>
      <c r="L35" s="17">
        <f t="shared" si="0"/>
        <v>5050</v>
      </c>
      <c r="M35" s="13">
        <v>2699</v>
      </c>
      <c r="N35" s="15">
        <v>5937.7999999999993</v>
      </c>
      <c r="O35" s="20">
        <f t="shared" si="1"/>
        <v>-887.79999999999927</v>
      </c>
      <c r="P35" s="15" t="s">
        <v>133</v>
      </c>
      <c r="Q35" s="14"/>
      <c r="R35" s="16"/>
      <c r="S35" s="16"/>
      <c r="T35" s="16"/>
      <c r="U35" s="16"/>
    </row>
    <row r="36" spans="1:21" x14ac:dyDescent="0.25">
      <c r="A36" s="2">
        <v>1</v>
      </c>
      <c r="B36" s="5" t="s">
        <v>75</v>
      </c>
      <c r="C36" s="1" t="s">
        <v>76</v>
      </c>
      <c r="D36" s="4" t="s">
        <v>77</v>
      </c>
      <c r="E36" s="1" t="s">
        <v>78</v>
      </c>
      <c r="F36" s="1" t="s">
        <v>23</v>
      </c>
      <c r="G36" s="1" t="s">
        <v>16</v>
      </c>
      <c r="H36" s="1" t="s">
        <v>51</v>
      </c>
      <c r="I36" s="1" t="s">
        <v>79</v>
      </c>
      <c r="J36" s="1">
        <v>1</v>
      </c>
      <c r="K36" s="1">
        <v>3700</v>
      </c>
      <c r="L36" s="17">
        <f t="shared" si="0"/>
        <v>3550</v>
      </c>
      <c r="M36" s="13"/>
      <c r="N36" s="15">
        <v>0</v>
      </c>
      <c r="O36" s="24"/>
      <c r="P36" s="15"/>
      <c r="Q36" s="14"/>
      <c r="R36" s="16"/>
      <c r="S36" s="16"/>
      <c r="T36" s="16"/>
      <c r="U36" s="16"/>
    </row>
    <row r="37" spans="1:21" x14ac:dyDescent="0.25">
      <c r="A37" s="2">
        <v>2</v>
      </c>
      <c r="B37" s="5" t="s">
        <v>75</v>
      </c>
      <c r="C37" s="1" t="s">
        <v>80</v>
      </c>
      <c r="D37" s="4" t="s">
        <v>77</v>
      </c>
      <c r="E37" s="1" t="s">
        <v>78</v>
      </c>
      <c r="F37" s="1" t="s">
        <v>23</v>
      </c>
      <c r="G37" s="1" t="s">
        <v>16</v>
      </c>
      <c r="H37" s="1" t="s">
        <v>51</v>
      </c>
      <c r="I37" s="1" t="s">
        <v>52</v>
      </c>
      <c r="J37" s="1">
        <v>1</v>
      </c>
      <c r="K37" s="1">
        <v>3700</v>
      </c>
      <c r="L37" s="17">
        <f t="shared" si="0"/>
        <v>3550</v>
      </c>
      <c r="M37" s="13"/>
      <c r="N37" s="15">
        <v>0</v>
      </c>
      <c r="O37" s="24"/>
      <c r="P37" s="15"/>
      <c r="Q37" s="14"/>
      <c r="R37" s="16"/>
      <c r="S37" s="16"/>
      <c r="T37" s="16"/>
      <c r="U37" s="16"/>
    </row>
    <row r="38" spans="1:21" x14ac:dyDescent="0.25">
      <c r="A38" s="2">
        <v>3</v>
      </c>
      <c r="B38" s="5" t="s">
        <v>75</v>
      </c>
      <c r="C38" s="1" t="s">
        <v>81</v>
      </c>
      <c r="D38" s="4" t="s">
        <v>77</v>
      </c>
      <c r="E38" s="1" t="s">
        <v>78</v>
      </c>
      <c r="F38" s="1" t="s">
        <v>15</v>
      </c>
      <c r="G38" s="1" t="s">
        <v>50</v>
      </c>
      <c r="H38" s="1" t="s">
        <v>42</v>
      </c>
      <c r="I38" s="1" t="s">
        <v>44</v>
      </c>
      <c r="J38" s="1">
        <v>1</v>
      </c>
      <c r="K38" s="1">
        <v>3350</v>
      </c>
      <c r="L38" s="17">
        <f t="shared" si="0"/>
        <v>3200</v>
      </c>
      <c r="M38" s="13"/>
      <c r="N38" s="15">
        <v>0</v>
      </c>
      <c r="O38" s="24"/>
      <c r="P38" s="15"/>
      <c r="Q38" s="14"/>
      <c r="R38" s="16"/>
      <c r="S38" s="16"/>
      <c r="T38" s="16"/>
      <c r="U38" s="16"/>
    </row>
    <row r="39" spans="1:21" x14ac:dyDescent="0.25">
      <c r="A39" s="2">
        <v>4</v>
      </c>
      <c r="B39" s="5" t="s">
        <v>75</v>
      </c>
      <c r="C39" s="1" t="s">
        <v>82</v>
      </c>
      <c r="D39" s="4" t="s">
        <v>77</v>
      </c>
      <c r="E39" s="1" t="s">
        <v>78</v>
      </c>
      <c r="F39" s="1" t="s">
        <v>23</v>
      </c>
      <c r="G39" s="1" t="s">
        <v>16</v>
      </c>
      <c r="H39" s="1" t="s">
        <v>42</v>
      </c>
      <c r="I39" s="1" t="s">
        <v>79</v>
      </c>
      <c r="J39" s="1">
        <v>1</v>
      </c>
      <c r="K39" s="1">
        <v>4750</v>
      </c>
      <c r="L39" s="17">
        <f t="shared" si="0"/>
        <v>4600</v>
      </c>
      <c r="M39" s="13"/>
      <c r="N39" s="15">
        <v>0</v>
      </c>
      <c r="O39" s="24"/>
      <c r="P39" s="15"/>
      <c r="Q39" s="14"/>
      <c r="R39" s="16"/>
      <c r="S39" s="16"/>
      <c r="T39" s="16"/>
      <c r="U39" s="16"/>
    </row>
    <row r="40" spans="1:21" x14ac:dyDescent="0.25">
      <c r="A40" s="2">
        <v>5</v>
      </c>
      <c r="B40" s="5" t="s">
        <v>75</v>
      </c>
      <c r="C40" s="1" t="s">
        <v>83</v>
      </c>
      <c r="D40" s="4" t="s">
        <v>77</v>
      </c>
      <c r="E40" s="1" t="s">
        <v>78</v>
      </c>
      <c r="F40" s="1" t="s">
        <v>23</v>
      </c>
      <c r="G40" s="1" t="s">
        <v>16</v>
      </c>
      <c r="H40" s="1" t="s">
        <v>42</v>
      </c>
      <c r="I40" s="1" t="s">
        <v>21</v>
      </c>
      <c r="J40" s="1">
        <v>1</v>
      </c>
      <c r="K40" s="1">
        <v>4750</v>
      </c>
      <c r="L40" s="17">
        <f t="shared" si="0"/>
        <v>4600</v>
      </c>
      <c r="M40" s="13"/>
      <c r="N40" s="15">
        <v>0</v>
      </c>
      <c r="O40" s="24"/>
      <c r="P40" s="15"/>
      <c r="Q40" s="14"/>
      <c r="R40" s="16"/>
      <c r="S40" s="16"/>
      <c r="T40" s="16"/>
      <c r="U40" s="16"/>
    </row>
    <row r="41" spans="1:21" x14ac:dyDescent="0.25">
      <c r="A41" s="2">
        <v>6</v>
      </c>
      <c r="B41" s="5" t="s">
        <v>75</v>
      </c>
      <c r="C41" s="1" t="s">
        <v>84</v>
      </c>
      <c r="D41" s="4" t="s">
        <v>77</v>
      </c>
      <c r="E41" s="1" t="s">
        <v>78</v>
      </c>
      <c r="F41" s="1" t="s">
        <v>23</v>
      </c>
      <c r="G41" s="1" t="s">
        <v>16</v>
      </c>
      <c r="H41" s="1" t="s">
        <v>42</v>
      </c>
      <c r="I41" s="1" t="s">
        <v>52</v>
      </c>
      <c r="J41" s="1">
        <v>1</v>
      </c>
      <c r="K41" s="1">
        <v>4750</v>
      </c>
      <c r="L41" s="17">
        <f t="shared" si="0"/>
        <v>4600</v>
      </c>
      <c r="M41" s="13"/>
      <c r="N41" s="15">
        <v>0</v>
      </c>
      <c r="O41" s="24"/>
      <c r="P41" s="15"/>
      <c r="Q41" s="14"/>
      <c r="R41" s="16"/>
      <c r="S41" s="16"/>
      <c r="T41" s="16"/>
      <c r="U41" s="16"/>
    </row>
    <row r="42" spans="1:21" x14ac:dyDescent="0.25">
      <c r="A42" s="2">
        <v>7</v>
      </c>
      <c r="B42" s="5" t="s">
        <v>75</v>
      </c>
      <c r="C42" s="1" t="s">
        <v>85</v>
      </c>
      <c r="D42" s="4" t="s">
        <v>86</v>
      </c>
      <c r="E42" s="1" t="s">
        <v>87</v>
      </c>
      <c r="F42" s="1" t="s">
        <v>88</v>
      </c>
      <c r="G42" s="1" t="s">
        <v>50</v>
      </c>
      <c r="H42" s="1" t="s">
        <v>51</v>
      </c>
      <c r="I42" s="1" t="s">
        <v>89</v>
      </c>
      <c r="J42" s="1">
        <v>1</v>
      </c>
      <c r="K42" s="1">
        <v>1970</v>
      </c>
      <c r="L42" s="17">
        <f t="shared" si="0"/>
        <v>1820</v>
      </c>
      <c r="M42" s="13"/>
      <c r="N42" s="15">
        <v>0</v>
      </c>
      <c r="O42" s="24"/>
      <c r="P42" s="15"/>
      <c r="Q42" s="14"/>
      <c r="R42" s="16"/>
      <c r="S42" s="16"/>
      <c r="T42" s="16"/>
      <c r="U42" s="16"/>
    </row>
    <row r="43" spans="1:21" x14ac:dyDescent="0.25">
      <c r="A43" s="2">
        <v>8</v>
      </c>
      <c r="B43" s="1" t="s">
        <v>90</v>
      </c>
      <c r="C43" s="1" t="s">
        <v>91</v>
      </c>
      <c r="D43" s="1" t="s">
        <v>41</v>
      </c>
      <c r="E43" s="1" t="s">
        <v>14</v>
      </c>
      <c r="F43" s="1" t="s">
        <v>15</v>
      </c>
      <c r="G43" s="1" t="s">
        <v>50</v>
      </c>
      <c r="H43" s="1" t="s">
        <v>92</v>
      </c>
      <c r="I43" s="1" t="s">
        <v>93</v>
      </c>
      <c r="J43" s="1">
        <v>1</v>
      </c>
      <c r="K43" s="1">
        <v>2000</v>
      </c>
      <c r="L43" s="17">
        <f t="shared" si="0"/>
        <v>1850</v>
      </c>
      <c r="M43" s="13">
        <v>999</v>
      </c>
      <c r="N43" s="15">
        <v>2197.8000000000002</v>
      </c>
      <c r="O43" s="20">
        <f t="shared" si="1"/>
        <v>-347.80000000000018</v>
      </c>
      <c r="P43" s="15"/>
      <c r="Q43" s="14"/>
      <c r="R43" s="16"/>
      <c r="S43" s="16"/>
      <c r="T43" s="16"/>
      <c r="U43" s="16"/>
    </row>
    <row r="44" spans="1:21" x14ac:dyDescent="0.25">
      <c r="A44" s="2">
        <v>9</v>
      </c>
      <c r="B44" s="1" t="s">
        <v>90</v>
      </c>
      <c r="C44" s="1" t="s">
        <v>94</v>
      </c>
      <c r="D44" s="1" t="s">
        <v>41</v>
      </c>
      <c r="E44" s="1" t="s">
        <v>14</v>
      </c>
      <c r="F44" s="1" t="s">
        <v>15</v>
      </c>
      <c r="G44" s="1" t="s">
        <v>16</v>
      </c>
      <c r="H44" s="1" t="s">
        <v>92</v>
      </c>
      <c r="I44" s="1" t="s">
        <v>95</v>
      </c>
      <c r="J44" s="1">
        <v>1</v>
      </c>
      <c r="K44" s="1">
        <v>2700</v>
      </c>
      <c r="L44" s="17">
        <f t="shared" si="0"/>
        <v>2550</v>
      </c>
      <c r="M44" s="13">
        <v>1299</v>
      </c>
      <c r="N44" s="15">
        <v>2857.8</v>
      </c>
      <c r="O44" s="20">
        <f t="shared" si="1"/>
        <v>-307.80000000000018</v>
      </c>
      <c r="P44" s="15"/>
      <c r="Q44" s="14"/>
      <c r="R44" s="16"/>
      <c r="S44" s="16"/>
      <c r="T44" s="16"/>
      <c r="U44" s="16"/>
    </row>
    <row r="45" spans="1:21" x14ac:dyDescent="0.25">
      <c r="A45" s="2">
        <v>10</v>
      </c>
      <c r="B45" s="1" t="s">
        <v>90</v>
      </c>
      <c r="C45" s="1" t="s">
        <v>96</v>
      </c>
      <c r="D45" s="1" t="s">
        <v>41</v>
      </c>
      <c r="E45" s="1" t="s">
        <v>14</v>
      </c>
      <c r="F45" s="1" t="s">
        <v>23</v>
      </c>
      <c r="G45" s="1" t="s">
        <v>16</v>
      </c>
      <c r="H45" s="1" t="s">
        <v>92</v>
      </c>
      <c r="I45" s="1" t="s">
        <v>93</v>
      </c>
      <c r="J45" s="1">
        <v>1</v>
      </c>
      <c r="K45" s="1">
        <v>3450</v>
      </c>
      <c r="L45" s="17">
        <f t="shared" si="0"/>
        <v>3300</v>
      </c>
      <c r="M45" s="13">
        <v>1599</v>
      </c>
      <c r="N45" s="15">
        <v>3517.7999999999997</v>
      </c>
      <c r="O45" s="20">
        <f t="shared" si="1"/>
        <v>-217.79999999999973</v>
      </c>
      <c r="P45" s="15"/>
      <c r="Q45" s="14"/>
      <c r="R45" s="16"/>
      <c r="S45" s="16"/>
      <c r="T45" s="16"/>
      <c r="U45" s="16"/>
    </row>
    <row r="46" spans="1:21" x14ac:dyDescent="0.25">
      <c r="A46" s="2">
        <v>11</v>
      </c>
      <c r="B46" s="1" t="s">
        <v>90</v>
      </c>
      <c r="C46" s="1" t="s">
        <v>97</v>
      </c>
      <c r="D46" s="1" t="s">
        <v>26</v>
      </c>
      <c r="E46" s="1" t="s">
        <v>98</v>
      </c>
      <c r="F46" s="1" t="s">
        <v>23</v>
      </c>
      <c r="G46" s="1" t="s">
        <v>16</v>
      </c>
      <c r="H46" s="1" t="s">
        <v>92</v>
      </c>
      <c r="I46" s="1" t="s">
        <v>93</v>
      </c>
      <c r="J46" s="1">
        <v>1</v>
      </c>
      <c r="K46" s="1">
        <v>4900</v>
      </c>
      <c r="L46" s="17">
        <f t="shared" si="0"/>
        <v>4750</v>
      </c>
      <c r="M46" s="13">
        <v>2199</v>
      </c>
      <c r="N46" s="15">
        <v>4837.7999999999993</v>
      </c>
      <c r="O46" s="20">
        <f t="shared" si="1"/>
        <v>-87.799999999999272</v>
      </c>
      <c r="P46" s="15"/>
      <c r="Q46" s="14"/>
      <c r="R46" s="16"/>
      <c r="S46" s="16"/>
      <c r="T46" s="16"/>
      <c r="U46" s="16"/>
    </row>
    <row r="47" spans="1:21" x14ac:dyDescent="0.25">
      <c r="A47" s="2">
        <v>12</v>
      </c>
      <c r="B47" s="1" t="s">
        <v>90</v>
      </c>
      <c r="C47" s="1" t="s">
        <v>99</v>
      </c>
      <c r="D47" s="1" t="s">
        <v>41</v>
      </c>
      <c r="E47" s="1" t="s">
        <v>14</v>
      </c>
      <c r="F47" s="1" t="s">
        <v>15</v>
      </c>
      <c r="G47" s="1" t="s">
        <v>20</v>
      </c>
      <c r="H47" s="1" t="s">
        <v>92</v>
      </c>
      <c r="I47" s="1" t="s">
        <v>100</v>
      </c>
      <c r="J47" s="1">
        <v>1</v>
      </c>
      <c r="K47" s="1">
        <v>3850</v>
      </c>
      <c r="L47" s="17">
        <f t="shared" si="0"/>
        <v>3700</v>
      </c>
      <c r="M47" s="13"/>
      <c r="N47" s="15">
        <v>0</v>
      </c>
      <c r="O47" s="24"/>
      <c r="P47" s="15"/>
      <c r="Q47" s="14"/>
      <c r="R47" s="16"/>
      <c r="S47" s="16"/>
      <c r="T47" s="16"/>
      <c r="U47" s="16"/>
    </row>
    <row r="48" spans="1:21" x14ac:dyDescent="0.25">
      <c r="A48" s="2">
        <v>1</v>
      </c>
      <c r="B48" s="5" t="s">
        <v>101</v>
      </c>
      <c r="C48" s="1" t="s">
        <v>102</v>
      </c>
      <c r="D48" s="1" t="s">
        <v>41</v>
      </c>
      <c r="E48" s="1" t="s">
        <v>103</v>
      </c>
      <c r="F48" s="1" t="s">
        <v>15</v>
      </c>
      <c r="G48" s="1" t="s">
        <v>50</v>
      </c>
      <c r="H48" s="1" t="s">
        <v>104</v>
      </c>
      <c r="I48" s="1" t="s">
        <v>21</v>
      </c>
      <c r="J48" s="1">
        <v>40</v>
      </c>
      <c r="K48" s="1">
        <v>4800</v>
      </c>
      <c r="L48" s="17">
        <f t="shared" si="0"/>
        <v>4650</v>
      </c>
      <c r="M48" s="13">
        <v>1999</v>
      </c>
      <c r="N48" s="15">
        <v>4397.8</v>
      </c>
      <c r="O48" s="21">
        <f t="shared" si="1"/>
        <v>252.19999999999982</v>
      </c>
      <c r="P48" s="15"/>
      <c r="Q48" s="14"/>
      <c r="R48" s="16"/>
      <c r="S48" s="16"/>
      <c r="T48" s="16"/>
      <c r="U48" s="16"/>
    </row>
    <row r="49" spans="1:21" x14ac:dyDescent="0.25">
      <c r="A49" s="2">
        <v>2</v>
      </c>
      <c r="B49" s="5" t="s">
        <v>101</v>
      </c>
      <c r="C49" s="1" t="s">
        <v>105</v>
      </c>
      <c r="D49" s="1" t="s">
        <v>41</v>
      </c>
      <c r="E49" s="1" t="s">
        <v>103</v>
      </c>
      <c r="F49" s="1" t="s">
        <v>15</v>
      </c>
      <c r="G49" s="1" t="s">
        <v>50</v>
      </c>
      <c r="H49" s="1" t="s">
        <v>104</v>
      </c>
      <c r="I49" s="1" t="s">
        <v>106</v>
      </c>
      <c r="J49" s="1">
        <v>25</v>
      </c>
      <c r="K49" s="1">
        <v>4800</v>
      </c>
      <c r="L49" s="17">
        <f t="shared" si="0"/>
        <v>4650</v>
      </c>
      <c r="M49" s="13">
        <v>1999</v>
      </c>
      <c r="N49" s="15">
        <v>4397.8</v>
      </c>
      <c r="O49" s="21">
        <f t="shared" si="1"/>
        <v>252.19999999999982</v>
      </c>
      <c r="P49" s="15"/>
      <c r="Q49" s="14"/>
      <c r="R49" s="16"/>
      <c r="S49" s="16"/>
      <c r="T49" s="16"/>
      <c r="U49" s="16"/>
    </row>
    <row r="50" spans="1:21" x14ac:dyDescent="0.25">
      <c r="A50" s="2">
        <v>3</v>
      </c>
      <c r="B50" s="5" t="s">
        <v>101</v>
      </c>
      <c r="C50" s="1" t="s">
        <v>107</v>
      </c>
      <c r="D50" s="1" t="s">
        <v>41</v>
      </c>
      <c r="E50" s="1" t="s">
        <v>103</v>
      </c>
      <c r="F50" s="1" t="s">
        <v>15</v>
      </c>
      <c r="G50" s="1" t="s">
        <v>50</v>
      </c>
      <c r="H50" s="1" t="s">
        <v>104</v>
      </c>
      <c r="I50" s="1" t="s">
        <v>108</v>
      </c>
      <c r="J50" s="1">
        <v>1</v>
      </c>
      <c r="K50" s="1">
        <v>4800</v>
      </c>
      <c r="L50" s="17">
        <f t="shared" si="0"/>
        <v>4650</v>
      </c>
      <c r="M50" s="13">
        <v>1999</v>
      </c>
      <c r="N50" s="15">
        <v>4397.8</v>
      </c>
      <c r="O50" s="21">
        <f t="shared" si="1"/>
        <v>252.19999999999982</v>
      </c>
      <c r="P50" s="15"/>
      <c r="Q50" s="14"/>
      <c r="R50" s="16"/>
      <c r="S50" s="16"/>
      <c r="T50" s="16"/>
      <c r="U50" s="16"/>
    </row>
    <row r="51" spans="1:21" x14ac:dyDescent="0.25">
      <c r="A51" s="2">
        <v>4</v>
      </c>
      <c r="B51" s="5" t="s">
        <v>101</v>
      </c>
      <c r="C51" s="1" t="s">
        <v>109</v>
      </c>
      <c r="D51" s="1" t="s">
        <v>41</v>
      </c>
      <c r="E51" s="1" t="s">
        <v>103</v>
      </c>
      <c r="F51" s="1" t="s">
        <v>15</v>
      </c>
      <c r="G51" s="1" t="s">
        <v>50</v>
      </c>
      <c r="H51" s="1" t="s">
        <v>104</v>
      </c>
      <c r="I51" s="1" t="s">
        <v>110</v>
      </c>
      <c r="J51" s="1">
        <v>2</v>
      </c>
      <c r="K51" s="1">
        <v>4800</v>
      </c>
      <c r="L51" s="17">
        <f t="shared" si="0"/>
        <v>4650</v>
      </c>
      <c r="M51" s="13">
        <v>1999</v>
      </c>
      <c r="N51" s="15">
        <v>4397.8</v>
      </c>
      <c r="O51" s="21">
        <f t="shared" si="1"/>
        <v>252.19999999999982</v>
      </c>
      <c r="P51" s="15"/>
      <c r="Q51" s="14"/>
      <c r="R51" s="16"/>
      <c r="S51" s="16"/>
      <c r="T51" s="16"/>
      <c r="U51" s="16"/>
    </row>
    <row r="52" spans="1:21" x14ac:dyDescent="0.25">
      <c r="A52" s="2">
        <v>5</v>
      </c>
      <c r="B52" s="5" t="s">
        <v>101</v>
      </c>
      <c r="C52" s="1" t="s">
        <v>111</v>
      </c>
      <c r="D52" s="1" t="s">
        <v>41</v>
      </c>
      <c r="E52" s="1" t="s">
        <v>14</v>
      </c>
      <c r="F52" s="1" t="s">
        <v>15</v>
      </c>
      <c r="G52" s="1" t="s">
        <v>50</v>
      </c>
      <c r="H52" s="1" t="s">
        <v>104</v>
      </c>
      <c r="I52" s="1" t="s">
        <v>21</v>
      </c>
      <c r="J52" s="1">
        <v>3</v>
      </c>
      <c r="K52" s="1">
        <v>5250</v>
      </c>
      <c r="L52" s="17">
        <f t="shared" si="0"/>
        <v>5100</v>
      </c>
      <c r="M52" s="13">
        <v>2399</v>
      </c>
      <c r="N52" s="15">
        <v>5277.8</v>
      </c>
      <c r="O52" s="20">
        <f t="shared" si="1"/>
        <v>-177.80000000000018</v>
      </c>
      <c r="P52" s="15"/>
      <c r="Q52" s="14"/>
      <c r="R52" s="16"/>
      <c r="S52" s="16"/>
      <c r="T52" s="16"/>
      <c r="U52" s="16"/>
    </row>
    <row r="53" spans="1:21" x14ac:dyDescent="0.25">
      <c r="A53" s="2">
        <v>6</v>
      </c>
      <c r="B53" s="5" t="s">
        <v>101</v>
      </c>
      <c r="C53" s="1" t="s">
        <v>112</v>
      </c>
      <c r="D53" s="1" t="s">
        <v>41</v>
      </c>
      <c r="E53" s="1" t="s">
        <v>14</v>
      </c>
      <c r="F53" s="1" t="s">
        <v>15</v>
      </c>
      <c r="G53" s="1" t="s">
        <v>50</v>
      </c>
      <c r="H53" s="1" t="s">
        <v>104</v>
      </c>
      <c r="I53" s="1" t="s">
        <v>106</v>
      </c>
      <c r="J53" s="1">
        <v>3</v>
      </c>
      <c r="K53" s="1">
        <v>5250</v>
      </c>
      <c r="L53" s="17">
        <f t="shared" si="0"/>
        <v>5100</v>
      </c>
      <c r="M53" s="13">
        <v>2399</v>
      </c>
      <c r="N53" s="15">
        <v>5277.8</v>
      </c>
      <c r="O53" s="20">
        <f t="shared" si="1"/>
        <v>-177.80000000000018</v>
      </c>
      <c r="P53" s="15"/>
      <c r="Q53" s="14"/>
      <c r="R53" s="16"/>
      <c r="S53" s="16"/>
      <c r="T53" s="16"/>
      <c r="U53" s="16"/>
    </row>
    <row r="54" spans="1:21" x14ac:dyDescent="0.25">
      <c r="A54" s="2">
        <v>7</v>
      </c>
      <c r="B54" s="5" t="s">
        <v>101</v>
      </c>
      <c r="C54" s="1" t="s">
        <v>113</v>
      </c>
      <c r="D54" s="1" t="s">
        <v>41</v>
      </c>
      <c r="E54" s="1" t="s">
        <v>14</v>
      </c>
      <c r="F54" s="1" t="s">
        <v>15</v>
      </c>
      <c r="G54" s="1" t="s">
        <v>16</v>
      </c>
      <c r="H54" s="1" t="s">
        <v>104</v>
      </c>
      <c r="I54" s="1" t="s">
        <v>21</v>
      </c>
      <c r="J54" s="1">
        <v>3</v>
      </c>
      <c r="K54" s="1">
        <v>6000</v>
      </c>
      <c r="L54" s="17">
        <f t="shared" si="0"/>
        <v>5850</v>
      </c>
      <c r="M54" s="13">
        <v>2699</v>
      </c>
      <c r="N54" s="15">
        <v>5937.7999999999993</v>
      </c>
      <c r="O54" s="20">
        <f t="shared" si="1"/>
        <v>-87.799999999999272</v>
      </c>
      <c r="P54" s="15"/>
      <c r="Q54" s="14"/>
      <c r="R54" s="16"/>
      <c r="S54" s="16"/>
      <c r="T54" s="16"/>
      <c r="U54" s="16"/>
    </row>
    <row r="55" spans="1:21" x14ac:dyDescent="0.25">
      <c r="A55" s="2">
        <v>8</v>
      </c>
      <c r="B55" s="5" t="s">
        <v>101</v>
      </c>
      <c r="C55" s="1" t="s">
        <v>114</v>
      </c>
      <c r="D55" s="1" t="s">
        <v>41</v>
      </c>
      <c r="E55" s="1" t="s">
        <v>14</v>
      </c>
      <c r="F55" s="1" t="s">
        <v>15</v>
      </c>
      <c r="G55" s="1" t="s">
        <v>16</v>
      </c>
      <c r="H55" s="1" t="s">
        <v>104</v>
      </c>
      <c r="I55" s="1" t="s">
        <v>110</v>
      </c>
      <c r="J55" s="1">
        <v>6</v>
      </c>
      <c r="K55" s="1">
        <v>6000</v>
      </c>
      <c r="L55" s="17">
        <f t="shared" si="0"/>
        <v>5850</v>
      </c>
      <c r="M55" s="13">
        <v>2699</v>
      </c>
      <c r="N55" s="15">
        <v>5937.7999999999993</v>
      </c>
      <c r="O55" s="20">
        <f t="shared" si="1"/>
        <v>-87.799999999999272</v>
      </c>
      <c r="P55" s="15"/>
      <c r="Q55" s="14"/>
      <c r="R55" s="16"/>
      <c r="S55" s="16"/>
      <c r="T55" s="16"/>
      <c r="U55" s="16"/>
    </row>
    <row r="56" spans="1:21" x14ac:dyDescent="0.25">
      <c r="A56" s="2">
        <v>9</v>
      </c>
      <c r="B56" s="5" t="s">
        <v>101</v>
      </c>
      <c r="C56" s="1" t="s">
        <v>115</v>
      </c>
      <c r="D56" s="1" t="s">
        <v>41</v>
      </c>
      <c r="E56" s="1" t="s">
        <v>14</v>
      </c>
      <c r="F56" s="1" t="s">
        <v>23</v>
      </c>
      <c r="G56" s="1" t="s">
        <v>16</v>
      </c>
      <c r="H56" s="1" t="s">
        <v>104</v>
      </c>
      <c r="I56" s="1" t="s">
        <v>106</v>
      </c>
      <c r="J56" s="1">
        <v>5</v>
      </c>
      <c r="K56" s="1">
        <v>6900</v>
      </c>
      <c r="L56" s="17">
        <f t="shared" si="0"/>
        <v>6750</v>
      </c>
      <c r="M56" s="13">
        <v>2999</v>
      </c>
      <c r="N56" s="15">
        <v>6597.8</v>
      </c>
      <c r="O56" s="21">
        <f t="shared" si="1"/>
        <v>152.19999999999982</v>
      </c>
      <c r="P56" s="15"/>
      <c r="Q56" s="14"/>
      <c r="R56" s="16"/>
      <c r="S56" s="16"/>
      <c r="T56" s="16"/>
      <c r="U56" s="16"/>
    </row>
    <row r="57" spans="1:21" x14ac:dyDescent="0.25">
      <c r="A57" s="2">
        <v>10</v>
      </c>
      <c r="B57" s="5" t="s">
        <v>101</v>
      </c>
      <c r="C57" s="1" t="s">
        <v>116</v>
      </c>
      <c r="D57" s="1" t="s">
        <v>41</v>
      </c>
      <c r="E57" s="1" t="s">
        <v>14</v>
      </c>
      <c r="F57" s="1" t="s">
        <v>23</v>
      </c>
      <c r="G57" s="1" t="s">
        <v>16</v>
      </c>
      <c r="H57" s="1" t="s">
        <v>104</v>
      </c>
      <c r="I57" s="1" t="s">
        <v>21</v>
      </c>
      <c r="J57" s="1">
        <v>2</v>
      </c>
      <c r="K57" s="1">
        <v>6900</v>
      </c>
      <c r="L57" s="17">
        <f t="shared" si="0"/>
        <v>6750</v>
      </c>
      <c r="M57" s="13">
        <v>2999</v>
      </c>
      <c r="N57" s="15">
        <v>6597.8</v>
      </c>
      <c r="O57" s="21">
        <f t="shared" si="1"/>
        <v>152.19999999999982</v>
      </c>
      <c r="P57" s="15"/>
      <c r="Q57" s="14"/>
      <c r="R57" s="16"/>
      <c r="S57" s="16"/>
      <c r="T57" s="16"/>
      <c r="U57" s="16"/>
    </row>
    <row r="58" spans="1:21" x14ac:dyDescent="0.25">
      <c r="A58" s="2">
        <v>11</v>
      </c>
      <c r="B58" s="5" t="s">
        <v>101</v>
      </c>
      <c r="C58" s="1" t="s">
        <v>117</v>
      </c>
      <c r="D58" s="1" t="s">
        <v>41</v>
      </c>
      <c r="E58" s="1" t="s">
        <v>14</v>
      </c>
      <c r="F58" s="1" t="s">
        <v>15</v>
      </c>
      <c r="G58" s="1" t="s">
        <v>50</v>
      </c>
      <c r="H58" s="1" t="s">
        <v>104</v>
      </c>
      <c r="I58" s="1" t="s">
        <v>118</v>
      </c>
      <c r="J58" s="1">
        <v>1</v>
      </c>
      <c r="K58" s="1">
        <v>5450</v>
      </c>
      <c r="L58" s="17">
        <f t="shared" si="0"/>
        <v>5300</v>
      </c>
      <c r="M58" s="13">
        <v>2699</v>
      </c>
      <c r="N58" s="15">
        <v>5937.7999999999993</v>
      </c>
      <c r="O58" s="20">
        <f t="shared" si="1"/>
        <v>-637.79999999999927</v>
      </c>
      <c r="P58" s="15"/>
      <c r="Q58" s="14"/>
      <c r="R58" s="16"/>
      <c r="S58" s="16"/>
      <c r="T58" s="16"/>
      <c r="U58" s="16"/>
    </row>
    <row r="59" spans="1:21" x14ac:dyDescent="0.25">
      <c r="A59" s="2">
        <v>12</v>
      </c>
      <c r="B59" s="1" t="s">
        <v>119</v>
      </c>
      <c r="C59" s="1" t="s">
        <v>120</v>
      </c>
      <c r="D59" s="1" t="s">
        <v>41</v>
      </c>
      <c r="E59" s="1" t="s">
        <v>14</v>
      </c>
      <c r="F59" s="1" t="s">
        <v>46</v>
      </c>
      <c r="G59" s="1" t="s">
        <v>38</v>
      </c>
      <c r="H59" s="1" t="s">
        <v>104</v>
      </c>
      <c r="I59" s="1" t="s">
        <v>21</v>
      </c>
      <c r="J59" s="1">
        <v>3</v>
      </c>
      <c r="K59" s="1">
        <v>10350</v>
      </c>
      <c r="L59" s="17">
        <f t="shared" si="0"/>
        <v>10200</v>
      </c>
      <c r="M59" s="13"/>
      <c r="N59" s="15">
        <v>0</v>
      </c>
      <c r="O59" s="24"/>
      <c r="P59" s="15"/>
      <c r="Q59" s="14"/>
      <c r="R59" s="16"/>
      <c r="S59" s="16"/>
      <c r="T59" s="16"/>
      <c r="U59" s="16"/>
    </row>
    <row r="60" spans="1:21" x14ac:dyDescent="0.25">
      <c r="A60" s="2">
        <v>13</v>
      </c>
      <c r="B60" s="1" t="s">
        <v>119</v>
      </c>
      <c r="C60" s="1" t="s">
        <v>121</v>
      </c>
      <c r="D60" s="1" t="s">
        <v>41</v>
      </c>
      <c r="E60" s="1" t="s">
        <v>14</v>
      </c>
      <c r="F60" s="1" t="s">
        <v>46</v>
      </c>
      <c r="G60" s="1" t="s">
        <v>38</v>
      </c>
      <c r="H60" s="1" t="s">
        <v>104</v>
      </c>
      <c r="I60" s="1" t="s">
        <v>106</v>
      </c>
      <c r="J60" s="1">
        <v>3</v>
      </c>
      <c r="K60" s="1">
        <v>10350</v>
      </c>
      <c r="L60" s="17">
        <f t="shared" si="0"/>
        <v>10200</v>
      </c>
      <c r="M60" s="13"/>
      <c r="N60" s="15">
        <v>0</v>
      </c>
      <c r="O60" s="24"/>
      <c r="P60" s="15"/>
      <c r="Q60" s="14"/>
      <c r="R60" s="16"/>
      <c r="S60" s="16"/>
      <c r="T60" s="16"/>
      <c r="U60" s="16"/>
    </row>
    <row r="61" spans="1:21" x14ac:dyDescent="0.25">
      <c r="A61" s="2">
        <v>14</v>
      </c>
      <c r="B61" s="5" t="s">
        <v>122</v>
      </c>
      <c r="C61" s="1" t="s">
        <v>123</v>
      </c>
      <c r="D61" s="1" t="s">
        <v>31</v>
      </c>
      <c r="E61" s="1" t="s">
        <v>32</v>
      </c>
      <c r="F61" s="1" t="s">
        <v>33</v>
      </c>
      <c r="G61" s="1" t="s">
        <v>16</v>
      </c>
      <c r="H61" s="1" t="s">
        <v>92</v>
      </c>
      <c r="I61" s="1" t="s">
        <v>93</v>
      </c>
      <c r="J61" s="1">
        <v>1</v>
      </c>
      <c r="K61" s="1">
        <v>7200</v>
      </c>
      <c r="L61" s="17">
        <f t="shared" si="0"/>
        <v>7050</v>
      </c>
      <c r="M61" s="13">
        <v>3499</v>
      </c>
      <c r="N61" s="15">
        <v>7697.8</v>
      </c>
      <c r="O61" s="20">
        <f t="shared" si="1"/>
        <v>-647.80000000000018</v>
      </c>
      <c r="P61" s="15"/>
      <c r="Q61" s="14"/>
      <c r="R61" s="16"/>
      <c r="S61" s="16"/>
      <c r="T61" s="16"/>
      <c r="U61" s="16"/>
    </row>
    <row r="62" spans="1:21" x14ac:dyDescent="0.25">
      <c r="A62" s="2">
        <v>15</v>
      </c>
      <c r="B62" s="1" t="s">
        <v>124</v>
      </c>
      <c r="C62" s="1" t="s">
        <v>125</v>
      </c>
      <c r="D62" s="1" t="s">
        <v>92</v>
      </c>
      <c r="E62" s="1" t="s">
        <v>92</v>
      </c>
      <c r="F62" s="1" t="s">
        <v>92</v>
      </c>
      <c r="G62" s="1" t="s">
        <v>92</v>
      </c>
      <c r="H62" s="1" t="s">
        <v>126</v>
      </c>
      <c r="I62" s="1" t="s">
        <v>127</v>
      </c>
      <c r="J62" s="1">
        <v>1</v>
      </c>
      <c r="K62" s="1">
        <v>6250</v>
      </c>
      <c r="L62" s="17">
        <f t="shared" si="0"/>
        <v>6100</v>
      </c>
      <c r="M62" s="13">
        <v>2499</v>
      </c>
      <c r="N62" s="15">
        <v>5497.8</v>
      </c>
      <c r="O62" s="21">
        <f t="shared" si="1"/>
        <v>602.19999999999982</v>
      </c>
      <c r="P62" s="15"/>
      <c r="Q62" s="14"/>
      <c r="R62" s="16"/>
      <c r="S62" s="16"/>
      <c r="T62" s="16"/>
      <c r="U62" s="16"/>
    </row>
    <row r="63" spans="1:21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7"/>
      <c r="M63" s="13"/>
      <c r="N63" s="15">
        <v>0</v>
      </c>
      <c r="O63" s="24">
        <f t="shared" si="1"/>
        <v>0</v>
      </c>
      <c r="P63" s="15"/>
      <c r="Q63" s="14"/>
      <c r="R63" s="16"/>
      <c r="S63" s="16"/>
      <c r="T63" s="16"/>
      <c r="U63" s="16"/>
    </row>
    <row r="64" spans="1:21" x14ac:dyDescent="0.25">
      <c r="A64" s="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7"/>
      <c r="M64" s="13"/>
      <c r="N64" s="15">
        <v>0</v>
      </c>
      <c r="O64" s="24"/>
      <c r="P64" s="15">
        <f t="shared" ref="P5:P64" si="2">O64*2.24</f>
        <v>0</v>
      </c>
      <c r="Q64" s="14"/>
      <c r="R64" s="16"/>
      <c r="S64" s="16"/>
      <c r="T64" s="16"/>
      <c r="U64" s="16"/>
    </row>
    <row r="65" spans="1:12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"/>
    </row>
    <row r="66" spans="1:12" x14ac:dyDescent="0.2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"/>
    </row>
    <row r="67" spans="1:12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"/>
    </row>
    <row r="68" spans="1:12" x14ac:dyDescent="0.2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"/>
    </row>
    <row r="69" spans="1:12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"/>
    </row>
    <row r="70" spans="1:12" x14ac:dyDescent="0.2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"/>
    </row>
    <row r="71" spans="1:12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"/>
    </row>
    <row r="72" spans="1:12" x14ac:dyDescent="0.25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7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7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7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7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7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7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7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7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7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7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7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7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7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7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7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7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7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7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7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7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7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7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7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7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7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7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7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7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7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7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7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7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7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7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7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7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7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7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7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7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7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7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7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7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7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7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7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7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7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7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7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7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7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7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7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7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7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7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7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7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7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7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7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7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7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7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7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7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7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7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7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7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7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7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7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7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7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7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7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7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7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7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7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7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7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7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7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7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7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7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7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7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7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7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7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7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7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7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7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7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7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7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7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7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7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7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7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7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7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7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7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7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7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7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7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7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7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7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7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7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7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7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7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7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7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7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7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7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7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7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7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7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7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7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7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7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7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7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7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7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2026-01-08T08:24:31Z</dcterms:created>
  <dcterms:modified xsi:type="dcterms:W3CDTF">2026-01-08T16:04:15Z</dcterms:modified>
</cp:coreProperties>
</file>