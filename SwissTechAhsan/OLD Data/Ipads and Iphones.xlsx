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2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K5" i="1"/>
  <c r="K3" i="1"/>
</calcChain>
</file>

<file path=xl/sharedStrings.xml><?xml version="1.0" encoding="utf-8"?>
<sst xmlns="http://schemas.openxmlformats.org/spreadsheetml/2006/main" count="105" uniqueCount="53">
  <si>
    <t>Category</t>
  </si>
  <si>
    <t>Model</t>
  </si>
  <si>
    <t>Storage</t>
  </si>
  <si>
    <t>Connectivity</t>
  </si>
  <si>
    <t>Colors</t>
  </si>
  <si>
    <t>512GB</t>
  </si>
  <si>
    <t>WiFi</t>
  </si>
  <si>
    <t>Black, Silver</t>
  </si>
  <si>
    <t>128GB</t>
  </si>
  <si>
    <t>Blue, Purple</t>
  </si>
  <si>
    <t>iPad Air 13 M3</t>
  </si>
  <si>
    <t>Blue, Purple, Starlight</t>
  </si>
  <si>
    <t>iPad Air 13 M2</t>
  </si>
  <si>
    <t>Blue, Gray, Silver</t>
  </si>
  <si>
    <t>256GB</t>
  </si>
  <si>
    <t>Gray</t>
  </si>
  <si>
    <t>No.</t>
  </si>
  <si>
    <t>IPADS</t>
  </si>
  <si>
    <t>iPad Pro 13 M5</t>
  </si>
  <si>
    <t>iPad Air 11 M5</t>
  </si>
  <si>
    <t>M2</t>
  </si>
  <si>
    <t>M3</t>
  </si>
  <si>
    <t>M5</t>
  </si>
  <si>
    <t>Costco</t>
  </si>
  <si>
    <t>--</t>
  </si>
  <si>
    <t>website price</t>
  </si>
  <si>
    <t>Harvey Norman</t>
  </si>
  <si>
    <t>in AED</t>
  </si>
  <si>
    <t>Last Selling</t>
  </si>
  <si>
    <t>Website</t>
  </si>
  <si>
    <t xml:space="preserve">Difference </t>
  </si>
  <si>
    <t>Region</t>
  </si>
  <si>
    <t>Qty</t>
  </si>
  <si>
    <t>Price</t>
  </si>
  <si>
    <t>iPhone 17 Air</t>
  </si>
  <si>
    <t>USA</t>
  </si>
  <si>
    <t>Blue</t>
  </si>
  <si>
    <t>iPhone 17</t>
  </si>
  <si>
    <t>Australia</t>
  </si>
  <si>
    <t>Lavender (1), Sage (6)</t>
  </si>
  <si>
    <t>iPhone 17 Pro</t>
  </si>
  <si>
    <t>Orange</t>
  </si>
  <si>
    <t>1TB</t>
  </si>
  <si>
    <t>Hong Kong</t>
  </si>
  <si>
    <t>Silver</t>
  </si>
  <si>
    <t>iPhone 17 Pro Max</t>
  </si>
  <si>
    <t>Blue (2), Orange (17)</t>
  </si>
  <si>
    <t>jb-hifi</t>
  </si>
  <si>
    <t>Cost Co</t>
  </si>
  <si>
    <t>Website Price</t>
  </si>
  <si>
    <t>website</t>
  </si>
  <si>
    <t>difference</t>
  </si>
  <si>
    <t>IPHONES IN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</si>
</sst>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Fill="1" applyBorder="1"/>
    <xf numFmtId="0" fontId="0" fillId="0" borderId="1" xfId="0" quotePrefix="1" applyBorder="1"/>
    <xf numFmtId="0" fontId="0" fillId="0" borderId="6" xfId="0" applyFill="1" applyBorder="1"/>
    <xf numFmtId="0" fontId="0" fillId="2" borderId="0" xfId="0" applyFill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0" fillId="2" borderId="0" xfId="0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R21" sqref="R21"/>
    </sheetView>
  </sheetViews>
  <sheetFormatPr defaultRowHeight="14.4" x14ac:dyDescent="0.3"/>
  <cols>
    <col min="1" max="1" width="3.88671875" style="10" customWidth="1"/>
    <col min="2" max="2" width="15.44140625" customWidth="1"/>
    <col min="3" max="3" width="9.88671875" style="10" customWidth="1"/>
    <col min="4" max="4" width="9.77734375" customWidth="1"/>
    <col min="5" max="5" width="13" customWidth="1"/>
    <col min="6" max="6" width="18.44140625" customWidth="1"/>
    <col min="7" max="7" width="15.5546875" customWidth="1"/>
    <col min="8" max="8" width="14.6640625" customWidth="1"/>
    <col min="9" max="9" width="12.109375" customWidth="1"/>
    <col min="10" max="10" width="13.88671875" style="10" customWidth="1"/>
    <col min="11" max="11" width="12" customWidth="1"/>
    <col min="13" max="13" width="16.21875" customWidth="1"/>
  </cols>
  <sheetData>
    <row r="1" spans="1:16" ht="15.6" x14ac:dyDescent="0.3">
      <c r="A1" s="4" t="s">
        <v>17</v>
      </c>
      <c r="B1" s="5"/>
      <c r="C1" s="5"/>
      <c r="D1" s="5"/>
      <c r="E1" s="5"/>
      <c r="F1" s="5"/>
      <c r="G1" s="5"/>
      <c r="H1" s="5"/>
      <c r="I1" s="6"/>
      <c r="J1" s="3"/>
      <c r="K1" s="2"/>
    </row>
    <row r="2" spans="1:16" x14ac:dyDescent="0.3">
      <c r="A2" s="8" t="s">
        <v>16</v>
      </c>
      <c r="B2" s="7" t="s">
        <v>0</v>
      </c>
      <c r="C2" s="8" t="s">
        <v>1</v>
      </c>
      <c r="D2" s="7" t="s">
        <v>2</v>
      </c>
      <c r="E2" s="7" t="s">
        <v>3</v>
      </c>
      <c r="F2" s="7" t="s">
        <v>4</v>
      </c>
      <c r="G2" s="7" t="s">
        <v>29</v>
      </c>
      <c r="H2" s="7" t="s">
        <v>25</v>
      </c>
      <c r="I2" s="8" t="s">
        <v>27</v>
      </c>
      <c r="J2" s="8" t="s">
        <v>28</v>
      </c>
      <c r="K2" s="7" t="s">
        <v>30</v>
      </c>
    </row>
    <row r="3" spans="1:16" x14ac:dyDescent="0.3">
      <c r="A3" s="9">
        <v>1</v>
      </c>
      <c r="B3" s="1" t="s">
        <v>18</v>
      </c>
      <c r="C3" s="9" t="s">
        <v>22</v>
      </c>
      <c r="D3" s="1" t="s">
        <v>5</v>
      </c>
      <c r="E3" s="1" t="s">
        <v>6</v>
      </c>
      <c r="F3" s="1" t="s">
        <v>7</v>
      </c>
      <c r="G3" s="15" t="s">
        <v>23</v>
      </c>
      <c r="H3" s="1">
        <v>2399</v>
      </c>
      <c r="I3" s="1">
        <v>5277.8</v>
      </c>
      <c r="J3" s="9">
        <v>5120</v>
      </c>
      <c r="K3" s="1">
        <f>J3-I3</f>
        <v>-157.80000000000018</v>
      </c>
      <c r="M3" s="11" t="s">
        <v>23</v>
      </c>
      <c r="P3">
        <v>5277.8</v>
      </c>
    </row>
    <row r="4" spans="1:16" x14ac:dyDescent="0.3">
      <c r="A4" s="9">
        <v>2</v>
      </c>
      <c r="B4" s="1" t="s">
        <v>19</v>
      </c>
      <c r="C4" s="9" t="s">
        <v>22</v>
      </c>
      <c r="D4" s="1" t="s">
        <v>8</v>
      </c>
      <c r="E4" s="1" t="s">
        <v>6</v>
      </c>
      <c r="F4" s="1" t="s">
        <v>9</v>
      </c>
      <c r="G4" s="1"/>
      <c r="H4" s="12" t="s">
        <v>24</v>
      </c>
      <c r="I4" s="1"/>
      <c r="J4" s="9"/>
      <c r="K4" s="1"/>
    </row>
    <row r="5" spans="1:16" x14ac:dyDescent="0.3">
      <c r="A5" s="9">
        <v>3</v>
      </c>
      <c r="B5" s="1" t="s">
        <v>10</v>
      </c>
      <c r="C5" s="9" t="s">
        <v>21</v>
      </c>
      <c r="D5" s="1" t="s">
        <v>8</v>
      </c>
      <c r="E5" s="1" t="s">
        <v>6</v>
      </c>
      <c r="F5" s="1" t="s">
        <v>11</v>
      </c>
      <c r="G5" s="15" t="s">
        <v>26</v>
      </c>
      <c r="H5" s="1">
        <v>1097</v>
      </c>
      <c r="I5" s="1">
        <v>2413.4</v>
      </c>
      <c r="J5" s="9">
        <v>2320</v>
      </c>
      <c r="K5" s="1">
        <f t="shared" ref="K4:K5" si="0">J5-I5</f>
        <v>-93.400000000000091</v>
      </c>
      <c r="M5" s="11" t="s">
        <v>26</v>
      </c>
      <c r="P5">
        <v>2413.4</v>
      </c>
    </row>
    <row r="6" spans="1:16" x14ac:dyDescent="0.3">
      <c r="A6" s="9">
        <v>4</v>
      </c>
      <c r="B6" s="1" t="s">
        <v>12</v>
      </c>
      <c r="C6" s="9" t="s">
        <v>20</v>
      </c>
      <c r="D6" s="1" t="s">
        <v>8</v>
      </c>
      <c r="E6" s="1" t="s">
        <v>6</v>
      </c>
      <c r="F6" s="1" t="s">
        <v>13</v>
      </c>
      <c r="G6" s="15" t="s">
        <v>26</v>
      </c>
      <c r="H6" s="1">
        <v>1187</v>
      </c>
      <c r="I6" s="1">
        <v>2611.3999999999996</v>
      </c>
      <c r="J6" s="9"/>
      <c r="K6" s="1"/>
      <c r="M6" s="11" t="s">
        <v>26</v>
      </c>
      <c r="P6">
        <v>2611.3999999999996</v>
      </c>
    </row>
    <row r="7" spans="1:16" x14ac:dyDescent="0.3">
      <c r="A7" s="9">
        <v>5</v>
      </c>
      <c r="B7" s="1" t="s">
        <v>12</v>
      </c>
      <c r="C7" s="9" t="s">
        <v>20</v>
      </c>
      <c r="D7" s="1" t="s">
        <v>14</v>
      </c>
      <c r="E7" s="1" t="s">
        <v>6</v>
      </c>
      <c r="F7" s="1" t="s">
        <v>15</v>
      </c>
      <c r="G7" s="15" t="s">
        <v>26</v>
      </c>
      <c r="H7" s="1">
        <v>1337</v>
      </c>
      <c r="I7" s="1">
        <v>2941.4</v>
      </c>
      <c r="J7" s="9"/>
      <c r="K7" s="1"/>
      <c r="M7" s="13" t="s">
        <v>26</v>
      </c>
      <c r="P7">
        <v>2941.4</v>
      </c>
    </row>
    <row r="8" spans="1:16" x14ac:dyDescent="0.3">
      <c r="A8" s="9">
        <v>6</v>
      </c>
      <c r="B8" s="1" t="s">
        <v>12</v>
      </c>
      <c r="C8" s="9" t="s">
        <v>20</v>
      </c>
      <c r="D8" s="1" t="s">
        <v>5</v>
      </c>
      <c r="E8" s="1" t="s">
        <v>6</v>
      </c>
      <c r="F8" s="1" t="s">
        <v>15</v>
      </c>
      <c r="G8" s="15" t="s">
        <v>26</v>
      </c>
      <c r="H8" s="1">
        <v>1687</v>
      </c>
      <c r="I8" s="1">
        <v>3711.3999999999996</v>
      </c>
      <c r="J8" s="9"/>
      <c r="K8" s="1"/>
      <c r="M8" s="13" t="s">
        <v>26</v>
      </c>
      <c r="P8">
        <v>3711.3999999999996</v>
      </c>
    </row>
    <row r="9" spans="1:16" ht="15.6" x14ac:dyDescent="0.3">
      <c r="A9" s="4" t="s">
        <v>52</v>
      </c>
      <c r="B9" s="5"/>
      <c r="C9" s="5"/>
      <c r="D9" s="5"/>
      <c r="E9" s="5"/>
      <c r="F9" s="5"/>
      <c r="G9" s="5"/>
      <c r="H9" s="5"/>
      <c r="I9" s="6"/>
      <c r="J9" s="21"/>
      <c r="K9" s="14"/>
    </row>
    <row r="10" spans="1:16" ht="15.6" x14ac:dyDescent="0.3">
      <c r="A10" s="16" t="s">
        <v>16</v>
      </c>
      <c r="B10" s="17" t="s">
        <v>1</v>
      </c>
      <c r="C10" s="16" t="s">
        <v>2</v>
      </c>
      <c r="D10" s="17" t="s">
        <v>31</v>
      </c>
      <c r="E10" s="17" t="s">
        <v>32</v>
      </c>
      <c r="F10" s="17" t="s">
        <v>4</v>
      </c>
      <c r="G10" s="17" t="s">
        <v>33</v>
      </c>
      <c r="H10" s="17" t="s">
        <v>49</v>
      </c>
      <c r="I10" s="16" t="s">
        <v>27</v>
      </c>
      <c r="J10" s="16" t="s">
        <v>50</v>
      </c>
      <c r="K10" s="17" t="s">
        <v>51</v>
      </c>
    </row>
    <row r="11" spans="1:16" x14ac:dyDescent="0.3">
      <c r="A11" s="9">
        <v>1</v>
      </c>
      <c r="B11" s="1" t="s">
        <v>34</v>
      </c>
      <c r="C11" s="9" t="s">
        <v>5</v>
      </c>
      <c r="D11" s="1" t="s">
        <v>35</v>
      </c>
      <c r="E11" s="1">
        <v>22</v>
      </c>
      <c r="F11" s="1" t="s">
        <v>36</v>
      </c>
      <c r="G11" s="1">
        <v>3840</v>
      </c>
      <c r="H11" s="22">
        <v>1899</v>
      </c>
      <c r="I11" s="1">
        <v>4177.8</v>
      </c>
      <c r="J11" s="9" t="s">
        <v>47</v>
      </c>
      <c r="K11" s="20">
        <f>G11-I11</f>
        <v>-337.80000000000018</v>
      </c>
    </row>
    <row r="12" spans="1:16" x14ac:dyDescent="0.3">
      <c r="A12" s="9">
        <v>2</v>
      </c>
      <c r="B12" s="1" t="s">
        <v>34</v>
      </c>
      <c r="C12" s="9" t="s">
        <v>14</v>
      </c>
      <c r="D12" s="1" t="s">
        <v>35</v>
      </c>
      <c r="E12" s="1">
        <v>1</v>
      </c>
      <c r="F12" s="1" t="s">
        <v>36</v>
      </c>
      <c r="G12" s="1">
        <v>3500</v>
      </c>
      <c r="H12" s="22">
        <v>1499</v>
      </c>
      <c r="I12" s="1">
        <v>3297.7999999999997</v>
      </c>
      <c r="J12" s="9" t="s">
        <v>47</v>
      </c>
      <c r="K12" s="19">
        <f t="shared" ref="K12:K18" si="1">G12-I12</f>
        <v>202.20000000000027</v>
      </c>
    </row>
    <row r="13" spans="1:16" x14ac:dyDescent="0.3">
      <c r="A13" s="9">
        <v>3</v>
      </c>
      <c r="B13" s="1" t="s">
        <v>37</v>
      </c>
      <c r="C13" s="9" t="s">
        <v>14</v>
      </c>
      <c r="D13" s="1" t="s">
        <v>38</v>
      </c>
      <c r="E13" s="1">
        <v>7</v>
      </c>
      <c r="F13" s="1" t="s">
        <v>39</v>
      </c>
      <c r="G13" s="1">
        <v>3130</v>
      </c>
      <c r="H13" s="22">
        <v>1399</v>
      </c>
      <c r="I13" s="1">
        <v>3077.7999999999997</v>
      </c>
      <c r="J13" s="9" t="s">
        <v>47</v>
      </c>
      <c r="K13" s="19">
        <f t="shared" si="1"/>
        <v>52.200000000000273</v>
      </c>
    </row>
    <row r="14" spans="1:16" x14ac:dyDescent="0.3">
      <c r="A14" s="9">
        <v>4</v>
      </c>
      <c r="B14" s="1" t="s">
        <v>37</v>
      </c>
      <c r="C14" s="9" t="s">
        <v>5</v>
      </c>
      <c r="D14" s="1" t="s">
        <v>38</v>
      </c>
      <c r="E14" s="1">
        <v>1</v>
      </c>
      <c r="F14" s="1" t="s">
        <v>36</v>
      </c>
      <c r="G14" s="1">
        <v>4060</v>
      </c>
      <c r="H14" s="22">
        <v>1799</v>
      </c>
      <c r="I14" s="1">
        <v>3957.8</v>
      </c>
      <c r="J14" s="9" t="s">
        <v>47</v>
      </c>
      <c r="K14" s="19">
        <f t="shared" si="1"/>
        <v>102.19999999999982</v>
      </c>
    </row>
    <row r="15" spans="1:16" x14ac:dyDescent="0.3">
      <c r="A15" s="9">
        <v>5</v>
      </c>
      <c r="B15" s="1" t="s">
        <v>40</v>
      </c>
      <c r="C15" s="9" t="s">
        <v>14</v>
      </c>
      <c r="D15" s="1" t="s">
        <v>38</v>
      </c>
      <c r="E15" s="1">
        <v>2</v>
      </c>
      <c r="F15" s="1" t="s">
        <v>41</v>
      </c>
      <c r="G15" s="1">
        <v>4520</v>
      </c>
      <c r="H15" s="22">
        <v>1929</v>
      </c>
      <c r="I15" s="1">
        <v>4243.7999999999993</v>
      </c>
      <c r="J15" s="9" t="s">
        <v>48</v>
      </c>
      <c r="K15" s="19">
        <f t="shared" si="1"/>
        <v>276.20000000000073</v>
      </c>
    </row>
    <row r="16" spans="1:16" x14ac:dyDescent="0.3">
      <c r="A16" s="9">
        <v>6</v>
      </c>
      <c r="B16" s="1" t="s">
        <v>40</v>
      </c>
      <c r="C16" s="9" t="s">
        <v>5</v>
      </c>
      <c r="D16" s="1" t="s">
        <v>38</v>
      </c>
      <c r="E16" s="1">
        <v>4</v>
      </c>
      <c r="F16" s="1" t="s">
        <v>36</v>
      </c>
      <c r="G16" s="1">
        <v>5340</v>
      </c>
      <c r="H16" s="22">
        <v>2319.9899999999998</v>
      </c>
      <c r="I16" s="1">
        <v>5103.9780000000001</v>
      </c>
      <c r="J16" s="9" t="s">
        <v>48</v>
      </c>
      <c r="K16" s="19">
        <f t="shared" si="1"/>
        <v>236.02199999999993</v>
      </c>
    </row>
    <row r="17" spans="1:11" x14ac:dyDescent="0.3">
      <c r="A17" s="9">
        <v>7</v>
      </c>
      <c r="B17" s="1" t="s">
        <v>40</v>
      </c>
      <c r="C17" s="9" t="s">
        <v>42</v>
      </c>
      <c r="D17" s="1" t="s">
        <v>43</v>
      </c>
      <c r="E17" s="1">
        <v>1</v>
      </c>
      <c r="F17" s="1" t="s">
        <v>44</v>
      </c>
      <c r="G17" s="1">
        <v>6170</v>
      </c>
      <c r="H17" s="22">
        <v>2699.99</v>
      </c>
      <c r="I17" s="1">
        <v>5939.9780000000001</v>
      </c>
      <c r="J17" s="9" t="s">
        <v>48</v>
      </c>
      <c r="K17" s="19">
        <f t="shared" si="1"/>
        <v>230.02199999999993</v>
      </c>
    </row>
    <row r="18" spans="1:11" x14ac:dyDescent="0.3">
      <c r="A18" s="9">
        <v>8</v>
      </c>
      <c r="B18" s="1" t="s">
        <v>45</v>
      </c>
      <c r="C18" s="9" t="s">
        <v>14</v>
      </c>
      <c r="D18" s="1" t="s">
        <v>38</v>
      </c>
      <c r="E18" s="1">
        <v>19</v>
      </c>
      <c r="F18" s="1" t="s">
        <v>46</v>
      </c>
      <c r="G18" s="18">
        <v>4900</v>
      </c>
      <c r="H18" s="22">
        <v>2099.9899999999998</v>
      </c>
      <c r="I18" s="1">
        <v>4619.9780000000001</v>
      </c>
      <c r="J18" s="9" t="s">
        <v>48</v>
      </c>
      <c r="K18" s="19">
        <f t="shared" si="1"/>
        <v>280.02199999999993</v>
      </c>
    </row>
  </sheetData>
  <mergeCells count="2">
    <mergeCell ref="A1:I1"/>
    <mergeCell ref="A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2026-01-10T13:22:21Z</dcterms:created>
  <dcterms:modified xsi:type="dcterms:W3CDTF">2026-01-10T17:11:59Z</dcterms:modified>
</cp:coreProperties>
</file>