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9" i="1" l="1"/>
  <c r="N40" i="1"/>
  <c r="N43" i="1"/>
  <c r="N44" i="1"/>
  <c r="N45" i="1"/>
  <c r="N46" i="1"/>
  <c r="N47" i="1"/>
  <c r="M39" i="1"/>
  <c r="M40" i="1"/>
  <c r="M43" i="1"/>
  <c r="M44" i="1"/>
  <c r="M45" i="1"/>
  <c r="M46" i="1"/>
  <c r="M47" i="1"/>
  <c r="L39" i="1"/>
  <c r="L40" i="1"/>
  <c r="L43" i="1"/>
  <c r="L44" i="1"/>
  <c r="L45" i="1"/>
  <c r="L46" i="1"/>
  <c r="L47" i="1"/>
  <c r="K39" i="1"/>
  <c r="K40" i="1"/>
  <c r="K43" i="1"/>
  <c r="K44" i="1"/>
  <c r="K45" i="1"/>
  <c r="K46" i="1"/>
  <c r="K47" i="1"/>
  <c r="I39" i="1"/>
  <c r="I40" i="1"/>
  <c r="I43" i="1"/>
  <c r="I44" i="1"/>
  <c r="I45" i="1"/>
  <c r="I46" i="1"/>
  <c r="I47" i="1"/>
  <c r="N28" i="1" l="1"/>
  <c r="N29" i="1"/>
  <c r="N30" i="1"/>
  <c r="N31" i="1"/>
  <c r="N32" i="1"/>
  <c r="N33" i="1"/>
  <c r="N34" i="1"/>
  <c r="N35" i="1"/>
  <c r="N36" i="1"/>
  <c r="N37" i="1"/>
  <c r="N38" i="1"/>
  <c r="N27" i="1"/>
  <c r="M28" i="1"/>
  <c r="M29" i="1"/>
  <c r="M30" i="1"/>
  <c r="M31" i="1"/>
  <c r="M32" i="1"/>
  <c r="M33" i="1"/>
  <c r="M34" i="1"/>
  <c r="M35" i="1"/>
  <c r="M36" i="1"/>
  <c r="M37" i="1"/>
  <c r="M38" i="1"/>
  <c r="M27" i="1"/>
  <c r="L28" i="1"/>
  <c r="L29" i="1"/>
  <c r="L30" i="1"/>
  <c r="L31" i="1"/>
  <c r="L32" i="1"/>
  <c r="L33" i="1"/>
  <c r="L34" i="1"/>
  <c r="L35" i="1"/>
  <c r="L36" i="1"/>
  <c r="L37" i="1"/>
  <c r="L38" i="1"/>
  <c r="L27" i="1"/>
  <c r="K28" i="1"/>
  <c r="K29" i="1"/>
  <c r="K30" i="1"/>
  <c r="K31" i="1"/>
  <c r="K32" i="1"/>
  <c r="K33" i="1"/>
  <c r="K34" i="1"/>
  <c r="K35" i="1"/>
  <c r="K36" i="1"/>
  <c r="K37" i="1"/>
  <c r="K38" i="1"/>
  <c r="K27" i="1"/>
  <c r="I28" i="1"/>
  <c r="I29" i="1"/>
  <c r="I30" i="1"/>
  <c r="I31" i="1"/>
  <c r="I32" i="1"/>
  <c r="I33" i="1"/>
  <c r="I34" i="1"/>
  <c r="I35" i="1"/>
  <c r="I36" i="1"/>
  <c r="I37" i="1"/>
  <c r="I38" i="1"/>
  <c r="I27" i="1"/>
  <c r="N6" i="1" l="1"/>
  <c r="N9" i="1"/>
  <c r="M5" i="1"/>
  <c r="M6" i="1"/>
  <c r="M7" i="1"/>
  <c r="M8" i="1"/>
  <c r="M9" i="1"/>
  <c r="M10" i="1"/>
  <c r="M11" i="1"/>
  <c r="M12" i="1"/>
  <c r="M4" i="1"/>
  <c r="L5" i="1"/>
  <c r="L6" i="1"/>
  <c r="L7" i="1"/>
  <c r="L8" i="1"/>
  <c r="L9" i="1"/>
  <c r="L10" i="1"/>
  <c r="L11" i="1"/>
  <c r="L12" i="1"/>
  <c r="L4" i="1"/>
  <c r="K5" i="1"/>
  <c r="K6" i="1"/>
  <c r="K7" i="1"/>
  <c r="K8" i="1"/>
  <c r="K9" i="1"/>
  <c r="K10" i="1"/>
  <c r="K11" i="1"/>
  <c r="K12" i="1"/>
  <c r="K4" i="1"/>
  <c r="I5" i="1"/>
  <c r="I6" i="1"/>
  <c r="I7" i="1"/>
  <c r="I8" i="1"/>
  <c r="I9" i="1"/>
  <c r="I10" i="1"/>
  <c r="I11" i="1"/>
  <c r="I12" i="1"/>
  <c r="I4" i="1"/>
</calcChain>
</file>

<file path=xl/sharedStrings.xml><?xml version="1.0" encoding="utf-8"?>
<sst xmlns="http://schemas.openxmlformats.org/spreadsheetml/2006/main" count="246" uniqueCount="60">
  <si>
    <t>Chip</t>
  </si>
  <si>
    <t>RAM</t>
  </si>
  <si>
    <t>Storage</t>
  </si>
  <si>
    <t>Color</t>
  </si>
  <si>
    <t>MacBook Air 13" M3</t>
  </si>
  <si>
    <t>13"</t>
  </si>
  <si>
    <t>M3</t>
  </si>
  <si>
    <t>8GB</t>
  </si>
  <si>
    <t>256GB</t>
  </si>
  <si>
    <t>Silver</t>
  </si>
  <si>
    <t>512GB</t>
  </si>
  <si>
    <t>16GB</t>
  </si>
  <si>
    <t>MacBook Air 15" M3</t>
  </si>
  <si>
    <t>15"</t>
  </si>
  <si>
    <t>MacBook Air M1</t>
  </si>
  <si>
    <t>M1</t>
  </si>
  <si>
    <t>MacBook Air M2</t>
  </si>
  <si>
    <t>M2</t>
  </si>
  <si>
    <t>Space Gray, Silver, Starlight, Midnight</t>
  </si>
  <si>
    <t>Space Gray, Silver, Gold</t>
  </si>
  <si>
    <t>Starlight, Space Gray, Silver, Midnight</t>
  </si>
  <si>
    <t>AED</t>
  </si>
  <si>
    <t xml:space="preserve"> GST</t>
  </si>
  <si>
    <t xml:space="preserve"> After GST</t>
  </si>
  <si>
    <t xml:space="preserve"> Result</t>
  </si>
  <si>
    <t>Product Name</t>
  </si>
  <si>
    <t>Size</t>
  </si>
  <si>
    <t>Price (Retail)</t>
  </si>
  <si>
    <t>Price (AED)</t>
  </si>
  <si>
    <t>AUD</t>
  </si>
  <si>
    <t>Dubai</t>
  </si>
  <si>
    <t>Australia</t>
  </si>
  <si>
    <t>MacBook Pro 14" (2023) - M3</t>
  </si>
  <si>
    <t>14"</t>
  </si>
  <si>
    <t>Silver, Space Gray</t>
  </si>
  <si>
    <t>1TB</t>
  </si>
  <si>
    <t>MacBook Pro 14" (2023) - M3 Pro</t>
  </si>
  <si>
    <t>M3 Pro</t>
  </si>
  <si>
    <t>18GB</t>
  </si>
  <si>
    <t>Silver, Space Black</t>
  </si>
  <si>
    <t>MacBook Pro 16" (2023) - M3 Pro</t>
  </si>
  <si>
    <t>16"</t>
  </si>
  <si>
    <t>MacBook Pro 16" (2023) - M3 Max</t>
  </si>
  <si>
    <t>M3 Max</t>
  </si>
  <si>
    <t>36GB</t>
  </si>
  <si>
    <t>MacBook Pro 14" (2024) - M4</t>
  </si>
  <si>
    <t>M4</t>
  </si>
  <si>
    <t>Space Grey, Silver</t>
  </si>
  <si>
    <t>24GB</t>
  </si>
  <si>
    <t>MacBook Pro 14" (2024) - M4 Pro</t>
  </si>
  <si>
    <t>M4 Pro</t>
  </si>
  <si>
    <t>MacBook Pro 14" (2024) - M4 Max</t>
  </si>
  <si>
    <t>M4 Max</t>
  </si>
  <si>
    <t>Space Grey</t>
  </si>
  <si>
    <t>MacBook Pro 16" (2024) - M4 Pro</t>
  </si>
  <si>
    <t>48GB</t>
  </si>
  <si>
    <t>MacBook Pro 16" (2024) - M4 Max</t>
  </si>
  <si>
    <t>MacBook Air 13" (2024) - M3</t>
  </si>
  <si>
    <t>MacBook Air 15" (2024) - M3</t>
  </si>
  <si>
    <t>MacBook Air 13" (2024) - 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</si>
</sst>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[$AED]\ * #,##0.00_);_([$AED]\ * \(#,##0.00\);_([$AED]\ * &quot;-&quot;??_);_(@_)"/>
  </numFmts>
  <fonts count="4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4"/>
      <color theme="1"/>
      <name val="Calibri"/>
      <family val="2"/>
      <charset val="1"/>
      <scheme val="minor"/>
    </font>
    <font>
      <b/>
      <sz val="16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0" fontId="1" fillId="3" borderId="0" xfId="0" applyFont="1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0" borderId="0" xfId="0" applyFill="1" applyAlignment="1">
      <alignment vertical="center" wrapText="1"/>
    </xf>
    <xf numFmtId="164" fontId="3" fillId="4" borderId="0" xfId="0" applyNumberFormat="1" applyFont="1" applyFill="1" applyAlignment="1">
      <alignment horizontal="center" vertical="center" wrapText="1"/>
    </xf>
    <xf numFmtId="2" fontId="3" fillId="2" borderId="0" xfId="0" applyNumberFormat="1" applyFont="1" applyFill="1" applyAlignment="1">
      <alignment horizontal="center" vertical="center" wrapText="1"/>
    </xf>
    <xf numFmtId="2" fontId="0" fillId="0" borderId="0" xfId="0" applyNumberFormat="1"/>
    <xf numFmtId="2" fontId="3" fillId="4" borderId="0" xfId="0" applyNumberFormat="1" applyFont="1" applyFill="1" applyAlignment="1">
      <alignment horizontal="center" vertical="center" wrapText="1"/>
    </xf>
    <xf numFmtId="0" fontId="0" fillId="3" borderId="0" xfId="0" applyFill="1"/>
    <xf numFmtId="2" fontId="0" fillId="3" borderId="0" xfId="0" applyNumberFormat="1" applyFill="1"/>
    <xf numFmtId="2" fontId="0" fillId="2" borderId="0" xfId="0" applyNumberFormat="1" applyFill="1"/>
    <xf numFmtId="0" fontId="3" fillId="2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164" fontId="3" fillId="5" borderId="0" xfId="0" applyNumberFormat="1" applyFont="1" applyFill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0" fillId="0" borderId="1" xfId="0" applyBorder="1"/>
    <xf numFmtId="2" fontId="0" fillId="0" borderId="1" xfId="0" applyNumberFormat="1" applyBorder="1"/>
    <xf numFmtId="2" fontId="0" fillId="8" borderId="1" xfId="0" applyNumberFormat="1" applyFill="1" applyBorder="1"/>
    <xf numFmtId="0" fontId="3" fillId="6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Fill="1" applyBorder="1" applyAlignment="1">
      <alignment horizontal="center"/>
    </xf>
    <xf numFmtId="0" fontId="0" fillId="0" borderId="0" xfId="0" applyFill="1"/>
    <xf numFmtId="0" fontId="0" fillId="0" borderId="1" xfId="0" applyFill="1" applyBorder="1"/>
    <xf numFmtId="2" fontId="0" fillId="0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52"/>
  <sheetViews>
    <sheetView tabSelected="1" topLeftCell="A40" workbookViewId="0">
      <selection activeCell="F50" sqref="F50:H52"/>
    </sheetView>
  </sheetViews>
  <sheetFormatPr defaultRowHeight="18" x14ac:dyDescent="0.35"/>
  <cols>
    <col min="2" max="2" width="21" style="3" customWidth="1"/>
    <col min="3" max="5" width="8.88671875" style="3"/>
    <col min="6" max="6" width="11.109375" style="3" customWidth="1"/>
    <col min="7" max="7" width="17.109375" style="3" customWidth="1"/>
    <col min="8" max="8" width="14.109375" style="3" customWidth="1"/>
    <col min="9" max="9" width="9.6640625" style="3" customWidth="1"/>
    <col min="12" max="12" width="11.88671875" style="9" customWidth="1"/>
    <col min="13" max="13" width="13.109375" customWidth="1"/>
    <col min="14" max="14" width="15.77734375" customWidth="1"/>
  </cols>
  <sheetData>
    <row r="2" spans="2:14" ht="21" x14ac:dyDescent="0.4">
      <c r="H2" s="24" t="s">
        <v>30</v>
      </c>
      <c r="I2" s="24"/>
      <c r="J2" s="25" t="s">
        <v>31</v>
      </c>
      <c r="K2" s="25"/>
      <c r="L2" s="25"/>
      <c r="M2" s="25"/>
    </row>
    <row r="3" spans="2:14" ht="42" x14ac:dyDescent="0.3">
      <c r="B3" s="14" t="s">
        <v>25</v>
      </c>
      <c r="C3" s="14" t="s">
        <v>26</v>
      </c>
      <c r="D3" s="14" t="s">
        <v>0</v>
      </c>
      <c r="E3" s="14" t="s">
        <v>1</v>
      </c>
      <c r="F3" s="14" t="s">
        <v>2</v>
      </c>
      <c r="G3" s="14" t="s">
        <v>3</v>
      </c>
      <c r="H3" s="15" t="s">
        <v>27</v>
      </c>
      <c r="I3" s="16" t="s">
        <v>28</v>
      </c>
      <c r="J3" s="7" t="s">
        <v>29</v>
      </c>
      <c r="K3" s="7" t="s">
        <v>21</v>
      </c>
      <c r="L3" s="10" t="s">
        <v>22</v>
      </c>
      <c r="M3" s="7" t="s">
        <v>23</v>
      </c>
      <c r="N3" s="8" t="s">
        <v>24</v>
      </c>
    </row>
    <row r="4" spans="2:14" ht="28.8" x14ac:dyDescent="0.3">
      <c r="B4" s="4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18</v>
      </c>
      <c r="H4" s="5">
        <v>820</v>
      </c>
      <c r="I4" s="5">
        <f>H4*3.674</f>
        <v>3012.68</v>
      </c>
      <c r="J4" s="5"/>
      <c r="K4" s="11">
        <f>J4*2.35</f>
        <v>0</v>
      </c>
      <c r="L4" s="12">
        <f>K4/11</f>
        <v>0</v>
      </c>
      <c r="M4" s="12">
        <f>K4-L4</f>
        <v>0</v>
      </c>
      <c r="N4" s="12"/>
    </row>
    <row r="5" spans="2:14" ht="28.8" x14ac:dyDescent="0.3">
      <c r="B5" s="4" t="s">
        <v>4</v>
      </c>
      <c r="C5" s="5" t="s">
        <v>5</v>
      </c>
      <c r="D5" s="5" t="s">
        <v>6</v>
      </c>
      <c r="E5" s="5" t="s">
        <v>7</v>
      </c>
      <c r="F5" s="5" t="s">
        <v>10</v>
      </c>
      <c r="G5" s="5" t="s">
        <v>18</v>
      </c>
      <c r="H5" s="5">
        <v>910</v>
      </c>
      <c r="I5" s="5">
        <f t="shared" ref="I5:I12" si="0">H5*3.674</f>
        <v>3343.34</v>
      </c>
      <c r="J5" s="5"/>
      <c r="K5" s="11">
        <f t="shared" ref="K5:K12" si="1">J5*2.35</f>
        <v>0</v>
      </c>
      <c r="L5" s="12">
        <f t="shared" ref="L5:L12" si="2">K5/11</f>
        <v>0</v>
      </c>
      <c r="M5" s="12">
        <f t="shared" ref="M5:M12" si="3">K5-L5</f>
        <v>0</v>
      </c>
      <c r="N5" s="12"/>
    </row>
    <row r="6" spans="2:14" ht="28.8" x14ac:dyDescent="0.3">
      <c r="B6" s="2" t="s">
        <v>4</v>
      </c>
      <c r="C6" s="1" t="s">
        <v>5</v>
      </c>
      <c r="D6" s="1" t="s">
        <v>6</v>
      </c>
      <c r="E6" s="1" t="s">
        <v>11</v>
      </c>
      <c r="F6" s="1" t="s">
        <v>10</v>
      </c>
      <c r="G6" s="1" t="s">
        <v>18</v>
      </c>
      <c r="H6" s="6">
        <v>1050</v>
      </c>
      <c r="I6" s="6">
        <f t="shared" si="0"/>
        <v>3857.7</v>
      </c>
      <c r="J6" s="6">
        <v>2099</v>
      </c>
      <c r="K6">
        <f t="shared" si="1"/>
        <v>4932.6500000000005</v>
      </c>
      <c r="L6" s="9">
        <f t="shared" si="2"/>
        <v>448.42272727272734</v>
      </c>
      <c r="M6" s="9">
        <f t="shared" si="3"/>
        <v>4484.227272727273</v>
      </c>
      <c r="N6" s="13">
        <f t="shared" ref="N6:N9" si="4">M6-I6</f>
        <v>626.52727272727316</v>
      </c>
    </row>
    <row r="7" spans="2:14" ht="28.8" x14ac:dyDescent="0.3">
      <c r="B7" s="4" t="s">
        <v>12</v>
      </c>
      <c r="C7" s="5" t="s">
        <v>13</v>
      </c>
      <c r="D7" s="5" t="s">
        <v>6</v>
      </c>
      <c r="E7" s="5" t="s">
        <v>7</v>
      </c>
      <c r="F7" s="5" t="s">
        <v>8</v>
      </c>
      <c r="G7" s="5" t="s">
        <v>18</v>
      </c>
      <c r="H7" s="5">
        <v>950</v>
      </c>
      <c r="I7" s="5">
        <f t="shared" si="0"/>
        <v>3490.2999999999997</v>
      </c>
      <c r="J7" s="5"/>
      <c r="K7" s="11">
        <f t="shared" si="1"/>
        <v>0</v>
      </c>
      <c r="L7" s="12">
        <f t="shared" si="2"/>
        <v>0</v>
      </c>
      <c r="M7" s="12">
        <f t="shared" si="3"/>
        <v>0</v>
      </c>
      <c r="N7" s="12"/>
    </row>
    <row r="8" spans="2:14" ht="28.8" x14ac:dyDescent="0.3">
      <c r="B8" s="4" t="s">
        <v>12</v>
      </c>
      <c r="C8" s="5" t="s">
        <v>13</v>
      </c>
      <c r="D8" s="5" t="s">
        <v>6</v>
      </c>
      <c r="E8" s="5" t="s">
        <v>7</v>
      </c>
      <c r="F8" s="5" t="s">
        <v>10</v>
      </c>
      <c r="G8" s="5" t="s">
        <v>18</v>
      </c>
      <c r="H8" s="5">
        <v>1050</v>
      </c>
      <c r="I8" s="5">
        <f t="shared" si="0"/>
        <v>3857.7</v>
      </c>
      <c r="J8" s="5"/>
      <c r="K8" s="11">
        <f t="shared" si="1"/>
        <v>0</v>
      </c>
      <c r="L8" s="12">
        <f t="shared" si="2"/>
        <v>0</v>
      </c>
      <c r="M8" s="12">
        <f t="shared" si="3"/>
        <v>0</v>
      </c>
      <c r="N8" s="12"/>
    </row>
    <row r="9" spans="2:14" ht="28.8" x14ac:dyDescent="0.3">
      <c r="B9" s="2" t="s">
        <v>12</v>
      </c>
      <c r="C9" s="1" t="s">
        <v>13</v>
      </c>
      <c r="D9" s="1" t="s">
        <v>6</v>
      </c>
      <c r="E9" s="1" t="s">
        <v>11</v>
      </c>
      <c r="F9" s="1" t="s">
        <v>10</v>
      </c>
      <c r="G9" s="1" t="s">
        <v>18</v>
      </c>
      <c r="H9" s="6">
        <v>1200</v>
      </c>
      <c r="I9" s="6">
        <f t="shared" si="0"/>
        <v>4408.8</v>
      </c>
      <c r="J9" s="1">
        <v>2499</v>
      </c>
      <c r="K9">
        <f t="shared" si="1"/>
        <v>5872.6500000000005</v>
      </c>
      <c r="L9" s="9">
        <f t="shared" si="2"/>
        <v>533.87727272727273</v>
      </c>
      <c r="M9" s="9">
        <f t="shared" si="3"/>
        <v>5338.7727272727279</v>
      </c>
      <c r="N9" s="13">
        <f t="shared" si="4"/>
        <v>929.97272727272775</v>
      </c>
    </row>
    <row r="10" spans="2:14" ht="28.8" x14ac:dyDescent="0.3">
      <c r="B10" s="4" t="s">
        <v>14</v>
      </c>
      <c r="C10" s="5" t="s">
        <v>5</v>
      </c>
      <c r="D10" s="5" t="s">
        <v>15</v>
      </c>
      <c r="E10" s="5" t="s">
        <v>7</v>
      </c>
      <c r="F10" s="5" t="s">
        <v>8</v>
      </c>
      <c r="G10" s="5" t="s">
        <v>19</v>
      </c>
      <c r="H10" s="5">
        <v>535</v>
      </c>
      <c r="I10" s="5">
        <f t="shared" si="0"/>
        <v>1965.59</v>
      </c>
      <c r="J10" s="5"/>
      <c r="K10" s="11">
        <f t="shared" si="1"/>
        <v>0</v>
      </c>
      <c r="L10" s="12">
        <f t="shared" si="2"/>
        <v>0</v>
      </c>
      <c r="M10" s="12">
        <f t="shared" si="3"/>
        <v>0</v>
      </c>
      <c r="N10" s="12"/>
    </row>
    <row r="11" spans="2:14" ht="43.2" x14ac:dyDescent="0.3">
      <c r="B11" s="4" t="s">
        <v>16</v>
      </c>
      <c r="C11" s="5" t="s">
        <v>5</v>
      </c>
      <c r="D11" s="5" t="s">
        <v>17</v>
      </c>
      <c r="E11" s="5" t="s">
        <v>7</v>
      </c>
      <c r="F11" s="5" t="s">
        <v>8</v>
      </c>
      <c r="G11" s="5" t="s">
        <v>20</v>
      </c>
      <c r="H11" s="5">
        <v>670</v>
      </c>
      <c r="I11" s="5">
        <f t="shared" si="0"/>
        <v>2461.58</v>
      </c>
      <c r="J11" s="5"/>
      <c r="K11" s="11">
        <f t="shared" si="1"/>
        <v>0</v>
      </c>
      <c r="L11" s="12">
        <f t="shared" si="2"/>
        <v>0</v>
      </c>
      <c r="M11" s="12">
        <f t="shared" si="3"/>
        <v>0</v>
      </c>
      <c r="N11" s="12"/>
    </row>
    <row r="12" spans="2:14" ht="43.2" x14ac:dyDescent="0.3">
      <c r="B12" s="4" t="s">
        <v>16</v>
      </c>
      <c r="C12" s="5" t="s">
        <v>5</v>
      </c>
      <c r="D12" s="5" t="s">
        <v>17</v>
      </c>
      <c r="E12" s="5" t="s">
        <v>7</v>
      </c>
      <c r="F12" s="5" t="s">
        <v>10</v>
      </c>
      <c r="G12" s="5" t="s">
        <v>20</v>
      </c>
      <c r="H12" s="5">
        <v>800</v>
      </c>
      <c r="I12" s="5">
        <f t="shared" si="0"/>
        <v>2939.2</v>
      </c>
      <c r="J12" s="5"/>
      <c r="K12" s="11">
        <f t="shared" si="1"/>
        <v>0</v>
      </c>
      <c r="L12" s="12">
        <f t="shared" si="2"/>
        <v>0</v>
      </c>
      <c r="M12" s="12">
        <f t="shared" si="3"/>
        <v>0</v>
      </c>
      <c r="N12" s="12"/>
    </row>
    <row r="13" spans="2:14" x14ac:dyDescent="0.35">
      <c r="I13" s="6"/>
    </row>
    <row r="14" spans="2:14" ht="21" x14ac:dyDescent="0.4">
      <c r="H14" s="24" t="s">
        <v>30</v>
      </c>
      <c r="I14" s="24"/>
      <c r="J14" s="25" t="s">
        <v>31</v>
      </c>
      <c r="K14" s="25"/>
      <c r="L14" s="25"/>
      <c r="M14" s="25"/>
    </row>
    <row r="15" spans="2:14" ht="42" x14ac:dyDescent="0.3">
      <c r="B15" s="14" t="s">
        <v>25</v>
      </c>
      <c r="C15" s="14" t="s">
        <v>26</v>
      </c>
      <c r="D15" s="14" t="s">
        <v>0</v>
      </c>
      <c r="E15" s="14" t="s">
        <v>1</v>
      </c>
      <c r="F15" s="14" t="s">
        <v>2</v>
      </c>
      <c r="G15" s="14" t="s">
        <v>3</v>
      </c>
      <c r="H15" s="15" t="s">
        <v>27</v>
      </c>
      <c r="I15" s="16" t="s">
        <v>28</v>
      </c>
      <c r="J15" s="7" t="s">
        <v>29</v>
      </c>
      <c r="K15" s="7" t="s">
        <v>21</v>
      </c>
      <c r="L15" s="10" t="s">
        <v>22</v>
      </c>
      <c r="M15" s="7" t="s">
        <v>23</v>
      </c>
      <c r="N15" s="8" t="s">
        <v>24</v>
      </c>
    </row>
    <row r="16" spans="2:14" ht="28.8" x14ac:dyDescent="0.35">
      <c r="B16" s="4" t="s">
        <v>32</v>
      </c>
      <c r="C16" s="5" t="s">
        <v>33</v>
      </c>
      <c r="D16" s="5" t="s">
        <v>6</v>
      </c>
      <c r="E16" s="5" t="s">
        <v>7</v>
      </c>
      <c r="F16" s="5" t="s">
        <v>10</v>
      </c>
      <c r="G16" s="5" t="s">
        <v>34</v>
      </c>
      <c r="H16" s="5">
        <v>1070</v>
      </c>
      <c r="I16" s="17"/>
      <c r="J16" s="11"/>
      <c r="K16" s="11"/>
      <c r="L16" s="12"/>
      <c r="M16" s="11"/>
      <c r="N16" s="11"/>
    </row>
    <row r="17" spans="2:14" x14ac:dyDescent="0.35">
      <c r="B17" s="5"/>
      <c r="C17" s="5" t="s">
        <v>33</v>
      </c>
      <c r="D17" s="5" t="s">
        <v>6</v>
      </c>
      <c r="E17" s="5" t="s">
        <v>7</v>
      </c>
      <c r="F17" s="5" t="s">
        <v>35</v>
      </c>
      <c r="G17" s="5" t="s">
        <v>34</v>
      </c>
      <c r="H17" s="5">
        <v>1200</v>
      </c>
      <c r="I17" s="17"/>
      <c r="J17" s="11"/>
      <c r="K17" s="11"/>
      <c r="L17" s="12"/>
      <c r="M17" s="11"/>
      <c r="N17" s="11"/>
    </row>
    <row r="18" spans="2:14" ht="28.8" x14ac:dyDescent="0.35">
      <c r="B18" s="4" t="s">
        <v>36</v>
      </c>
      <c r="C18" s="5" t="s">
        <v>33</v>
      </c>
      <c r="D18" s="5" t="s">
        <v>37</v>
      </c>
      <c r="E18" s="5" t="s">
        <v>38</v>
      </c>
      <c r="F18" s="5" t="s">
        <v>10</v>
      </c>
      <c r="G18" s="5" t="s">
        <v>39</v>
      </c>
      <c r="H18" s="5">
        <v>1400</v>
      </c>
      <c r="I18" s="17"/>
      <c r="J18" s="11"/>
      <c r="K18" s="11"/>
      <c r="L18" s="12"/>
      <c r="M18" s="11"/>
      <c r="N18" s="11"/>
    </row>
    <row r="19" spans="2:14" x14ac:dyDescent="0.35">
      <c r="B19" s="5"/>
      <c r="C19" s="5" t="s">
        <v>33</v>
      </c>
      <c r="D19" s="5" t="s">
        <v>37</v>
      </c>
      <c r="E19" s="5" t="s">
        <v>38</v>
      </c>
      <c r="F19" s="5" t="s">
        <v>35</v>
      </c>
      <c r="G19" s="5" t="s">
        <v>39</v>
      </c>
      <c r="H19" s="5">
        <v>1750</v>
      </c>
      <c r="I19" s="17"/>
      <c r="J19" s="11"/>
      <c r="K19" s="11"/>
      <c r="L19" s="12"/>
      <c r="M19" s="11"/>
      <c r="N19" s="11"/>
    </row>
    <row r="20" spans="2:14" ht="28.8" x14ac:dyDescent="0.35">
      <c r="B20" s="4" t="s">
        <v>40</v>
      </c>
      <c r="C20" s="5" t="s">
        <v>41</v>
      </c>
      <c r="D20" s="5" t="s">
        <v>37</v>
      </c>
      <c r="E20" s="5" t="s">
        <v>38</v>
      </c>
      <c r="F20" s="5" t="s">
        <v>10</v>
      </c>
      <c r="G20" s="5" t="s">
        <v>39</v>
      </c>
      <c r="H20" s="5">
        <v>1650</v>
      </c>
      <c r="I20" s="17"/>
      <c r="J20" s="11"/>
      <c r="K20" s="11"/>
      <c r="L20" s="12"/>
      <c r="M20" s="11"/>
      <c r="N20" s="11"/>
    </row>
    <row r="21" spans="2:14" x14ac:dyDescent="0.35">
      <c r="B21" s="5"/>
      <c r="C21" s="5" t="s">
        <v>41</v>
      </c>
      <c r="D21" s="5" t="s">
        <v>37</v>
      </c>
      <c r="E21" s="5" t="s">
        <v>38</v>
      </c>
      <c r="F21" s="5" t="s">
        <v>35</v>
      </c>
      <c r="G21" s="5" t="s">
        <v>39</v>
      </c>
      <c r="H21" s="5">
        <v>1900</v>
      </c>
      <c r="I21" s="17"/>
      <c r="J21" s="11"/>
      <c r="K21" s="11"/>
      <c r="L21" s="12"/>
      <c r="M21" s="11"/>
      <c r="N21" s="11"/>
    </row>
    <row r="22" spans="2:14" ht="28.8" x14ac:dyDescent="0.35">
      <c r="B22" s="4" t="s">
        <v>42</v>
      </c>
      <c r="C22" s="5" t="s">
        <v>41</v>
      </c>
      <c r="D22" s="5" t="s">
        <v>43</v>
      </c>
      <c r="E22" s="5" t="s">
        <v>44</v>
      </c>
      <c r="F22" s="5" t="s">
        <v>35</v>
      </c>
      <c r="G22" s="5" t="s">
        <v>39</v>
      </c>
      <c r="H22" s="5">
        <v>2325</v>
      </c>
      <c r="I22" s="17"/>
      <c r="J22" s="11"/>
      <c r="K22" s="11"/>
      <c r="L22" s="12"/>
      <c r="M22" s="11"/>
      <c r="N22" s="11"/>
    </row>
    <row r="25" spans="2:14" ht="21" x14ac:dyDescent="0.4">
      <c r="H25" s="24" t="s">
        <v>30</v>
      </c>
      <c r="I25" s="24"/>
      <c r="J25" s="25" t="s">
        <v>31</v>
      </c>
      <c r="K25" s="25"/>
      <c r="L25" s="25"/>
      <c r="M25" s="25"/>
    </row>
    <row r="26" spans="2:14" ht="42" x14ac:dyDescent="0.3">
      <c r="B26" s="14" t="s">
        <v>25</v>
      </c>
      <c r="C26" s="14" t="s">
        <v>26</v>
      </c>
      <c r="D26" s="14" t="s">
        <v>0</v>
      </c>
      <c r="E26" s="14" t="s">
        <v>1</v>
      </c>
      <c r="F26" s="14" t="s">
        <v>2</v>
      </c>
      <c r="G26" s="14" t="s">
        <v>3</v>
      </c>
      <c r="H26" s="15" t="s">
        <v>27</v>
      </c>
      <c r="I26" s="16" t="s">
        <v>28</v>
      </c>
      <c r="J26" s="7" t="s">
        <v>29</v>
      </c>
      <c r="K26" s="7" t="s">
        <v>21</v>
      </c>
      <c r="L26" s="10" t="s">
        <v>22</v>
      </c>
      <c r="M26" s="7" t="s">
        <v>23</v>
      </c>
      <c r="N26" s="8" t="s">
        <v>24</v>
      </c>
    </row>
    <row r="27" spans="2:14" ht="28.8" x14ac:dyDescent="0.35">
      <c r="B27" s="18" t="s">
        <v>45</v>
      </c>
      <c r="C27" s="19" t="s">
        <v>33</v>
      </c>
      <c r="D27" s="19" t="s">
        <v>46</v>
      </c>
      <c r="E27" s="19" t="s">
        <v>11</v>
      </c>
      <c r="F27" s="19" t="s">
        <v>10</v>
      </c>
      <c r="G27" s="19" t="s">
        <v>47</v>
      </c>
      <c r="H27" s="19">
        <v>1390</v>
      </c>
      <c r="I27" s="20">
        <f>H27*3.674</f>
        <v>5106.8599999999997</v>
      </c>
      <c r="J27" s="21">
        <v>2499</v>
      </c>
      <c r="K27" s="21">
        <f>J27*2.35</f>
        <v>5872.6500000000005</v>
      </c>
      <c r="L27" s="22">
        <f>K27/11</f>
        <v>533.87727272727273</v>
      </c>
      <c r="M27" s="22">
        <f>K27-L27</f>
        <v>5338.7727272727279</v>
      </c>
      <c r="N27" s="23">
        <f>M27-I27</f>
        <v>231.91272727272826</v>
      </c>
    </row>
    <row r="28" spans="2:14" x14ac:dyDescent="0.35">
      <c r="B28" s="19"/>
      <c r="C28" s="19" t="s">
        <v>33</v>
      </c>
      <c r="D28" s="19" t="s">
        <v>46</v>
      </c>
      <c r="E28" s="19" t="s">
        <v>11</v>
      </c>
      <c r="F28" s="19" t="s">
        <v>35</v>
      </c>
      <c r="G28" s="19" t="s">
        <v>47</v>
      </c>
      <c r="H28" s="19">
        <v>1560</v>
      </c>
      <c r="I28" s="20">
        <f t="shared" ref="I28:I47" si="5">H28*3.674</f>
        <v>5731.44</v>
      </c>
      <c r="J28" s="21">
        <v>2799</v>
      </c>
      <c r="K28" s="21">
        <f t="shared" ref="K28:K47" si="6">J28*2.35</f>
        <v>6577.6500000000005</v>
      </c>
      <c r="L28" s="22">
        <f t="shared" ref="L28:L47" si="7">K28/11</f>
        <v>597.96818181818185</v>
      </c>
      <c r="M28" s="22">
        <f t="shared" ref="M28:M47" si="8">K28-L28</f>
        <v>5979.6818181818189</v>
      </c>
      <c r="N28" s="23">
        <f t="shared" ref="N28:N47" si="9">M28-I28</f>
        <v>248.24181818181933</v>
      </c>
    </row>
    <row r="29" spans="2:14" x14ac:dyDescent="0.35">
      <c r="B29" s="19"/>
      <c r="C29" s="19" t="s">
        <v>33</v>
      </c>
      <c r="D29" s="19" t="s">
        <v>46</v>
      </c>
      <c r="E29" s="19" t="s">
        <v>48</v>
      </c>
      <c r="F29" s="19" t="s">
        <v>35</v>
      </c>
      <c r="G29" s="19" t="s">
        <v>47</v>
      </c>
      <c r="H29" s="19">
        <v>1650</v>
      </c>
      <c r="I29" s="20">
        <f t="shared" si="5"/>
        <v>6062.0999999999995</v>
      </c>
      <c r="J29" s="21">
        <v>3099</v>
      </c>
      <c r="K29" s="21">
        <f t="shared" si="6"/>
        <v>7282.6500000000005</v>
      </c>
      <c r="L29" s="22">
        <f t="shared" si="7"/>
        <v>662.05909090909097</v>
      </c>
      <c r="M29" s="22">
        <f t="shared" si="8"/>
        <v>6620.5909090909099</v>
      </c>
      <c r="N29" s="23">
        <f t="shared" si="9"/>
        <v>558.49090909091046</v>
      </c>
    </row>
    <row r="30" spans="2:14" ht="28.8" x14ac:dyDescent="0.35">
      <c r="B30" s="18" t="s">
        <v>49</v>
      </c>
      <c r="C30" s="19" t="s">
        <v>33</v>
      </c>
      <c r="D30" s="19" t="s">
        <v>50</v>
      </c>
      <c r="E30" s="19" t="s">
        <v>48</v>
      </c>
      <c r="F30" s="19" t="s">
        <v>10</v>
      </c>
      <c r="G30" s="19" t="s">
        <v>47</v>
      </c>
      <c r="H30" s="19">
        <v>1660</v>
      </c>
      <c r="I30" s="20">
        <f t="shared" si="5"/>
        <v>6098.84</v>
      </c>
      <c r="J30" s="21">
        <v>3299</v>
      </c>
      <c r="K30" s="21">
        <f t="shared" si="6"/>
        <v>7752.6500000000005</v>
      </c>
      <c r="L30" s="22">
        <f t="shared" si="7"/>
        <v>704.78636363636372</v>
      </c>
      <c r="M30" s="22">
        <f t="shared" si="8"/>
        <v>7047.8636363636369</v>
      </c>
      <c r="N30" s="23">
        <f t="shared" si="9"/>
        <v>949.0236363636368</v>
      </c>
    </row>
    <row r="31" spans="2:14" x14ac:dyDescent="0.35">
      <c r="B31" s="19"/>
      <c r="C31" s="19" t="s">
        <v>33</v>
      </c>
      <c r="D31" s="19" t="s">
        <v>50</v>
      </c>
      <c r="E31" s="19" t="s">
        <v>48</v>
      </c>
      <c r="F31" s="19" t="s">
        <v>35</v>
      </c>
      <c r="G31" s="19" t="s">
        <v>47</v>
      </c>
      <c r="H31" s="19">
        <v>2050</v>
      </c>
      <c r="I31" s="20">
        <f t="shared" si="5"/>
        <v>7531.7</v>
      </c>
      <c r="J31" s="21">
        <v>3999</v>
      </c>
      <c r="K31" s="21">
        <f t="shared" si="6"/>
        <v>9397.65</v>
      </c>
      <c r="L31" s="22">
        <f t="shared" si="7"/>
        <v>854.33181818181811</v>
      </c>
      <c r="M31" s="22">
        <f t="shared" si="8"/>
        <v>8543.318181818182</v>
      </c>
      <c r="N31" s="23">
        <f t="shared" si="9"/>
        <v>1011.6181818181822</v>
      </c>
    </row>
    <row r="32" spans="2:14" ht="28.8" x14ac:dyDescent="0.35">
      <c r="B32" s="18" t="s">
        <v>51</v>
      </c>
      <c r="C32" s="19" t="s">
        <v>33</v>
      </c>
      <c r="D32" s="19" t="s">
        <v>52</v>
      </c>
      <c r="E32" s="19" t="s">
        <v>44</v>
      </c>
      <c r="F32" s="19" t="s">
        <v>35</v>
      </c>
      <c r="G32" s="19" t="s">
        <v>53</v>
      </c>
      <c r="H32" s="19">
        <v>2475</v>
      </c>
      <c r="I32" s="20">
        <f t="shared" si="5"/>
        <v>9093.15</v>
      </c>
      <c r="J32" s="21">
        <v>4999</v>
      </c>
      <c r="K32" s="21">
        <f t="shared" si="6"/>
        <v>11747.65</v>
      </c>
      <c r="L32" s="22">
        <f t="shared" si="7"/>
        <v>1067.9681818181818</v>
      </c>
      <c r="M32" s="22">
        <f t="shared" si="8"/>
        <v>10679.681818181818</v>
      </c>
      <c r="N32" s="23">
        <f t="shared" si="9"/>
        <v>1586.5318181818184</v>
      </c>
    </row>
    <row r="33" spans="2:14" x14ac:dyDescent="0.35">
      <c r="B33" s="19"/>
      <c r="C33" s="19" t="s">
        <v>33</v>
      </c>
      <c r="D33" s="19" t="s">
        <v>52</v>
      </c>
      <c r="E33" s="19" t="s">
        <v>44</v>
      </c>
      <c r="F33" s="19" t="s">
        <v>35</v>
      </c>
      <c r="G33" s="19" t="s">
        <v>9</v>
      </c>
      <c r="H33" s="19">
        <v>2450</v>
      </c>
      <c r="I33" s="20">
        <f t="shared" si="5"/>
        <v>9001.2999999999993</v>
      </c>
      <c r="J33" s="21">
        <v>4999</v>
      </c>
      <c r="K33" s="21">
        <f t="shared" si="6"/>
        <v>11747.65</v>
      </c>
      <c r="L33" s="22">
        <f t="shared" si="7"/>
        <v>1067.9681818181818</v>
      </c>
      <c r="M33" s="22">
        <f t="shared" si="8"/>
        <v>10679.681818181818</v>
      </c>
      <c r="N33" s="23">
        <f t="shared" si="9"/>
        <v>1678.3818181818187</v>
      </c>
    </row>
    <row r="34" spans="2:14" ht="28.8" x14ac:dyDescent="0.35">
      <c r="B34" s="18" t="s">
        <v>54</v>
      </c>
      <c r="C34" s="19" t="s">
        <v>41</v>
      </c>
      <c r="D34" s="19" t="s">
        <v>50</v>
      </c>
      <c r="E34" s="19" t="s">
        <v>48</v>
      </c>
      <c r="F34" s="19" t="s">
        <v>10</v>
      </c>
      <c r="G34" s="19" t="s">
        <v>47</v>
      </c>
      <c r="H34" s="19">
        <v>2025</v>
      </c>
      <c r="I34" s="20">
        <f t="shared" si="5"/>
        <v>7439.8499999999995</v>
      </c>
      <c r="J34" s="21">
        <v>3999</v>
      </c>
      <c r="K34" s="21">
        <f t="shared" si="6"/>
        <v>9397.65</v>
      </c>
      <c r="L34" s="22">
        <f t="shared" si="7"/>
        <v>854.33181818181811</v>
      </c>
      <c r="M34" s="22">
        <f t="shared" si="8"/>
        <v>8543.318181818182</v>
      </c>
      <c r="N34" s="23">
        <f t="shared" si="9"/>
        <v>1103.4681818181825</v>
      </c>
    </row>
    <row r="35" spans="2:14" x14ac:dyDescent="0.35">
      <c r="B35" s="19"/>
      <c r="C35" s="19" t="s">
        <v>41</v>
      </c>
      <c r="D35" s="19" t="s">
        <v>50</v>
      </c>
      <c r="E35" s="19" t="s">
        <v>55</v>
      </c>
      <c r="F35" s="19" t="s">
        <v>10</v>
      </c>
      <c r="G35" s="19" t="s">
        <v>47</v>
      </c>
      <c r="H35" s="19">
        <v>2375</v>
      </c>
      <c r="I35" s="20">
        <f t="shared" si="5"/>
        <v>8725.75</v>
      </c>
      <c r="J35" s="21">
        <v>4599</v>
      </c>
      <c r="K35" s="21">
        <f t="shared" si="6"/>
        <v>10807.65</v>
      </c>
      <c r="L35" s="22">
        <f t="shared" si="7"/>
        <v>982.51363636363635</v>
      </c>
      <c r="M35" s="22">
        <f t="shared" si="8"/>
        <v>9825.136363636364</v>
      </c>
      <c r="N35" s="23">
        <f t="shared" si="9"/>
        <v>1099.386363636364</v>
      </c>
    </row>
    <row r="36" spans="2:14" ht="28.8" x14ac:dyDescent="0.35">
      <c r="B36" s="18" t="s">
        <v>56</v>
      </c>
      <c r="C36" s="19" t="s">
        <v>41</v>
      </c>
      <c r="D36" s="19" t="s">
        <v>52</v>
      </c>
      <c r="E36" s="19" t="s">
        <v>44</v>
      </c>
      <c r="F36" s="19" t="s">
        <v>35</v>
      </c>
      <c r="G36" s="19" t="s">
        <v>53</v>
      </c>
      <c r="H36" s="19">
        <v>2875</v>
      </c>
      <c r="I36" s="20">
        <f t="shared" si="5"/>
        <v>10562.75</v>
      </c>
      <c r="J36" s="21">
        <v>5699</v>
      </c>
      <c r="K36" s="21">
        <f t="shared" si="6"/>
        <v>13392.65</v>
      </c>
      <c r="L36" s="22">
        <f t="shared" si="7"/>
        <v>1217.5136363636364</v>
      </c>
      <c r="M36" s="22">
        <f t="shared" si="8"/>
        <v>12175.136363636364</v>
      </c>
      <c r="N36" s="23">
        <f t="shared" si="9"/>
        <v>1612.386363636364</v>
      </c>
    </row>
    <row r="37" spans="2:14" x14ac:dyDescent="0.35">
      <c r="B37" s="19"/>
      <c r="C37" s="19" t="s">
        <v>41</v>
      </c>
      <c r="D37" s="19" t="s">
        <v>52</v>
      </c>
      <c r="E37" s="19" t="s">
        <v>44</v>
      </c>
      <c r="F37" s="19" t="s">
        <v>35</v>
      </c>
      <c r="G37" s="19" t="s">
        <v>9</v>
      </c>
      <c r="H37" s="19">
        <v>2850</v>
      </c>
      <c r="I37" s="20">
        <f t="shared" si="5"/>
        <v>10470.9</v>
      </c>
      <c r="J37" s="21">
        <v>5699</v>
      </c>
      <c r="K37" s="21">
        <f t="shared" si="6"/>
        <v>13392.65</v>
      </c>
      <c r="L37" s="22">
        <f t="shared" si="7"/>
        <v>1217.5136363636364</v>
      </c>
      <c r="M37" s="22">
        <f t="shared" si="8"/>
        <v>12175.136363636364</v>
      </c>
      <c r="N37" s="23">
        <f t="shared" si="9"/>
        <v>1704.2363636363643</v>
      </c>
    </row>
    <row r="38" spans="2:14" x14ac:dyDescent="0.35">
      <c r="B38" s="19"/>
      <c r="C38" s="19" t="s">
        <v>41</v>
      </c>
      <c r="D38" s="19" t="s">
        <v>52</v>
      </c>
      <c r="E38" s="19" t="s">
        <v>55</v>
      </c>
      <c r="F38" s="19" t="s">
        <v>35</v>
      </c>
      <c r="G38" s="19" t="s">
        <v>47</v>
      </c>
      <c r="H38" s="19">
        <v>3200</v>
      </c>
      <c r="I38" s="20">
        <f t="shared" si="5"/>
        <v>11756.8</v>
      </c>
      <c r="J38" s="21">
        <v>6499</v>
      </c>
      <c r="K38" s="21">
        <f t="shared" si="6"/>
        <v>15272.650000000001</v>
      </c>
      <c r="L38" s="22">
        <f t="shared" si="7"/>
        <v>1388.4227272727273</v>
      </c>
      <c r="M38" s="22">
        <f t="shared" si="8"/>
        <v>13884.227272727274</v>
      </c>
      <c r="N38" s="23">
        <f t="shared" si="9"/>
        <v>2127.4272727272746</v>
      </c>
    </row>
    <row r="39" spans="2:14" x14ac:dyDescent="0.35">
      <c r="I39" s="27">
        <f t="shared" si="5"/>
        <v>0</v>
      </c>
      <c r="J39" s="28"/>
      <c r="K39" s="29">
        <f t="shared" si="6"/>
        <v>0</v>
      </c>
      <c r="L39" s="30">
        <f t="shared" si="7"/>
        <v>0</v>
      </c>
      <c r="M39" s="30">
        <f t="shared" si="8"/>
        <v>0</v>
      </c>
      <c r="N39" s="30">
        <f t="shared" si="9"/>
        <v>0</v>
      </c>
    </row>
    <row r="40" spans="2:14" x14ac:dyDescent="0.35">
      <c r="I40" s="27">
        <f t="shared" si="5"/>
        <v>0</v>
      </c>
      <c r="J40" s="28"/>
      <c r="K40" s="29">
        <f t="shared" si="6"/>
        <v>0</v>
      </c>
      <c r="L40" s="30">
        <f t="shared" si="7"/>
        <v>0</v>
      </c>
      <c r="M40" s="30">
        <f t="shared" si="8"/>
        <v>0</v>
      </c>
      <c r="N40" s="30">
        <f t="shared" si="9"/>
        <v>0</v>
      </c>
    </row>
    <row r="41" spans="2:14" ht="21" x14ac:dyDescent="0.4">
      <c r="H41" s="24" t="s">
        <v>30</v>
      </c>
      <c r="I41" s="24"/>
      <c r="J41" s="25" t="s">
        <v>31</v>
      </c>
      <c r="K41" s="25"/>
      <c r="L41" s="25"/>
      <c r="M41" s="25"/>
    </row>
    <row r="42" spans="2:14" ht="42" x14ac:dyDescent="0.3">
      <c r="B42" s="14" t="s">
        <v>25</v>
      </c>
      <c r="C42" s="14" t="s">
        <v>26</v>
      </c>
      <c r="D42" s="14" t="s">
        <v>0</v>
      </c>
      <c r="E42" s="14" t="s">
        <v>1</v>
      </c>
      <c r="F42" s="14" t="s">
        <v>2</v>
      </c>
      <c r="G42" s="14" t="s">
        <v>3</v>
      </c>
      <c r="H42" s="15" t="s">
        <v>27</v>
      </c>
      <c r="I42" s="16" t="s">
        <v>28</v>
      </c>
      <c r="J42" s="7" t="s">
        <v>29</v>
      </c>
      <c r="K42" s="7" t="s">
        <v>21</v>
      </c>
      <c r="L42" s="10" t="s">
        <v>22</v>
      </c>
      <c r="M42" s="7" t="s">
        <v>23</v>
      </c>
      <c r="N42" s="8" t="s">
        <v>24</v>
      </c>
    </row>
    <row r="43" spans="2:14" ht="28.8" x14ac:dyDescent="0.35">
      <c r="B43" s="2" t="s">
        <v>57</v>
      </c>
      <c r="C43" s="1" t="s">
        <v>5</v>
      </c>
      <c r="D43" s="1" t="s">
        <v>6</v>
      </c>
      <c r="E43" s="1" t="s">
        <v>11</v>
      </c>
      <c r="F43" s="1" t="s">
        <v>8</v>
      </c>
      <c r="G43" s="1" t="s">
        <v>18</v>
      </c>
      <c r="H43" s="1">
        <v>850</v>
      </c>
      <c r="I43" s="20">
        <f t="shared" si="5"/>
        <v>3122.9</v>
      </c>
      <c r="J43">
        <v>1799</v>
      </c>
      <c r="K43" s="21">
        <f t="shared" si="6"/>
        <v>4227.6500000000005</v>
      </c>
      <c r="L43" s="22">
        <f t="shared" si="7"/>
        <v>384.33181818181822</v>
      </c>
      <c r="M43" s="22">
        <f t="shared" si="8"/>
        <v>3843.3181818181824</v>
      </c>
      <c r="N43" s="23">
        <f t="shared" si="9"/>
        <v>720.41818181818235</v>
      </c>
    </row>
    <row r="44" spans="2:14" ht="28.8" x14ac:dyDescent="0.35">
      <c r="B44" s="1"/>
      <c r="C44" s="1" t="s">
        <v>5</v>
      </c>
      <c r="D44" s="1" t="s">
        <v>6</v>
      </c>
      <c r="E44" s="1" t="s">
        <v>48</v>
      </c>
      <c r="F44" s="1" t="s">
        <v>10</v>
      </c>
      <c r="G44" s="1" t="s">
        <v>18</v>
      </c>
      <c r="H44" s="1">
        <v>1120</v>
      </c>
      <c r="I44" s="20">
        <f t="shared" si="5"/>
        <v>4114.88</v>
      </c>
      <c r="J44">
        <v>2399</v>
      </c>
      <c r="K44" s="21">
        <f t="shared" si="6"/>
        <v>5637.6500000000005</v>
      </c>
      <c r="L44" s="22">
        <f t="shared" si="7"/>
        <v>512.51363636363646</v>
      </c>
      <c r="M44" s="22">
        <f t="shared" si="8"/>
        <v>5125.136363636364</v>
      </c>
      <c r="N44" s="23">
        <f t="shared" si="9"/>
        <v>1010.2563636363639</v>
      </c>
    </row>
    <row r="45" spans="2:14" ht="28.8" x14ac:dyDescent="0.35">
      <c r="B45" s="2" t="s">
        <v>58</v>
      </c>
      <c r="C45" s="1" t="s">
        <v>13</v>
      </c>
      <c r="D45" s="1" t="s">
        <v>6</v>
      </c>
      <c r="E45" s="1" t="s">
        <v>11</v>
      </c>
      <c r="F45" s="1" t="s">
        <v>8</v>
      </c>
      <c r="G45" s="1" t="s">
        <v>18</v>
      </c>
      <c r="H45" s="1">
        <v>1000</v>
      </c>
      <c r="I45" s="20">
        <f t="shared" si="5"/>
        <v>3674</v>
      </c>
      <c r="J45">
        <v>2199</v>
      </c>
      <c r="K45" s="21">
        <f t="shared" si="6"/>
        <v>5167.6500000000005</v>
      </c>
      <c r="L45" s="22">
        <f t="shared" si="7"/>
        <v>469.78636363636366</v>
      </c>
      <c r="M45" s="22">
        <f t="shared" si="8"/>
        <v>4697.8636363636369</v>
      </c>
      <c r="N45" s="23">
        <f t="shared" si="9"/>
        <v>1023.8636363636369</v>
      </c>
    </row>
    <row r="46" spans="2:14" ht="28.8" x14ac:dyDescent="0.35">
      <c r="B46" s="1"/>
      <c r="C46" s="1" t="s">
        <v>13</v>
      </c>
      <c r="D46" s="1" t="s">
        <v>6</v>
      </c>
      <c r="E46" s="1" t="s">
        <v>48</v>
      </c>
      <c r="F46" s="1" t="s">
        <v>10</v>
      </c>
      <c r="G46" s="1" t="s">
        <v>18</v>
      </c>
      <c r="H46" s="1">
        <v>1250</v>
      </c>
      <c r="I46" s="20">
        <f t="shared" si="5"/>
        <v>4592.5</v>
      </c>
      <c r="J46">
        <v>2799</v>
      </c>
      <c r="K46" s="21">
        <f t="shared" si="6"/>
        <v>6577.6500000000005</v>
      </c>
      <c r="L46" s="22">
        <f t="shared" si="7"/>
        <v>597.96818181818185</v>
      </c>
      <c r="M46" s="22">
        <f t="shared" si="8"/>
        <v>5979.6818181818189</v>
      </c>
      <c r="N46" s="23">
        <f t="shared" si="9"/>
        <v>1387.1818181818189</v>
      </c>
    </row>
    <row r="47" spans="2:14" ht="28.8" x14ac:dyDescent="0.35">
      <c r="B47" s="2" t="s">
        <v>59</v>
      </c>
      <c r="C47" s="1" t="s">
        <v>5</v>
      </c>
      <c r="D47" s="1" t="s">
        <v>17</v>
      </c>
      <c r="E47" s="1" t="s">
        <v>11</v>
      </c>
      <c r="F47" s="1" t="s">
        <v>8</v>
      </c>
      <c r="G47" s="1" t="s">
        <v>18</v>
      </c>
      <c r="H47" s="1">
        <v>725</v>
      </c>
      <c r="I47" s="20">
        <f t="shared" si="5"/>
        <v>2663.65</v>
      </c>
      <c r="J47">
        <v>1599</v>
      </c>
      <c r="K47" s="21">
        <f t="shared" si="6"/>
        <v>3757.65</v>
      </c>
      <c r="L47" s="22">
        <f t="shared" si="7"/>
        <v>341.60454545454547</v>
      </c>
      <c r="M47" s="22">
        <f t="shared" si="8"/>
        <v>3416.0454545454545</v>
      </c>
      <c r="N47" s="23">
        <f t="shared" si="9"/>
        <v>752.39545454545441</v>
      </c>
    </row>
    <row r="50" spans="6:8" x14ac:dyDescent="0.35">
      <c r="F50" s="26"/>
      <c r="G50" s="26"/>
      <c r="H50" s="26"/>
    </row>
    <row r="51" spans="6:8" x14ac:dyDescent="0.35">
      <c r="F51" s="2"/>
      <c r="G51" s="1"/>
      <c r="H51" s="1"/>
    </row>
    <row r="52" spans="6:8" x14ac:dyDescent="0.35">
      <c r="F52" s="2"/>
      <c r="G52" s="1"/>
      <c r="H52" s="1"/>
    </row>
  </sheetData>
  <mergeCells count="8">
    <mergeCell ref="H41:I41"/>
    <mergeCell ref="J41:M41"/>
    <mergeCell ref="H2:I2"/>
    <mergeCell ref="J2:M2"/>
    <mergeCell ref="H14:I14"/>
    <mergeCell ref="J14:M14"/>
    <mergeCell ref="H25:I25"/>
    <mergeCell ref="J25:M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2025-02-25T08:47:31Z</dcterms:created>
  <dcterms:modified xsi:type="dcterms:W3CDTF">2025-02-25T12:32:54Z</dcterms:modified>
</cp:coreProperties>
</file>