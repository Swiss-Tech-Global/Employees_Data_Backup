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Waheed Bhai Sheets\"/>
    </mc:Choice>
  </mc:AlternateContent>
  <xr:revisionPtr revIDLastSave="0" documentId="13_ncr:1_{24ED6FF2-20F3-4DF5-BEFF-FD2D6C9EDC56}" xr6:coauthVersionLast="47" xr6:coauthVersionMax="47" xr10:uidLastSave="{00000000-0000-0000-0000-000000000000}"/>
  <bookViews>
    <workbookView xWindow="11424" yWindow="0" windowWidth="11712" windowHeight="13776" firstSheet="1" activeTab="3" xr2:uid="{795DD68C-9659-410F-8844-C05D5B01E5C2}"/>
  </bookViews>
  <sheets>
    <sheet name="Pending" sheetId="2" state="hidden" r:id="rId1"/>
    <sheet name="March " sheetId="1" r:id="rId2"/>
    <sheet name="Mehwish" sheetId="3" state="hidden" r:id="rId3"/>
    <sheet name="April" sheetId="4" r:id="rId4"/>
    <sheet name="Shipment" sheetId="6" r:id="rId5"/>
    <sheet name="Abdul Rafey" sheetId="5" state="hidden" r:id="rId6"/>
  </sheets>
  <definedNames>
    <definedName name="_xlnm._FilterDatabase" localSheetId="3" hidden="1">April!$A$1:$H$118</definedName>
    <definedName name="_xlnm._FilterDatabase" localSheetId="1" hidden="1">'March '!$A$1:$G$39</definedName>
  </definedNames>
  <calcPr calcId="191029"/>
  <pivotCaches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8" i="4" l="1"/>
  <c r="F117" i="4"/>
  <c r="F116" i="4"/>
  <c r="F115" i="4"/>
  <c r="F114" i="4"/>
  <c r="F113" i="4"/>
  <c r="F112" i="4"/>
  <c r="F109" i="4"/>
  <c r="F110" i="4"/>
  <c r="F111" i="4"/>
  <c r="F108" i="4"/>
  <c r="F107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F25" i="4"/>
  <c r="F26" i="4"/>
  <c r="F27" i="4"/>
  <c r="F28" i="4"/>
  <c r="F29" i="4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<sst xmlns="http://schemas.openxmlformats.org/spreadsheetml/2006/main" count="742" uniqueCount="231">
  <si>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</si>
  <si>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</si>
  <si>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</si>
  <si>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</si>
  <si>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</si>
  <si>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</si>
  <si>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</si>
  <si>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</si>
  <si>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</si>
  <si>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</si>
  <si>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</si>
  <si>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</si>
  <si>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</si>
  <si>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</si>
  <si>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</si>
  <si>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</si>
  <si>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</si>
  <si>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</si>
  <si>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</si>
  <si>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</si>
  <si>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</si>
  <si>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</si>
  <si>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</si>
  <si>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</si>
  <si>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</si>
  <si>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</si>
  <si>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</si>
  <si>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</si>
  <si>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</si>
  <si>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</si>
  <si>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</si>
  <si>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</si>
  <si>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</si>
  <si>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</si>
  <si>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</si>
  <si>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</si>
  <si>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</si>
  <si>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</si>
  <si>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</si>
  <si>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</si>
  <si>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</si>
  <si>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</si>
  <si>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</si>
  <si>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</si>
  <si>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</si>
  <si>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</si>
  <si>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</si>
  <si>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</si>
  <si>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</si>
  <si>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</si>
  <si>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</si>
  <si>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</si>
  <si>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</si>
  <si>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</si>
  <si>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</si>
  <si>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</si>
  <si>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</si>
  <si>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</si>
  <si>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</si>
  <si>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</si>
  <si>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</si>
  <si>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</si>
  <si>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</si>
  <si>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</si>
  <si>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</si>
  <si>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</si>
  <si>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</si>
  <si>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</si>
  <si>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</si>
  <si>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</si>
  <si>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</si>
  <si>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</si>
  <si>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</si>
  <si>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</si>
  <si>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</si>
  <si>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</si>
  <si>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</si>
  <si>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Pending Collection Northmead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</si>
  <si>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</si>
  <si>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</si>
  <si>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</si>
  <si>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</si>
  <si>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</si>
  <si>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</si>
  <si>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</si>
  <si>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</si>
  <si>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</si>
  <si>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</si>
  <si>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</si>
  <si>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</si>
  <si>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</si>
  <si>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</si>
  <si>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</si>
  <si>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</si>
  <si>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</si>
  <si>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</si>
  <si>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</si>
  <si>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</si>
  <si>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</si>
  <si>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</si>
  <si>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</si>
  <si>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Delivered</t>
  </si>
  <si>
    <t>Big W Bansktown</t>
  </si>
  <si>
    <t>JBHIFI Bankstown</t>
  </si>
  <si>
    <t>Pending Collection Parramatta</t>
  </si>
  <si>
    <t>Big W Merrylands</t>
  </si>
  <si>
    <t>Meta Quest 3S 128</t>
  </si>
  <si>
    <t>Delivered 11/04/2024</t>
  </si>
  <si>
    <t>Delivered 11/04/2025</t>
  </si>
  <si>
    <t>Delivered 11/04/2026</t>
  </si>
  <si>
    <t>Delivered 11/04/2027</t>
  </si>
  <si>
    <t>Delivered 11/04/2028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</si>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</sst>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14" fontId="0" fillId="5" borderId="1" xfId="0" applyNumberFormat="1" applyFill="1" applyBorder="1"/>
    <xf numFmtId="0" fontId="0" fillId="5" borderId="1" xfId="0" applyFill="1" applyBorder="1"/>
    <xf numFmtId="165" fontId="0" fillId="5" borderId="1" xfId="0" applyNumberFormat="1" applyFill="1" applyBorder="1"/>
    <xf numFmtId="0" fontId="0" fillId="5" borderId="0" xfId="0" applyFill="1"/>
    <xf numFmtId="14" fontId="0" fillId="6" borderId="1" xfId="0" applyNumberFormat="1" applyFill="1" applyBorder="1"/>
    <xf numFmtId="0" fontId="0" fillId="6" borderId="1" xfId="0" applyFill="1" applyBorder="1"/>
    <xf numFmtId="0" fontId="2" fillId="6" borderId="1" xfId="0" applyFont="1" applyFill="1" applyBorder="1"/>
    <xf numFmtId="165" fontId="0" fillId="6" borderId="1" xfId="0" applyNumberFormat="1" applyFill="1" applyBorder="1"/>
    <xf numFmtId="0" fontId="0" fillId="6" borderId="0" xfId="0" applyFill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4" fontId="0" fillId="7" borderId="1" xfId="0" applyNumberFormat="1" applyFill="1" applyBorder="1"/>
    <xf numFmtId="0" fontId="0" fillId="7" borderId="1" xfId="0" applyFill="1" applyBorder="1"/>
    <xf numFmtId="165" fontId="0" fillId="7" borderId="1" xfId="0" applyNumberFormat="1" applyFill="1" applyBorder="1"/>
    <xf numFmtId="14" fontId="0" fillId="4" borderId="0" xfId="0" applyNumberFormat="1" applyFill="1"/>
    <xf numFmtId="0" fontId="0" fillId="4" borderId="2" xfId="0" applyFill="1" applyBorder="1"/>
    <xf numFmtId="165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B34" sqref="B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6" workbookViewId="0">
      <selection activeCell="C41" sqref="C41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79</v>
      </c>
      <c r="J1" t="s">
        <v>82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114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90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80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81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78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90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90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90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90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78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90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78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91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91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141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142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92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D14" sqref="D14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38">
        <v>45746</v>
      </c>
      <c r="C1" s="38"/>
      <c r="D1" s="38"/>
      <c r="E1" s="38"/>
      <c r="F1" s="38"/>
      <c r="G1" s="38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93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39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39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215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97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133</v>
      </c>
      <c r="B8">
        <v>1</v>
      </c>
      <c r="C8" s="2" t="s">
        <v>137</v>
      </c>
      <c r="D8" t="s">
        <v>136</v>
      </c>
      <c r="E8">
        <v>2299</v>
      </c>
      <c r="F8" s="11">
        <f>(B8*E8)</f>
        <v>2299</v>
      </c>
      <c r="G8" t="s">
        <v>63</v>
      </c>
      <c r="H8">
        <v>1</v>
      </c>
      <c r="I8" t="s">
        <v>135</v>
      </c>
    </row>
    <row r="9" spans="1:11" x14ac:dyDescent="0.3">
      <c r="A9" t="s">
        <v>134</v>
      </c>
      <c r="B9">
        <v>1</v>
      </c>
      <c r="C9" s="22" t="s">
        <v>61</v>
      </c>
      <c r="D9" t="s">
        <v>136</v>
      </c>
      <c r="E9">
        <v>724</v>
      </c>
      <c r="F9" s="11">
        <f>(B9*E9)</f>
        <v>724</v>
      </c>
      <c r="G9" t="s">
        <v>63</v>
      </c>
      <c r="H9">
        <v>1</v>
      </c>
      <c r="I9" t="s">
        <v>135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22"/>
  <sheetViews>
    <sheetView tabSelected="1" topLeftCell="A41" zoomScale="81" zoomScaleNormal="81" workbookViewId="0">
      <selection activeCell="D64" sqref="D64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1.5546875" bestFit="1" customWidth="1"/>
    <col min="8" max="8" width="30.6640625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153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79</v>
      </c>
      <c r="L3" t="s">
        <v>82</v>
      </c>
      <c r="M3" t="s">
        <v>152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146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147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138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129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140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149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99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150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87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128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6"/>
      <c r="H13" s="18" t="s">
        <v>94</v>
      </c>
      <c r="K13" s="14" t="s">
        <v>139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6" t="s">
        <v>77</v>
      </c>
      <c r="H14" s="18" t="s">
        <v>116</v>
      </c>
      <c r="K14" s="14" t="s">
        <v>151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118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125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119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83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127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99</v>
      </c>
      <c r="D19" s="2" t="s">
        <v>84</v>
      </c>
      <c r="E19" s="3">
        <v>669</v>
      </c>
      <c r="F19" s="3">
        <f t="shared" si="0"/>
        <v>669</v>
      </c>
      <c r="G19" s="2" t="s">
        <v>113</v>
      </c>
      <c r="H19" s="2"/>
      <c r="K19" s="14" t="s">
        <v>132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85</v>
      </c>
      <c r="D20" s="2" t="s">
        <v>86</v>
      </c>
      <c r="E20" s="3">
        <v>36.54</v>
      </c>
      <c r="F20" s="3">
        <f t="shared" si="0"/>
        <v>0</v>
      </c>
      <c r="G20" s="2"/>
      <c r="H20" s="2"/>
      <c r="K20" s="14" t="s">
        <v>106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87</v>
      </c>
      <c r="D21" s="2" t="s">
        <v>88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123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113</v>
      </c>
      <c r="H22" s="2"/>
      <c r="K22" s="14" t="s">
        <v>122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89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99</v>
      </c>
      <c r="L23">
        <v>47</v>
      </c>
      <c r="M23">
        <v>33903</v>
      </c>
    </row>
    <row r="24" spans="1:13" x14ac:dyDescent="0.3">
      <c r="A24" s="8">
        <v>45751</v>
      </c>
      <c r="B24" s="2">
        <v>1</v>
      </c>
      <c r="C24" s="2" t="s">
        <v>68</v>
      </c>
      <c r="D24" s="2" t="s">
        <v>89</v>
      </c>
      <c r="E24" s="3">
        <v>2089.9899999999998</v>
      </c>
      <c r="F24" s="3">
        <f t="shared" si="0"/>
        <v>2089.9899999999998</v>
      </c>
      <c r="G24" s="16" t="s">
        <v>198</v>
      </c>
      <c r="H24" s="2"/>
      <c r="K24" s="14" t="s">
        <v>157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154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117</v>
      </c>
      <c r="K25" s="14" t="s">
        <v>158</v>
      </c>
      <c r="L25">
        <v>2</v>
      </c>
      <c r="M25">
        <v>3499.98</v>
      </c>
    </row>
    <row r="26" spans="1:13" x14ac:dyDescent="0.3">
      <c r="A26" s="8">
        <v>45752</v>
      </c>
      <c r="B26" s="2">
        <v>1</v>
      </c>
      <c r="C26" s="2" t="s">
        <v>98</v>
      </c>
      <c r="D26" s="2" t="s">
        <v>70</v>
      </c>
      <c r="E26" s="3">
        <v>2089.9899999999998</v>
      </c>
      <c r="F26" s="3">
        <f t="shared" si="0"/>
        <v>2089.9899999999998</v>
      </c>
      <c r="G26" s="16" t="s">
        <v>198</v>
      </c>
      <c r="H26" s="2"/>
      <c r="K26" s="14" t="s">
        <v>159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96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160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95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161</v>
      </c>
      <c r="L28">
        <v>5</v>
      </c>
      <c r="M28">
        <v>10995</v>
      </c>
    </row>
    <row r="29" spans="1:13" x14ac:dyDescent="0.3">
      <c r="A29" s="8">
        <v>45755</v>
      </c>
      <c r="B29" s="2">
        <v>1</v>
      </c>
      <c r="C29" s="2" t="s">
        <v>155</v>
      </c>
      <c r="D29" s="2" t="s">
        <v>70</v>
      </c>
      <c r="E29" s="3">
        <v>2089.9899999999998</v>
      </c>
      <c r="F29" s="3">
        <f t="shared" si="0"/>
        <v>2089.9899999999998</v>
      </c>
      <c r="G29" s="16" t="s">
        <v>198</v>
      </c>
      <c r="H29" s="2"/>
      <c r="K29" s="14" t="s">
        <v>162</v>
      </c>
      <c r="L29">
        <v>3</v>
      </c>
      <c r="M29">
        <v>7649.9699999999993</v>
      </c>
    </row>
    <row r="30" spans="1:13" x14ac:dyDescent="0.3">
      <c r="A30" s="8">
        <v>45755</v>
      </c>
      <c r="B30" s="2">
        <v>1</v>
      </c>
      <c r="C30" s="2" t="s">
        <v>156</v>
      </c>
      <c r="D30" s="2" t="s">
        <v>16</v>
      </c>
      <c r="E30" s="3">
        <v>2089.9899999999998</v>
      </c>
      <c r="F30" s="3">
        <v>2089</v>
      </c>
      <c r="G30" s="16" t="s">
        <v>198</v>
      </c>
      <c r="H30" s="2"/>
      <c r="K30" s="14" t="s">
        <v>163</v>
      </c>
      <c r="L30">
        <v>1</v>
      </c>
      <c r="M30">
        <v>2549.9899999999998</v>
      </c>
    </row>
    <row r="31" spans="1:13" x14ac:dyDescent="0.3">
      <c r="A31" s="8">
        <v>45755</v>
      </c>
      <c r="B31" s="2">
        <v>1</v>
      </c>
      <c r="C31" s="2" t="s">
        <v>156</v>
      </c>
      <c r="D31" s="2" t="s">
        <v>16</v>
      </c>
      <c r="E31" s="3">
        <v>2089.9899999999998</v>
      </c>
      <c r="F31" s="3">
        <v>2089</v>
      </c>
      <c r="G31" s="16" t="s">
        <v>115</v>
      </c>
      <c r="H31" s="2"/>
      <c r="K31" s="14" t="s">
        <v>164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99</v>
      </c>
      <c r="D32" s="2" t="s">
        <v>105</v>
      </c>
      <c r="E32" s="3">
        <v>724</v>
      </c>
      <c r="F32" s="3">
        <f>B32*E32</f>
        <v>7240</v>
      </c>
      <c r="G32" s="2" t="s">
        <v>8</v>
      </c>
      <c r="H32" s="2"/>
      <c r="K32" s="14" t="s">
        <v>81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157</v>
      </c>
      <c r="D33" s="2" t="s">
        <v>14</v>
      </c>
      <c r="E33" s="3">
        <v>1749.99</v>
      </c>
      <c r="F33" s="3">
        <f t="shared" ref="F33:F39" si="1">B33*E33</f>
        <v>3499.98</v>
      </c>
      <c r="G33" s="2" t="s">
        <v>107</v>
      </c>
      <c r="H33" s="2"/>
    </row>
    <row r="34" spans="1:9" x14ac:dyDescent="0.3">
      <c r="A34" s="8">
        <v>45756</v>
      </c>
      <c r="B34" s="2">
        <v>2</v>
      </c>
      <c r="C34" s="2" t="s">
        <v>158</v>
      </c>
      <c r="D34" s="2" t="s">
        <v>14</v>
      </c>
      <c r="E34" s="3">
        <v>1749.99</v>
      </c>
      <c r="F34" s="3">
        <f t="shared" si="1"/>
        <v>3499.98</v>
      </c>
      <c r="G34" s="2" t="s">
        <v>108</v>
      </c>
      <c r="H34" s="2"/>
    </row>
    <row r="35" spans="1:9" x14ac:dyDescent="0.3">
      <c r="A35" s="8">
        <v>45756</v>
      </c>
      <c r="B35" s="2">
        <v>3</v>
      </c>
      <c r="C35" s="2" t="s">
        <v>159</v>
      </c>
      <c r="D35" s="2" t="s">
        <v>14</v>
      </c>
      <c r="E35" s="3">
        <v>1749.99</v>
      </c>
      <c r="F35" s="3">
        <f t="shared" si="1"/>
        <v>5249.97</v>
      </c>
      <c r="G35" s="2" t="s">
        <v>109</v>
      </c>
      <c r="H35" s="2"/>
    </row>
    <row r="36" spans="1:9" x14ac:dyDescent="0.3">
      <c r="A36" s="8">
        <v>45756</v>
      </c>
      <c r="B36" s="2">
        <v>6</v>
      </c>
      <c r="C36" s="2" t="s">
        <v>160</v>
      </c>
      <c r="D36" s="2" t="s">
        <v>14</v>
      </c>
      <c r="E36" s="3">
        <v>1749.99</v>
      </c>
      <c r="F36" s="3">
        <f t="shared" si="1"/>
        <v>10499.94</v>
      </c>
      <c r="G36" s="2" t="s">
        <v>110</v>
      </c>
      <c r="H36" s="2"/>
    </row>
    <row r="37" spans="1:9" x14ac:dyDescent="0.3">
      <c r="A37" s="8">
        <v>45756</v>
      </c>
      <c r="B37" s="2">
        <v>5</v>
      </c>
      <c r="C37" s="2" t="s">
        <v>161</v>
      </c>
      <c r="D37" s="2" t="s">
        <v>14</v>
      </c>
      <c r="E37" s="3">
        <v>2199</v>
      </c>
      <c r="F37" s="3">
        <f t="shared" si="1"/>
        <v>10995</v>
      </c>
      <c r="G37" s="2" t="s">
        <v>111</v>
      </c>
      <c r="H37" s="2"/>
    </row>
    <row r="38" spans="1:9" x14ac:dyDescent="0.3">
      <c r="A38" s="17">
        <v>45756</v>
      </c>
      <c r="B38" s="18">
        <v>1</v>
      </c>
      <c r="C38" s="18" t="s">
        <v>99</v>
      </c>
      <c r="D38" s="18" t="s">
        <v>112</v>
      </c>
      <c r="E38" s="19">
        <v>669</v>
      </c>
      <c r="F38" s="19">
        <f t="shared" si="1"/>
        <v>669</v>
      </c>
      <c r="G38" s="18" t="s">
        <v>197</v>
      </c>
      <c r="H38" s="18"/>
    </row>
    <row r="39" spans="1:9" x14ac:dyDescent="0.3">
      <c r="A39" s="8">
        <v>45757</v>
      </c>
      <c r="B39" s="2">
        <v>1</v>
      </c>
      <c r="C39" s="2" t="s">
        <v>106</v>
      </c>
      <c r="D39" s="2" t="s">
        <v>103</v>
      </c>
      <c r="E39" s="3">
        <v>449</v>
      </c>
      <c r="F39" s="3">
        <f t="shared" si="1"/>
        <v>449</v>
      </c>
      <c r="G39" s="2" t="s">
        <v>8</v>
      </c>
      <c r="H39" s="2"/>
    </row>
    <row r="40" spans="1:9" x14ac:dyDescent="0.3">
      <c r="A40" s="29">
        <v>45757</v>
      </c>
      <c r="B40" s="30">
        <v>2</v>
      </c>
      <c r="C40" s="30" t="s">
        <v>99</v>
      </c>
      <c r="D40" s="30" t="s">
        <v>103</v>
      </c>
      <c r="E40" s="31">
        <v>689</v>
      </c>
      <c r="F40" s="31">
        <f t="shared" ref="F40:F109" si="2">B40*E40</f>
        <v>1378</v>
      </c>
      <c r="G40" s="30" t="s">
        <v>104</v>
      </c>
      <c r="H40" s="30"/>
    </row>
    <row r="41" spans="1:9" x14ac:dyDescent="0.3">
      <c r="A41" s="8">
        <v>45757</v>
      </c>
      <c r="B41" s="2">
        <v>8</v>
      </c>
      <c r="C41" s="2" t="s">
        <v>99</v>
      </c>
      <c r="D41" s="2" t="s">
        <v>102</v>
      </c>
      <c r="E41" s="3">
        <v>724</v>
      </c>
      <c r="F41" s="3">
        <f t="shared" si="2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99</v>
      </c>
      <c r="D42" s="2" t="s">
        <v>100</v>
      </c>
      <c r="E42" s="3">
        <v>724</v>
      </c>
      <c r="F42" s="3">
        <f t="shared" si="2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99</v>
      </c>
      <c r="D43" s="2" t="s">
        <v>100</v>
      </c>
      <c r="E43" s="3">
        <v>724</v>
      </c>
      <c r="F43" s="3">
        <f t="shared" si="2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162</v>
      </c>
      <c r="D44" s="2" t="s">
        <v>14</v>
      </c>
      <c r="E44" s="3">
        <v>2549.9899999999998</v>
      </c>
      <c r="F44" s="3">
        <f t="shared" si="2"/>
        <v>7649.9699999999993</v>
      </c>
      <c r="G44" s="2" t="s">
        <v>101</v>
      </c>
      <c r="H44" s="2"/>
    </row>
    <row r="45" spans="1:9" x14ac:dyDescent="0.3">
      <c r="A45" s="8">
        <v>45758</v>
      </c>
      <c r="B45" s="2">
        <v>1</v>
      </c>
      <c r="C45" s="2" t="s">
        <v>163</v>
      </c>
      <c r="D45" s="2" t="s">
        <v>14</v>
      </c>
      <c r="E45" s="3">
        <v>2549.9899999999998</v>
      </c>
      <c r="F45" s="3">
        <f t="shared" si="2"/>
        <v>2549.9899999999998</v>
      </c>
      <c r="G45" s="2" t="s">
        <v>101</v>
      </c>
      <c r="H45" s="2"/>
    </row>
    <row r="46" spans="1:9" x14ac:dyDescent="0.3">
      <c r="A46" s="26">
        <v>45759</v>
      </c>
      <c r="B46" s="27">
        <v>1</v>
      </c>
      <c r="C46" s="27" t="s">
        <v>118</v>
      </c>
      <c r="D46" s="27" t="s">
        <v>120</v>
      </c>
      <c r="E46" s="28">
        <v>2299</v>
      </c>
      <c r="F46" s="28">
        <f t="shared" si="2"/>
        <v>2299</v>
      </c>
      <c r="G46" s="27" t="s">
        <v>24</v>
      </c>
      <c r="H46" s="30" t="s">
        <v>121</v>
      </c>
      <c r="I46">
        <v>471</v>
      </c>
    </row>
    <row r="47" spans="1:9" x14ac:dyDescent="0.3">
      <c r="A47" s="26">
        <v>45759</v>
      </c>
      <c r="B47" s="27">
        <v>1</v>
      </c>
      <c r="C47" s="27" t="s">
        <v>119</v>
      </c>
      <c r="D47" s="27" t="s">
        <v>120</v>
      </c>
      <c r="E47" s="28">
        <v>2299</v>
      </c>
      <c r="F47" s="28">
        <f t="shared" si="2"/>
        <v>2299</v>
      </c>
      <c r="G47" s="27" t="s">
        <v>24</v>
      </c>
      <c r="H47" s="30" t="s">
        <v>121</v>
      </c>
      <c r="I47">
        <v>171</v>
      </c>
    </row>
    <row r="48" spans="1:9" x14ac:dyDescent="0.3">
      <c r="A48" s="26">
        <v>45759</v>
      </c>
      <c r="B48" s="27">
        <v>1</v>
      </c>
      <c r="C48" s="27" t="s">
        <v>122</v>
      </c>
      <c r="D48" s="27" t="s">
        <v>120</v>
      </c>
      <c r="E48" s="28">
        <v>724</v>
      </c>
      <c r="F48" s="28">
        <f t="shared" si="2"/>
        <v>724</v>
      </c>
      <c r="G48" s="27" t="s">
        <v>24</v>
      </c>
      <c r="H48" s="30" t="s">
        <v>121</v>
      </c>
    </row>
    <row r="49" spans="1:9" x14ac:dyDescent="0.3">
      <c r="A49" s="26">
        <v>45759</v>
      </c>
      <c r="B49" s="27">
        <v>3</v>
      </c>
      <c r="C49" s="27" t="s">
        <v>123</v>
      </c>
      <c r="D49" s="27" t="s">
        <v>120</v>
      </c>
      <c r="E49" s="28">
        <v>328</v>
      </c>
      <c r="F49" s="28">
        <f t="shared" si="2"/>
        <v>984</v>
      </c>
      <c r="G49" s="27" t="s">
        <v>24</v>
      </c>
      <c r="H49" s="30" t="s">
        <v>121</v>
      </c>
    </row>
    <row r="50" spans="1:9" x14ac:dyDescent="0.3">
      <c r="A50" s="29">
        <v>45759</v>
      </c>
      <c r="B50" s="30">
        <v>15</v>
      </c>
      <c r="C50" s="30" t="s">
        <v>119</v>
      </c>
      <c r="D50" s="30" t="s">
        <v>124</v>
      </c>
      <c r="E50" s="31">
        <v>2299</v>
      </c>
      <c r="F50" s="31">
        <f t="shared" si="2"/>
        <v>34485</v>
      </c>
      <c r="G50" s="30" t="s">
        <v>24</v>
      </c>
      <c r="H50" s="30" t="s">
        <v>121</v>
      </c>
      <c r="I50">
        <v>3000</v>
      </c>
    </row>
    <row r="51" spans="1:9" x14ac:dyDescent="0.3">
      <c r="A51" s="29">
        <v>45759</v>
      </c>
      <c r="B51" s="30">
        <v>10</v>
      </c>
      <c r="C51" s="30" t="s">
        <v>118</v>
      </c>
      <c r="D51" s="30" t="s">
        <v>124</v>
      </c>
      <c r="E51" s="31">
        <v>2299</v>
      </c>
      <c r="F51" s="31">
        <f t="shared" si="2"/>
        <v>22990</v>
      </c>
      <c r="G51" s="30" t="s">
        <v>24</v>
      </c>
      <c r="H51" s="30" t="s">
        <v>121</v>
      </c>
    </row>
    <row r="52" spans="1:9" x14ac:dyDescent="0.3">
      <c r="A52" s="29">
        <v>45759</v>
      </c>
      <c r="B52" s="30">
        <v>5</v>
      </c>
      <c r="C52" s="30" t="s">
        <v>125</v>
      </c>
      <c r="D52" s="30" t="s">
        <v>124</v>
      </c>
      <c r="E52" s="31">
        <v>2299</v>
      </c>
      <c r="F52" s="31">
        <f t="shared" si="2"/>
        <v>11495</v>
      </c>
      <c r="G52" s="30" t="s">
        <v>24</v>
      </c>
      <c r="H52" s="30" t="s">
        <v>121</v>
      </c>
    </row>
    <row r="53" spans="1:9" x14ac:dyDescent="0.3">
      <c r="A53" s="29">
        <v>45759</v>
      </c>
      <c r="B53" s="30">
        <v>5</v>
      </c>
      <c r="C53" s="30" t="s">
        <v>127</v>
      </c>
      <c r="D53" s="30" t="s">
        <v>124</v>
      </c>
      <c r="E53" s="31">
        <v>2699</v>
      </c>
      <c r="F53" s="31">
        <f t="shared" si="2"/>
        <v>13495</v>
      </c>
      <c r="G53" s="30" t="s">
        <v>24</v>
      </c>
      <c r="H53" s="30" t="s">
        <v>121</v>
      </c>
    </row>
    <row r="54" spans="1:9" x14ac:dyDescent="0.3">
      <c r="A54" s="29">
        <v>45759</v>
      </c>
      <c r="B54" s="30">
        <v>5</v>
      </c>
      <c r="C54" s="30" t="s">
        <v>164</v>
      </c>
      <c r="D54" s="30" t="s">
        <v>124</v>
      </c>
      <c r="E54" s="31">
        <v>2699</v>
      </c>
      <c r="F54" s="31">
        <f t="shared" si="2"/>
        <v>13495</v>
      </c>
      <c r="G54" s="30" t="s">
        <v>24</v>
      </c>
      <c r="H54" s="30" t="s">
        <v>121</v>
      </c>
    </row>
    <row r="55" spans="1:9" x14ac:dyDescent="0.3">
      <c r="A55" s="8">
        <v>45759</v>
      </c>
      <c r="B55" s="2">
        <v>2</v>
      </c>
      <c r="C55" s="2" t="s">
        <v>118</v>
      </c>
      <c r="D55" s="2" t="s">
        <v>126</v>
      </c>
      <c r="E55" s="3">
        <v>2299</v>
      </c>
      <c r="F55" s="3">
        <f t="shared" si="2"/>
        <v>4598</v>
      </c>
      <c r="G55" s="2" t="s">
        <v>8</v>
      </c>
      <c r="H55" s="2" t="s">
        <v>121</v>
      </c>
    </row>
    <row r="56" spans="1:9" x14ac:dyDescent="0.3">
      <c r="A56" s="8">
        <v>45759</v>
      </c>
      <c r="B56" s="2">
        <v>2</v>
      </c>
      <c r="C56" s="2" t="s">
        <v>119</v>
      </c>
      <c r="D56" s="2" t="s">
        <v>126</v>
      </c>
      <c r="E56" s="3">
        <v>2299</v>
      </c>
      <c r="F56" s="3">
        <f t="shared" si="2"/>
        <v>4598</v>
      </c>
      <c r="G56" s="2" t="s">
        <v>8</v>
      </c>
      <c r="H56" s="2" t="s">
        <v>121</v>
      </c>
    </row>
    <row r="57" spans="1:9" x14ac:dyDescent="0.3">
      <c r="A57" s="8">
        <v>45759</v>
      </c>
      <c r="B57" s="2">
        <v>1</v>
      </c>
      <c r="C57" s="2" t="s">
        <v>127</v>
      </c>
      <c r="D57" s="2" t="s">
        <v>126</v>
      </c>
      <c r="E57" s="3">
        <v>2699</v>
      </c>
      <c r="F57" s="3">
        <f t="shared" si="2"/>
        <v>2699</v>
      </c>
      <c r="G57" s="2" t="s">
        <v>8</v>
      </c>
      <c r="H57" s="2" t="s">
        <v>121</v>
      </c>
    </row>
    <row r="58" spans="1:9" x14ac:dyDescent="0.3">
      <c r="A58" s="8">
        <v>45759</v>
      </c>
      <c r="B58" s="2">
        <v>2</v>
      </c>
      <c r="C58" s="2" t="s">
        <v>164</v>
      </c>
      <c r="D58" s="2" t="s">
        <v>126</v>
      </c>
      <c r="E58" s="3">
        <v>2699</v>
      </c>
      <c r="F58" s="3">
        <f t="shared" si="2"/>
        <v>5398</v>
      </c>
      <c r="G58" s="2" t="s">
        <v>8</v>
      </c>
      <c r="H58" s="2" t="s">
        <v>121</v>
      </c>
    </row>
    <row r="59" spans="1:9" x14ac:dyDescent="0.3">
      <c r="A59" s="8">
        <v>45759</v>
      </c>
      <c r="B59" s="2">
        <v>5</v>
      </c>
      <c r="C59" s="2" t="s">
        <v>128</v>
      </c>
      <c r="D59" s="2" t="s">
        <v>126</v>
      </c>
      <c r="E59" s="3">
        <v>143</v>
      </c>
      <c r="F59" s="3">
        <f t="shared" si="2"/>
        <v>715</v>
      </c>
      <c r="G59" s="2" t="s">
        <v>8</v>
      </c>
      <c r="H59" s="2" t="s">
        <v>121</v>
      </c>
    </row>
    <row r="60" spans="1:9" x14ac:dyDescent="0.3">
      <c r="A60" s="8">
        <v>45759</v>
      </c>
      <c r="B60" s="2">
        <v>6</v>
      </c>
      <c r="C60" s="2" t="s">
        <v>129</v>
      </c>
      <c r="D60" s="2" t="s">
        <v>126</v>
      </c>
      <c r="E60" s="3">
        <v>30</v>
      </c>
      <c r="F60" s="3">
        <f t="shared" si="2"/>
        <v>180</v>
      </c>
      <c r="G60" s="2" t="s">
        <v>8</v>
      </c>
      <c r="H60" s="2" t="s">
        <v>121</v>
      </c>
    </row>
    <row r="61" spans="1:9" x14ac:dyDescent="0.3">
      <c r="A61" s="29">
        <v>45759</v>
      </c>
      <c r="B61" s="30">
        <v>20</v>
      </c>
      <c r="C61" s="30" t="s">
        <v>129</v>
      </c>
      <c r="D61" s="30" t="s">
        <v>126</v>
      </c>
      <c r="E61" s="31">
        <v>30</v>
      </c>
      <c r="F61" s="31">
        <f t="shared" si="2"/>
        <v>600</v>
      </c>
      <c r="G61" s="30" t="s">
        <v>24</v>
      </c>
      <c r="H61" s="30" t="s">
        <v>121</v>
      </c>
    </row>
    <row r="62" spans="1:9" x14ac:dyDescent="0.3">
      <c r="A62" s="8">
        <v>45759</v>
      </c>
      <c r="B62" s="2">
        <v>6</v>
      </c>
      <c r="C62" s="2" t="s">
        <v>129</v>
      </c>
      <c r="D62" s="2" t="s">
        <v>130</v>
      </c>
      <c r="E62" s="3">
        <v>30</v>
      </c>
      <c r="F62" s="3">
        <f t="shared" si="2"/>
        <v>180</v>
      </c>
      <c r="G62" s="2" t="s">
        <v>8</v>
      </c>
      <c r="H62" s="2" t="s">
        <v>121</v>
      </c>
    </row>
    <row r="63" spans="1:9" x14ac:dyDescent="0.3">
      <c r="A63" s="8">
        <v>45759</v>
      </c>
      <c r="B63" s="2">
        <v>5</v>
      </c>
      <c r="C63" s="2" t="s">
        <v>122</v>
      </c>
      <c r="D63" s="2" t="s">
        <v>130</v>
      </c>
      <c r="E63" s="3">
        <v>715</v>
      </c>
      <c r="F63" s="3">
        <f t="shared" si="2"/>
        <v>3575</v>
      </c>
      <c r="G63" s="2" t="s">
        <v>8</v>
      </c>
      <c r="H63" s="2" t="s">
        <v>121</v>
      </c>
    </row>
    <row r="64" spans="1:9" x14ac:dyDescent="0.3">
      <c r="A64" s="8">
        <v>45759</v>
      </c>
      <c r="B64" s="2">
        <v>1</v>
      </c>
      <c r="C64" s="2" t="s">
        <v>118</v>
      </c>
      <c r="D64" s="2" t="s">
        <v>130</v>
      </c>
      <c r="E64" s="3">
        <v>2299</v>
      </c>
      <c r="F64" s="3">
        <f t="shared" si="2"/>
        <v>2299</v>
      </c>
      <c r="G64" s="2" t="s">
        <v>8</v>
      </c>
      <c r="H64" s="2" t="s">
        <v>121</v>
      </c>
    </row>
    <row r="65" spans="1:9" x14ac:dyDescent="0.3">
      <c r="A65" s="8">
        <v>45759</v>
      </c>
      <c r="B65" s="2">
        <v>1</v>
      </c>
      <c r="C65" s="2" t="s">
        <v>127</v>
      </c>
      <c r="D65" s="2" t="s">
        <v>130</v>
      </c>
      <c r="E65" s="3">
        <v>2699</v>
      </c>
      <c r="F65" s="3">
        <f t="shared" si="2"/>
        <v>2699</v>
      </c>
      <c r="G65" s="2" t="s">
        <v>8</v>
      </c>
      <c r="H65" s="2" t="s">
        <v>121</v>
      </c>
    </row>
    <row r="66" spans="1:9" x14ac:dyDescent="0.3">
      <c r="A66" s="26">
        <v>45760</v>
      </c>
      <c r="B66" s="27">
        <v>17</v>
      </c>
      <c r="C66" s="27" t="s">
        <v>122</v>
      </c>
      <c r="D66" s="27" t="s">
        <v>14</v>
      </c>
      <c r="E66" s="28">
        <v>699.99</v>
      </c>
      <c r="F66" s="28">
        <f t="shared" si="2"/>
        <v>11899.83</v>
      </c>
      <c r="G66" s="27" t="s">
        <v>62</v>
      </c>
      <c r="H66" s="30"/>
    </row>
    <row r="67" spans="1:9" x14ac:dyDescent="0.3">
      <c r="A67" s="26">
        <v>45760</v>
      </c>
      <c r="B67" s="27">
        <v>1</v>
      </c>
      <c r="C67" s="27" t="s">
        <v>122</v>
      </c>
      <c r="D67" s="27" t="s">
        <v>14</v>
      </c>
      <c r="E67" s="28">
        <v>699.99</v>
      </c>
      <c r="F67" s="28">
        <f t="shared" si="2"/>
        <v>699.99</v>
      </c>
      <c r="G67" s="27" t="s">
        <v>62</v>
      </c>
      <c r="H67" s="30"/>
    </row>
    <row r="68" spans="1:9" x14ac:dyDescent="0.3">
      <c r="A68" s="26">
        <v>45760</v>
      </c>
      <c r="B68" s="27">
        <v>3</v>
      </c>
      <c r="C68" s="27" t="s">
        <v>127</v>
      </c>
      <c r="D68" s="27" t="s">
        <v>14</v>
      </c>
      <c r="E68" s="28">
        <v>2549.9899999999998</v>
      </c>
      <c r="F68" s="28">
        <f t="shared" si="2"/>
        <v>7649.9699999999993</v>
      </c>
      <c r="G68" s="27" t="s">
        <v>62</v>
      </c>
      <c r="H68" s="30"/>
    </row>
    <row r="69" spans="1:9" x14ac:dyDescent="0.3">
      <c r="A69" s="26">
        <v>45760</v>
      </c>
      <c r="B69" s="27">
        <v>2</v>
      </c>
      <c r="C69" s="27" t="s">
        <v>132</v>
      </c>
      <c r="D69" s="27" t="s">
        <v>14</v>
      </c>
      <c r="E69" s="28">
        <v>2549.9899999999998</v>
      </c>
      <c r="F69" s="28">
        <f t="shared" si="2"/>
        <v>5099.9799999999996</v>
      </c>
      <c r="G69" s="27" t="s">
        <v>62</v>
      </c>
      <c r="H69" s="30"/>
    </row>
    <row r="70" spans="1:9" x14ac:dyDescent="0.3">
      <c r="A70" s="8">
        <v>45760</v>
      </c>
      <c r="B70" s="2">
        <v>10</v>
      </c>
      <c r="C70" s="2" t="s">
        <v>99</v>
      </c>
      <c r="D70" s="2" t="s">
        <v>131</v>
      </c>
      <c r="E70" s="3">
        <v>724</v>
      </c>
      <c r="F70" s="3">
        <f t="shared" si="2"/>
        <v>7240</v>
      </c>
      <c r="G70" s="2" t="s">
        <v>199</v>
      </c>
      <c r="H70" s="2"/>
    </row>
    <row r="71" spans="1:9" x14ac:dyDescent="0.3">
      <c r="A71" s="8">
        <v>45760</v>
      </c>
      <c r="B71" s="2">
        <v>1</v>
      </c>
      <c r="C71" s="2" t="s">
        <v>138</v>
      </c>
      <c r="D71" s="2" t="s">
        <v>59</v>
      </c>
      <c r="E71" s="3">
        <v>713</v>
      </c>
      <c r="F71" s="3">
        <f t="shared" si="2"/>
        <v>713</v>
      </c>
      <c r="G71" s="2" t="s">
        <v>8</v>
      </c>
      <c r="H71" s="2"/>
    </row>
    <row r="72" spans="1:9" x14ac:dyDescent="0.3">
      <c r="A72" s="8">
        <v>45760</v>
      </c>
      <c r="B72" s="2">
        <v>3</v>
      </c>
      <c r="C72" s="2" t="s">
        <v>139</v>
      </c>
      <c r="D72" s="2" t="s">
        <v>41</v>
      </c>
      <c r="E72" s="3">
        <v>213</v>
      </c>
      <c r="F72" s="3">
        <f t="shared" si="2"/>
        <v>639</v>
      </c>
      <c r="G72" s="18" t="s">
        <v>8</v>
      </c>
      <c r="H72" s="2"/>
    </row>
    <row r="73" spans="1:9" x14ac:dyDescent="0.3">
      <c r="A73" s="8">
        <v>45760</v>
      </c>
      <c r="B73" s="2">
        <v>2</v>
      </c>
      <c r="C73" s="2" t="s">
        <v>87</v>
      </c>
      <c r="D73" s="2" t="s">
        <v>41</v>
      </c>
      <c r="E73" s="3">
        <v>87</v>
      </c>
      <c r="F73" s="3">
        <f t="shared" si="2"/>
        <v>174</v>
      </c>
      <c r="G73" s="2" t="s">
        <v>8</v>
      </c>
      <c r="H73" s="2"/>
    </row>
    <row r="74" spans="1:9" x14ac:dyDescent="0.3">
      <c r="A74" s="8">
        <v>45760</v>
      </c>
      <c r="B74" s="2">
        <v>8</v>
      </c>
      <c r="C74" s="2" t="s">
        <v>140</v>
      </c>
      <c r="D74" s="2" t="s">
        <v>41</v>
      </c>
      <c r="E74" s="3">
        <v>19</v>
      </c>
      <c r="F74" s="3">
        <f t="shared" si="2"/>
        <v>152</v>
      </c>
      <c r="G74" s="2" t="s">
        <v>8</v>
      </c>
      <c r="H74" s="2"/>
    </row>
    <row r="75" spans="1:9" x14ac:dyDescent="0.3">
      <c r="A75" s="26">
        <v>45760</v>
      </c>
      <c r="B75" s="27">
        <v>20</v>
      </c>
      <c r="C75" s="27" t="s">
        <v>129</v>
      </c>
      <c r="D75" s="27" t="s">
        <v>120</v>
      </c>
      <c r="E75" s="28">
        <v>30</v>
      </c>
      <c r="F75" s="28">
        <f t="shared" si="2"/>
        <v>600</v>
      </c>
      <c r="G75" s="27" t="s">
        <v>24</v>
      </c>
      <c r="H75" s="30" t="s">
        <v>121</v>
      </c>
    </row>
    <row r="76" spans="1:9" x14ac:dyDescent="0.3">
      <c r="A76" s="40">
        <v>45760</v>
      </c>
      <c r="B76" s="41">
        <v>3</v>
      </c>
      <c r="C76" s="41" t="s">
        <v>122</v>
      </c>
      <c r="D76" s="41" t="s">
        <v>143</v>
      </c>
      <c r="E76" s="42">
        <v>724</v>
      </c>
      <c r="F76" s="42">
        <f t="shared" si="2"/>
        <v>2172</v>
      </c>
      <c r="G76" s="41" t="s">
        <v>24</v>
      </c>
      <c r="H76" s="30" t="s">
        <v>121</v>
      </c>
      <c r="I76">
        <v>60</v>
      </c>
    </row>
    <row r="77" spans="1:9" x14ac:dyDescent="0.3">
      <c r="A77" s="8">
        <v>45760</v>
      </c>
      <c r="B77" s="2">
        <v>1</v>
      </c>
      <c r="C77" s="2" t="s">
        <v>151</v>
      </c>
      <c r="D77" s="2" t="s">
        <v>144</v>
      </c>
      <c r="E77" s="3">
        <v>2077</v>
      </c>
      <c r="F77" s="3">
        <f t="shared" si="2"/>
        <v>2077</v>
      </c>
      <c r="G77" s="2" t="s">
        <v>8</v>
      </c>
      <c r="H77" s="2" t="s">
        <v>121</v>
      </c>
    </row>
    <row r="78" spans="1:9" x14ac:dyDescent="0.3">
      <c r="A78" s="8">
        <v>45760</v>
      </c>
      <c r="B78" s="2">
        <v>1</v>
      </c>
      <c r="C78" s="2" t="s">
        <v>127</v>
      </c>
      <c r="D78" s="2" t="s">
        <v>144</v>
      </c>
      <c r="E78" s="3">
        <v>2699</v>
      </c>
      <c r="F78" s="3">
        <f t="shared" si="2"/>
        <v>2699</v>
      </c>
      <c r="G78" s="2" t="s">
        <v>8</v>
      </c>
      <c r="H78" s="2" t="s">
        <v>121</v>
      </c>
    </row>
    <row r="79" spans="1:9" x14ac:dyDescent="0.3">
      <c r="A79" s="8">
        <v>45760</v>
      </c>
      <c r="B79" s="2">
        <v>2</v>
      </c>
      <c r="C79" s="2" t="s">
        <v>123</v>
      </c>
      <c r="D79" s="2" t="s">
        <v>7</v>
      </c>
      <c r="E79" s="3">
        <v>299</v>
      </c>
      <c r="F79" s="3">
        <f t="shared" si="2"/>
        <v>598</v>
      </c>
      <c r="G79" s="2" t="s">
        <v>8</v>
      </c>
      <c r="H79" s="2" t="s">
        <v>121</v>
      </c>
    </row>
    <row r="80" spans="1:9" x14ac:dyDescent="0.3">
      <c r="A80" s="8">
        <v>45760</v>
      </c>
      <c r="B80" s="2">
        <v>12</v>
      </c>
      <c r="C80" s="2" t="s">
        <v>140</v>
      </c>
      <c r="D80" s="2" t="s">
        <v>145</v>
      </c>
      <c r="E80" s="3">
        <v>19</v>
      </c>
      <c r="F80" s="3">
        <f t="shared" si="2"/>
        <v>228</v>
      </c>
      <c r="G80" s="2" t="s">
        <v>8</v>
      </c>
      <c r="H80" s="2"/>
    </row>
    <row r="81" spans="1:10" x14ac:dyDescent="0.3">
      <c r="A81" s="8">
        <v>45760</v>
      </c>
      <c r="B81" s="2">
        <v>1</v>
      </c>
      <c r="C81" s="2" t="s">
        <v>139</v>
      </c>
      <c r="D81" s="2" t="s">
        <v>145</v>
      </c>
      <c r="E81" s="3">
        <v>213</v>
      </c>
      <c r="F81" s="3">
        <f t="shared" si="2"/>
        <v>213</v>
      </c>
      <c r="G81" s="2" t="s">
        <v>8</v>
      </c>
      <c r="H81" s="2"/>
    </row>
    <row r="82" spans="1:10" x14ac:dyDescent="0.3">
      <c r="A82" s="8">
        <v>45760</v>
      </c>
      <c r="B82" s="2">
        <v>3</v>
      </c>
      <c r="C82" s="2" t="s">
        <v>87</v>
      </c>
      <c r="D82" s="2" t="s">
        <v>145</v>
      </c>
      <c r="E82" s="3">
        <v>87</v>
      </c>
      <c r="F82" s="3">
        <f t="shared" si="2"/>
        <v>261</v>
      </c>
      <c r="G82" s="2" t="s">
        <v>8</v>
      </c>
      <c r="H82" s="2"/>
    </row>
    <row r="83" spans="1:10" x14ac:dyDescent="0.3">
      <c r="A83" s="8">
        <v>45760</v>
      </c>
      <c r="B83" s="2">
        <v>5</v>
      </c>
      <c r="C83" s="2" t="s">
        <v>146</v>
      </c>
      <c r="D83" s="2" t="s">
        <v>126</v>
      </c>
      <c r="E83" s="3">
        <v>2605</v>
      </c>
      <c r="F83" s="3">
        <f t="shared" si="2"/>
        <v>13025</v>
      </c>
      <c r="G83" s="2" t="s">
        <v>8</v>
      </c>
      <c r="H83" s="2" t="s">
        <v>148</v>
      </c>
    </row>
    <row r="84" spans="1:10" x14ac:dyDescent="0.3">
      <c r="A84" s="8">
        <v>45760</v>
      </c>
      <c r="B84" s="2">
        <v>1</v>
      </c>
      <c r="C84" s="2" t="s">
        <v>147</v>
      </c>
      <c r="D84" s="2" t="s">
        <v>126</v>
      </c>
      <c r="E84" s="3">
        <v>3535</v>
      </c>
      <c r="F84" s="3">
        <f t="shared" si="2"/>
        <v>3535</v>
      </c>
      <c r="G84" s="2" t="s">
        <v>8</v>
      </c>
      <c r="H84" s="2" t="s">
        <v>148</v>
      </c>
    </row>
    <row r="85" spans="1:10" x14ac:dyDescent="0.3">
      <c r="A85" s="8">
        <v>45760</v>
      </c>
      <c r="B85" s="2">
        <v>6</v>
      </c>
      <c r="C85" s="2" t="s">
        <v>149</v>
      </c>
      <c r="D85" s="2" t="s">
        <v>126</v>
      </c>
      <c r="E85" s="3">
        <v>204</v>
      </c>
      <c r="F85" s="3">
        <f t="shared" si="2"/>
        <v>1224</v>
      </c>
      <c r="G85" s="2" t="s">
        <v>8</v>
      </c>
      <c r="H85" s="2" t="s">
        <v>121</v>
      </c>
    </row>
    <row r="86" spans="1:10" x14ac:dyDescent="0.3">
      <c r="A86" s="8">
        <v>45760</v>
      </c>
      <c r="B86" s="2">
        <v>3</v>
      </c>
      <c r="C86" s="2" t="s">
        <v>150</v>
      </c>
      <c r="D86" s="2" t="s">
        <v>126</v>
      </c>
      <c r="E86" s="3">
        <v>200</v>
      </c>
      <c r="F86" s="3">
        <f t="shared" si="2"/>
        <v>600</v>
      </c>
      <c r="G86" s="2" t="s">
        <v>8</v>
      </c>
      <c r="H86" s="2" t="s">
        <v>121</v>
      </c>
    </row>
    <row r="87" spans="1:10" x14ac:dyDescent="0.3">
      <c r="A87" s="8">
        <v>45760</v>
      </c>
      <c r="B87" s="2">
        <v>11</v>
      </c>
      <c r="C87" s="2" t="s">
        <v>140</v>
      </c>
      <c r="D87" s="2" t="s">
        <v>126</v>
      </c>
      <c r="E87" s="3">
        <v>21</v>
      </c>
      <c r="F87" s="3">
        <f t="shared" si="2"/>
        <v>231</v>
      </c>
      <c r="G87" s="2" t="s">
        <v>8</v>
      </c>
      <c r="H87" s="2" t="s">
        <v>121</v>
      </c>
    </row>
    <row r="88" spans="1:10" x14ac:dyDescent="0.3">
      <c r="A88" s="6">
        <v>45761</v>
      </c>
      <c r="B88" s="22">
        <v>6</v>
      </c>
      <c r="C88" s="22" t="s">
        <v>194</v>
      </c>
      <c r="D88" s="2" t="s">
        <v>195</v>
      </c>
      <c r="E88" s="23">
        <v>724</v>
      </c>
      <c r="F88" s="23">
        <f t="shared" si="2"/>
        <v>4344</v>
      </c>
      <c r="G88" s="2" t="s">
        <v>196</v>
      </c>
      <c r="H88" s="2"/>
    </row>
    <row r="89" spans="1:10" x14ac:dyDescent="0.3">
      <c r="A89" s="43">
        <v>45762</v>
      </c>
      <c r="B89" s="44">
        <v>2</v>
      </c>
      <c r="C89" s="27" t="s">
        <v>213</v>
      </c>
      <c r="D89" s="27" t="s">
        <v>14</v>
      </c>
      <c r="E89" s="45">
        <v>2549</v>
      </c>
      <c r="F89" s="45">
        <f t="shared" si="2"/>
        <v>5098</v>
      </c>
      <c r="G89" s="44" t="s">
        <v>62</v>
      </c>
      <c r="H89" s="30"/>
      <c r="I89" s="32"/>
      <c r="J89" s="32"/>
    </row>
    <row r="90" spans="1:10" x14ac:dyDescent="0.3">
      <c r="A90" s="43">
        <v>45762</v>
      </c>
      <c r="B90" s="44">
        <v>1</v>
      </c>
      <c r="C90" s="27" t="s">
        <v>132</v>
      </c>
      <c r="D90" s="27" t="s">
        <v>14</v>
      </c>
      <c r="E90" s="45">
        <v>2549</v>
      </c>
      <c r="F90" s="45">
        <f t="shared" si="2"/>
        <v>2549</v>
      </c>
      <c r="G90" s="44" t="s">
        <v>62</v>
      </c>
      <c r="H90" s="30"/>
      <c r="I90" s="32"/>
      <c r="J90" s="32"/>
    </row>
    <row r="91" spans="1:10" x14ac:dyDescent="0.3">
      <c r="A91" s="43">
        <v>45762</v>
      </c>
      <c r="B91" s="44">
        <v>2</v>
      </c>
      <c r="C91" s="27" t="s">
        <v>119</v>
      </c>
      <c r="D91" s="27" t="s">
        <v>14</v>
      </c>
      <c r="E91" s="45">
        <v>2199</v>
      </c>
      <c r="F91" s="45">
        <f t="shared" si="2"/>
        <v>4398</v>
      </c>
      <c r="G91" s="44" t="s">
        <v>62</v>
      </c>
      <c r="H91" s="30"/>
      <c r="I91" s="32"/>
      <c r="J91" s="32"/>
    </row>
    <row r="92" spans="1:10" x14ac:dyDescent="0.3">
      <c r="A92" s="6">
        <v>45763</v>
      </c>
      <c r="B92" s="22">
        <v>2</v>
      </c>
      <c r="C92" s="22" t="s">
        <v>217</v>
      </c>
      <c r="D92" s="22" t="s">
        <v>200</v>
      </c>
      <c r="E92" s="23">
        <v>539</v>
      </c>
      <c r="F92" s="23">
        <f t="shared" si="2"/>
        <v>1078</v>
      </c>
      <c r="G92" s="22" t="s">
        <v>214</v>
      </c>
      <c r="H92" s="2"/>
    </row>
    <row r="93" spans="1:10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2"/>
        <v>426</v>
      </c>
      <c r="G93" s="22" t="s">
        <v>8</v>
      </c>
      <c r="H93" s="2"/>
    </row>
    <row r="94" spans="1:10" x14ac:dyDescent="0.3">
      <c r="A94" s="8">
        <v>45763</v>
      </c>
      <c r="B94" s="2">
        <v>6</v>
      </c>
      <c r="C94" s="2" t="s">
        <v>140</v>
      </c>
      <c r="D94" s="2" t="s">
        <v>30</v>
      </c>
      <c r="E94" s="3">
        <v>19</v>
      </c>
      <c r="F94" s="3">
        <f t="shared" si="2"/>
        <v>114</v>
      </c>
      <c r="G94" s="2" t="s">
        <v>8</v>
      </c>
      <c r="H94" s="2"/>
    </row>
    <row r="95" spans="1:10" x14ac:dyDescent="0.3">
      <c r="A95" s="29">
        <v>45763</v>
      </c>
      <c r="B95" s="30">
        <v>2</v>
      </c>
      <c r="C95" s="30" t="s">
        <v>201</v>
      </c>
      <c r="D95" s="30" t="s">
        <v>30</v>
      </c>
      <c r="E95" s="31">
        <v>646</v>
      </c>
      <c r="F95" s="31">
        <f t="shared" si="2"/>
        <v>1292</v>
      </c>
      <c r="G95" s="30" t="s">
        <v>24</v>
      </c>
      <c r="H95" s="30"/>
    </row>
    <row r="96" spans="1:10" x14ac:dyDescent="0.3">
      <c r="A96" s="29">
        <v>45763</v>
      </c>
      <c r="B96" s="30">
        <v>4</v>
      </c>
      <c r="C96" s="30" t="s">
        <v>202</v>
      </c>
      <c r="D96" s="30" t="s">
        <v>30</v>
      </c>
      <c r="E96" s="31">
        <v>713</v>
      </c>
      <c r="F96" s="31">
        <f t="shared" si="2"/>
        <v>2852</v>
      </c>
      <c r="G96" s="30" t="s">
        <v>24</v>
      </c>
      <c r="H96" s="30"/>
    </row>
    <row r="97" spans="1:9" x14ac:dyDescent="0.3">
      <c r="A97" s="29">
        <v>45763</v>
      </c>
      <c r="B97" s="30">
        <v>2</v>
      </c>
      <c r="C97" s="30" t="s">
        <v>203</v>
      </c>
      <c r="D97" s="30" t="s">
        <v>30</v>
      </c>
      <c r="E97" s="31">
        <v>184</v>
      </c>
      <c r="F97" s="31">
        <f t="shared" si="2"/>
        <v>368</v>
      </c>
      <c r="G97" s="30" t="s">
        <v>24</v>
      </c>
      <c r="H97" s="30"/>
    </row>
    <row r="98" spans="1:9" x14ac:dyDescent="0.3">
      <c r="A98" s="8">
        <v>45764</v>
      </c>
      <c r="B98" s="2">
        <v>1</v>
      </c>
      <c r="C98" s="2" t="s">
        <v>216</v>
      </c>
      <c r="D98" s="2" t="s">
        <v>211</v>
      </c>
      <c r="E98" s="3">
        <v>489</v>
      </c>
      <c r="F98" s="3">
        <f t="shared" si="2"/>
        <v>489</v>
      </c>
      <c r="G98" s="2" t="s">
        <v>8</v>
      </c>
      <c r="H98" s="2"/>
    </row>
    <row r="99" spans="1:9" x14ac:dyDescent="0.3">
      <c r="A99" s="8">
        <v>45764</v>
      </c>
      <c r="B99" s="2">
        <v>1</v>
      </c>
      <c r="C99" s="2" t="s">
        <v>204</v>
      </c>
      <c r="D99" s="2" t="s">
        <v>211</v>
      </c>
      <c r="E99" s="3">
        <v>489</v>
      </c>
      <c r="F99" s="3">
        <f t="shared" si="2"/>
        <v>489</v>
      </c>
      <c r="G99" s="2" t="s">
        <v>8</v>
      </c>
      <c r="H99" s="2"/>
    </row>
    <row r="100" spans="1:9" x14ac:dyDescent="0.3">
      <c r="A100" s="8">
        <v>45764</v>
      </c>
      <c r="B100" s="2">
        <v>1</v>
      </c>
      <c r="C100" s="2" t="s">
        <v>206</v>
      </c>
      <c r="D100" s="2" t="s">
        <v>205</v>
      </c>
      <c r="E100" s="3">
        <v>539</v>
      </c>
      <c r="F100" s="3">
        <f t="shared" si="2"/>
        <v>539</v>
      </c>
      <c r="G100" s="2" t="s">
        <v>8</v>
      </c>
      <c r="H100" s="2"/>
    </row>
    <row r="101" spans="1:9" x14ac:dyDescent="0.3">
      <c r="A101" s="8">
        <v>45764</v>
      </c>
      <c r="B101" s="2">
        <v>1</v>
      </c>
      <c r="C101" s="2" t="s">
        <v>207</v>
      </c>
      <c r="D101" s="2" t="s">
        <v>205</v>
      </c>
      <c r="E101" s="3">
        <v>539</v>
      </c>
      <c r="F101" s="3">
        <f t="shared" si="2"/>
        <v>539</v>
      </c>
      <c r="G101" s="2" t="s">
        <v>8</v>
      </c>
      <c r="H101" s="2"/>
    </row>
    <row r="102" spans="1:9" x14ac:dyDescent="0.3">
      <c r="A102" s="8">
        <v>45764</v>
      </c>
      <c r="B102" s="2">
        <v>1</v>
      </c>
      <c r="C102" s="25" t="s">
        <v>208</v>
      </c>
      <c r="D102" s="2" t="s">
        <v>209</v>
      </c>
      <c r="E102" s="3">
        <v>539</v>
      </c>
      <c r="F102" s="3">
        <f t="shared" si="2"/>
        <v>539</v>
      </c>
      <c r="G102" s="2" t="s">
        <v>8</v>
      </c>
      <c r="H102" s="2"/>
    </row>
    <row r="103" spans="1:9" x14ac:dyDescent="0.3">
      <c r="A103" s="8">
        <v>45764</v>
      </c>
      <c r="B103" s="2">
        <v>1</v>
      </c>
      <c r="C103" s="25" t="s">
        <v>212</v>
      </c>
      <c r="D103" s="2" t="s">
        <v>209</v>
      </c>
      <c r="E103" s="3">
        <v>489</v>
      </c>
      <c r="F103" s="3">
        <f t="shared" si="2"/>
        <v>489</v>
      </c>
      <c r="G103" s="2" t="s">
        <v>8</v>
      </c>
      <c r="H103" s="2"/>
    </row>
    <row r="104" spans="1:9" x14ac:dyDescent="0.3">
      <c r="A104" s="8">
        <v>45764</v>
      </c>
      <c r="B104" s="2">
        <v>5</v>
      </c>
      <c r="C104" s="25" t="s">
        <v>206</v>
      </c>
      <c r="D104" s="2" t="s">
        <v>209</v>
      </c>
      <c r="E104" s="3">
        <v>539</v>
      </c>
      <c r="F104" s="3">
        <f t="shared" si="2"/>
        <v>2695</v>
      </c>
      <c r="G104" s="2" t="s">
        <v>8</v>
      </c>
      <c r="H104" s="2"/>
    </row>
    <row r="105" spans="1:9" x14ac:dyDescent="0.3">
      <c r="A105" s="8">
        <v>45764</v>
      </c>
      <c r="B105" s="2">
        <v>4</v>
      </c>
      <c r="C105" s="2" t="s">
        <v>210</v>
      </c>
      <c r="D105" s="2" t="s">
        <v>209</v>
      </c>
      <c r="E105" s="3">
        <v>539</v>
      </c>
      <c r="F105" s="3">
        <f t="shared" si="2"/>
        <v>2156</v>
      </c>
      <c r="G105" s="2" t="s">
        <v>8</v>
      </c>
      <c r="H105" s="2"/>
    </row>
    <row r="106" spans="1:9" x14ac:dyDescent="0.3">
      <c r="A106" s="8"/>
      <c r="B106" s="2"/>
      <c r="C106" s="2"/>
      <c r="D106" s="2"/>
      <c r="E106" s="3"/>
      <c r="F106" s="3"/>
      <c r="G106" s="2"/>
      <c r="H106" s="2"/>
    </row>
    <row r="107" spans="1:9" x14ac:dyDescent="0.3">
      <c r="A107" s="33">
        <v>45767</v>
      </c>
      <c r="B107" s="34">
        <v>1</v>
      </c>
      <c r="C107" s="35" t="s">
        <v>86</v>
      </c>
      <c r="D107" s="34" t="s">
        <v>230</v>
      </c>
      <c r="E107" s="36">
        <v>597</v>
      </c>
      <c r="F107" s="36">
        <f t="shared" si="2"/>
        <v>597</v>
      </c>
      <c r="G107" s="34"/>
      <c r="H107" s="34"/>
      <c r="I107" s="37"/>
    </row>
    <row r="108" spans="1:9" x14ac:dyDescent="0.3">
      <c r="A108" s="26">
        <v>45767</v>
      </c>
      <c r="B108" s="27">
        <v>9</v>
      </c>
      <c r="C108" s="27" t="s">
        <v>228</v>
      </c>
      <c r="D108" s="27" t="s">
        <v>219</v>
      </c>
      <c r="E108" s="28">
        <v>539</v>
      </c>
      <c r="F108" s="28">
        <f t="shared" si="2"/>
        <v>4851</v>
      </c>
      <c r="G108" s="27" t="s">
        <v>8</v>
      </c>
      <c r="H108" s="27"/>
    </row>
    <row r="109" spans="1:9" x14ac:dyDescent="0.3">
      <c r="A109" s="29">
        <v>45767</v>
      </c>
      <c r="B109" s="30">
        <v>5</v>
      </c>
      <c r="C109" s="30" t="s">
        <v>220</v>
      </c>
      <c r="D109" s="30" t="s">
        <v>218</v>
      </c>
      <c r="E109" s="31">
        <v>489</v>
      </c>
      <c r="F109" s="31">
        <f t="shared" si="2"/>
        <v>2445</v>
      </c>
      <c r="G109" s="30" t="s">
        <v>62</v>
      </c>
      <c r="H109" s="30"/>
    </row>
    <row r="110" spans="1:9" ht="15.6" customHeight="1" x14ac:dyDescent="0.3">
      <c r="A110" s="26">
        <v>45768</v>
      </c>
      <c r="B110" s="27">
        <v>1</v>
      </c>
      <c r="C110" s="27" t="s">
        <v>221</v>
      </c>
      <c r="D110" s="27" t="s">
        <v>145</v>
      </c>
      <c r="E110" s="27">
        <v>184</v>
      </c>
      <c r="F110" s="28">
        <f t="shared" ref="F110:F118" si="3">B110*E110</f>
        <v>184</v>
      </c>
      <c r="G110" s="27" t="s">
        <v>8</v>
      </c>
      <c r="H110" s="27"/>
    </row>
    <row r="111" spans="1:9" x14ac:dyDescent="0.3">
      <c r="A111" s="26">
        <v>45768</v>
      </c>
      <c r="B111" s="27">
        <v>6</v>
      </c>
      <c r="C111" s="27" t="s">
        <v>222</v>
      </c>
      <c r="D111" s="27" t="s">
        <v>126</v>
      </c>
      <c r="E111" s="27">
        <v>2590</v>
      </c>
      <c r="F111" s="28">
        <f t="shared" si="3"/>
        <v>15540</v>
      </c>
      <c r="G111" s="27" t="s">
        <v>8</v>
      </c>
      <c r="H111" s="27" t="s">
        <v>223</v>
      </c>
    </row>
    <row r="112" spans="1:9" x14ac:dyDescent="0.3">
      <c r="A112" s="26">
        <v>45768</v>
      </c>
      <c r="B112" s="27">
        <v>5</v>
      </c>
      <c r="C112" s="27" t="s">
        <v>140</v>
      </c>
      <c r="D112" s="27" t="s">
        <v>126</v>
      </c>
      <c r="E112" s="27">
        <v>21</v>
      </c>
      <c r="F112" s="27">
        <f t="shared" si="3"/>
        <v>105</v>
      </c>
      <c r="G112" s="27" t="s">
        <v>8</v>
      </c>
      <c r="H112" s="27"/>
    </row>
    <row r="113" spans="1:8" x14ac:dyDescent="0.3">
      <c r="A113" s="26">
        <v>45768</v>
      </c>
      <c r="B113" s="27">
        <v>6</v>
      </c>
      <c r="C113" s="27" t="s">
        <v>228</v>
      </c>
      <c r="D113" s="27" t="s">
        <v>224</v>
      </c>
      <c r="E113" s="27">
        <v>539</v>
      </c>
      <c r="F113" s="27">
        <f t="shared" si="3"/>
        <v>3234</v>
      </c>
      <c r="G113" s="27" t="s">
        <v>8</v>
      </c>
      <c r="H113" s="27"/>
    </row>
    <row r="114" spans="1:8" x14ac:dyDescent="0.3">
      <c r="A114" s="29">
        <v>45768</v>
      </c>
      <c r="B114" s="30">
        <v>2</v>
      </c>
      <c r="C114" s="30" t="s">
        <v>226</v>
      </c>
      <c r="D114" s="30" t="s">
        <v>225</v>
      </c>
      <c r="E114" s="31">
        <v>489</v>
      </c>
      <c r="F114" s="31">
        <f t="shared" si="3"/>
        <v>978</v>
      </c>
      <c r="G114" s="30" t="s">
        <v>62</v>
      </c>
      <c r="H114" s="30"/>
    </row>
    <row r="115" spans="1:8" x14ac:dyDescent="0.3">
      <c r="A115" s="26">
        <v>45768</v>
      </c>
      <c r="B115" s="27">
        <v>4</v>
      </c>
      <c r="C115" s="27" t="s">
        <v>228</v>
      </c>
      <c r="D115" s="27" t="s">
        <v>227</v>
      </c>
      <c r="E115" s="27">
        <v>539</v>
      </c>
      <c r="F115" s="27">
        <f t="shared" si="3"/>
        <v>2156</v>
      </c>
      <c r="G115" s="27" t="s">
        <v>8</v>
      </c>
      <c r="H115" s="27"/>
    </row>
    <row r="116" spans="1:8" x14ac:dyDescent="0.3">
      <c r="A116" s="26">
        <v>45768</v>
      </c>
      <c r="B116" s="27">
        <v>4</v>
      </c>
      <c r="C116" s="27" t="s">
        <v>228</v>
      </c>
      <c r="D116" s="27" t="s">
        <v>229</v>
      </c>
      <c r="E116" s="27">
        <v>539</v>
      </c>
      <c r="F116" s="27">
        <f t="shared" si="3"/>
        <v>2156</v>
      </c>
      <c r="G116" s="27" t="s">
        <v>8</v>
      </c>
      <c r="H116" s="27"/>
    </row>
    <row r="117" spans="1:8" x14ac:dyDescent="0.3">
      <c r="A117" s="29">
        <v>45768</v>
      </c>
      <c r="B117" s="30">
        <v>3</v>
      </c>
      <c r="C117" s="30" t="s">
        <v>119</v>
      </c>
      <c r="D117" s="30" t="s">
        <v>14</v>
      </c>
      <c r="E117" s="31">
        <v>2199</v>
      </c>
      <c r="F117" s="31">
        <f t="shared" si="3"/>
        <v>6597</v>
      </c>
      <c r="G117" s="30" t="s">
        <v>62</v>
      </c>
      <c r="H117" s="30"/>
    </row>
    <row r="118" spans="1:8" x14ac:dyDescent="0.3">
      <c r="A118" s="29">
        <v>45768</v>
      </c>
      <c r="B118" s="30">
        <v>6</v>
      </c>
      <c r="C118" s="30" t="s">
        <v>118</v>
      </c>
      <c r="D118" s="30" t="s">
        <v>14</v>
      </c>
      <c r="E118" s="31">
        <v>2199</v>
      </c>
      <c r="F118" s="31">
        <f t="shared" si="3"/>
        <v>13194</v>
      </c>
      <c r="G118" s="30" t="s">
        <v>62</v>
      </c>
      <c r="H118" s="30"/>
    </row>
    <row r="119" spans="1:8" x14ac:dyDescent="0.3">
      <c r="A119" s="2"/>
      <c r="B119" s="2"/>
      <c r="C119" s="2"/>
      <c r="D119" s="2"/>
      <c r="E119" s="2"/>
      <c r="F119" s="2"/>
      <c r="G119" s="2"/>
      <c r="H119" s="2"/>
    </row>
    <row r="120" spans="1:8" x14ac:dyDescent="0.3">
      <c r="A120" s="2"/>
      <c r="B120" s="2"/>
      <c r="C120" s="2"/>
      <c r="D120" s="2"/>
      <c r="E120" s="2"/>
      <c r="F120" s="2"/>
      <c r="G120" s="2"/>
      <c r="H120" s="2"/>
    </row>
    <row r="121" spans="1:8" x14ac:dyDescent="0.3">
      <c r="A121" s="2"/>
      <c r="B121" s="2"/>
      <c r="C121" s="2"/>
      <c r="D121" s="2"/>
      <c r="E121" s="2"/>
      <c r="F121" s="2"/>
      <c r="G121" s="2"/>
      <c r="H121" s="2"/>
    </row>
    <row r="122" spans="1:8" x14ac:dyDescent="0.3">
      <c r="A122" s="2"/>
      <c r="B122" s="2"/>
      <c r="C122" s="2"/>
      <c r="D122" s="2"/>
      <c r="E122" s="2"/>
      <c r="F122" s="2"/>
      <c r="G122" s="2"/>
      <c r="H122" s="2"/>
    </row>
  </sheetData>
  <autoFilter ref="A1:H118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workbookViewId="0">
      <selection activeCell="D25" sqref="D25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165</v>
      </c>
      <c r="E1" s="13" t="s">
        <v>1</v>
      </c>
      <c r="F1" t="s">
        <v>82</v>
      </c>
    </row>
    <row r="2" spans="1:6" x14ac:dyDescent="0.3">
      <c r="A2">
        <v>4</v>
      </c>
      <c r="B2" t="s">
        <v>166</v>
      </c>
      <c r="C2">
        <v>1</v>
      </c>
      <c r="E2" s="14" t="s">
        <v>174</v>
      </c>
      <c r="F2">
        <v>40</v>
      </c>
    </row>
    <row r="3" spans="1:6" x14ac:dyDescent="0.3">
      <c r="A3">
        <v>2</v>
      </c>
      <c r="B3" t="s">
        <v>167</v>
      </c>
      <c r="C3">
        <v>1</v>
      </c>
      <c r="E3" s="14" t="s">
        <v>170</v>
      </c>
      <c r="F3">
        <v>4</v>
      </c>
    </row>
    <row r="4" spans="1:6" x14ac:dyDescent="0.3">
      <c r="A4">
        <v>4</v>
      </c>
      <c r="B4" t="s">
        <v>168</v>
      </c>
      <c r="C4">
        <v>1</v>
      </c>
      <c r="E4" s="14" t="s">
        <v>184</v>
      </c>
      <c r="F4">
        <v>1</v>
      </c>
    </row>
    <row r="5" spans="1:6" x14ac:dyDescent="0.3">
      <c r="A5">
        <v>2</v>
      </c>
      <c r="B5" t="s">
        <v>167</v>
      </c>
      <c r="C5">
        <v>2</v>
      </c>
      <c r="E5" s="14" t="s">
        <v>173</v>
      </c>
      <c r="F5">
        <v>7</v>
      </c>
    </row>
    <row r="6" spans="1:6" x14ac:dyDescent="0.3">
      <c r="A6">
        <v>2</v>
      </c>
      <c r="B6" t="s">
        <v>169</v>
      </c>
      <c r="C6">
        <v>2</v>
      </c>
      <c r="E6" s="14" t="s">
        <v>168</v>
      </c>
      <c r="F6">
        <v>6</v>
      </c>
    </row>
    <row r="7" spans="1:6" x14ac:dyDescent="0.3">
      <c r="A7">
        <v>2</v>
      </c>
      <c r="B7" t="s">
        <v>170</v>
      </c>
      <c r="C7">
        <v>2</v>
      </c>
      <c r="E7" s="14" t="s">
        <v>176</v>
      </c>
      <c r="F7">
        <v>8</v>
      </c>
    </row>
    <row r="8" spans="1:6" x14ac:dyDescent="0.3">
      <c r="A8">
        <v>9</v>
      </c>
      <c r="B8" t="s">
        <v>171</v>
      </c>
      <c r="C8">
        <v>2</v>
      </c>
      <c r="E8" s="14" t="s">
        <v>186</v>
      </c>
      <c r="F8">
        <v>1</v>
      </c>
    </row>
    <row r="9" spans="1:6" x14ac:dyDescent="0.3">
      <c r="A9">
        <v>2</v>
      </c>
      <c r="B9" t="s">
        <v>172</v>
      </c>
      <c r="C9">
        <v>2</v>
      </c>
      <c r="E9" s="14" t="s">
        <v>166</v>
      </c>
      <c r="F9">
        <v>11</v>
      </c>
    </row>
    <row r="10" spans="1:6" x14ac:dyDescent="0.3">
      <c r="A10">
        <v>2</v>
      </c>
      <c r="B10" t="s">
        <v>168</v>
      </c>
      <c r="C10">
        <v>2</v>
      </c>
      <c r="E10" s="14" t="s">
        <v>167</v>
      </c>
      <c r="F10">
        <v>5</v>
      </c>
    </row>
    <row r="11" spans="1:6" x14ac:dyDescent="0.3">
      <c r="A11">
        <v>7</v>
      </c>
      <c r="B11" t="s">
        <v>174</v>
      </c>
      <c r="C11">
        <v>3</v>
      </c>
      <c r="E11" s="14" t="s">
        <v>185</v>
      </c>
      <c r="F11">
        <v>1</v>
      </c>
    </row>
    <row r="12" spans="1:6" x14ac:dyDescent="0.3">
      <c r="A12">
        <v>27</v>
      </c>
      <c r="B12" t="s">
        <v>175</v>
      </c>
      <c r="C12">
        <v>3</v>
      </c>
      <c r="E12" s="14" t="s">
        <v>178</v>
      </c>
      <c r="F12">
        <v>3</v>
      </c>
    </row>
    <row r="13" spans="1:6" x14ac:dyDescent="0.3">
      <c r="A13">
        <v>2</v>
      </c>
      <c r="B13" t="s">
        <v>173</v>
      </c>
      <c r="C13">
        <v>4</v>
      </c>
      <c r="E13" s="14" t="s">
        <v>182</v>
      </c>
      <c r="F13">
        <v>2</v>
      </c>
    </row>
    <row r="14" spans="1:6" x14ac:dyDescent="0.3">
      <c r="A14">
        <v>8</v>
      </c>
      <c r="B14" t="s">
        <v>176</v>
      </c>
      <c r="C14">
        <v>4</v>
      </c>
      <c r="E14" s="14" t="s">
        <v>180</v>
      </c>
      <c r="F14">
        <v>5</v>
      </c>
    </row>
    <row r="15" spans="1:6" x14ac:dyDescent="0.3">
      <c r="A15">
        <v>7</v>
      </c>
      <c r="B15" t="s">
        <v>171</v>
      </c>
      <c r="C15">
        <v>4</v>
      </c>
      <c r="E15" s="14" t="s">
        <v>188</v>
      </c>
      <c r="F15">
        <v>6</v>
      </c>
    </row>
    <row r="16" spans="1:6" x14ac:dyDescent="0.3">
      <c r="A16">
        <v>4</v>
      </c>
      <c r="B16" t="s">
        <v>175</v>
      </c>
      <c r="C16">
        <v>4</v>
      </c>
      <c r="E16" s="14" t="s">
        <v>193</v>
      </c>
      <c r="F16">
        <v>5</v>
      </c>
    </row>
    <row r="17" spans="1:6" x14ac:dyDescent="0.3">
      <c r="A17">
        <v>1</v>
      </c>
      <c r="B17" t="s">
        <v>174</v>
      </c>
      <c r="C17">
        <v>4</v>
      </c>
      <c r="E17" s="14" t="s">
        <v>183</v>
      </c>
      <c r="F17">
        <v>1</v>
      </c>
    </row>
    <row r="18" spans="1:6" x14ac:dyDescent="0.3">
      <c r="A18">
        <v>5</v>
      </c>
      <c r="B18" t="s">
        <v>193</v>
      </c>
      <c r="C18">
        <v>5</v>
      </c>
      <c r="E18" s="14" t="s">
        <v>171</v>
      </c>
      <c r="F18">
        <v>16</v>
      </c>
    </row>
    <row r="19" spans="1:6" x14ac:dyDescent="0.3">
      <c r="A19">
        <v>2</v>
      </c>
      <c r="B19" t="s">
        <v>170</v>
      </c>
      <c r="C19">
        <v>5</v>
      </c>
      <c r="E19" s="14" t="s">
        <v>172</v>
      </c>
      <c r="F19">
        <v>5</v>
      </c>
    </row>
    <row r="20" spans="1:6" x14ac:dyDescent="0.3">
      <c r="A20">
        <v>4</v>
      </c>
      <c r="B20" t="s">
        <v>177</v>
      </c>
      <c r="C20">
        <v>5</v>
      </c>
      <c r="E20" s="14" t="s">
        <v>179</v>
      </c>
      <c r="F20">
        <v>1</v>
      </c>
    </row>
    <row r="21" spans="1:6" x14ac:dyDescent="0.3">
      <c r="A21">
        <v>30</v>
      </c>
      <c r="B21" t="s">
        <v>174</v>
      </c>
      <c r="C21">
        <v>5</v>
      </c>
      <c r="E21" s="14" t="s">
        <v>175</v>
      </c>
      <c r="F21">
        <v>31</v>
      </c>
    </row>
    <row r="22" spans="1:6" x14ac:dyDescent="0.3">
      <c r="A22">
        <v>2</v>
      </c>
      <c r="B22" t="s">
        <v>192</v>
      </c>
      <c r="C22">
        <v>5</v>
      </c>
      <c r="E22" s="14" t="s">
        <v>181</v>
      </c>
      <c r="F22">
        <v>1</v>
      </c>
    </row>
    <row r="23" spans="1:6" x14ac:dyDescent="0.3">
      <c r="A23">
        <v>2</v>
      </c>
      <c r="B23" t="s">
        <v>178</v>
      </c>
      <c r="C23">
        <v>6</v>
      </c>
      <c r="E23" s="14" t="s">
        <v>169</v>
      </c>
      <c r="F23">
        <v>2</v>
      </c>
    </row>
    <row r="24" spans="1:6" x14ac:dyDescent="0.3">
      <c r="A24">
        <v>1</v>
      </c>
      <c r="B24" t="s">
        <v>167</v>
      </c>
      <c r="C24">
        <v>6</v>
      </c>
      <c r="E24" s="14" t="s">
        <v>189</v>
      </c>
      <c r="F24">
        <v>57</v>
      </c>
    </row>
    <row r="25" spans="1:6" x14ac:dyDescent="0.3">
      <c r="A25">
        <v>1</v>
      </c>
      <c r="B25" t="s">
        <v>172</v>
      </c>
      <c r="C25">
        <v>6</v>
      </c>
      <c r="E25" s="14" t="s">
        <v>81</v>
      </c>
      <c r="F25">
        <v>219</v>
      </c>
    </row>
    <row r="26" spans="1:6" x14ac:dyDescent="0.3">
      <c r="A26">
        <v>1</v>
      </c>
      <c r="B26" t="s">
        <v>177</v>
      </c>
      <c r="C26">
        <v>6</v>
      </c>
    </row>
    <row r="27" spans="1:6" x14ac:dyDescent="0.3">
      <c r="A27">
        <v>1</v>
      </c>
      <c r="B27" t="s">
        <v>179</v>
      </c>
      <c r="C27">
        <v>6</v>
      </c>
    </row>
    <row r="28" spans="1:6" x14ac:dyDescent="0.3">
      <c r="A28">
        <v>2</v>
      </c>
      <c r="B28" t="s">
        <v>180</v>
      </c>
      <c r="C28">
        <v>7</v>
      </c>
    </row>
    <row r="29" spans="1:6" x14ac:dyDescent="0.3">
      <c r="A29">
        <v>1</v>
      </c>
      <c r="B29" t="s">
        <v>181</v>
      </c>
      <c r="C29">
        <v>7</v>
      </c>
    </row>
    <row r="30" spans="1:6" x14ac:dyDescent="0.3">
      <c r="A30">
        <v>2</v>
      </c>
      <c r="B30" t="s">
        <v>182</v>
      </c>
      <c r="C30">
        <v>8</v>
      </c>
    </row>
    <row r="31" spans="1:6" x14ac:dyDescent="0.3">
      <c r="A31">
        <v>3</v>
      </c>
      <c r="B31" t="s">
        <v>180</v>
      </c>
      <c r="C31">
        <v>8</v>
      </c>
    </row>
    <row r="32" spans="1:6" x14ac:dyDescent="0.3">
      <c r="A32">
        <v>1</v>
      </c>
      <c r="B32" t="s">
        <v>183</v>
      </c>
      <c r="C32">
        <v>8</v>
      </c>
    </row>
    <row r="33" spans="1:3" x14ac:dyDescent="0.3">
      <c r="A33">
        <v>2</v>
      </c>
      <c r="B33" t="s">
        <v>174</v>
      </c>
      <c r="C33">
        <v>8</v>
      </c>
    </row>
    <row r="34" spans="1:3" x14ac:dyDescent="0.3">
      <c r="A34">
        <v>5</v>
      </c>
      <c r="B34" t="s">
        <v>166</v>
      </c>
      <c r="C34">
        <v>9</v>
      </c>
    </row>
    <row r="35" spans="1:3" x14ac:dyDescent="0.3">
      <c r="A35">
        <v>1</v>
      </c>
      <c r="B35" t="s">
        <v>184</v>
      </c>
      <c r="C35">
        <v>9</v>
      </c>
    </row>
    <row r="36" spans="1:3" x14ac:dyDescent="0.3">
      <c r="A36">
        <v>1</v>
      </c>
      <c r="B36" t="s">
        <v>185</v>
      </c>
      <c r="C36">
        <v>10</v>
      </c>
    </row>
    <row r="37" spans="1:3" x14ac:dyDescent="0.3">
      <c r="A37">
        <v>1</v>
      </c>
      <c r="B37" t="s">
        <v>178</v>
      </c>
      <c r="C37">
        <v>10</v>
      </c>
    </row>
    <row r="38" spans="1:3" x14ac:dyDescent="0.3">
      <c r="A38">
        <v>1</v>
      </c>
      <c r="B38" t="s">
        <v>186</v>
      </c>
      <c r="C38">
        <v>10</v>
      </c>
    </row>
    <row r="39" spans="1:3" x14ac:dyDescent="0.3">
      <c r="A39">
        <v>2</v>
      </c>
      <c r="B39" t="s">
        <v>166</v>
      </c>
      <c r="C39" t="s">
        <v>187</v>
      </c>
    </row>
    <row r="40" spans="1:3" x14ac:dyDescent="0.3">
      <c r="A40">
        <v>6</v>
      </c>
      <c r="B40" t="s">
        <v>188</v>
      </c>
      <c r="C40">
        <v>11</v>
      </c>
    </row>
    <row r="41" spans="1:3" x14ac:dyDescent="0.3">
      <c r="A41">
        <v>33</v>
      </c>
      <c r="B41" t="s">
        <v>189</v>
      </c>
      <c r="C41" t="s">
        <v>191</v>
      </c>
    </row>
    <row r="42" spans="1:3" x14ac:dyDescent="0.3">
      <c r="A42">
        <v>6</v>
      </c>
      <c r="B42" t="s">
        <v>189</v>
      </c>
      <c r="C42" t="s">
        <v>190</v>
      </c>
    </row>
    <row r="43" spans="1:3" x14ac:dyDescent="0.3">
      <c r="A43">
        <v>8</v>
      </c>
      <c r="B43" t="s">
        <v>189</v>
      </c>
    </row>
    <row r="44" spans="1:3" x14ac:dyDescent="0.3">
      <c r="A44">
        <v>10</v>
      </c>
      <c r="B44" t="s">
        <v>189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Pending</vt:lpstr>
      <vt:lpstr>March </vt:lpstr>
      <vt:lpstr>Mehwish</vt:lpstr>
      <vt:lpstr>April</vt:lpstr>
      <vt:lpstr>Shipment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dell5300</cp:lastModifiedBy>
  <dcterms:created xsi:type="dcterms:W3CDTF">2025-03-28T14:31:05Z</dcterms:created>
  <dcterms:modified xsi:type="dcterms:W3CDTF">2025-04-24T16:46:29Z</dcterms:modified>
</cp:coreProperties>
</file>