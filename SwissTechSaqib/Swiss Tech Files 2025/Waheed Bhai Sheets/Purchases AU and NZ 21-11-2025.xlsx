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ll5300\Downloads\"/>
    </mc:Choice>
  </mc:AlternateContent>
  <xr:revisionPtr revIDLastSave="0" documentId="13_ncr:1_{D1F1BE93-1491-4039-934F-619E4CA0853D}" xr6:coauthVersionLast="47" xr6:coauthVersionMax="47" xr10:uidLastSave="{00000000-0000-0000-0000-000000000000}"/>
  <bookViews>
    <workbookView xWindow="-108" yWindow="-108" windowWidth="23256" windowHeight="13896" firstSheet="22" activeTab="22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Waleed" sheetId="21" state="hidden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r:id="rId23"/>
    <sheet name="NZ OCT" sheetId="25" state="hidden" r:id="rId24"/>
    <sheet name="NZ NOV" sheetId="26" r:id="rId25"/>
    <sheet name="Sheet3" sheetId="31" state="hidden" r:id="rId26"/>
    <sheet name="Sheet2" sheetId="30" state="hidden" r:id="rId27"/>
    <sheet name="NZ visit expense" sheetId="17" state="hidden" r:id="rId28"/>
    <sheet name="Abdul Rafey" sheetId="5" state="hidden" r:id="rId29"/>
  </sheets>
  <definedNames>
    <definedName name="_xlnm._FilterDatabase" localSheetId="3" hidden="1">April!$A$1:$H$152</definedName>
    <definedName name="_xlnm._FilterDatabase" localSheetId="18" hidden="1">'AU Aug'!$A$1:$N$37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NOV'!$A$1:$I$82</definedName>
    <definedName name="_xlnm._FilterDatabase" localSheetId="21" hidden="1">'AU OCT'!$A$1:$G$24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</definedNames>
  <calcPr calcId="191029"/>
  <pivotCaches>
    <pivotCache cacheId="0" r:id="rId30"/>
    <pivotCache cacheId="1" r:id="rId31"/>
    <pivotCache cacheId="2" r:id="rId32"/>
    <pivotCache cacheId="3" r:id="rId33"/>
    <pivotCache cacheId="4" r:id="rId34"/>
    <pivotCache cacheId="5" r:id="rId35"/>
    <pivotCache cacheId="6" r:id="rId36"/>
    <pivotCache cacheId="7" r:id="rId3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2" i="27" l="1"/>
  <c r="F81" i="27"/>
  <c r="F80" i="27"/>
  <c r="F79" i="27"/>
  <c r="F78" i="27"/>
  <c r="F77" i="27"/>
  <c r="F76" i="27"/>
  <c r="F75" i="27"/>
  <c r="F74" i="27"/>
  <c r="F73" i="27"/>
  <c r="F71" i="27"/>
  <c r="F72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O12" i="27" l="1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<sst xmlns="http://schemas.openxmlformats.org/spreadsheetml/2006/main" count="2470" uniqueCount="733">
  <si>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</si>
  <si>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</si>
  <si>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</si>
  <si>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</si>
  <si>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</si>
  <si>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</si>
  <si>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</si>
  <si>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</si>
  <si>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</si>
  <si>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</si>
  <si>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</si>
  <si>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</si>
  <si>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</si>
  <si>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</si>
  <si>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</si>
  <si>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</si>
  <si>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</si>
  <si>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</si>
  <si>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</si>
  <si>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</si>
  <si>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</si>
  <si>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</si>
  <si>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</si>
  <si>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</si>
  <si>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</si>
  <si>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</si>
  <si>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</si>
  <si>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</si>
  <si>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</si>
  <si>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</si>
  <si>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</si>
  <si>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</si>
  <si>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</si>
  <si>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</si>
  <si>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</si>
  <si>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</si>
  <si>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</si>
  <si>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</si>
  <si>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</si>
  <si>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</si>
  <si>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</si>
  <si>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</si>
  <si>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</si>
  <si>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</si>
  <si>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</si>
  <si>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</si>
  <si>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</si>
  <si>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</si>
  <si>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</si>
  <si>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</si>
  <si>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</si>
  <si>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</si>
  <si>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</si>
  <si>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</si>
  <si>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</si>
  <si>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</si>
  <si>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</si>
  <si>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</si>
  <si>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</si>
  <si>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</si>
  <si>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</si>
  <si>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</si>
  <si>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</si>
  <si>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</si>
  <si>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</si>
  <si>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</si>
  <si>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</si>
  <si>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</si>
  <si>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</si>
  <si>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</si>
  <si>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</si>
  <si>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</si>
  <si>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</si>
  <si>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</si>
  <si>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</si>
  <si>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</si>
  <si>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</si>
  <si>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</si>
  <si>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</si>
  <si>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</si>
  <si>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</si>
  <si>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</si>
  <si>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</si>
  <si>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</si>
  <si>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</si>
  <si>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</si>
  <si>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</si>
  <si>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</si>
  <si>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</si>
  <si>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</si>
  <si>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</si>
  <si>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</si>
  <si>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</si>
  <si>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</si>
  <si>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</si>
  <si>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</si>
  <si>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</si>
  <si>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</si>
  <si>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</si>
  <si>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</si>
  <si>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</si>
  <si>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</si>
  <si>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</si>
  <si>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</si>
  <si>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</si>
  <si>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</si>
  <si>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</si>
  <si>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</si>
  <si>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</si>
  <si>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</si>
  <si>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</si>
  <si>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</si>
  <si>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</si>
  <si>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</si>
  <si>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</si>
  <si>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</si>
  <si>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</si>
  <si>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</si>
  <si>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</si>
  <si>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</si>
  <si>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</si>
  <si>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</si>
  <si>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</si>
  <si>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</si>
  <si>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</si>
  <si>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</si>
  <si>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</si>
  <si>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</si>
  <si>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</si>
  <si>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</si>
  <si>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</si>
  <si>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</si>
  <si>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</si>
  <si>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</si>
  <si>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</si>
  <si>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</si>
  <si>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</si>
  <si>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</si>
  <si>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</si>
  <si>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</si>
  <si>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</si>
  <si>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</si>
  <si>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</si>
  <si>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</si>
  <si>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</si>
  <si>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</si>
  <si>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</si>
  <si>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</si>
  <si>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</si>
  <si>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</si>
  <si>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</si>
  <si>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</si>
  <si>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</si>
  <si>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</si>
  <si>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</si>
  <si>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</si>
  <si>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</si>
  <si>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</si>
  <si>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</si>
  <si>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</si>
  <si>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</si>
  <si>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</si>
  <si>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</si>
  <si>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</si>
  <si>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</si>
  <si>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</si>
  <si>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</si>
  <si>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</si>
  <si>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</si>
  <si>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</si>
  <si>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</si>
  <si>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</si>
  <si>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</si>
  <si>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</si>
  <si>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</si>
  <si>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</si>
  <si>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</si>
  <si>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</si>
  <si>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</si>
  <si>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</si>
  <si>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</si>
  <si>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</si>
  <si>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</si>
  <si>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</si>
  <si>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</si>
  <si>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</si>
  <si>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</si>
  <si>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</si>
  <si>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</si>
  <si>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</si>
  <si>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</si>
  <si>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</si>
  <si>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</si>
  <si>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</si>
  <si>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</si>
  <si>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</si>
  <si>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</si>
  <si>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</si>
  <si>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</si>
  <si>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</si>
  <si>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</si>
  <si>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</si>
  <si>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</si>
  <si>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</si>
  <si>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</si>
  <si>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</si>
  <si>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</si>
  <si>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</si>
  <si>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</si>
  <si>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</si>
  <si>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</si>
  <si>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</si>
  <si>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</si>
  <si>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</si>
  <si>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</si>
  <si>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</si>
  <si>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</si>
  <si>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</si>
  <si>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</si>
  <si>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</si>
  <si>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</si>
  <si>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</si>
  <si>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</si>
  <si>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</si>
  <si>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</si>
  <si>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</si>
  <si>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</si>
  <si>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</si>
  <si>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</si>
  <si>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</si>
  <si>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</si>
  <si>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</si>
  <si>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</si>
  <si>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</si>
  <si>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</si>
  <si>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</si>
  <si>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</si>
  <si>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</si>
  <si>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</si>
  <si>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</si>
  <si>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</si>
  <si>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</si>
  <si>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</si>
  <si>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</si>
  <si>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</si>
  <si>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</si>
  <si>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</si>
  <si>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</si>
  <si>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</si>
  <si>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</si>
  <si>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</si>
  <si>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</si>
  <si>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</si>
  <si>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</si>
  <si>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</si>
  <si>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</si>
  <si>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</si>
  <si>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</si>
  <si>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</si>
  <si>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</si>
  <si>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</si>
  <si>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</si>
  <si>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</si>
  <si>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</si>
  <si>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</si>
  <si>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</si>
  <si>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</si>
  <si>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</si>
  <si>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</si>
  <si>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</si>
  <si>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</si>
  <si>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</si>
  <si>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</si>
  <si>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</si>
  <si>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</si>
  <si>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</si>
  <si>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</si>
  <si>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</si>
  <si>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</si>
  <si>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</si>
  <si>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</si>
  <si>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</si>
  <si>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</si>
  <si>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</si>
  <si>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</si>
  <si>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</si>
  <si>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</si>
  <si>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</si>
  <si>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</si>
  <si>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</si>
  <si>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</si>
  <si>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</si>
  <si>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</si>
  <si>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</si>
  <si>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</si>
  <si>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</si>
  <si>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</si>
  <si>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</si>
  <si>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</si>
  <si>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</si>
  <si>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</si>
  <si>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</si>
  <si>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</si>
  <si>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</si>
  <si>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</si>
  <si>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</si>
  <si>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</si>
  <si>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</si>
  <si>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</si>
  <si>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</si>
  <si>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</si>
  <si>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</si>
  <si>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</si>
  <si>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</si>
  <si>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</si>
  <si>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</si>
  <si>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</si>
  <si>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</si>
  <si>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</si>
  <si>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</si>
  <si>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</si>
  <si>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</si>
  <si>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</si>
  <si>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</si>
  <si>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</si>
  <si>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</si>
  <si>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</si>
  <si>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</si>
  <si>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</si>
  <si>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</si>
  <si>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</si>
  <si>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</si>
  <si>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</si>
  <si>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</si>
  <si>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</si>
  <si>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</si>
  <si>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</si>
  <si>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</si>
  <si>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</si>
  <si>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</si>
  <si>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</si>
  <si>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</si>
  <si>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</si>
  <si>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</si>
  <si>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</si>
  <si>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</si>
  <si>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</si>
  <si>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</si>
  <si>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</si>
  <si>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</si>
  <si>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</si>
  <si>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</si>
  <si>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</si>
  <si>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</si>
  <si>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</si>
  <si>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</si>
  <si>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</si>
  <si>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</si>
  <si>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</si>
  <si>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</si>
  <si>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</si>
  <si>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</si>
  <si>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</si>
  <si>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</si>
  <si>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</si>
  <si>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</si>
  <si>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</si>
  <si>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</si>
  <si>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</si>
  <si>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</si>
  <si>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</si>
  <si>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</si>
  <si>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</si>
  <si>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</si>
  <si>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</si>
  <si>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</si>
  <si>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</si>
  <si>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</si>
  <si>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</si>
  <si>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</si>
  <si>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</si>
  <si>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</si>
  <si>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</si>
  <si>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</si>
  <si>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</si>
  <si>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</si>
  <si>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</si>
  <si>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</si>
  <si>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</si>
  <si>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</si>
  <si>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</si>
  <si>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</si>
  <si>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</si>
  <si>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</si>
  <si>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</si>
  <si>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</si>
  <si>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</si>
  <si>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</si>
  <si>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</si>
  <si>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</si>
  <si>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</si>
  <si>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</si>
  <si>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</si>
  <si>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</si>
  <si>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</si>
  <si>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</si>
  <si>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</si>
  <si>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</si>
  <si>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</si>
  <si>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</si>
  <si>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</si>
  <si>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</si>
  <si>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</si>
  <si>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</si>
  <si>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</si>
  <si>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</si>
  <si>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</si>
  <si>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</si>
  <si>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</si>
  <si>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</si>
  <si>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</si>
  <si>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</si>
  <si>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</si>
  <si>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</si>
  <si>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</si>
  <si>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</si>
  <si>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</si>
  <si>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</si>
  <si>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</si>
  <si>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</si>
  <si>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</si>
  <si>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</si>
  <si>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</si>
  <si>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</si>
  <si>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</si>
  <si>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</si>
  <si>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</si>
  <si>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</si>
  <si>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</si>
  <si>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</si>
  <si>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</si>
  <si>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</si>
  <si>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</si>
  <si>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</si>
  <si>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</si>
  <si>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</si>
  <si>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</si>
  <si>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</si>
  <si>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</si>
  <si>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</si>
  <si>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</si>
  <si>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</si>
  <si>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</si>
  <si>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</si>
  <si>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</si>
  <si>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</si>
  <si>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</si>
  <si>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</si>
  <si>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</si>
  <si>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</si>
  <si>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</si>
  <si>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</si>
  <si>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</si>
  <si>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</si>
  <si>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</si>
  <si>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</si>
  <si>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</si>
  <si>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</si>
  <si>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</si>
  <si>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</si>
  <si>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</si>
  <si>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</si>
  <si>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</si>
  <si>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</si>
  <si>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</si>
  <si>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</si>
  <si>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</si>
  <si>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</si>
  <si>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</si>
  <si>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</si>
  <si>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</si>
  <si>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</si>
  <si>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</si>
  <si>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</si>
  <si>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</si>
  <si>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</si>
  <si>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</si>
  <si>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</si>
  <si>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</si>
  <si>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</si>
  <si>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</si>
  <si>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</si>
  <si>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</si>
  <si>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</si>
  <si>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</si>
  <si>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</si>
  <si>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</si>
  <si>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</si>
  <si>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</si>
  <si>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</si>
  <si>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</si>
  <si>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</si>
  <si>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</si>
  <si>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</si>
  <si>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</si>
  <si>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</si>
  <si>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</si>
  <si>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</si>
  <si>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</si>
  <si>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</si>
  <si>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</si>
  <si>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</si>
  <si>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</si>
  <si>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</si>
  <si>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</si>
  <si>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</si>
  <si>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</si>
  <si>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</si>
  <si>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</si>
  <si>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</si>
  <si>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</si>
  <si>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</si>
  <si>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</si>
  <si>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</si>
  <si>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</si>
  <si>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</si>
  <si>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</si>
  <si>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</si>
  <si>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</si>
  <si>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</si>
  <si>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</si>
  <si>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</si>
  <si>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</si>
  <si>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</si>
  <si>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</si>
  <si>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</si>
  <si>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</si>
  <si>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</si>
  <si>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</si>
  <si>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</si>
  <si>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</si>
  <si>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</si>
  <si>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</si>
  <si>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</si>
  <si>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</si>
  <si>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</si>
  <si>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</si>
  <si>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</si>
  <si>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</si>
  <si>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</si>
  <si>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</si>
  <si>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</si>
  <si>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</si>
  <si>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</si>
  <si>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</si>
  <si>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</si>
  <si>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</si>
  <si>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</si>
  <si>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</si>
  <si>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</si>
  <si>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</si>
  <si>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</si>
  <si>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</si>
  <si>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</si>
  <si>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</si>
  <si>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</si>
  <si>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</si>
  <si>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</si>
  <si>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</si>
  <si>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</si>
  <si>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</si>
  <si>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</si>
  <si>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</si>
  <si>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</si>
  <si>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</si>
  <si>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</si>
  <si>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</si>
  <si>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</si>
  <si>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</si>
  <si>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</si>
  <si>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</si>
  <si>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</si>
  <si>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</si>
  <si>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</si>
  <si>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</si>
  <si>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</si>
  <si>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</si>
  <si>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</si>
  <si>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</si>
  <si>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</si>
  <si>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</si>
  <si>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</si>
  <si>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</si>
  <si>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</si>
  <si>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</si>
  <si>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</si>
  <si>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</si>
  <si>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</si>
  <si>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</si>
  <si>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</si>
  <si>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</si>
  <si>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</si>
  <si>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</si>
  <si>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</si>
  <si>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</si>
  <si>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</si>
  <si>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</si>
  <si>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</si>
  <si>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</si>
  <si>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</si>
  <si>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</si>
  <si>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</si>
  <si>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</si>
  <si>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</si>
  <si>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</si>
  <si>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</si>
  <si>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</si>
  <si>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</si>
  <si>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</si>
  <si>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</si>
  <si>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</si>
  <si>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</si>
  <si>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</si>
  <si>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</si>
  <si>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</si>
  <si>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</si>
  <si>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</si>
  <si>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</si>
  <si>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</si>
  <si>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</si>
  <si>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</si>
  <si>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</si>
  <si>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</si>
  <si>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</si>
  <si>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</si>
  <si>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</si>
  <si>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</si>
  <si>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</si>
  <si>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</si>
  <si>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</si>
  <si>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</si>
  <si>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</si>
  <si>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</si>
  <si>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</si>
  <si>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</si>
  <si>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</si>
  <si>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</si>
  <si>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</si>
  <si>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</si>
  <si>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</si>
  <si>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</si>
  <si>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</si>
  <si>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</si>
  <si>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Mini 4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</si>
  <si>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</si>
  <si>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</si>
  <si>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</si>
  <si>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</si>
  <si>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</si>
  <si>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</si>
  <si>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</si>
  <si>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</si>
  <si>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</si>
  <si>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</si>
  <si>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</si>
  <si>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</si>
  <si>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</si>
  <si>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</si>
  <si>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</si>
  <si>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</si>
  <si>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</si>
  <si>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</si>
  <si>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</si>
  <si>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</si>
  <si>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</si>
  <si>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</si>
  <si>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</si>
  <si>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</si>
  <si>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</si>
  <si>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</si>
  <si>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</si>
  <si>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</si>
  <si>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</si>
  <si>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</si>
  <si>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</si>
  <si>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</si>
  <si>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</si>
  <si>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</si>
  <si>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</si>
  <si>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</si>
  <si>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</si>
  <si>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</si>
  <si>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</si>
  <si>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</si>
  <si>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</si>
  <si>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</si>
  <si>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</si>
  <si>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</si>
  <si>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</si>
  <si>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</si>
  <si>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</si>
  <si>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</si>
  <si>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</si>
  <si>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</si>
  <si>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</si>
  <si>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</si>
  <si>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</si>
  <si>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</si>
  <si>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</si>
  <si>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</si>
  <si>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</si>
  <si>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</si>
  <si>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</si>
  <si>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</si>
  <si>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</si>
  <si>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</si>
  <si>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</si>
  <si>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</si>
  <si>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</si>
  <si>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</si>
  <si>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Whetherill Park</t>
  </si>
  <si>
    <t>Casula</t>
  </si>
  <si>
    <t>Campbelltown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</si>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</sst>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;[Red]\-&quot;$&quot;#,##0"/>
    <numFmt numFmtId="165" formatCode="&quot;$&quot;#,##0.00"/>
    <numFmt numFmtId="166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1" fontId="0" fillId="0" borderId="1" xfId="0" applyNumberFormat="1" applyBorder="1"/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5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5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5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5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5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5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5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5" fontId="5" fillId="0" borderId="1" xfId="0" applyNumberFormat="1" applyFont="1" applyBorder="1"/>
    <xf numFmtId="165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5" fontId="2" fillId="2" borderId="1" xfId="0" applyNumberFormat="1" applyFont="1" applyFill="1" applyBorder="1"/>
    <xf numFmtId="0" fontId="0" fillId="7" borderId="1" xfId="0" applyFill="1" applyBorder="1"/>
    <xf numFmtId="166" fontId="0" fillId="0" borderId="1" xfId="0" applyNumberFormat="1" applyBorder="1"/>
    <xf numFmtId="166" fontId="0" fillId="2" borderId="1" xfId="0" applyNumberFormat="1" applyFill="1" applyBorder="1"/>
    <xf numFmtId="166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6" fontId="2" fillId="2" borderId="1" xfId="0" applyNumberFormat="1" applyFont="1" applyFill="1" applyBorder="1" applyAlignment="1">
      <alignment vertical="center"/>
    </xf>
    <xf numFmtId="166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6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applyNumberFormat="1"/>
    <xf numFmtId="16" fontId="0" fillId="8" borderId="1" xfId="0" applyNumberFormat="1" applyFill="1" applyBorder="1"/>
    <xf numFmtId="0" fontId="0" fillId="8" borderId="1" xfId="0" applyFill="1" applyBorder="1"/>
    <xf numFmtId="165" fontId="0" fillId="8" borderId="1" xfId="0" applyNumberFormat="1" applyFill="1" applyBorder="1"/>
    <xf numFmtId="16" fontId="0" fillId="9" borderId="1" xfId="0" applyNumberFormat="1" applyFill="1" applyBorder="1"/>
    <xf numFmtId="0" fontId="0" fillId="9" borderId="1" xfId="0" applyFill="1" applyBorder="1"/>
    <xf numFmtId="165" fontId="0" fillId="9" borderId="1" xfId="0" applyNumberFormat="1" applyFill="1" applyBorder="1"/>
    <xf numFmtId="16" fontId="0" fillId="10" borderId="1" xfId="0" applyNumberFormat="1" applyFill="1" applyBorder="1"/>
    <xf numFmtId="0" fontId="0" fillId="10" borderId="1" xfId="0" applyFill="1" applyBorder="1"/>
    <xf numFmtId="165" fontId="0" fillId="10" borderId="1" xfId="0" applyNumberForma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2" borderId="1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5.xml"/><Relationship Id="rId42" Type="http://schemas.microsoft.com/office/2017/10/relationships/person" Target="persons/perso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3.xml"/><Relationship Id="rId37" Type="http://schemas.openxmlformats.org/officeDocument/2006/relationships/pivotCacheDefinition" Target="pivotCache/pivotCacheDefinition8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7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1.xml"/><Relationship Id="rId35" Type="http://schemas.openxmlformats.org/officeDocument/2006/relationships/pivotCacheDefinition" Target="pivotCache/pivotCacheDefinition6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4.xml"/><Relationship Id="rId38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83.012705208334" createdVersion="8" refreshedVersion="8" minRefreshableVersion="3" recordCount="86" xr:uid="{D6B24CD1-48B8-45EE-A3EB-6669518E7C80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1-22T00:00:00"/>
    </cacheField>
    <cacheField name="Qty" numFmtId="0">
      <sharedItems containsString="0" containsBlank="1" containsNumber="1" containsInteger="1" minValue="1" maxValue="30"/>
    </cacheField>
    <cacheField name="Descriptions" numFmtId="0">
      <sharedItems containsBlank="1" count="40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m/>
        <s v="Google pixel pro 128" u="1"/>
        <s v="Google pixel pro 256" u="1"/>
        <s v="Osmo Pocket 3  Creator Combo " u="1"/>
        <s v="JBL Charge 6 Black" u="1"/>
        <s v="JBL Charge 6 Blue" u="1"/>
        <s v="JBLCharge 6" u="1"/>
      </sharedItems>
    </cacheField>
    <cacheField name="Store" numFmtId="0">
      <sharedItems containsBlank="1"/>
    </cacheField>
    <cacheField name="Price" numFmtId="165">
      <sharedItems containsBlank="1" containsMixedTypes="1" containsNumber="1" minValue="39" maxValue="5000"/>
    </cacheField>
    <cacheField name="Total" numFmtId="165">
      <sharedItems containsBlank="1" containsMixedTypes="1" containsNumber="1" minValue="176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2T00:00:00" count="4">
        <d v="2025-11-05T00:00:00"/>
        <d v="2025-11-18T00:00:00"/>
        <d v="2025-11-21T00:00:00"/>
        <m/>
      </sharedItems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6">
  <r>
    <d v="2025-11-03T00:00:00"/>
    <n v="10"/>
    <x v="0"/>
    <s v="DJI Macquarie Park"/>
    <n v="410"/>
    <n v="4100"/>
    <s v="Collected 03-11"/>
    <x v="0"/>
    <m/>
  </r>
  <r>
    <d v="2025-11-03T00:00:00"/>
    <n v="7"/>
    <x v="1"/>
    <s v="Good Guys Blacktown"/>
    <n v="150"/>
    <n v="1050"/>
    <s v="Collected 03-11"/>
    <x v="0"/>
    <m/>
  </r>
  <r>
    <d v="2025-11-02T00:00:00"/>
    <n v="4"/>
    <x v="2"/>
    <s v="Good Guys Auburn"/>
    <n v="150"/>
    <n v="600"/>
    <s v="Collected 02-11"/>
    <x v="0"/>
    <m/>
  </r>
  <r>
    <d v="2025-11-02T00:00:00"/>
    <n v="4"/>
    <x v="1"/>
    <s v="Good Guys Auburn"/>
    <n v="150"/>
    <n v="600"/>
    <s v="Collected 02-11"/>
    <x v="0"/>
    <m/>
  </r>
  <r>
    <d v="2025-11-04T00:00:00"/>
    <n v="20"/>
    <x v="3"/>
    <s v="Harvey Norman Moorepark"/>
    <n v="1063"/>
    <n v="21260"/>
    <s v="Collected 04-11"/>
    <x v="0"/>
    <s v="Old Deposit"/>
  </r>
  <r>
    <d v="2025-11-04T00:00:00"/>
    <n v="12"/>
    <x v="4"/>
    <s v="Harvey Norman Broadway"/>
    <n v="3375"/>
    <n v="40500"/>
    <s v="Collected 04-11"/>
    <x v="0"/>
    <m/>
  </r>
  <r>
    <d v="2025-11-04T00:00:00"/>
    <n v="2"/>
    <x v="5"/>
    <s v="Harvey Norman Broadway"/>
    <n v="88"/>
    <n v="176"/>
    <s v="Collected 04-11"/>
    <x v="0"/>
    <s v="Old Purchasing"/>
  </r>
  <r>
    <d v="2025-11-05T00:00:00"/>
    <n v="30"/>
    <x v="6"/>
    <s v="DJI Macquarie Park"/>
    <n v="410"/>
    <n v="12300"/>
    <s v="Collected 11 NOV"/>
    <x v="1"/>
    <m/>
  </r>
  <r>
    <d v="2025-11-08T00:00:00"/>
    <n v="1"/>
    <x v="7"/>
    <s v="Bunnings Northmead"/>
    <n v="450"/>
    <n v="450"/>
    <s v="Collected "/>
    <x v="1"/>
    <m/>
  </r>
  <r>
    <d v="2025-11-08T00:00:00"/>
    <n v="1"/>
    <x v="7"/>
    <s v="Bunnings Seven Hills"/>
    <n v="450"/>
    <n v="450"/>
    <s v="Collected "/>
    <x v="1"/>
    <m/>
  </r>
  <r>
    <d v="2025-11-08T00:00:00"/>
    <n v="4"/>
    <x v="7"/>
    <s v="Bunnings Carlingford"/>
    <n v="450"/>
    <n v="1800"/>
    <s v="Collected "/>
    <x v="1"/>
    <m/>
  </r>
  <r>
    <d v="2025-11-08T00:00:00"/>
    <n v="5"/>
    <x v="7"/>
    <s v="Bunnings Rydalmere"/>
    <n v="450"/>
    <n v="2250"/>
    <s v="Collected "/>
    <x v="1"/>
    <m/>
  </r>
  <r>
    <d v="2025-11-08T00:00:00"/>
    <n v="11"/>
    <x v="7"/>
    <s v="Bunnings Gladesville"/>
    <n v="450"/>
    <n v="4950"/>
    <s v="Collected "/>
    <x v="1"/>
    <m/>
  </r>
  <r>
    <d v="2025-11-09T00:00:00"/>
    <n v="10"/>
    <x v="7"/>
    <s v="Bunnings Thornleigh"/>
    <n v="450"/>
    <n v="4500"/>
    <s v="Collected "/>
    <x v="1"/>
    <m/>
  </r>
  <r>
    <d v="2025-11-09T00:00:00"/>
    <n v="1"/>
    <x v="8"/>
    <s v="Harvey Norman Castle Hills"/>
    <n v="1358"/>
    <n v="1358"/>
    <s v="Collected "/>
    <x v="1"/>
    <s v="10% Gift Card"/>
  </r>
  <r>
    <d v="2025-11-09T00:00:00"/>
    <n v="2"/>
    <x v="9"/>
    <s v="Officeworks Castle Hills"/>
    <n v="1403"/>
    <n v="2806"/>
    <s v="Collected "/>
    <x v="1"/>
    <m/>
  </r>
  <r>
    <d v="2025-11-09T00:00:00"/>
    <n v="1"/>
    <x v="7"/>
    <s v="Officeworks Castle Hills"/>
    <n v="474"/>
    <n v="474"/>
    <s v="Collected "/>
    <x v="1"/>
    <m/>
  </r>
  <r>
    <d v="2025-11-09T00:00:00"/>
    <n v="1"/>
    <x v="9"/>
    <s v="Office Works Northmead"/>
    <n v="1403"/>
    <n v="1403"/>
    <s v="Collected"/>
    <x v="1"/>
    <m/>
  </r>
  <r>
    <d v="2025-11-09T00:00:00"/>
    <n v="1"/>
    <x v="9"/>
    <s v="Office Works Northmead"/>
    <n v="1403"/>
    <n v="1403"/>
    <s v="Collected 15-11"/>
    <x v="1"/>
    <m/>
  </r>
  <r>
    <d v="2025-11-09T00:00:00"/>
    <n v="2"/>
    <x v="7"/>
    <s v="Bunnings Northmead"/>
    <n v="450"/>
    <n v="900"/>
    <s v="Collected"/>
    <x v="1"/>
    <m/>
  </r>
  <r>
    <d v="2025-11-09T00:00:00"/>
    <n v="1"/>
    <x v="9"/>
    <s v="Officeworks Wentworthville"/>
    <n v="1403"/>
    <n v="1403"/>
    <s v="Collected"/>
    <x v="1"/>
    <m/>
  </r>
  <r>
    <d v="2025-11-09T00:00:00"/>
    <n v="1"/>
    <x v="9"/>
    <s v="Officeworks Wetherhill park"/>
    <n v="1403"/>
    <n v="1403"/>
    <s v="Collected"/>
    <x v="1"/>
    <m/>
  </r>
  <r>
    <d v="2025-11-09T00:00:00"/>
    <n v="1"/>
    <x v="9"/>
    <s v="Officeworks Wetherhill park"/>
    <n v="1403"/>
    <n v="1403"/>
    <s v="Collected"/>
    <x v="1"/>
    <m/>
  </r>
  <r>
    <d v="2025-11-09T00:00:00"/>
    <n v="5"/>
    <x v="7"/>
    <s v="Bunnings Smithfield"/>
    <n v="450"/>
    <n v="2250"/>
    <s v="Collected"/>
    <x v="2"/>
    <m/>
  </r>
  <r>
    <d v="2025-11-09T00:00:00"/>
    <n v="3"/>
    <x v="8"/>
    <s v="Harvey Norman Fyshwick"/>
    <n v="1358"/>
    <n v="4074"/>
    <s v="Collected 21-11"/>
    <x v="2"/>
    <s v="10% Gift Card"/>
  </r>
  <r>
    <d v="2025-11-09T00:00:00"/>
    <n v="3"/>
    <x v="9"/>
    <s v="Harvey Norman Fyshwick"/>
    <n v="1477"/>
    <n v="4431"/>
    <s v="Collected 21-11"/>
    <x v="2"/>
    <s v="10% Gift Card"/>
  </r>
  <r>
    <d v="2025-11-09T00:00:00"/>
    <n v="5"/>
    <x v="6"/>
    <s v="DJI Macquarie Park"/>
    <n v="410"/>
    <n v="2050"/>
    <s v="Collected/ 2 shipped"/>
    <x v="1"/>
    <m/>
  </r>
  <r>
    <d v="2025-11-11T00:00:00"/>
    <n v="30"/>
    <x v="6"/>
    <s v="DJI Macquarie Park"/>
    <n v="410"/>
    <n v="12300"/>
    <s v="Collected 17-11"/>
    <x v="1"/>
    <m/>
  </r>
  <r>
    <d v="2025-11-11T00:00:00"/>
    <n v="5"/>
    <x v="10"/>
    <s v="DJI Macquarie Park"/>
    <n v="1400"/>
    <n v="7000"/>
    <s v="Collected 17-11"/>
    <x v="1"/>
    <m/>
  </r>
  <r>
    <d v="2025-11-11T00:00:00"/>
    <n v="5"/>
    <x v="11"/>
    <s v="DJI Macquarie Park"/>
    <n v="2500"/>
    <n v="12500"/>
    <s v="Collected 17-11"/>
    <x v="1"/>
    <m/>
  </r>
  <r>
    <d v="2025-11-11T00:00:00"/>
    <n v="10"/>
    <x v="12"/>
    <s v="DJI Macquarie Park"/>
    <n v="3300"/>
    <n v="33000"/>
    <s v="Collected 17-11"/>
    <x v="1"/>
    <m/>
  </r>
  <r>
    <d v="2025-11-17T00:00:00"/>
    <n v="9"/>
    <x v="13"/>
    <s v="Harvey Norman Fyshwick"/>
    <n v="625"/>
    <n v="5625"/>
    <s v="Pending Delivery"/>
    <x v="2"/>
    <s v="10% Gift Card"/>
  </r>
  <r>
    <d v="2025-11-17T00:00:00"/>
    <n v="1"/>
    <x v="14"/>
    <s v="ASIC"/>
    <n v="329"/>
    <n v="329"/>
    <m/>
    <x v="3"/>
    <m/>
  </r>
  <r>
    <d v="2025-11-17T00:00:00"/>
    <n v="1"/>
    <x v="15"/>
    <s v="Megatop"/>
    <n v="5000"/>
    <n v="5000"/>
    <m/>
    <x v="3"/>
    <m/>
  </r>
  <r>
    <d v="2025-11-18T00:00:00"/>
    <n v="2"/>
    <x v="16"/>
    <s v="JBHIFI Bankstown"/>
    <n v="454"/>
    <n v="908"/>
    <s v="Delivered 20-11"/>
    <x v="2"/>
    <m/>
  </r>
  <r>
    <d v="2025-11-18T00:00:00"/>
    <n v="2"/>
    <x v="16"/>
    <s v="JBHIFI Bankstown"/>
    <n v="454"/>
    <n v="908"/>
    <s v="Delivered 20-11"/>
    <x v="2"/>
    <m/>
  </r>
  <r>
    <d v="2025-11-18T00:00:00"/>
    <n v="2"/>
    <x v="16"/>
    <s v="JBHIFI Roselands"/>
    <n v="454"/>
    <n v="908"/>
    <s v="Delivered 21-11"/>
    <x v="3"/>
    <m/>
  </r>
  <r>
    <d v="2025-11-18T00:00:00"/>
    <n v="2"/>
    <x v="16"/>
    <s v="JBHIFI Roselands"/>
    <n v="454"/>
    <n v="908"/>
    <s v="Delivered 21-11"/>
    <x v="3"/>
    <m/>
  </r>
  <r>
    <d v="2025-11-18T00:00:00"/>
    <n v="2"/>
    <x v="16"/>
    <s v="JBHIFI Roselands"/>
    <n v="454"/>
    <n v="908"/>
    <s v="Pending Delivery"/>
    <x v="3"/>
    <m/>
  </r>
  <r>
    <d v="2025-11-18T00:00:00"/>
    <n v="3"/>
    <x v="1"/>
    <s v="JBHIFI Roselands"/>
    <n v="130"/>
    <n v="390"/>
    <s v="Collected"/>
    <x v="2"/>
    <m/>
  </r>
  <r>
    <d v="2025-11-19T00:00:00"/>
    <n v="6"/>
    <x v="1"/>
    <s v="JBHIFI Roselands"/>
    <n v="130"/>
    <n v="780"/>
    <s v="Collected"/>
    <x v="2"/>
    <m/>
  </r>
  <r>
    <d v="2025-11-19T00:00:00"/>
    <n v="10"/>
    <x v="17"/>
    <s v="JBHIFI Roselands"/>
    <n v="39"/>
    <n v="390"/>
    <s v="Collected"/>
    <x v="2"/>
    <m/>
  </r>
  <r>
    <d v="2025-11-19T00:00:00"/>
    <n v="6"/>
    <x v="18"/>
    <s v="JBHIFI Roselands"/>
    <n v="779"/>
    <n v="4674"/>
    <s v="Collected"/>
    <x v="2"/>
    <m/>
  </r>
  <r>
    <d v="2025-11-19T00:00:00"/>
    <n v="6"/>
    <x v="19"/>
    <s v="JBHIFI Roselands"/>
    <n v="594"/>
    <n v="3564"/>
    <s v="Collected"/>
    <x v="2"/>
    <m/>
  </r>
  <r>
    <d v="2025-11-19T00:00:00"/>
    <n v="3"/>
    <x v="19"/>
    <s v="JBHIFI Roselands"/>
    <n v="594"/>
    <n v="1782"/>
    <s v="Collected Parramatta"/>
    <x v="2"/>
    <m/>
  </r>
  <r>
    <d v="2025-11-19T00:00:00"/>
    <n v="4"/>
    <x v="16"/>
    <s v="JBHIFI Roselands"/>
    <n v="454"/>
    <n v="1816"/>
    <s v="Pending Delivery"/>
    <x v="3"/>
    <m/>
  </r>
  <r>
    <d v="2025-11-19T00:00:00"/>
    <n v="10"/>
    <x v="20"/>
    <s v="DJI Macquarie Park"/>
    <n v="777"/>
    <n v="7770"/>
    <s v="Pending Collection"/>
    <x v="3"/>
    <m/>
  </r>
  <r>
    <d v="2025-11-19T00:00:00"/>
    <n v="10"/>
    <x v="10"/>
    <s v="DJI Macquarie Park"/>
    <n v="1400"/>
    <n v="14000"/>
    <s v="Pending Collection"/>
    <x v="3"/>
    <m/>
  </r>
  <r>
    <d v="2025-11-19T00:00:00"/>
    <n v="7"/>
    <x v="19"/>
    <s v="JBHIFI Bankstown"/>
    <n v="559"/>
    <n v="3913"/>
    <s v="Collected"/>
    <x v="2"/>
    <m/>
  </r>
  <r>
    <d v="2025-11-19T00:00:00"/>
    <n v="6"/>
    <x v="21"/>
    <s v="JBHIFI Bankstown"/>
    <n v="779"/>
    <n v="4674"/>
    <s v="Collected"/>
    <x v="2"/>
    <m/>
  </r>
  <r>
    <d v="2025-11-19T00:00:00"/>
    <n v="4"/>
    <x v="2"/>
    <s v="JBHIFI Bankstown"/>
    <n v="125"/>
    <n v="500"/>
    <s v="Collected"/>
    <x v="2"/>
    <m/>
  </r>
  <r>
    <d v="2025-11-19T00:00:00"/>
    <n v="1"/>
    <x v="22"/>
    <s v="Eb Games Parramatta"/>
    <n v="699"/>
    <n v="699"/>
    <s v="Collected 20-11"/>
    <x v="2"/>
    <m/>
  </r>
  <r>
    <d v="2025-11-19T00:00:00"/>
    <n v="15"/>
    <x v="2"/>
    <s v="Good Guys Auburn"/>
    <n v="125"/>
    <n v="1875"/>
    <s v="Pending Collection"/>
    <x v="3"/>
    <m/>
  </r>
  <r>
    <d v="2025-11-20T00:00:00"/>
    <n v="12"/>
    <x v="2"/>
    <s v="Good Guys Wetherhill Park"/>
    <n v="125"/>
    <n v="1500"/>
    <s v="Pending Collection"/>
    <x v="3"/>
    <m/>
  </r>
  <r>
    <d v="2025-11-20T00:00:00"/>
    <n v="23"/>
    <x v="2"/>
    <s v="Good Guys Casula"/>
    <n v="125"/>
    <n v="2875"/>
    <s v="Pending Collection"/>
    <x v="3"/>
    <m/>
  </r>
  <r>
    <d v="2025-11-20T00:00:00"/>
    <n v="1"/>
    <x v="22"/>
    <s v="Eb Games Parramatta"/>
    <n v="699"/>
    <n v="699"/>
    <s v="Collected 20-11"/>
    <x v="2"/>
    <m/>
  </r>
  <r>
    <d v="2025-11-20T00:00:00"/>
    <n v="2"/>
    <x v="23"/>
    <s v="JBHIFI Parramatta"/>
    <n v="2100"/>
    <n v="4200"/>
    <s v="Collected"/>
    <x v="2"/>
    <m/>
  </r>
  <r>
    <d v="2025-11-20T00:00:00"/>
    <n v="3"/>
    <x v="24"/>
    <s v="JBHIFI Parramatta"/>
    <n v="2100"/>
    <n v="6300"/>
    <s v="Collected"/>
    <x v="2"/>
    <m/>
  </r>
  <r>
    <d v="2025-11-20T00:00:00"/>
    <n v="2"/>
    <x v="24"/>
    <s v="JBHIFI Merrylands"/>
    <n v="2100"/>
    <n v="4200"/>
    <s v="Colected 21-11"/>
    <x v="2"/>
    <m/>
  </r>
  <r>
    <d v="2025-11-20T00:00:00"/>
    <n v="5"/>
    <x v="25"/>
    <s v="JBHIFI Parramatta"/>
    <n v="574"/>
    <n v="2870"/>
    <s v="Collected"/>
    <x v="2"/>
    <m/>
  </r>
  <r>
    <d v="2025-11-20T00:00:00"/>
    <n v="10"/>
    <x v="26"/>
    <s v="JBHIFI Parramatta"/>
    <n v="103"/>
    <n v="1030"/>
    <s v="Collected"/>
    <x v="2"/>
    <m/>
  </r>
  <r>
    <d v="2025-11-20T00:00:00"/>
    <n v="3"/>
    <x v="2"/>
    <s v="JBHIFI Parramatta"/>
    <n v="125"/>
    <n v="375"/>
    <s v="Collected"/>
    <x v="2"/>
    <m/>
  </r>
  <r>
    <d v="2025-11-20T00:00:00"/>
    <n v="3"/>
    <x v="23"/>
    <s v="JBHIFI Parramatta"/>
    <n v="2100"/>
    <n v="6300"/>
    <s v="Collected"/>
    <x v="2"/>
    <m/>
  </r>
  <r>
    <d v="2025-11-20T00:00:00"/>
    <n v="3"/>
    <x v="24"/>
    <s v="JBHIFI Parramatta"/>
    <n v="2100"/>
    <n v="6300"/>
    <s v="Collected"/>
    <x v="2"/>
    <m/>
  </r>
  <r>
    <d v="2025-11-20T00:00:00"/>
    <n v="12"/>
    <x v="7"/>
    <s v="Bunnings(Mix old P)"/>
    <n v="449"/>
    <n v="5388"/>
    <s v="Collected"/>
    <x v="2"/>
    <m/>
  </r>
  <r>
    <d v="2025-11-21T00:00:00"/>
    <n v="4"/>
    <x v="23"/>
    <s v="JBHIFI Parramatta"/>
    <n v="2100"/>
    <n v="8400"/>
    <s v="Collected"/>
    <x v="2"/>
    <m/>
  </r>
  <r>
    <d v="2025-11-21T00:00:00"/>
    <n v="6"/>
    <x v="23"/>
    <s v="JBHIFI Hurstville"/>
    <n v="2100"/>
    <n v="12600"/>
    <s v="Collected"/>
    <x v="2"/>
    <m/>
  </r>
  <r>
    <d v="2025-11-21T00:00:00"/>
    <n v="6"/>
    <x v="24"/>
    <s v="JBHIFI Hurstville"/>
    <n v="2100"/>
    <n v="12600"/>
    <s v="Collected"/>
    <x v="2"/>
    <m/>
  </r>
  <r>
    <d v="2025-11-21T00:00:00"/>
    <n v="21"/>
    <x v="7"/>
    <s v="Megatop"/>
    <s v="TBC"/>
    <e v="#VALUE!"/>
    <s v="Collected"/>
    <x v="2"/>
    <m/>
  </r>
  <r>
    <d v="2025-11-21T00:00:00"/>
    <n v="20"/>
    <x v="7"/>
    <s v="Bunnings Lidcomb"/>
    <n v="399"/>
    <n v="7980"/>
    <s v="Collected"/>
    <x v="3"/>
    <m/>
  </r>
  <r>
    <d v="2025-11-21T00:00:00"/>
    <n v="9"/>
    <x v="7"/>
    <s v="Bunnings Gladesville"/>
    <n v="399"/>
    <n v="3591"/>
    <s v="Collected"/>
    <x v="3"/>
    <m/>
  </r>
  <r>
    <d v="2025-11-21T00:00:00"/>
    <n v="3"/>
    <x v="27"/>
    <s v="Ebgames Online"/>
    <n v="609.95000000000005"/>
    <n v="1829.8500000000001"/>
    <s v="Pending Delivery"/>
    <x v="3"/>
    <m/>
  </r>
  <r>
    <d v="2025-11-21T00:00:00"/>
    <n v="1"/>
    <x v="27"/>
    <s v="Ebgames Online"/>
    <n v="598"/>
    <n v="598"/>
    <s v="Pending Collection Broadway"/>
    <x v="3"/>
    <m/>
  </r>
  <r>
    <d v="2025-11-21T00:00:00"/>
    <n v="1"/>
    <x v="28"/>
    <s v="Ebgames Parramatta"/>
    <n v="598"/>
    <n v="598"/>
    <s v="Collected 21-11"/>
    <x v="2"/>
    <m/>
  </r>
  <r>
    <d v="2025-11-21T00:00:00"/>
    <n v="5"/>
    <x v="29"/>
    <s v="Good Guys "/>
    <n v="509"/>
    <n v="2545"/>
    <s v="Pending Collection Auburn"/>
    <x v="3"/>
    <m/>
  </r>
  <r>
    <d v="2025-11-21T00:00:00"/>
    <n v="6"/>
    <x v="30"/>
    <s v="Good Guys "/>
    <n v="659"/>
    <n v="3954"/>
    <s v="Pending Collection Auburn"/>
    <x v="3"/>
    <m/>
  </r>
  <r>
    <d v="2025-11-21T00:00:00"/>
    <n v="3"/>
    <x v="30"/>
    <s v="Good Guys "/>
    <n v="659"/>
    <n v="1977"/>
    <s v="Whetherill Park"/>
    <x v="3"/>
    <m/>
  </r>
  <r>
    <d v="2025-11-21T00:00:00"/>
    <n v="7"/>
    <x v="29"/>
    <s v="Good Guys "/>
    <n v="509"/>
    <n v="3563"/>
    <s v="Whetherill Park"/>
    <x v="3"/>
    <m/>
  </r>
  <r>
    <d v="2025-11-21T00:00:00"/>
    <n v="5"/>
    <x v="31"/>
    <s v="Good Guys "/>
    <n v="659"/>
    <n v="3295"/>
    <s v="Casula"/>
    <x v="3"/>
    <m/>
  </r>
  <r>
    <d v="2025-11-21T00:00:00"/>
    <n v="9"/>
    <x v="32"/>
    <s v="Good Guys "/>
    <n v="509"/>
    <n v="4581"/>
    <s v="Casula"/>
    <x v="3"/>
    <m/>
  </r>
  <r>
    <d v="2025-11-21T00:00:00"/>
    <n v="8"/>
    <x v="32"/>
    <s v="Good Guys "/>
    <n v="509"/>
    <n v="4072"/>
    <s v="Campbelltown"/>
    <x v="3"/>
    <m/>
  </r>
  <r>
    <m/>
    <m/>
    <x v="33"/>
    <m/>
    <m/>
    <m/>
    <m/>
    <x v="3"/>
    <m/>
  </r>
  <r>
    <m/>
    <m/>
    <x v="33"/>
    <m/>
    <m/>
    <m/>
    <m/>
    <x v="3"/>
    <m/>
  </r>
  <r>
    <m/>
    <m/>
    <x v="33"/>
    <m/>
    <m/>
    <m/>
    <m/>
    <x v="3"/>
    <m/>
  </r>
  <r>
    <m/>
    <m/>
    <x v="33"/>
    <m/>
    <m/>
    <m/>
    <m/>
    <x v="3"/>
    <m/>
  </r>
  <r>
    <m/>
    <m/>
    <x v="33"/>
    <m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33B8F7-6461-43BE-B926-96D8DA8F11CD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3:Q21" firstHeaderRow="1" firstDataRow="1" firstDataCol="1" rowPageCount="1" colPageCount="1"/>
  <pivotFields count="9">
    <pivotField showAll="0"/>
    <pivotField dataField="1" showAll="0"/>
    <pivotField axis="axisRow" showAll="0">
      <items count="41">
        <item x="14"/>
        <item x="12"/>
        <item x="11"/>
        <item x="6"/>
        <item x="26"/>
        <item x="10"/>
        <item x="25"/>
        <item x="5"/>
        <item x="13"/>
        <item m="1" x="34"/>
        <item m="1" x="35"/>
        <item x="24"/>
        <item x="23"/>
        <item x="2"/>
        <item m="1" x="37"/>
        <item m="1" x="38"/>
        <item m="1" x="39"/>
        <item x="4"/>
        <item x="16"/>
        <item x="0"/>
        <item x="3"/>
        <item x="22"/>
        <item x="17"/>
        <item m="1" x="36"/>
        <item x="20"/>
        <item x="18"/>
        <item x="19"/>
        <item x="29"/>
        <item x="30"/>
        <item x="28"/>
        <item x="27"/>
        <item x="32"/>
        <item x="31"/>
        <item x="15"/>
        <item x="7"/>
        <item h="1" x="33"/>
        <item x="1"/>
        <item x="21"/>
        <item x="8"/>
        <item x="9"/>
        <item t="default"/>
      </items>
    </pivotField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</pivotFields>
  <rowFields count="1">
    <field x="2"/>
  </rowFields>
  <rowItems count="18">
    <i>
      <x v="4"/>
    </i>
    <i>
      <x v="6"/>
    </i>
    <i>
      <x v="8"/>
    </i>
    <i>
      <x v="11"/>
    </i>
    <i>
      <x v="12"/>
    </i>
    <i>
      <x v="13"/>
    </i>
    <i>
      <x v="18"/>
    </i>
    <i>
      <x v="21"/>
    </i>
    <i>
      <x v="22"/>
    </i>
    <i>
      <x v="25"/>
    </i>
    <i>
      <x v="26"/>
    </i>
    <i>
      <x v="29"/>
    </i>
    <i>
      <x v="34"/>
    </i>
    <i>
      <x v="36"/>
    </i>
    <i>
      <x v="37"/>
    </i>
    <i>
      <x v="38"/>
    </i>
    <i>
      <x v="39"/>
    </i>
    <i t="grand">
      <x/>
    </i>
  </rowItems>
  <colItems count="1">
    <i/>
  </colItems>
  <pageFields count="1">
    <pageField fld="7" item="2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workbookViewId="0">
      <selection activeCell="D34" sqref="D34"/>
    </sheetView>
  </sheetViews>
  <sheetFormatPr defaultRowHeight="14.4" x14ac:dyDescent="0.3"/>
  <cols>
    <col min="1" max="1" width="14.6640625" bestFit="1" customWidth="1"/>
    <col min="2" max="2" width="18.5546875" bestFit="1" customWidth="1"/>
    <col min="3" max="3" width="16.109375" bestFit="1" customWidth="1"/>
    <col min="4" max="4" width="19.88671875" bestFit="1" customWidth="1"/>
    <col min="5" max="5" width="10.5546875" bestFit="1" customWidth="1"/>
    <col min="6" max="6" width="25.88671875" bestFit="1" customWidth="1"/>
  </cols>
  <sheetData>
    <row r="1" spans="1:6" x14ac:dyDescent="0.3">
      <c r="A1" t="s">
        <v>54</v>
      </c>
    </row>
    <row r="2" spans="1:6" x14ac:dyDescent="0.3">
      <c r="A2" t="s">
        <v>47</v>
      </c>
      <c r="B2" t="s">
        <v>48</v>
      </c>
      <c r="F2" t="s">
        <v>53</v>
      </c>
    </row>
    <row r="3" spans="1:6" x14ac:dyDescent="0.3">
      <c r="A3">
        <v>2</v>
      </c>
      <c r="B3" t="s">
        <v>46</v>
      </c>
      <c r="C3" t="s">
        <v>38</v>
      </c>
      <c r="F3" t="s">
        <v>51</v>
      </c>
    </row>
    <row r="4" spans="1:6" x14ac:dyDescent="0.3">
      <c r="A4">
        <v>6</v>
      </c>
      <c r="B4" t="s">
        <v>45</v>
      </c>
      <c r="C4" t="s">
        <v>38</v>
      </c>
      <c r="F4" t="s">
        <v>52</v>
      </c>
    </row>
    <row r="5" spans="1:6" x14ac:dyDescent="0.3">
      <c r="A5">
        <v>4</v>
      </c>
      <c r="B5" t="s">
        <v>44</v>
      </c>
      <c r="C5" t="s">
        <v>38</v>
      </c>
    </row>
    <row r="6" spans="1:6" x14ac:dyDescent="0.3">
      <c r="A6">
        <v>4</v>
      </c>
      <c r="B6" t="s">
        <v>43</v>
      </c>
      <c r="C6" t="s">
        <v>38</v>
      </c>
    </row>
    <row r="7" spans="1:6" x14ac:dyDescent="0.3">
      <c r="A7">
        <v>2</v>
      </c>
      <c r="B7" t="s">
        <v>42</v>
      </c>
      <c r="C7" t="s">
        <v>40</v>
      </c>
    </row>
    <row r="8" spans="1:6" x14ac:dyDescent="0.3">
      <c r="A8">
        <v>1</v>
      </c>
      <c r="B8" t="s">
        <v>41</v>
      </c>
      <c r="C8" t="s">
        <v>40</v>
      </c>
    </row>
    <row r="9" spans="1:6" x14ac:dyDescent="0.3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3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3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3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3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3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3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3">
      <c r="A17" s="6">
        <v>45381</v>
      </c>
    </row>
    <row r="18" spans="1:6" x14ac:dyDescent="0.3">
      <c r="A18">
        <v>4</v>
      </c>
      <c r="B18" t="s">
        <v>45</v>
      </c>
      <c r="C18" t="s">
        <v>38</v>
      </c>
    </row>
    <row r="19" spans="1:6" x14ac:dyDescent="0.3">
      <c r="A19">
        <v>4</v>
      </c>
      <c r="B19" t="s">
        <v>44</v>
      </c>
      <c r="C19" t="s">
        <v>38</v>
      </c>
    </row>
    <row r="20" spans="1:6" x14ac:dyDescent="0.3">
      <c r="A20">
        <v>4</v>
      </c>
      <c r="B20" t="s">
        <v>43</v>
      </c>
      <c r="C20" t="s">
        <v>38</v>
      </c>
    </row>
    <row r="21" spans="1:6" x14ac:dyDescent="0.3">
      <c r="A21">
        <v>2</v>
      </c>
      <c r="B21" t="s">
        <v>42</v>
      </c>
      <c r="C21" t="s">
        <v>40</v>
      </c>
    </row>
    <row r="22" spans="1:6" x14ac:dyDescent="0.3">
      <c r="A22">
        <v>1</v>
      </c>
      <c r="B22" t="s">
        <v>41</v>
      </c>
      <c r="C22" t="s">
        <v>40</v>
      </c>
    </row>
    <row r="23" spans="1:6" x14ac:dyDescent="0.3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3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3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3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3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3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3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4" workbookViewId="0">
      <selection activeCell="E40" sqref="E40"/>
    </sheetView>
  </sheetViews>
  <sheetFormatPr defaultRowHeight="14.4" x14ac:dyDescent="0.3"/>
  <cols>
    <col min="1" max="1" width="10.5546875" bestFit="1" customWidth="1"/>
    <col min="3" max="3" width="30.33203125" bestFit="1" customWidth="1"/>
    <col min="4" max="4" width="25" bestFit="1" customWidth="1"/>
    <col min="5" max="5" width="9" bestFit="1" customWidth="1"/>
    <col min="6" max="6" width="10" bestFit="1" customWidth="1"/>
    <col min="7" max="7" width="31.5546875" bestFit="1" customWidth="1"/>
    <col min="9" max="9" width="36.33203125" bestFit="1" customWidth="1"/>
    <col min="10" max="10" width="10.44140625" bestFit="1" customWidth="1"/>
  </cols>
  <sheetData>
    <row r="1" spans="1:10" x14ac:dyDescent="0.3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3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3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3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3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3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3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3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3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3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3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3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3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3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3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3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3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3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3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3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3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3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3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3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3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3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3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3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3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3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3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3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3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3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3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3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3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3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3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4.4" x14ac:dyDescent="0.3"/>
  <cols>
    <col min="1" max="1" width="9.5546875" bestFit="1" customWidth="1"/>
    <col min="3" max="3" width="28.6640625" bestFit="1" customWidth="1"/>
    <col min="4" max="4" width="20.6640625" bestFit="1" customWidth="1"/>
    <col min="7" max="7" width="14.44140625" bestFit="1" customWidth="1"/>
    <col min="8" max="8" width="9.5546875" bestFit="1" customWidth="1"/>
    <col min="9" max="9" width="22.33203125" bestFit="1" customWidth="1"/>
  </cols>
  <sheetData>
    <row r="1" spans="1:11" x14ac:dyDescent="0.3">
      <c r="B1" s="90">
        <v>45746</v>
      </c>
      <c r="C1" s="90"/>
      <c r="D1" s="90"/>
      <c r="E1" s="90"/>
      <c r="F1" s="90"/>
      <c r="G1" s="90"/>
    </row>
    <row r="2" spans="1:11" x14ac:dyDescent="0.3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3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91">
        <v>125</v>
      </c>
    </row>
    <row r="4" spans="1:11" x14ac:dyDescent="0.3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91"/>
    </row>
    <row r="5" spans="1:11" x14ac:dyDescent="0.3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3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3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3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3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76" workbookViewId="0">
      <selection activeCell="H98" sqref="H98"/>
    </sheetView>
  </sheetViews>
  <sheetFormatPr defaultRowHeight="14.4" x14ac:dyDescent="0.3"/>
  <cols>
    <col min="1" max="1" width="10.5546875" bestFit="1" customWidth="1"/>
    <col min="3" max="3" width="35.6640625" bestFit="1" customWidth="1"/>
    <col min="4" max="4" width="25.33203125" bestFit="1" customWidth="1"/>
    <col min="6" max="6" width="10" bestFit="1" customWidth="1"/>
    <col min="7" max="7" width="35.21875" bestFit="1" customWidth="1"/>
    <col min="8" max="8" width="30.6640625" bestFit="1" customWidth="1"/>
    <col min="9" max="9" width="10" bestFit="1" customWidth="1"/>
    <col min="10" max="10" width="22" bestFit="1" customWidth="1"/>
    <col min="11" max="11" width="34.88671875" bestFit="1" customWidth="1"/>
    <col min="12" max="12" width="17.88671875" bestFit="1" customWidth="1"/>
    <col min="13" max="13" width="12" bestFit="1" customWidth="1"/>
    <col min="14" max="16" width="11.109375" bestFit="1" customWidth="1"/>
    <col min="17" max="17" width="12" bestFit="1" customWidth="1"/>
    <col min="18" max="21" width="11.109375" bestFit="1" customWidth="1"/>
    <col min="22" max="22" width="15.6640625" bestFit="1" customWidth="1"/>
    <col min="23" max="23" width="17" bestFit="1" customWidth="1"/>
  </cols>
  <sheetData>
    <row r="1" spans="1:2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3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3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3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3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3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3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3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3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3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3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3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3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3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3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3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3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3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3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3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3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3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3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3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3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3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3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3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3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3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3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3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3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3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3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3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3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3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3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3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3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3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3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3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3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3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3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3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3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3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3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3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3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3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3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3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3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3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3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3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3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3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3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3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3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3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3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3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3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3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3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3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3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3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3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3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3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3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3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3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3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3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3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3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3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3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3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3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3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3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3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3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3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3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3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3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3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3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3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3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3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3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3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3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3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3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3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3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3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3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3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3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3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3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3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3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3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3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3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3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3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3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3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3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3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3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3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3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3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3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3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3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3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3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3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3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3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3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3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3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3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3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3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3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3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3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3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3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3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3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3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3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3">
      <c r="A153" s="2"/>
      <c r="B153" s="2"/>
      <c r="C153" s="2"/>
      <c r="D153" s="2"/>
      <c r="E153" s="2"/>
      <c r="F153" s="2"/>
      <c r="G153" s="2"/>
      <c r="H153" s="2"/>
    </row>
    <row r="154" spans="1:10" x14ac:dyDescent="0.3">
      <c r="A154" s="2"/>
      <c r="B154" s="2"/>
      <c r="C154" s="2"/>
      <c r="D154" s="2"/>
      <c r="E154" s="2"/>
      <c r="F154" s="2"/>
      <c r="G154" s="2"/>
      <c r="H154" s="2"/>
    </row>
    <row r="155" spans="1:10" x14ac:dyDescent="0.3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3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3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3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3">
      <c r="A159" s="2"/>
      <c r="B159" s="2"/>
      <c r="C159" s="2"/>
      <c r="D159" s="2"/>
      <c r="E159" s="2"/>
      <c r="F159" s="2"/>
      <c r="G159" s="2"/>
      <c r="H159" s="2"/>
    </row>
    <row r="160" spans="1:10" x14ac:dyDescent="0.3">
      <c r="A160" s="2"/>
      <c r="B160" s="2"/>
      <c r="C160" s="2"/>
      <c r="D160" s="2"/>
      <c r="E160" s="2"/>
      <c r="F160" s="2"/>
      <c r="G160" s="2"/>
      <c r="H160" s="2"/>
    </row>
    <row r="161" spans="1:8" x14ac:dyDescent="0.3">
      <c r="A161" s="2"/>
      <c r="B161" s="2"/>
      <c r="C161" s="2"/>
      <c r="D161" s="2"/>
      <c r="E161" s="2"/>
      <c r="F161" s="2"/>
      <c r="G161" s="2"/>
      <c r="H161" s="2"/>
    </row>
    <row r="162" spans="1:8" x14ac:dyDescent="0.3">
      <c r="A162" s="2"/>
      <c r="B162" s="2"/>
      <c r="C162" s="2"/>
      <c r="D162" s="2"/>
      <c r="E162" s="2"/>
      <c r="F162" s="2"/>
      <c r="G162" s="2"/>
      <c r="H162" s="2"/>
    </row>
    <row r="163" spans="1:8" x14ac:dyDescent="0.3">
      <c r="A163" s="2"/>
      <c r="B163" s="2"/>
      <c r="C163" s="2"/>
      <c r="D163" s="2"/>
      <c r="E163" s="2"/>
      <c r="F163" s="2"/>
      <c r="G163" s="2"/>
      <c r="H163" s="2"/>
    </row>
    <row r="164" spans="1:8" x14ac:dyDescent="0.3">
      <c r="A164" s="2"/>
      <c r="B164" s="2"/>
      <c r="C164" s="2"/>
      <c r="D164" s="2"/>
      <c r="E164" s="2"/>
      <c r="F164" s="2"/>
      <c r="G164" s="2"/>
      <c r="H164" s="2"/>
    </row>
    <row r="165" spans="1:8" x14ac:dyDescent="0.3">
      <c r="A165" s="2"/>
      <c r="B165" s="2"/>
      <c r="C165" s="2"/>
      <c r="D165" s="2"/>
      <c r="E165" s="2"/>
      <c r="F165" s="2"/>
      <c r="G165" s="2"/>
      <c r="H165" s="2"/>
    </row>
    <row r="166" spans="1:8" x14ac:dyDescent="0.3">
      <c r="A166" s="2"/>
      <c r="B166" s="2"/>
      <c r="C166" s="2"/>
      <c r="D166" s="2"/>
      <c r="E166" s="2"/>
      <c r="F166" s="2"/>
      <c r="G166" s="2"/>
      <c r="H166" s="2"/>
    </row>
    <row r="167" spans="1:8" x14ac:dyDescent="0.3">
      <c r="A167" s="2"/>
      <c r="B167" s="2"/>
      <c r="C167" s="2"/>
      <c r="D167" s="2"/>
      <c r="E167" s="2"/>
      <c r="F167" s="2"/>
      <c r="G167" s="2"/>
      <c r="H167" s="2"/>
    </row>
    <row r="168" spans="1:8" x14ac:dyDescent="0.3">
      <c r="A168" s="2"/>
      <c r="B168" s="2"/>
      <c r="C168" s="2"/>
      <c r="D168" s="2"/>
      <c r="E168" s="2"/>
      <c r="F168" s="2"/>
      <c r="G168" s="2"/>
      <c r="H168" s="2"/>
    </row>
    <row r="169" spans="1:8" x14ac:dyDescent="0.3">
      <c r="A169" s="2"/>
      <c r="B169" s="2"/>
      <c r="C169" s="2"/>
      <c r="D169" s="2"/>
      <c r="E169" s="2"/>
      <c r="F169" s="2"/>
      <c r="G169" s="2"/>
      <c r="H169" s="2"/>
    </row>
    <row r="170" spans="1:8" x14ac:dyDescent="0.3">
      <c r="A170" s="2"/>
      <c r="B170" s="2"/>
      <c r="C170" s="2"/>
      <c r="D170" s="2"/>
      <c r="E170" s="2"/>
      <c r="F170" s="2"/>
      <c r="G170" s="2"/>
      <c r="H170" s="2"/>
    </row>
    <row r="171" spans="1:8" x14ac:dyDescent="0.3">
      <c r="A171" s="2"/>
      <c r="B171" s="2"/>
      <c r="C171" s="2"/>
      <c r="D171" s="2"/>
      <c r="E171" s="2"/>
      <c r="F171" s="2"/>
      <c r="G171" s="2"/>
      <c r="H171" s="2"/>
    </row>
    <row r="172" spans="1:8" x14ac:dyDescent="0.3">
      <c r="A172" s="2"/>
      <c r="B172" s="2"/>
      <c r="C172" s="2"/>
      <c r="D172" s="2"/>
      <c r="E172" s="2"/>
      <c r="F172" s="2"/>
      <c r="G172" s="2"/>
      <c r="H172" s="2"/>
    </row>
    <row r="173" spans="1:8" x14ac:dyDescent="0.3">
      <c r="A173" s="2"/>
      <c r="B173" s="2"/>
      <c r="C173" s="2"/>
      <c r="D173" s="2"/>
      <c r="E173" s="2"/>
      <c r="F173" s="2"/>
      <c r="G173" s="2"/>
      <c r="H173" s="2"/>
    </row>
    <row r="174" spans="1:8" x14ac:dyDescent="0.3">
      <c r="A174" s="2"/>
      <c r="B174" s="2"/>
      <c r="C174" s="2"/>
      <c r="D174" s="2"/>
      <c r="E174" s="2"/>
      <c r="F174" s="2"/>
      <c r="G174" s="2"/>
      <c r="H174" s="2"/>
    </row>
    <row r="175" spans="1:8" x14ac:dyDescent="0.3">
      <c r="A175" s="2"/>
      <c r="B175" s="2"/>
      <c r="C175" s="2"/>
      <c r="D175" s="2"/>
      <c r="E175" s="2"/>
      <c r="F175" s="2"/>
      <c r="G175" s="2"/>
      <c r="H175" s="2"/>
    </row>
    <row r="176" spans="1:8" x14ac:dyDescent="0.3">
      <c r="A176" s="2"/>
      <c r="B176" s="2"/>
      <c r="C176" s="2"/>
      <c r="D176" s="2"/>
      <c r="E176" s="2"/>
      <c r="F176" s="2"/>
      <c r="G176" s="2"/>
      <c r="H176" s="2"/>
    </row>
    <row r="177" spans="1:8" x14ac:dyDescent="0.3">
      <c r="A177" s="2"/>
      <c r="B177" s="2"/>
      <c r="C177" s="2"/>
      <c r="D177" s="2"/>
      <c r="E177" s="2"/>
      <c r="F177" s="2"/>
      <c r="G177" s="2"/>
      <c r="H177" s="2"/>
    </row>
    <row r="178" spans="1:8" x14ac:dyDescent="0.3">
      <c r="A178" s="2"/>
      <c r="B178" s="2"/>
      <c r="C178" s="2"/>
      <c r="D178" s="2"/>
      <c r="E178" s="2"/>
      <c r="F178" s="2"/>
      <c r="G178" s="2"/>
      <c r="H178" s="2"/>
    </row>
    <row r="179" spans="1:8" x14ac:dyDescent="0.3">
      <c r="A179" s="2"/>
      <c r="B179" s="2"/>
      <c r="C179" s="2"/>
      <c r="D179" s="2"/>
      <c r="E179" s="2"/>
      <c r="F179" s="2"/>
      <c r="G179" s="2"/>
      <c r="H179" s="2"/>
    </row>
    <row r="180" spans="1:8" x14ac:dyDescent="0.3">
      <c r="A180" s="2"/>
      <c r="B180" s="2"/>
      <c r="C180" s="2"/>
      <c r="D180" s="2"/>
      <c r="E180" s="2"/>
      <c r="F180" s="2"/>
      <c r="G180" s="2"/>
      <c r="H180" s="2"/>
    </row>
    <row r="181" spans="1:8" x14ac:dyDescent="0.3">
      <c r="A181" s="2"/>
      <c r="B181" s="2"/>
      <c r="C181" s="2"/>
      <c r="D181" s="2"/>
      <c r="E181" s="2"/>
      <c r="F181" s="2"/>
      <c r="G181" s="2"/>
      <c r="H181" s="2"/>
    </row>
    <row r="182" spans="1:8" x14ac:dyDescent="0.3">
      <c r="A182" s="2"/>
      <c r="B182" s="2"/>
      <c r="C182" s="2"/>
      <c r="D182" s="2"/>
      <c r="E182" s="2"/>
      <c r="F182" s="2"/>
      <c r="G182" s="2"/>
      <c r="H182" s="2"/>
    </row>
    <row r="183" spans="1:8" x14ac:dyDescent="0.3">
      <c r="A183" s="2"/>
      <c r="B183" s="2"/>
      <c r="C183" s="2"/>
      <c r="D183" s="2"/>
      <c r="E183" s="2"/>
      <c r="F183" s="2"/>
      <c r="G183" s="2"/>
      <c r="H183" s="2"/>
    </row>
    <row r="184" spans="1:8" x14ac:dyDescent="0.3">
      <c r="A184" s="2"/>
      <c r="B184" s="2"/>
      <c r="C184" s="2"/>
      <c r="D184" s="2"/>
      <c r="E184" s="2"/>
      <c r="F184" s="2"/>
      <c r="G184" s="2"/>
      <c r="H184" s="2"/>
    </row>
    <row r="185" spans="1:8" x14ac:dyDescent="0.3">
      <c r="A185" s="2"/>
      <c r="B185" s="2"/>
      <c r="C185" s="2"/>
      <c r="D185" s="2"/>
      <c r="E185" s="2"/>
      <c r="F185" s="2"/>
      <c r="G185" s="2"/>
      <c r="H185" s="2"/>
    </row>
    <row r="186" spans="1:8" x14ac:dyDescent="0.3">
      <c r="A186" s="2"/>
      <c r="B186" s="2"/>
      <c r="C186" s="2"/>
      <c r="D186" s="2"/>
      <c r="E186" s="2"/>
      <c r="F186" s="2"/>
      <c r="G186" s="2"/>
      <c r="H186" s="2"/>
    </row>
    <row r="187" spans="1:8" x14ac:dyDescent="0.3">
      <c r="A187" s="2"/>
      <c r="B187" s="2"/>
      <c r="C187" s="2"/>
      <c r="D187" s="2"/>
      <c r="E187" s="2"/>
      <c r="F187" s="2"/>
      <c r="G187" s="2"/>
      <c r="H187" s="2"/>
    </row>
    <row r="188" spans="1:8" x14ac:dyDescent="0.3">
      <c r="A188" s="2"/>
      <c r="B188" s="2"/>
      <c r="C188" s="2"/>
      <c r="D188" s="2"/>
      <c r="E188" s="2"/>
      <c r="F188" s="2"/>
      <c r="G188" s="2"/>
      <c r="H188" s="2"/>
    </row>
    <row r="189" spans="1:8" x14ac:dyDescent="0.3">
      <c r="A189" s="2"/>
      <c r="B189" s="2"/>
      <c r="C189" s="2"/>
      <c r="D189" s="2"/>
      <c r="E189" s="2"/>
      <c r="F189" s="2"/>
      <c r="G189" s="2"/>
      <c r="H189" s="2"/>
    </row>
    <row r="190" spans="1:8" x14ac:dyDescent="0.3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4.4" x14ac:dyDescent="0.3"/>
  <cols>
    <col min="1" max="1" width="10.5546875" bestFit="1" customWidth="1"/>
    <col min="3" max="3" width="27.6640625" bestFit="1" customWidth="1"/>
    <col min="4" max="4" width="23.77734375" bestFit="1" customWidth="1"/>
    <col min="5" max="5" width="9" bestFit="1" customWidth="1"/>
    <col min="6" max="6" width="10" bestFit="1" customWidth="1"/>
    <col min="7" max="7" width="16.109375" bestFit="1" customWidth="1"/>
    <col min="8" max="8" width="19.109375" bestFit="1" customWidth="1"/>
    <col min="14" max="14" width="10.55468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3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3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3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3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3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3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3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3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3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3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3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3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3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3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3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92" t="s">
        <v>330</v>
      </c>
      <c r="O16">
        <v>6250</v>
      </c>
    </row>
    <row r="17" spans="1:15" x14ac:dyDescent="0.3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92"/>
      <c r="O17">
        <v>9000</v>
      </c>
    </row>
    <row r="18" spans="1:15" x14ac:dyDescent="0.3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92"/>
      <c r="O18">
        <v>9000</v>
      </c>
    </row>
    <row r="19" spans="1:15" x14ac:dyDescent="0.3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92"/>
      <c r="O19">
        <v>9000</v>
      </c>
    </row>
    <row r="20" spans="1:15" x14ac:dyDescent="0.3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3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3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3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3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3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3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3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4.4" x14ac:dyDescent="0.3"/>
  <cols>
    <col min="1" max="1" width="19.77734375" bestFit="1" customWidth="1"/>
    <col min="2" max="2" width="10.44140625" bestFit="1" customWidth="1"/>
  </cols>
  <sheetData>
    <row r="1" spans="1:2" x14ac:dyDescent="0.3">
      <c r="A1" s="52" t="s">
        <v>367</v>
      </c>
      <c r="B1" s="52" t="s">
        <v>0</v>
      </c>
    </row>
    <row r="2" spans="1:2" x14ac:dyDescent="0.3">
      <c r="A2" s="14" t="s">
        <v>323</v>
      </c>
      <c r="B2">
        <v>13</v>
      </c>
    </row>
    <row r="3" spans="1:2" x14ac:dyDescent="0.3">
      <c r="A3" s="14" t="s">
        <v>317</v>
      </c>
      <c r="B3">
        <v>73</v>
      </c>
    </row>
    <row r="4" spans="1:2" x14ac:dyDescent="0.3">
      <c r="A4" s="14" t="s">
        <v>353</v>
      </c>
      <c r="B4">
        <v>6</v>
      </c>
    </row>
    <row r="5" spans="1:2" x14ac:dyDescent="0.3">
      <c r="A5" s="14" t="s">
        <v>354</v>
      </c>
      <c r="B5">
        <v>6</v>
      </c>
    </row>
    <row r="6" spans="1:2" x14ac:dyDescent="0.3">
      <c r="A6" s="14" t="s">
        <v>351</v>
      </c>
      <c r="B6">
        <v>11</v>
      </c>
    </row>
    <row r="7" spans="1:2" x14ac:dyDescent="0.3">
      <c r="A7" s="14" t="s">
        <v>352</v>
      </c>
      <c r="B7">
        <v>8</v>
      </c>
    </row>
    <row r="8" spans="1:2" x14ac:dyDescent="0.3">
      <c r="A8" s="14" t="s">
        <v>350</v>
      </c>
      <c r="B8">
        <v>3</v>
      </c>
    </row>
    <row r="9" spans="1:2" x14ac:dyDescent="0.3">
      <c r="A9" s="14" t="s">
        <v>334</v>
      </c>
      <c r="B9">
        <v>6</v>
      </c>
    </row>
    <row r="10" spans="1:2" x14ac:dyDescent="0.3">
      <c r="A10" s="14" t="s">
        <v>356</v>
      </c>
      <c r="B10">
        <v>38</v>
      </c>
    </row>
    <row r="11" spans="1:2" x14ac:dyDescent="0.3">
      <c r="A11" s="14" t="s">
        <v>357</v>
      </c>
      <c r="B11">
        <v>1</v>
      </c>
    </row>
    <row r="12" spans="1:2" x14ac:dyDescent="0.3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4.4" x14ac:dyDescent="0.3"/>
  <cols>
    <col min="1" max="1" width="17.88671875" bestFit="1" customWidth="1"/>
  </cols>
  <sheetData>
    <row r="1" spans="1:13" x14ac:dyDescent="0.3">
      <c r="A1" s="2" t="s">
        <v>1</v>
      </c>
      <c r="B1" s="2" t="s">
        <v>0</v>
      </c>
      <c r="M1">
        <v>3</v>
      </c>
    </row>
    <row r="2" spans="1:13" x14ac:dyDescent="0.3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3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3">
      <c r="A4" s="2" t="s">
        <v>339</v>
      </c>
      <c r="B4" s="18">
        <v>8</v>
      </c>
      <c r="C4">
        <v>4</v>
      </c>
      <c r="M4">
        <v>2</v>
      </c>
    </row>
    <row r="5" spans="1:13" x14ac:dyDescent="0.3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3">
      <c r="A6" s="2" t="s">
        <v>341</v>
      </c>
      <c r="B6" s="2">
        <v>1</v>
      </c>
      <c r="M6">
        <v>1</v>
      </c>
    </row>
    <row r="7" spans="1:13" x14ac:dyDescent="0.3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3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3">
      <c r="A9" s="2" t="s">
        <v>343</v>
      </c>
      <c r="B9" s="2">
        <v>4</v>
      </c>
      <c r="M9">
        <v>2</v>
      </c>
    </row>
    <row r="10" spans="1:13" x14ac:dyDescent="0.3">
      <c r="A10" s="2" t="s">
        <v>345</v>
      </c>
      <c r="B10" s="2">
        <v>48</v>
      </c>
      <c r="C10">
        <v>20</v>
      </c>
      <c r="M10">
        <v>2</v>
      </c>
    </row>
    <row r="11" spans="1:13" x14ac:dyDescent="0.3">
      <c r="A11" s="2" t="s">
        <v>165</v>
      </c>
      <c r="B11" s="2">
        <v>3</v>
      </c>
      <c r="C11">
        <v>1</v>
      </c>
      <c r="M11">
        <v>8</v>
      </c>
    </row>
    <row r="12" spans="1:13" x14ac:dyDescent="0.3">
      <c r="A12" s="2" t="s">
        <v>183</v>
      </c>
      <c r="B12" s="2">
        <v>26</v>
      </c>
      <c r="M12">
        <v>2</v>
      </c>
    </row>
    <row r="13" spans="1:13" x14ac:dyDescent="0.3">
      <c r="M13">
        <v>3</v>
      </c>
    </row>
    <row r="14" spans="1:13" x14ac:dyDescent="0.3">
      <c r="M14">
        <v>4</v>
      </c>
    </row>
    <row r="15" spans="1:13" x14ac:dyDescent="0.3">
      <c r="M15">
        <v>1</v>
      </c>
    </row>
    <row r="16" spans="1:13" x14ac:dyDescent="0.3">
      <c r="M16">
        <v>4</v>
      </c>
    </row>
    <row r="17" spans="1:13" x14ac:dyDescent="0.3">
      <c r="M17">
        <v>2</v>
      </c>
    </row>
    <row r="18" spans="1:13" x14ac:dyDescent="0.3">
      <c r="M18">
        <v>4</v>
      </c>
    </row>
    <row r="19" spans="1:13" x14ac:dyDescent="0.3">
      <c r="A19" t="s">
        <v>183</v>
      </c>
      <c r="B19">
        <v>26</v>
      </c>
      <c r="M19">
        <v>2</v>
      </c>
    </row>
    <row r="20" spans="1:13" x14ac:dyDescent="0.3">
      <c r="A20" t="s">
        <v>346</v>
      </c>
      <c r="B20">
        <v>14</v>
      </c>
      <c r="M20">
        <v>2</v>
      </c>
    </row>
    <row r="21" spans="1:13" x14ac:dyDescent="0.3">
      <c r="A21" t="s">
        <v>347</v>
      </c>
      <c r="B21">
        <v>154</v>
      </c>
      <c r="M21">
        <v>2</v>
      </c>
    </row>
    <row r="22" spans="1:13" x14ac:dyDescent="0.3">
      <c r="M22">
        <v>11</v>
      </c>
    </row>
    <row r="23" spans="1:13" x14ac:dyDescent="0.3">
      <c r="M23">
        <v>14</v>
      </c>
    </row>
    <row r="24" spans="1:13" x14ac:dyDescent="0.3">
      <c r="M24">
        <v>2</v>
      </c>
    </row>
    <row r="25" spans="1:13" x14ac:dyDescent="0.3">
      <c r="M25">
        <v>28</v>
      </c>
    </row>
    <row r="26" spans="1:13" x14ac:dyDescent="0.3">
      <c r="M26">
        <v>20</v>
      </c>
    </row>
    <row r="27" spans="1:13" x14ac:dyDescent="0.3">
      <c r="M27">
        <v>2</v>
      </c>
    </row>
    <row r="28" spans="1:13" x14ac:dyDescent="0.3">
      <c r="M28">
        <v>4</v>
      </c>
    </row>
    <row r="29" spans="1:13" x14ac:dyDescent="0.3">
      <c r="M29">
        <v>12</v>
      </c>
    </row>
    <row r="30" spans="1:13" x14ac:dyDescent="0.3">
      <c r="M30">
        <v>4</v>
      </c>
    </row>
    <row r="31" spans="1:13" x14ac:dyDescent="0.3">
      <c r="M31">
        <v>3</v>
      </c>
    </row>
    <row r="32" spans="1:13" x14ac:dyDescent="0.3">
      <c r="M32">
        <v>1</v>
      </c>
    </row>
    <row r="33" spans="13:13" x14ac:dyDescent="0.3">
      <c r="M33">
        <v>26</v>
      </c>
    </row>
    <row r="34" spans="13:13" x14ac:dyDescent="0.3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4.4" x14ac:dyDescent="0.3"/>
  <cols>
    <col min="1" max="1" width="10.5546875" bestFit="1" customWidth="1"/>
    <col min="3" max="3" width="32" bestFit="1" customWidth="1"/>
    <col min="5" max="5" width="31.5546875" bestFit="1" customWidth="1"/>
    <col min="6" max="6" width="10" bestFit="1" customWidth="1"/>
    <col min="7" max="7" width="18.88671875" bestFit="1" customWidth="1"/>
    <col min="8" max="8" width="10.21875" bestFit="1" customWidth="1"/>
  </cols>
  <sheetData>
    <row r="1" spans="1:12" x14ac:dyDescent="0.3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3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93">
        <v>95960</v>
      </c>
    </row>
    <row r="3" spans="1:12" x14ac:dyDescent="0.3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93"/>
    </row>
    <row r="4" spans="1:12" x14ac:dyDescent="0.3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3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3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3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3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3">
      <c r="C9" s="2"/>
      <c r="D9" s="2"/>
      <c r="E9" s="2" t="s">
        <v>260</v>
      </c>
      <c r="F9" s="2"/>
      <c r="G9" s="2"/>
      <c r="H9" s="18">
        <v>157</v>
      </c>
    </row>
    <row r="10" spans="1:12" x14ac:dyDescent="0.3">
      <c r="E10" s="22" t="s">
        <v>290</v>
      </c>
      <c r="F10">
        <v>520</v>
      </c>
      <c r="G10">
        <v>1560</v>
      </c>
      <c r="H10" s="22">
        <v>1560</v>
      </c>
    </row>
    <row r="11" spans="1:12" x14ac:dyDescent="0.3">
      <c r="E11" t="s">
        <v>288</v>
      </c>
    </row>
    <row r="15" spans="1:12" x14ac:dyDescent="0.3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3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3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3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3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4.4" x14ac:dyDescent="0.3"/>
  <cols>
    <col min="1" max="1" width="10.5546875" bestFit="1" customWidth="1"/>
    <col min="3" max="3" width="20" bestFit="1" customWidth="1"/>
    <col min="4" max="4" width="22.77734375" bestFit="1" customWidth="1"/>
    <col min="6" max="6" width="10" bestFit="1" customWidth="1"/>
    <col min="7" max="7" width="16.109375" bestFit="1" customWidth="1"/>
    <col min="8" max="8" width="13.77734375" bestFit="1" customWidth="1"/>
    <col min="12" max="12" width="24.109375" bestFit="1" customWidth="1"/>
    <col min="13" max="13" width="11.5546875" bestFit="1" customWidth="1"/>
  </cols>
  <sheetData>
    <row r="1" spans="1:13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3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3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3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3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3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3">
      <c r="L7" s="74" t="s">
        <v>352</v>
      </c>
      <c r="M7">
        <v>3750</v>
      </c>
    </row>
    <row r="8" spans="1:13" x14ac:dyDescent="0.3">
      <c r="L8" s="14">
        <v>8</v>
      </c>
      <c r="M8">
        <v>6635</v>
      </c>
    </row>
    <row r="9" spans="1:13" x14ac:dyDescent="0.3">
      <c r="L9" s="74" t="s">
        <v>508</v>
      </c>
      <c r="M9">
        <v>3750</v>
      </c>
    </row>
    <row r="10" spans="1:13" x14ac:dyDescent="0.3">
      <c r="L10" s="74" t="s">
        <v>351</v>
      </c>
      <c r="M10">
        <v>2885</v>
      </c>
    </row>
    <row r="11" spans="1:13" x14ac:dyDescent="0.3">
      <c r="L11" s="14" t="s">
        <v>80</v>
      </c>
      <c r="M11">
        <v>13544</v>
      </c>
    </row>
    <row r="16" spans="1:13" x14ac:dyDescent="0.3">
      <c r="F16">
        <v>84235</v>
      </c>
    </row>
    <row r="17" spans="6:6" x14ac:dyDescent="0.3">
      <c r="F17">
        <f>F16*10%</f>
        <v>8423.5</v>
      </c>
    </row>
    <row r="18" spans="6:6" x14ac:dyDescent="0.3">
      <c r="F18">
        <v>9000</v>
      </c>
    </row>
    <row r="19" spans="6:6" x14ac:dyDescent="0.3">
      <c r="F19">
        <f>F17+F18</f>
        <v>17423.5</v>
      </c>
    </row>
    <row r="20" spans="6:6" x14ac:dyDescent="0.3">
      <c r="F20">
        <v>6000</v>
      </c>
    </row>
    <row r="21" spans="6:6" x14ac:dyDescent="0.3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4.4" x14ac:dyDescent="0.3"/>
  <cols>
    <col min="2" max="2" width="32.77734375" bestFit="1" customWidth="1"/>
  </cols>
  <sheetData>
    <row r="1" spans="2:7" x14ac:dyDescent="0.3">
      <c r="B1" s="44" t="s">
        <v>663</v>
      </c>
      <c r="C1" s="44" t="s">
        <v>0</v>
      </c>
    </row>
    <row r="2" spans="2:7" x14ac:dyDescent="0.3">
      <c r="B2" s="2" t="s">
        <v>659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3">
      <c r="B3" s="2" t="s">
        <v>660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3">
      <c r="B4" s="2" t="s">
        <v>661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3">
      <c r="B5" s="2" t="s">
        <v>662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3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3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3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3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3">
      <c r="B10" s="2" t="s">
        <v>658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3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4.4" x14ac:dyDescent="0.3"/>
  <cols>
    <col min="1" max="1" width="20" bestFit="1" customWidth="1"/>
    <col min="2" max="2" width="25.6640625" bestFit="1" customWidth="1"/>
    <col min="5" max="5" width="24.77734375" bestFit="1" customWidth="1"/>
    <col min="6" max="6" width="10.44140625" bestFit="1" customWidth="1"/>
  </cols>
  <sheetData>
    <row r="1" spans="1:6" x14ac:dyDescent="0.3">
      <c r="A1" t="s">
        <v>0</v>
      </c>
      <c r="B1" t="s">
        <v>159</v>
      </c>
      <c r="E1" s="13" t="s">
        <v>1</v>
      </c>
      <c r="F1" t="s">
        <v>81</v>
      </c>
    </row>
    <row r="2" spans="1:6" x14ac:dyDescent="0.3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3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3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3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3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3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3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3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3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3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3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3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3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3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3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3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3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3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3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3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3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3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3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3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3">
      <c r="A26">
        <v>1</v>
      </c>
      <c r="B26" t="s">
        <v>171</v>
      </c>
      <c r="C26">
        <v>6</v>
      </c>
    </row>
    <row r="27" spans="1:6" x14ac:dyDescent="0.3">
      <c r="A27">
        <v>1</v>
      </c>
      <c r="B27" t="s">
        <v>173</v>
      </c>
      <c r="C27">
        <v>6</v>
      </c>
    </row>
    <row r="28" spans="1:6" x14ac:dyDescent="0.3">
      <c r="A28">
        <v>2</v>
      </c>
      <c r="B28" t="s">
        <v>174</v>
      </c>
      <c r="C28">
        <v>7</v>
      </c>
    </row>
    <row r="29" spans="1:6" x14ac:dyDescent="0.3">
      <c r="A29">
        <v>1</v>
      </c>
      <c r="B29" t="s">
        <v>175</v>
      </c>
      <c r="C29">
        <v>7</v>
      </c>
    </row>
    <row r="30" spans="1:6" x14ac:dyDescent="0.3">
      <c r="A30">
        <v>2</v>
      </c>
      <c r="B30" t="s">
        <v>176</v>
      </c>
      <c r="C30">
        <v>8</v>
      </c>
    </row>
    <row r="31" spans="1:6" x14ac:dyDescent="0.3">
      <c r="A31">
        <v>3</v>
      </c>
      <c r="B31" t="s">
        <v>174</v>
      </c>
      <c r="C31">
        <v>8</v>
      </c>
    </row>
    <row r="32" spans="1:6" x14ac:dyDescent="0.3">
      <c r="A32">
        <v>1</v>
      </c>
      <c r="B32" t="s">
        <v>177</v>
      </c>
      <c r="C32">
        <v>8</v>
      </c>
    </row>
    <row r="33" spans="1:3" x14ac:dyDescent="0.3">
      <c r="A33">
        <v>2</v>
      </c>
      <c r="B33" t="s">
        <v>168</v>
      </c>
      <c r="C33">
        <v>8</v>
      </c>
    </row>
    <row r="34" spans="1:3" x14ac:dyDescent="0.3">
      <c r="A34">
        <v>5</v>
      </c>
      <c r="B34" t="s">
        <v>160</v>
      </c>
      <c r="C34">
        <v>9</v>
      </c>
    </row>
    <row r="35" spans="1:3" x14ac:dyDescent="0.3">
      <c r="A35">
        <v>1</v>
      </c>
      <c r="B35" t="s">
        <v>178</v>
      </c>
      <c r="C35">
        <v>9</v>
      </c>
    </row>
    <row r="36" spans="1:3" x14ac:dyDescent="0.3">
      <c r="A36">
        <v>1</v>
      </c>
      <c r="B36" t="s">
        <v>179</v>
      </c>
      <c r="C36">
        <v>10</v>
      </c>
    </row>
    <row r="37" spans="1:3" x14ac:dyDescent="0.3">
      <c r="A37">
        <v>1</v>
      </c>
      <c r="B37" t="s">
        <v>172</v>
      </c>
      <c r="C37">
        <v>10</v>
      </c>
    </row>
    <row r="38" spans="1:3" x14ac:dyDescent="0.3">
      <c r="A38">
        <v>1</v>
      </c>
      <c r="B38" t="s">
        <v>180</v>
      </c>
      <c r="C38">
        <v>10</v>
      </c>
    </row>
    <row r="39" spans="1:3" x14ac:dyDescent="0.3">
      <c r="A39">
        <v>2</v>
      </c>
      <c r="B39" t="s">
        <v>160</v>
      </c>
      <c r="C39" t="s">
        <v>181</v>
      </c>
    </row>
    <row r="40" spans="1:3" x14ac:dyDescent="0.3">
      <c r="A40">
        <v>6</v>
      </c>
      <c r="B40" t="s">
        <v>182</v>
      </c>
      <c r="C40">
        <v>11</v>
      </c>
    </row>
    <row r="41" spans="1:3" x14ac:dyDescent="0.3">
      <c r="A41">
        <v>33</v>
      </c>
      <c r="B41" t="s">
        <v>183</v>
      </c>
      <c r="C41" t="s">
        <v>185</v>
      </c>
    </row>
    <row r="42" spans="1:3" x14ac:dyDescent="0.3">
      <c r="A42">
        <v>6</v>
      </c>
      <c r="B42" t="s">
        <v>183</v>
      </c>
      <c r="C42" t="s">
        <v>184</v>
      </c>
    </row>
    <row r="43" spans="1:3" x14ac:dyDescent="0.3">
      <c r="A43">
        <v>8</v>
      </c>
      <c r="B43" t="s">
        <v>183</v>
      </c>
    </row>
    <row r="44" spans="1:3" x14ac:dyDescent="0.3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4.4" x14ac:dyDescent="0.3"/>
  <cols>
    <col min="2" max="2" width="24.77734375" bestFit="1" customWidth="1"/>
    <col min="8" max="8" width="24.77734375" bestFit="1" customWidth="1"/>
    <col min="9" max="9" width="10" bestFit="1" customWidth="1"/>
    <col min="10" max="10" width="10" customWidth="1"/>
  </cols>
  <sheetData>
    <row r="1" spans="1:14" x14ac:dyDescent="0.3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3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3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3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3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3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3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3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3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3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3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3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3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3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3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3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3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3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3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3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3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3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3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3">
      <c r="A24">
        <v>2</v>
      </c>
      <c r="B24" t="s">
        <v>264</v>
      </c>
      <c r="C24">
        <v>9</v>
      </c>
    </row>
    <row r="25" spans="1:14" x14ac:dyDescent="0.3">
      <c r="A25">
        <v>2</v>
      </c>
      <c r="B25" t="s">
        <v>264</v>
      </c>
      <c r="C25">
        <v>10</v>
      </c>
    </row>
    <row r="26" spans="1:14" x14ac:dyDescent="0.3">
      <c r="A26">
        <v>1</v>
      </c>
      <c r="B26" t="s">
        <v>160</v>
      </c>
      <c r="C26">
        <v>10</v>
      </c>
    </row>
    <row r="27" spans="1:14" x14ac:dyDescent="0.3">
      <c r="A27">
        <v>1</v>
      </c>
      <c r="B27" t="s">
        <v>161</v>
      </c>
      <c r="C27">
        <v>10</v>
      </c>
    </row>
    <row r="28" spans="1:14" x14ac:dyDescent="0.3">
      <c r="A28">
        <v>5</v>
      </c>
      <c r="B28" t="s">
        <v>161</v>
      </c>
      <c r="C28">
        <v>11</v>
      </c>
    </row>
    <row r="29" spans="1:14" x14ac:dyDescent="0.3">
      <c r="A29">
        <v>4</v>
      </c>
      <c r="B29" t="s">
        <v>265</v>
      </c>
      <c r="C29">
        <v>11</v>
      </c>
    </row>
    <row r="30" spans="1:14" x14ac:dyDescent="0.3">
      <c r="A30">
        <v>5</v>
      </c>
      <c r="B30" t="s">
        <v>225</v>
      </c>
      <c r="C30">
        <v>11</v>
      </c>
    </row>
    <row r="31" spans="1:14" x14ac:dyDescent="0.3">
      <c r="A31">
        <v>1</v>
      </c>
      <c r="B31" t="s">
        <v>263</v>
      </c>
      <c r="C31">
        <v>11</v>
      </c>
    </row>
    <row r="32" spans="1:14" x14ac:dyDescent="0.3">
      <c r="A32">
        <v>2</v>
      </c>
      <c r="B32" t="s">
        <v>170</v>
      </c>
      <c r="C32">
        <v>11</v>
      </c>
    </row>
    <row r="33" spans="1:3" x14ac:dyDescent="0.3">
      <c r="A33">
        <v>1</v>
      </c>
      <c r="B33" t="s">
        <v>269</v>
      </c>
      <c r="C33">
        <v>11</v>
      </c>
    </row>
    <row r="34" spans="1:3" x14ac:dyDescent="0.3">
      <c r="A34">
        <v>2</v>
      </c>
      <c r="B34" t="s">
        <v>161</v>
      </c>
      <c r="C34">
        <v>12</v>
      </c>
    </row>
    <row r="35" spans="1:3" x14ac:dyDescent="0.3">
      <c r="A35">
        <v>1</v>
      </c>
      <c r="B35" t="s">
        <v>265</v>
      </c>
      <c r="C35">
        <v>13</v>
      </c>
    </row>
    <row r="36" spans="1:3" x14ac:dyDescent="0.3">
      <c r="A36">
        <v>2</v>
      </c>
      <c r="B36" t="s">
        <v>161</v>
      </c>
      <c r="C36">
        <v>13</v>
      </c>
    </row>
    <row r="37" spans="1:3" x14ac:dyDescent="0.3">
      <c r="A37">
        <v>5</v>
      </c>
      <c r="B37" t="s">
        <v>268</v>
      </c>
      <c r="C37">
        <v>13</v>
      </c>
    </row>
    <row r="38" spans="1:3" x14ac:dyDescent="0.3">
      <c r="A38">
        <v>5</v>
      </c>
      <c r="B38" t="s">
        <v>161</v>
      </c>
      <c r="C38">
        <v>14</v>
      </c>
    </row>
    <row r="39" spans="1:3" x14ac:dyDescent="0.3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4.4" x14ac:dyDescent="0.3"/>
  <cols>
    <col min="1" max="1" width="10.77734375" bestFit="1" customWidth="1"/>
    <col min="3" max="3" width="26.77734375" bestFit="1" customWidth="1"/>
    <col min="4" max="4" width="22.77734375" bestFit="1" customWidth="1"/>
    <col min="5" max="5" width="9" bestFit="1" customWidth="1"/>
    <col min="6" max="6" width="11" bestFit="1" customWidth="1"/>
    <col min="7" max="7" width="12.6640625" bestFit="1" customWidth="1"/>
    <col min="8" max="8" width="13.77734375" bestFit="1" customWidth="1"/>
    <col min="10" max="10" width="10.2187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3">
      <c r="A1" s="94" t="s">
        <v>299</v>
      </c>
      <c r="B1" s="94"/>
      <c r="C1" s="94"/>
      <c r="D1" s="94"/>
      <c r="E1" s="94"/>
      <c r="F1" s="94"/>
      <c r="G1" s="94"/>
      <c r="H1" s="94"/>
      <c r="I1" s="2"/>
      <c r="J1" s="2"/>
    </row>
    <row r="2" spans="1:17" x14ac:dyDescent="0.3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3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3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3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3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3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3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3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3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3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3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3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3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3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3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3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3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3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3">
      <c r="F20" s="43">
        <f t="shared" si="8"/>
        <v>0</v>
      </c>
      <c r="O20">
        <v>120000</v>
      </c>
    </row>
    <row r="21" spans="1:15" x14ac:dyDescent="0.3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3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workbookViewId="0">
      <selection activeCell="H50" sqref="H50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6640625" bestFit="1" customWidth="1"/>
    <col min="5" max="5" width="9" style="60" bestFit="1" customWidth="1"/>
    <col min="6" max="6" width="11" style="60" bestFit="1" customWidth="1"/>
    <col min="7" max="7" width="23.88671875" bestFit="1" customWidth="1"/>
    <col min="8" max="8" width="22.33203125" bestFit="1" customWidth="1"/>
    <col min="10" max="10" width="10.21875" bestFit="1" customWidth="1"/>
  </cols>
  <sheetData>
    <row r="1" spans="1:10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3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3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3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3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3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3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3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3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3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3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3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3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3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3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3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3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3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3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3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3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3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3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3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3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3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3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3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3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3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3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3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3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3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3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3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3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3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95" t="s">
        <v>471</v>
      </c>
      <c r="H38" s="10" t="s">
        <v>470</v>
      </c>
      <c r="I38" s="2"/>
    </row>
    <row r="39" spans="1:9" x14ac:dyDescent="0.3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95"/>
      <c r="H39" s="10" t="s">
        <v>470</v>
      </c>
      <c r="I39" s="2"/>
    </row>
    <row r="40" spans="1:9" x14ac:dyDescent="0.3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95"/>
      <c r="H40" s="10" t="s">
        <v>470</v>
      </c>
      <c r="I40" s="2"/>
    </row>
    <row r="41" spans="1:9" x14ac:dyDescent="0.3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3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3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3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B23" activeCellId="1" sqref="B16:B19 B23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31.44140625" bestFit="1" customWidth="1"/>
    <col min="4" max="4" width="26.5546875" bestFit="1" customWidth="1"/>
    <col min="5" max="5" width="9" bestFit="1" customWidth="1"/>
    <col min="6" max="6" width="10" bestFit="1" customWidth="1"/>
    <col min="7" max="7" width="17.5546875" bestFit="1" customWidth="1"/>
    <col min="8" max="8" width="15" bestFit="1" customWidth="1"/>
    <col min="9" max="9" width="21.88671875" bestFit="1" customWidth="1"/>
  </cols>
  <sheetData>
    <row r="1" spans="1:15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3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3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3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3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3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3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3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3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3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3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3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3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3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3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3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3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3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3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3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3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3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3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3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E25" sqref="E25"/>
    </sheetView>
  </sheetViews>
  <sheetFormatPr defaultRowHeight="14.4" x14ac:dyDescent="0.3"/>
  <cols>
    <col min="1" max="1" width="10.5546875" bestFit="1" customWidth="1"/>
    <col min="2" max="2" width="4" bestFit="1" customWidth="1"/>
    <col min="3" max="3" width="18.6640625" bestFit="1" customWidth="1"/>
    <col min="4" max="4" width="15.21875" bestFit="1" customWidth="1"/>
    <col min="5" max="5" width="9" bestFit="1" customWidth="1"/>
    <col min="6" max="6" width="11" bestFit="1" customWidth="1"/>
    <col min="7" max="7" width="18.7773437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3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3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3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3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3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3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3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3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3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3:A5"/>
  <sheetViews>
    <sheetView workbookViewId="0">
      <selection activeCell="B9" sqref="B9"/>
    </sheetView>
  </sheetViews>
  <sheetFormatPr defaultRowHeight="14.4" x14ac:dyDescent="0.3"/>
  <sheetData>
    <row r="3" spans="1:1" x14ac:dyDescent="0.3">
      <c r="A3">
        <v>3000</v>
      </c>
    </row>
    <row r="4" spans="1:1" x14ac:dyDescent="0.3">
      <c r="A4">
        <v>5000</v>
      </c>
    </row>
    <row r="5" spans="1:1" x14ac:dyDescent="0.3">
      <c r="A5">
        <v>5000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4.4" x14ac:dyDescent="0.3"/>
  <cols>
    <col min="1" max="1" width="10.5546875" bestFit="1" customWidth="1"/>
    <col min="3" max="3" width="19.77734375" bestFit="1" customWidth="1"/>
    <col min="4" max="4" width="23.6640625" bestFit="1" customWidth="1"/>
    <col min="6" max="6" width="10" bestFit="1" customWidth="1"/>
    <col min="7" max="7" width="28.33203125" bestFit="1" customWidth="1"/>
    <col min="8" max="8" width="27.109375" bestFit="1" customWidth="1"/>
    <col min="9" max="9" width="19.109375" bestFit="1" customWidth="1"/>
  </cols>
  <sheetData>
    <row r="1" spans="1:15" x14ac:dyDescent="0.3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3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3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3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3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3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3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3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3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3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3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3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3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3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3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3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3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3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3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3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3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3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3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3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3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3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3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3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3">
      <c r="A29" s="2"/>
      <c r="B29" s="2"/>
      <c r="C29" s="2"/>
      <c r="D29" s="2"/>
      <c r="E29" s="2"/>
      <c r="F29" s="2"/>
      <c r="G29" s="2"/>
      <c r="H29" s="2"/>
    </row>
    <row r="30" spans="1:16" x14ac:dyDescent="0.3">
      <c r="A30" s="2"/>
      <c r="B30" s="2"/>
      <c r="C30" s="2"/>
      <c r="D30" s="2"/>
      <c r="E30" s="2"/>
      <c r="F30" s="2"/>
      <c r="G30" s="2"/>
      <c r="H30" s="2"/>
    </row>
    <row r="31" spans="1:16" x14ac:dyDescent="0.3">
      <c r="A31" s="2"/>
      <c r="B31" s="2"/>
      <c r="C31" s="2"/>
      <c r="D31" s="2"/>
      <c r="E31" s="2"/>
      <c r="F31" s="2"/>
      <c r="G31" s="2"/>
      <c r="H31" s="2"/>
    </row>
    <row r="32" spans="1:16" x14ac:dyDescent="0.3">
      <c r="A32" s="2"/>
      <c r="B32" s="2"/>
      <c r="C32" s="2"/>
      <c r="D32" s="2"/>
      <c r="E32" s="2"/>
      <c r="F32" s="2"/>
      <c r="G32" s="2"/>
      <c r="H32" s="2"/>
    </row>
    <row r="33" spans="1:8" x14ac:dyDescent="0.3">
      <c r="A33" s="2"/>
      <c r="B33" s="2"/>
      <c r="C33" s="2"/>
      <c r="D33" s="2"/>
      <c r="E33" s="2"/>
      <c r="F33" s="2"/>
      <c r="G33" s="2"/>
      <c r="H33" s="2"/>
    </row>
    <row r="34" spans="1:8" x14ac:dyDescent="0.3">
      <c r="A34" s="2"/>
      <c r="B34" s="2"/>
      <c r="C34" s="2"/>
      <c r="D34" s="2"/>
      <c r="E34" s="2"/>
      <c r="F34" s="2"/>
      <c r="G34" s="2"/>
      <c r="H34" s="2"/>
    </row>
    <row r="35" spans="1:8" x14ac:dyDescent="0.3">
      <c r="A35" s="2"/>
      <c r="B35" s="2"/>
      <c r="C35" s="2"/>
      <c r="D35" s="2"/>
      <c r="E35" s="2"/>
      <c r="F35" s="2"/>
      <c r="G35" s="2"/>
      <c r="H35" s="2"/>
    </row>
    <row r="36" spans="1:8" x14ac:dyDescent="0.3">
      <c r="A36" s="2"/>
      <c r="B36" s="2"/>
      <c r="C36" s="2"/>
      <c r="D36" s="2"/>
      <c r="E36" s="2"/>
      <c r="F36" s="2"/>
      <c r="G36" s="2"/>
      <c r="H36" s="2"/>
    </row>
    <row r="37" spans="1:8" x14ac:dyDescent="0.3">
      <c r="A37" s="2"/>
      <c r="B37" s="2"/>
      <c r="C37" s="2"/>
      <c r="D37" s="2"/>
      <c r="E37" s="2"/>
      <c r="F37" s="2"/>
      <c r="G37" s="2"/>
      <c r="H37" s="2"/>
    </row>
    <row r="38" spans="1:8" x14ac:dyDescent="0.3">
      <c r="A38" s="2"/>
      <c r="B38" s="2"/>
      <c r="C38" s="2"/>
      <c r="D38" s="2"/>
      <c r="E38" s="2"/>
      <c r="F38" s="2"/>
      <c r="G38" s="2"/>
      <c r="H38" s="2"/>
    </row>
    <row r="39" spans="1:8" x14ac:dyDescent="0.3">
      <c r="A39" s="2"/>
      <c r="B39" s="2"/>
      <c r="C39" s="2"/>
      <c r="D39" s="2"/>
      <c r="E39" s="2"/>
      <c r="F39" s="2"/>
      <c r="G39" s="2"/>
      <c r="H39" s="2"/>
    </row>
    <row r="40" spans="1:8" x14ac:dyDescent="0.3">
      <c r="A40" s="2"/>
      <c r="B40" s="2"/>
      <c r="C40" s="2"/>
      <c r="D40" s="2"/>
      <c r="E40" s="2"/>
      <c r="F40" s="2"/>
      <c r="G40" s="2"/>
      <c r="H40" s="2"/>
    </row>
    <row r="41" spans="1:8" x14ac:dyDescent="0.3">
      <c r="A41" s="2"/>
      <c r="B41" s="2"/>
      <c r="C41" s="2"/>
      <c r="D41" s="2"/>
      <c r="E41" s="2"/>
      <c r="F41" s="2"/>
      <c r="G41" s="2"/>
      <c r="H41" s="2"/>
    </row>
    <row r="42" spans="1:8" x14ac:dyDescent="0.3">
      <c r="A42" s="2"/>
      <c r="B42" s="2"/>
      <c r="C42" s="2"/>
      <c r="D42" s="2"/>
      <c r="E42" s="2"/>
      <c r="F42" s="2"/>
      <c r="G42" s="2"/>
      <c r="H42" s="2"/>
    </row>
    <row r="43" spans="1:8" x14ac:dyDescent="0.3">
      <c r="A43" s="2"/>
      <c r="B43" s="2"/>
      <c r="C43" s="2"/>
      <c r="D43" s="2"/>
      <c r="E43" s="2"/>
      <c r="F43" s="2"/>
      <c r="G43" s="2"/>
      <c r="H43" s="2"/>
    </row>
    <row r="44" spans="1:8" x14ac:dyDescent="0.3">
      <c r="A44" s="2"/>
      <c r="B44" s="2"/>
      <c r="C44" s="2"/>
      <c r="D44" s="2"/>
      <c r="E44" s="2"/>
      <c r="F44" s="2"/>
      <c r="G44" s="2"/>
      <c r="H44" s="2"/>
    </row>
    <row r="45" spans="1:8" x14ac:dyDescent="0.3">
      <c r="A45" s="2"/>
      <c r="B45" s="2"/>
      <c r="C45" s="2"/>
      <c r="D45" s="2"/>
      <c r="E45" s="2"/>
      <c r="F45" s="2"/>
      <c r="G45" s="2"/>
      <c r="H45" s="2"/>
    </row>
    <row r="46" spans="1:8" x14ac:dyDescent="0.3">
      <c r="A46" s="2"/>
      <c r="B46" s="2"/>
      <c r="C46" s="2"/>
      <c r="D46" s="2"/>
      <c r="E46" s="2"/>
      <c r="F46" s="2"/>
      <c r="G46" s="2"/>
      <c r="H46" s="2"/>
    </row>
    <row r="47" spans="1:8" x14ac:dyDescent="0.3">
      <c r="A47" s="2"/>
      <c r="B47" s="2"/>
      <c r="C47" s="2"/>
      <c r="D47" s="2"/>
      <c r="E47" s="2"/>
      <c r="F47" s="2"/>
      <c r="G47" s="2"/>
      <c r="H47" s="2"/>
    </row>
    <row r="48" spans="1:8" x14ac:dyDescent="0.3">
      <c r="A48" s="2"/>
      <c r="B48" s="2"/>
      <c r="C48" s="2"/>
      <c r="D48" s="2"/>
      <c r="E48" s="2"/>
      <c r="F48" s="2"/>
      <c r="G48" s="2"/>
      <c r="H48" s="2"/>
    </row>
    <row r="49" spans="1:8" x14ac:dyDescent="0.3">
      <c r="A49" s="2"/>
      <c r="B49" s="2"/>
      <c r="C49" s="2"/>
      <c r="D49" s="2"/>
      <c r="E49" s="2"/>
      <c r="F49" s="2"/>
      <c r="G49" s="2"/>
      <c r="H49" s="2"/>
    </row>
    <row r="50" spans="1:8" x14ac:dyDescent="0.3">
      <c r="A50" s="2"/>
      <c r="B50" s="2"/>
      <c r="C50" s="2"/>
      <c r="D50" s="2"/>
      <c r="E50" s="2"/>
      <c r="F50" s="2"/>
      <c r="G50" s="2"/>
      <c r="H50" s="2"/>
    </row>
    <row r="51" spans="1:8" x14ac:dyDescent="0.3">
      <c r="A51" s="2"/>
      <c r="B51" s="2"/>
      <c r="C51" s="2"/>
      <c r="D51" s="2"/>
      <c r="E51" s="2"/>
      <c r="F51" s="2"/>
      <c r="G51" s="2"/>
      <c r="H51" s="2"/>
    </row>
    <row r="52" spans="1:8" x14ac:dyDescent="0.3">
      <c r="A52" s="2"/>
      <c r="B52" s="2"/>
      <c r="C52" s="2"/>
      <c r="D52" s="2"/>
      <c r="E52" s="2"/>
      <c r="F52" s="2"/>
      <c r="G52" s="2"/>
      <c r="H52" s="2"/>
    </row>
    <row r="53" spans="1:8" x14ac:dyDescent="0.3">
      <c r="A53" s="2"/>
      <c r="B53" s="2"/>
      <c r="C53" s="2"/>
      <c r="D53" s="2"/>
      <c r="E53" s="2"/>
      <c r="F53" s="2"/>
      <c r="G53" s="2"/>
      <c r="H53" s="2"/>
    </row>
    <row r="54" spans="1:8" x14ac:dyDescent="0.3">
      <c r="A54" s="2"/>
      <c r="B54" s="2"/>
      <c r="C54" s="2"/>
      <c r="D54" s="2"/>
      <c r="E54" s="2"/>
      <c r="F54" s="2"/>
      <c r="G54" s="2"/>
      <c r="H54" s="2"/>
    </row>
    <row r="55" spans="1:8" x14ac:dyDescent="0.3">
      <c r="A55" s="2"/>
      <c r="B55" s="2"/>
      <c r="C55" s="2"/>
      <c r="D55" s="2"/>
      <c r="E55" s="2"/>
      <c r="F55" s="2"/>
      <c r="G55" s="2"/>
      <c r="H55" s="2"/>
    </row>
    <row r="56" spans="1:8" x14ac:dyDescent="0.3">
      <c r="A56" s="2"/>
      <c r="B56" s="2"/>
      <c r="C56" s="2"/>
      <c r="D56" s="2"/>
      <c r="E56" s="2"/>
      <c r="F56" s="2"/>
      <c r="G56" s="2"/>
      <c r="H56" s="2"/>
    </row>
    <row r="57" spans="1:8" x14ac:dyDescent="0.3">
      <c r="A57" s="2"/>
      <c r="B57" s="2"/>
      <c r="C57" s="2"/>
      <c r="D57" s="2"/>
      <c r="E57" s="2"/>
      <c r="F57" s="2"/>
      <c r="G57" s="2"/>
      <c r="H57" s="2"/>
    </row>
    <row r="58" spans="1:8" x14ac:dyDescent="0.3">
      <c r="A58" s="2"/>
      <c r="B58" s="2"/>
      <c r="C58" s="2"/>
      <c r="D58" s="2"/>
      <c r="E58" s="2"/>
      <c r="F58" s="2"/>
      <c r="G58" s="2"/>
      <c r="H58" s="2"/>
    </row>
    <row r="59" spans="1:8" x14ac:dyDescent="0.3">
      <c r="A59" s="2"/>
      <c r="B59" s="2"/>
      <c r="C59" s="2"/>
      <c r="D59" s="2"/>
      <c r="E59" s="2"/>
      <c r="F59" s="2"/>
      <c r="G59" s="2"/>
      <c r="H59" s="2"/>
    </row>
    <row r="60" spans="1:8" x14ac:dyDescent="0.3">
      <c r="A60" s="2"/>
      <c r="B60" s="2"/>
      <c r="C60" s="2"/>
      <c r="D60" s="2"/>
      <c r="E60" s="2"/>
      <c r="F60" s="2"/>
      <c r="G60" s="2"/>
      <c r="H60" s="2"/>
    </row>
    <row r="61" spans="1:8" x14ac:dyDescent="0.3">
      <c r="A61" s="2"/>
      <c r="B61" s="2"/>
      <c r="C61" s="2"/>
      <c r="D61" s="2"/>
      <c r="E61" s="2"/>
      <c r="F61" s="2"/>
      <c r="G61" s="2"/>
      <c r="H61" s="2"/>
    </row>
    <row r="62" spans="1:8" x14ac:dyDescent="0.3">
      <c r="A62" s="2"/>
      <c r="B62" s="2"/>
      <c r="C62" s="2"/>
      <c r="D62" s="2"/>
      <c r="E62" s="2"/>
      <c r="F62" s="2"/>
      <c r="G62" s="2"/>
      <c r="H62" s="2"/>
    </row>
    <row r="63" spans="1:8" x14ac:dyDescent="0.3">
      <c r="A63" s="2"/>
      <c r="B63" s="2"/>
      <c r="C63" s="2"/>
      <c r="D63" s="2"/>
      <c r="E63" s="2"/>
      <c r="F63" s="2"/>
      <c r="G63" s="2"/>
      <c r="H63" s="2"/>
    </row>
    <row r="64" spans="1:8" x14ac:dyDescent="0.3">
      <c r="A64" s="2"/>
      <c r="B64" s="2"/>
      <c r="C64" s="2"/>
      <c r="D64" s="2"/>
      <c r="E64" s="2"/>
      <c r="F64" s="2"/>
      <c r="G64" s="2"/>
      <c r="H64" s="2"/>
    </row>
    <row r="65" spans="1:8" x14ac:dyDescent="0.3">
      <c r="A65" s="2"/>
      <c r="B65" s="2"/>
      <c r="C65" s="2"/>
      <c r="D65" s="2"/>
      <c r="E65" s="2"/>
      <c r="F65" s="2"/>
      <c r="G65" s="2"/>
      <c r="H65" s="2"/>
    </row>
    <row r="66" spans="1:8" x14ac:dyDescent="0.3">
      <c r="A66" s="2"/>
      <c r="B66" s="2"/>
      <c r="C66" s="2"/>
      <c r="D66" s="2"/>
      <c r="E66" s="2"/>
      <c r="F66" s="2"/>
      <c r="G66" s="2"/>
      <c r="H66" s="2"/>
    </row>
    <row r="67" spans="1:8" x14ac:dyDescent="0.3">
      <c r="A67" s="2"/>
      <c r="B67" s="2"/>
      <c r="C67" s="2"/>
      <c r="D67" s="2"/>
      <c r="E67" s="2"/>
      <c r="F67" s="2"/>
      <c r="G67" s="2"/>
      <c r="H67" s="2"/>
    </row>
    <row r="68" spans="1:8" x14ac:dyDescent="0.3">
      <c r="A68" s="2"/>
      <c r="B68" s="2"/>
      <c r="C68" s="2"/>
      <c r="D68" s="2"/>
      <c r="E68" s="2"/>
      <c r="F68" s="2"/>
      <c r="G68" s="2"/>
      <c r="H68" s="2"/>
    </row>
    <row r="69" spans="1:8" x14ac:dyDescent="0.3">
      <c r="A69" s="2"/>
      <c r="B69" s="2"/>
      <c r="C69" s="2"/>
      <c r="D69" s="2"/>
      <c r="E69" s="2"/>
      <c r="F69" s="2"/>
      <c r="G69" s="2"/>
      <c r="H69" s="2"/>
    </row>
    <row r="70" spans="1:8" x14ac:dyDescent="0.3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4" workbookViewId="0">
      <selection activeCell="D26" sqref="D26"/>
    </sheetView>
  </sheetViews>
  <sheetFormatPr defaultRowHeight="14.4" x14ac:dyDescent="0.3"/>
  <cols>
    <col min="1" max="1" width="11.5546875" bestFit="1" customWidth="1"/>
    <col min="2" max="2" width="12" bestFit="1" customWidth="1"/>
    <col min="3" max="3" width="26.44140625" bestFit="1" customWidth="1"/>
    <col min="4" max="4" width="30.77734375" bestFit="1" customWidth="1"/>
    <col min="5" max="5" width="8.88671875" style="60"/>
    <col min="6" max="6" width="15.88671875" style="60" bestFit="1" customWidth="1"/>
    <col min="7" max="7" width="33.33203125" bestFit="1" customWidth="1"/>
    <col min="8" max="8" width="20.77734375" bestFit="1" customWidth="1"/>
  </cols>
  <sheetData>
    <row r="1" spans="1:8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3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3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3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3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3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3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3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3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3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3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3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3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3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3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3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3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3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3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3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3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3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3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3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3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3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3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3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3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3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3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3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3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3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3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3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3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3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3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3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3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3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3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3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3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9" zoomScaleNormal="100" workbookViewId="0">
      <selection activeCell="N36" sqref="N36"/>
    </sheetView>
  </sheetViews>
  <sheetFormatPr defaultRowHeight="14.4" x14ac:dyDescent="0.3"/>
  <cols>
    <col min="1" max="1" width="10.5546875" bestFit="1" customWidth="1"/>
    <col min="3" max="3" width="26.6640625" bestFit="1" customWidth="1"/>
    <col min="4" max="4" width="29.6640625" bestFit="1" customWidth="1"/>
    <col min="5" max="5" width="10" style="60" bestFit="1" customWidth="1"/>
    <col min="6" max="6" width="10" bestFit="1" customWidth="1"/>
    <col min="7" max="7" width="26.109375" bestFit="1" customWidth="1"/>
    <col min="8" max="8" width="13.5546875" bestFit="1" customWidth="1"/>
    <col min="10" max="10" width="10.21875" bestFit="1" customWidth="1"/>
    <col min="11" max="11" width="19.1093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3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3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3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3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3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3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3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3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3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3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3">
      <c r="A12" s="49">
        <v>45860</v>
      </c>
      <c r="B12" s="10">
        <v>4</v>
      </c>
      <c r="C12" s="10" t="s">
        <v>419</v>
      </c>
      <c r="D12" s="10" t="s">
        <v>424</v>
      </c>
      <c r="E12" s="96">
        <v>400</v>
      </c>
      <c r="F12" s="50">
        <v>400</v>
      </c>
      <c r="G12" s="10" t="s">
        <v>565</v>
      </c>
      <c r="H12" s="2"/>
    </row>
    <row r="13" spans="1:13" x14ac:dyDescent="0.3">
      <c r="A13" s="49">
        <v>45860</v>
      </c>
      <c r="B13" s="10">
        <v>4</v>
      </c>
      <c r="C13" s="10" t="s">
        <v>425</v>
      </c>
      <c r="D13" s="10" t="s">
        <v>424</v>
      </c>
      <c r="E13" s="96"/>
      <c r="F13" s="50">
        <f t="shared" si="0"/>
        <v>0</v>
      </c>
      <c r="G13" s="10" t="s">
        <v>565</v>
      </c>
      <c r="H13" s="2"/>
    </row>
    <row r="14" spans="1:13" x14ac:dyDescent="0.3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3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3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3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3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3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3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3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3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3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3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3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3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3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3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3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3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3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3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3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3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3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3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3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3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3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3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3">
      <c r="C42" s="2"/>
      <c r="D42" s="2"/>
    </row>
    <row r="43" spans="1:8" x14ac:dyDescent="0.3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5" workbookViewId="0">
      <selection activeCell="D40" sqref="D40"/>
    </sheetView>
  </sheetViews>
  <sheetFormatPr defaultRowHeight="14.4" x14ac:dyDescent="0.3"/>
  <cols>
    <col min="1" max="2" width="10.5546875" bestFit="1" customWidth="1"/>
    <col min="3" max="3" width="33" bestFit="1" customWidth="1"/>
    <col min="4" max="4" width="31.109375" bestFit="1" customWidth="1"/>
    <col min="5" max="5" width="7.5546875" customWidth="1"/>
    <col min="6" max="6" width="10" customWidth="1"/>
    <col min="7" max="7" width="34" bestFit="1" customWidth="1"/>
    <col min="8" max="8" width="10.5546875" customWidth="1"/>
    <col min="9" max="9" width="18.21875" bestFit="1" customWidth="1"/>
  </cols>
  <sheetData>
    <row r="1" spans="1:13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3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3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3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3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3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3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3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3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3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3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3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3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3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3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3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3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3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3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3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3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3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3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3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3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3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3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3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3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3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3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3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3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3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3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3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topLeftCell="A7" workbookViewId="0">
      <selection activeCell="L24" sqref="L24"/>
    </sheetView>
  </sheetViews>
  <sheetFormatPr defaultRowHeight="14.4" x14ac:dyDescent="0.3"/>
  <cols>
    <col min="1" max="1" width="10.5546875" bestFit="1" customWidth="1"/>
    <col min="2" max="2" width="8.44140625" bestFit="1" customWidth="1"/>
    <col min="3" max="3" width="32.77734375" bestFit="1" customWidth="1"/>
    <col min="4" max="4" width="29" bestFit="1" customWidth="1"/>
    <col min="5" max="5" width="9" bestFit="1" customWidth="1"/>
    <col min="6" max="6" width="10" bestFit="1" customWidth="1"/>
    <col min="7" max="7" width="19.109375" bestFit="1" customWidth="1"/>
    <col min="8" max="8" width="15.109375" bestFit="1" customWidth="1"/>
    <col min="9" max="9" width="17.55468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3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3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3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3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3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3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3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3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3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3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3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3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3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3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3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3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3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3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3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3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3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3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3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3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691</v>
      </c>
    </row>
    <row r="26" spans="1:9" x14ac:dyDescent="0.3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691</v>
      </c>
    </row>
    <row r="27" spans="1:9" x14ac:dyDescent="0.3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691</v>
      </c>
    </row>
    <row r="28" spans="1:9" x14ac:dyDescent="0.3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691</v>
      </c>
    </row>
    <row r="29" spans="1:9" x14ac:dyDescent="0.3">
      <c r="A29" s="68"/>
      <c r="B29" s="2"/>
      <c r="C29" s="2"/>
      <c r="D29" s="2"/>
      <c r="E29" s="65"/>
      <c r="F29" s="65"/>
      <c r="G29" s="2"/>
      <c r="H29" s="2"/>
      <c r="I29" s="2"/>
    </row>
  </sheetData>
  <autoFilter ref="A1:G24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Q86"/>
  <sheetViews>
    <sheetView tabSelected="1" topLeftCell="A52" workbookViewId="0">
      <selection activeCell="C87" sqref="C87"/>
    </sheetView>
  </sheetViews>
  <sheetFormatPr defaultRowHeight="14.4" x14ac:dyDescent="0.3"/>
  <cols>
    <col min="1" max="1" width="7" bestFit="1" customWidth="1"/>
    <col min="2" max="2" width="8.44140625" bestFit="1" customWidth="1"/>
    <col min="3" max="3" width="32.6640625" bestFit="1" customWidth="1"/>
    <col min="4" max="4" width="23.6640625" bestFit="1" customWidth="1"/>
    <col min="5" max="5" width="9" style="60" bestFit="1" customWidth="1"/>
    <col min="6" max="6" width="10" style="60" bestFit="1" customWidth="1"/>
    <col min="7" max="7" width="25" bestFit="1" customWidth="1"/>
    <col min="8" max="8" width="7.88671875" bestFit="1" customWidth="1"/>
    <col min="9" max="9" width="12.88671875" bestFit="1" customWidth="1"/>
    <col min="12" max="12" width="22.44140625" hidden="1" customWidth="1"/>
    <col min="13" max="13" width="12.77734375" hidden="1" customWidth="1"/>
    <col min="14" max="15" width="0" hidden="1" customWidth="1"/>
    <col min="16" max="16" width="27.109375" bestFit="1" customWidth="1"/>
    <col min="17" max="17" width="12.77734375" bestFit="1" customWidth="1"/>
  </cols>
  <sheetData>
    <row r="1" spans="1:17" x14ac:dyDescent="0.3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428</v>
      </c>
      <c r="Q1" s="79">
        <v>45982</v>
      </c>
    </row>
    <row r="2" spans="1:17" x14ac:dyDescent="0.3">
      <c r="A2" s="87">
        <v>45964</v>
      </c>
      <c r="B2" s="88">
        <v>10</v>
      </c>
      <c r="C2" s="88" t="s">
        <v>647</v>
      </c>
      <c r="D2" s="88" t="s">
        <v>335</v>
      </c>
      <c r="E2" s="89">
        <v>410</v>
      </c>
      <c r="F2" s="89">
        <f>E2*B2</f>
        <v>4100</v>
      </c>
      <c r="G2" s="88" t="s">
        <v>648</v>
      </c>
      <c r="H2" s="87">
        <v>45966</v>
      </c>
      <c r="I2" s="88"/>
      <c r="L2" s="76" t="s">
        <v>693</v>
      </c>
      <c r="M2" s="77">
        <v>45979</v>
      </c>
    </row>
    <row r="3" spans="1:17" x14ac:dyDescent="0.3">
      <c r="A3" s="87">
        <v>45964</v>
      </c>
      <c r="B3" s="88">
        <v>7</v>
      </c>
      <c r="C3" s="88" t="s">
        <v>727</v>
      </c>
      <c r="D3" s="88" t="s">
        <v>59</v>
      </c>
      <c r="E3" s="89">
        <v>150</v>
      </c>
      <c r="F3" s="89">
        <f>E3*B3</f>
        <v>1050</v>
      </c>
      <c r="G3" s="88" t="s">
        <v>648</v>
      </c>
      <c r="H3" s="87">
        <v>45966</v>
      </c>
      <c r="I3" s="88"/>
      <c r="L3" s="44"/>
      <c r="M3" s="44"/>
      <c r="P3" s="13" t="s">
        <v>78</v>
      </c>
      <c r="Q3" t="s">
        <v>81</v>
      </c>
    </row>
    <row r="4" spans="1:17" x14ac:dyDescent="0.3">
      <c r="A4" s="87">
        <v>45963</v>
      </c>
      <c r="B4" s="88">
        <v>4</v>
      </c>
      <c r="C4" s="88" t="s">
        <v>698</v>
      </c>
      <c r="D4" s="88" t="s">
        <v>30</v>
      </c>
      <c r="E4" s="89">
        <v>150</v>
      </c>
      <c r="F4" s="89">
        <f t="shared" ref="F4:F68" si="0">E4*B4</f>
        <v>600</v>
      </c>
      <c r="G4" s="88" t="s">
        <v>649</v>
      </c>
      <c r="H4" s="87">
        <v>45966</v>
      </c>
      <c r="I4" s="88"/>
      <c r="L4" s="44" t="s">
        <v>1</v>
      </c>
      <c r="M4" s="44" t="s">
        <v>81</v>
      </c>
      <c r="P4" s="14" t="s">
        <v>708</v>
      </c>
      <c r="Q4" s="80">
        <v>10</v>
      </c>
    </row>
    <row r="5" spans="1:17" x14ac:dyDescent="0.3">
      <c r="A5" s="87">
        <v>45963</v>
      </c>
      <c r="B5" s="88">
        <v>4</v>
      </c>
      <c r="C5" s="88" t="s">
        <v>727</v>
      </c>
      <c r="D5" s="88" t="s">
        <v>30</v>
      </c>
      <c r="E5" s="89">
        <v>150</v>
      </c>
      <c r="F5" s="89">
        <f t="shared" si="0"/>
        <v>600</v>
      </c>
      <c r="G5" s="88" t="s">
        <v>649</v>
      </c>
      <c r="H5" s="87">
        <v>45966</v>
      </c>
      <c r="I5" s="88"/>
      <c r="L5" s="2" t="s">
        <v>682</v>
      </c>
      <c r="M5" s="2">
        <v>10</v>
      </c>
      <c r="N5">
        <v>3300</v>
      </c>
      <c r="O5">
        <f>M5*N5</f>
        <v>33000</v>
      </c>
      <c r="P5" s="14" t="s">
        <v>707</v>
      </c>
      <c r="Q5" s="80">
        <v>5</v>
      </c>
    </row>
    <row r="6" spans="1:17" x14ac:dyDescent="0.3">
      <c r="A6" s="87">
        <v>45965</v>
      </c>
      <c r="B6" s="88">
        <v>20</v>
      </c>
      <c r="C6" s="88" t="s">
        <v>653</v>
      </c>
      <c r="D6" s="88" t="s">
        <v>349</v>
      </c>
      <c r="E6" s="89">
        <v>1063</v>
      </c>
      <c r="F6" s="89">
        <f t="shared" si="0"/>
        <v>21260</v>
      </c>
      <c r="G6" s="88" t="s">
        <v>657</v>
      </c>
      <c r="H6" s="87">
        <v>45966</v>
      </c>
      <c r="I6" s="88" t="s">
        <v>655</v>
      </c>
      <c r="L6" s="2" t="s">
        <v>681</v>
      </c>
      <c r="M6" s="2">
        <v>5</v>
      </c>
      <c r="N6">
        <v>2500</v>
      </c>
      <c r="O6">
        <f t="shared" ref="O6:O11" si="1">M6*N6</f>
        <v>12500</v>
      </c>
      <c r="P6" s="14" t="s">
        <v>731</v>
      </c>
      <c r="Q6" s="80">
        <v>9</v>
      </c>
    </row>
    <row r="7" spans="1:17" x14ac:dyDescent="0.3">
      <c r="A7" s="87">
        <v>45965</v>
      </c>
      <c r="B7" s="88">
        <v>12</v>
      </c>
      <c r="C7" s="88" t="s">
        <v>654</v>
      </c>
      <c r="D7" s="88" t="s">
        <v>118</v>
      </c>
      <c r="E7" s="89">
        <v>3375</v>
      </c>
      <c r="F7" s="89">
        <f t="shared" si="0"/>
        <v>40500</v>
      </c>
      <c r="G7" s="88" t="s">
        <v>657</v>
      </c>
      <c r="H7" s="87">
        <v>45966</v>
      </c>
      <c r="I7" s="88"/>
      <c r="L7" s="2" t="s">
        <v>692</v>
      </c>
      <c r="M7" s="2">
        <v>62</v>
      </c>
      <c r="N7">
        <v>410</v>
      </c>
      <c r="O7">
        <f t="shared" si="1"/>
        <v>25420</v>
      </c>
      <c r="P7" s="14" t="s">
        <v>706</v>
      </c>
      <c r="Q7" s="80">
        <v>14</v>
      </c>
    </row>
    <row r="8" spans="1:17" x14ac:dyDescent="0.3">
      <c r="A8" s="87">
        <v>45965</v>
      </c>
      <c r="B8" s="88">
        <v>2</v>
      </c>
      <c r="C8" s="88" t="s">
        <v>664</v>
      </c>
      <c r="D8" s="88" t="s">
        <v>118</v>
      </c>
      <c r="E8" s="89">
        <v>88</v>
      </c>
      <c r="F8" s="89">
        <f t="shared" si="0"/>
        <v>176</v>
      </c>
      <c r="G8" s="88" t="s">
        <v>657</v>
      </c>
      <c r="H8" s="87">
        <v>45966</v>
      </c>
      <c r="I8" s="88" t="s">
        <v>656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705</v>
      </c>
      <c r="Q8" s="80">
        <v>15</v>
      </c>
    </row>
    <row r="9" spans="1:17" x14ac:dyDescent="0.3">
      <c r="A9" s="87">
        <v>45966</v>
      </c>
      <c r="B9" s="88">
        <v>30</v>
      </c>
      <c r="C9" s="88" t="s">
        <v>692</v>
      </c>
      <c r="D9" s="88" t="s">
        <v>335</v>
      </c>
      <c r="E9" s="89">
        <v>410</v>
      </c>
      <c r="F9" s="89">
        <f t="shared" si="0"/>
        <v>12300</v>
      </c>
      <c r="G9" s="88" t="s">
        <v>680</v>
      </c>
      <c r="H9" s="87">
        <v>45979</v>
      </c>
      <c r="I9" s="88"/>
      <c r="L9" s="2" t="s">
        <v>673</v>
      </c>
      <c r="M9" s="2">
        <v>1</v>
      </c>
      <c r="N9">
        <v>1257</v>
      </c>
      <c r="O9">
        <f t="shared" si="1"/>
        <v>1257</v>
      </c>
      <c r="P9" s="14" t="s">
        <v>698</v>
      </c>
      <c r="Q9" s="80">
        <v>7</v>
      </c>
    </row>
    <row r="10" spans="1:17" x14ac:dyDescent="0.3">
      <c r="A10" s="87">
        <v>45969</v>
      </c>
      <c r="B10" s="88">
        <v>1</v>
      </c>
      <c r="C10" s="88" t="s">
        <v>665</v>
      </c>
      <c r="D10" s="88" t="s">
        <v>496</v>
      </c>
      <c r="E10" s="89">
        <v>450</v>
      </c>
      <c r="F10" s="89">
        <f t="shared" si="0"/>
        <v>450</v>
      </c>
      <c r="G10" s="88" t="s">
        <v>365</v>
      </c>
      <c r="H10" s="87">
        <v>45979</v>
      </c>
      <c r="I10" s="88"/>
      <c r="L10" s="2" t="s">
        <v>674</v>
      </c>
      <c r="M10" s="2">
        <v>7</v>
      </c>
      <c r="N10">
        <v>1357</v>
      </c>
      <c r="O10">
        <f t="shared" si="1"/>
        <v>9499</v>
      </c>
      <c r="P10" s="14" t="s">
        <v>688</v>
      </c>
      <c r="Q10" s="80">
        <v>4</v>
      </c>
    </row>
    <row r="11" spans="1:17" x14ac:dyDescent="0.3">
      <c r="A11" s="87">
        <v>45969</v>
      </c>
      <c r="B11" s="88">
        <v>1</v>
      </c>
      <c r="C11" s="88" t="s">
        <v>665</v>
      </c>
      <c r="D11" s="88" t="s">
        <v>492</v>
      </c>
      <c r="E11" s="89">
        <v>450</v>
      </c>
      <c r="F11" s="89">
        <f t="shared" si="0"/>
        <v>450</v>
      </c>
      <c r="G11" s="88" t="s">
        <v>365</v>
      </c>
      <c r="H11" s="87">
        <v>45979</v>
      </c>
      <c r="I11" s="88"/>
      <c r="L11" s="2" t="s">
        <v>665</v>
      </c>
      <c r="M11" s="2">
        <v>36</v>
      </c>
      <c r="N11">
        <v>449</v>
      </c>
      <c r="O11">
        <f t="shared" si="1"/>
        <v>16164</v>
      </c>
      <c r="P11" s="14" t="s">
        <v>699</v>
      </c>
      <c r="Q11" s="80">
        <v>2</v>
      </c>
    </row>
    <row r="12" spans="1:17" x14ac:dyDescent="0.3">
      <c r="A12" s="87">
        <v>45969</v>
      </c>
      <c r="B12" s="88">
        <v>4</v>
      </c>
      <c r="C12" s="88" t="s">
        <v>665</v>
      </c>
      <c r="D12" s="88" t="s">
        <v>493</v>
      </c>
      <c r="E12" s="89">
        <v>450</v>
      </c>
      <c r="F12" s="89">
        <f t="shared" si="0"/>
        <v>1800</v>
      </c>
      <c r="G12" s="88" t="s">
        <v>365</v>
      </c>
      <c r="H12" s="87">
        <v>45979</v>
      </c>
      <c r="I12" s="88"/>
      <c r="L12" s="2" t="s">
        <v>80</v>
      </c>
      <c r="M12" s="2">
        <v>128</v>
      </c>
      <c r="O12">
        <f>SUM(O5:O11)</f>
        <v>104840</v>
      </c>
      <c r="P12" s="14" t="s">
        <v>559</v>
      </c>
      <c r="Q12" s="80">
        <v>10</v>
      </c>
    </row>
    <row r="13" spans="1:17" x14ac:dyDescent="0.3">
      <c r="A13" s="87">
        <v>45969</v>
      </c>
      <c r="B13" s="88">
        <v>5</v>
      </c>
      <c r="C13" s="88" t="s">
        <v>665</v>
      </c>
      <c r="D13" s="88" t="s">
        <v>666</v>
      </c>
      <c r="E13" s="89">
        <v>450</v>
      </c>
      <c r="F13" s="89">
        <f t="shared" si="0"/>
        <v>2250</v>
      </c>
      <c r="G13" s="88" t="s">
        <v>365</v>
      </c>
      <c r="H13" s="87">
        <v>45979</v>
      </c>
      <c r="I13" s="88"/>
      <c r="P13" s="14" t="s">
        <v>697</v>
      </c>
      <c r="Q13" s="80">
        <v>6</v>
      </c>
    </row>
    <row r="14" spans="1:17" x14ac:dyDescent="0.3">
      <c r="A14" s="87">
        <v>45969</v>
      </c>
      <c r="B14" s="88">
        <v>11</v>
      </c>
      <c r="C14" s="88" t="s">
        <v>665</v>
      </c>
      <c r="D14" s="88" t="s">
        <v>494</v>
      </c>
      <c r="E14" s="89">
        <v>450</v>
      </c>
      <c r="F14" s="89">
        <f t="shared" si="0"/>
        <v>4950</v>
      </c>
      <c r="G14" s="88" t="s">
        <v>365</v>
      </c>
      <c r="H14" s="87">
        <v>45979</v>
      </c>
      <c r="I14" s="88"/>
      <c r="P14" s="14" t="s">
        <v>694</v>
      </c>
      <c r="Q14" s="80">
        <v>16</v>
      </c>
    </row>
    <row r="15" spans="1:17" x14ac:dyDescent="0.3">
      <c r="A15" s="87">
        <v>45970</v>
      </c>
      <c r="B15" s="88">
        <v>10</v>
      </c>
      <c r="C15" s="88" t="s">
        <v>665</v>
      </c>
      <c r="D15" s="88" t="s">
        <v>501</v>
      </c>
      <c r="E15" s="89">
        <v>450</v>
      </c>
      <c r="F15" s="89">
        <f t="shared" si="0"/>
        <v>4500</v>
      </c>
      <c r="G15" s="88" t="s">
        <v>365</v>
      </c>
      <c r="H15" s="87">
        <v>45979</v>
      </c>
      <c r="I15" s="88"/>
      <c r="P15" s="14" t="s">
        <v>714</v>
      </c>
      <c r="Q15" s="80">
        <v>1</v>
      </c>
    </row>
    <row r="16" spans="1:17" x14ac:dyDescent="0.3">
      <c r="A16" s="87">
        <v>45970</v>
      </c>
      <c r="B16" s="88">
        <v>1</v>
      </c>
      <c r="C16" s="88" t="s">
        <v>729</v>
      </c>
      <c r="D16" s="88" t="s">
        <v>120</v>
      </c>
      <c r="E16" s="89">
        <v>1358</v>
      </c>
      <c r="F16" s="89">
        <f t="shared" si="0"/>
        <v>1358</v>
      </c>
      <c r="G16" s="88" t="s">
        <v>365</v>
      </c>
      <c r="H16" s="87">
        <v>45979</v>
      </c>
      <c r="I16" s="88" t="s">
        <v>115</v>
      </c>
      <c r="P16" s="14" t="s">
        <v>665</v>
      </c>
      <c r="Q16" s="80">
        <v>38</v>
      </c>
    </row>
    <row r="17" spans="1:17" x14ac:dyDescent="0.3">
      <c r="A17" s="87">
        <v>45970</v>
      </c>
      <c r="B17" s="88">
        <v>2</v>
      </c>
      <c r="C17" s="88" t="s">
        <v>730</v>
      </c>
      <c r="D17" s="88" t="s">
        <v>675</v>
      </c>
      <c r="E17" s="89">
        <v>1403</v>
      </c>
      <c r="F17" s="89">
        <f t="shared" si="0"/>
        <v>2806</v>
      </c>
      <c r="G17" s="88" t="s">
        <v>365</v>
      </c>
      <c r="H17" s="87">
        <v>45979</v>
      </c>
      <c r="I17" s="88"/>
      <c r="P17" s="14" t="s">
        <v>727</v>
      </c>
      <c r="Q17" s="80">
        <v>9</v>
      </c>
    </row>
    <row r="18" spans="1:17" x14ac:dyDescent="0.3">
      <c r="A18" s="87">
        <v>45970</v>
      </c>
      <c r="B18" s="88">
        <v>1</v>
      </c>
      <c r="C18" s="88" t="s">
        <v>665</v>
      </c>
      <c r="D18" s="88" t="s">
        <v>675</v>
      </c>
      <c r="E18" s="89">
        <v>474</v>
      </c>
      <c r="F18" s="89">
        <f t="shared" si="0"/>
        <v>474</v>
      </c>
      <c r="G18" s="88" t="s">
        <v>365</v>
      </c>
      <c r="H18" s="87">
        <v>45979</v>
      </c>
      <c r="I18" s="88"/>
      <c r="P18" s="14" t="s">
        <v>728</v>
      </c>
      <c r="Q18" s="80">
        <v>6</v>
      </c>
    </row>
    <row r="19" spans="1:17" x14ac:dyDescent="0.3">
      <c r="A19" s="87">
        <v>45970</v>
      </c>
      <c r="B19" s="88">
        <v>1</v>
      </c>
      <c r="C19" s="88" t="s">
        <v>730</v>
      </c>
      <c r="D19" s="88" t="s">
        <v>19</v>
      </c>
      <c r="E19" s="89">
        <v>1403</v>
      </c>
      <c r="F19" s="89">
        <f t="shared" si="0"/>
        <v>1403</v>
      </c>
      <c r="G19" s="88" t="s">
        <v>8</v>
      </c>
      <c r="H19" s="87">
        <v>45979</v>
      </c>
      <c r="I19" s="88"/>
      <c r="P19" s="14" t="s">
        <v>729</v>
      </c>
      <c r="Q19" s="80">
        <v>3</v>
      </c>
    </row>
    <row r="20" spans="1:17" x14ac:dyDescent="0.3">
      <c r="A20" s="87">
        <v>45970</v>
      </c>
      <c r="B20" s="88">
        <v>1</v>
      </c>
      <c r="C20" s="88" t="s">
        <v>730</v>
      </c>
      <c r="D20" s="88" t="s">
        <v>19</v>
      </c>
      <c r="E20" s="89">
        <v>1403</v>
      </c>
      <c r="F20" s="89">
        <f t="shared" si="0"/>
        <v>1403</v>
      </c>
      <c r="G20" s="88" t="s">
        <v>684</v>
      </c>
      <c r="H20" s="87">
        <v>45979</v>
      </c>
      <c r="I20" s="88"/>
      <c r="P20" s="14" t="s">
        <v>730</v>
      </c>
      <c r="Q20" s="80">
        <v>3</v>
      </c>
    </row>
    <row r="21" spans="1:17" x14ac:dyDescent="0.3">
      <c r="A21" s="87">
        <v>45970</v>
      </c>
      <c r="B21" s="88">
        <v>2</v>
      </c>
      <c r="C21" s="88" t="s">
        <v>665</v>
      </c>
      <c r="D21" s="88" t="s">
        <v>496</v>
      </c>
      <c r="E21" s="89">
        <v>450</v>
      </c>
      <c r="F21" s="89">
        <f t="shared" si="0"/>
        <v>900</v>
      </c>
      <c r="G21" s="88" t="s">
        <v>8</v>
      </c>
      <c r="H21" s="87">
        <v>45979</v>
      </c>
      <c r="I21" s="88"/>
      <c r="P21" s="14" t="s">
        <v>80</v>
      </c>
      <c r="Q21" s="80">
        <v>158</v>
      </c>
    </row>
    <row r="22" spans="1:17" x14ac:dyDescent="0.3">
      <c r="A22" s="87">
        <v>45970</v>
      </c>
      <c r="B22" s="88">
        <v>1</v>
      </c>
      <c r="C22" s="88" t="s">
        <v>730</v>
      </c>
      <c r="D22" s="88" t="s">
        <v>676</v>
      </c>
      <c r="E22" s="89">
        <v>1403</v>
      </c>
      <c r="F22" s="89">
        <f t="shared" si="0"/>
        <v>1403</v>
      </c>
      <c r="G22" s="88" t="s">
        <v>8</v>
      </c>
      <c r="H22" s="87">
        <v>45979</v>
      </c>
      <c r="I22" s="88"/>
    </row>
    <row r="23" spans="1:17" x14ac:dyDescent="0.3">
      <c r="A23" s="87">
        <v>45970</v>
      </c>
      <c r="B23" s="88">
        <v>1</v>
      </c>
      <c r="C23" s="88" t="s">
        <v>730</v>
      </c>
      <c r="D23" s="88" t="s">
        <v>677</v>
      </c>
      <c r="E23" s="89">
        <v>1403</v>
      </c>
      <c r="F23" s="89">
        <f t="shared" si="0"/>
        <v>1403</v>
      </c>
      <c r="G23" s="88" t="s">
        <v>8</v>
      </c>
      <c r="H23" s="87">
        <v>45979</v>
      </c>
      <c r="I23" s="88"/>
    </row>
    <row r="24" spans="1:17" x14ac:dyDescent="0.3">
      <c r="A24" s="87">
        <v>45970</v>
      </c>
      <c r="B24" s="88">
        <v>1</v>
      </c>
      <c r="C24" s="88" t="s">
        <v>730</v>
      </c>
      <c r="D24" s="88" t="s">
        <v>677</v>
      </c>
      <c r="E24" s="89">
        <v>1403</v>
      </c>
      <c r="F24" s="89">
        <f t="shared" si="0"/>
        <v>1403</v>
      </c>
      <c r="G24" s="88" t="s">
        <v>8</v>
      </c>
      <c r="H24" s="87">
        <v>45979</v>
      </c>
      <c r="I24" s="88"/>
    </row>
    <row r="25" spans="1:17" x14ac:dyDescent="0.3">
      <c r="A25" s="87">
        <v>45970</v>
      </c>
      <c r="B25" s="88">
        <v>5</v>
      </c>
      <c r="C25" s="88" t="s">
        <v>665</v>
      </c>
      <c r="D25" s="88" t="s">
        <v>495</v>
      </c>
      <c r="E25" s="89">
        <v>450</v>
      </c>
      <c r="F25" s="89">
        <f t="shared" si="0"/>
        <v>2250</v>
      </c>
      <c r="G25" s="88" t="s">
        <v>8</v>
      </c>
      <c r="H25" s="87">
        <v>45982</v>
      </c>
      <c r="I25" s="88"/>
    </row>
    <row r="26" spans="1:17" x14ac:dyDescent="0.3">
      <c r="A26" s="87">
        <v>45970</v>
      </c>
      <c r="B26" s="88">
        <v>3</v>
      </c>
      <c r="C26" s="88" t="s">
        <v>729</v>
      </c>
      <c r="D26" s="88" t="s">
        <v>678</v>
      </c>
      <c r="E26" s="89">
        <v>1358</v>
      </c>
      <c r="F26" s="89">
        <f t="shared" si="0"/>
        <v>4074</v>
      </c>
      <c r="G26" s="88" t="s">
        <v>716</v>
      </c>
      <c r="H26" s="87">
        <v>45982</v>
      </c>
      <c r="I26" s="88" t="s">
        <v>115</v>
      </c>
    </row>
    <row r="27" spans="1:17" x14ac:dyDescent="0.3">
      <c r="A27" s="87">
        <v>45970</v>
      </c>
      <c r="B27" s="88">
        <v>3</v>
      </c>
      <c r="C27" s="88" t="s">
        <v>730</v>
      </c>
      <c r="D27" s="88" t="s">
        <v>678</v>
      </c>
      <c r="E27" s="89">
        <v>1477</v>
      </c>
      <c r="F27" s="89">
        <f t="shared" si="0"/>
        <v>4431</v>
      </c>
      <c r="G27" s="88" t="s">
        <v>716</v>
      </c>
      <c r="H27" s="87">
        <v>45982</v>
      </c>
      <c r="I27" s="88" t="s">
        <v>115</v>
      </c>
    </row>
    <row r="28" spans="1:17" x14ac:dyDescent="0.3">
      <c r="A28" s="87">
        <v>45970</v>
      </c>
      <c r="B28" s="88">
        <v>5</v>
      </c>
      <c r="C28" s="88" t="s">
        <v>692</v>
      </c>
      <c r="D28" s="88" t="s">
        <v>335</v>
      </c>
      <c r="E28" s="89">
        <v>410</v>
      </c>
      <c r="F28" s="89">
        <f t="shared" si="0"/>
        <v>2050</v>
      </c>
      <c r="G28" s="88" t="s">
        <v>690</v>
      </c>
      <c r="H28" s="87">
        <v>45979</v>
      </c>
      <c r="I28" s="88"/>
    </row>
    <row r="29" spans="1:17" x14ac:dyDescent="0.3">
      <c r="A29" s="87">
        <v>45972</v>
      </c>
      <c r="B29" s="88">
        <v>30</v>
      </c>
      <c r="C29" s="88" t="s">
        <v>692</v>
      </c>
      <c r="D29" s="88" t="s">
        <v>335</v>
      </c>
      <c r="E29" s="89">
        <v>410</v>
      </c>
      <c r="F29" s="89">
        <f t="shared" si="0"/>
        <v>12300</v>
      </c>
      <c r="G29" s="88" t="s">
        <v>683</v>
      </c>
      <c r="H29" s="87">
        <v>45979</v>
      </c>
      <c r="I29" s="88"/>
    </row>
    <row r="30" spans="1:17" x14ac:dyDescent="0.3">
      <c r="A30" s="87">
        <v>45972</v>
      </c>
      <c r="B30" s="88">
        <v>5</v>
      </c>
      <c r="C30" s="88" t="s">
        <v>645</v>
      </c>
      <c r="D30" s="88" t="s">
        <v>335</v>
      </c>
      <c r="E30" s="89">
        <v>1400</v>
      </c>
      <c r="F30" s="89">
        <f t="shared" si="0"/>
        <v>7000</v>
      </c>
      <c r="G30" s="88" t="s">
        <v>683</v>
      </c>
      <c r="H30" s="87">
        <v>45979</v>
      </c>
      <c r="I30" s="88"/>
    </row>
    <row r="31" spans="1:17" x14ac:dyDescent="0.3">
      <c r="A31" s="87">
        <v>45972</v>
      </c>
      <c r="B31" s="88">
        <v>5</v>
      </c>
      <c r="C31" s="88" t="s">
        <v>681</v>
      </c>
      <c r="D31" s="88" t="s">
        <v>335</v>
      </c>
      <c r="E31" s="89">
        <v>2500</v>
      </c>
      <c r="F31" s="89">
        <f t="shared" si="0"/>
        <v>12500</v>
      </c>
      <c r="G31" s="88" t="s">
        <v>683</v>
      </c>
      <c r="H31" s="87">
        <v>45979</v>
      </c>
      <c r="I31" s="88"/>
    </row>
    <row r="32" spans="1:17" x14ac:dyDescent="0.3">
      <c r="A32" s="87">
        <v>45972</v>
      </c>
      <c r="B32" s="88">
        <v>10</v>
      </c>
      <c r="C32" s="88" t="s">
        <v>682</v>
      </c>
      <c r="D32" s="88" t="s">
        <v>335</v>
      </c>
      <c r="E32" s="89">
        <v>3300</v>
      </c>
      <c r="F32" s="89">
        <f t="shared" si="0"/>
        <v>33000</v>
      </c>
      <c r="G32" s="88" t="s">
        <v>683</v>
      </c>
      <c r="H32" s="87">
        <v>45979</v>
      </c>
      <c r="I32" s="88"/>
    </row>
    <row r="33" spans="1:9" x14ac:dyDescent="0.3">
      <c r="A33" s="87">
        <v>45978</v>
      </c>
      <c r="B33" s="88">
        <v>9</v>
      </c>
      <c r="C33" s="88" t="s">
        <v>731</v>
      </c>
      <c r="D33" s="88" t="s">
        <v>678</v>
      </c>
      <c r="E33" s="89">
        <v>625</v>
      </c>
      <c r="F33" s="89">
        <f t="shared" si="0"/>
        <v>5625</v>
      </c>
      <c r="G33" s="88" t="s">
        <v>732</v>
      </c>
      <c r="H33" s="87">
        <v>45982</v>
      </c>
      <c r="I33" s="88" t="s">
        <v>115</v>
      </c>
    </row>
    <row r="34" spans="1:9" x14ac:dyDescent="0.3">
      <c r="A34" s="87">
        <v>45978</v>
      </c>
      <c r="B34" s="88">
        <v>1</v>
      </c>
      <c r="C34" s="88" t="s">
        <v>686</v>
      </c>
      <c r="D34" s="88" t="s">
        <v>685</v>
      </c>
      <c r="E34" s="89">
        <v>329</v>
      </c>
      <c r="F34" s="89">
        <f t="shared" si="0"/>
        <v>329</v>
      </c>
      <c r="G34" s="88"/>
      <c r="H34" s="88"/>
      <c r="I34" s="88"/>
    </row>
    <row r="35" spans="1:9" x14ac:dyDescent="0.3">
      <c r="A35" s="87">
        <v>45978</v>
      </c>
      <c r="B35" s="88">
        <v>1</v>
      </c>
      <c r="C35" s="88" t="s">
        <v>542</v>
      </c>
      <c r="D35" s="88" t="s">
        <v>687</v>
      </c>
      <c r="E35" s="89">
        <v>5000</v>
      </c>
      <c r="F35" s="89">
        <f t="shared" si="0"/>
        <v>5000</v>
      </c>
      <c r="G35" s="88"/>
      <c r="H35" s="88"/>
      <c r="I35" s="88"/>
    </row>
    <row r="36" spans="1:9" x14ac:dyDescent="0.3">
      <c r="A36" s="87">
        <v>45979</v>
      </c>
      <c r="B36" s="88">
        <v>2</v>
      </c>
      <c r="C36" s="88" t="s">
        <v>688</v>
      </c>
      <c r="D36" s="88" t="s">
        <v>101</v>
      </c>
      <c r="E36" s="89">
        <v>454</v>
      </c>
      <c r="F36" s="89">
        <f t="shared" si="0"/>
        <v>908</v>
      </c>
      <c r="G36" s="88" t="s">
        <v>701</v>
      </c>
      <c r="H36" s="87">
        <v>45982</v>
      </c>
      <c r="I36" s="88"/>
    </row>
    <row r="37" spans="1:9" x14ac:dyDescent="0.3">
      <c r="A37" s="87">
        <v>45979</v>
      </c>
      <c r="B37" s="88">
        <v>2</v>
      </c>
      <c r="C37" s="88" t="s">
        <v>688</v>
      </c>
      <c r="D37" s="88" t="s">
        <v>101</v>
      </c>
      <c r="E37" s="89">
        <v>454</v>
      </c>
      <c r="F37" s="89">
        <f t="shared" si="0"/>
        <v>908</v>
      </c>
      <c r="G37" s="88" t="s">
        <v>701</v>
      </c>
      <c r="H37" s="87">
        <v>45982</v>
      </c>
      <c r="I37" s="88"/>
    </row>
    <row r="38" spans="1:9" x14ac:dyDescent="0.3">
      <c r="A38" s="87">
        <v>45979</v>
      </c>
      <c r="B38" s="88">
        <v>2</v>
      </c>
      <c r="C38" s="88" t="s">
        <v>688</v>
      </c>
      <c r="D38" s="88" t="s">
        <v>689</v>
      </c>
      <c r="E38" s="89">
        <v>454</v>
      </c>
      <c r="F38" s="89">
        <f t="shared" si="0"/>
        <v>908</v>
      </c>
      <c r="G38" s="88" t="s">
        <v>723</v>
      </c>
      <c r="H38" s="88"/>
      <c r="I38" s="88"/>
    </row>
    <row r="39" spans="1:9" x14ac:dyDescent="0.3">
      <c r="A39" s="87">
        <v>45979</v>
      </c>
      <c r="B39" s="88">
        <v>2</v>
      </c>
      <c r="C39" s="88" t="s">
        <v>688</v>
      </c>
      <c r="D39" s="88" t="s">
        <v>689</v>
      </c>
      <c r="E39" s="89">
        <v>454</v>
      </c>
      <c r="F39" s="89">
        <f t="shared" si="0"/>
        <v>908</v>
      </c>
      <c r="G39" s="88" t="s">
        <v>723</v>
      </c>
      <c r="H39" s="88"/>
      <c r="I39" s="88"/>
    </row>
    <row r="40" spans="1:9" x14ac:dyDescent="0.3">
      <c r="A40" s="84">
        <v>45979</v>
      </c>
      <c r="B40" s="85">
        <v>2</v>
      </c>
      <c r="C40" s="85" t="s">
        <v>688</v>
      </c>
      <c r="D40" s="85" t="s">
        <v>689</v>
      </c>
      <c r="E40" s="86">
        <v>454</v>
      </c>
      <c r="F40" s="86">
        <f t="shared" si="0"/>
        <v>908</v>
      </c>
      <c r="G40" s="85" t="s">
        <v>62</v>
      </c>
      <c r="H40" s="85"/>
      <c r="I40" s="85"/>
    </row>
    <row r="41" spans="1:9" x14ac:dyDescent="0.3">
      <c r="A41" s="87">
        <v>45979</v>
      </c>
      <c r="B41" s="88">
        <v>3</v>
      </c>
      <c r="C41" s="88" t="s">
        <v>727</v>
      </c>
      <c r="D41" s="88" t="s">
        <v>689</v>
      </c>
      <c r="E41" s="89">
        <v>130</v>
      </c>
      <c r="F41" s="89">
        <f t="shared" si="0"/>
        <v>390</v>
      </c>
      <c r="G41" s="88" t="s">
        <v>8</v>
      </c>
      <c r="H41" s="87">
        <v>45982</v>
      </c>
      <c r="I41" s="88"/>
    </row>
    <row r="42" spans="1:9" x14ac:dyDescent="0.3">
      <c r="A42" s="87">
        <v>45980</v>
      </c>
      <c r="B42" s="88">
        <v>6</v>
      </c>
      <c r="C42" s="88" t="s">
        <v>727</v>
      </c>
      <c r="D42" s="88" t="s">
        <v>689</v>
      </c>
      <c r="E42" s="89">
        <v>130</v>
      </c>
      <c r="F42" s="89">
        <f t="shared" si="0"/>
        <v>780</v>
      </c>
      <c r="G42" s="88" t="s">
        <v>8</v>
      </c>
      <c r="H42" s="87">
        <v>45982</v>
      </c>
      <c r="I42" s="88"/>
    </row>
    <row r="43" spans="1:9" x14ac:dyDescent="0.3">
      <c r="A43" s="87">
        <v>45980</v>
      </c>
      <c r="B43" s="88">
        <v>10</v>
      </c>
      <c r="C43" s="88" t="s">
        <v>559</v>
      </c>
      <c r="D43" s="88" t="s">
        <v>689</v>
      </c>
      <c r="E43" s="89">
        <v>39</v>
      </c>
      <c r="F43" s="89">
        <f t="shared" si="0"/>
        <v>390</v>
      </c>
      <c r="G43" s="88" t="s">
        <v>8</v>
      </c>
      <c r="H43" s="87">
        <v>45982</v>
      </c>
      <c r="I43" s="88"/>
    </row>
    <row r="44" spans="1:9" x14ac:dyDescent="0.3">
      <c r="A44" s="87">
        <v>45980</v>
      </c>
      <c r="B44" s="88">
        <v>6</v>
      </c>
      <c r="C44" s="88" t="s">
        <v>697</v>
      </c>
      <c r="D44" s="88" t="s">
        <v>689</v>
      </c>
      <c r="E44" s="89">
        <v>779</v>
      </c>
      <c r="F44" s="89">
        <f t="shared" si="0"/>
        <v>4674</v>
      </c>
      <c r="G44" s="88" t="s">
        <v>8</v>
      </c>
      <c r="H44" s="87">
        <v>45982</v>
      </c>
      <c r="I44" s="88"/>
    </row>
    <row r="45" spans="1:9" x14ac:dyDescent="0.3">
      <c r="A45" s="87">
        <v>45980</v>
      </c>
      <c r="B45" s="88">
        <v>6</v>
      </c>
      <c r="C45" s="88" t="s">
        <v>694</v>
      </c>
      <c r="D45" s="88" t="s">
        <v>689</v>
      </c>
      <c r="E45" s="89">
        <v>594</v>
      </c>
      <c r="F45" s="89">
        <f t="shared" si="0"/>
        <v>3564</v>
      </c>
      <c r="G45" s="88" t="s">
        <v>8</v>
      </c>
      <c r="H45" s="87">
        <v>45982</v>
      </c>
      <c r="I45" s="88"/>
    </row>
    <row r="46" spans="1:9" x14ac:dyDescent="0.3">
      <c r="A46" s="87">
        <v>45980</v>
      </c>
      <c r="B46" s="88">
        <v>3</v>
      </c>
      <c r="C46" s="88" t="s">
        <v>694</v>
      </c>
      <c r="D46" s="88" t="s">
        <v>689</v>
      </c>
      <c r="E46" s="89">
        <v>594</v>
      </c>
      <c r="F46" s="89">
        <f t="shared" si="0"/>
        <v>1782</v>
      </c>
      <c r="G46" s="88" t="s">
        <v>695</v>
      </c>
      <c r="H46" s="87">
        <v>45982</v>
      </c>
      <c r="I46" s="88"/>
    </row>
    <row r="47" spans="1:9" x14ac:dyDescent="0.3">
      <c r="A47" s="84">
        <v>45980</v>
      </c>
      <c r="B47" s="85">
        <v>4</v>
      </c>
      <c r="C47" s="85" t="s">
        <v>688</v>
      </c>
      <c r="D47" s="85" t="s">
        <v>689</v>
      </c>
      <c r="E47" s="86">
        <v>454</v>
      </c>
      <c r="F47" s="86">
        <f t="shared" si="0"/>
        <v>1816</v>
      </c>
      <c r="G47" s="85" t="s">
        <v>62</v>
      </c>
      <c r="H47" s="85"/>
      <c r="I47" s="85"/>
    </row>
    <row r="48" spans="1:9" x14ac:dyDescent="0.3">
      <c r="A48" s="84">
        <v>45980</v>
      </c>
      <c r="B48" s="85">
        <v>10</v>
      </c>
      <c r="C48" s="85" t="s">
        <v>696</v>
      </c>
      <c r="D48" s="85" t="s">
        <v>335</v>
      </c>
      <c r="E48" s="86">
        <v>777</v>
      </c>
      <c r="F48" s="86">
        <f t="shared" si="0"/>
        <v>7770</v>
      </c>
      <c r="G48" s="85" t="s">
        <v>24</v>
      </c>
      <c r="H48" s="84"/>
      <c r="I48" s="85"/>
    </row>
    <row r="49" spans="1:9" x14ac:dyDescent="0.3">
      <c r="A49" s="84">
        <v>45980</v>
      </c>
      <c r="B49" s="85">
        <v>10</v>
      </c>
      <c r="C49" s="85" t="s">
        <v>645</v>
      </c>
      <c r="D49" s="85" t="s">
        <v>335</v>
      </c>
      <c r="E49" s="86">
        <v>1400</v>
      </c>
      <c r="F49" s="86">
        <f t="shared" si="0"/>
        <v>14000</v>
      </c>
      <c r="G49" s="85" t="s">
        <v>24</v>
      </c>
      <c r="H49" s="85"/>
      <c r="I49" s="85"/>
    </row>
    <row r="50" spans="1:9" x14ac:dyDescent="0.3">
      <c r="A50" s="87">
        <v>45980</v>
      </c>
      <c r="B50" s="88">
        <v>7</v>
      </c>
      <c r="C50" s="88" t="s">
        <v>694</v>
      </c>
      <c r="D50" s="88" t="s">
        <v>101</v>
      </c>
      <c r="E50" s="89">
        <v>559</v>
      </c>
      <c r="F50" s="89">
        <f t="shared" si="0"/>
        <v>3913</v>
      </c>
      <c r="G50" s="88" t="s">
        <v>8</v>
      </c>
      <c r="H50" s="87">
        <v>45982</v>
      </c>
      <c r="I50" s="88"/>
    </row>
    <row r="51" spans="1:9" x14ac:dyDescent="0.3">
      <c r="A51" s="87">
        <v>45980</v>
      </c>
      <c r="B51" s="88">
        <v>6</v>
      </c>
      <c r="C51" s="88" t="s">
        <v>728</v>
      </c>
      <c r="D51" s="88" t="s">
        <v>101</v>
      </c>
      <c r="E51" s="89">
        <v>779</v>
      </c>
      <c r="F51" s="89">
        <f t="shared" si="0"/>
        <v>4674</v>
      </c>
      <c r="G51" s="88" t="s">
        <v>8</v>
      </c>
      <c r="H51" s="87">
        <v>45982</v>
      </c>
      <c r="I51" s="88"/>
    </row>
    <row r="52" spans="1:9" x14ac:dyDescent="0.3">
      <c r="A52" s="87">
        <v>45980</v>
      </c>
      <c r="B52" s="88">
        <v>4</v>
      </c>
      <c r="C52" s="88" t="s">
        <v>698</v>
      </c>
      <c r="D52" s="88" t="s">
        <v>101</v>
      </c>
      <c r="E52" s="89">
        <v>125</v>
      </c>
      <c r="F52" s="89">
        <f t="shared" si="0"/>
        <v>500</v>
      </c>
      <c r="G52" s="88" t="s">
        <v>8</v>
      </c>
      <c r="H52" s="87">
        <v>45982</v>
      </c>
      <c r="I52" s="88"/>
    </row>
    <row r="53" spans="1:9" x14ac:dyDescent="0.3">
      <c r="A53" s="87">
        <v>45980</v>
      </c>
      <c r="B53" s="88">
        <v>1</v>
      </c>
      <c r="C53" s="88" t="s">
        <v>699</v>
      </c>
      <c r="D53" s="88" t="s">
        <v>704</v>
      </c>
      <c r="E53" s="89">
        <v>699</v>
      </c>
      <c r="F53" s="89">
        <f t="shared" si="0"/>
        <v>699</v>
      </c>
      <c r="G53" s="88" t="s">
        <v>700</v>
      </c>
      <c r="H53" s="87">
        <v>45982</v>
      </c>
      <c r="I53" s="88"/>
    </row>
    <row r="54" spans="1:9" x14ac:dyDescent="0.3">
      <c r="A54" s="84">
        <v>45980</v>
      </c>
      <c r="B54" s="85">
        <v>15</v>
      </c>
      <c r="C54" s="85" t="s">
        <v>698</v>
      </c>
      <c r="D54" s="85" t="s">
        <v>30</v>
      </c>
      <c r="E54" s="86">
        <v>125</v>
      </c>
      <c r="F54" s="86">
        <f t="shared" si="0"/>
        <v>1875</v>
      </c>
      <c r="G54" s="85" t="s">
        <v>24</v>
      </c>
      <c r="H54" s="85"/>
      <c r="I54" s="85"/>
    </row>
    <row r="55" spans="1:9" x14ac:dyDescent="0.3">
      <c r="A55" s="84">
        <v>45981</v>
      </c>
      <c r="B55" s="85">
        <v>12</v>
      </c>
      <c r="C55" s="85" t="s">
        <v>698</v>
      </c>
      <c r="D55" s="85" t="s">
        <v>702</v>
      </c>
      <c r="E55" s="86">
        <v>125</v>
      </c>
      <c r="F55" s="86">
        <f t="shared" si="0"/>
        <v>1500</v>
      </c>
      <c r="G55" s="85" t="s">
        <v>24</v>
      </c>
      <c r="H55" s="85"/>
      <c r="I55" s="85"/>
    </row>
    <row r="56" spans="1:9" x14ac:dyDescent="0.3">
      <c r="A56" s="84">
        <v>45981</v>
      </c>
      <c r="B56" s="85">
        <v>23</v>
      </c>
      <c r="C56" s="85" t="s">
        <v>698</v>
      </c>
      <c r="D56" s="85" t="s">
        <v>703</v>
      </c>
      <c r="E56" s="86">
        <v>125</v>
      </c>
      <c r="F56" s="86">
        <f t="shared" si="0"/>
        <v>2875</v>
      </c>
      <c r="G56" s="85" t="s">
        <v>24</v>
      </c>
      <c r="H56" s="85"/>
      <c r="I56" s="85"/>
    </row>
    <row r="57" spans="1:9" x14ac:dyDescent="0.3">
      <c r="A57" s="87">
        <v>45981</v>
      </c>
      <c r="B57" s="88">
        <v>1</v>
      </c>
      <c r="C57" s="88" t="s">
        <v>699</v>
      </c>
      <c r="D57" s="88" t="s">
        <v>704</v>
      </c>
      <c r="E57" s="89">
        <v>699</v>
      </c>
      <c r="F57" s="89">
        <f t="shared" si="0"/>
        <v>699</v>
      </c>
      <c r="G57" s="88" t="s">
        <v>700</v>
      </c>
      <c r="H57" s="87">
        <v>45982</v>
      </c>
      <c r="I57" s="88"/>
    </row>
    <row r="58" spans="1:9" x14ac:dyDescent="0.3">
      <c r="A58" s="87">
        <v>45981</v>
      </c>
      <c r="B58" s="88">
        <v>2</v>
      </c>
      <c r="C58" s="88" t="s">
        <v>705</v>
      </c>
      <c r="D58" s="88" t="s">
        <v>364</v>
      </c>
      <c r="E58" s="89">
        <v>2100</v>
      </c>
      <c r="F58" s="89">
        <f t="shared" si="0"/>
        <v>4200</v>
      </c>
      <c r="G58" s="88" t="s">
        <v>8</v>
      </c>
      <c r="H58" s="87">
        <v>45982</v>
      </c>
      <c r="I58" s="88"/>
    </row>
    <row r="59" spans="1:9" x14ac:dyDescent="0.3">
      <c r="A59" s="87">
        <v>45981</v>
      </c>
      <c r="B59" s="88">
        <v>3</v>
      </c>
      <c r="C59" s="88" t="s">
        <v>706</v>
      </c>
      <c r="D59" s="88" t="s">
        <v>364</v>
      </c>
      <c r="E59" s="89">
        <v>2100</v>
      </c>
      <c r="F59" s="89">
        <f t="shared" si="0"/>
        <v>6300</v>
      </c>
      <c r="G59" s="88" t="s">
        <v>8</v>
      </c>
      <c r="H59" s="87">
        <v>45982</v>
      </c>
      <c r="I59" s="88"/>
    </row>
    <row r="60" spans="1:9" x14ac:dyDescent="0.3">
      <c r="A60" s="87">
        <v>45981</v>
      </c>
      <c r="B60" s="88">
        <v>2</v>
      </c>
      <c r="C60" s="88" t="s">
        <v>706</v>
      </c>
      <c r="D60" s="88" t="s">
        <v>318</v>
      </c>
      <c r="E60" s="89">
        <v>2100</v>
      </c>
      <c r="F60" s="89">
        <f t="shared" si="0"/>
        <v>4200</v>
      </c>
      <c r="G60" s="88" t="s">
        <v>710</v>
      </c>
      <c r="H60" s="87">
        <v>45982</v>
      </c>
      <c r="I60" s="88"/>
    </row>
    <row r="61" spans="1:9" x14ac:dyDescent="0.3">
      <c r="A61" s="87">
        <v>45981</v>
      </c>
      <c r="B61" s="88">
        <v>5</v>
      </c>
      <c r="C61" s="88" t="s">
        <v>707</v>
      </c>
      <c r="D61" s="88" t="s">
        <v>364</v>
      </c>
      <c r="E61" s="89">
        <v>574</v>
      </c>
      <c r="F61" s="89">
        <f t="shared" si="0"/>
        <v>2870</v>
      </c>
      <c r="G61" s="88" t="s">
        <v>8</v>
      </c>
      <c r="H61" s="87">
        <v>45982</v>
      </c>
      <c r="I61" s="88"/>
    </row>
    <row r="62" spans="1:9" x14ac:dyDescent="0.3">
      <c r="A62" s="87">
        <v>45981</v>
      </c>
      <c r="B62" s="88">
        <v>10</v>
      </c>
      <c r="C62" s="88" t="s">
        <v>708</v>
      </c>
      <c r="D62" s="88" t="s">
        <v>364</v>
      </c>
      <c r="E62" s="89">
        <v>103</v>
      </c>
      <c r="F62" s="89">
        <f t="shared" si="0"/>
        <v>1030</v>
      </c>
      <c r="G62" s="88" t="s">
        <v>8</v>
      </c>
      <c r="H62" s="87">
        <v>45982</v>
      </c>
      <c r="I62" s="88"/>
    </row>
    <row r="63" spans="1:9" x14ac:dyDescent="0.3">
      <c r="A63" s="87">
        <v>45981</v>
      </c>
      <c r="B63" s="88">
        <v>3</v>
      </c>
      <c r="C63" s="88" t="s">
        <v>698</v>
      </c>
      <c r="D63" s="88" t="s">
        <v>364</v>
      </c>
      <c r="E63" s="89">
        <v>125</v>
      </c>
      <c r="F63" s="89">
        <f t="shared" si="0"/>
        <v>375</v>
      </c>
      <c r="G63" s="88" t="s">
        <v>8</v>
      </c>
      <c r="H63" s="87">
        <v>45982</v>
      </c>
      <c r="I63" s="88"/>
    </row>
    <row r="64" spans="1:9" x14ac:dyDescent="0.3">
      <c r="A64" s="87">
        <v>45981</v>
      </c>
      <c r="B64" s="88">
        <v>3</v>
      </c>
      <c r="C64" s="88" t="s">
        <v>705</v>
      </c>
      <c r="D64" s="88" t="s">
        <v>364</v>
      </c>
      <c r="E64" s="89">
        <v>2100</v>
      </c>
      <c r="F64" s="89">
        <f t="shared" si="0"/>
        <v>6300</v>
      </c>
      <c r="G64" s="88" t="s">
        <v>8</v>
      </c>
      <c r="H64" s="87">
        <v>45982</v>
      </c>
      <c r="I64" s="88"/>
    </row>
    <row r="65" spans="1:9" x14ac:dyDescent="0.3">
      <c r="A65" s="87">
        <v>45981</v>
      </c>
      <c r="B65" s="88">
        <v>3</v>
      </c>
      <c r="C65" s="88" t="s">
        <v>706</v>
      </c>
      <c r="D65" s="88" t="s">
        <v>364</v>
      </c>
      <c r="E65" s="89">
        <v>2100</v>
      </c>
      <c r="F65" s="89">
        <f t="shared" si="0"/>
        <v>6300</v>
      </c>
      <c r="G65" s="88" t="s">
        <v>8</v>
      </c>
      <c r="H65" s="87">
        <v>45982</v>
      </c>
      <c r="I65" s="88"/>
    </row>
    <row r="66" spans="1:9" x14ac:dyDescent="0.3">
      <c r="A66" s="87">
        <v>45981</v>
      </c>
      <c r="B66" s="88">
        <v>12</v>
      </c>
      <c r="C66" s="88" t="s">
        <v>665</v>
      </c>
      <c r="D66" s="88" t="s">
        <v>709</v>
      </c>
      <c r="E66" s="89">
        <v>449</v>
      </c>
      <c r="F66" s="89">
        <f t="shared" si="0"/>
        <v>5388</v>
      </c>
      <c r="G66" s="88" t="s">
        <v>8</v>
      </c>
      <c r="H66" s="87">
        <v>45982</v>
      </c>
      <c r="I66" s="88"/>
    </row>
    <row r="67" spans="1:9" x14ac:dyDescent="0.3">
      <c r="A67" s="87">
        <v>45982</v>
      </c>
      <c r="B67" s="88">
        <v>4</v>
      </c>
      <c r="C67" s="88" t="s">
        <v>705</v>
      </c>
      <c r="D67" s="88" t="s">
        <v>364</v>
      </c>
      <c r="E67" s="89">
        <v>2100</v>
      </c>
      <c r="F67" s="89">
        <f t="shared" si="0"/>
        <v>8400</v>
      </c>
      <c r="G67" s="88" t="s">
        <v>8</v>
      </c>
      <c r="H67" s="87">
        <v>45982</v>
      </c>
      <c r="I67" s="88"/>
    </row>
    <row r="68" spans="1:9" x14ac:dyDescent="0.3">
      <c r="A68" s="87">
        <v>45982</v>
      </c>
      <c r="B68" s="88">
        <v>6</v>
      </c>
      <c r="C68" s="88" t="s">
        <v>705</v>
      </c>
      <c r="D68" s="88" t="s">
        <v>711</v>
      </c>
      <c r="E68" s="89">
        <v>2100</v>
      </c>
      <c r="F68" s="89">
        <f t="shared" si="0"/>
        <v>12600</v>
      </c>
      <c r="G68" s="88" t="s">
        <v>8</v>
      </c>
      <c r="H68" s="87">
        <v>45982</v>
      </c>
      <c r="I68" s="88"/>
    </row>
    <row r="69" spans="1:9" x14ac:dyDescent="0.3">
      <c r="A69" s="87">
        <v>45982</v>
      </c>
      <c r="B69" s="88">
        <v>6</v>
      </c>
      <c r="C69" s="88" t="s">
        <v>706</v>
      </c>
      <c r="D69" s="88" t="s">
        <v>711</v>
      </c>
      <c r="E69" s="89">
        <v>2100</v>
      </c>
      <c r="F69" s="89">
        <f t="shared" ref="F69:F82" si="2">E69*B69</f>
        <v>12600</v>
      </c>
      <c r="G69" s="88" t="s">
        <v>8</v>
      </c>
      <c r="H69" s="87">
        <v>45982</v>
      </c>
      <c r="I69" s="88"/>
    </row>
    <row r="70" spans="1:9" x14ac:dyDescent="0.3">
      <c r="A70" s="81">
        <v>45982</v>
      </c>
      <c r="B70" s="82">
        <v>21</v>
      </c>
      <c r="C70" s="82" t="s">
        <v>665</v>
      </c>
      <c r="D70" s="82" t="s">
        <v>687</v>
      </c>
      <c r="E70" s="83" t="s">
        <v>724</v>
      </c>
      <c r="F70" s="83">
        <v>0</v>
      </c>
      <c r="G70" s="82" t="s">
        <v>8</v>
      </c>
      <c r="H70" s="81">
        <v>45982</v>
      </c>
      <c r="I70" s="82"/>
    </row>
    <row r="71" spans="1:9" x14ac:dyDescent="0.3">
      <c r="A71" s="87">
        <v>45982</v>
      </c>
      <c r="B71" s="88">
        <v>20</v>
      </c>
      <c r="C71" s="88" t="s">
        <v>665</v>
      </c>
      <c r="D71" s="88" t="s">
        <v>490</v>
      </c>
      <c r="E71" s="89">
        <v>399</v>
      </c>
      <c r="F71" s="89">
        <f t="shared" si="2"/>
        <v>7980</v>
      </c>
      <c r="G71" s="88" t="s">
        <v>8</v>
      </c>
      <c r="H71" s="88"/>
      <c r="I71" s="88"/>
    </row>
    <row r="72" spans="1:9" x14ac:dyDescent="0.3">
      <c r="A72" s="87">
        <v>45982</v>
      </c>
      <c r="B72" s="88">
        <v>9</v>
      </c>
      <c r="C72" s="88" t="s">
        <v>665</v>
      </c>
      <c r="D72" s="88" t="s">
        <v>494</v>
      </c>
      <c r="E72" s="89">
        <v>399</v>
      </c>
      <c r="F72" s="89">
        <f t="shared" si="2"/>
        <v>3591</v>
      </c>
      <c r="G72" s="88" t="s">
        <v>8</v>
      </c>
      <c r="H72" s="88"/>
      <c r="I72" s="88"/>
    </row>
    <row r="73" spans="1:9" x14ac:dyDescent="0.3">
      <c r="A73" s="84">
        <v>45982</v>
      </c>
      <c r="B73" s="85">
        <v>3</v>
      </c>
      <c r="C73" s="85" t="s">
        <v>712</v>
      </c>
      <c r="D73" s="85" t="s">
        <v>713</v>
      </c>
      <c r="E73" s="86">
        <v>609.95000000000005</v>
      </c>
      <c r="F73" s="86">
        <f t="shared" si="2"/>
        <v>1829.8500000000001</v>
      </c>
      <c r="G73" s="85" t="s">
        <v>62</v>
      </c>
      <c r="H73" s="85"/>
      <c r="I73" s="85"/>
    </row>
    <row r="74" spans="1:9" x14ac:dyDescent="0.3">
      <c r="A74" s="84">
        <v>45982</v>
      </c>
      <c r="B74" s="85">
        <v>1</v>
      </c>
      <c r="C74" s="85" t="s">
        <v>712</v>
      </c>
      <c r="D74" s="85" t="s">
        <v>713</v>
      </c>
      <c r="E74" s="86">
        <v>598</v>
      </c>
      <c r="F74" s="86">
        <f t="shared" si="2"/>
        <v>598</v>
      </c>
      <c r="G74" s="85" t="s">
        <v>231</v>
      </c>
      <c r="H74" s="85"/>
      <c r="I74" s="85"/>
    </row>
    <row r="75" spans="1:9" x14ac:dyDescent="0.3">
      <c r="A75" s="87">
        <v>45982</v>
      </c>
      <c r="B75" s="88">
        <v>1</v>
      </c>
      <c r="C75" s="88" t="s">
        <v>714</v>
      </c>
      <c r="D75" s="88" t="s">
        <v>715</v>
      </c>
      <c r="E75" s="89">
        <v>598</v>
      </c>
      <c r="F75" s="89">
        <f t="shared" si="2"/>
        <v>598</v>
      </c>
      <c r="G75" s="88" t="s">
        <v>716</v>
      </c>
      <c r="H75" s="87">
        <v>45982</v>
      </c>
      <c r="I75" s="88"/>
    </row>
    <row r="76" spans="1:9" x14ac:dyDescent="0.3">
      <c r="A76" s="84">
        <v>45982</v>
      </c>
      <c r="B76" s="85">
        <v>5</v>
      </c>
      <c r="C76" s="85" t="s">
        <v>717</v>
      </c>
      <c r="D76" s="85" t="s">
        <v>87</v>
      </c>
      <c r="E76" s="86">
        <v>509</v>
      </c>
      <c r="F76" s="86">
        <f t="shared" si="2"/>
        <v>2545</v>
      </c>
      <c r="G76" s="85" t="s">
        <v>719</v>
      </c>
      <c r="H76" s="85"/>
      <c r="I76" s="85"/>
    </row>
    <row r="77" spans="1:9" x14ac:dyDescent="0.3">
      <c r="A77" s="84">
        <v>45982</v>
      </c>
      <c r="B77" s="85">
        <v>6</v>
      </c>
      <c r="C77" s="85" t="s">
        <v>718</v>
      </c>
      <c r="D77" s="85" t="s">
        <v>87</v>
      </c>
      <c r="E77" s="86">
        <v>659</v>
      </c>
      <c r="F77" s="86">
        <f t="shared" si="2"/>
        <v>3954</v>
      </c>
      <c r="G77" s="85" t="s">
        <v>719</v>
      </c>
      <c r="H77" s="85"/>
      <c r="I77" s="85"/>
    </row>
    <row r="78" spans="1:9" x14ac:dyDescent="0.3">
      <c r="A78" s="87">
        <v>45982</v>
      </c>
      <c r="B78" s="88">
        <v>3</v>
      </c>
      <c r="C78" s="88" t="s">
        <v>718</v>
      </c>
      <c r="D78" s="88" t="s">
        <v>87</v>
      </c>
      <c r="E78" s="89">
        <v>659</v>
      </c>
      <c r="F78" s="89">
        <f t="shared" si="2"/>
        <v>1977</v>
      </c>
      <c r="G78" s="88" t="s">
        <v>720</v>
      </c>
      <c r="H78" s="88"/>
      <c r="I78" s="88"/>
    </row>
    <row r="79" spans="1:9" x14ac:dyDescent="0.3">
      <c r="A79" s="87">
        <v>45982</v>
      </c>
      <c r="B79" s="88">
        <v>7</v>
      </c>
      <c r="C79" s="88" t="s">
        <v>717</v>
      </c>
      <c r="D79" s="88" t="s">
        <v>87</v>
      </c>
      <c r="E79" s="89">
        <v>509</v>
      </c>
      <c r="F79" s="89">
        <f t="shared" si="2"/>
        <v>3563</v>
      </c>
      <c r="G79" s="88" t="s">
        <v>720</v>
      </c>
      <c r="H79" s="88"/>
      <c r="I79" s="88"/>
    </row>
    <row r="80" spans="1:9" x14ac:dyDescent="0.3">
      <c r="A80" s="87">
        <v>45982</v>
      </c>
      <c r="B80" s="88">
        <v>5</v>
      </c>
      <c r="C80" s="88" t="s">
        <v>725</v>
      </c>
      <c r="D80" s="88" t="s">
        <v>87</v>
      </c>
      <c r="E80" s="89">
        <v>659</v>
      </c>
      <c r="F80" s="89">
        <f t="shared" si="2"/>
        <v>3295</v>
      </c>
      <c r="G80" s="88" t="s">
        <v>721</v>
      </c>
      <c r="H80" s="88"/>
      <c r="I80" s="88"/>
    </row>
    <row r="81" spans="1:9" x14ac:dyDescent="0.3">
      <c r="A81" s="87">
        <v>45982</v>
      </c>
      <c r="B81" s="88">
        <v>9</v>
      </c>
      <c r="C81" s="88" t="s">
        <v>726</v>
      </c>
      <c r="D81" s="88" t="s">
        <v>87</v>
      </c>
      <c r="E81" s="89">
        <v>509</v>
      </c>
      <c r="F81" s="89">
        <f t="shared" si="2"/>
        <v>4581</v>
      </c>
      <c r="G81" s="88" t="s">
        <v>721</v>
      </c>
      <c r="H81" s="88"/>
      <c r="I81" s="88"/>
    </row>
    <row r="82" spans="1:9" x14ac:dyDescent="0.3">
      <c r="A82" s="87">
        <v>45982</v>
      </c>
      <c r="B82" s="88">
        <v>8</v>
      </c>
      <c r="C82" s="88" t="s">
        <v>726</v>
      </c>
      <c r="D82" s="88" t="s">
        <v>87</v>
      </c>
      <c r="E82" s="89">
        <v>509</v>
      </c>
      <c r="F82" s="89">
        <f t="shared" si="2"/>
        <v>4072</v>
      </c>
      <c r="G82" s="88" t="s">
        <v>722</v>
      </c>
      <c r="H82" s="88"/>
      <c r="I82" s="88"/>
    </row>
    <row r="83" spans="1:9" x14ac:dyDescent="0.3">
      <c r="A83" s="78"/>
    </row>
    <row r="84" spans="1:9" x14ac:dyDescent="0.3">
      <c r="A84" s="78"/>
    </row>
    <row r="85" spans="1:9" x14ac:dyDescent="0.3">
      <c r="A85" s="78"/>
    </row>
    <row r="86" spans="1:9" x14ac:dyDescent="0.3">
      <c r="A86" s="78"/>
    </row>
  </sheetData>
  <autoFilter ref="A1:I82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J18" sqref="J18"/>
    </sheetView>
  </sheetViews>
  <sheetFormatPr defaultRowHeight="14.4" x14ac:dyDescent="0.3"/>
  <cols>
    <col min="1" max="1" width="6.5546875" bestFit="1" customWidth="1"/>
    <col min="2" max="2" width="4" bestFit="1" customWidth="1"/>
    <col min="3" max="3" width="15.88671875" bestFit="1" customWidth="1"/>
    <col min="4" max="4" width="15.77734375" bestFit="1" customWidth="1"/>
    <col min="5" max="5" width="6.44140625" bestFit="1" customWidth="1"/>
    <col min="6" max="6" width="7.44140625" bestFit="1" customWidth="1"/>
    <col min="7" max="7" width="14.44140625" bestFit="1" customWidth="1"/>
    <col min="8" max="8" width="15" bestFit="1" customWidth="1"/>
    <col min="9" max="9" width="12.109375" bestFit="1" customWidth="1"/>
    <col min="12" max="12" width="15.88671875" bestFit="1" customWidth="1"/>
    <col min="13" max="13" width="10.44140625" bestFit="1" customWidth="1"/>
    <col min="15" max="15" width="12.5546875" bestFit="1" customWidth="1"/>
    <col min="16" max="16" width="10.44140625" bestFit="1" customWidth="1"/>
    <col min="18" max="18" width="15.77734375" bestFit="1" customWidth="1"/>
    <col min="19" max="19" width="10.44140625" bestFit="1" customWidth="1"/>
  </cols>
  <sheetData>
    <row r="1" spans="1:23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3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3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3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3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3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3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3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3">
      <c r="A9" s="2"/>
      <c r="B9" s="2"/>
      <c r="C9" s="2"/>
      <c r="D9" s="2"/>
      <c r="E9" s="2"/>
      <c r="F9" s="2"/>
      <c r="G9" s="2"/>
      <c r="H9" s="2"/>
      <c r="I9" s="2"/>
    </row>
    <row r="10" spans="1:23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3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3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9"/>
  <sheetViews>
    <sheetView workbookViewId="0">
      <selection activeCell="G15" sqref="G15"/>
    </sheetView>
  </sheetViews>
  <sheetFormatPr defaultRowHeight="14.4" x14ac:dyDescent="0.3"/>
  <cols>
    <col min="1" max="1" width="9.5546875" bestFit="1" customWidth="1"/>
    <col min="2" max="2" width="4" bestFit="1" customWidth="1"/>
    <col min="3" max="4" width="17" bestFit="1" customWidth="1"/>
    <col min="7" max="7" width="14.44140625" bestFit="1" customWidth="1"/>
    <col min="8" max="8" width="15" bestFit="1" customWidth="1"/>
    <col min="9" max="9" width="12.109375" bestFit="1" customWidth="1"/>
  </cols>
  <sheetData>
    <row r="1" spans="1:9" x14ac:dyDescent="0.3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3">
      <c r="A2" s="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3">
      <c r="A3" s="8">
        <v>45964</v>
      </c>
      <c r="B3" s="2">
        <v>2</v>
      </c>
      <c r="C3" s="2" t="s">
        <v>580</v>
      </c>
      <c r="D3" s="2" t="s">
        <v>460</v>
      </c>
      <c r="E3" s="3">
        <v>1450</v>
      </c>
      <c r="F3" s="3">
        <f t="shared" ref="F3:F7" si="0">B3*E3</f>
        <v>2900</v>
      </c>
      <c r="G3" s="2" t="s">
        <v>348</v>
      </c>
      <c r="H3" s="2" t="s">
        <v>464</v>
      </c>
      <c r="I3" s="2"/>
    </row>
    <row r="4" spans="1:9" x14ac:dyDescent="0.3">
      <c r="A4" s="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3">
      <c r="A5" s="8">
        <v>45964</v>
      </c>
      <c r="B5" s="2">
        <v>4</v>
      </c>
      <c r="C5" s="2" t="s">
        <v>679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3">
      <c r="A6" s="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3">
      <c r="A7" s="68">
        <v>45968</v>
      </c>
      <c r="B7" s="2">
        <v>60</v>
      </c>
      <c r="C7" s="2" t="s">
        <v>667</v>
      </c>
      <c r="D7" s="2" t="s">
        <v>668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3">
      <c r="A8" s="2"/>
      <c r="B8" s="2"/>
      <c r="C8" s="2"/>
      <c r="D8" s="2"/>
      <c r="E8" s="2"/>
      <c r="F8" s="2"/>
      <c r="G8" s="2"/>
      <c r="H8" s="2"/>
      <c r="I8" s="2"/>
    </row>
    <row r="9" spans="1:9" x14ac:dyDescent="0.3">
      <c r="A9" s="2"/>
      <c r="B9" s="2"/>
      <c r="C9" s="2"/>
      <c r="D9" s="2"/>
      <c r="E9" s="2"/>
      <c r="F9" s="2"/>
      <c r="G9" s="2"/>
      <c r="H9" s="2"/>
      <c r="I9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4.4" x14ac:dyDescent="0.3"/>
  <sheetData>
    <row r="2" spans="5:15" x14ac:dyDescent="0.3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3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3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3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3">
      <c r="K6">
        <v>5</v>
      </c>
      <c r="N6">
        <v>400</v>
      </c>
      <c r="O6">
        <f t="shared" si="1"/>
        <v>2000</v>
      </c>
    </row>
    <row r="7" spans="5:15" x14ac:dyDescent="0.3">
      <c r="O7">
        <f t="shared" si="1"/>
        <v>0</v>
      </c>
    </row>
    <row r="8" spans="5:15" x14ac:dyDescent="0.3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3">
      <c r="K9">
        <v>20</v>
      </c>
      <c r="N9">
        <v>300</v>
      </c>
      <c r="O9">
        <f t="shared" si="1"/>
        <v>6000</v>
      </c>
    </row>
    <row r="10" spans="5:15" x14ac:dyDescent="0.3">
      <c r="O10">
        <f>SUM(O2:O9)</f>
        <v>32600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4.4" x14ac:dyDescent="0.3"/>
  <sheetData>
    <row r="2" spans="1:4" x14ac:dyDescent="0.3">
      <c r="A2" s="75">
        <v>5</v>
      </c>
      <c r="B2" t="s">
        <v>669</v>
      </c>
      <c r="C2">
        <v>2600</v>
      </c>
      <c r="D2">
        <f>A2*C2</f>
        <v>13000</v>
      </c>
    </row>
    <row r="3" spans="1:4" x14ac:dyDescent="0.3">
      <c r="A3" s="75">
        <v>10</v>
      </c>
      <c r="B3" t="s">
        <v>670</v>
      </c>
      <c r="C3">
        <v>3300</v>
      </c>
      <c r="D3">
        <f t="shared" ref="D3:D5" si="0">A3*C3</f>
        <v>33000</v>
      </c>
    </row>
    <row r="4" spans="1:4" x14ac:dyDescent="0.3">
      <c r="A4" s="75">
        <v>10</v>
      </c>
      <c r="B4" t="s">
        <v>671</v>
      </c>
      <c r="C4">
        <v>1300</v>
      </c>
      <c r="D4">
        <f t="shared" si="0"/>
        <v>13000</v>
      </c>
    </row>
    <row r="5" spans="1:4" x14ac:dyDescent="0.3">
      <c r="A5" s="75">
        <v>20</v>
      </c>
      <c r="B5" t="s">
        <v>672</v>
      </c>
      <c r="C5">
        <v>1400</v>
      </c>
      <c r="D5">
        <f t="shared" si="0"/>
        <v>28000</v>
      </c>
    </row>
    <row r="6" spans="1:4" x14ac:dyDescent="0.3">
      <c r="D6">
        <f>SUM(D2:D5)</f>
        <v>87000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4.4" x14ac:dyDescent="0.3"/>
  <cols>
    <col min="1" max="1" width="13.6640625" bestFit="1" customWidth="1"/>
  </cols>
  <sheetData>
    <row r="2" spans="1:3" x14ac:dyDescent="0.3">
      <c r="A2" t="s">
        <v>377</v>
      </c>
      <c r="B2" s="11">
        <v>238</v>
      </c>
    </row>
    <row r="3" spans="1:3" x14ac:dyDescent="0.3">
      <c r="A3" t="s">
        <v>380</v>
      </c>
      <c r="B3">
        <v>17.07</v>
      </c>
    </row>
    <row r="4" spans="1:3" x14ac:dyDescent="0.3">
      <c r="A4" t="s">
        <v>380</v>
      </c>
      <c r="B4">
        <v>5.69</v>
      </c>
    </row>
    <row r="5" spans="1:3" x14ac:dyDescent="0.3">
      <c r="A5" t="s">
        <v>381</v>
      </c>
      <c r="B5">
        <v>251.58</v>
      </c>
    </row>
    <row r="6" spans="1:3" x14ac:dyDescent="0.3">
      <c r="B6">
        <v>1.75</v>
      </c>
    </row>
    <row r="7" spans="1:3" x14ac:dyDescent="0.3">
      <c r="B7">
        <v>4.18</v>
      </c>
    </row>
    <row r="8" spans="1:3" x14ac:dyDescent="0.3">
      <c r="B8">
        <v>7.58</v>
      </c>
    </row>
    <row r="9" spans="1:3" x14ac:dyDescent="0.3">
      <c r="B9">
        <v>3.79</v>
      </c>
    </row>
    <row r="10" spans="1:3" x14ac:dyDescent="0.3">
      <c r="A10" t="s">
        <v>386</v>
      </c>
      <c r="B10">
        <v>82.62</v>
      </c>
    </row>
    <row r="11" spans="1:3" x14ac:dyDescent="0.3">
      <c r="A11" t="s">
        <v>380</v>
      </c>
      <c r="B11">
        <v>77.959999999999994</v>
      </c>
    </row>
    <row r="12" spans="1:3" x14ac:dyDescent="0.3">
      <c r="A12" t="s">
        <v>389</v>
      </c>
      <c r="B12">
        <v>132</v>
      </c>
    </row>
    <row r="13" spans="1:3" x14ac:dyDescent="0.3">
      <c r="B13">
        <v>12</v>
      </c>
    </row>
    <row r="14" spans="1:3" x14ac:dyDescent="0.3">
      <c r="B14">
        <v>3.5</v>
      </c>
    </row>
    <row r="15" spans="1:3" x14ac:dyDescent="0.3">
      <c r="B15">
        <v>12</v>
      </c>
    </row>
    <row r="16" spans="1:3" x14ac:dyDescent="0.3">
      <c r="A16" t="s">
        <v>399</v>
      </c>
      <c r="B16">
        <v>601</v>
      </c>
      <c r="C16" t="s">
        <v>394</v>
      </c>
    </row>
    <row r="17" spans="1:3" x14ac:dyDescent="0.3">
      <c r="A17" t="s">
        <v>399</v>
      </c>
      <c r="B17">
        <v>497</v>
      </c>
      <c r="C17" t="s">
        <v>394</v>
      </c>
    </row>
    <row r="18" spans="1:3" x14ac:dyDescent="0.3">
      <c r="A18" t="s">
        <v>398</v>
      </c>
      <c r="B18">
        <v>58</v>
      </c>
      <c r="C18" t="s">
        <v>397</v>
      </c>
    </row>
    <row r="19" spans="1:3" x14ac:dyDescent="0.3">
      <c r="A19" t="s">
        <v>400</v>
      </c>
      <c r="B19">
        <v>25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4.4" x14ac:dyDescent="0.3"/>
  <cols>
    <col min="1" max="1" width="10.88671875" bestFit="1" customWidth="1"/>
  </cols>
  <sheetData>
    <row r="2" spans="1:2" x14ac:dyDescent="0.3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Waleed</vt:lpstr>
      <vt:lpstr>AU June </vt:lpstr>
      <vt:lpstr>AU Aug</vt:lpstr>
      <vt:lpstr>AU July</vt:lpstr>
      <vt:lpstr>AU SEP</vt:lpstr>
      <vt:lpstr>AU OCT</vt:lpstr>
      <vt:lpstr>AU NOV</vt:lpstr>
      <vt:lpstr>NZ OCT</vt:lpstr>
      <vt:lpstr>NZ NOV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2025-11-25T12:38:36Z</dcterms:modified>
</cp:coreProperties>
</file>