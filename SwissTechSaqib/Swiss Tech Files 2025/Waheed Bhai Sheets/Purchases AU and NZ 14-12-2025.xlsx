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Waheed Bhai Sheets\"/>
    </mc:Choice>
  </mc:AlternateContent>
  <xr:revisionPtr revIDLastSave="0" documentId="13_ncr:1_{6A51D5E1-447A-4F38-83EB-B7BA4D9ECC1C}" xr6:coauthVersionLast="47" xr6:coauthVersionMax="47" xr10:uidLastSave="{00000000-0000-0000-0000-000000000000}"/>
  <bookViews>
    <workbookView xWindow="-108" yWindow="-108" windowWidth="23256" windowHeight="13896" firstSheet="22" activeTab="23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Waleed" sheetId="21" state="hidden" r:id="rId17"/>
    <sheet name="AU June " sheetId="12" state="hidden" r:id="rId18"/>
    <sheet name="AU Aug" sheetId="20" state="hidden" r:id="rId19"/>
    <sheet name="AU July" sheetId="18" state="hidden" r:id="rId20"/>
    <sheet name="AU SEP" sheetId="23" state="hidden" r:id="rId21"/>
    <sheet name="AU OCT" sheetId="24" state="hidden" r:id="rId22"/>
    <sheet name="AU NOV" sheetId="27" r:id="rId23"/>
    <sheet name="AU DEC" sheetId="34" r:id="rId24"/>
    <sheet name="Gift Card" sheetId="37" state="hidden" r:id="rId25"/>
    <sheet name="Adil " sheetId="35" state="hidden" r:id="rId26"/>
    <sheet name="Waleed " sheetId="33" state="hidden" r:id="rId27"/>
    <sheet name="Sheet5" sheetId="32" state="hidden" r:id="rId28"/>
    <sheet name="NZ OCT" sheetId="25" state="hidden" r:id="rId29"/>
    <sheet name="NZ NOV" sheetId="26" r:id="rId30"/>
    <sheet name="NZ DEC" sheetId="36" r:id="rId31"/>
    <sheet name="Sheet3" sheetId="31" state="hidden" r:id="rId32"/>
    <sheet name="Sheet2" sheetId="30" state="hidden" r:id="rId33"/>
    <sheet name="NZ visit expense" sheetId="17" state="hidden" r:id="rId34"/>
    <sheet name="Abdul Rafey" sheetId="5" state="hidden" r:id="rId35"/>
  </sheets>
  <definedNames>
    <definedName name="_xlnm._FilterDatabase" localSheetId="3" hidden="1">April!$A$1:$H$152</definedName>
    <definedName name="_xlnm._FilterDatabase" localSheetId="18" hidden="1">'AU Aug'!$A$1:$N$37</definedName>
    <definedName name="_xlnm._FilterDatabase" localSheetId="23" hidden="1">'AU DEC'!$A$1:$O$93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2" hidden="1">'AU NOV'!$A$1:$I$135</definedName>
    <definedName name="_xlnm._FilterDatabase" localSheetId="21" hidden="1">'AU OCT'!$A$1:$G$24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</definedNames>
  <calcPr calcId="191029"/>
  <pivotCaches>
    <pivotCache cacheId="50" r:id="rId36"/>
    <pivotCache cacheId="51" r:id="rId37"/>
    <pivotCache cacheId="52" r:id="rId38"/>
    <pivotCache cacheId="53" r:id="rId39"/>
    <pivotCache cacheId="54" r:id="rId40"/>
    <pivotCache cacheId="55" r:id="rId41"/>
    <pivotCache cacheId="56" r:id="rId42"/>
    <pivotCache cacheId="57" r:id="rId43"/>
    <pivotCache cacheId="58" r:id="rId44"/>
    <pivotCache cacheId="59" r:id="rId4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13" i="34" l="1"/>
  <c r="F112" i="34"/>
  <c r="F111" i="34"/>
  <c r="F110" i="34"/>
  <c r="F109" i="34"/>
  <c r="F108" i="34"/>
  <c r="F11" i="36"/>
  <c r="F107" i="34"/>
  <c r="F106" i="34"/>
  <c r="F105" i="34"/>
  <c r="F104" i="34"/>
  <c r="F103" i="34"/>
  <c r="F102" i="34"/>
  <c r="F101" i="34"/>
  <c r="F100" i="34"/>
  <c r="F99" i="34"/>
  <c r="F98" i="34"/>
  <c r="F97" i="34"/>
  <c r="F96" i="34"/>
  <c r="F95" i="34"/>
  <c r="F94" i="34"/>
  <c r="F75" i="34"/>
  <c r="F74" i="34"/>
  <c r="F73" i="34"/>
  <c r="F93" i="34"/>
  <c r="F92" i="34"/>
  <c r="F91" i="34"/>
  <c r="O17" i="35"/>
  <c r="O16" i="35"/>
  <c r="O15" i="35"/>
  <c r="O14" i="35"/>
  <c r="L12" i="35"/>
  <c r="M7" i="35"/>
  <c r="M3" i="35"/>
  <c r="M4" i="35"/>
  <c r="M5" i="35"/>
  <c r="M6" i="35"/>
  <c r="M2" i="35"/>
  <c r="H4" i="35"/>
  <c r="B43" i="35"/>
  <c r="F90" i="34"/>
  <c r="F10" i="36"/>
  <c r="F58" i="34"/>
  <c r="F59" i="34"/>
  <c r="F60" i="34"/>
  <c r="F53" i="34"/>
  <c r="F52" i="34"/>
  <c r="F51" i="34"/>
  <c r="F54" i="34"/>
  <c r="F55" i="34"/>
  <c r="F56" i="34"/>
  <c r="F57" i="34"/>
  <c r="F50" i="34"/>
  <c r="F72" i="34"/>
  <c r="F44" i="34"/>
  <c r="F45" i="34"/>
  <c r="F46" i="34"/>
  <c r="F47" i="34"/>
  <c r="F48" i="34"/>
  <c r="F49" i="34"/>
  <c r="F71" i="34"/>
  <c r="F70" i="34"/>
  <c r="F69" i="34"/>
  <c r="F68" i="34"/>
  <c r="F67" i="34"/>
  <c r="F66" i="34"/>
  <c r="F65" i="34"/>
  <c r="F64" i="34"/>
  <c r="F81" i="34"/>
  <c r="F80" i="34"/>
  <c r="F79" i="34"/>
  <c r="F78" i="34"/>
  <c r="F77" i="34"/>
  <c r="F76" i="34"/>
  <c r="F89" i="34"/>
  <c r="F88" i="34"/>
  <c r="F86" i="34"/>
  <c r="F85" i="34"/>
  <c r="F87" i="34"/>
  <c r="F9" i="36"/>
  <c r="F8" i="36"/>
  <c r="F7" i="36"/>
  <c r="E2" i="37"/>
  <c r="F42" i="34"/>
  <c r="F43" i="34"/>
  <c r="F61" i="34"/>
  <c r="F62" i="34"/>
  <c r="F63" i="34"/>
  <c r="F82" i="34"/>
  <c r="F83" i="34"/>
  <c r="F84" i="34"/>
  <c r="F41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4" i="36"/>
  <c r="F5" i="36"/>
  <c r="F6" i="36"/>
  <c r="F3" i="36"/>
  <c r="F24" i="34"/>
  <c r="F23" i="34"/>
  <c r="F22" i="34"/>
  <c r="F20" i="34"/>
  <c r="F21" i="34"/>
  <c r="F19" i="34"/>
  <c r="F18" i="34"/>
  <c r="F17" i="34"/>
  <c r="F16" i="34"/>
  <c r="F2" i="36"/>
  <c r="F15" i="34"/>
  <c r="F14" i="34"/>
  <c r="F13" i="34"/>
  <c r="F12" i="34"/>
  <c r="F11" i="34"/>
  <c r="F10" i="34"/>
  <c r="F9" i="34"/>
  <c r="F8" i="34"/>
  <c r="F4" i="34"/>
  <c r="F5" i="34"/>
  <c r="F6" i="34"/>
  <c r="F7" i="34"/>
  <c r="F2" i="34"/>
  <c r="F3" i="34"/>
  <c r="F135" i="27"/>
  <c r="F134" i="27"/>
  <c r="F133" i="27"/>
  <c r="B12" i="33"/>
  <c r="C12" i="33"/>
  <c r="F132" i="27"/>
  <c r="F131" i="27"/>
  <c r="F130" i="27"/>
  <c r="F129" i="27"/>
  <c r="F128" i="27"/>
  <c r="F127" i="27"/>
  <c r="F126" i="27"/>
  <c r="F125" i="27"/>
  <c r="F124" i="27"/>
  <c r="F123" i="27"/>
  <c r="F122" i="27"/>
  <c r="F121" i="27"/>
  <c r="F120" i="27"/>
  <c r="F119" i="27"/>
  <c r="F118" i="27"/>
  <c r="F117" i="27"/>
  <c r="F116" i="27"/>
  <c r="F115" i="27"/>
  <c r="F114" i="27"/>
  <c r="F112" i="27"/>
  <c r="F113" i="27"/>
  <c r="F111" i="27"/>
  <c r="F110" i="27"/>
  <c r="F109" i="27"/>
  <c r="F108" i="27"/>
  <c r="F107" i="27"/>
  <c r="F106" i="27"/>
  <c r="F105" i="27"/>
  <c r="F104" i="27"/>
  <c r="F103" i="27"/>
  <c r="F102" i="27"/>
  <c r="F101" i="27"/>
  <c r="F100" i="27"/>
  <c r="F99" i="27"/>
  <c r="F12" i="26"/>
  <c r="F11" i="26"/>
  <c r="F10" i="26"/>
  <c r="F9" i="26"/>
  <c r="F8" i="26"/>
  <c r="F98" i="27"/>
  <c r="F97" i="27"/>
  <c r="F96" i="27"/>
  <c r="F95" i="27"/>
  <c r="F94" i="27"/>
  <c r="F93" i="27"/>
  <c r="F92" i="27"/>
  <c r="F91" i="27"/>
  <c r="F90" i="27"/>
  <c r="F89" i="27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2" i="27"/>
  <c r="F73" i="27"/>
  <c r="F68" i="27"/>
  <c r="F69" i="27"/>
  <c r="F67" i="27"/>
  <c r="F66" i="27"/>
  <c r="F65" i="27"/>
  <c r="F64" i="27"/>
  <c r="F63" i="27"/>
  <c r="F62" i="27"/>
  <c r="F61" i="27"/>
  <c r="F59" i="27"/>
  <c r="F60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O6" i="27"/>
  <c r="O7" i="27"/>
  <c r="O8" i="27"/>
  <c r="O9" i="27"/>
  <c r="O10" i="27"/>
  <c r="O11" i="27"/>
  <c r="O5" i="27"/>
  <c r="F41" i="27"/>
  <c r="F37" i="27"/>
  <c r="F38" i="27"/>
  <c r="F39" i="27"/>
  <c r="F40" i="27"/>
  <c r="F36" i="27"/>
  <c r="F35" i="27"/>
  <c r="F34" i="27"/>
  <c r="F33" i="27"/>
  <c r="O10" i="31"/>
  <c r="O7" i="31"/>
  <c r="O8" i="31"/>
  <c r="O9" i="31"/>
  <c r="O3" i="31"/>
  <c r="O4" i="31"/>
  <c r="O5" i="31"/>
  <c r="O6" i="31"/>
  <c r="O2" i="31"/>
  <c r="F29" i="27"/>
  <c r="F30" i="27"/>
  <c r="F31" i="27"/>
  <c r="F32" i="27"/>
  <c r="G8" i="31"/>
  <c r="M5" i="31"/>
  <c r="M3" i="31"/>
  <c r="M4" i="31"/>
  <c r="M2" i="31"/>
  <c r="H4" i="31"/>
  <c r="F28" i="27"/>
  <c r="F26" i="27"/>
  <c r="F27" i="27"/>
  <c r="F25" i="27"/>
  <c r="F20" i="27"/>
  <c r="F21" i="27"/>
  <c r="F22" i="27"/>
  <c r="F23" i="27"/>
  <c r="F24" i="27"/>
  <c r="F19" i="27"/>
  <c r="F18" i="27"/>
  <c r="F17" i="27"/>
  <c r="F16" i="27"/>
  <c r="F15" i="27"/>
  <c r="D5" i="30"/>
  <c r="D4" i="30"/>
  <c r="D3" i="30"/>
  <c r="D2" i="30"/>
  <c r="D6" i="30" s="1"/>
  <c r="F7" i="26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O12" i="27" l="1"/>
  <c r="E11" i="29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<sst xmlns="http://schemas.openxmlformats.org/spreadsheetml/2006/main" count="3364" uniqueCount="876">
  <si>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</si>
  <si>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</si>
  <si>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</si>
  <si>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</si>
  <si>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</si>
  <si>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</si>
  <si>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</si>
  <si>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</si>
  <si>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</si>
  <si>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</si>
  <si>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</si>
  <si>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</si>
  <si>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</si>
  <si>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</si>
  <si>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</si>
  <si>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</si>
  <si>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</si>
  <si>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</si>
  <si>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</si>
  <si>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</si>
  <si>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</si>
  <si>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</si>
  <si>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</si>
  <si>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</si>
  <si>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</si>
  <si>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</si>
  <si>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</si>
  <si>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</si>
  <si>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</si>
  <si>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</si>
  <si>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</si>
  <si>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</si>
  <si>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</si>
  <si>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</si>
  <si>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</si>
  <si>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</si>
  <si>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</si>
  <si>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</si>
  <si>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</si>
  <si>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</si>
  <si>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</si>
  <si>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</si>
  <si>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</si>
  <si>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</si>
  <si>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</si>
  <si>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</si>
  <si>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</si>
  <si>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</si>
  <si>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</si>
  <si>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</si>
  <si>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</si>
  <si>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</si>
  <si>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</si>
  <si>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</si>
  <si>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</si>
  <si>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</si>
  <si>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</si>
  <si>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</si>
  <si>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</si>
  <si>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</si>
  <si>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</si>
  <si>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</si>
  <si>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</si>
  <si>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</si>
  <si>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</si>
  <si>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</si>
  <si>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</si>
  <si>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</si>
  <si>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</si>
  <si>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</si>
  <si>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</si>
  <si>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</si>
  <si>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</si>
  <si>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</si>
  <si>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</si>
  <si>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</si>
  <si>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</si>
  <si>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</si>
  <si>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</si>
  <si>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</si>
  <si>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</si>
  <si>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</si>
  <si>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</si>
  <si>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</si>
  <si>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</si>
  <si>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</si>
  <si>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</si>
  <si>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</si>
  <si>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</si>
  <si>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</si>
  <si>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</si>
  <si>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</si>
  <si>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</si>
  <si>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</si>
  <si>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</si>
  <si>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</si>
  <si>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</si>
  <si>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</si>
  <si>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</si>
  <si>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</si>
  <si>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</si>
  <si>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</si>
  <si>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</si>
  <si>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</si>
  <si>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</si>
  <si>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</si>
  <si>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</si>
  <si>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</si>
  <si>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</si>
  <si>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</si>
  <si>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</si>
  <si>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</si>
  <si>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</si>
  <si>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</si>
  <si>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</si>
  <si>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</si>
  <si>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</si>
  <si>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</si>
  <si>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</si>
  <si>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</si>
  <si>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</si>
  <si>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</si>
  <si>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</si>
  <si>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</si>
  <si>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</si>
  <si>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</si>
  <si>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</si>
  <si>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</si>
  <si>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</si>
  <si>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</si>
  <si>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</si>
  <si>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</si>
  <si>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</si>
  <si>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</si>
  <si>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</si>
  <si>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</si>
  <si>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</si>
  <si>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</si>
  <si>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</si>
  <si>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</si>
  <si>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</si>
  <si>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</si>
  <si>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</si>
  <si>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</si>
  <si>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</si>
  <si>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</si>
  <si>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</si>
  <si>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</si>
  <si>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</si>
  <si>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</si>
  <si>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</si>
  <si>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</si>
  <si>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</si>
  <si>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</si>
  <si>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</si>
  <si>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</si>
  <si>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</si>
  <si>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</si>
  <si>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</si>
  <si>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</si>
  <si>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</si>
  <si>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</si>
  <si>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</si>
  <si>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</si>
  <si>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</si>
  <si>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</si>
  <si>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</si>
  <si>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</si>
  <si>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</si>
  <si>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</si>
  <si>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</si>
  <si>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</si>
  <si>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</si>
  <si>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</si>
  <si>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</si>
  <si>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</si>
  <si>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</si>
  <si>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</si>
  <si>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</si>
  <si>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</si>
  <si>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</si>
  <si>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</si>
  <si>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</si>
  <si>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</si>
  <si>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</si>
  <si>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</si>
  <si>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</si>
  <si>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</si>
  <si>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</si>
  <si>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</si>
  <si>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</si>
  <si>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</si>
  <si>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</si>
  <si>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</si>
  <si>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</si>
  <si>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</si>
  <si>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</si>
  <si>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</si>
  <si>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</si>
  <si>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</si>
  <si>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</si>
  <si>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</si>
  <si>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</si>
  <si>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</si>
  <si>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</si>
  <si>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</si>
  <si>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</si>
  <si>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</si>
  <si>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</si>
  <si>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</si>
  <si>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</si>
  <si>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</si>
  <si>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</si>
  <si>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</si>
  <si>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</si>
  <si>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</si>
  <si>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</si>
  <si>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</si>
  <si>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</si>
  <si>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</si>
  <si>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</si>
  <si>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</si>
  <si>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</si>
  <si>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</si>
  <si>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</si>
  <si>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</si>
  <si>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</si>
  <si>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</si>
  <si>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</si>
  <si>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</si>
  <si>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</si>
  <si>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</si>
  <si>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</si>
  <si>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</si>
  <si>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</si>
  <si>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</si>
  <si>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</si>
  <si>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</si>
  <si>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</si>
  <si>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</si>
  <si>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</si>
  <si>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</si>
  <si>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</si>
  <si>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</si>
  <si>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</si>
  <si>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</si>
  <si>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</si>
  <si>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</si>
  <si>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</si>
  <si>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</si>
  <si>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</si>
  <si>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</si>
  <si>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</si>
  <si>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</si>
  <si>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</si>
  <si>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</si>
  <si>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</si>
  <si>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</si>
  <si>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</si>
  <si>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</si>
  <si>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</si>
  <si>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</si>
  <si>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</si>
  <si>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</si>
  <si>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</si>
  <si>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</si>
  <si>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</si>
  <si>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</si>
  <si>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</si>
  <si>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</si>
  <si>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</si>
  <si>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</si>
  <si>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</si>
  <si>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</si>
  <si>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</si>
  <si>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</si>
  <si>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</si>
  <si>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</si>
  <si>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</si>
  <si>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</si>
  <si>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</si>
  <si>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</si>
  <si>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</si>
  <si>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</si>
  <si>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</si>
  <si>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</si>
  <si>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</si>
  <si>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</si>
  <si>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</si>
  <si>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</si>
  <si>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</si>
  <si>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</si>
  <si>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</si>
  <si>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</si>
  <si>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</si>
  <si>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</si>
  <si>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</si>
  <si>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</si>
  <si>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</si>
  <si>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</si>
  <si>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</si>
  <si>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</si>
  <si>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</si>
  <si>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</si>
  <si>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</si>
  <si>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</si>
  <si>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</si>
  <si>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</si>
  <si>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</si>
  <si>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</si>
  <si>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</si>
  <si>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</si>
  <si>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</si>
  <si>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</si>
  <si>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</si>
  <si>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</si>
  <si>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</si>
  <si>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</si>
  <si>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</si>
  <si>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</si>
  <si>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</si>
  <si>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</si>
  <si>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</si>
  <si>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</si>
  <si>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</si>
  <si>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</si>
  <si>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</si>
  <si>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</si>
  <si>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</si>
  <si>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</si>
  <si>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</si>
  <si>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</si>
  <si>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</si>
  <si>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</si>
  <si>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</si>
  <si>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</si>
  <si>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</si>
  <si>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</si>
  <si>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</si>
  <si>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</si>
  <si>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</si>
  <si>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</si>
  <si>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</si>
  <si>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</si>
  <si>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</si>
  <si>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</si>
  <si>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</si>
  <si>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</si>
  <si>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</si>
  <si>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</si>
  <si>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</si>
  <si>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</si>
  <si>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</si>
  <si>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</si>
  <si>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</si>
  <si>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</si>
  <si>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</si>
  <si>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</si>
  <si>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</si>
  <si>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</si>
  <si>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</si>
  <si>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</si>
  <si>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</si>
  <si>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</si>
  <si>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</si>
  <si>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</si>
  <si>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</si>
  <si>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</si>
  <si>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</si>
  <si>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</si>
  <si>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</si>
  <si>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</si>
  <si>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</si>
  <si>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</si>
  <si>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</si>
  <si>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</si>
  <si>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</si>
  <si>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</si>
  <si>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</si>
  <si>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</si>
  <si>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</si>
  <si>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</si>
  <si>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</si>
  <si>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</si>
  <si>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</si>
  <si>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</si>
  <si>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</si>
  <si>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</si>
  <si>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</si>
  <si>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</si>
  <si>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</si>
  <si>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</si>
  <si>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</si>
  <si>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</si>
  <si>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</si>
  <si>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</si>
  <si>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</si>
  <si>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</si>
  <si>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</si>
  <si>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</si>
  <si>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</si>
  <si>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</si>
  <si>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</si>
  <si>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</si>
  <si>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</si>
  <si>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</si>
  <si>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</si>
  <si>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</si>
  <si>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</si>
  <si>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</si>
  <si>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</si>
  <si>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</si>
  <si>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</si>
  <si>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</si>
  <si>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</si>
  <si>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</si>
  <si>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</si>
  <si>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</si>
  <si>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</si>
  <si>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</si>
  <si>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</si>
  <si>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</si>
  <si>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</si>
  <si>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</si>
  <si>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</si>
  <si>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</si>
  <si>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</si>
  <si>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</si>
  <si>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</si>
  <si>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</si>
  <si>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</si>
  <si>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</si>
  <si>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</si>
  <si>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</si>
  <si>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</si>
  <si>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</si>
  <si>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</si>
  <si>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</si>
  <si>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</si>
  <si>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</si>
  <si>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</si>
  <si>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</si>
  <si>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</si>
  <si>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</si>
  <si>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</si>
  <si>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</si>
  <si>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</si>
  <si>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</si>
  <si>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</si>
  <si>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</si>
  <si>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</si>
  <si>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</si>
  <si>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</si>
  <si>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</si>
  <si>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</si>
  <si>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</si>
  <si>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</si>
  <si>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</si>
  <si>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</si>
  <si>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</si>
  <si>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</si>
  <si>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</si>
  <si>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</si>
  <si>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</si>
  <si>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</si>
  <si>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</si>
  <si>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</si>
  <si>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</si>
  <si>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</si>
  <si>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</si>
  <si>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</si>
  <si>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</si>
  <si>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</si>
  <si>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</si>
  <si>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</si>
  <si>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</si>
  <si>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</si>
  <si>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</si>
  <si>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</si>
  <si>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</si>
  <si>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</si>
  <si>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</si>
  <si>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</si>
  <si>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</si>
  <si>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</si>
  <si>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</si>
  <si>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</si>
  <si>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</si>
  <si>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</si>
  <si>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</si>
  <si>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</si>
  <si>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</si>
  <si>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</si>
  <si>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</si>
  <si>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</si>
  <si>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</si>
  <si>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</si>
  <si>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</si>
  <si>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</si>
  <si>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</si>
  <si>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</si>
  <si>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</si>
  <si>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</si>
  <si>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</si>
  <si>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</si>
  <si>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</si>
  <si>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</si>
  <si>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</si>
  <si>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</si>
  <si>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</si>
  <si>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</si>
  <si>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</si>
  <si>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</si>
  <si>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</si>
  <si>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</si>
  <si>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</si>
  <si>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</si>
  <si>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</si>
  <si>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</si>
  <si>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</si>
  <si>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</si>
  <si>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</si>
  <si>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</si>
  <si>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</si>
  <si>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</si>
  <si>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</si>
  <si>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</si>
  <si>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</si>
  <si>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</si>
  <si>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</si>
  <si>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</si>
  <si>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</si>
  <si>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</si>
  <si>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</si>
  <si>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</si>
  <si>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</si>
  <si>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</si>
  <si>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</si>
  <si>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</si>
  <si>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</si>
  <si>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</si>
  <si>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</si>
  <si>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</si>
  <si>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</si>
  <si>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</si>
  <si>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</si>
  <si>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</si>
  <si>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</si>
  <si>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</si>
  <si>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</si>
  <si>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</si>
  <si>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</si>
  <si>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</si>
  <si>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</si>
  <si>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</si>
  <si>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</si>
  <si>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</si>
  <si>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</si>
  <si>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</si>
  <si>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</si>
  <si>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</si>
  <si>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</si>
  <si>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</si>
  <si>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</si>
  <si>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</si>
  <si>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</si>
  <si>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</si>
  <si>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</si>
  <si>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</si>
  <si>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</si>
  <si>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</si>
  <si>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</si>
  <si>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</si>
  <si>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</si>
  <si>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</si>
  <si>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</si>
  <si>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</si>
  <si>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</si>
  <si>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</si>
  <si>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</si>
  <si>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</si>
  <si>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</si>
  <si>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</si>
  <si>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</si>
  <si>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</si>
  <si>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</si>
  <si>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</si>
  <si>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</si>
  <si>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</si>
  <si>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</si>
  <si>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</si>
  <si>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</si>
  <si>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</si>
  <si>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</si>
  <si>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</si>
  <si>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</si>
  <si>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</si>
  <si>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</si>
  <si>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</si>
  <si>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</si>
  <si>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</si>
  <si>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</si>
  <si>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</si>
  <si>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</si>
  <si>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</si>
  <si>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</si>
  <si>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</si>
  <si>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</si>
  <si>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</si>
  <si>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</si>
  <si>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</si>
  <si>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</si>
  <si>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</si>
  <si>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</si>
  <si>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</si>
  <si>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</si>
  <si>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</si>
  <si>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</si>
  <si>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</si>
  <si>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</si>
  <si>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</si>
  <si>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</si>
  <si>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</si>
  <si>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</si>
  <si>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</si>
  <si>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</si>
  <si>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</si>
  <si>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</si>
  <si>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</si>
  <si>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</si>
  <si>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</si>
  <si>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</si>
  <si>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</si>
  <si>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</si>
  <si>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</si>
  <si>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</si>
  <si>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</si>
  <si>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</si>
  <si>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</si>
  <si>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</si>
  <si>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</si>
  <si>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</si>
  <si>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</si>
  <si>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</si>
  <si>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</si>
  <si>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</si>
  <si>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</si>
  <si>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</si>
  <si>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Collected 03-11</t>
  </si>
  <si>
    <t>Collected 02-11</t>
  </si>
  <si>
    <t>Sum of Price</t>
  </si>
  <si>
    <t>JBL Cherge 6</t>
  </si>
  <si>
    <t>Flip 2</t>
  </si>
  <si>
    <t>Mini 4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</si>
  <si>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</si>
  <si>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</si>
  <si>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</si>
  <si>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</si>
  <si>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</si>
  <si>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</si>
  <si>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</si>
  <si>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</si>
  <si>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</si>
  <si>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</si>
  <si>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</si>
  <si>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</si>
  <si>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</si>
  <si>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</si>
  <si>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</si>
  <si>
    <t>Mavic 4 (DJI RC2)</t>
  </si>
  <si>
    <t>Mavic 4 pro Fly more combo (DJI RC2)</t>
  </si>
  <si>
    <t>DJI Mini 5 Pro Fly More Combo (DJI RC2)</t>
  </si>
  <si>
    <t>DJI Mini 5 Pro Fly More Combo Plus (DJI RC2)</t>
  </si>
  <si>
    <t>Google pixel pro 128</t>
  </si>
  <si>
    <t>Google pixel pro 256</t>
  </si>
  <si>
    <t>Officeworks Castle Hills</t>
  </si>
  <si>
    <t>Officeworks Wentworthville</t>
  </si>
  <si>
    <t>Officeworks Wetherhill park</t>
  </si>
  <si>
    <t>Harvey Norman Fyshwick</t>
  </si>
  <si>
    <t>Mark IIISilver</t>
  </si>
  <si>
    <t>Collected 11 NOV</t>
  </si>
  <si>
    <t>DJI Mavic 4 standard</t>
  </si>
  <si>
    <t>DJI Mavic 4 FMC RC2</t>
  </si>
  <si>
    <t>Collected 17-11</t>
  </si>
  <si>
    <t>Collected 15-11</t>
  </si>
  <si>
    <t>ASIC</t>
  </si>
  <si>
    <t>Company registration renew  Fee</t>
  </si>
  <si>
    <t>Megatop</t>
  </si>
  <si>
    <t xml:space="preserve">Meta Quest 3s 256 </t>
  </si>
  <si>
    <t>JBHIFI Roselands</t>
  </si>
  <si>
    <t>Collected/ 2 shipped</t>
  </si>
  <si>
    <t>Shipped 05-11</t>
  </si>
  <si>
    <t>DJI Mic 3 Combo</t>
  </si>
  <si>
    <t>Sydney Shipment</t>
  </si>
  <si>
    <t>Osmo Pocket Standard</t>
  </si>
  <si>
    <t>Collected Parramatta</t>
  </si>
  <si>
    <t>Osmo Pocket 3  Creator Combo Active</t>
  </si>
  <si>
    <t>Osmo Pocket 3 Creator Combo</t>
  </si>
  <si>
    <t>JBL Charge 6</t>
  </si>
  <si>
    <t>Ninetendo Switch 2 Bundle</t>
  </si>
  <si>
    <t>Collected 20-11</t>
  </si>
  <si>
    <t>Delivered 20-11</t>
  </si>
  <si>
    <t>Good Guys Wetherhill Park</t>
  </si>
  <si>
    <t>Good Guys Casula</t>
  </si>
  <si>
    <t>Eb Games Parramatta</t>
  </si>
  <si>
    <t>Iphone17 pro max 256 Silver</t>
  </si>
  <si>
    <t>Iphone17 pro max 256 Orange</t>
  </si>
  <si>
    <t>DJI Osmo Pocket 3 standrad</t>
  </si>
  <si>
    <t>DJI Mic Mini</t>
  </si>
  <si>
    <t>Bunnings(Mix old P)</t>
  </si>
  <si>
    <t>Colected 21-11</t>
  </si>
  <si>
    <t>JBHIFI Hurstville</t>
  </si>
  <si>
    <t>PS5 Disk Bundle NBA</t>
  </si>
  <si>
    <t>Ebgames Online</t>
  </si>
  <si>
    <t xml:space="preserve">PS5 Disk Bundle </t>
  </si>
  <si>
    <t>Ebgames Parramatta</t>
  </si>
  <si>
    <t>Collected 21-11</t>
  </si>
  <si>
    <t>PS5 Digital</t>
  </si>
  <si>
    <t>PS5 Disc</t>
  </si>
  <si>
    <t>Pending Collection Auburn</t>
  </si>
  <si>
    <t>Delivered 21-11</t>
  </si>
  <si>
    <t>TBC</t>
  </si>
  <si>
    <t xml:space="preserve">PS5Disc </t>
  </si>
  <si>
    <t>PS5Digital</t>
  </si>
  <si>
    <t xml:space="preserve">JBL Charge 6 </t>
  </si>
  <si>
    <t xml:space="preserve">Osmo Pocket 3 Creator Combo </t>
  </si>
  <si>
    <t>Google pixel 10 pro 128</t>
  </si>
  <si>
    <t>Google pixel 10 pro 256</t>
  </si>
  <si>
    <t>Google pixel 8 pro 128</t>
  </si>
  <si>
    <t>Colledted 20-11</t>
  </si>
  <si>
    <t>Delivered 24-11</t>
  </si>
  <si>
    <t>Delivered 22-11</t>
  </si>
  <si>
    <t>Bunnings Leppington</t>
  </si>
  <si>
    <t>Bunnings Bankstown</t>
  </si>
  <si>
    <t>Bunnings Hoxton park</t>
  </si>
  <si>
    <t>Bunnings North Penrith</t>
  </si>
  <si>
    <t>Bunnings Penrith</t>
  </si>
  <si>
    <t>Active units</t>
  </si>
  <si>
    <t>Van Hire 11+ Petrol</t>
  </si>
  <si>
    <t>Anis Rental</t>
  </si>
  <si>
    <t>w</t>
  </si>
  <si>
    <t>Bunnings Packenham</t>
  </si>
  <si>
    <t>Delivery Expense</t>
  </si>
  <si>
    <t>Collected 29-11</t>
  </si>
  <si>
    <t>Pending Collection Macarthur Square</t>
  </si>
  <si>
    <t>JBL Chare 6</t>
  </si>
  <si>
    <t>Ebgames Macuarie Park</t>
  </si>
  <si>
    <t>Mic Mini</t>
  </si>
  <si>
    <t>Ray Ban Meta Wayfarer Gen 1</t>
  </si>
  <si>
    <t>Office Works Guildford</t>
  </si>
  <si>
    <t>Bunnings Villawood</t>
  </si>
  <si>
    <t>Pending Collection TBC</t>
  </si>
  <si>
    <t>Delivered 28-11</t>
  </si>
  <si>
    <t>Pending Collection Whetherill Park</t>
  </si>
  <si>
    <t>Pending Collection Casula</t>
  </si>
  <si>
    <t>Pending Collection Campbelltown</t>
  </si>
  <si>
    <t>(All)</t>
  </si>
  <si>
    <t>Pending Collection Auburn Officeworks</t>
  </si>
  <si>
    <t>Pending Collection Wetherill Park</t>
  </si>
  <si>
    <t>$1000 Deposit Only</t>
  </si>
  <si>
    <t>Bunnings Campbelltown</t>
  </si>
  <si>
    <t>Bunnings Gregory Hills</t>
  </si>
  <si>
    <t>JBHIFI Macarthure Square</t>
  </si>
  <si>
    <t>Meta Wayfarer Gen 1 Glasses</t>
  </si>
  <si>
    <t>Office Works Gledswood</t>
  </si>
  <si>
    <t>Office Works Casula</t>
  </si>
  <si>
    <t>22 Units Collected 30-11</t>
  </si>
  <si>
    <t>1 unit to be refund</t>
  </si>
  <si>
    <t>Good Guys Wetherill Park</t>
  </si>
  <si>
    <t>1 unit refund</t>
  </si>
  <si>
    <t>Campbelltown (7 Units Collected)</t>
  </si>
  <si>
    <t>Casula (Colledted 30-11)</t>
  </si>
  <si>
    <t>Macarthur Square (Collected 30-11)</t>
  </si>
  <si>
    <t>Unit</t>
  </si>
  <si>
    <t>Amount</t>
  </si>
  <si>
    <t>Collected Perth Waleed</t>
  </si>
  <si>
    <t>Perth Waleed</t>
  </si>
  <si>
    <t>Collection Commision</t>
  </si>
  <si>
    <t>Waleed</t>
  </si>
  <si>
    <t>Perth Collection</t>
  </si>
  <si>
    <t>Megatop Shipping Charges</t>
  </si>
  <si>
    <t>BCF Wetherill Park</t>
  </si>
  <si>
    <t>Collected 01-12</t>
  </si>
  <si>
    <t>5 Units Collected 01-13</t>
  </si>
  <si>
    <t>2units  to be refund</t>
  </si>
  <si>
    <t>PS5 Slim Digital</t>
  </si>
  <si>
    <t>PS5 Slim Disc NBA</t>
  </si>
  <si>
    <t>PS5 Slim Digital 1TB</t>
  </si>
  <si>
    <t>Status</t>
  </si>
  <si>
    <t>Bunnings Perth</t>
  </si>
  <si>
    <t>Starlink</t>
  </si>
  <si>
    <t>Cancelled</t>
  </si>
  <si>
    <t>Collected 02-12</t>
  </si>
  <si>
    <t xml:space="preserve"> Auburn Collected 02-12</t>
  </si>
  <si>
    <t>BCF Auburn</t>
  </si>
  <si>
    <t>Office Works Wetherill park</t>
  </si>
  <si>
    <t>JBHIFI Parramatta Adil</t>
  </si>
  <si>
    <t>Delivered 02-12</t>
  </si>
  <si>
    <t>JBHIFI Homebush Adil</t>
  </si>
  <si>
    <t>BCF Adil</t>
  </si>
  <si>
    <t>Bunnings Castle Hills</t>
  </si>
  <si>
    <t>Collected 03-12</t>
  </si>
  <si>
    <t>PS5 DISC</t>
  </si>
  <si>
    <t>Wireless Controller</t>
  </si>
  <si>
    <t>Astrobot Games</t>
  </si>
  <si>
    <t>Mic 3</t>
  </si>
  <si>
    <t>Eb Games Hurstville</t>
  </si>
  <si>
    <t>To be adjusted 467</t>
  </si>
  <si>
    <t>Officeworks Hurstville</t>
  </si>
  <si>
    <t>JBHIFI Homebush</t>
  </si>
  <si>
    <t>BCF</t>
  </si>
  <si>
    <t>Officeworks</t>
  </si>
  <si>
    <t>JBHIFI</t>
  </si>
  <si>
    <t>P</t>
  </si>
  <si>
    <t>Officeworks Auburn</t>
  </si>
  <si>
    <t>Gift Card</t>
  </si>
  <si>
    <t>Value</t>
  </si>
  <si>
    <t>Use Store</t>
  </si>
  <si>
    <t>Balance</t>
  </si>
  <si>
    <t>Purchase Store</t>
  </si>
  <si>
    <t>Officeworks Northmead</t>
  </si>
  <si>
    <t>Officeworks Wentwortville</t>
  </si>
  <si>
    <t>Mini Film 20PK</t>
  </si>
  <si>
    <t xml:space="preserve">Delivery </t>
  </si>
  <si>
    <t>Cancelled Pending Refund</t>
  </si>
  <si>
    <t>Dubai</t>
  </si>
  <si>
    <t>Collected 09-12</t>
  </si>
  <si>
    <t>Collected 04th Dec</t>
  </si>
  <si>
    <t>Bunnings Hawthorn</t>
  </si>
  <si>
    <t>Officeworks West Ryde</t>
  </si>
  <si>
    <t>Van Hire + Petrol</t>
  </si>
  <si>
    <t>Collected 08-12</t>
  </si>
  <si>
    <t>$1000 Deposit Only 120 units</t>
  </si>
  <si>
    <t>Iphone 17 pro max 256</t>
  </si>
  <si>
    <t>Pending Collection Liverpool</t>
  </si>
  <si>
    <t>Pending Collection Top Ryde</t>
  </si>
  <si>
    <t>Officeworks Belrose</t>
  </si>
  <si>
    <t>Officeworks North Ryde</t>
  </si>
  <si>
    <t>Collected North Ryde</t>
  </si>
  <si>
    <t>DJI mini 5 pro combo plus</t>
  </si>
  <si>
    <t>DJI Northmead</t>
  </si>
  <si>
    <t>Bunnings Belrose</t>
  </si>
  <si>
    <t xml:space="preserve">JBHIFI Macquarie </t>
  </si>
  <si>
    <t>JBHIFI Belrose</t>
  </si>
  <si>
    <t>Collected Macquarie Park 07-12</t>
  </si>
  <si>
    <t>Ps5 Digital</t>
  </si>
  <si>
    <t xml:space="preserve">Collected Homebush </t>
  </si>
  <si>
    <t>+</t>
  </si>
  <si>
    <t>Bunnings</t>
  </si>
  <si>
    <t xml:space="preserve">56 units breakdown </t>
  </si>
  <si>
    <t>54*15</t>
  </si>
  <si>
    <t>2*30</t>
  </si>
  <si>
    <t>Total $870</t>
  </si>
  <si>
    <t>Previous 6 units+ other items</t>
  </si>
  <si>
    <t>Grand total = $1020</t>
  </si>
  <si>
    <t>paid 07/12</t>
  </si>
  <si>
    <t>Pending Delivery Kennards</t>
  </si>
  <si>
    <t>Collected 10-12</t>
  </si>
  <si>
    <t>Multiple Stores Adil</t>
  </si>
  <si>
    <t>Delivered 07-12</t>
  </si>
  <si>
    <t>Adil Bhai</t>
  </si>
  <si>
    <t>Cash Paid</t>
  </si>
  <si>
    <t>Delivered 12-12</t>
  </si>
  <si>
    <t>CT Freight M</t>
  </si>
  <si>
    <t>Pending Collection Mt Druitt</t>
  </si>
  <si>
    <t>Pending Stock arrival</t>
  </si>
  <si>
    <t>Collected Burwood</t>
  </si>
  <si>
    <t>Pending Deliverey</t>
  </si>
  <si>
    <t>DJI Mavic 4 RC2 Standard</t>
  </si>
  <si>
    <t>DJI Macquarie</t>
  </si>
  <si>
    <t>Bunnings East Pakenham</t>
  </si>
  <si>
    <t>Acer A7 Laptop</t>
  </si>
  <si>
    <t>DJI mavic 4 pro fly mor combo</t>
  </si>
  <si>
    <t>Collected 14-12</t>
  </si>
  <si>
    <t>Collected 13-12</t>
  </si>
  <si>
    <t>Delivered 14-12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</si>
</sst>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;[Red]\-&quot;$&quot;#,##0"/>
    <numFmt numFmtId="165" formatCode="&quot;$&quot;#,##0.00"/>
    <numFmt numFmtId="166" formatCode="&quot;$&quot;#,##0"/>
    <numFmt numFmtId="167" formatCode="[$-C09]d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  <font>
      <sz val="8"/>
      <color theme="1"/>
      <name val="Courier New"/>
      <family val="3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1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5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5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5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5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5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5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5" fontId="5" fillId="0" borderId="1" xfId="0" applyNumberFormat="1" applyFont="1" applyBorder="1"/>
    <xf numFmtId="165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5" fontId="2" fillId="2" borderId="1" xfId="0" applyNumberFormat="1" applyFont="1" applyFill="1" applyBorder="1"/>
    <xf numFmtId="0" fontId="0" fillId="7" borderId="1" xfId="0" applyFill="1" applyBorder="1"/>
    <xf numFmtId="166" fontId="0" fillId="0" borderId="1" xfId="0" applyNumberFormat="1" applyBorder="1"/>
    <xf numFmtId="166" fontId="0" fillId="2" borderId="1" xfId="0" applyNumberFormat="1" applyFill="1" applyBorder="1"/>
    <xf numFmtId="166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6" fontId="2" fillId="2" borderId="1" xfId="0" applyNumberFormat="1" applyFont="1" applyFill="1" applyBorder="1" applyAlignment="1">
      <alignment vertical="center"/>
    </xf>
    <xf numFmtId="166" fontId="2" fillId="2" borderId="1" xfId="0" applyNumberFormat="1" applyFont="1" applyFill="1" applyBorder="1"/>
    <xf numFmtId="0" fontId="0" fillId="7" borderId="2" xfId="0" applyFill="1" applyBorder="1"/>
    <xf numFmtId="0" fontId="6" fillId="0" borderId="0" xfId="0" applyFont="1" applyAlignment="1">
      <alignment vertical="center" wrapText="1"/>
    </xf>
    <xf numFmtId="166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0" xfId="0" applyFont="1"/>
    <xf numFmtId="0" fontId="1" fillId="0" borderId="1" xfId="0" pivotButton="1" applyFont="1" applyBorder="1"/>
    <xf numFmtId="14" fontId="1" fillId="0" borderId="1" xfId="0" applyNumberFormat="1" applyFont="1" applyBorder="1" applyAlignment="1">
      <alignment horizontal="left"/>
    </xf>
    <xf numFmtId="16" fontId="0" fillId="0" borderId="0" xfId="0" applyNumberFormat="1"/>
    <xf numFmtId="166" fontId="0" fillId="0" borderId="0" xfId="0" applyNumberFormat="1"/>
    <xf numFmtId="166" fontId="0" fillId="2" borderId="0" xfId="0" applyNumberFormat="1" applyFill="1"/>
    <xf numFmtId="16" fontId="0" fillId="8" borderId="1" xfId="0" applyNumberFormat="1" applyFill="1" applyBorder="1"/>
    <xf numFmtId="0" fontId="0" fillId="8" borderId="1" xfId="0" applyFill="1" applyBorder="1"/>
    <xf numFmtId="165" fontId="0" fillId="8" borderId="1" xfId="0" applyNumberFormat="1" applyFill="1" applyBorder="1"/>
    <xf numFmtId="166" fontId="0" fillId="8" borderId="1" xfId="0" applyNumberFormat="1" applyFill="1" applyBorder="1"/>
    <xf numFmtId="16" fontId="0" fillId="9" borderId="1" xfId="0" applyNumberFormat="1" applyFill="1" applyBorder="1"/>
    <xf numFmtId="0" fontId="0" fillId="9" borderId="1" xfId="0" applyFill="1" applyBorder="1"/>
    <xf numFmtId="166" fontId="0" fillId="9" borderId="1" xfId="0" applyNumberFormat="1" applyFill="1" applyBorder="1"/>
    <xf numFmtId="16" fontId="0" fillId="9" borderId="3" xfId="0" applyNumberFormat="1" applyFill="1" applyBorder="1"/>
    <xf numFmtId="0" fontId="0" fillId="9" borderId="3" xfId="0" applyFill="1" applyBorder="1"/>
    <xf numFmtId="166" fontId="0" fillId="9" borderId="3" xfId="0" applyNumberFormat="1" applyFill="1" applyBorder="1"/>
    <xf numFmtId="165" fontId="0" fillId="9" borderId="1" xfId="0" applyNumberFormat="1" applyFill="1" applyBorder="1"/>
    <xf numFmtId="167" fontId="0" fillId="9" borderId="1" xfId="0" applyNumberFormat="1" applyFill="1" applyBorder="1"/>
    <xf numFmtId="16" fontId="0" fillId="9" borderId="0" xfId="0" applyNumberFormat="1" applyFill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ivotCacheDefinition" Target="pivotCache/pivotCacheDefinition4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7.xml"/><Relationship Id="rId47" Type="http://schemas.openxmlformats.org/officeDocument/2006/relationships/styles" Target="styles.xml"/><Relationship Id="rId50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pivotCacheDefinition" Target="pivotCache/pivotCacheDefinition2.xml"/><Relationship Id="rId40" Type="http://schemas.openxmlformats.org/officeDocument/2006/relationships/pivotCacheDefinition" Target="pivotCache/pivotCacheDefinition5.xml"/><Relationship Id="rId45" Type="http://schemas.openxmlformats.org/officeDocument/2006/relationships/pivotCacheDefinition" Target="pivotCache/pivotCacheDefinition1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1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8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pivotCacheDefinition" Target="pivotCache/pivotCacheDefinition3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Shipment 2904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NZ OCT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NZ SEP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NZ Aug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Broadway DJI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0.951439467593" createdVersion="8" refreshedVersion="8" minRefreshableVersion="3" recordCount="28" xr:uid="{A21EF4BF-D30D-49F1-98DA-59BE87326FDC}">
  <cacheSource type="worksheet">
    <worksheetSource ref="A1:G1048576" sheet="Sheet5"/>
  </cacheSource>
  <cacheFields count="7">
    <cacheField name="Date" numFmtId="0">
      <sharedItems containsNonDate="0" containsDate="1" containsString="0" containsBlank="1" minDate="2025-11-19T00:00:00" maxDate="2025-11-30T00:00:00"/>
    </cacheField>
    <cacheField name="Qty" numFmtId="0">
      <sharedItems containsString="0" containsBlank="1" containsNumber="1" containsInteger="1" minValue="1" maxValue="23"/>
    </cacheField>
    <cacheField name="Descriptions" numFmtId="0">
      <sharedItems containsBlank="1" count="11">
        <s v="JBL Charge 6"/>
        <s v="PS5 Disk Bundle NBA"/>
        <s v="PS5 Digital"/>
        <s v="PS5 Disc"/>
        <s v="PS5Disc "/>
        <s v="PS5Digital"/>
        <s v="Mic 3 Combo"/>
        <s v="JBL Chare 6"/>
        <s v="Ray Ban Meta Wayfarer Gen 1"/>
        <s v="Starlink Standard Kit"/>
        <m/>
      </sharedItems>
    </cacheField>
    <cacheField name="Store" numFmtId="0">
      <sharedItems containsBlank="1" count="9">
        <s v="Good Guys Auburn"/>
        <s v="Good Guys Wetherhill Park"/>
        <s v="Good Guys Casula"/>
        <s v="Ebgames Online"/>
        <s v="Good Guys "/>
        <s v="JBHIFI Parramatta"/>
        <s v="JBHIFI Top Ryde"/>
        <s v="Office Works Guildford"/>
        <m/>
      </sharedItems>
    </cacheField>
    <cacheField name="Price" numFmtId="0">
      <sharedItems containsString="0" containsBlank="1" containsNumber="1" containsInteger="1" minValue="125" maxValue="659"/>
    </cacheField>
    <cacheField name="Total" numFmtId="0">
      <sharedItems containsString="0" containsBlank="1" containsNumber="1" containsInteger="1" minValue="399" maxValue="4581"/>
    </cacheField>
    <cacheField name="status" numFmtId="0">
      <sharedItems containsBlank="1" count="14">
        <s v="Pending Collection Auburn"/>
        <s v="Pending Collection Wetherill Park"/>
        <s v="Pending Collection Casula"/>
        <s v="Pending Collection Broadway"/>
        <s v="Pending Collection Whetherill Park"/>
        <s v="Pending Collection Campbelltown"/>
        <s v="Pending Collection Macarthur Square"/>
        <s v="Pending Collection TBC"/>
        <s v="Pending Collection Merrylands"/>
        <s v="Pending Collection Parramatta"/>
        <s v="Pending Collection Auburn Officeworks"/>
        <m/>
        <s v="Pending Collection Wetherhill Park" u="1"/>
        <s v="Pending Collecti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771064813" createdVersion="8" refreshedVersion="8" minRefreshableVersion="3" recordCount="135" xr:uid="{08E1C40D-E075-41DE-AEEB-496187BE7156}">
  <cacheSource type="worksheet">
    <worksheetSource ref="A1:I1048576" sheet="AU NOV"/>
  </cacheSource>
  <cacheFields count="9">
    <cacheField name="Date" numFmtId="0">
      <sharedItems containsNonDate="0" containsDate="1" containsString="0" containsBlank="1" minDate="2025-11-02T00:00:00" maxDate="2025-12-01T00:00:00"/>
    </cacheField>
    <cacheField name="Qty" numFmtId="0">
      <sharedItems containsString="0" containsBlank="1" containsNumber="1" containsInteger="1" minValue="1" maxValue="50"/>
    </cacheField>
    <cacheField name="Descriptions" numFmtId="0">
      <sharedItems containsBlank="1" count="42">
        <s v="Mic 3 Combo"/>
        <s v="JBL Charge 6 "/>
        <s v="JBL Charge 6"/>
        <s v="Mini 4"/>
        <s v="Mavic 4 FMC"/>
        <s v="Flip Essentials"/>
        <s v="DJI Mic 3 Combo"/>
        <s v="Starlink Standard Kit"/>
        <s v="Google pixel 10 pro 128"/>
        <s v="Google pixel 10 pro 256"/>
        <s v="DJI mini 5 Pro FMC 52 Min"/>
        <s v="DJI Mavic 4 standard"/>
        <s v="DJI Mavic 4 FMC RC2"/>
        <s v="Google pixel 8 pro 128"/>
        <s v="Company registration renew  Fee"/>
        <s v="Shipping Charges"/>
        <s v="Meta Quest 3s 256 "/>
        <s v="Ninja Blender"/>
        <s v="Osmo Pocket 3 Creator Combo"/>
        <s v="Osmo Pocket Standard"/>
        <s v="Osmo Pocket 3  Creator Combo Active"/>
        <s v="Osmo Pocket 3 Creator Combo "/>
        <s v="Ninetendo Switch 2 Bundle"/>
        <s v="Iphone17 pro max 256 Silver"/>
        <s v="Iphone17 pro max 256 Orange"/>
        <s v="DJI Osmo Pocket 3 standrad"/>
        <s v="DJI Mic Mini"/>
        <s v="PS5 Disk Bundle NBA"/>
        <s v="PS5 Disk Bundle "/>
        <s v="PS5 Digital"/>
        <s v="PS5 Disc"/>
        <s v="PS5Disc "/>
        <s v="PS5Digital"/>
        <s v="Van Hire 11+ Petrol"/>
        <s v="Canon SX740"/>
        <s v="Delivery Expense"/>
        <s v="JBL Chare 6"/>
        <s v="Mic Mini"/>
        <s v="Ray Ban Meta Wayfarer Gen 1"/>
        <s v="Meta Wayfarer Gen 1 Glasses"/>
        <s v="Collection Commision"/>
        <m/>
      </sharedItems>
    </cacheField>
    <cacheField name="Store" numFmtId="0">
      <sharedItems containsBlank="1"/>
    </cacheField>
    <cacheField name="Price" numFmtId="165">
      <sharedItems containsBlank="1" containsMixedTypes="1" containsNumber="1" minValue="0" maxValue="10122.66"/>
    </cacheField>
    <cacheField name="Total" numFmtId="165">
      <sharedItems containsString="0" containsBlank="1" containsNumber="1" minValue="0" maxValue="40500"/>
    </cacheField>
    <cacheField name="status" numFmtId="0">
      <sharedItems containsBlank="1"/>
    </cacheField>
    <cacheField name="Shipped" numFmtId="0">
      <sharedItems containsNonDate="0" containsDate="1" containsString="0" containsBlank="1" minDate="2025-11-05T00:00:00" maxDate="2025-11-25T00:00:00"/>
    </cacheField>
    <cacheField name="Comments" numFmtId="0">
      <sharedItems containsBlank="1" count="11">
        <m/>
        <s v="Old Deposit"/>
        <s v="Old Purchasing"/>
        <s v="10% Gift Card"/>
        <s v="Megatop"/>
        <s v="1 unit to be refund"/>
        <s v="Active units"/>
        <s v="2units  to be refund"/>
        <s v="1 unit refund"/>
        <s v="Expense"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862268519" createdVersion="8" refreshedVersion="8" minRefreshableVersion="3" recordCount="46" xr:uid="{2BC92729-E410-4819-8593-C9C2A5A3D1F5}">
  <cacheSource type="worksheet">
    <worksheetSource ref="A1:I1048576" sheet="AU DEC"/>
  </cacheSource>
  <cacheFields count="9">
    <cacheField name="Date" numFmtId="0">
      <sharedItems containsNonDate="0" containsDate="1" containsString="0" containsBlank="1" minDate="2025-12-01T00:00:00" maxDate="2025-12-04T00:00:00"/>
    </cacheField>
    <cacheField name="Qty" numFmtId="0">
      <sharedItems containsString="0" containsBlank="1" containsNumber="1" containsInteger="1" minValue="1" maxValue="14"/>
    </cacheField>
    <cacheField name="Descriptions" numFmtId="0">
      <sharedItems containsBlank="1" count="15">
        <s v="Starlink Standard Kit"/>
        <s v="PS5 Slim Digital"/>
        <s v="DJI Mic 3"/>
        <s v="JBL Charge 6"/>
        <s v="PS5 Slim Disc NBA"/>
        <s v="PS5 Slim Digital 1TB"/>
        <s v="Collection Commision"/>
        <s v="DJI Mic Mini"/>
        <s v="PS5 Digital"/>
        <s v="PS5"/>
        <s v="PS5 DISC"/>
        <s v="Wireless Controller"/>
        <s v="Astrobot Games"/>
        <s v="Mic 3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44" maxValue="659"/>
    </cacheField>
    <cacheField name="Total" numFmtId="0">
      <sharedItems containsString="0" containsBlank="1" containsNumber="1" containsInteger="1" minValue="44" maxValue="4776"/>
    </cacheField>
    <cacheField name="status" numFmtId="0">
      <sharedItems containsBlank="1"/>
    </cacheField>
    <cacheField name="Shipped" numFmtId="0">
      <sharedItems containsNonDate="0" containsString="0" containsBlank="1"/>
    </cacheField>
    <cacheField name="Comments" numFmtId="0">
      <sharedItems containsBlank="1" count="3">
        <s v="Megatop"/>
        <m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11-19T00:00:00"/>
    <n v="15"/>
    <x v="0"/>
    <x v="0"/>
    <n v="125"/>
    <n v="1875"/>
    <x v="0"/>
  </r>
  <r>
    <d v="2025-11-20T00:00:00"/>
    <n v="12"/>
    <x v="0"/>
    <x v="1"/>
    <n v="125"/>
    <n v="1500"/>
    <x v="1"/>
  </r>
  <r>
    <d v="2025-11-20T00:00:00"/>
    <n v="23"/>
    <x v="0"/>
    <x v="2"/>
    <n v="125"/>
    <n v="2875"/>
    <x v="2"/>
  </r>
  <r>
    <d v="2025-11-21T00:00:00"/>
    <n v="1"/>
    <x v="1"/>
    <x v="3"/>
    <n v="598"/>
    <n v="598"/>
    <x v="3"/>
  </r>
  <r>
    <d v="2025-11-21T00:00:00"/>
    <n v="5"/>
    <x v="2"/>
    <x v="4"/>
    <n v="509"/>
    <n v="2545"/>
    <x v="0"/>
  </r>
  <r>
    <d v="2025-11-21T00:00:00"/>
    <n v="6"/>
    <x v="3"/>
    <x v="4"/>
    <n v="659"/>
    <n v="3954"/>
    <x v="0"/>
  </r>
  <r>
    <d v="2025-11-21T00:00:00"/>
    <n v="3"/>
    <x v="3"/>
    <x v="4"/>
    <n v="659"/>
    <n v="1977"/>
    <x v="4"/>
  </r>
  <r>
    <d v="2025-11-21T00:00:00"/>
    <n v="7"/>
    <x v="2"/>
    <x v="4"/>
    <n v="509"/>
    <n v="3563"/>
    <x v="4"/>
  </r>
  <r>
    <d v="2025-11-21T00:00:00"/>
    <n v="5"/>
    <x v="4"/>
    <x v="4"/>
    <n v="659"/>
    <n v="3295"/>
    <x v="2"/>
  </r>
  <r>
    <d v="2025-11-21T00:00:00"/>
    <n v="9"/>
    <x v="5"/>
    <x v="4"/>
    <n v="509"/>
    <n v="4581"/>
    <x v="2"/>
  </r>
  <r>
    <d v="2025-11-21T00:00:00"/>
    <n v="8"/>
    <x v="5"/>
    <x v="4"/>
    <n v="509"/>
    <n v="4072"/>
    <x v="5"/>
  </r>
  <r>
    <d v="2025-11-28T00:00:00"/>
    <n v="6"/>
    <x v="6"/>
    <x v="5"/>
    <n v="419"/>
    <n v="2514"/>
    <x v="6"/>
  </r>
  <r>
    <d v="2025-11-28T00:00:00"/>
    <n v="10"/>
    <x v="7"/>
    <x v="5"/>
    <n v="125"/>
    <n v="1250"/>
    <x v="7"/>
  </r>
  <r>
    <d v="2025-11-28T00:00:00"/>
    <n v="3"/>
    <x v="6"/>
    <x v="5"/>
    <n v="419"/>
    <n v="1257"/>
    <x v="8"/>
  </r>
  <r>
    <d v="2025-11-28T00:00:00"/>
    <n v="2"/>
    <x v="6"/>
    <x v="5"/>
    <n v="419"/>
    <n v="838"/>
    <x v="9"/>
  </r>
  <r>
    <d v="2025-11-29T00:00:00"/>
    <n v="1"/>
    <x v="8"/>
    <x v="6"/>
    <n v="399"/>
    <n v="399"/>
    <x v="9"/>
  </r>
  <r>
    <d v="2025-11-29T00:00:00"/>
    <n v="2"/>
    <x v="9"/>
    <x v="7"/>
    <n v="398"/>
    <n v="796"/>
    <x v="10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d v="2025-11-03T00:00:00"/>
    <n v="10"/>
    <x v="0"/>
    <s v="DJI Macquarie Park"/>
    <n v="410"/>
    <n v="4100"/>
    <s v="Collected 03-11"/>
    <d v="2025-11-05T00:00:00"/>
    <x v="0"/>
  </r>
  <r>
    <d v="2025-11-03T00:00:00"/>
    <n v="7"/>
    <x v="1"/>
    <s v="Good Guys Blacktown"/>
    <n v="150"/>
    <n v="1050"/>
    <s v="Collected 03-11"/>
    <d v="2025-11-05T00:00:00"/>
    <x v="0"/>
  </r>
  <r>
    <d v="2025-11-02T00:00:00"/>
    <n v="4"/>
    <x v="2"/>
    <s v="Good Guys Auburn"/>
    <n v="150"/>
    <n v="600"/>
    <s v="Collected 02-11"/>
    <d v="2025-11-05T00:00:00"/>
    <x v="0"/>
  </r>
  <r>
    <d v="2025-11-02T00:00:00"/>
    <n v="4"/>
    <x v="1"/>
    <s v="Good Guys Auburn"/>
    <n v="150"/>
    <n v="600"/>
    <s v="Collected 02-11"/>
    <d v="2025-11-05T00:00:00"/>
    <x v="0"/>
  </r>
  <r>
    <d v="2025-11-04T00:00:00"/>
    <n v="20"/>
    <x v="3"/>
    <s v="Harvey Norman Moorepark"/>
    <n v="1063"/>
    <n v="21260"/>
    <s v="Collected 04-11"/>
    <d v="2025-11-05T00:00:00"/>
    <x v="1"/>
  </r>
  <r>
    <d v="2025-11-04T00:00:00"/>
    <n v="12"/>
    <x v="4"/>
    <s v="Harvey Norman Broadway"/>
    <n v="3375"/>
    <n v="40500"/>
    <s v="Collected 04-11"/>
    <d v="2025-11-05T00:00:00"/>
    <x v="0"/>
  </r>
  <r>
    <d v="2025-11-04T00:00:00"/>
    <n v="2"/>
    <x v="5"/>
    <s v="Harvey Norman Broadway"/>
    <n v="88"/>
    <n v="176"/>
    <s v="Collected 04-11"/>
    <d v="2025-11-05T00:00:00"/>
    <x v="2"/>
  </r>
  <r>
    <d v="2025-11-05T00:00:00"/>
    <n v="30"/>
    <x v="6"/>
    <s v="DJI Macquarie Park"/>
    <n v="410"/>
    <n v="12300"/>
    <s v="Collected 11 NOV"/>
    <d v="2025-11-18T00:00:00"/>
    <x v="0"/>
  </r>
  <r>
    <d v="2025-11-08T00:00:00"/>
    <n v="1"/>
    <x v="7"/>
    <s v="Bunnings Northmead"/>
    <n v="450"/>
    <n v="450"/>
    <s v="Collected "/>
    <d v="2025-11-18T00:00:00"/>
    <x v="0"/>
  </r>
  <r>
    <d v="2025-11-08T00:00:00"/>
    <n v="1"/>
    <x v="7"/>
    <s v="Bunnings Seven Hills"/>
    <n v="450"/>
    <n v="450"/>
    <s v="Collected "/>
    <d v="2025-11-18T00:00:00"/>
    <x v="0"/>
  </r>
  <r>
    <d v="2025-11-08T00:00:00"/>
    <n v="4"/>
    <x v="7"/>
    <s v="Bunnings Carlingford"/>
    <n v="450"/>
    <n v="1800"/>
    <s v="Collected "/>
    <d v="2025-11-18T00:00:00"/>
    <x v="0"/>
  </r>
  <r>
    <d v="2025-11-08T00:00:00"/>
    <n v="5"/>
    <x v="7"/>
    <s v="Bunnings Rydalmere"/>
    <n v="450"/>
    <n v="2250"/>
    <s v="Collected "/>
    <d v="2025-11-18T00:00:00"/>
    <x v="0"/>
  </r>
  <r>
    <d v="2025-11-08T00:00:00"/>
    <n v="11"/>
    <x v="7"/>
    <s v="Bunnings Gladesville"/>
    <n v="450"/>
    <n v="4950"/>
    <s v="Collected "/>
    <d v="2025-11-18T00:00:00"/>
    <x v="0"/>
  </r>
  <r>
    <d v="2025-11-09T00:00:00"/>
    <n v="10"/>
    <x v="7"/>
    <s v="Bunnings Thornleigh"/>
    <n v="450"/>
    <n v="4500"/>
    <s v="Collected "/>
    <d v="2025-11-18T00:00:00"/>
    <x v="0"/>
  </r>
  <r>
    <d v="2025-11-09T00:00:00"/>
    <n v="1"/>
    <x v="8"/>
    <s v="Harvey Norman Castle Hills"/>
    <n v="1358"/>
    <n v="1358"/>
    <s v="Collected "/>
    <d v="2025-11-18T00:00:00"/>
    <x v="3"/>
  </r>
  <r>
    <d v="2025-11-09T00:00:00"/>
    <n v="2"/>
    <x v="9"/>
    <s v="Officeworks Castle Hills"/>
    <n v="1403"/>
    <n v="2806"/>
    <s v="Collected "/>
    <d v="2025-11-18T00:00:00"/>
    <x v="0"/>
  </r>
  <r>
    <d v="2025-11-09T00:00:00"/>
    <n v="1"/>
    <x v="7"/>
    <s v="Officeworks Castle Hills"/>
    <n v="474"/>
    <n v="474"/>
    <s v="Collected "/>
    <d v="2025-11-18T00:00:00"/>
    <x v="0"/>
  </r>
  <r>
    <d v="2025-11-09T00:00:00"/>
    <n v="1"/>
    <x v="9"/>
    <s v="Office Works Northmead"/>
    <n v="1403"/>
    <n v="1403"/>
    <s v="Collected"/>
    <d v="2025-11-18T00:00:00"/>
    <x v="0"/>
  </r>
  <r>
    <d v="2025-11-09T00:00:00"/>
    <n v="1"/>
    <x v="9"/>
    <s v="Office Works Northmead"/>
    <n v="1403"/>
    <n v="1403"/>
    <s v="Collected 15-11"/>
    <d v="2025-11-18T00:00:00"/>
    <x v="0"/>
  </r>
  <r>
    <d v="2025-11-09T00:00:00"/>
    <n v="2"/>
    <x v="7"/>
    <s v="Bunnings Northmead"/>
    <n v="450"/>
    <n v="900"/>
    <s v="Collected"/>
    <d v="2025-11-18T00:00:00"/>
    <x v="0"/>
  </r>
  <r>
    <d v="2025-11-09T00:00:00"/>
    <n v="1"/>
    <x v="9"/>
    <s v="Officeworks Wentworthville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5"/>
    <x v="7"/>
    <s v="Bunnings Smithfield"/>
    <n v="450"/>
    <n v="2250"/>
    <s v="Collected"/>
    <d v="2025-11-21T00:00:00"/>
    <x v="0"/>
  </r>
  <r>
    <d v="2025-11-09T00:00:00"/>
    <n v="3"/>
    <x v="8"/>
    <s v="Harvey Norman Fyshwick"/>
    <n v="1358"/>
    <n v="4074"/>
    <s v="Collected 21-11"/>
    <d v="2025-11-21T00:00:00"/>
    <x v="3"/>
  </r>
  <r>
    <d v="2025-11-09T00:00:00"/>
    <n v="3"/>
    <x v="9"/>
    <s v="Harvey Norman Fyshwick"/>
    <n v="1477"/>
    <n v="4431"/>
    <s v="Collected 21-11"/>
    <d v="2025-11-21T00:00:00"/>
    <x v="3"/>
  </r>
  <r>
    <d v="2025-11-09T00:00:00"/>
    <n v="5"/>
    <x v="6"/>
    <s v="DJI Macquarie Park"/>
    <n v="410"/>
    <n v="2050"/>
    <s v="Collected/ 2 shipped"/>
    <d v="2025-11-18T00:00:00"/>
    <x v="0"/>
  </r>
  <r>
    <d v="2025-11-11T00:00:00"/>
    <n v="30"/>
    <x v="6"/>
    <s v="DJI Macquarie Park"/>
    <n v="410"/>
    <n v="12300"/>
    <s v="Collected 17-11"/>
    <d v="2025-11-18T00:00:00"/>
    <x v="0"/>
  </r>
  <r>
    <d v="2025-11-11T00:00:00"/>
    <n v="5"/>
    <x v="10"/>
    <s v="DJI Macquarie Park"/>
    <n v="1400"/>
    <n v="7000"/>
    <s v="Collected 17-11"/>
    <d v="2025-11-18T00:00:00"/>
    <x v="0"/>
  </r>
  <r>
    <d v="2025-11-11T00:00:00"/>
    <n v="5"/>
    <x v="11"/>
    <s v="DJI Macquarie Park"/>
    <n v="2500"/>
    <n v="12500"/>
    <s v="Collected 17-11"/>
    <d v="2025-11-18T00:00:00"/>
    <x v="0"/>
  </r>
  <r>
    <d v="2025-11-11T00:00:00"/>
    <n v="10"/>
    <x v="12"/>
    <s v="DJI Macquarie Park"/>
    <n v="3300"/>
    <n v="33000"/>
    <s v="Collected 17-11"/>
    <d v="2025-11-18T00:00:00"/>
    <x v="0"/>
  </r>
  <r>
    <d v="2025-11-17T00:00:00"/>
    <n v="9"/>
    <x v="13"/>
    <s v="Harvey Norman Fyshwick"/>
    <n v="625"/>
    <n v="5625"/>
    <s v="Colledted 20-11"/>
    <d v="2025-11-21T00:00:00"/>
    <x v="3"/>
  </r>
  <r>
    <d v="2025-11-17T00:00:00"/>
    <n v="1"/>
    <x v="14"/>
    <s v="ASIC"/>
    <n v="329"/>
    <n v="329"/>
    <m/>
    <m/>
    <x v="0"/>
  </r>
  <r>
    <d v="2025-11-17T00:00:00"/>
    <n v="1"/>
    <x v="15"/>
    <s v="Megatop"/>
    <n v="5000"/>
    <n v="5000"/>
    <m/>
    <m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4-11"/>
    <m/>
    <x v="4"/>
  </r>
  <r>
    <d v="2025-11-18T00:00:00"/>
    <n v="3"/>
    <x v="1"/>
    <s v="JBHIFI Roselands"/>
    <n v="130"/>
    <n v="390"/>
    <s v="Collected"/>
    <d v="2025-11-21T00:00:00"/>
    <x v="0"/>
  </r>
  <r>
    <d v="2025-11-19T00:00:00"/>
    <n v="6"/>
    <x v="1"/>
    <s v="JBHIFI Roselands"/>
    <n v="130"/>
    <n v="780"/>
    <s v="Collected"/>
    <d v="2025-11-21T00:00:00"/>
    <x v="0"/>
  </r>
  <r>
    <d v="2025-11-19T00:00:00"/>
    <n v="10"/>
    <x v="17"/>
    <s v="JBHIFI Roselands"/>
    <n v="39"/>
    <n v="390"/>
    <s v="Collected"/>
    <d v="2025-11-21T00:00:00"/>
    <x v="0"/>
  </r>
  <r>
    <d v="2025-11-19T00:00:00"/>
    <n v="6"/>
    <x v="18"/>
    <s v="JBHIFI Roselands"/>
    <n v="779"/>
    <n v="4674"/>
    <s v="Collected"/>
    <d v="2025-11-21T00:00:00"/>
    <x v="0"/>
  </r>
  <r>
    <d v="2025-11-19T00:00:00"/>
    <n v="6"/>
    <x v="19"/>
    <s v="JBHIFI Roselands"/>
    <n v="594"/>
    <n v="3564"/>
    <s v="Collected"/>
    <d v="2025-11-21T00:00:00"/>
    <x v="0"/>
  </r>
  <r>
    <d v="2025-11-19T00:00:00"/>
    <n v="3"/>
    <x v="19"/>
    <s v="JBHIFI Roselands"/>
    <n v="594"/>
    <n v="1782"/>
    <s v="Collected Parramatta"/>
    <d v="2025-11-21T00:00:00"/>
    <x v="0"/>
  </r>
  <r>
    <d v="2025-11-19T00:00:00"/>
    <n v="4"/>
    <x v="16"/>
    <s v="JBHIFI Roselands"/>
    <n v="454"/>
    <n v="1816"/>
    <s v="Delivered 24-11"/>
    <m/>
    <x v="4"/>
  </r>
  <r>
    <d v="2025-11-19T00:00:00"/>
    <n v="10"/>
    <x v="20"/>
    <s v="DJI Macquarie Park"/>
    <n v="777"/>
    <n v="7770"/>
    <s v="Collected 29-11"/>
    <m/>
    <x v="0"/>
  </r>
  <r>
    <d v="2025-11-19T00:00:00"/>
    <n v="10"/>
    <x v="10"/>
    <s v="DJI Macquarie Park"/>
    <n v="1400"/>
    <n v="14000"/>
    <s v="Collected 29-11"/>
    <m/>
    <x v="0"/>
  </r>
  <r>
    <d v="2025-11-19T00:00:00"/>
    <n v="7"/>
    <x v="19"/>
    <s v="JBHIFI Bankstown"/>
    <n v="559"/>
    <n v="3913"/>
    <s v="Collected"/>
    <d v="2025-11-21T00:00:00"/>
    <x v="0"/>
  </r>
  <r>
    <d v="2025-11-19T00:00:00"/>
    <n v="6"/>
    <x v="21"/>
    <s v="JBHIFI Bankstown"/>
    <n v="779"/>
    <n v="4674"/>
    <s v="Collected"/>
    <d v="2025-11-21T00:00:00"/>
    <x v="0"/>
  </r>
  <r>
    <d v="2025-11-19T00:00:00"/>
    <n v="4"/>
    <x v="2"/>
    <s v="JBHIFI Bankstown"/>
    <n v="125"/>
    <n v="500"/>
    <s v="Collected"/>
    <d v="2025-11-21T00:00:00"/>
    <x v="0"/>
  </r>
  <r>
    <d v="2025-11-19T00:00:00"/>
    <n v="1"/>
    <x v="22"/>
    <s v="Eb Games Parramatta"/>
    <n v="699"/>
    <n v="699"/>
    <s v="Collected 20-11"/>
    <d v="2025-11-21T00:00:00"/>
    <x v="0"/>
  </r>
  <r>
    <d v="2025-11-19T00:00:00"/>
    <n v="15"/>
    <x v="2"/>
    <s v="Good Guys Auburn"/>
    <n v="125"/>
    <n v="1875"/>
    <s v="Collected 02-12"/>
    <m/>
    <x v="0"/>
  </r>
  <r>
    <d v="2025-11-20T00:00:00"/>
    <n v="12"/>
    <x v="2"/>
    <s v="Good Guys Wetherill Park"/>
    <n v="125"/>
    <n v="1500"/>
    <s v="Collected 01-12"/>
    <m/>
    <x v="0"/>
  </r>
  <r>
    <d v="2025-11-20T00:00:00"/>
    <n v="23"/>
    <x v="2"/>
    <s v="Good Guys Casula"/>
    <n v="125"/>
    <n v="2875"/>
    <s v="22 Units Collected 30-11"/>
    <m/>
    <x v="5"/>
  </r>
  <r>
    <d v="2025-11-20T00:00:00"/>
    <n v="1"/>
    <x v="22"/>
    <s v="Eb Games Parramatta"/>
    <n v="699"/>
    <n v="699"/>
    <s v="Collected 20-11"/>
    <d v="2025-11-21T00:00:00"/>
    <x v="0"/>
  </r>
  <r>
    <d v="2025-11-20T00:00:00"/>
    <n v="2"/>
    <x v="23"/>
    <s v="JBHIFI Parramatta"/>
    <n v="2100"/>
    <n v="42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2"/>
    <x v="24"/>
    <s v="JBHIFI Merrylands"/>
    <n v="2100"/>
    <n v="4200"/>
    <s v="Colected 21-11"/>
    <d v="2025-11-21T00:00:00"/>
    <x v="0"/>
  </r>
  <r>
    <d v="2025-11-20T00:00:00"/>
    <n v="5"/>
    <x v="25"/>
    <s v="JBHIFI Parramatta"/>
    <n v="574"/>
    <n v="2870"/>
    <s v="Collected"/>
    <d v="2025-11-21T00:00:00"/>
    <x v="0"/>
  </r>
  <r>
    <d v="2025-11-20T00:00:00"/>
    <n v="10"/>
    <x v="26"/>
    <s v="JBHIFI Parramatta"/>
    <n v="103"/>
    <n v="1030"/>
    <s v="Collected"/>
    <d v="2025-11-21T00:00:00"/>
    <x v="0"/>
  </r>
  <r>
    <d v="2025-11-20T00:00:00"/>
    <n v="3"/>
    <x v="2"/>
    <s v="JBHIFI Parramatta"/>
    <n v="125"/>
    <n v="375"/>
    <s v="Collected"/>
    <d v="2025-11-21T00:00:00"/>
    <x v="0"/>
  </r>
  <r>
    <d v="2025-11-20T00:00:00"/>
    <n v="3"/>
    <x v="23"/>
    <s v="JBHIFI Parramatta"/>
    <n v="2100"/>
    <n v="63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12"/>
    <x v="7"/>
    <s v="Bunnings(Mix old P)"/>
    <n v="449"/>
    <n v="5388"/>
    <s v="Collected"/>
    <d v="2025-11-21T00:00:00"/>
    <x v="0"/>
  </r>
  <r>
    <d v="2025-11-21T00:00:00"/>
    <n v="4"/>
    <x v="23"/>
    <s v="JBHIFI Parramatta"/>
    <n v="2100"/>
    <n v="8400"/>
    <s v="Collected"/>
    <d v="2025-11-21T00:00:00"/>
    <x v="0"/>
  </r>
  <r>
    <d v="2025-11-21T00:00:00"/>
    <n v="6"/>
    <x v="23"/>
    <s v="JBHIFI Hurstville"/>
    <n v="2100"/>
    <n v="12600"/>
    <s v="Collected"/>
    <d v="2025-11-21T00:00:00"/>
    <x v="0"/>
  </r>
  <r>
    <d v="2025-11-21T00:00:00"/>
    <n v="6"/>
    <x v="24"/>
    <s v="JBHIFI Hurstville"/>
    <n v="2100"/>
    <n v="12600"/>
    <s v="Collected"/>
    <d v="2025-11-21T00:00:00"/>
    <x v="0"/>
  </r>
  <r>
    <d v="2025-11-21T00:00:00"/>
    <n v="16"/>
    <x v="7"/>
    <s v="Megatop"/>
    <s v="TBC"/>
    <n v="0"/>
    <s v="Collected"/>
    <d v="2025-11-21T00:00:00"/>
    <x v="0"/>
  </r>
  <r>
    <d v="2025-11-21T00:00:00"/>
    <n v="5"/>
    <x v="7"/>
    <s v="Megatop"/>
    <n v="0"/>
    <n v="0"/>
    <s v="Collected"/>
    <d v="2025-11-21T00:00:00"/>
    <x v="6"/>
  </r>
  <r>
    <d v="2025-11-21T00:00:00"/>
    <n v="20"/>
    <x v="7"/>
    <s v="Bunnings Lidcomb"/>
    <n v="399"/>
    <n v="7980"/>
    <s v="Collected"/>
    <d v="2025-11-24T00:00:00"/>
    <x v="0"/>
  </r>
  <r>
    <d v="2025-11-21T00:00:00"/>
    <n v="9"/>
    <x v="7"/>
    <s v="Bunnings Gladesville"/>
    <n v="399"/>
    <n v="3591"/>
    <s v="Collected"/>
    <d v="2025-11-24T00:00:00"/>
    <x v="0"/>
  </r>
  <r>
    <d v="2025-11-21T00:00:00"/>
    <n v="3"/>
    <x v="27"/>
    <s v="Ebgames Online"/>
    <n v="609.95000000000005"/>
    <n v="1829.8500000000001"/>
    <s v="Delivered 22-11"/>
    <m/>
    <x v="4"/>
  </r>
  <r>
    <d v="2025-11-21T00:00:00"/>
    <n v="1"/>
    <x v="27"/>
    <s v="Ebgames Online"/>
    <n v="598"/>
    <n v="598"/>
    <s v="Pending Collection Broadway"/>
    <m/>
    <x v="0"/>
  </r>
  <r>
    <d v="2025-11-21T00:00:00"/>
    <n v="1"/>
    <x v="28"/>
    <s v="Ebgames Parramatta"/>
    <n v="598"/>
    <n v="598"/>
    <s v="Collected 21-11"/>
    <d v="2025-11-21T00:00:00"/>
    <x v="0"/>
  </r>
  <r>
    <d v="2025-11-21T00:00:00"/>
    <n v="5"/>
    <x v="29"/>
    <s v="Good Guys "/>
    <n v="509"/>
    <n v="2545"/>
    <s v="Collected 02-12"/>
    <m/>
    <x v="0"/>
  </r>
  <r>
    <d v="2025-11-21T00:00:00"/>
    <n v="6"/>
    <x v="30"/>
    <s v="Good Guys "/>
    <n v="659"/>
    <n v="3954"/>
    <s v="Collected 02-12"/>
    <m/>
    <x v="0"/>
  </r>
  <r>
    <d v="2025-11-21T00:00:00"/>
    <n v="3"/>
    <x v="30"/>
    <s v="Good Guys "/>
    <n v="659"/>
    <n v="1977"/>
    <s v="Collected 01-12"/>
    <m/>
    <x v="0"/>
  </r>
  <r>
    <d v="2025-11-21T00:00:00"/>
    <n v="7"/>
    <x v="29"/>
    <s v="Good Guys "/>
    <n v="509"/>
    <n v="3563"/>
    <s v="5 Units Collected 01-13"/>
    <m/>
    <x v="7"/>
  </r>
  <r>
    <d v="2025-11-21T00:00:00"/>
    <n v="5"/>
    <x v="31"/>
    <s v="Good Guys "/>
    <n v="659"/>
    <n v="3295"/>
    <s v="Casula (Colledted 30-11)"/>
    <m/>
    <x v="0"/>
  </r>
  <r>
    <d v="2025-11-21T00:00:00"/>
    <n v="9"/>
    <x v="32"/>
    <s v="Good Guys "/>
    <n v="509"/>
    <n v="4581"/>
    <s v="Casula (Colledted 30-11)"/>
    <m/>
    <x v="0"/>
  </r>
  <r>
    <d v="2025-11-21T00:00:00"/>
    <n v="8"/>
    <x v="32"/>
    <s v="Good Guys "/>
    <n v="509"/>
    <n v="4072"/>
    <s v="Campbelltown (7 Units Collected)"/>
    <m/>
    <x v="8"/>
  </r>
  <r>
    <d v="2025-11-23T00:00:00"/>
    <n v="14"/>
    <x v="7"/>
    <s v="Bunnings Leppington"/>
    <n v="398"/>
    <n v="5572"/>
    <s v="Collected"/>
    <d v="2025-11-24T00:00:00"/>
    <x v="0"/>
  </r>
  <r>
    <d v="2025-11-23T00:00:00"/>
    <n v="5"/>
    <x v="7"/>
    <s v="Bunnings Northmead"/>
    <n v="398"/>
    <n v="1990"/>
    <s v="Collected"/>
    <d v="2025-11-24T00:00:00"/>
    <x v="0"/>
  </r>
  <r>
    <d v="2025-11-23T00:00:00"/>
    <n v="27"/>
    <x v="7"/>
    <s v="Bunnings Seven Hills"/>
    <n v="398"/>
    <n v="10746"/>
    <s v="Collected"/>
    <d v="2025-11-24T00:00:00"/>
    <x v="0"/>
  </r>
  <r>
    <d v="2025-11-23T00:00:00"/>
    <n v="20"/>
    <x v="7"/>
    <s v="Bunnings Minchinbury"/>
    <n v="398"/>
    <n v="7960"/>
    <s v="Collected"/>
    <d v="2025-11-24T00:00:00"/>
    <x v="0"/>
  </r>
  <r>
    <d v="2025-11-23T00:00:00"/>
    <n v="12"/>
    <x v="7"/>
    <s v="Bunnings Blacktown"/>
    <n v="398"/>
    <n v="4776"/>
    <s v="Collected"/>
    <d v="2025-11-24T00:00:00"/>
    <x v="0"/>
  </r>
  <r>
    <d v="2025-11-23T00:00:00"/>
    <n v="19"/>
    <x v="7"/>
    <s v="Bunnings Hoxton park"/>
    <n v="398"/>
    <n v="7562"/>
    <s v="Collected"/>
    <d v="2025-11-24T00:00:00"/>
    <x v="0"/>
  </r>
  <r>
    <d v="2025-11-23T00:00:00"/>
    <n v="10"/>
    <x v="7"/>
    <s v="Bunnings North Penrith"/>
    <n v="398"/>
    <n v="3980"/>
    <s v="Collected"/>
    <d v="2025-11-24T00:00:00"/>
    <x v="0"/>
  </r>
  <r>
    <d v="2025-11-23T00:00:00"/>
    <n v="17"/>
    <x v="7"/>
    <s v="Bunnings Penrith"/>
    <n v="398"/>
    <n v="6766"/>
    <s v="Collected"/>
    <d v="2025-11-24T00:00:00"/>
    <x v="0"/>
  </r>
  <r>
    <d v="2025-11-24T00:00:00"/>
    <n v="27"/>
    <x v="7"/>
    <s v="Bunnings Bankstown"/>
    <n v="398"/>
    <n v="10746"/>
    <s v="Collected"/>
    <d v="2025-11-24T00:00:00"/>
    <x v="0"/>
  </r>
  <r>
    <d v="2025-11-24T00:00:00"/>
    <n v="11"/>
    <x v="7"/>
    <s v="Bunnings Bankstown"/>
    <n v="398"/>
    <n v="4378"/>
    <s v="Collected"/>
    <m/>
    <x v="4"/>
  </r>
  <r>
    <d v="2025-11-24T00:00:00"/>
    <n v="1"/>
    <x v="33"/>
    <s v="Anis Rental"/>
    <n v="105"/>
    <n v="105"/>
    <m/>
    <m/>
    <x v="9"/>
  </r>
  <r>
    <d v="2025-11-24T00:00:00"/>
    <n v="2"/>
    <x v="34"/>
    <s v="Digi Direct Parramatta"/>
    <n v="679"/>
    <n v="1358"/>
    <s v="Collected "/>
    <m/>
    <x v="1"/>
  </r>
  <r>
    <d v="2025-11-27T00:00:00"/>
    <n v="50"/>
    <x v="7"/>
    <s v="Bunnings Packenham"/>
    <n v="398"/>
    <n v="19900"/>
    <s v="Delivered 28-11"/>
    <m/>
    <x v="0"/>
  </r>
  <r>
    <d v="2025-11-27T00:00:00"/>
    <n v="1"/>
    <x v="35"/>
    <s v="Bunnings Packenham"/>
    <n v="200"/>
    <n v="200"/>
    <m/>
    <m/>
    <x v="9"/>
  </r>
  <r>
    <d v="2025-11-27T00:00:00"/>
    <n v="10"/>
    <x v="0"/>
    <s v="DJI Macquarie Park"/>
    <n v="410"/>
    <n v="4100"/>
    <s v="Collected 29-11"/>
    <m/>
    <x v="4"/>
  </r>
  <r>
    <d v="2025-11-28T00:00:00"/>
    <n v="6"/>
    <x v="0"/>
    <s v="JBHIFI Parramatta"/>
    <n v="419"/>
    <n v="2514"/>
    <s v="Macarthur Square (Collected 30-11)"/>
    <m/>
    <x v="4"/>
  </r>
  <r>
    <d v="2025-11-28T00:00:00"/>
    <n v="10"/>
    <x v="36"/>
    <s v="JBHIFI Parramatta"/>
    <n v="125"/>
    <n v="1250"/>
    <s v="Pending Collection TBC"/>
    <m/>
    <x v="0"/>
  </r>
  <r>
    <d v="2025-11-28T00:00:00"/>
    <n v="3"/>
    <x v="0"/>
    <s v="JBHIFI Parramatta"/>
    <n v="419"/>
    <n v="1257"/>
    <s v="Pending Collection Merrylands"/>
    <m/>
    <x v="0"/>
  </r>
  <r>
    <d v="2025-11-28T00:00:00"/>
    <n v="2"/>
    <x v="0"/>
    <s v="JBHIFI Parramatta"/>
    <n v="419"/>
    <n v="838"/>
    <s v="Pending Collection Parramatta"/>
    <m/>
    <x v="0"/>
  </r>
  <r>
    <d v="2025-11-29T00:00:00"/>
    <n v="1"/>
    <x v="29"/>
    <s v="Ebgames Macuarie Park"/>
    <n v="467"/>
    <n v="467"/>
    <s v="Collected"/>
    <m/>
    <x v="4"/>
  </r>
  <r>
    <d v="2025-11-29T00:00:00"/>
    <n v="2"/>
    <x v="29"/>
    <s v="JBHIFI Macquarie Park"/>
    <n v="479"/>
    <n v="958"/>
    <s v="Collected"/>
    <m/>
    <x v="4"/>
  </r>
  <r>
    <d v="2025-11-29T00:00:00"/>
    <n v="2"/>
    <x v="7"/>
    <s v="JBHIFI Macquarie Park"/>
    <n v="399"/>
    <n v="798"/>
    <s v="Collected"/>
    <m/>
    <x v="4"/>
  </r>
  <r>
    <d v="2025-11-29T00:00:00"/>
    <n v="3"/>
    <x v="0"/>
    <s v="JBHIFI Top Ryde"/>
    <n v="419"/>
    <n v="1257"/>
    <s v="Collected"/>
    <m/>
    <x v="4"/>
  </r>
  <r>
    <d v="2025-11-29T00:00:00"/>
    <n v="2"/>
    <x v="29"/>
    <s v="JBHIFI Top Ryde"/>
    <n v="479"/>
    <n v="958"/>
    <s v="Collected"/>
    <m/>
    <x v="4"/>
  </r>
  <r>
    <d v="2025-11-29T00:00:00"/>
    <n v="3"/>
    <x v="37"/>
    <s v="JBHIFI Top Ryde"/>
    <n v="105"/>
    <n v="315"/>
    <s v="Collected"/>
    <m/>
    <x v="4"/>
  </r>
  <r>
    <d v="2025-11-29T00:00:00"/>
    <n v="2"/>
    <x v="7"/>
    <s v="JBHIFI Top Ryde"/>
    <n v="299"/>
    <n v="598"/>
    <s v="Collected"/>
    <m/>
    <x v="4"/>
  </r>
  <r>
    <d v="2025-11-29T00:00:00"/>
    <n v="1"/>
    <x v="38"/>
    <s v="JBHIFI Top Ryde"/>
    <n v="399"/>
    <n v="399"/>
    <s v="Pending Collection Parramatta"/>
    <m/>
    <x v="0"/>
  </r>
  <r>
    <d v="2025-11-29T00:00:00"/>
    <n v="4"/>
    <x v="7"/>
    <s v="Office Works Guildford"/>
    <n v="398"/>
    <n v="1592"/>
    <s v="Collected"/>
    <m/>
    <x v="4"/>
  </r>
  <r>
    <d v="2025-11-29T00:00:00"/>
    <n v="2"/>
    <x v="7"/>
    <s v="Office Works Guildford"/>
    <n v="398"/>
    <n v="796"/>
    <s v=" Auburn Collected 02-12"/>
    <m/>
    <x v="4"/>
  </r>
  <r>
    <d v="2025-11-29T00:00:00"/>
    <n v="4"/>
    <x v="7"/>
    <s v="Bunnings Smithfield"/>
    <n v="398"/>
    <n v="1592"/>
    <s v="Collected"/>
    <m/>
    <x v="4"/>
  </r>
  <r>
    <d v="2025-11-29T00:00:00"/>
    <n v="3"/>
    <x v="7"/>
    <s v="Bunnings Villawood"/>
    <n v="398"/>
    <n v="1194"/>
    <s v="Collected"/>
    <m/>
    <x v="4"/>
  </r>
  <r>
    <d v="2025-11-29T00:00:00"/>
    <n v="5"/>
    <x v="7"/>
    <s v="Harvey Norman Fyshwick"/>
    <n v="398"/>
    <n v="1990"/>
    <s v="Pending Delivery"/>
    <m/>
    <x v="0"/>
  </r>
  <r>
    <d v="2025-11-29T00:00:00"/>
    <n v="35"/>
    <x v="7"/>
    <s v="Harvey Norman Fyshwick"/>
    <n v="0"/>
    <n v="0"/>
    <s v="$1000 Deposit Only"/>
    <m/>
    <x v="0"/>
  </r>
  <r>
    <d v="2025-11-30T00:00:00"/>
    <n v="18"/>
    <x v="7"/>
    <s v="Bunnings Campbelltown"/>
    <n v="398"/>
    <n v="7164"/>
    <s v="Collected"/>
    <m/>
    <x v="4"/>
  </r>
  <r>
    <d v="2025-11-30T00:00:00"/>
    <n v="9"/>
    <x v="7"/>
    <s v="Bunnings Gregory Hills"/>
    <n v="398"/>
    <n v="3582"/>
    <s v="Collected"/>
    <m/>
    <x v="4"/>
  </r>
  <r>
    <d v="2025-11-30T00:00:00"/>
    <n v="1"/>
    <x v="7"/>
    <s v="JBHIFI Macarthure Square"/>
    <n v="299"/>
    <n v="299"/>
    <s v="Collected"/>
    <m/>
    <x v="4"/>
  </r>
  <r>
    <d v="2025-11-30T00:00:00"/>
    <n v="2"/>
    <x v="29"/>
    <s v="JBHIFI Macarthure Square"/>
    <n v="479"/>
    <n v="958"/>
    <s v="Collected"/>
    <m/>
    <x v="4"/>
  </r>
  <r>
    <d v="2025-11-30T00:00:00"/>
    <n v="8"/>
    <x v="2"/>
    <s v="JBHIFI Macarthure Square"/>
    <n v="125"/>
    <n v="1000"/>
    <s v="Collected"/>
    <m/>
    <x v="4"/>
  </r>
  <r>
    <d v="2025-11-30T00:00:00"/>
    <n v="1"/>
    <x v="39"/>
    <s v="JBHIFI Macarthure Square"/>
    <n v="380"/>
    <n v="380"/>
    <s v="Collected"/>
    <m/>
    <x v="4"/>
  </r>
  <r>
    <d v="2025-11-30T00:00:00"/>
    <n v="1"/>
    <x v="6"/>
    <s v="JBHIFI Macarthure Square"/>
    <n v="419"/>
    <n v="419"/>
    <s v="Collected"/>
    <m/>
    <x v="4"/>
  </r>
  <r>
    <d v="2025-11-30T00:00:00"/>
    <n v="2"/>
    <x v="7"/>
    <s v="Office Works Gledswood"/>
    <n v="398"/>
    <n v="796"/>
    <s v="Collected"/>
    <m/>
    <x v="4"/>
  </r>
  <r>
    <d v="2025-11-30T00:00:00"/>
    <n v="2"/>
    <x v="7"/>
    <s v="Office Works Gledswood"/>
    <n v="398"/>
    <n v="796"/>
    <s v="Collected 01-12"/>
    <m/>
    <x v="4"/>
  </r>
  <r>
    <d v="2025-11-30T00:00:00"/>
    <n v="4"/>
    <x v="7"/>
    <s v="Office Works Casula"/>
    <n v="398"/>
    <n v="1592"/>
    <s v="Collected 01-12"/>
    <m/>
    <x v="4"/>
  </r>
  <r>
    <d v="2025-11-30T00:00:00"/>
    <n v="2"/>
    <x v="7"/>
    <s v="Office Works Casula"/>
    <n v="398"/>
    <n v="796"/>
    <s v="Collected"/>
    <m/>
    <x v="4"/>
  </r>
  <r>
    <d v="2025-11-30T00:00:00"/>
    <n v="3"/>
    <x v="7"/>
    <s v="JBHIFI Parramatta"/>
    <n v="299"/>
    <n v="897"/>
    <s v="Collected"/>
    <m/>
    <x v="4"/>
  </r>
  <r>
    <d v="2025-11-30T00:00:00"/>
    <n v="2"/>
    <x v="29"/>
    <s v="JBHIFI Parramatta"/>
    <n v="479"/>
    <n v="958"/>
    <s v="Collected"/>
    <m/>
    <x v="4"/>
  </r>
  <r>
    <d v="2025-11-30T00:00:00"/>
    <n v="8"/>
    <x v="2"/>
    <s v="JBHIFI Parramatta"/>
    <n v="125"/>
    <n v="1000"/>
    <s v="Collected"/>
    <m/>
    <x v="4"/>
  </r>
  <r>
    <d v="2025-11-30T00:00:00"/>
    <n v="7"/>
    <x v="38"/>
    <s v="JBHIFI Parramatta"/>
    <n v="380"/>
    <n v="2660"/>
    <s v="Collected"/>
    <m/>
    <x v="4"/>
  </r>
  <r>
    <d v="2025-11-30T00:00:00"/>
    <n v="3"/>
    <x v="6"/>
    <s v="JBHIFI Parramatta"/>
    <n v="410"/>
    <n v="1230"/>
    <s v="Pending Collection Macquarie Park"/>
    <m/>
    <x v="0"/>
  </r>
  <r>
    <d v="2025-11-30T00:00:00"/>
    <n v="47"/>
    <x v="7"/>
    <s v="Perth Waleed"/>
    <n v="398"/>
    <n v="18706"/>
    <s v="Collected Perth Waleed"/>
    <m/>
    <x v="10"/>
  </r>
  <r>
    <d v="2025-11-30T00:00:00"/>
    <n v="1"/>
    <x v="40"/>
    <s v="Waleed"/>
    <n v="470"/>
    <n v="470"/>
    <s v="Perth Collection"/>
    <m/>
    <x v="0"/>
  </r>
  <r>
    <d v="2025-11-30T00:00:00"/>
    <n v="1"/>
    <x v="15"/>
    <s v="Megatop"/>
    <n v="10122.66"/>
    <n v="10122.66"/>
    <s v="Megatop Shipping Charges"/>
    <m/>
    <x v="9"/>
  </r>
  <r>
    <m/>
    <m/>
    <x v="41"/>
    <m/>
    <m/>
    <m/>
    <m/>
    <m/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d v="2025-12-01T00:00:00"/>
    <n v="2"/>
    <x v="0"/>
    <s v="BCF Wetherill Park"/>
    <n v="399"/>
    <n v="798"/>
    <s v=" Auburn Collected 02-12"/>
    <m/>
    <x v="0"/>
  </r>
  <r>
    <d v="2025-12-01T00:00:00"/>
    <n v="2"/>
    <x v="0"/>
    <s v="Office Works Wetherill park"/>
    <n v="398"/>
    <n v="796"/>
    <s v="Collected"/>
    <m/>
    <x v="0"/>
  </r>
  <r>
    <d v="2025-12-01T00:00:00"/>
    <n v="2"/>
    <x v="1"/>
    <s v="JBHIFI Parramatta"/>
    <n v="479"/>
    <n v="958"/>
    <s v="Pending Collection Bankstown"/>
    <m/>
    <x v="1"/>
  </r>
  <r>
    <d v="2025-12-01T00:00:00"/>
    <n v="2"/>
    <x v="0"/>
    <s v="JBHIFI Parramatta"/>
    <n v="299"/>
    <n v="598"/>
    <s v="Pending Collection Bankstown"/>
    <m/>
    <x v="1"/>
  </r>
  <r>
    <d v="2025-12-01T00:00:00"/>
    <n v="3"/>
    <x v="2"/>
    <s v="JBHIFI Parramatta"/>
    <n v="419"/>
    <n v="1257"/>
    <s v="Pending Collection Bankstown"/>
    <m/>
    <x v="1"/>
  </r>
  <r>
    <d v="2025-12-01T00:00:00"/>
    <n v="10"/>
    <x v="3"/>
    <s v="JBHIFI Parramatta"/>
    <n v="125"/>
    <n v="1250"/>
    <s v="Pending Collection Bankstown"/>
    <m/>
    <x v="1"/>
  </r>
  <r>
    <d v="2025-12-01T00:00:00"/>
    <n v="2"/>
    <x v="1"/>
    <s v="JBHIFI Parramatta"/>
    <n v="479"/>
    <n v="958"/>
    <s v="Collected 03-12"/>
    <m/>
    <x v="1"/>
  </r>
  <r>
    <d v="2025-12-01T00:00:00"/>
    <n v="1"/>
    <x v="0"/>
    <s v="JBHIFI Parramatta"/>
    <n v="299"/>
    <n v="299"/>
    <s v="Collected 03-12"/>
    <m/>
    <x v="1"/>
  </r>
  <r>
    <d v="2025-12-01T00:00:00"/>
    <n v="3"/>
    <x v="2"/>
    <s v="JBHIFI Parramatta"/>
    <n v="419"/>
    <n v="1257"/>
    <s v="Collected 03-12"/>
    <m/>
    <x v="1"/>
  </r>
  <r>
    <d v="2025-12-01T00:00:00"/>
    <n v="1"/>
    <x v="4"/>
    <s v="Good Guys Auburn"/>
    <n v="659"/>
    <n v="659"/>
    <s v="Collected 02-12"/>
    <m/>
    <x v="0"/>
  </r>
  <r>
    <d v="2025-12-01T00:00:00"/>
    <n v="1"/>
    <x v="5"/>
    <s v="Good Guys Auburn"/>
    <n v="509"/>
    <n v="509"/>
    <s v="Collected 02-12"/>
    <m/>
    <x v="0"/>
  </r>
  <r>
    <d v="2025-12-01T00:00:00"/>
    <n v="12"/>
    <x v="0"/>
    <s v="Bunnings Perth"/>
    <n v="398"/>
    <n v="4776"/>
    <s v="Pending Delivery Waleed"/>
    <m/>
    <x v="2"/>
  </r>
  <r>
    <d v="2025-12-02T00:00:00"/>
    <n v="2"/>
    <x v="0"/>
    <s v="Office Works Auburn"/>
    <n v="398"/>
    <n v="796"/>
    <s v="Collected"/>
    <m/>
    <x v="0"/>
  </r>
  <r>
    <d v="2025-12-02T00:00:00"/>
    <n v="2"/>
    <x v="0"/>
    <s v="BCF Auburn"/>
    <n v="398"/>
    <n v="796"/>
    <s v="Collected"/>
    <m/>
    <x v="0"/>
  </r>
  <r>
    <d v="2025-12-02T00:00:00"/>
    <n v="1"/>
    <x v="0"/>
    <s v="Bunnings Perth"/>
    <n v="398"/>
    <n v="398"/>
    <s v="Pending Delivery Waleed"/>
    <m/>
    <x v="2"/>
  </r>
  <r>
    <d v="2025-12-02T00:00:00"/>
    <n v="1"/>
    <x v="6"/>
    <s v="Waleed"/>
    <n v="130"/>
    <n v="130"/>
    <s v="Perth Collection"/>
    <m/>
    <x v="1"/>
  </r>
  <r>
    <d v="2025-12-02T00:00:00"/>
    <n v="5"/>
    <x v="7"/>
    <s v="JBHIFI Parramatta Adil"/>
    <n v="105"/>
    <n v="525"/>
    <s v="Delivered 02-12"/>
    <m/>
    <x v="0"/>
  </r>
  <r>
    <d v="2025-12-02T00:00:00"/>
    <n v="2"/>
    <x v="0"/>
    <s v="JBHIFI Parramatta Adil"/>
    <n v="299"/>
    <n v="598"/>
    <s v="Delivered 02-12"/>
    <m/>
    <x v="0"/>
  </r>
  <r>
    <d v="2025-12-02T00:00:00"/>
    <n v="4"/>
    <x v="3"/>
    <s v="JBHIFI Parramatta Adil"/>
    <n v="125"/>
    <n v="500"/>
    <s v="Delivered 02-12"/>
    <m/>
    <x v="1"/>
  </r>
  <r>
    <d v="2025-12-02T00:00:00"/>
    <n v="2"/>
    <x v="8"/>
    <s v="JBHIFI Parramatta Adil"/>
    <n v="479"/>
    <n v="958"/>
    <s v="Delivered 02-12"/>
    <m/>
    <x v="0"/>
  </r>
  <r>
    <d v="2025-12-02T00:00:00"/>
    <n v="1"/>
    <x v="0"/>
    <s v="JBHIFI Homebush Adil"/>
    <n v="299"/>
    <n v="299"/>
    <s v="Delivered 02-12"/>
    <m/>
    <x v="0"/>
  </r>
  <r>
    <d v="2025-12-02T00:00:00"/>
    <n v="2"/>
    <x v="9"/>
    <s v="JBHIFI Homebush Adil"/>
    <n v="478"/>
    <n v="956"/>
    <s v="Delivered 02-12"/>
    <m/>
    <x v="0"/>
  </r>
  <r>
    <d v="2025-12-02T00:00:00"/>
    <n v="3"/>
    <x v="0"/>
    <s v="BCF Adil"/>
    <n v="399"/>
    <n v="1197"/>
    <s v="Delivered 02-12"/>
    <m/>
    <x v="0"/>
  </r>
  <r>
    <d v="2025-12-03T00:00:00"/>
    <n v="12"/>
    <x v="0"/>
    <s v="Bunnings Castle Hills"/>
    <n v="398"/>
    <n v="4776"/>
    <s v="Collected "/>
    <m/>
    <x v="0"/>
  </r>
  <r>
    <d v="2025-12-03T00:00:00"/>
    <n v="1"/>
    <x v="10"/>
    <s v="EB Games Roselands"/>
    <n v="598"/>
    <n v="598"/>
    <s v="Collected "/>
    <m/>
    <x v="1"/>
  </r>
  <r>
    <d v="2025-12-03T00:00:00"/>
    <n v="6"/>
    <x v="7"/>
    <s v="JBHIFI Roselands"/>
    <n v="103"/>
    <n v="618"/>
    <s v="Collected "/>
    <m/>
    <x v="1"/>
  </r>
  <r>
    <d v="2025-12-03T00:00:00"/>
    <n v="2"/>
    <x v="10"/>
    <s v="JBHIFI Roselands"/>
    <n v="629"/>
    <n v="1258"/>
    <s v="Collected "/>
    <m/>
    <x v="1"/>
  </r>
  <r>
    <d v="2025-12-03T00:00:00"/>
    <n v="1"/>
    <x v="11"/>
    <s v="JBHIFI Roselands"/>
    <n v="69"/>
    <n v="69"/>
    <s v="Collected "/>
    <m/>
    <x v="1"/>
  </r>
  <r>
    <d v="2025-12-03T00:00:00"/>
    <n v="1"/>
    <x v="12"/>
    <s v="JBHIFI Roselands"/>
    <n v="44"/>
    <n v="44"/>
    <s v="Collected "/>
    <m/>
    <x v="1"/>
  </r>
  <r>
    <d v="2025-12-03T00:00:00"/>
    <n v="2"/>
    <x v="0"/>
    <s v="JBHIFI Roselands"/>
    <n v="299"/>
    <n v="598"/>
    <s v="Collected "/>
    <m/>
    <x v="1"/>
  </r>
  <r>
    <d v="2025-12-03T00:00:00"/>
    <n v="14"/>
    <x v="3"/>
    <s v="JBHIFI Roselands"/>
    <n v="125"/>
    <n v="1750"/>
    <s v="Collected "/>
    <m/>
    <x v="1"/>
  </r>
  <r>
    <d v="2025-12-03T00:00:00"/>
    <n v="1"/>
    <x v="2"/>
    <s v="JBHIFI Roselands"/>
    <n v="419"/>
    <n v="419"/>
    <s v="Collected "/>
    <m/>
    <x v="1"/>
  </r>
  <r>
    <d v="2025-12-03T00:00:00"/>
    <n v="5"/>
    <x v="13"/>
    <s v="JBHIFI Roselands"/>
    <n v="419"/>
    <n v="2095"/>
    <s v="Pending Collection Broadway"/>
    <m/>
    <x v="1"/>
  </r>
  <r>
    <d v="2025-12-03T00:00:00"/>
    <n v="1"/>
    <x v="0"/>
    <s v="JBHIFI Roselands"/>
    <n v="299"/>
    <n v="299"/>
    <s v="Pending Collection Broadway"/>
    <m/>
    <x v="1"/>
  </r>
  <r>
    <d v="2025-12-03T00:00:00"/>
    <n v="2"/>
    <x v="0"/>
    <s v="JBHIFI Roselands"/>
    <n v="299"/>
    <n v="598"/>
    <s v="Pending Collection Macquarie"/>
    <m/>
    <x v="1"/>
  </r>
  <r>
    <d v="2025-12-03T00:00:00"/>
    <n v="1"/>
    <x v="0"/>
    <s v="JBHIFI Roselands"/>
    <n v="299"/>
    <n v="299"/>
    <s v="Pending Collection Bankstown"/>
    <m/>
    <x v="1"/>
  </r>
  <r>
    <d v="2025-12-03T00:00:00"/>
    <n v="2"/>
    <x v="8"/>
    <s v="JBHIFI Roselands"/>
    <n v="479"/>
    <n v="958"/>
    <s v="Pending Collection Broadway"/>
    <m/>
    <x v="1"/>
  </r>
  <r>
    <d v="2025-12-03T00:00:00"/>
    <n v="2"/>
    <x v="8"/>
    <s v="JBHIFI Hurstville"/>
    <n v="479"/>
    <n v="958"/>
    <s v="Collected"/>
    <m/>
    <x v="1"/>
  </r>
  <r>
    <d v="2025-12-03T00:00:00"/>
    <n v="1"/>
    <x v="8"/>
    <s v="Eb Games Hurstville"/>
    <n v="499"/>
    <n v="499"/>
    <s v="Collected"/>
    <m/>
    <x v="1"/>
  </r>
  <r>
    <d v="2025-12-03T00:00:00"/>
    <n v="4"/>
    <x v="0"/>
    <s v="Officeworks Hurstville"/>
    <n v="398"/>
    <n v="1592"/>
    <s v="Collected"/>
    <m/>
    <x v="1"/>
  </r>
  <r>
    <m/>
    <m/>
    <x v="14"/>
    <m/>
    <m/>
    <m/>
    <m/>
    <m/>
    <x v="1"/>
  </r>
  <r>
    <m/>
    <m/>
    <x v="14"/>
    <m/>
    <m/>
    <m/>
    <m/>
    <m/>
    <x v="1"/>
  </r>
  <r>
    <m/>
    <m/>
    <x v="14"/>
    <m/>
    <m/>
    <m/>
    <m/>
    <m/>
    <x v="1"/>
  </r>
  <r>
    <m/>
    <m/>
    <x v="14"/>
    <m/>
    <m/>
    <m/>
    <m/>
    <m/>
    <x v="1"/>
  </r>
  <r>
    <m/>
    <m/>
    <x v="14"/>
    <m/>
    <m/>
    <m/>
    <m/>
    <m/>
    <x v="1"/>
  </r>
  <r>
    <m/>
    <m/>
    <x v="14"/>
    <m/>
    <m/>
    <m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1EA51-945D-4AA4-86F0-D097A1C9C91C}" name="PivotTable2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:T9" firstHeaderRow="1" firstDataRow="1" firstDataCol="1"/>
  <pivotFields count="9">
    <pivotField showAll="0"/>
    <pivotField dataField="1" showAll="0"/>
    <pivotField axis="axisRow" showAll="0">
      <items count="16">
        <item x="6"/>
        <item x="2"/>
        <item x="7"/>
        <item x="3"/>
        <item x="9"/>
        <item x="8"/>
        <item x="1"/>
        <item x="5"/>
        <item x="4"/>
        <item x="0"/>
        <item x="14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h="1" x="1"/>
        <item h="1" x="2"/>
        <item t="default"/>
      </items>
    </pivotField>
  </pivotFields>
  <rowFields count="2">
    <field x="8"/>
    <field x="2"/>
  </rowFields>
  <rowItems count="8">
    <i>
      <x/>
    </i>
    <i r="1">
      <x v="2"/>
    </i>
    <i r="1">
      <x v="4"/>
    </i>
    <i r="1">
      <x v="5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5BE3B-6286-465E-BBE1-291AA35E01BB}" name="PivotTable1" cacheId="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Q19" firstHeaderRow="1" firstDataRow="1" firstDataCol="1"/>
  <pivotFields count="9">
    <pivotField showAll="0"/>
    <pivotField dataField="1" showAll="0"/>
    <pivotField axis="axisRow" showAll="0">
      <items count="43">
        <item x="34"/>
        <item x="40"/>
        <item x="14"/>
        <item x="35"/>
        <item x="12"/>
        <item x="11"/>
        <item x="6"/>
        <item x="26"/>
        <item x="10"/>
        <item x="25"/>
        <item x="5"/>
        <item x="8"/>
        <item x="9"/>
        <item x="13"/>
        <item x="24"/>
        <item x="23"/>
        <item x="36"/>
        <item x="2"/>
        <item x="1"/>
        <item x="4"/>
        <item x="16"/>
        <item x="39"/>
        <item x="0"/>
        <item x="37"/>
        <item x="3"/>
        <item x="22"/>
        <item x="17"/>
        <item x="20"/>
        <item x="18"/>
        <item x="21"/>
        <item x="19"/>
        <item x="29"/>
        <item x="30"/>
        <item x="28"/>
        <item x="27"/>
        <item x="32"/>
        <item x="31"/>
        <item x="38"/>
        <item x="15"/>
        <item x="7"/>
        <item x="33"/>
        <item x="4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8"/>
        <item x="5"/>
        <item h="1" x="3"/>
        <item x="7"/>
        <item h="1" x="6"/>
        <item h="1" x="9"/>
        <item x="4"/>
        <item h="1" x="1"/>
        <item h="1" x="2"/>
        <item h="1" x="0"/>
        <item h="1" x="10"/>
        <item t="default"/>
      </items>
    </pivotField>
  </pivotFields>
  <rowFields count="2">
    <field x="8"/>
    <field x="2"/>
  </rowFields>
  <rowItems count="18">
    <i>
      <x/>
    </i>
    <i r="1">
      <x v="35"/>
    </i>
    <i>
      <x v="1"/>
    </i>
    <i r="1">
      <x v="17"/>
    </i>
    <i>
      <x v="3"/>
    </i>
    <i r="1">
      <x v="31"/>
    </i>
    <i>
      <x v="6"/>
    </i>
    <i r="1">
      <x v="6"/>
    </i>
    <i r="1">
      <x v="17"/>
    </i>
    <i r="1">
      <x v="20"/>
    </i>
    <i r="1">
      <x v="21"/>
    </i>
    <i r="1">
      <x v="22"/>
    </i>
    <i r="1">
      <x v="23"/>
    </i>
    <i r="1">
      <x v="31"/>
    </i>
    <i r="1">
      <x v="34"/>
    </i>
    <i r="1">
      <x v="37"/>
    </i>
    <i r="1">
      <x v="3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607CA-17ED-4342-8BAF-0321C1221DFE}" name="PivotTable1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28" firstHeaderRow="1" firstDataRow="1" firstDataCol="1" rowPageCount="1" colPageCount="1"/>
  <pivotFields count="7">
    <pivotField showAll="0"/>
    <pivotField dataField="1" showAll="0"/>
    <pivotField axis="axisRow" showAll="0">
      <items count="12">
        <item x="7"/>
        <item x="0"/>
        <item x="6"/>
        <item x="2"/>
        <item x="3"/>
        <item x="1"/>
        <item x="5"/>
        <item x="4"/>
        <item x="8"/>
        <item x="9"/>
        <item x="10"/>
        <item t="default"/>
      </items>
    </pivotField>
    <pivotField axis="axisPage" showAll="0">
      <items count="10">
        <item x="3"/>
        <item x="4"/>
        <item x="0"/>
        <item x="2"/>
        <item x="1"/>
        <item x="5"/>
        <item x="6"/>
        <item x="7"/>
        <item x="8"/>
        <item t="default"/>
      </items>
    </pivotField>
    <pivotField showAll="0"/>
    <pivotField showAll="0"/>
    <pivotField axis="axisRow" showAll="0">
      <items count="15">
        <item m="1" x="13"/>
        <item x="0"/>
        <item x="3"/>
        <item x="5"/>
        <item x="2"/>
        <item x="6"/>
        <item x="8"/>
        <item x="9"/>
        <item x="7"/>
        <item x="4"/>
        <item h="1" x="11"/>
        <item h="1" m="1" x="12"/>
        <item h="1" x="10"/>
        <item h="1" x="1"/>
        <item t="default"/>
      </items>
    </pivotField>
  </pivotFields>
  <rowFields count="2">
    <field x="6"/>
    <field x="2"/>
  </rowFields>
  <rowItems count="25">
    <i>
      <x v="1"/>
    </i>
    <i r="1">
      <x v="1"/>
    </i>
    <i r="1">
      <x v="3"/>
    </i>
    <i r="1">
      <x v="4"/>
    </i>
    <i>
      <x v="2"/>
    </i>
    <i r="1">
      <x v="5"/>
    </i>
    <i>
      <x v="3"/>
    </i>
    <i r="1">
      <x v="6"/>
    </i>
    <i>
      <x v="4"/>
    </i>
    <i r="1">
      <x v="1"/>
    </i>
    <i r="1">
      <x v="6"/>
    </i>
    <i r="1">
      <x v="7"/>
    </i>
    <i>
      <x v="5"/>
    </i>
    <i r="1">
      <x v="2"/>
    </i>
    <i>
      <x v="6"/>
    </i>
    <i r="1">
      <x v="2"/>
    </i>
    <i>
      <x v="7"/>
    </i>
    <i r="1">
      <x v="2"/>
    </i>
    <i r="1">
      <x v="8"/>
    </i>
    <i>
      <x v="8"/>
    </i>
    <i r="1">
      <x/>
    </i>
    <i>
      <x v="9"/>
    </i>
    <i r="1">
      <x v="3"/>
    </i>
    <i r="1">
      <x v="4"/>
    </i>
    <i t="grand">
      <x/>
    </i>
  </rowItems>
  <colItems count="1">
    <i/>
  </colItems>
  <pageFields count="1">
    <pageField fld="3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D34" sqref="D34"/>
    </sheetView>
  </sheetViews>
  <sheetFormatPr defaultRowHeight="14.4" x14ac:dyDescent="0.3"/>
  <cols>
    <col min="1" max="1" width="14.6640625" bestFit="1" customWidth="1"/>
    <col min="2" max="2" width="18.5546875" bestFit="1" customWidth="1"/>
    <col min="3" max="3" width="16.109375" bestFit="1" customWidth="1"/>
    <col min="4" max="4" width="19.88671875" bestFit="1" customWidth="1"/>
    <col min="5" max="5" width="10.5546875" bestFit="1" customWidth="1"/>
    <col min="6" max="6" width="25.88671875" bestFit="1" customWidth="1"/>
  </cols>
  <sheetData>
    <row r="1" spans="1:6" x14ac:dyDescent="0.3">
      <c r="A1" t="s">
        <v>54</v>
      </c>
    </row>
    <row r="2" spans="1:6" x14ac:dyDescent="0.3">
      <c r="A2" t="s">
        <v>47</v>
      </c>
      <c r="B2" t="s">
        <v>48</v>
      </c>
      <c r="F2" t="s">
        <v>53</v>
      </c>
    </row>
    <row r="3" spans="1:6" x14ac:dyDescent="0.3">
      <c r="A3">
        <v>2</v>
      </c>
      <c r="B3" t="s">
        <v>46</v>
      </c>
      <c r="C3" t="s">
        <v>38</v>
      </c>
      <c r="F3" t="s">
        <v>51</v>
      </c>
    </row>
    <row r="4" spans="1:6" x14ac:dyDescent="0.3">
      <c r="A4">
        <v>6</v>
      </c>
      <c r="B4" t="s">
        <v>45</v>
      </c>
      <c r="C4" t="s">
        <v>38</v>
      </c>
      <c r="F4" t="s">
        <v>52</v>
      </c>
    </row>
    <row r="5" spans="1:6" x14ac:dyDescent="0.3">
      <c r="A5">
        <v>4</v>
      </c>
      <c r="B5" t="s">
        <v>44</v>
      </c>
      <c r="C5" t="s">
        <v>38</v>
      </c>
    </row>
    <row r="6" spans="1:6" x14ac:dyDescent="0.3">
      <c r="A6">
        <v>4</v>
      </c>
      <c r="B6" t="s">
        <v>43</v>
      </c>
      <c r="C6" t="s">
        <v>38</v>
      </c>
    </row>
    <row r="7" spans="1:6" x14ac:dyDescent="0.3">
      <c r="A7">
        <v>2</v>
      </c>
      <c r="B7" t="s">
        <v>42</v>
      </c>
      <c r="C7" t="s">
        <v>40</v>
      </c>
    </row>
    <row r="8" spans="1:6" x14ac:dyDescent="0.3">
      <c r="A8">
        <v>1</v>
      </c>
      <c r="B8" t="s">
        <v>41</v>
      </c>
      <c r="C8" t="s">
        <v>40</v>
      </c>
    </row>
    <row r="9" spans="1:6" x14ac:dyDescent="0.3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3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3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3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3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3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3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3">
      <c r="A17" s="6">
        <v>45381</v>
      </c>
    </row>
    <row r="18" spans="1:6" x14ac:dyDescent="0.3">
      <c r="A18">
        <v>4</v>
      </c>
      <c r="B18" t="s">
        <v>45</v>
      </c>
      <c r="C18" t="s">
        <v>38</v>
      </c>
    </row>
    <row r="19" spans="1:6" x14ac:dyDescent="0.3">
      <c r="A19">
        <v>4</v>
      </c>
      <c r="B19" t="s">
        <v>44</v>
      </c>
      <c r="C19" t="s">
        <v>38</v>
      </c>
    </row>
    <row r="20" spans="1:6" x14ac:dyDescent="0.3">
      <c r="A20">
        <v>4</v>
      </c>
      <c r="B20" t="s">
        <v>43</v>
      </c>
      <c r="C20" t="s">
        <v>38</v>
      </c>
    </row>
    <row r="21" spans="1:6" x14ac:dyDescent="0.3">
      <c r="A21">
        <v>2</v>
      </c>
      <c r="B21" t="s">
        <v>42</v>
      </c>
      <c r="C21" t="s">
        <v>40</v>
      </c>
    </row>
    <row r="22" spans="1:6" x14ac:dyDescent="0.3">
      <c r="A22">
        <v>1</v>
      </c>
      <c r="B22" t="s">
        <v>41</v>
      </c>
      <c r="C22" t="s">
        <v>40</v>
      </c>
    </row>
    <row r="23" spans="1:6" x14ac:dyDescent="0.3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3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3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3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3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3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3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7" workbookViewId="0">
      <selection activeCell="E40" sqref="E40"/>
    </sheetView>
  </sheetViews>
  <sheetFormatPr defaultRowHeight="14.4" x14ac:dyDescent="0.3"/>
  <cols>
    <col min="1" max="1" width="10.5546875" bestFit="1" customWidth="1"/>
    <col min="3" max="3" width="30.33203125" bestFit="1" customWidth="1"/>
    <col min="4" max="4" width="25" bestFit="1" customWidth="1"/>
    <col min="5" max="5" width="9" bestFit="1" customWidth="1"/>
    <col min="6" max="6" width="10" bestFit="1" customWidth="1"/>
    <col min="7" max="7" width="31.5546875" bestFit="1" customWidth="1"/>
    <col min="9" max="9" width="36.33203125" bestFit="1" customWidth="1"/>
    <col min="10" max="10" width="10.44140625" bestFit="1" customWidth="1"/>
  </cols>
  <sheetData>
    <row r="1" spans="1:10" x14ac:dyDescent="0.3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3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3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3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3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3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3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3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3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3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3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3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3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3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3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3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3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3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3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3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3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3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3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3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3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3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3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3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3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3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3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3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3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3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3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3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3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3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3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4.4" x14ac:dyDescent="0.3"/>
  <cols>
    <col min="1" max="1" width="9.5546875" bestFit="1" customWidth="1"/>
    <col min="3" max="3" width="28.6640625" bestFit="1" customWidth="1"/>
    <col min="4" max="4" width="20.6640625" bestFit="1" customWidth="1"/>
    <col min="7" max="7" width="14.44140625" bestFit="1" customWidth="1"/>
    <col min="8" max="8" width="9.5546875" bestFit="1" customWidth="1"/>
    <col min="9" max="9" width="22.33203125" bestFit="1" customWidth="1"/>
  </cols>
  <sheetData>
    <row r="1" spans="1:11" x14ac:dyDescent="0.3">
      <c r="B1" s="94">
        <v>45746</v>
      </c>
      <c r="C1" s="94"/>
      <c r="D1" s="94"/>
      <c r="E1" s="94"/>
      <c r="F1" s="94"/>
      <c r="G1" s="94"/>
    </row>
    <row r="2" spans="1:11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3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95">
        <v>125</v>
      </c>
    </row>
    <row r="4" spans="1:11" x14ac:dyDescent="0.3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95"/>
    </row>
    <row r="5" spans="1:11" x14ac:dyDescent="0.3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3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3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3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3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138" workbookViewId="0">
      <selection activeCell="H98" sqref="H98"/>
    </sheetView>
  </sheetViews>
  <sheetFormatPr defaultRowHeight="14.4" x14ac:dyDescent="0.3"/>
  <cols>
    <col min="1" max="1" width="10.5546875" bestFit="1" customWidth="1"/>
    <col min="3" max="3" width="35.6640625" bestFit="1" customWidth="1"/>
    <col min="4" max="4" width="25.33203125" bestFit="1" customWidth="1"/>
    <col min="6" max="6" width="10" bestFit="1" customWidth="1"/>
    <col min="7" max="7" width="35.21875" bestFit="1" customWidth="1"/>
    <col min="8" max="8" width="30.6640625" bestFit="1" customWidth="1"/>
    <col min="9" max="9" width="10" bestFit="1" customWidth="1"/>
    <col min="10" max="10" width="22" bestFit="1" customWidth="1"/>
    <col min="11" max="11" width="34.88671875" bestFit="1" customWidth="1"/>
    <col min="12" max="12" width="17.88671875" bestFit="1" customWidth="1"/>
    <col min="13" max="13" width="12" bestFit="1" customWidth="1"/>
    <col min="14" max="16" width="11.109375" bestFit="1" customWidth="1"/>
    <col min="17" max="17" width="12" bestFit="1" customWidth="1"/>
    <col min="18" max="21" width="11.109375" bestFit="1" customWidth="1"/>
    <col min="22" max="22" width="15.6640625" bestFit="1" customWidth="1"/>
    <col min="23" max="23" width="17" bestFit="1" customWidth="1"/>
  </cols>
  <sheetData>
    <row r="1" spans="1:2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3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3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3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3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3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3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3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3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3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3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3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3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3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3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3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3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3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3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3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3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3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3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3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3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3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3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3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3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3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3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3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3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3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3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3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3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3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3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3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3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3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3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3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3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3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3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3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3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3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3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3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3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3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3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3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3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3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3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3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3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3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3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3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3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3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3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3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3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3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3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3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3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3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3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3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3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3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3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3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3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3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3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3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3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3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3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3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3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3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3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3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3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3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3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3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3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3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3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3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3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3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3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3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3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3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3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3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3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3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3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3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3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3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3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3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3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3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3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3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3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3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3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3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3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3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3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3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3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3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3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3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3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3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3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3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3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3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3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3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3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3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3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3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3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3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3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3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3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3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3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3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3">
      <c r="A153" s="2"/>
      <c r="B153" s="2"/>
      <c r="C153" s="2"/>
      <c r="D153" s="2"/>
      <c r="E153" s="2"/>
      <c r="F153" s="2"/>
      <c r="G153" s="2"/>
      <c r="H153" s="2"/>
    </row>
    <row r="154" spans="1:10" x14ac:dyDescent="0.3">
      <c r="A154" s="2"/>
      <c r="B154" s="2"/>
      <c r="C154" s="2"/>
      <c r="D154" s="2"/>
      <c r="E154" s="2"/>
      <c r="F154" s="2"/>
      <c r="G154" s="2"/>
      <c r="H154" s="2"/>
    </row>
    <row r="155" spans="1:10" x14ac:dyDescent="0.3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3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3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3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3">
      <c r="A159" s="2"/>
      <c r="B159" s="2"/>
      <c r="C159" s="2"/>
      <c r="D159" s="2"/>
      <c r="E159" s="2"/>
      <c r="F159" s="2"/>
      <c r="G159" s="2"/>
      <c r="H159" s="2"/>
    </row>
    <row r="160" spans="1:10" x14ac:dyDescent="0.3">
      <c r="A160" s="2"/>
      <c r="B160" s="2"/>
      <c r="C160" s="2"/>
      <c r="D160" s="2"/>
      <c r="E160" s="2"/>
      <c r="F160" s="2"/>
      <c r="G160" s="2"/>
      <c r="H160" s="2"/>
    </row>
    <row r="161" spans="1:8" x14ac:dyDescent="0.3">
      <c r="A161" s="2"/>
      <c r="B161" s="2"/>
      <c r="C161" s="2"/>
      <c r="D161" s="2"/>
      <c r="E161" s="2"/>
      <c r="F161" s="2"/>
      <c r="G161" s="2"/>
      <c r="H161" s="2"/>
    </row>
    <row r="162" spans="1:8" x14ac:dyDescent="0.3">
      <c r="A162" s="2"/>
      <c r="B162" s="2"/>
      <c r="C162" s="2"/>
      <c r="D162" s="2"/>
      <c r="E162" s="2"/>
      <c r="F162" s="2"/>
      <c r="G162" s="2"/>
      <c r="H162" s="2"/>
    </row>
    <row r="163" spans="1:8" x14ac:dyDescent="0.3">
      <c r="A163" s="2"/>
      <c r="B163" s="2"/>
      <c r="C163" s="2"/>
      <c r="D163" s="2"/>
      <c r="E163" s="2"/>
      <c r="F163" s="2"/>
      <c r="G163" s="2"/>
      <c r="H163" s="2"/>
    </row>
    <row r="164" spans="1:8" x14ac:dyDescent="0.3">
      <c r="A164" s="2"/>
      <c r="B164" s="2"/>
      <c r="C164" s="2"/>
      <c r="D164" s="2"/>
      <c r="E164" s="2"/>
      <c r="F164" s="2"/>
      <c r="G164" s="2"/>
      <c r="H164" s="2"/>
    </row>
    <row r="165" spans="1:8" x14ac:dyDescent="0.3">
      <c r="A165" s="2"/>
      <c r="B165" s="2"/>
      <c r="C165" s="2"/>
      <c r="D165" s="2"/>
      <c r="E165" s="2"/>
      <c r="F165" s="2"/>
      <c r="G165" s="2"/>
      <c r="H165" s="2"/>
    </row>
    <row r="166" spans="1:8" x14ac:dyDescent="0.3">
      <c r="A166" s="2"/>
      <c r="B166" s="2"/>
      <c r="C166" s="2"/>
      <c r="D166" s="2"/>
      <c r="E166" s="2"/>
      <c r="F166" s="2"/>
      <c r="G166" s="2"/>
      <c r="H166" s="2"/>
    </row>
    <row r="167" spans="1:8" x14ac:dyDescent="0.3">
      <c r="A167" s="2"/>
      <c r="B167" s="2"/>
      <c r="C167" s="2"/>
      <c r="D167" s="2"/>
      <c r="E167" s="2"/>
      <c r="F167" s="2"/>
      <c r="G167" s="2"/>
      <c r="H167" s="2"/>
    </row>
    <row r="168" spans="1:8" x14ac:dyDescent="0.3">
      <c r="A168" s="2"/>
      <c r="B168" s="2"/>
      <c r="C168" s="2"/>
      <c r="D168" s="2"/>
      <c r="E168" s="2"/>
      <c r="F168" s="2"/>
      <c r="G168" s="2"/>
      <c r="H168" s="2"/>
    </row>
    <row r="169" spans="1:8" x14ac:dyDescent="0.3">
      <c r="A169" s="2"/>
      <c r="B169" s="2"/>
      <c r="C169" s="2"/>
      <c r="D169" s="2"/>
      <c r="E169" s="2"/>
      <c r="F169" s="2"/>
      <c r="G169" s="2"/>
      <c r="H169" s="2"/>
    </row>
    <row r="170" spans="1:8" x14ac:dyDescent="0.3">
      <c r="A170" s="2"/>
      <c r="B170" s="2"/>
      <c r="C170" s="2"/>
      <c r="D170" s="2"/>
      <c r="E170" s="2"/>
      <c r="F170" s="2"/>
      <c r="G170" s="2"/>
      <c r="H170" s="2"/>
    </row>
    <row r="171" spans="1:8" x14ac:dyDescent="0.3">
      <c r="A171" s="2"/>
      <c r="B171" s="2"/>
      <c r="C171" s="2"/>
      <c r="D171" s="2"/>
      <c r="E171" s="2"/>
      <c r="F171" s="2"/>
      <c r="G171" s="2"/>
      <c r="H171" s="2"/>
    </row>
    <row r="172" spans="1:8" x14ac:dyDescent="0.3">
      <c r="A172" s="2"/>
      <c r="B172" s="2"/>
      <c r="C172" s="2"/>
      <c r="D172" s="2"/>
      <c r="E172" s="2"/>
      <c r="F172" s="2"/>
      <c r="G172" s="2"/>
      <c r="H172" s="2"/>
    </row>
    <row r="173" spans="1:8" x14ac:dyDescent="0.3">
      <c r="A173" s="2"/>
      <c r="B173" s="2"/>
      <c r="C173" s="2"/>
      <c r="D173" s="2"/>
      <c r="E173" s="2"/>
      <c r="F173" s="2"/>
      <c r="G173" s="2"/>
      <c r="H173" s="2"/>
    </row>
    <row r="174" spans="1:8" x14ac:dyDescent="0.3">
      <c r="A174" s="2"/>
      <c r="B174" s="2"/>
      <c r="C174" s="2"/>
      <c r="D174" s="2"/>
      <c r="E174" s="2"/>
      <c r="F174" s="2"/>
      <c r="G174" s="2"/>
      <c r="H174" s="2"/>
    </row>
    <row r="175" spans="1:8" x14ac:dyDescent="0.3">
      <c r="A175" s="2"/>
      <c r="B175" s="2"/>
      <c r="C175" s="2"/>
      <c r="D175" s="2"/>
      <c r="E175" s="2"/>
      <c r="F175" s="2"/>
      <c r="G175" s="2"/>
      <c r="H175" s="2"/>
    </row>
    <row r="176" spans="1:8" x14ac:dyDescent="0.3">
      <c r="A176" s="2"/>
      <c r="B176" s="2"/>
      <c r="C176" s="2"/>
      <c r="D176" s="2"/>
      <c r="E176" s="2"/>
      <c r="F176" s="2"/>
      <c r="G176" s="2"/>
      <c r="H176" s="2"/>
    </row>
    <row r="177" spans="1:8" x14ac:dyDescent="0.3">
      <c r="A177" s="2"/>
      <c r="B177" s="2"/>
      <c r="C177" s="2"/>
      <c r="D177" s="2"/>
      <c r="E177" s="2"/>
      <c r="F177" s="2"/>
      <c r="G177" s="2"/>
      <c r="H177" s="2"/>
    </row>
    <row r="178" spans="1:8" x14ac:dyDescent="0.3">
      <c r="A178" s="2"/>
      <c r="B178" s="2"/>
      <c r="C178" s="2"/>
      <c r="D178" s="2"/>
      <c r="E178" s="2"/>
      <c r="F178" s="2"/>
      <c r="G178" s="2"/>
      <c r="H178" s="2"/>
    </row>
    <row r="179" spans="1:8" x14ac:dyDescent="0.3">
      <c r="A179" s="2"/>
      <c r="B179" s="2"/>
      <c r="C179" s="2"/>
      <c r="D179" s="2"/>
      <c r="E179" s="2"/>
      <c r="F179" s="2"/>
      <c r="G179" s="2"/>
      <c r="H179" s="2"/>
    </row>
    <row r="180" spans="1:8" x14ac:dyDescent="0.3">
      <c r="A180" s="2"/>
      <c r="B180" s="2"/>
      <c r="C180" s="2"/>
      <c r="D180" s="2"/>
      <c r="E180" s="2"/>
      <c r="F180" s="2"/>
      <c r="G180" s="2"/>
      <c r="H180" s="2"/>
    </row>
    <row r="181" spans="1:8" x14ac:dyDescent="0.3">
      <c r="A181" s="2"/>
      <c r="B181" s="2"/>
      <c r="C181" s="2"/>
      <c r="D181" s="2"/>
      <c r="E181" s="2"/>
      <c r="F181" s="2"/>
      <c r="G181" s="2"/>
      <c r="H181" s="2"/>
    </row>
    <row r="182" spans="1:8" x14ac:dyDescent="0.3">
      <c r="A182" s="2"/>
      <c r="B182" s="2"/>
      <c r="C182" s="2"/>
      <c r="D182" s="2"/>
      <c r="E182" s="2"/>
      <c r="F182" s="2"/>
      <c r="G182" s="2"/>
      <c r="H182" s="2"/>
    </row>
    <row r="183" spans="1:8" x14ac:dyDescent="0.3">
      <c r="A183" s="2"/>
      <c r="B183" s="2"/>
      <c r="C183" s="2"/>
      <c r="D183" s="2"/>
      <c r="E183" s="2"/>
      <c r="F183" s="2"/>
      <c r="G183" s="2"/>
      <c r="H183" s="2"/>
    </row>
    <row r="184" spans="1:8" x14ac:dyDescent="0.3">
      <c r="A184" s="2"/>
      <c r="B184" s="2"/>
      <c r="C184" s="2"/>
      <c r="D184" s="2"/>
      <c r="E184" s="2"/>
      <c r="F184" s="2"/>
      <c r="G184" s="2"/>
      <c r="H184" s="2"/>
    </row>
    <row r="185" spans="1:8" x14ac:dyDescent="0.3">
      <c r="A185" s="2"/>
      <c r="B185" s="2"/>
      <c r="C185" s="2"/>
      <c r="D185" s="2"/>
      <c r="E185" s="2"/>
      <c r="F185" s="2"/>
      <c r="G185" s="2"/>
      <c r="H185" s="2"/>
    </row>
    <row r="186" spans="1:8" x14ac:dyDescent="0.3">
      <c r="A186" s="2"/>
      <c r="B186" s="2"/>
      <c r="C186" s="2"/>
      <c r="D186" s="2"/>
      <c r="E186" s="2"/>
      <c r="F186" s="2"/>
      <c r="G186" s="2"/>
      <c r="H186" s="2"/>
    </row>
    <row r="187" spans="1:8" x14ac:dyDescent="0.3">
      <c r="A187" s="2"/>
      <c r="B187" s="2"/>
      <c r="C187" s="2"/>
      <c r="D187" s="2"/>
      <c r="E187" s="2"/>
      <c r="F187" s="2"/>
      <c r="G187" s="2"/>
      <c r="H187" s="2"/>
    </row>
    <row r="188" spans="1:8" x14ac:dyDescent="0.3">
      <c r="A188" s="2"/>
      <c r="B188" s="2"/>
      <c r="C188" s="2"/>
      <c r="D188" s="2"/>
      <c r="E188" s="2"/>
      <c r="F188" s="2"/>
      <c r="G188" s="2"/>
      <c r="H188" s="2"/>
    </row>
    <row r="189" spans="1:8" x14ac:dyDescent="0.3">
      <c r="A189" s="2"/>
      <c r="B189" s="2"/>
      <c r="C189" s="2"/>
      <c r="D189" s="2"/>
      <c r="E189" s="2"/>
      <c r="F189" s="2"/>
      <c r="G189" s="2"/>
      <c r="H189" s="2"/>
    </row>
    <row r="190" spans="1:8" x14ac:dyDescent="0.3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4.4" x14ac:dyDescent="0.3"/>
  <cols>
    <col min="1" max="1" width="10.5546875" bestFit="1" customWidth="1"/>
    <col min="3" max="3" width="27.6640625" bestFit="1" customWidth="1"/>
    <col min="4" max="4" width="23.77734375" bestFit="1" customWidth="1"/>
    <col min="5" max="5" width="9" bestFit="1" customWidth="1"/>
    <col min="6" max="6" width="10" bestFit="1" customWidth="1"/>
    <col min="7" max="7" width="16.109375" bestFit="1" customWidth="1"/>
    <col min="8" max="8" width="19.109375" bestFit="1" customWidth="1"/>
    <col min="14" max="14" width="10.55468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3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3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3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3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3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3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3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3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3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3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3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3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3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3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3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96" t="s">
        <v>330</v>
      </c>
      <c r="O16">
        <v>6250</v>
      </c>
    </row>
    <row r="17" spans="1:15" x14ac:dyDescent="0.3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96"/>
      <c r="O17">
        <v>9000</v>
      </c>
    </row>
    <row r="18" spans="1:15" x14ac:dyDescent="0.3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96"/>
      <c r="O18">
        <v>9000</v>
      </c>
    </row>
    <row r="19" spans="1:15" x14ac:dyDescent="0.3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96"/>
      <c r="O19">
        <v>9000</v>
      </c>
    </row>
    <row r="20" spans="1:15" x14ac:dyDescent="0.3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3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3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3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3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3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3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3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4.4" x14ac:dyDescent="0.3"/>
  <cols>
    <col min="1" max="1" width="19.77734375" bestFit="1" customWidth="1"/>
    <col min="2" max="2" width="10.44140625" bestFit="1" customWidth="1"/>
  </cols>
  <sheetData>
    <row r="1" spans="1:2" x14ac:dyDescent="0.3">
      <c r="A1" s="52" t="s">
        <v>367</v>
      </c>
      <c r="B1" s="52" t="s">
        <v>0</v>
      </c>
    </row>
    <row r="2" spans="1:2" x14ac:dyDescent="0.3">
      <c r="A2" s="14" t="s">
        <v>323</v>
      </c>
      <c r="B2">
        <v>13</v>
      </c>
    </row>
    <row r="3" spans="1:2" x14ac:dyDescent="0.3">
      <c r="A3" s="14" t="s">
        <v>317</v>
      </c>
      <c r="B3">
        <v>73</v>
      </c>
    </row>
    <row r="4" spans="1:2" x14ac:dyDescent="0.3">
      <c r="A4" s="14" t="s">
        <v>353</v>
      </c>
      <c r="B4">
        <v>6</v>
      </c>
    </row>
    <row r="5" spans="1:2" x14ac:dyDescent="0.3">
      <c r="A5" s="14" t="s">
        <v>354</v>
      </c>
      <c r="B5">
        <v>6</v>
      </c>
    </row>
    <row r="6" spans="1:2" x14ac:dyDescent="0.3">
      <c r="A6" s="14" t="s">
        <v>351</v>
      </c>
      <c r="B6">
        <v>11</v>
      </c>
    </row>
    <row r="7" spans="1:2" x14ac:dyDescent="0.3">
      <c r="A7" s="14" t="s">
        <v>352</v>
      </c>
      <c r="B7">
        <v>8</v>
      </c>
    </row>
    <row r="8" spans="1:2" x14ac:dyDescent="0.3">
      <c r="A8" s="14" t="s">
        <v>350</v>
      </c>
      <c r="B8">
        <v>3</v>
      </c>
    </row>
    <row r="9" spans="1:2" x14ac:dyDescent="0.3">
      <c r="A9" s="14" t="s">
        <v>334</v>
      </c>
      <c r="B9">
        <v>6</v>
      </c>
    </row>
    <row r="10" spans="1:2" x14ac:dyDescent="0.3">
      <c r="A10" s="14" t="s">
        <v>356</v>
      </c>
      <c r="B10">
        <v>38</v>
      </c>
    </row>
    <row r="11" spans="1:2" x14ac:dyDescent="0.3">
      <c r="A11" s="14" t="s">
        <v>357</v>
      </c>
      <c r="B11">
        <v>1</v>
      </c>
    </row>
    <row r="12" spans="1:2" x14ac:dyDescent="0.3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4.4" x14ac:dyDescent="0.3"/>
  <cols>
    <col min="1" max="1" width="17.88671875" bestFit="1" customWidth="1"/>
  </cols>
  <sheetData>
    <row r="1" spans="1:13" x14ac:dyDescent="0.3">
      <c r="A1" s="2" t="s">
        <v>1</v>
      </c>
      <c r="B1" s="2" t="s">
        <v>0</v>
      </c>
      <c r="M1">
        <v>3</v>
      </c>
    </row>
    <row r="2" spans="1:13" x14ac:dyDescent="0.3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3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3">
      <c r="A4" s="2" t="s">
        <v>339</v>
      </c>
      <c r="B4" s="18">
        <v>8</v>
      </c>
      <c r="C4">
        <v>4</v>
      </c>
      <c r="M4">
        <v>2</v>
      </c>
    </row>
    <row r="5" spans="1:13" x14ac:dyDescent="0.3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3">
      <c r="A6" s="2" t="s">
        <v>341</v>
      </c>
      <c r="B6" s="2">
        <v>1</v>
      </c>
      <c r="M6">
        <v>1</v>
      </c>
    </row>
    <row r="7" spans="1:13" x14ac:dyDescent="0.3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3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3">
      <c r="A9" s="2" t="s">
        <v>343</v>
      </c>
      <c r="B9" s="2">
        <v>4</v>
      </c>
      <c r="M9">
        <v>2</v>
      </c>
    </row>
    <row r="10" spans="1:13" x14ac:dyDescent="0.3">
      <c r="A10" s="2" t="s">
        <v>345</v>
      </c>
      <c r="B10" s="2">
        <v>48</v>
      </c>
      <c r="C10">
        <v>20</v>
      </c>
      <c r="M10">
        <v>2</v>
      </c>
    </row>
    <row r="11" spans="1:13" x14ac:dyDescent="0.3">
      <c r="A11" s="2" t="s">
        <v>165</v>
      </c>
      <c r="B11" s="2">
        <v>3</v>
      </c>
      <c r="C11">
        <v>1</v>
      </c>
      <c r="M11">
        <v>8</v>
      </c>
    </row>
    <row r="12" spans="1:13" x14ac:dyDescent="0.3">
      <c r="A12" s="2" t="s">
        <v>183</v>
      </c>
      <c r="B12" s="2">
        <v>26</v>
      </c>
      <c r="M12">
        <v>2</v>
      </c>
    </row>
    <row r="13" spans="1:13" x14ac:dyDescent="0.3">
      <c r="M13">
        <v>3</v>
      </c>
    </row>
    <row r="14" spans="1:13" x14ac:dyDescent="0.3">
      <c r="M14">
        <v>4</v>
      </c>
    </row>
    <row r="15" spans="1:13" x14ac:dyDescent="0.3">
      <c r="M15">
        <v>1</v>
      </c>
    </row>
    <row r="16" spans="1:13" x14ac:dyDescent="0.3">
      <c r="M16">
        <v>4</v>
      </c>
    </row>
    <row r="17" spans="1:13" x14ac:dyDescent="0.3">
      <c r="M17">
        <v>2</v>
      </c>
    </row>
    <row r="18" spans="1:13" x14ac:dyDescent="0.3">
      <c r="M18">
        <v>4</v>
      </c>
    </row>
    <row r="19" spans="1:13" x14ac:dyDescent="0.3">
      <c r="A19" t="s">
        <v>183</v>
      </c>
      <c r="B19">
        <v>26</v>
      </c>
      <c r="M19">
        <v>2</v>
      </c>
    </row>
    <row r="20" spans="1:13" x14ac:dyDescent="0.3">
      <c r="A20" t="s">
        <v>346</v>
      </c>
      <c r="B20">
        <v>14</v>
      </c>
      <c r="M20">
        <v>2</v>
      </c>
    </row>
    <row r="21" spans="1:13" x14ac:dyDescent="0.3">
      <c r="A21" t="s">
        <v>347</v>
      </c>
      <c r="B21">
        <v>154</v>
      </c>
      <c r="M21">
        <v>2</v>
      </c>
    </row>
    <row r="22" spans="1:13" x14ac:dyDescent="0.3">
      <c r="M22">
        <v>11</v>
      </c>
    </row>
    <row r="23" spans="1:13" x14ac:dyDescent="0.3">
      <c r="M23">
        <v>14</v>
      </c>
    </row>
    <row r="24" spans="1:13" x14ac:dyDescent="0.3">
      <c r="M24">
        <v>2</v>
      </c>
    </row>
    <row r="25" spans="1:13" x14ac:dyDescent="0.3">
      <c r="M25">
        <v>28</v>
      </c>
    </row>
    <row r="26" spans="1:13" x14ac:dyDescent="0.3">
      <c r="M26">
        <v>20</v>
      </c>
    </row>
    <row r="27" spans="1:13" x14ac:dyDescent="0.3">
      <c r="M27">
        <v>2</v>
      </c>
    </row>
    <row r="28" spans="1:13" x14ac:dyDescent="0.3">
      <c r="M28">
        <v>4</v>
      </c>
    </row>
    <row r="29" spans="1:13" x14ac:dyDescent="0.3">
      <c r="M29">
        <v>12</v>
      </c>
    </row>
    <row r="30" spans="1:13" x14ac:dyDescent="0.3">
      <c r="M30">
        <v>4</v>
      </c>
    </row>
    <row r="31" spans="1:13" x14ac:dyDescent="0.3">
      <c r="M31">
        <v>3</v>
      </c>
    </row>
    <row r="32" spans="1:13" x14ac:dyDescent="0.3">
      <c r="M32">
        <v>1</v>
      </c>
    </row>
    <row r="33" spans="13:13" x14ac:dyDescent="0.3">
      <c r="M33">
        <v>26</v>
      </c>
    </row>
    <row r="34" spans="13:13" x14ac:dyDescent="0.3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4.4" x14ac:dyDescent="0.3"/>
  <cols>
    <col min="1" max="1" width="10.5546875" bestFit="1" customWidth="1"/>
    <col min="3" max="3" width="32" bestFit="1" customWidth="1"/>
    <col min="5" max="5" width="31.5546875" bestFit="1" customWidth="1"/>
    <col min="6" max="6" width="10" bestFit="1" customWidth="1"/>
    <col min="7" max="7" width="18.88671875" bestFit="1" customWidth="1"/>
    <col min="8" max="8" width="10.21875" bestFit="1" customWidth="1"/>
  </cols>
  <sheetData>
    <row r="1" spans="1:12" x14ac:dyDescent="0.3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3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97">
        <v>95960</v>
      </c>
    </row>
    <row r="3" spans="1:12" x14ac:dyDescent="0.3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97"/>
    </row>
    <row r="4" spans="1:12" x14ac:dyDescent="0.3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3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3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3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3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3">
      <c r="C9" s="2"/>
      <c r="D9" s="2"/>
      <c r="E9" s="2" t="s">
        <v>260</v>
      </c>
      <c r="F9" s="2"/>
      <c r="G9" s="2"/>
      <c r="H9" s="18">
        <v>157</v>
      </c>
    </row>
    <row r="10" spans="1:12" x14ac:dyDescent="0.3">
      <c r="E10" s="22" t="s">
        <v>290</v>
      </c>
      <c r="F10">
        <v>520</v>
      </c>
      <c r="G10">
        <v>1560</v>
      </c>
      <c r="H10" s="22">
        <v>1560</v>
      </c>
    </row>
    <row r="11" spans="1:12" x14ac:dyDescent="0.3">
      <c r="E11" t="s">
        <v>288</v>
      </c>
    </row>
    <row r="15" spans="1:12" x14ac:dyDescent="0.3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3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3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3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3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4.4" x14ac:dyDescent="0.3"/>
  <cols>
    <col min="1" max="1" width="10.5546875" bestFit="1" customWidth="1"/>
    <col min="3" max="3" width="20" bestFit="1" customWidth="1"/>
    <col min="4" max="4" width="22.77734375" bestFit="1" customWidth="1"/>
    <col min="6" max="6" width="10" bestFit="1" customWidth="1"/>
    <col min="7" max="7" width="16.109375" bestFit="1" customWidth="1"/>
    <col min="8" max="8" width="13.77734375" bestFit="1" customWidth="1"/>
    <col min="12" max="12" width="24.109375" bestFit="1" customWidth="1"/>
    <col min="13" max="13" width="11.5546875" bestFit="1" customWidth="1"/>
  </cols>
  <sheetData>
    <row r="1" spans="1:1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650</v>
      </c>
    </row>
    <row r="2" spans="1:13" x14ac:dyDescent="0.3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3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4" t="s">
        <v>351</v>
      </c>
      <c r="M3">
        <v>2885</v>
      </c>
    </row>
    <row r="4" spans="1:13" x14ac:dyDescent="0.3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3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4" t="s">
        <v>295</v>
      </c>
      <c r="M5">
        <v>274</v>
      </c>
    </row>
    <row r="6" spans="1:13" x14ac:dyDescent="0.3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3">
      <c r="L7" s="74" t="s">
        <v>352</v>
      </c>
      <c r="M7">
        <v>3750</v>
      </c>
    </row>
    <row r="8" spans="1:13" x14ac:dyDescent="0.3">
      <c r="L8" s="14">
        <v>8</v>
      </c>
      <c r="M8">
        <v>6635</v>
      </c>
    </row>
    <row r="9" spans="1:13" x14ac:dyDescent="0.3">
      <c r="L9" s="74" t="s">
        <v>508</v>
      </c>
      <c r="M9">
        <v>3750</v>
      </c>
    </row>
    <row r="10" spans="1:13" x14ac:dyDescent="0.3">
      <c r="L10" s="74" t="s">
        <v>351</v>
      </c>
      <c r="M10">
        <v>2885</v>
      </c>
    </row>
    <row r="11" spans="1:13" x14ac:dyDescent="0.3">
      <c r="L11" s="14" t="s">
        <v>80</v>
      </c>
      <c r="M11">
        <v>13544</v>
      </c>
    </row>
    <row r="16" spans="1:13" x14ac:dyDescent="0.3">
      <c r="F16">
        <v>84235</v>
      </c>
    </row>
    <row r="17" spans="6:6" x14ac:dyDescent="0.3">
      <c r="F17">
        <f>F16*10%</f>
        <v>8423.5</v>
      </c>
    </row>
    <row r="18" spans="6:6" x14ac:dyDescent="0.3">
      <c r="F18">
        <v>9000</v>
      </c>
    </row>
    <row r="19" spans="6:6" x14ac:dyDescent="0.3">
      <c r="F19">
        <f>F17+F18</f>
        <v>17423.5</v>
      </c>
    </row>
    <row r="20" spans="6:6" x14ac:dyDescent="0.3">
      <c r="F20">
        <v>6000</v>
      </c>
    </row>
    <row r="21" spans="6:6" x14ac:dyDescent="0.3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4.4" x14ac:dyDescent="0.3"/>
  <cols>
    <col min="2" max="2" width="32.77734375" bestFit="1" customWidth="1"/>
  </cols>
  <sheetData>
    <row r="1" spans="2:7" x14ac:dyDescent="0.3">
      <c r="B1" s="44" t="s">
        <v>663</v>
      </c>
      <c r="C1" s="44" t="s">
        <v>0</v>
      </c>
    </row>
    <row r="2" spans="2:7" x14ac:dyDescent="0.3">
      <c r="B2" s="2" t="s">
        <v>659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3">
      <c r="B3" s="2" t="s">
        <v>660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3">
      <c r="B4" s="2" t="s">
        <v>661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3">
      <c r="B5" s="2" t="s">
        <v>662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3">
      <c r="B6" s="2" t="s">
        <v>651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3">
      <c r="B7" s="2" t="s">
        <v>652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3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3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3">
      <c r="B10" s="2" t="s">
        <v>658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3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4.4" x14ac:dyDescent="0.3"/>
  <cols>
    <col min="1" max="1" width="20" bestFit="1" customWidth="1"/>
    <col min="2" max="2" width="25.6640625" bestFit="1" customWidth="1"/>
    <col min="5" max="5" width="24.77734375" bestFit="1" customWidth="1"/>
    <col min="6" max="6" width="10.44140625" bestFit="1" customWidth="1"/>
  </cols>
  <sheetData>
    <row r="1" spans="1:6" x14ac:dyDescent="0.3">
      <c r="A1" t="s">
        <v>0</v>
      </c>
      <c r="B1" t="s">
        <v>159</v>
      </c>
      <c r="E1" s="13" t="s">
        <v>1</v>
      </c>
      <c r="F1" t="s">
        <v>81</v>
      </c>
    </row>
    <row r="2" spans="1:6" x14ac:dyDescent="0.3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3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3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3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3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3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3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3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3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3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3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3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3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3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3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3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3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3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3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3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3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3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3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3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3">
      <c r="A26">
        <v>1</v>
      </c>
      <c r="B26" t="s">
        <v>171</v>
      </c>
      <c r="C26">
        <v>6</v>
      </c>
    </row>
    <row r="27" spans="1:6" x14ac:dyDescent="0.3">
      <c r="A27">
        <v>1</v>
      </c>
      <c r="B27" t="s">
        <v>173</v>
      </c>
      <c r="C27">
        <v>6</v>
      </c>
    </row>
    <row r="28" spans="1:6" x14ac:dyDescent="0.3">
      <c r="A28">
        <v>2</v>
      </c>
      <c r="B28" t="s">
        <v>174</v>
      </c>
      <c r="C28">
        <v>7</v>
      </c>
    </row>
    <row r="29" spans="1:6" x14ac:dyDescent="0.3">
      <c r="A29">
        <v>1</v>
      </c>
      <c r="B29" t="s">
        <v>175</v>
      </c>
      <c r="C29">
        <v>7</v>
      </c>
    </row>
    <row r="30" spans="1:6" x14ac:dyDescent="0.3">
      <c r="A30">
        <v>2</v>
      </c>
      <c r="B30" t="s">
        <v>176</v>
      </c>
      <c r="C30">
        <v>8</v>
      </c>
    </row>
    <row r="31" spans="1:6" x14ac:dyDescent="0.3">
      <c r="A31">
        <v>3</v>
      </c>
      <c r="B31" t="s">
        <v>174</v>
      </c>
      <c r="C31">
        <v>8</v>
      </c>
    </row>
    <row r="32" spans="1:6" x14ac:dyDescent="0.3">
      <c r="A32">
        <v>1</v>
      </c>
      <c r="B32" t="s">
        <v>177</v>
      </c>
      <c r="C32">
        <v>8</v>
      </c>
    </row>
    <row r="33" spans="1:3" x14ac:dyDescent="0.3">
      <c r="A33">
        <v>2</v>
      </c>
      <c r="B33" t="s">
        <v>168</v>
      </c>
      <c r="C33">
        <v>8</v>
      </c>
    </row>
    <row r="34" spans="1:3" x14ac:dyDescent="0.3">
      <c r="A34">
        <v>5</v>
      </c>
      <c r="B34" t="s">
        <v>160</v>
      </c>
      <c r="C34">
        <v>9</v>
      </c>
    </row>
    <row r="35" spans="1:3" x14ac:dyDescent="0.3">
      <c r="A35">
        <v>1</v>
      </c>
      <c r="B35" t="s">
        <v>178</v>
      </c>
      <c r="C35">
        <v>9</v>
      </c>
    </row>
    <row r="36" spans="1:3" x14ac:dyDescent="0.3">
      <c r="A36">
        <v>1</v>
      </c>
      <c r="B36" t="s">
        <v>179</v>
      </c>
      <c r="C36">
        <v>10</v>
      </c>
    </row>
    <row r="37" spans="1:3" x14ac:dyDescent="0.3">
      <c r="A37">
        <v>1</v>
      </c>
      <c r="B37" t="s">
        <v>172</v>
      </c>
      <c r="C37">
        <v>10</v>
      </c>
    </row>
    <row r="38" spans="1:3" x14ac:dyDescent="0.3">
      <c r="A38">
        <v>1</v>
      </c>
      <c r="B38" t="s">
        <v>180</v>
      </c>
      <c r="C38">
        <v>10</v>
      </c>
    </row>
    <row r="39" spans="1:3" x14ac:dyDescent="0.3">
      <c r="A39">
        <v>2</v>
      </c>
      <c r="B39" t="s">
        <v>160</v>
      </c>
      <c r="C39" t="s">
        <v>181</v>
      </c>
    </row>
    <row r="40" spans="1:3" x14ac:dyDescent="0.3">
      <c r="A40">
        <v>6</v>
      </c>
      <c r="B40" t="s">
        <v>182</v>
      </c>
      <c r="C40">
        <v>11</v>
      </c>
    </row>
    <row r="41" spans="1:3" x14ac:dyDescent="0.3">
      <c r="A41">
        <v>33</v>
      </c>
      <c r="B41" t="s">
        <v>183</v>
      </c>
      <c r="C41" t="s">
        <v>185</v>
      </c>
    </row>
    <row r="42" spans="1:3" x14ac:dyDescent="0.3">
      <c r="A42">
        <v>6</v>
      </c>
      <c r="B42" t="s">
        <v>183</v>
      </c>
      <c r="C42" t="s">
        <v>184</v>
      </c>
    </row>
    <row r="43" spans="1:3" x14ac:dyDescent="0.3">
      <c r="A43">
        <v>8</v>
      </c>
      <c r="B43" t="s">
        <v>183</v>
      </c>
    </row>
    <row r="44" spans="1:3" x14ac:dyDescent="0.3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4.4" x14ac:dyDescent="0.3"/>
  <cols>
    <col min="2" max="2" width="24.77734375" bestFit="1" customWidth="1"/>
    <col min="8" max="8" width="24.77734375" bestFit="1" customWidth="1"/>
    <col min="9" max="9" width="10" bestFit="1" customWidth="1"/>
    <col min="10" max="10" width="10" customWidth="1"/>
  </cols>
  <sheetData>
    <row r="1" spans="1:14" x14ac:dyDescent="0.3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3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3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3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3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3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3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3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3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3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3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3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3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3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3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3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3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3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3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3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3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3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3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3">
      <c r="A24">
        <v>2</v>
      </c>
      <c r="B24" t="s">
        <v>264</v>
      </c>
      <c r="C24">
        <v>9</v>
      </c>
    </row>
    <row r="25" spans="1:14" x14ac:dyDescent="0.3">
      <c r="A25">
        <v>2</v>
      </c>
      <c r="B25" t="s">
        <v>264</v>
      </c>
      <c r="C25">
        <v>10</v>
      </c>
    </row>
    <row r="26" spans="1:14" x14ac:dyDescent="0.3">
      <c r="A26">
        <v>1</v>
      </c>
      <c r="B26" t="s">
        <v>160</v>
      </c>
      <c r="C26">
        <v>10</v>
      </c>
    </row>
    <row r="27" spans="1:14" x14ac:dyDescent="0.3">
      <c r="A27">
        <v>1</v>
      </c>
      <c r="B27" t="s">
        <v>161</v>
      </c>
      <c r="C27">
        <v>10</v>
      </c>
    </row>
    <row r="28" spans="1:14" x14ac:dyDescent="0.3">
      <c r="A28">
        <v>5</v>
      </c>
      <c r="B28" t="s">
        <v>161</v>
      </c>
      <c r="C28">
        <v>11</v>
      </c>
    </row>
    <row r="29" spans="1:14" x14ac:dyDescent="0.3">
      <c r="A29">
        <v>4</v>
      </c>
      <c r="B29" t="s">
        <v>265</v>
      </c>
      <c r="C29">
        <v>11</v>
      </c>
    </row>
    <row r="30" spans="1:14" x14ac:dyDescent="0.3">
      <c r="A30">
        <v>5</v>
      </c>
      <c r="B30" t="s">
        <v>225</v>
      </c>
      <c r="C30">
        <v>11</v>
      </c>
    </row>
    <row r="31" spans="1:14" x14ac:dyDescent="0.3">
      <c r="A31">
        <v>1</v>
      </c>
      <c r="B31" t="s">
        <v>263</v>
      </c>
      <c r="C31">
        <v>11</v>
      </c>
    </row>
    <row r="32" spans="1:14" x14ac:dyDescent="0.3">
      <c r="A32">
        <v>2</v>
      </c>
      <c r="B32" t="s">
        <v>170</v>
      </c>
      <c r="C32">
        <v>11</v>
      </c>
    </row>
    <row r="33" spans="1:3" x14ac:dyDescent="0.3">
      <c r="A33">
        <v>1</v>
      </c>
      <c r="B33" t="s">
        <v>269</v>
      </c>
      <c r="C33">
        <v>11</v>
      </c>
    </row>
    <row r="34" spans="1:3" x14ac:dyDescent="0.3">
      <c r="A34">
        <v>2</v>
      </c>
      <c r="B34" t="s">
        <v>161</v>
      </c>
      <c r="C34">
        <v>12</v>
      </c>
    </row>
    <row r="35" spans="1:3" x14ac:dyDescent="0.3">
      <c r="A35">
        <v>1</v>
      </c>
      <c r="B35" t="s">
        <v>265</v>
      </c>
      <c r="C35">
        <v>13</v>
      </c>
    </row>
    <row r="36" spans="1:3" x14ac:dyDescent="0.3">
      <c r="A36">
        <v>2</v>
      </c>
      <c r="B36" t="s">
        <v>161</v>
      </c>
      <c r="C36">
        <v>13</v>
      </c>
    </row>
    <row r="37" spans="1:3" x14ac:dyDescent="0.3">
      <c r="A37">
        <v>5</v>
      </c>
      <c r="B37" t="s">
        <v>268</v>
      </c>
      <c r="C37">
        <v>13</v>
      </c>
    </row>
    <row r="38" spans="1:3" x14ac:dyDescent="0.3">
      <c r="A38">
        <v>5</v>
      </c>
      <c r="B38" t="s">
        <v>161</v>
      </c>
      <c r="C38">
        <v>14</v>
      </c>
    </row>
    <row r="39" spans="1:3" x14ac:dyDescent="0.3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4.4" x14ac:dyDescent="0.3"/>
  <cols>
    <col min="1" max="1" width="10.77734375" bestFit="1" customWidth="1"/>
    <col min="3" max="3" width="26.77734375" bestFit="1" customWidth="1"/>
    <col min="4" max="4" width="22.77734375" bestFit="1" customWidth="1"/>
    <col min="5" max="5" width="9" bestFit="1" customWidth="1"/>
    <col min="6" max="6" width="11" bestFit="1" customWidth="1"/>
    <col min="7" max="7" width="12.6640625" bestFit="1" customWidth="1"/>
    <col min="8" max="8" width="13.77734375" bestFit="1" customWidth="1"/>
    <col min="10" max="10" width="10.2187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3">
      <c r="A1" s="98" t="s">
        <v>299</v>
      </c>
      <c r="B1" s="98"/>
      <c r="C1" s="98"/>
      <c r="D1" s="98"/>
      <c r="E1" s="98"/>
      <c r="F1" s="98"/>
      <c r="G1" s="98"/>
      <c r="H1" s="98"/>
      <c r="I1" s="2"/>
      <c r="J1" s="2"/>
    </row>
    <row r="2" spans="1:17" x14ac:dyDescent="0.3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3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3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3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3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3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3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3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3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3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3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3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3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3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3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3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3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3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3">
      <c r="F20" s="43">
        <f t="shared" si="8"/>
        <v>0</v>
      </c>
      <c r="O20">
        <v>120000</v>
      </c>
    </row>
    <row r="21" spans="1:15" x14ac:dyDescent="0.3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3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workbookViewId="0">
      <selection activeCell="H50" sqref="H50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6640625" bestFit="1" customWidth="1"/>
    <col min="5" max="5" width="9" style="60" bestFit="1" customWidth="1"/>
    <col min="6" max="6" width="11" style="60" bestFit="1" customWidth="1"/>
    <col min="7" max="7" width="23.88671875" bestFit="1" customWidth="1"/>
    <col min="8" max="8" width="22.33203125" bestFit="1" customWidth="1"/>
    <col min="10" max="10" width="10.21875" bestFit="1" customWidth="1"/>
  </cols>
  <sheetData>
    <row r="1" spans="1:10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3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3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3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3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3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3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3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3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3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3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3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3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3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3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3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3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3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3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3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3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3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3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3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3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3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3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3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3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3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3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3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3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3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3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3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3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3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99" t="s">
        <v>471</v>
      </c>
      <c r="H38" s="10" t="s">
        <v>470</v>
      </c>
      <c r="I38" s="2"/>
    </row>
    <row r="39" spans="1:9" x14ac:dyDescent="0.3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99"/>
      <c r="H39" s="10" t="s">
        <v>470</v>
      </c>
      <c r="I39" s="2"/>
    </row>
    <row r="40" spans="1:9" x14ac:dyDescent="0.3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99"/>
      <c r="H40" s="10" t="s">
        <v>470</v>
      </c>
      <c r="I40" s="2"/>
    </row>
    <row r="41" spans="1:9" x14ac:dyDescent="0.3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3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3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3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B23" activeCellId="1" sqref="B16:B19 B23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5546875" bestFit="1" customWidth="1"/>
    <col min="5" max="5" width="9" bestFit="1" customWidth="1"/>
    <col min="6" max="6" width="10" bestFit="1" customWidth="1"/>
    <col min="7" max="7" width="17.5546875" bestFit="1" customWidth="1"/>
    <col min="8" max="8" width="15" bestFit="1" customWidth="1"/>
    <col min="9" max="9" width="21.8867187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3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3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3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3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3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3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3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3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3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3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3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3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3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3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3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3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3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3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3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3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3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3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3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E25" sqref="E25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18.6640625" bestFit="1" customWidth="1"/>
    <col min="4" max="4" width="15.21875" bestFit="1" customWidth="1"/>
    <col min="5" max="5" width="9" bestFit="1" customWidth="1"/>
    <col min="6" max="6" width="11" bestFit="1" customWidth="1"/>
    <col min="7" max="7" width="18.7773437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3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3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3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3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3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3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3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3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3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3:A5"/>
  <sheetViews>
    <sheetView workbookViewId="0">
      <selection activeCell="B9" sqref="B9"/>
    </sheetView>
  </sheetViews>
  <sheetFormatPr defaultRowHeight="14.4" x14ac:dyDescent="0.3"/>
  <sheetData>
    <row r="3" spans="1:1" x14ac:dyDescent="0.3">
      <c r="A3">
        <v>3000</v>
      </c>
    </row>
    <row r="4" spans="1:1" x14ac:dyDescent="0.3">
      <c r="A4">
        <v>5000</v>
      </c>
    </row>
    <row r="5" spans="1:1" x14ac:dyDescent="0.3">
      <c r="A5">
        <v>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4.4" x14ac:dyDescent="0.3"/>
  <cols>
    <col min="1" max="1" width="10.5546875" bestFit="1" customWidth="1"/>
    <col min="3" max="3" width="19.77734375" bestFit="1" customWidth="1"/>
    <col min="4" max="4" width="23.6640625" bestFit="1" customWidth="1"/>
    <col min="6" max="6" width="10" bestFit="1" customWidth="1"/>
    <col min="7" max="7" width="28.33203125" bestFit="1" customWidth="1"/>
    <col min="8" max="8" width="27.109375" bestFit="1" customWidth="1"/>
    <col min="9" max="9" width="19.1093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3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3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3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3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3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3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3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3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3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3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3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3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3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3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3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3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3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3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3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3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3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3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3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3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3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3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3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3">
      <c r="A29" s="2"/>
      <c r="B29" s="2"/>
      <c r="C29" s="2"/>
      <c r="D29" s="2"/>
      <c r="E29" s="2"/>
      <c r="F29" s="2"/>
      <c r="G29" s="2"/>
      <c r="H29" s="2"/>
    </row>
    <row r="30" spans="1:16" x14ac:dyDescent="0.3">
      <c r="A30" s="2"/>
      <c r="B30" s="2"/>
      <c r="C30" s="2"/>
      <c r="D30" s="2"/>
      <c r="E30" s="2"/>
      <c r="F30" s="2"/>
      <c r="G30" s="2"/>
      <c r="H30" s="2"/>
    </row>
    <row r="31" spans="1:16" x14ac:dyDescent="0.3">
      <c r="A31" s="2"/>
      <c r="B31" s="2"/>
      <c r="C31" s="2"/>
      <c r="D31" s="2"/>
      <c r="E31" s="2"/>
      <c r="F31" s="2"/>
      <c r="G31" s="2"/>
      <c r="H31" s="2"/>
    </row>
    <row r="32" spans="1:16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/>
      <c r="B47" s="2"/>
      <c r="C47" s="2"/>
      <c r="D47" s="2"/>
      <c r="E47" s="2"/>
      <c r="F47" s="2"/>
      <c r="G47" s="2"/>
      <c r="H47" s="2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A56" s="2"/>
      <c r="B56" s="2"/>
      <c r="C56" s="2"/>
      <c r="D56" s="2"/>
      <c r="E56" s="2"/>
      <c r="F56" s="2"/>
      <c r="G56" s="2"/>
      <c r="H56" s="2"/>
    </row>
    <row r="57" spans="1:8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2"/>
      <c r="B59" s="2"/>
      <c r="C59" s="2"/>
      <c r="D59" s="2"/>
      <c r="E59" s="2"/>
      <c r="F59" s="2"/>
      <c r="G59" s="2"/>
      <c r="H59" s="2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2"/>
      <c r="B61" s="2"/>
      <c r="C61" s="2"/>
      <c r="D61" s="2"/>
      <c r="E61" s="2"/>
      <c r="F61" s="2"/>
      <c r="G61" s="2"/>
      <c r="H61" s="2"/>
    </row>
    <row r="62" spans="1:8" x14ac:dyDescent="0.3">
      <c r="A62" s="2"/>
      <c r="B62" s="2"/>
      <c r="C62" s="2"/>
      <c r="D62" s="2"/>
      <c r="E62" s="2"/>
      <c r="F62" s="2"/>
      <c r="G62" s="2"/>
      <c r="H62" s="2"/>
    </row>
    <row r="63" spans="1:8" x14ac:dyDescent="0.3">
      <c r="A63" s="2"/>
      <c r="B63" s="2"/>
      <c r="C63" s="2"/>
      <c r="D63" s="2"/>
      <c r="E63" s="2"/>
      <c r="F63" s="2"/>
      <c r="G63" s="2"/>
      <c r="H63" s="2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2"/>
      <c r="B65" s="2"/>
      <c r="C65" s="2"/>
      <c r="D65" s="2"/>
      <c r="E65" s="2"/>
      <c r="F65" s="2"/>
      <c r="G65" s="2"/>
      <c r="H65" s="2"/>
    </row>
    <row r="66" spans="1:8" x14ac:dyDescent="0.3">
      <c r="A66" s="2"/>
      <c r="B66" s="2"/>
      <c r="C66" s="2"/>
      <c r="D66" s="2"/>
      <c r="E66" s="2"/>
      <c r="F66" s="2"/>
      <c r="G66" s="2"/>
      <c r="H66" s="2"/>
    </row>
    <row r="67" spans="1:8" x14ac:dyDescent="0.3">
      <c r="A67" s="2"/>
      <c r="B67" s="2"/>
      <c r="C67" s="2"/>
      <c r="D67" s="2"/>
      <c r="E67" s="2"/>
      <c r="F67" s="2"/>
      <c r="G67" s="2"/>
      <c r="H67" s="2"/>
    </row>
    <row r="68" spans="1:8" x14ac:dyDescent="0.3">
      <c r="A68" s="2"/>
      <c r="B68" s="2"/>
      <c r="C68" s="2"/>
      <c r="D68" s="2"/>
      <c r="E68" s="2"/>
      <c r="F68" s="2"/>
      <c r="G68" s="2"/>
      <c r="H68" s="2"/>
    </row>
    <row r="69" spans="1:8" x14ac:dyDescent="0.3">
      <c r="A69" s="2"/>
      <c r="B69" s="2"/>
      <c r="C69" s="2"/>
      <c r="D69" s="2"/>
      <c r="E69" s="2"/>
      <c r="F69" s="2"/>
      <c r="G69" s="2"/>
      <c r="H69" s="2"/>
    </row>
    <row r="70" spans="1:8" x14ac:dyDescent="0.3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4" workbookViewId="0">
      <selection activeCell="D26" sqref="D26"/>
    </sheetView>
  </sheetViews>
  <sheetFormatPr defaultRowHeight="14.4" x14ac:dyDescent="0.3"/>
  <cols>
    <col min="1" max="1" width="11.5546875" bestFit="1" customWidth="1"/>
    <col min="2" max="2" width="12" bestFit="1" customWidth="1"/>
    <col min="3" max="3" width="26.44140625" bestFit="1" customWidth="1"/>
    <col min="4" max="4" width="30.77734375" bestFit="1" customWidth="1"/>
    <col min="5" max="5" width="8.88671875" style="60"/>
    <col min="6" max="6" width="15.88671875" style="60" bestFit="1" customWidth="1"/>
    <col min="7" max="7" width="33.33203125" bestFit="1" customWidth="1"/>
    <col min="8" max="8" width="20.77734375" bestFit="1" customWidth="1"/>
  </cols>
  <sheetData>
    <row r="1" spans="1:8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3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3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3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3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3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3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3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3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3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3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3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3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3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3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3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3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3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3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3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3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3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3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3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3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3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3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3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3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3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3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3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3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3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3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3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3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3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3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3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3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3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3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3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3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topLeftCell="A19" zoomScaleNormal="100" workbookViewId="0">
      <selection activeCell="N36" sqref="N36"/>
    </sheetView>
  </sheetViews>
  <sheetFormatPr defaultRowHeight="14.4" x14ac:dyDescent="0.3"/>
  <cols>
    <col min="1" max="1" width="10.5546875" bestFit="1" customWidth="1"/>
    <col min="3" max="3" width="26.6640625" bestFit="1" customWidth="1"/>
    <col min="4" max="4" width="29.6640625" bestFit="1" customWidth="1"/>
    <col min="5" max="5" width="10" style="60" bestFit="1" customWidth="1"/>
    <col min="6" max="6" width="10" bestFit="1" customWidth="1"/>
    <col min="7" max="7" width="26.109375" bestFit="1" customWidth="1"/>
    <col min="8" max="8" width="13.5546875" bestFit="1" customWidth="1"/>
    <col min="10" max="10" width="10.21875" bestFit="1" customWidth="1"/>
    <col min="11" max="11" width="19.1093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3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3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3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3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3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3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3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3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3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3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3">
      <c r="A12" s="49">
        <v>45860</v>
      </c>
      <c r="B12" s="10">
        <v>4</v>
      </c>
      <c r="C12" s="10" t="s">
        <v>419</v>
      </c>
      <c r="D12" s="10" t="s">
        <v>424</v>
      </c>
      <c r="E12" s="100">
        <v>400</v>
      </c>
      <c r="F12" s="50">
        <v>400</v>
      </c>
      <c r="G12" s="10" t="s">
        <v>565</v>
      </c>
      <c r="H12" s="2"/>
    </row>
    <row r="13" spans="1:13" x14ac:dyDescent="0.3">
      <c r="A13" s="49">
        <v>45860</v>
      </c>
      <c r="B13" s="10">
        <v>4</v>
      </c>
      <c r="C13" s="10" t="s">
        <v>425</v>
      </c>
      <c r="D13" s="10" t="s">
        <v>424</v>
      </c>
      <c r="E13" s="100"/>
      <c r="F13" s="50">
        <f t="shared" si="0"/>
        <v>0</v>
      </c>
      <c r="G13" s="10" t="s">
        <v>565</v>
      </c>
      <c r="H13" s="2"/>
    </row>
    <row r="14" spans="1:13" x14ac:dyDescent="0.3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3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3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3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3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3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3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3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3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3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3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3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3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3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3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3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3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3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3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3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3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3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3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3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3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3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3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3">
      <c r="C42" s="2"/>
      <c r="D42" s="2"/>
    </row>
    <row r="43" spans="1:8" x14ac:dyDescent="0.3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15" workbookViewId="0">
      <selection activeCell="D40" sqref="D40"/>
    </sheetView>
  </sheetViews>
  <sheetFormatPr defaultRowHeight="14.4" x14ac:dyDescent="0.3"/>
  <cols>
    <col min="1" max="2" width="10.5546875" bestFit="1" customWidth="1"/>
    <col min="3" max="3" width="33" bestFit="1" customWidth="1"/>
    <col min="4" max="4" width="31.109375" bestFit="1" customWidth="1"/>
    <col min="5" max="5" width="7.5546875" customWidth="1"/>
    <col min="6" max="6" width="10" customWidth="1"/>
    <col min="7" max="7" width="34" bestFit="1" customWidth="1"/>
    <col min="8" max="8" width="10.5546875" customWidth="1"/>
    <col min="9" max="9" width="18.218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3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3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3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3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3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3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3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3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3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3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3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3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3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3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3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3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3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3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3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3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3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3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3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3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3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3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3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3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3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3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3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3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3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topLeftCell="A7" workbookViewId="0">
      <selection activeCell="L24" sqref="L24"/>
    </sheetView>
  </sheetViews>
  <sheetFormatPr defaultRowHeight="14.4" x14ac:dyDescent="0.3"/>
  <cols>
    <col min="1" max="1" width="10.5546875" bestFit="1" customWidth="1"/>
    <col min="2" max="2" width="8.44140625" bestFit="1" customWidth="1"/>
    <col min="3" max="3" width="32.77734375" bestFit="1" customWidth="1"/>
    <col min="4" max="4" width="29" bestFit="1" customWidth="1"/>
    <col min="5" max="5" width="9" bestFit="1" customWidth="1"/>
    <col min="6" max="6" width="10" bestFit="1" customWidth="1"/>
    <col min="7" max="7" width="19.109375" bestFit="1" customWidth="1"/>
    <col min="8" max="8" width="15.109375" bestFit="1" customWidth="1"/>
    <col min="9" max="9" width="17.55468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3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3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3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3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3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3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3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3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3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3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3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3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3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3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3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3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3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3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3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3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3">
      <c r="A22" s="68">
        <v>45952</v>
      </c>
      <c r="B22" s="2">
        <v>1</v>
      </c>
      <c r="C22" s="2" t="s">
        <v>621</v>
      </c>
      <c r="D22" s="2" t="s">
        <v>627</v>
      </c>
      <c r="E22" s="3">
        <v>9442.8799999999992</v>
      </c>
      <c r="F22" s="3">
        <f t="shared" si="0"/>
        <v>9442.8799999999992</v>
      </c>
      <c r="G22" s="2" t="s">
        <v>622</v>
      </c>
      <c r="H22" s="2"/>
      <c r="I22" s="2"/>
    </row>
    <row r="23" spans="1:9" x14ac:dyDescent="0.3">
      <c r="A23" s="68">
        <v>45953</v>
      </c>
      <c r="B23" s="2">
        <v>8</v>
      </c>
      <c r="C23" s="2" t="s">
        <v>612</v>
      </c>
      <c r="D23" s="2" t="s">
        <v>615</v>
      </c>
      <c r="E23" s="3">
        <v>2199</v>
      </c>
      <c r="F23" s="3">
        <f t="shared" si="0"/>
        <v>17592</v>
      </c>
      <c r="G23" s="2" t="s">
        <v>630</v>
      </c>
      <c r="H23" s="2"/>
      <c r="I23" s="2" t="s">
        <v>633</v>
      </c>
    </row>
    <row r="24" spans="1:9" x14ac:dyDescent="0.3">
      <c r="A24" s="68">
        <v>45953</v>
      </c>
      <c r="B24" s="2">
        <v>4</v>
      </c>
      <c r="C24" s="2" t="s">
        <v>612</v>
      </c>
      <c r="D24" s="2" t="s">
        <v>44</v>
      </c>
      <c r="E24" s="3">
        <v>2199</v>
      </c>
      <c r="F24" s="3">
        <f t="shared" si="0"/>
        <v>8796</v>
      </c>
      <c r="G24" s="2" t="s">
        <v>630</v>
      </c>
      <c r="H24" s="2"/>
      <c r="I24" s="2" t="s">
        <v>633</v>
      </c>
    </row>
    <row r="25" spans="1:9" x14ac:dyDescent="0.3">
      <c r="A25" s="68">
        <v>45960</v>
      </c>
      <c r="B25" s="2">
        <v>5</v>
      </c>
      <c r="C25" s="2" t="s">
        <v>642</v>
      </c>
      <c r="D25" s="2" t="s">
        <v>641</v>
      </c>
      <c r="E25" s="65">
        <v>150</v>
      </c>
      <c r="F25" s="65">
        <f t="shared" si="0"/>
        <v>750</v>
      </c>
      <c r="G25" s="2" t="s">
        <v>644</v>
      </c>
      <c r="H25" s="2"/>
      <c r="I25" s="2" t="s">
        <v>691</v>
      </c>
    </row>
    <row r="26" spans="1:9" x14ac:dyDescent="0.3">
      <c r="A26" s="68">
        <v>45960</v>
      </c>
      <c r="B26" s="2">
        <v>4</v>
      </c>
      <c r="C26" s="2" t="s">
        <v>643</v>
      </c>
      <c r="D26" s="2" t="s">
        <v>641</v>
      </c>
      <c r="E26" s="65">
        <v>150</v>
      </c>
      <c r="F26" s="65">
        <f t="shared" si="0"/>
        <v>600</v>
      </c>
      <c r="G26" s="2" t="s">
        <v>644</v>
      </c>
      <c r="H26" s="2"/>
      <c r="I26" s="2" t="s">
        <v>691</v>
      </c>
    </row>
    <row r="27" spans="1:9" x14ac:dyDescent="0.3">
      <c r="A27" s="68">
        <v>45961</v>
      </c>
      <c r="B27" s="2">
        <v>10</v>
      </c>
      <c r="C27" s="2" t="s">
        <v>645</v>
      </c>
      <c r="D27" s="2" t="s">
        <v>335</v>
      </c>
      <c r="E27" s="65">
        <v>1400</v>
      </c>
      <c r="F27" s="65">
        <f t="shared" si="0"/>
        <v>14000</v>
      </c>
      <c r="G27" s="2" t="s">
        <v>648</v>
      </c>
      <c r="H27" s="2"/>
      <c r="I27" s="2" t="s">
        <v>691</v>
      </c>
    </row>
    <row r="28" spans="1:9" x14ac:dyDescent="0.3">
      <c r="A28" s="68">
        <v>45961</v>
      </c>
      <c r="B28" s="2">
        <v>5</v>
      </c>
      <c r="C28" s="2" t="s">
        <v>646</v>
      </c>
      <c r="D28" s="2" t="s">
        <v>335</v>
      </c>
      <c r="E28" s="65">
        <v>840</v>
      </c>
      <c r="F28" s="65">
        <f t="shared" si="0"/>
        <v>4200</v>
      </c>
      <c r="G28" s="2" t="s">
        <v>648</v>
      </c>
      <c r="H28" s="2"/>
      <c r="I28" s="2" t="s">
        <v>691</v>
      </c>
    </row>
    <row r="29" spans="1:9" x14ac:dyDescent="0.3">
      <c r="A29" s="68"/>
      <c r="B29" s="2"/>
      <c r="C29" s="2"/>
      <c r="D29" s="2"/>
      <c r="E29" s="65"/>
      <c r="F29" s="65"/>
      <c r="G29" s="2"/>
      <c r="H29" s="2"/>
      <c r="I29" s="2"/>
    </row>
  </sheetData>
  <autoFilter ref="A1:G24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dimension ref="A1:W135"/>
  <sheetViews>
    <sheetView topLeftCell="A109" workbookViewId="0">
      <selection activeCell="C75" sqref="C75"/>
    </sheetView>
  </sheetViews>
  <sheetFormatPr defaultRowHeight="14.4" x14ac:dyDescent="0.3"/>
  <cols>
    <col min="1" max="1" width="7" bestFit="1" customWidth="1"/>
    <col min="2" max="2" width="8.44140625" bestFit="1" customWidth="1"/>
    <col min="3" max="3" width="32.6640625" bestFit="1" customWidth="1"/>
    <col min="4" max="4" width="23.6640625" bestFit="1" customWidth="1"/>
    <col min="5" max="6" width="10" style="60" bestFit="1" customWidth="1"/>
    <col min="7" max="7" width="31.5546875" bestFit="1" customWidth="1"/>
    <col min="8" max="8" width="12.33203125" bestFit="1" customWidth="1"/>
    <col min="9" max="9" width="22.21875" bestFit="1" customWidth="1"/>
    <col min="12" max="12" width="22.44140625" hidden="1" customWidth="1"/>
    <col min="13" max="13" width="12.77734375" hidden="1" customWidth="1"/>
    <col min="14" max="15" width="0" hidden="1" customWidth="1"/>
    <col min="16" max="16" width="30" bestFit="1" customWidth="1"/>
    <col min="17" max="17" width="10.44140625" bestFit="1" customWidth="1"/>
    <col min="19" max="19" width="21.44140625" bestFit="1" customWidth="1"/>
    <col min="20" max="20" width="10.44140625" bestFit="1" customWidth="1"/>
  </cols>
  <sheetData>
    <row r="1" spans="1:2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P1" s="13" t="s">
        <v>78</v>
      </c>
      <c r="Q1" t="s">
        <v>81</v>
      </c>
      <c r="S1" s="13" t="s">
        <v>78</v>
      </c>
      <c r="T1" t="s">
        <v>81</v>
      </c>
    </row>
    <row r="2" spans="1:23" x14ac:dyDescent="0.3">
      <c r="A2" s="85">
        <v>45964</v>
      </c>
      <c r="B2" s="86">
        <v>10</v>
      </c>
      <c r="C2" s="86" t="s">
        <v>647</v>
      </c>
      <c r="D2" s="86" t="s">
        <v>335</v>
      </c>
      <c r="E2" s="91">
        <v>410</v>
      </c>
      <c r="F2" s="91">
        <f>E2*B2</f>
        <v>4100</v>
      </c>
      <c r="G2" s="86" t="s">
        <v>648</v>
      </c>
      <c r="H2" s="85">
        <v>45966</v>
      </c>
      <c r="I2" s="86" t="s">
        <v>825</v>
      </c>
      <c r="L2" s="76" t="s">
        <v>693</v>
      </c>
      <c r="M2" s="77">
        <v>45979</v>
      </c>
      <c r="P2" s="14" t="s">
        <v>769</v>
      </c>
      <c r="Q2">
        <v>8</v>
      </c>
      <c r="S2" s="14" t="s">
        <v>687</v>
      </c>
      <c r="T2">
        <v>37</v>
      </c>
      <c r="W2">
        <v>299</v>
      </c>
    </row>
    <row r="3" spans="1:23" x14ac:dyDescent="0.3">
      <c r="A3" s="85">
        <v>45964</v>
      </c>
      <c r="B3" s="86">
        <v>7</v>
      </c>
      <c r="C3" s="86" t="s">
        <v>724</v>
      </c>
      <c r="D3" s="86" t="s">
        <v>59</v>
      </c>
      <c r="E3" s="91">
        <v>150</v>
      </c>
      <c r="F3" s="91">
        <f>E3*B3</f>
        <v>1050</v>
      </c>
      <c r="G3" s="86" t="s">
        <v>648</v>
      </c>
      <c r="H3" s="85">
        <v>45966</v>
      </c>
      <c r="I3" s="86" t="s">
        <v>825</v>
      </c>
      <c r="L3" s="44"/>
      <c r="M3" s="44"/>
      <c r="P3" s="74" t="s">
        <v>723</v>
      </c>
      <c r="Q3">
        <v>8</v>
      </c>
      <c r="S3" s="74" t="s">
        <v>708</v>
      </c>
      <c r="T3">
        <v>5</v>
      </c>
      <c r="W3">
        <v>821</v>
      </c>
    </row>
    <row r="4" spans="1:23" x14ac:dyDescent="0.3">
      <c r="A4" s="85">
        <v>45963</v>
      </c>
      <c r="B4" s="86">
        <v>4</v>
      </c>
      <c r="C4" s="86" t="s">
        <v>698</v>
      </c>
      <c r="D4" s="86" t="s">
        <v>30</v>
      </c>
      <c r="E4" s="91">
        <v>150</v>
      </c>
      <c r="F4" s="91">
        <f t="shared" ref="F4:F68" si="0">E4*B4</f>
        <v>600</v>
      </c>
      <c r="G4" s="86" t="s">
        <v>649</v>
      </c>
      <c r="H4" s="85">
        <v>45966</v>
      </c>
      <c r="I4" s="86" t="s">
        <v>825</v>
      </c>
      <c r="L4" s="44" t="s">
        <v>1</v>
      </c>
      <c r="M4" s="44" t="s">
        <v>81</v>
      </c>
      <c r="P4" s="14" t="s">
        <v>767</v>
      </c>
      <c r="Q4">
        <v>23</v>
      </c>
      <c r="S4" s="74" t="s">
        <v>183</v>
      </c>
      <c r="T4">
        <v>2</v>
      </c>
      <c r="W4">
        <v>2394</v>
      </c>
    </row>
    <row r="5" spans="1:23" x14ac:dyDescent="0.3">
      <c r="A5" s="85">
        <v>45963</v>
      </c>
      <c r="B5" s="86">
        <v>4</v>
      </c>
      <c r="C5" s="86" t="s">
        <v>724</v>
      </c>
      <c r="D5" s="86" t="s">
        <v>30</v>
      </c>
      <c r="E5" s="91">
        <v>150</v>
      </c>
      <c r="F5" s="91">
        <f t="shared" si="0"/>
        <v>600</v>
      </c>
      <c r="G5" s="86" t="s">
        <v>649</v>
      </c>
      <c r="H5" s="85">
        <v>45966</v>
      </c>
      <c r="I5" s="86" t="s">
        <v>825</v>
      </c>
      <c r="L5" s="2" t="s">
        <v>682</v>
      </c>
      <c r="M5" s="2">
        <v>10</v>
      </c>
      <c r="N5">
        <v>3300</v>
      </c>
      <c r="O5">
        <f>M5*N5</f>
        <v>33000</v>
      </c>
      <c r="P5" s="74" t="s">
        <v>698</v>
      </c>
      <c r="Q5">
        <v>23</v>
      </c>
      <c r="S5" s="74" t="s">
        <v>717</v>
      </c>
      <c r="T5">
        <v>2</v>
      </c>
      <c r="W5">
        <v>958</v>
      </c>
    </row>
    <row r="6" spans="1:23" x14ac:dyDescent="0.3">
      <c r="A6" s="85">
        <v>45965</v>
      </c>
      <c r="B6" s="86">
        <v>20</v>
      </c>
      <c r="C6" s="86" t="s">
        <v>653</v>
      </c>
      <c r="D6" s="86" t="s">
        <v>349</v>
      </c>
      <c r="E6" s="91">
        <v>1063</v>
      </c>
      <c r="F6" s="91">
        <f t="shared" si="0"/>
        <v>21260</v>
      </c>
      <c r="G6" s="86" t="s">
        <v>657</v>
      </c>
      <c r="H6" s="85">
        <v>45966</v>
      </c>
      <c r="I6" s="86" t="s">
        <v>655</v>
      </c>
      <c r="L6" s="2" t="s">
        <v>681</v>
      </c>
      <c r="M6" s="2">
        <v>5</v>
      </c>
      <c r="N6">
        <v>2500</v>
      </c>
      <c r="O6">
        <f t="shared" ref="O6:O11" si="1">M6*N6</f>
        <v>12500</v>
      </c>
      <c r="P6" s="14" t="s">
        <v>784</v>
      </c>
      <c r="Q6">
        <v>7</v>
      </c>
      <c r="S6" s="74" t="s">
        <v>787</v>
      </c>
      <c r="T6">
        <v>1</v>
      </c>
      <c r="W6">
        <v>505</v>
      </c>
    </row>
    <row r="7" spans="1:23" x14ac:dyDescent="0.3">
      <c r="A7" s="85">
        <v>45965</v>
      </c>
      <c r="B7" s="86">
        <v>12</v>
      </c>
      <c r="C7" s="86" t="s">
        <v>654</v>
      </c>
      <c r="D7" s="86" t="s">
        <v>118</v>
      </c>
      <c r="E7" s="91">
        <v>3375</v>
      </c>
      <c r="F7" s="91">
        <f t="shared" si="0"/>
        <v>40500</v>
      </c>
      <c r="G7" s="86" t="s">
        <v>657</v>
      </c>
      <c r="H7" s="85">
        <v>45966</v>
      </c>
      <c r="I7" s="86" t="s">
        <v>825</v>
      </c>
      <c r="L7" s="2" t="s">
        <v>692</v>
      </c>
      <c r="M7" s="2">
        <v>62</v>
      </c>
      <c r="N7">
        <v>410</v>
      </c>
      <c r="O7">
        <f t="shared" si="1"/>
        <v>25420</v>
      </c>
      <c r="P7" s="74" t="s">
        <v>717</v>
      </c>
      <c r="Q7">
        <v>7</v>
      </c>
      <c r="S7" s="74" t="s">
        <v>786</v>
      </c>
      <c r="T7">
        <v>1</v>
      </c>
      <c r="W7">
        <v>1680</v>
      </c>
    </row>
    <row r="8" spans="1:23" x14ac:dyDescent="0.3">
      <c r="A8" s="85">
        <v>45965</v>
      </c>
      <c r="B8" s="86">
        <v>2</v>
      </c>
      <c r="C8" s="86" t="s">
        <v>664</v>
      </c>
      <c r="D8" s="86" t="s">
        <v>118</v>
      </c>
      <c r="E8" s="91">
        <v>88</v>
      </c>
      <c r="F8" s="91">
        <f t="shared" si="0"/>
        <v>176</v>
      </c>
      <c r="G8" s="86" t="s">
        <v>657</v>
      </c>
      <c r="H8" s="85">
        <v>45966</v>
      </c>
      <c r="I8" s="86" t="s">
        <v>656</v>
      </c>
      <c r="L8" s="2" t="s">
        <v>645</v>
      </c>
      <c r="M8" s="2">
        <v>5</v>
      </c>
      <c r="N8">
        <v>1400</v>
      </c>
      <c r="O8">
        <f t="shared" si="1"/>
        <v>7000</v>
      </c>
      <c r="P8" s="14" t="s">
        <v>687</v>
      </c>
      <c r="Q8">
        <v>138</v>
      </c>
      <c r="S8" s="74" t="s">
        <v>665</v>
      </c>
      <c r="T8">
        <v>26</v>
      </c>
      <c r="W8">
        <v>500</v>
      </c>
    </row>
    <row r="9" spans="1:23" x14ac:dyDescent="0.3">
      <c r="A9" s="85">
        <v>45966</v>
      </c>
      <c r="B9" s="86">
        <v>30</v>
      </c>
      <c r="C9" s="86" t="s">
        <v>692</v>
      </c>
      <c r="D9" s="86" t="s">
        <v>335</v>
      </c>
      <c r="E9" s="91">
        <v>410</v>
      </c>
      <c r="F9" s="91">
        <f t="shared" si="0"/>
        <v>12300</v>
      </c>
      <c r="G9" s="86" t="s">
        <v>680</v>
      </c>
      <c r="H9" s="85">
        <v>45979</v>
      </c>
      <c r="I9" s="86" t="s">
        <v>825</v>
      </c>
      <c r="L9" s="2" t="s">
        <v>673</v>
      </c>
      <c r="M9" s="2">
        <v>1</v>
      </c>
      <c r="N9">
        <v>1257</v>
      </c>
      <c r="O9">
        <f t="shared" si="1"/>
        <v>1257</v>
      </c>
      <c r="P9" s="74" t="s">
        <v>692</v>
      </c>
      <c r="Q9">
        <v>1</v>
      </c>
      <c r="S9" s="14" t="s">
        <v>80</v>
      </c>
      <c r="T9">
        <v>37</v>
      </c>
      <c r="W9">
        <v>625</v>
      </c>
    </row>
    <row r="10" spans="1:23" x14ac:dyDescent="0.3">
      <c r="A10" s="85">
        <v>45969</v>
      </c>
      <c r="B10" s="86">
        <v>1</v>
      </c>
      <c r="C10" s="86" t="s">
        <v>665</v>
      </c>
      <c r="D10" s="86" t="s">
        <v>496</v>
      </c>
      <c r="E10" s="91">
        <v>450</v>
      </c>
      <c r="F10" s="91">
        <f t="shared" si="0"/>
        <v>450</v>
      </c>
      <c r="G10" s="86" t="s">
        <v>365</v>
      </c>
      <c r="H10" s="85">
        <v>45979</v>
      </c>
      <c r="I10" s="86" t="s">
        <v>825</v>
      </c>
      <c r="L10" s="2" t="s">
        <v>674</v>
      </c>
      <c r="M10" s="2">
        <v>7</v>
      </c>
      <c r="N10">
        <v>1357</v>
      </c>
      <c r="O10">
        <f t="shared" si="1"/>
        <v>9499</v>
      </c>
      <c r="P10" s="74" t="s">
        <v>698</v>
      </c>
      <c r="Q10">
        <v>16</v>
      </c>
      <c r="W10">
        <v>625</v>
      </c>
    </row>
    <row r="11" spans="1:23" x14ac:dyDescent="0.3">
      <c r="A11" s="85">
        <v>45969</v>
      </c>
      <c r="B11" s="86">
        <v>1</v>
      </c>
      <c r="C11" s="86" t="s">
        <v>665</v>
      </c>
      <c r="D11" s="86" t="s">
        <v>492</v>
      </c>
      <c r="E11" s="91">
        <v>450</v>
      </c>
      <c r="F11" s="91">
        <f t="shared" si="0"/>
        <v>450</v>
      </c>
      <c r="G11" s="86" t="s">
        <v>365</v>
      </c>
      <c r="H11" s="85">
        <v>45979</v>
      </c>
      <c r="I11" s="86" t="s">
        <v>825</v>
      </c>
      <c r="L11" s="2" t="s">
        <v>665</v>
      </c>
      <c r="M11" s="2">
        <v>36</v>
      </c>
      <c r="N11">
        <v>449</v>
      </c>
      <c r="O11">
        <f t="shared" si="1"/>
        <v>16164</v>
      </c>
      <c r="P11" s="74" t="s">
        <v>688</v>
      </c>
      <c r="Q11">
        <v>10</v>
      </c>
      <c r="W11">
        <v>598</v>
      </c>
    </row>
    <row r="12" spans="1:23" x14ac:dyDescent="0.3">
      <c r="A12" s="85">
        <v>45969</v>
      </c>
      <c r="B12" s="86">
        <v>4</v>
      </c>
      <c r="C12" s="86" t="s">
        <v>665</v>
      </c>
      <c r="D12" s="86" t="s">
        <v>493</v>
      </c>
      <c r="E12" s="91">
        <v>450</v>
      </c>
      <c r="F12" s="91">
        <f t="shared" si="0"/>
        <v>1800</v>
      </c>
      <c r="G12" s="86" t="s">
        <v>365</v>
      </c>
      <c r="H12" s="85">
        <v>45979</v>
      </c>
      <c r="I12" s="86" t="s">
        <v>825</v>
      </c>
      <c r="L12" s="2" t="s">
        <v>80</v>
      </c>
      <c r="M12" s="2">
        <v>128</v>
      </c>
      <c r="O12">
        <f>SUM(O5:O11)</f>
        <v>104840</v>
      </c>
      <c r="P12" s="74" t="s">
        <v>763</v>
      </c>
      <c r="Q12">
        <v>1</v>
      </c>
    </row>
    <row r="13" spans="1:23" x14ac:dyDescent="0.3">
      <c r="A13" s="85">
        <v>45969</v>
      </c>
      <c r="B13" s="86">
        <v>5</v>
      </c>
      <c r="C13" s="86" t="s">
        <v>665</v>
      </c>
      <c r="D13" s="86" t="s">
        <v>666</v>
      </c>
      <c r="E13" s="91">
        <v>450</v>
      </c>
      <c r="F13" s="91">
        <f t="shared" si="0"/>
        <v>2250</v>
      </c>
      <c r="G13" s="86" t="s">
        <v>365</v>
      </c>
      <c r="H13" s="85">
        <v>45979</v>
      </c>
      <c r="I13" s="86" t="s">
        <v>825</v>
      </c>
      <c r="P13" s="74" t="s">
        <v>647</v>
      </c>
      <c r="Q13">
        <v>19</v>
      </c>
    </row>
    <row r="14" spans="1:23" x14ac:dyDescent="0.3">
      <c r="A14" s="85">
        <v>45969</v>
      </c>
      <c r="B14" s="86">
        <v>11</v>
      </c>
      <c r="C14" s="86" t="s">
        <v>665</v>
      </c>
      <c r="D14" s="86" t="s">
        <v>494</v>
      </c>
      <c r="E14" s="91">
        <v>450</v>
      </c>
      <c r="F14" s="91">
        <f t="shared" si="0"/>
        <v>4950</v>
      </c>
      <c r="G14" s="86" t="s">
        <v>365</v>
      </c>
      <c r="H14" s="85">
        <v>45979</v>
      </c>
      <c r="I14" s="86" t="s">
        <v>825</v>
      </c>
      <c r="P14" s="74" t="s">
        <v>747</v>
      </c>
      <c r="Q14">
        <v>3</v>
      </c>
    </row>
    <row r="15" spans="1:23" x14ac:dyDescent="0.3">
      <c r="A15" s="85">
        <v>45970</v>
      </c>
      <c r="B15" s="86">
        <v>10</v>
      </c>
      <c r="C15" s="86" t="s">
        <v>665</v>
      </c>
      <c r="D15" s="86" t="s">
        <v>501</v>
      </c>
      <c r="E15" s="91">
        <v>450</v>
      </c>
      <c r="F15" s="91">
        <f t="shared" si="0"/>
        <v>4500</v>
      </c>
      <c r="G15" s="86" t="s">
        <v>365</v>
      </c>
      <c r="H15" s="85">
        <v>45979</v>
      </c>
      <c r="I15" s="86" t="s">
        <v>825</v>
      </c>
      <c r="P15" s="74" t="s">
        <v>717</v>
      </c>
      <c r="Q15">
        <v>9</v>
      </c>
      <c r="W15">
        <v>800</v>
      </c>
    </row>
    <row r="16" spans="1:23" x14ac:dyDescent="0.3">
      <c r="A16" s="85">
        <v>45970</v>
      </c>
      <c r="B16" s="86">
        <v>1</v>
      </c>
      <c r="C16" s="86" t="s">
        <v>726</v>
      </c>
      <c r="D16" s="86" t="s">
        <v>120</v>
      </c>
      <c r="E16" s="91">
        <v>1358</v>
      </c>
      <c r="F16" s="91">
        <f t="shared" si="0"/>
        <v>1358</v>
      </c>
      <c r="G16" s="86" t="s">
        <v>365</v>
      </c>
      <c r="H16" s="85">
        <v>45979</v>
      </c>
      <c r="I16" s="86" t="s">
        <v>115</v>
      </c>
      <c r="P16" s="74" t="s">
        <v>712</v>
      </c>
      <c r="Q16">
        <v>3</v>
      </c>
      <c r="W16">
        <v>796</v>
      </c>
    </row>
    <row r="17" spans="1:23" x14ac:dyDescent="0.3">
      <c r="A17" s="85">
        <v>45970</v>
      </c>
      <c r="B17" s="86">
        <v>2</v>
      </c>
      <c r="C17" s="86" t="s">
        <v>727</v>
      </c>
      <c r="D17" s="86" t="s">
        <v>675</v>
      </c>
      <c r="E17" s="91">
        <v>1403</v>
      </c>
      <c r="F17" s="91">
        <f t="shared" si="0"/>
        <v>2806</v>
      </c>
      <c r="G17" s="86" t="s">
        <v>365</v>
      </c>
      <c r="H17" s="85">
        <v>45979</v>
      </c>
      <c r="I17" s="86" t="s">
        <v>825</v>
      </c>
      <c r="P17" s="74" t="s">
        <v>748</v>
      </c>
      <c r="Q17">
        <v>7</v>
      </c>
      <c r="W17">
        <v>499</v>
      </c>
    </row>
    <row r="18" spans="1:23" x14ac:dyDescent="0.3">
      <c r="A18" s="85">
        <v>45970</v>
      </c>
      <c r="B18" s="86">
        <v>1</v>
      </c>
      <c r="C18" s="86" t="s">
        <v>665</v>
      </c>
      <c r="D18" s="86" t="s">
        <v>675</v>
      </c>
      <c r="E18" s="91">
        <v>474</v>
      </c>
      <c r="F18" s="91">
        <f t="shared" si="0"/>
        <v>474</v>
      </c>
      <c r="G18" s="86" t="s">
        <v>365</v>
      </c>
      <c r="H18" s="85">
        <v>45979</v>
      </c>
      <c r="I18" s="86" t="s">
        <v>825</v>
      </c>
      <c r="P18" s="74" t="s">
        <v>665</v>
      </c>
      <c r="Q18">
        <v>69</v>
      </c>
      <c r="W18">
        <v>598</v>
      </c>
    </row>
    <row r="19" spans="1:23" x14ac:dyDescent="0.3">
      <c r="A19" s="85">
        <v>45970</v>
      </c>
      <c r="B19" s="86">
        <v>1</v>
      </c>
      <c r="C19" s="86" t="s">
        <v>727</v>
      </c>
      <c r="D19" s="86" t="s">
        <v>19</v>
      </c>
      <c r="E19" s="91">
        <v>1403</v>
      </c>
      <c r="F19" s="91">
        <f t="shared" si="0"/>
        <v>1403</v>
      </c>
      <c r="G19" s="86" t="s">
        <v>8</v>
      </c>
      <c r="H19" s="85">
        <v>45979</v>
      </c>
      <c r="I19" s="86" t="s">
        <v>825</v>
      </c>
      <c r="P19" s="14" t="s">
        <v>80</v>
      </c>
      <c r="Q19">
        <v>176</v>
      </c>
      <c r="W19">
        <v>958</v>
      </c>
    </row>
    <row r="20" spans="1:23" x14ac:dyDescent="0.3">
      <c r="A20" s="85">
        <v>45970</v>
      </c>
      <c r="B20" s="86">
        <v>1</v>
      </c>
      <c r="C20" s="86" t="s">
        <v>727</v>
      </c>
      <c r="D20" s="86" t="s">
        <v>19</v>
      </c>
      <c r="E20" s="91">
        <v>1403</v>
      </c>
      <c r="F20" s="91">
        <f t="shared" si="0"/>
        <v>1403</v>
      </c>
      <c r="G20" s="86" t="s">
        <v>684</v>
      </c>
      <c r="H20" s="85">
        <v>45979</v>
      </c>
      <c r="I20" s="86" t="s">
        <v>825</v>
      </c>
    </row>
    <row r="21" spans="1:23" x14ac:dyDescent="0.3">
      <c r="A21" s="85">
        <v>45970</v>
      </c>
      <c r="B21" s="86">
        <v>2</v>
      </c>
      <c r="C21" s="86" t="s">
        <v>665</v>
      </c>
      <c r="D21" s="86" t="s">
        <v>496</v>
      </c>
      <c r="E21" s="91">
        <v>450</v>
      </c>
      <c r="F21" s="91">
        <f t="shared" si="0"/>
        <v>900</v>
      </c>
      <c r="G21" s="86" t="s">
        <v>8</v>
      </c>
      <c r="H21" s="85">
        <v>45979</v>
      </c>
      <c r="I21" s="86" t="s">
        <v>825</v>
      </c>
    </row>
    <row r="22" spans="1:23" x14ac:dyDescent="0.3">
      <c r="A22" s="85">
        <v>45970</v>
      </c>
      <c r="B22" s="86">
        <v>1</v>
      </c>
      <c r="C22" s="86" t="s">
        <v>727</v>
      </c>
      <c r="D22" s="86" t="s">
        <v>676</v>
      </c>
      <c r="E22" s="91">
        <v>1403</v>
      </c>
      <c r="F22" s="91">
        <f t="shared" si="0"/>
        <v>1403</v>
      </c>
      <c r="G22" s="86" t="s">
        <v>8</v>
      </c>
      <c r="H22" s="85">
        <v>45979</v>
      </c>
      <c r="I22" s="86" t="s">
        <v>825</v>
      </c>
    </row>
    <row r="23" spans="1:23" x14ac:dyDescent="0.3">
      <c r="A23" s="85">
        <v>45970</v>
      </c>
      <c r="B23" s="86">
        <v>1</v>
      </c>
      <c r="C23" s="86" t="s">
        <v>727</v>
      </c>
      <c r="D23" s="86" t="s">
        <v>677</v>
      </c>
      <c r="E23" s="91">
        <v>1403</v>
      </c>
      <c r="F23" s="91">
        <f t="shared" si="0"/>
        <v>1403</v>
      </c>
      <c r="G23" s="86" t="s">
        <v>8</v>
      </c>
      <c r="H23" s="85">
        <v>45979</v>
      </c>
      <c r="I23" s="86" t="s">
        <v>825</v>
      </c>
    </row>
    <row r="24" spans="1:23" x14ac:dyDescent="0.3">
      <c r="A24" s="85">
        <v>45970</v>
      </c>
      <c r="B24" s="86">
        <v>1</v>
      </c>
      <c r="C24" s="86" t="s">
        <v>727</v>
      </c>
      <c r="D24" s="86" t="s">
        <v>677</v>
      </c>
      <c r="E24" s="91">
        <v>1403</v>
      </c>
      <c r="F24" s="91">
        <f t="shared" si="0"/>
        <v>1403</v>
      </c>
      <c r="G24" s="86" t="s">
        <v>8</v>
      </c>
      <c r="H24" s="85">
        <v>45979</v>
      </c>
      <c r="I24" s="86" t="s">
        <v>825</v>
      </c>
    </row>
    <row r="25" spans="1:23" x14ac:dyDescent="0.3">
      <c r="A25" s="85">
        <v>45970</v>
      </c>
      <c r="B25" s="86">
        <v>5</v>
      </c>
      <c r="C25" s="86" t="s">
        <v>665</v>
      </c>
      <c r="D25" s="86" t="s">
        <v>495</v>
      </c>
      <c r="E25" s="91">
        <v>450</v>
      </c>
      <c r="F25" s="91">
        <f t="shared" si="0"/>
        <v>2250</v>
      </c>
      <c r="G25" s="86" t="s">
        <v>8</v>
      </c>
      <c r="H25" s="85">
        <v>45982</v>
      </c>
      <c r="I25" s="86" t="s">
        <v>825</v>
      </c>
    </row>
    <row r="26" spans="1:23" x14ac:dyDescent="0.3">
      <c r="A26" s="85">
        <v>45970</v>
      </c>
      <c r="B26" s="86">
        <v>3</v>
      </c>
      <c r="C26" s="86" t="s">
        <v>726</v>
      </c>
      <c r="D26" s="86" t="s">
        <v>678</v>
      </c>
      <c r="E26" s="91">
        <v>1358</v>
      </c>
      <c r="F26" s="91">
        <f t="shared" si="0"/>
        <v>4074</v>
      </c>
      <c r="G26" s="86" t="s">
        <v>716</v>
      </c>
      <c r="H26" s="85">
        <v>45982</v>
      </c>
      <c r="I26" s="86" t="s">
        <v>115</v>
      </c>
    </row>
    <row r="27" spans="1:23" x14ac:dyDescent="0.3">
      <c r="A27" s="85">
        <v>45970</v>
      </c>
      <c r="B27" s="86">
        <v>3</v>
      </c>
      <c r="C27" s="86" t="s">
        <v>727</v>
      </c>
      <c r="D27" s="86" t="s">
        <v>678</v>
      </c>
      <c r="E27" s="91">
        <v>1477</v>
      </c>
      <c r="F27" s="91">
        <f t="shared" si="0"/>
        <v>4431</v>
      </c>
      <c r="G27" s="86" t="s">
        <v>716</v>
      </c>
      <c r="H27" s="85">
        <v>45982</v>
      </c>
      <c r="I27" s="86" t="s">
        <v>115</v>
      </c>
    </row>
    <row r="28" spans="1:23" x14ac:dyDescent="0.3">
      <c r="A28" s="85">
        <v>45970</v>
      </c>
      <c r="B28" s="86">
        <v>5</v>
      </c>
      <c r="C28" s="86" t="s">
        <v>692</v>
      </c>
      <c r="D28" s="86" t="s">
        <v>335</v>
      </c>
      <c r="E28" s="91">
        <v>410</v>
      </c>
      <c r="F28" s="91">
        <f t="shared" si="0"/>
        <v>2050</v>
      </c>
      <c r="G28" s="86" t="s">
        <v>690</v>
      </c>
      <c r="H28" s="85">
        <v>45979</v>
      </c>
      <c r="I28" s="86" t="s">
        <v>825</v>
      </c>
    </row>
    <row r="29" spans="1:23" x14ac:dyDescent="0.3">
      <c r="A29" s="85">
        <v>45972</v>
      </c>
      <c r="B29" s="86">
        <v>30</v>
      </c>
      <c r="C29" s="86" t="s">
        <v>692</v>
      </c>
      <c r="D29" s="86" t="s">
        <v>335</v>
      </c>
      <c r="E29" s="91">
        <v>410</v>
      </c>
      <c r="F29" s="91">
        <f t="shared" si="0"/>
        <v>12300</v>
      </c>
      <c r="G29" s="86" t="s">
        <v>683</v>
      </c>
      <c r="H29" s="85">
        <v>45979</v>
      </c>
      <c r="I29" s="86" t="s">
        <v>825</v>
      </c>
    </row>
    <row r="30" spans="1:23" x14ac:dyDescent="0.3">
      <c r="A30" s="85">
        <v>45972</v>
      </c>
      <c r="B30" s="86">
        <v>5</v>
      </c>
      <c r="C30" s="86" t="s">
        <v>645</v>
      </c>
      <c r="D30" s="86" t="s">
        <v>335</v>
      </c>
      <c r="E30" s="91">
        <v>1400</v>
      </c>
      <c r="F30" s="91">
        <f t="shared" si="0"/>
        <v>7000</v>
      </c>
      <c r="G30" s="86" t="s">
        <v>683</v>
      </c>
      <c r="H30" s="85">
        <v>45979</v>
      </c>
      <c r="I30" s="86" t="s">
        <v>825</v>
      </c>
    </row>
    <row r="31" spans="1:23" x14ac:dyDescent="0.3">
      <c r="A31" s="85">
        <v>45972</v>
      </c>
      <c r="B31" s="86">
        <v>5</v>
      </c>
      <c r="C31" s="86" t="s">
        <v>681</v>
      </c>
      <c r="D31" s="86" t="s">
        <v>335</v>
      </c>
      <c r="E31" s="91">
        <v>2500</v>
      </c>
      <c r="F31" s="91">
        <f t="shared" si="0"/>
        <v>12500</v>
      </c>
      <c r="G31" s="86" t="s">
        <v>683</v>
      </c>
      <c r="H31" s="85">
        <v>45979</v>
      </c>
      <c r="I31" s="86" t="s">
        <v>825</v>
      </c>
    </row>
    <row r="32" spans="1:23" x14ac:dyDescent="0.3">
      <c r="A32" s="85">
        <v>45972</v>
      </c>
      <c r="B32" s="86">
        <v>10</v>
      </c>
      <c r="C32" s="86" t="s">
        <v>682</v>
      </c>
      <c r="D32" s="86" t="s">
        <v>335</v>
      </c>
      <c r="E32" s="91">
        <v>3300</v>
      </c>
      <c r="F32" s="91">
        <f t="shared" si="0"/>
        <v>33000</v>
      </c>
      <c r="G32" s="86" t="s">
        <v>683</v>
      </c>
      <c r="H32" s="85">
        <v>45979</v>
      </c>
      <c r="I32" s="86" t="s">
        <v>825</v>
      </c>
    </row>
    <row r="33" spans="1:9" x14ac:dyDescent="0.3">
      <c r="A33" s="85">
        <v>45978</v>
      </c>
      <c r="B33" s="86">
        <v>9</v>
      </c>
      <c r="C33" s="86" t="s">
        <v>728</v>
      </c>
      <c r="D33" s="86" t="s">
        <v>678</v>
      </c>
      <c r="E33" s="91">
        <v>625</v>
      </c>
      <c r="F33" s="91">
        <f t="shared" si="0"/>
        <v>5625</v>
      </c>
      <c r="G33" s="86" t="s">
        <v>729</v>
      </c>
      <c r="H33" s="85">
        <v>45982</v>
      </c>
      <c r="I33" s="86" t="s">
        <v>115</v>
      </c>
    </row>
    <row r="34" spans="1:9" x14ac:dyDescent="0.3">
      <c r="A34" s="85">
        <v>45978</v>
      </c>
      <c r="B34" s="86">
        <v>1</v>
      </c>
      <c r="C34" s="86" t="s">
        <v>686</v>
      </c>
      <c r="D34" s="86" t="s">
        <v>685</v>
      </c>
      <c r="E34" s="91">
        <v>329</v>
      </c>
      <c r="F34" s="91">
        <f t="shared" si="0"/>
        <v>329</v>
      </c>
      <c r="G34" s="86"/>
      <c r="H34" s="86"/>
      <c r="I34" s="86"/>
    </row>
    <row r="35" spans="1:9" x14ac:dyDescent="0.3">
      <c r="A35" s="85">
        <v>45978</v>
      </c>
      <c r="B35" s="86">
        <v>1</v>
      </c>
      <c r="C35" s="86" t="s">
        <v>542</v>
      </c>
      <c r="D35" s="86" t="s">
        <v>687</v>
      </c>
      <c r="E35" s="91">
        <v>5000</v>
      </c>
      <c r="F35" s="91">
        <f t="shared" si="0"/>
        <v>5000</v>
      </c>
      <c r="G35" s="86"/>
      <c r="H35" s="86"/>
      <c r="I35" s="86"/>
    </row>
    <row r="36" spans="1:9" x14ac:dyDescent="0.3">
      <c r="A36" s="85">
        <v>45979</v>
      </c>
      <c r="B36" s="86">
        <v>2</v>
      </c>
      <c r="C36" s="86" t="s">
        <v>688</v>
      </c>
      <c r="D36" s="86" t="s">
        <v>101</v>
      </c>
      <c r="E36" s="91">
        <v>454</v>
      </c>
      <c r="F36" s="91">
        <f t="shared" si="0"/>
        <v>908</v>
      </c>
      <c r="G36" s="86" t="s">
        <v>701</v>
      </c>
      <c r="H36" s="85">
        <v>45982</v>
      </c>
      <c r="I36" s="86" t="s">
        <v>825</v>
      </c>
    </row>
    <row r="37" spans="1:9" x14ac:dyDescent="0.3">
      <c r="A37" s="85">
        <v>45979</v>
      </c>
      <c r="B37" s="86">
        <v>2</v>
      </c>
      <c r="C37" s="86" t="s">
        <v>688</v>
      </c>
      <c r="D37" s="86" t="s">
        <v>101</v>
      </c>
      <c r="E37" s="91">
        <v>454</v>
      </c>
      <c r="F37" s="91">
        <f t="shared" si="0"/>
        <v>908</v>
      </c>
      <c r="G37" s="86" t="s">
        <v>701</v>
      </c>
      <c r="H37" s="85">
        <v>45982</v>
      </c>
      <c r="I37" s="86" t="s">
        <v>825</v>
      </c>
    </row>
    <row r="38" spans="1:9" x14ac:dyDescent="0.3">
      <c r="A38" s="85">
        <v>45979</v>
      </c>
      <c r="B38" s="86">
        <v>2</v>
      </c>
      <c r="C38" s="86" t="s">
        <v>688</v>
      </c>
      <c r="D38" s="86" t="s">
        <v>689</v>
      </c>
      <c r="E38" s="91">
        <v>454</v>
      </c>
      <c r="F38" s="91">
        <f t="shared" si="0"/>
        <v>908</v>
      </c>
      <c r="G38" s="86" t="s">
        <v>720</v>
      </c>
      <c r="H38" s="86"/>
      <c r="I38" s="86" t="s">
        <v>825</v>
      </c>
    </row>
    <row r="39" spans="1:9" x14ac:dyDescent="0.3">
      <c r="A39" s="85">
        <v>45979</v>
      </c>
      <c r="B39" s="86">
        <v>2</v>
      </c>
      <c r="C39" s="86" t="s">
        <v>688</v>
      </c>
      <c r="D39" s="86" t="s">
        <v>689</v>
      </c>
      <c r="E39" s="91">
        <v>454</v>
      </c>
      <c r="F39" s="91">
        <f t="shared" si="0"/>
        <v>908</v>
      </c>
      <c r="G39" s="86" t="s">
        <v>720</v>
      </c>
      <c r="H39" s="86"/>
      <c r="I39" s="86" t="s">
        <v>825</v>
      </c>
    </row>
    <row r="40" spans="1:9" x14ac:dyDescent="0.3">
      <c r="A40" s="85">
        <v>45979</v>
      </c>
      <c r="B40" s="86">
        <v>2</v>
      </c>
      <c r="C40" s="86" t="s">
        <v>688</v>
      </c>
      <c r="D40" s="86" t="s">
        <v>689</v>
      </c>
      <c r="E40" s="91">
        <v>454</v>
      </c>
      <c r="F40" s="91">
        <f t="shared" si="0"/>
        <v>908</v>
      </c>
      <c r="G40" s="86" t="s">
        <v>730</v>
      </c>
      <c r="H40" s="86"/>
      <c r="I40" s="86" t="s">
        <v>825</v>
      </c>
    </row>
    <row r="41" spans="1:9" x14ac:dyDescent="0.3">
      <c r="A41" s="85">
        <v>45979</v>
      </c>
      <c r="B41" s="86">
        <v>3</v>
      </c>
      <c r="C41" s="86" t="s">
        <v>724</v>
      </c>
      <c r="D41" s="86" t="s">
        <v>689</v>
      </c>
      <c r="E41" s="91">
        <v>130</v>
      </c>
      <c r="F41" s="91">
        <f t="shared" si="0"/>
        <v>390</v>
      </c>
      <c r="G41" s="86" t="s">
        <v>8</v>
      </c>
      <c r="H41" s="85">
        <v>45982</v>
      </c>
      <c r="I41" s="86" t="s">
        <v>825</v>
      </c>
    </row>
    <row r="42" spans="1:9" x14ac:dyDescent="0.3">
      <c r="A42" s="85">
        <v>45980</v>
      </c>
      <c r="B42" s="86">
        <v>6</v>
      </c>
      <c r="C42" s="86" t="s">
        <v>724</v>
      </c>
      <c r="D42" s="86" t="s">
        <v>689</v>
      </c>
      <c r="E42" s="91">
        <v>130</v>
      </c>
      <c r="F42" s="91">
        <f t="shared" si="0"/>
        <v>780</v>
      </c>
      <c r="G42" s="86" t="s">
        <v>8</v>
      </c>
      <c r="H42" s="85">
        <v>45982</v>
      </c>
      <c r="I42" s="86" t="s">
        <v>825</v>
      </c>
    </row>
    <row r="43" spans="1:9" x14ac:dyDescent="0.3">
      <c r="A43" s="85">
        <v>45980</v>
      </c>
      <c r="B43" s="86">
        <v>10</v>
      </c>
      <c r="C43" s="86" t="s">
        <v>559</v>
      </c>
      <c r="D43" s="86" t="s">
        <v>689</v>
      </c>
      <c r="E43" s="91">
        <v>39</v>
      </c>
      <c r="F43" s="91">
        <f t="shared" si="0"/>
        <v>390</v>
      </c>
      <c r="G43" s="86" t="s">
        <v>8</v>
      </c>
      <c r="H43" s="85">
        <v>45982</v>
      </c>
      <c r="I43" s="86" t="s">
        <v>825</v>
      </c>
    </row>
    <row r="44" spans="1:9" x14ac:dyDescent="0.3">
      <c r="A44" s="85">
        <v>45980</v>
      </c>
      <c r="B44" s="86">
        <v>6</v>
      </c>
      <c r="C44" s="86" t="s">
        <v>697</v>
      </c>
      <c r="D44" s="86" t="s">
        <v>689</v>
      </c>
      <c r="E44" s="91">
        <v>779</v>
      </c>
      <c r="F44" s="91">
        <f t="shared" si="0"/>
        <v>4674</v>
      </c>
      <c r="G44" s="86" t="s">
        <v>8</v>
      </c>
      <c r="H44" s="85">
        <v>45982</v>
      </c>
      <c r="I44" s="86" t="s">
        <v>825</v>
      </c>
    </row>
    <row r="45" spans="1:9" x14ac:dyDescent="0.3">
      <c r="A45" s="85">
        <v>45980</v>
      </c>
      <c r="B45" s="86">
        <v>6</v>
      </c>
      <c r="C45" s="86" t="s">
        <v>694</v>
      </c>
      <c r="D45" s="86" t="s">
        <v>689</v>
      </c>
      <c r="E45" s="91">
        <v>594</v>
      </c>
      <c r="F45" s="91">
        <f t="shared" si="0"/>
        <v>3564</v>
      </c>
      <c r="G45" s="86" t="s">
        <v>8</v>
      </c>
      <c r="H45" s="85">
        <v>45982</v>
      </c>
      <c r="I45" s="86" t="s">
        <v>825</v>
      </c>
    </row>
    <row r="46" spans="1:9" x14ac:dyDescent="0.3">
      <c r="A46" s="85">
        <v>45980</v>
      </c>
      <c r="B46" s="86">
        <v>3</v>
      </c>
      <c r="C46" s="86" t="s">
        <v>694</v>
      </c>
      <c r="D46" s="86" t="s">
        <v>689</v>
      </c>
      <c r="E46" s="91">
        <v>594</v>
      </c>
      <c r="F46" s="91">
        <f t="shared" si="0"/>
        <v>1782</v>
      </c>
      <c r="G46" s="86" t="s">
        <v>695</v>
      </c>
      <c r="H46" s="85">
        <v>45982</v>
      </c>
      <c r="I46" s="86" t="s">
        <v>825</v>
      </c>
    </row>
    <row r="47" spans="1:9" x14ac:dyDescent="0.3">
      <c r="A47" s="85">
        <v>45980</v>
      </c>
      <c r="B47" s="86">
        <v>4</v>
      </c>
      <c r="C47" s="86" t="s">
        <v>688</v>
      </c>
      <c r="D47" s="86" t="s">
        <v>689</v>
      </c>
      <c r="E47" s="91">
        <v>454</v>
      </c>
      <c r="F47" s="91">
        <f t="shared" si="0"/>
        <v>1816</v>
      </c>
      <c r="G47" s="86" t="s">
        <v>730</v>
      </c>
      <c r="H47" s="86"/>
      <c r="I47" s="86" t="s">
        <v>825</v>
      </c>
    </row>
    <row r="48" spans="1:9" x14ac:dyDescent="0.3">
      <c r="A48" s="85">
        <v>45980</v>
      </c>
      <c r="B48" s="86">
        <v>10</v>
      </c>
      <c r="C48" s="86" t="s">
        <v>696</v>
      </c>
      <c r="D48" s="86" t="s">
        <v>335</v>
      </c>
      <c r="E48" s="91">
        <v>777</v>
      </c>
      <c r="F48" s="91">
        <f t="shared" si="0"/>
        <v>7770</v>
      </c>
      <c r="G48" s="86" t="s">
        <v>743</v>
      </c>
      <c r="H48" s="85"/>
      <c r="I48" s="86" t="s">
        <v>825</v>
      </c>
    </row>
    <row r="49" spans="1:9" x14ac:dyDescent="0.3">
      <c r="A49" s="85">
        <v>45980</v>
      </c>
      <c r="B49" s="86">
        <v>10</v>
      </c>
      <c r="C49" s="86" t="s">
        <v>645</v>
      </c>
      <c r="D49" s="86" t="s">
        <v>335</v>
      </c>
      <c r="E49" s="91">
        <v>1400</v>
      </c>
      <c r="F49" s="91">
        <f t="shared" si="0"/>
        <v>14000</v>
      </c>
      <c r="G49" s="86" t="s">
        <v>743</v>
      </c>
      <c r="H49" s="86"/>
      <c r="I49" s="86" t="s">
        <v>825</v>
      </c>
    </row>
    <row r="50" spans="1:9" x14ac:dyDescent="0.3">
      <c r="A50" s="85">
        <v>45980</v>
      </c>
      <c r="B50" s="86">
        <v>7</v>
      </c>
      <c r="C50" s="86" t="s">
        <v>694</v>
      </c>
      <c r="D50" s="86" t="s">
        <v>101</v>
      </c>
      <c r="E50" s="91">
        <v>559</v>
      </c>
      <c r="F50" s="91">
        <f t="shared" si="0"/>
        <v>3913</v>
      </c>
      <c r="G50" s="86" t="s">
        <v>8</v>
      </c>
      <c r="H50" s="85">
        <v>45982</v>
      </c>
      <c r="I50" s="86" t="s">
        <v>825</v>
      </c>
    </row>
    <row r="51" spans="1:9" x14ac:dyDescent="0.3">
      <c r="A51" s="85">
        <v>45980</v>
      </c>
      <c r="B51" s="86">
        <v>6</v>
      </c>
      <c r="C51" s="86" t="s">
        <v>725</v>
      </c>
      <c r="D51" s="86" t="s">
        <v>101</v>
      </c>
      <c r="E51" s="91">
        <v>779</v>
      </c>
      <c r="F51" s="91">
        <f t="shared" si="0"/>
        <v>4674</v>
      </c>
      <c r="G51" s="86" t="s">
        <v>8</v>
      </c>
      <c r="H51" s="85">
        <v>45982</v>
      </c>
      <c r="I51" s="86" t="s">
        <v>825</v>
      </c>
    </row>
    <row r="52" spans="1:9" x14ac:dyDescent="0.3">
      <c r="A52" s="85">
        <v>45980</v>
      </c>
      <c r="B52" s="86">
        <v>4</v>
      </c>
      <c r="C52" s="86" t="s">
        <v>698</v>
      </c>
      <c r="D52" s="86" t="s">
        <v>101</v>
      </c>
      <c r="E52" s="91">
        <v>125</v>
      </c>
      <c r="F52" s="91">
        <f t="shared" si="0"/>
        <v>500</v>
      </c>
      <c r="G52" s="86" t="s">
        <v>8</v>
      </c>
      <c r="H52" s="85">
        <v>45982</v>
      </c>
      <c r="I52" s="86" t="s">
        <v>825</v>
      </c>
    </row>
    <row r="53" spans="1:9" x14ac:dyDescent="0.3">
      <c r="A53" s="85">
        <v>45980</v>
      </c>
      <c r="B53" s="86">
        <v>1</v>
      </c>
      <c r="C53" s="86" t="s">
        <v>699</v>
      </c>
      <c r="D53" s="86" t="s">
        <v>704</v>
      </c>
      <c r="E53" s="91">
        <v>699</v>
      </c>
      <c r="F53" s="91">
        <f t="shared" si="0"/>
        <v>699</v>
      </c>
      <c r="G53" s="86" t="s">
        <v>700</v>
      </c>
      <c r="H53" s="85">
        <v>45982</v>
      </c>
      <c r="I53" s="86" t="s">
        <v>825</v>
      </c>
    </row>
    <row r="54" spans="1:9" x14ac:dyDescent="0.3">
      <c r="A54" s="85">
        <v>45980</v>
      </c>
      <c r="B54" s="86">
        <v>15</v>
      </c>
      <c r="C54" s="86" t="s">
        <v>698</v>
      </c>
      <c r="D54" s="86" t="s">
        <v>30</v>
      </c>
      <c r="E54" s="91">
        <v>125</v>
      </c>
      <c r="F54" s="91">
        <f t="shared" si="0"/>
        <v>1875</v>
      </c>
      <c r="G54" s="86" t="s">
        <v>792</v>
      </c>
      <c r="H54" s="86"/>
      <c r="I54" s="86" t="s">
        <v>825</v>
      </c>
    </row>
    <row r="55" spans="1:9" x14ac:dyDescent="0.3">
      <c r="A55" s="85">
        <v>45981</v>
      </c>
      <c r="B55" s="86">
        <v>12</v>
      </c>
      <c r="C55" s="86" t="s">
        <v>698</v>
      </c>
      <c r="D55" s="86" t="s">
        <v>768</v>
      </c>
      <c r="E55" s="91">
        <v>125</v>
      </c>
      <c r="F55" s="91">
        <f t="shared" si="0"/>
        <v>1500</v>
      </c>
      <c r="G55" s="86" t="s">
        <v>782</v>
      </c>
      <c r="H55" s="86"/>
      <c r="I55" s="86" t="s">
        <v>825</v>
      </c>
    </row>
    <row r="56" spans="1:9" x14ac:dyDescent="0.3">
      <c r="A56" s="85">
        <v>45981</v>
      </c>
      <c r="B56" s="86">
        <v>23</v>
      </c>
      <c r="C56" s="86" t="s">
        <v>698</v>
      </c>
      <c r="D56" s="86" t="s">
        <v>703</v>
      </c>
      <c r="E56" s="91">
        <v>125</v>
      </c>
      <c r="F56" s="91">
        <f t="shared" si="0"/>
        <v>2875</v>
      </c>
      <c r="G56" s="86" t="s">
        <v>766</v>
      </c>
      <c r="H56" s="86"/>
      <c r="I56" s="86" t="s">
        <v>767</v>
      </c>
    </row>
    <row r="57" spans="1:9" x14ac:dyDescent="0.3">
      <c r="A57" s="85">
        <v>45981</v>
      </c>
      <c r="B57" s="86">
        <v>1</v>
      </c>
      <c r="C57" s="86" t="s">
        <v>699</v>
      </c>
      <c r="D57" s="86" t="s">
        <v>704</v>
      </c>
      <c r="E57" s="91">
        <v>699</v>
      </c>
      <c r="F57" s="91">
        <f t="shared" si="0"/>
        <v>699</v>
      </c>
      <c r="G57" s="86" t="s">
        <v>700</v>
      </c>
      <c r="H57" s="85">
        <v>45982</v>
      </c>
      <c r="I57" s="86" t="s">
        <v>825</v>
      </c>
    </row>
    <row r="58" spans="1:9" x14ac:dyDescent="0.3">
      <c r="A58" s="85">
        <v>45981</v>
      </c>
      <c r="B58" s="86">
        <v>2</v>
      </c>
      <c r="C58" s="86" t="s">
        <v>705</v>
      </c>
      <c r="D58" s="86" t="s">
        <v>364</v>
      </c>
      <c r="E58" s="91">
        <v>2100</v>
      </c>
      <c r="F58" s="91">
        <f t="shared" si="0"/>
        <v>4200</v>
      </c>
      <c r="G58" s="86" t="s">
        <v>8</v>
      </c>
      <c r="H58" s="85">
        <v>45982</v>
      </c>
      <c r="I58" s="86" t="s">
        <v>825</v>
      </c>
    </row>
    <row r="59" spans="1:9" x14ac:dyDescent="0.3">
      <c r="A59" s="85">
        <v>45981</v>
      </c>
      <c r="B59" s="86">
        <v>3</v>
      </c>
      <c r="C59" s="86" t="s">
        <v>706</v>
      </c>
      <c r="D59" s="86" t="s">
        <v>364</v>
      </c>
      <c r="E59" s="91">
        <v>2100</v>
      </c>
      <c r="F59" s="91">
        <f t="shared" si="0"/>
        <v>6300</v>
      </c>
      <c r="G59" s="86" t="s">
        <v>8</v>
      </c>
      <c r="H59" s="85">
        <v>45982</v>
      </c>
      <c r="I59" s="86" t="s">
        <v>825</v>
      </c>
    </row>
    <row r="60" spans="1:9" x14ac:dyDescent="0.3">
      <c r="A60" s="85">
        <v>45981</v>
      </c>
      <c r="B60" s="86">
        <v>2</v>
      </c>
      <c r="C60" s="86" t="s">
        <v>706</v>
      </c>
      <c r="D60" s="86" t="s">
        <v>318</v>
      </c>
      <c r="E60" s="91">
        <v>2100</v>
      </c>
      <c r="F60" s="91">
        <f t="shared" si="0"/>
        <v>4200</v>
      </c>
      <c r="G60" s="86" t="s">
        <v>710</v>
      </c>
      <c r="H60" s="85">
        <v>45982</v>
      </c>
      <c r="I60" s="86" t="s">
        <v>825</v>
      </c>
    </row>
    <row r="61" spans="1:9" x14ac:dyDescent="0.3">
      <c r="A61" s="85">
        <v>45981</v>
      </c>
      <c r="B61" s="86">
        <v>5</v>
      </c>
      <c r="C61" s="86" t="s">
        <v>707</v>
      </c>
      <c r="D61" s="86" t="s">
        <v>364</v>
      </c>
      <c r="E61" s="91">
        <v>574</v>
      </c>
      <c r="F61" s="91">
        <f t="shared" si="0"/>
        <v>2870</v>
      </c>
      <c r="G61" s="86" t="s">
        <v>8</v>
      </c>
      <c r="H61" s="85">
        <v>45982</v>
      </c>
      <c r="I61" s="86" t="s">
        <v>825</v>
      </c>
    </row>
    <row r="62" spans="1:9" x14ac:dyDescent="0.3">
      <c r="A62" s="85">
        <v>45981</v>
      </c>
      <c r="B62" s="86">
        <v>10</v>
      </c>
      <c r="C62" s="86" t="s">
        <v>708</v>
      </c>
      <c r="D62" s="86" t="s">
        <v>364</v>
      </c>
      <c r="E62" s="91">
        <v>103</v>
      </c>
      <c r="F62" s="91">
        <f t="shared" si="0"/>
        <v>1030</v>
      </c>
      <c r="G62" s="86" t="s">
        <v>8</v>
      </c>
      <c r="H62" s="85">
        <v>45982</v>
      </c>
      <c r="I62" s="86" t="s">
        <v>825</v>
      </c>
    </row>
    <row r="63" spans="1:9" x14ac:dyDescent="0.3">
      <c r="A63" s="85">
        <v>45981</v>
      </c>
      <c r="B63" s="86">
        <v>3</v>
      </c>
      <c r="C63" s="86" t="s">
        <v>698</v>
      </c>
      <c r="D63" s="86" t="s">
        <v>364</v>
      </c>
      <c r="E63" s="91">
        <v>125</v>
      </c>
      <c r="F63" s="91">
        <f t="shared" si="0"/>
        <v>375</v>
      </c>
      <c r="G63" s="86" t="s">
        <v>8</v>
      </c>
      <c r="H63" s="85">
        <v>45982</v>
      </c>
      <c r="I63" s="86" t="s">
        <v>825</v>
      </c>
    </row>
    <row r="64" spans="1:9" x14ac:dyDescent="0.3">
      <c r="A64" s="85">
        <v>45981</v>
      </c>
      <c r="B64" s="86">
        <v>3</v>
      </c>
      <c r="C64" s="86" t="s">
        <v>705</v>
      </c>
      <c r="D64" s="86" t="s">
        <v>364</v>
      </c>
      <c r="E64" s="91">
        <v>2100</v>
      </c>
      <c r="F64" s="91">
        <f t="shared" si="0"/>
        <v>6300</v>
      </c>
      <c r="G64" s="86" t="s">
        <v>8</v>
      </c>
      <c r="H64" s="85">
        <v>45982</v>
      </c>
      <c r="I64" s="86" t="s">
        <v>825</v>
      </c>
    </row>
    <row r="65" spans="1:9" x14ac:dyDescent="0.3">
      <c r="A65" s="85">
        <v>45981</v>
      </c>
      <c r="B65" s="86">
        <v>3</v>
      </c>
      <c r="C65" s="86" t="s">
        <v>706</v>
      </c>
      <c r="D65" s="86" t="s">
        <v>364</v>
      </c>
      <c r="E65" s="91">
        <v>2100</v>
      </c>
      <c r="F65" s="91">
        <f t="shared" si="0"/>
        <v>6300</v>
      </c>
      <c r="G65" s="86" t="s">
        <v>8</v>
      </c>
      <c r="H65" s="85">
        <v>45982</v>
      </c>
      <c r="I65" s="86" t="s">
        <v>825</v>
      </c>
    </row>
    <row r="66" spans="1:9" x14ac:dyDescent="0.3">
      <c r="A66" s="85">
        <v>45981</v>
      </c>
      <c r="B66" s="86">
        <v>12</v>
      </c>
      <c r="C66" s="86" t="s">
        <v>665</v>
      </c>
      <c r="D66" s="86" t="s">
        <v>709</v>
      </c>
      <c r="E66" s="91">
        <v>449</v>
      </c>
      <c r="F66" s="91">
        <f t="shared" si="0"/>
        <v>5388</v>
      </c>
      <c r="G66" s="86" t="s">
        <v>8</v>
      </c>
      <c r="H66" s="85">
        <v>45982</v>
      </c>
      <c r="I66" s="86" t="s">
        <v>825</v>
      </c>
    </row>
    <row r="67" spans="1:9" x14ac:dyDescent="0.3">
      <c r="A67" s="85">
        <v>45982</v>
      </c>
      <c r="B67" s="86">
        <v>4</v>
      </c>
      <c r="C67" s="86" t="s">
        <v>705</v>
      </c>
      <c r="D67" s="86" t="s">
        <v>364</v>
      </c>
      <c r="E67" s="91">
        <v>2100</v>
      </c>
      <c r="F67" s="91">
        <f t="shared" si="0"/>
        <v>8400</v>
      </c>
      <c r="G67" s="86" t="s">
        <v>8</v>
      </c>
      <c r="H67" s="85">
        <v>45982</v>
      </c>
      <c r="I67" s="86" t="s">
        <v>825</v>
      </c>
    </row>
    <row r="68" spans="1:9" x14ac:dyDescent="0.3">
      <c r="A68" s="85">
        <v>45982</v>
      </c>
      <c r="B68" s="86">
        <v>6</v>
      </c>
      <c r="C68" s="86" t="s">
        <v>705</v>
      </c>
      <c r="D68" s="86" t="s">
        <v>711</v>
      </c>
      <c r="E68" s="91">
        <v>2100</v>
      </c>
      <c r="F68" s="91">
        <f t="shared" si="0"/>
        <v>12600</v>
      </c>
      <c r="G68" s="86" t="s">
        <v>8</v>
      </c>
      <c r="H68" s="85">
        <v>45982</v>
      </c>
      <c r="I68" s="86" t="s">
        <v>825</v>
      </c>
    </row>
    <row r="69" spans="1:9" x14ac:dyDescent="0.3">
      <c r="A69" s="85">
        <v>45982</v>
      </c>
      <c r="B69" s="86">
        <v>6</v>
      </c>
      <c r="C69" s="86" t="s">
        <v>706</v>
      </c>
      <c r="D69" s="86" t="s">
        <v>711</v>
      </c>
      <c r="E69" s="91">
        <v>2100</v>
      </c>
      <c r="F69" s="91">
        <f t="shared" ref="F69:F135" si="2">E69*B69</f>
        <v>12600</v>
      </c>
      <c r="G69" s="86" t="s">
        <v>8</v>
      </c>
      <c r="H69" s="85">
        <v>45982</v>
      </c>
      <c r="I69" s="86" t="s">
        <v>825</v>
      </c>
    </row>
    <row r="70" spans="1:9" x14ac:dyDescent="0.3">
      <c r="A70" s="85">
        <v>45982</v>
      </c>
      <c r="B70" s="86">
        <v>16</v>
      </c>
      <c r="C70" s="86" t="s">
        <v>665</v>
      </c>
      <c r="D70" s="86" t="s">
        <v>687</v>
      </c>
      <c r="E70" s="91" t="s">
        <v>721</v>
      </c>
      <c r="F70" s="91">
        <v>0</v>
      </c>
      <c r="G70" s="86" t="s">
        <v>8</v>
      </c>
      <c r="H70" s="85">
        <v>45982</v>
      </c>
      <c r="I70" s="86" t="s">
        <v>825</v>
      </c>
    </row>
    <row r="71" spans="1:9" x14ac:dyDescent="0.3">
      <c r="A71" s="85">
        <v>45982</v>
      </c>
      <c r="B71" s="86">
        <v>5</v>
      </c>
      <c r="C71" s="86" t="s">
        <v>665</v>
      </c>
      <c r="D71" s="86" t="s">
        <v>687</v>
      </c>
      <c r="E71" s="91">
        <v>0</v>
      </c>
      <c r="F71" s="91">
        <v>0</v>
      </c>
      <c r="G71" s="86" t="s">
        <v>8</v>
      </c>
      <c r="H71" s="85">
        <v>45982</v>
      </c>
      <c r="I71" s="86" t="s">
        <v>737</v>
      </c>
    </row>
    <row r="72" spans="1:9" x14ac:dyDescent="0.3">
      <c r="A72" s="85">
        <v>45982</v>
      </c>
      <c r="B72" s="86">
        <v>20</v>
      </c>
      <c r="C72" s="86" t="s">
        <v>665</v>
      </c>
      <c r="D72" s="86" t="s">
        <v>490</v>
      </c>
      <c r="E72" s="91">
        <v>399</v>
      </c>
      <c r="F72" s="91">
        <f t="shared" si="2"/>
        <v>7980</v>
      </c>
      <c r="G72" s="86" t="s">
        <v>8</v>
      </c>
      <c r="H72" s="85">
        <v>45985</v>
      </c>
      <c r="I72" s="86" t="s">
        <v>825</v>
      </c>
    </row>
    <row r="73" spans="1:9" x14ac:dyDescent="0.3">
      <c r="A73" s="85">
        <v>45982</v>
      </c>
      <c r="B73" s="86">
        <v>9</v>
      </c>
      <c r="C73" s="86" t="s">
        <v>665</v>
      </c>
      <c r="D73" s="86" t="s">
        <v>494</v>
      </c>
      <c r="E73" s="91">
        <v>399</v>
      </c>
      <c r="F73" s="91">
        <f t="shared" si="2"/>
        <v>3591</v>
      </c>
      <c r="G73" s="86" t="s">
        <v>8</v>
      </c>
      <c r="H73" s="85">
        <v>45985</v>
      </c>
      <c r="I73" s="86" t="s">
        <v>825</v>
      </c>
    </row>
    <row r="74" spans="1:9" x14ac:dyDescent="0.3">
      <c r="A74" s="85">
        <v>45982</v>
      </c>
      <c r="B74" s="86">
        <v>3</v>
      </c>
      <c r="C74" s="86" t="s">
        <v>712</v>
      </c>
      <c r="D74" s="86" t="s">
        <v>713</v>
      </c>
      <c r="E74" s="91">
        <v>609.95000000000005</v>
      </c>
      <c r="F74" s="91">
        <f t="shared" si="2"/>
        <v>1829.8500000000001</v>
      </c>
      <c r="G74" s="86" t="s">
        <v>731</v>
      </c>
      <c r="H74" s="86"/>
      <c r="I74" s="86" t="s">
        <v>825</v>
      </c>
    </row>
    <row r="75" spans="1:9" x14ac:dyDescent="0.3">
      <c r="A75" s="85">
        <v>45982</v>
      </c>
      <c r="B75" s="86">
        <v>1</v>
      </c>
      <c r="C75" s="86" t="s">
        <v>712</v>
      </c>
      <c r="D75" s="86" t="s">
        <v>713</v>
      </c>
      <c r="E75" s="91">
        <v>598</v>
      </c>
      <c r="F75" s="91">
        <f t="shared" si="2"/>
        <v>598</v>
      </c>
      <c r="G75" s="86" t="s">
        <v>826</v>
      </c>
      <c r="H75" s="86"/>
      <c r="I75" s="86" t="s">
        <v>825</v>
      </c>
    </row>
    <row r="76" spans="1:9" x14ac:dyDescent="0.3">
      <c r="A76" s="85">
        <v>45982</v>
      </c>
      <c r="B76" s="86">
        <v>1</v>
      </c>
      <c r="C76" s="86" t="s">
        <v>714</v>
      </c>
      <c r="D76" s="86" t="s">
        <v>715</v>
      </c>
      <c r="E76" s="91">
        <v>598</v>
      </c>
      <c r="F76" s="91">
        <f t="shared" si="2"/>
        <v>598</v>
      </c>
      <c r="G76" s="86" t="s">
        <v>716</v>
      </c>
      <c r="H76" s="85">
        <v>45982</v>
      </c>
      <c r="I76" s="86" t="s">
        <v>825</v>
      </c>
    </row>
    <row r="77" spans="1:9" x14ac:dyDescent="0.3">
      <c r="A77" s="85">
        <v>45982</v>
      </c>
      <c r="B77" s="86">
        <v>5</v>
      </c>
      <c r="C77" s="86" t="s">
        <v>717</v>
      </c>
      <c r="D77" s="86" t="s">
        <v>87</v>
      </c>
      <c r="E77" s="91">
        <v>509</v>
      </c>
      <c r="F77" s="91">
        <f t="shared" si="2"/>
        <v>2545</v>
      </c>
      <c r="G77" s="86" t="s">
        <v>792</v>
      </c>
      <c r="H77" s="86"/>
      <c r="I77" s="86" t="s">
        <v>825</v>
      </c>
    </row>
    <row r="78" spans="1:9" x14ac:dyDescent="0.3">
      <c r="A78" s="85">
        <v>45982</v>
      </c>
      <c r="B78" s="86">
        <v>6</v>
      </c>
      <c r="C78" s="86" t="s">
        <v>718</v>
      </c>
      <c r="D78" s="86" t="s">
        <v>87</v>
      </c>
      <c r="E78" s="91">
        <v>659</v>
      </c>
      <c r="F78" s="91">
        <f t="shared" si="2"/>
        <v>3954</v>
      </c>
      <c r="G78" s="86" t="s">
        <v>792</v>
      </c>
      <c r="H78" s="86"/>
      <c r="I78" s="86" t="s">
        <v>825</v>
      </c>
    </row>
    <row r="79" spans="1:9" x14ac:dyDescent="0.3">
      <c r="A79" s="85">
        <v>45982</v>
      </c>
      <c r="B79" s="86">
        <v>3</v>
      </c>
      <c r="C79" s="86" t="s">
        <v>718</v>
      </c>
      <c r="D79" s="86" t="s">
        <v>87</v>
      </c>
      <c r="E79" s="91">
        <v>659</v>
      </c>
      <c r="F79" s="91">
        <f t="shared" si="2"/>
        <v>1977</v>
      </c>
      <c r="G79" s="86" t="s">
        <v>782</v>
      </c>
      <c r="H79" s="86"/>
      <c r="I79" s="86" t="s">
        <v>825</v>
      </c>
    </row>
    <row r="80" spans="1:9" x14ac:dyDescent="0.3">
      <c r="A80" s="85">
        <v>45982</v>
      </c>
      <c r="B80" s="86">
        <v>7</v>
      </c>
      <c r="C80" s="86" t="s">
        <v>717</v>
      </c>
      <c r="D80" s="86" t="s">
        <v>87</v>
      </c>
      <c r="E80" s="91">
        <v>509</v>
      </c>
      <c r="F80" s="91">
        <f t="shared" si="2"/>
        <v>3563</v>
      </c>
      <c r="G80" s="86" t="s">
        <v>783</v>
      </c>
      <c r="H80" s="86"/>
      <c r="I80" s="86" t="s">
        <v>784</v>
      </c>
    </row>
    <row r="81" spans="1:11" x14ac:dyDescent="0.3">
      <c r="A81" s="85">
        <v>45982</v>
      </c>
      <c r="B81" s="86">
        <v>5</v>
      </c>
      <c r="C81" s="86" t="s">
        <v>722</v>
      </c>
      <c r="D81" s="86" t="s">
        <v>87</v>
      </c>
      <c r="E81" s="91">
        <v>659</v>
      </c>
      <c r="F81" s="91">
        <f t="shared" si="2"/>
        <v>3295</v>
      </c>
      <c r="G81" s="86" t="s">
        <v>771</v>
      </c>
      <c r="H81" s="86"/>
      <c r="I81" s="86" t="s">
        <v>825</v>
      </c>
    </row>
    <row r="82" spans="1:11" x14ac:dyDescent="0.3">
      <c r="A82" s="85">
        <v>45982</v>
      </c>
      <c r="B82" s="86">
        <v>9</v>
      </c>
      <c r="C82" s="86" t="s">
        <v>723</v>
      </c>
      <c r="D82" s="86" t="s">
        <v>87</v>
      </c>
      <c r="E82" s="91">
        <v>509</v>
      </c>
      <c r="F82" s="91">
        <f t="shared" si="2"/>
        <v>4581</v>
      </c>
      <c r="G82" s="86" t="s">
        <v>771</v>
      </c>
      <c r="H82" s="86"/>
      <c r="I82" s="86" t="s">
        <v>825</v>
      </c>
    </row>
    <row r="83" spans="1:11" x14ac:dyDescent="0.3">
      <c r="A83" s="85">
        <v>45982</v>
      </c>
      <c r="B83" s="86">
        <v>8</v>
      </c>
      <c r="C83" s="86" t="s">
        <v>723</v>
      </c>
      <c r="D83" s="86" t="s">
        <v>87</v>
      </c>
      <c r="E83" s="91">
        <v>509</v>
      </c>
      <c r="F83" s="91">
        <f t="shared" si="2"/>
        <v>4072</v>
      </c>
      <c r="G83" s="86" t="s">
        <v>770</v>
      </c>
      <c r="H83" s="86"/>
      <c r="I83" s="86" t="s">
        <v>769</v>
      </c>
    </row>
    <row r="84" spans="1:11" x14ac:dyDescent="0.3">
      <c r="A84" s="85">
        <v>45984</v>
      </c>
      <c r="B84" s="86">
        <v>14</v>
      </c>
      <c r="C84" s="86" t="s">
        <v>665</v>
      </c>
      <c r="D84" s="86" t="s">
        <v>732</v>
      </c>
      <c r="E84" s="91">
        <v>398</v>
      </c>
      <c r="F84" s="91">
        <f t="shared" si="2"/>
        <v>5572</v>
      </c>
      <c r="G84" s="86" t="s">
        <v>8</v>
      </c>
      <c r="H84" s="85">
        <v>45985</v>
      </c>
      <c r="I84" s="86" t="s">
        <v>825</v>
      </c>
    </row>
    <row r="85" spans="1:11" x14ac:dyDescent="0.3">
      <c r="A85" s="85">
        <v>45984</v>
      </c>
      <c r="B85" s="86">
        <v>5</v>
      </c>
      <c r="C85" s="86" t="s">
        <v>665</v>
      </c>
      <c r="D85" s="86" t="s">
        <v>496</v>
      </c>
      <c r="E85" s="91">
        <v>398</v>
      </c>
      <c r="F85" s="91">
        <f t="shared" si="2"/>
        <v>1990</v>
      </c>
      <c r="G85" s="86" t="s">
        <v>8</v>
      </c>
      <c r="H85" s="85">
        <v>45985</v>
      </c>
      <c r="I85" s="86" t="s">
        <v>825</v>
      </c>
      <c r="K85" t="s">
        <v>740</v>
      </c>
    </row>
    <row r="86" spans="1:11" x14ac:dyDescent="0.3">
      <c r="A86" s="85">
        <v>45984</v>
      </c>
      <c r="B86" s="86">
        <v>27</v>
      </c>
      <c r="C86" s="86" t="s">
        <v>665</v>
      </c>
      <c r="D86" s="86" t="s">
        <v>492</v>
      </c>
      <c r="E86" s="91">
        <v>398</v>
      </c>
      <c r="F86" s="91">
        <f t="shared" si="2"/>
        <v>10746</v>
      </c>
      <c r="G86" s="86" t="s">
        <v>8</v>
      </c>
      <c r="H86" s="85">
        <v>45985</v>
      </c>
      <c r="I86" s="86" t="s">
        <v>825</v>
      </c>
    </row>
    <row r="87" spans="1:11" x14ac:dyDescent="0.3">
      <c r="A87" s="85">
        <v>45984</v>
      </c>
      <c r="B87" s="86">
        <v>20</v>
      </c>
      <c r="C87" s="86" t="s">
        <v>665</v>
      </c>
      <c r="D87" s="86" t="s">
        <v>498</v>
      </c>
      <c r="E87" s="91">
        <v>398</v>
      </c>
      <c r="F87" s="91">
        <f t="shared" si="2"/>
        <v>7960</v>
      </c>
      <c r="G87" s="86" t="s">
        <v>8</v>
      </c>
      <c r="H87" s="85">
        <v>45985</v>
      </c>
      <c r="I87" s="86" t="s">
        <v>825</v>
      </c>
    </row>
    <row r="88" spans="1:11" x14ac:dyDescent="0.3">
      <c r="A88" s="85">
        <v>45984</v>
      </c>
      <c r="B88" s="86">
        <v>12</v>
      </c>
      <c r="C88" s="86" t="s">
        <v>665</v>
      </c>
      <c r="D88" s="86" t="s">
        <v>497</v>
      </c>
      <c r="E88" s="91">
        <v>398</v>
      </c>
      <c r="F88" s="91">
        <f t="shared" si="2"/>
        <v>4776</v>
      </c>
      <c r="G88" s="86" t="s">
        <v>8</v>
      </c>
      <c r="H88" s="85">
        <v>45985</v>
      </c>
      <c r="I88" s="86" t="s">
        <v>825</v>
      </c>
    </row>
    <row r="89" spans="1:11" x14ac:dyDescent="0.3">
      <c r="A89" s="85">
        <v>45984</v>
      </c>
      <c r="B89" s="86">
        <v>19</v>
      </c>
      <c r="C89" s="86" t="s">
        <v>665</v>
      </c>
      <c r="D89" s="86" t="s">
        <v>734</v>
      </c>
      <c r="E89" s="91">
        <v>398</v>
      </c>
      <c r="F89" s="91">
        <f t="shared" si="2"/>
        <v>7562</v>
      </c>
      <c r="G89" s="86" t="s">
        <v>8</v>
      </c>
      <c r="H89" s="85">
        <v>45985</v>
      </c>
      <c r="I89" s="86" t="s">
        <v>825</v>
      </c>
    </row>
    <row r="90" spans="1:11" x14ac:dyDescent="0.3">
      <c r="A90" s="85">
        <v>45984</v>
      </c>
      <c r="B90" s="86">
        <v>10</v>
      </c>
      <c r="C90" s="86" t="s">
        <v>665</v>
      </c>
      <c r="D90" s="86" t="s">
        <v>735</v>
      </c>
      <c r="E90" s="91">
        <v>398</v>
      </c>
      <c r="F90" s="91">
        <f t="shared" si="2"/>
        <v>3980</v>
      </c>
      <c r="G90" s="86" t="s">
        <v>8</v>
      </c>
      <c r="H90" s="85">
        <v>45985</v>
      </c>
      <c r="I90" s="86" t="s">
        <v>825</v>
      </c>
    </row>
    <row r="91" spans="1:11" x14ac:dyDescent="0.3">
      <c r="A91" s="85">
        <v>45984</v>
      </c>
      <c r="B91" s="86">
        <v>17</v>
      </c>
      <c r="C91" s="86" t="s">
        <v>665</v>
      </c>
      <c r="D91" s="86" t="s">
        <v>736</v>
      </c>
      <c r="E91" s="91">
        <v>398</v>
      </c>
      <c r="F91" s="91">
        <f t="shared" si="2"/>
        <v>6766</v>
      </c>
      <c r="G91" s="86" t="s">
        <v>8</v>
      </c>
      <c r="H91" s="85">
        <v>45985</v>
      </c>
      <c r="I91" s="86" t="s">
        <v>825</v>
      </c>
    </row>
    <row r="92" spans="1:11" x14ac:dyDescent="0.3">
      <c r="A92" s="85">
        <v>45985</v>
      </c>
      <c r="B92" s="86">
        <v>27</v>
      </c>
      <c r="C92" s="86" t="s">
        <v>665</v>
      </c>
      <c r="D92" s="86" t="s">
        <v>733</v>
      </c>
      <c r="E92" s="91">
        <v>398</v>
      </c>
      <c r="F92" s="91">
        <f t="shared" si="2"/>
        <v>10746</v>
      </c>
      <c r="G92" s="86" t="s">
        <v>8</v>
      </c>
      <c r="H92" s="85">
        <v>45985</v>
      </c>
      <c r="I92" s="86" t="s">
        <v>825</v>
      </c>
    </row>
    <row r="93" spans="1:11" x14ac:dyDescent="0.3">
      <c r="A93" s="85">
        <v>45985</v>
      </c>
      <c r="B93" s="86">
        <v>11</v>
      </c>
      <c r="C93" s="86" t="s">
        <v>665</v>
      </c>
      <c r="D93" s="86" t="s">
        <v>733</v>
      </c>
      <c r="E93" s="91">
        <v>398</v>
      </c>
      <c r="F93" s="91">
        <f t="shared" si="2"/>
        <v>4378</v>
      </c>
      <c r="G93" s="86" t="s">
        <v>8</v>
      </c>
      <c r="H93" s="86"/>
      <c r="I93" s="86" t="s">
        <v>825</v>
      </c>
    </row>
    <row r="94" spans="1:11" x14ac:dyDescent="0.3">
      <c r="A94" s="85">
        <v>45985</v>
      </c>
      <c r="B94" s="86">
        <v>1</v>
      </c>
      <c r="C94" s="86" t="s">
        <v>738</v>
      </c>
      <c r="D94" s="86" t="s">
        <v>739</v>
      </c>
      <c r="E94" s="91">
        <v>105</v>
      </c>
      <c r="F94" s="91">
        <f t="shared" si="2"/>
        <v>105</v>
      </c>
      <c r="G94" s="86"/>
      <c r="H94" s="86"/>
      <c r="I94" s="86" t="s">
        <v>85</v>
      </c>
    </row>
    <row r="95" spans="1:11" x14ac:dyDescent="0.3">
      <c r="A95" s="85">
        <v>45985</v>
      </c>
      <c r="B95" s="86">
        <v>2</v>
      </c>
      <c r="C95" s="86" t="s">
        <v>323</v>
      </c>
      <c r="D95" s="86" t="s">
        <v>358</v>
      </c>
      <c r="E95" s="91">
        <v>679</v>
      </c>
      <c r="F95" s="91">
        <f t="shared" si="2"/>
        <v>1358</v>
      </c>
      <c r="G95" s="86" t="s">
        <v>365</v>
      </c>
      <c r="H95" s="86"/>
      <c r="I95" s="86" t="s">
        <v>655</v>
      </c>
    </row>
    <row r="96" spans="1:11" x14ac:dyDescent="0.3">
      <c r="A96" s="85">
        <v>45988</v>
      </c>
      <c r="B96" s="86">
        <v>50</v>
      </c>
      <c r="C96" s="86" t="s">
        <v>665</v>
      </c>
      <c r="D96" s="86" t="s">
        <v>741</v>
      </c>
      <c r="E96" s="91">
        <v>398</v>
      </c>
      <c r="F96" s="91">
        <f t="shared" si="2"/>
        <v>19900</v>
      </c>
      <c r="G96" s="86" t="s">
        <v>752</v>
      </c>
      <c r="H96" s="86"/>
      <c r="I96" s="86" t="s">
        <v>825</v>
      </c>
    </row>
    <row r="97" spans="1:9" x14ac:dyDescent="0.3">
      <c r="A97" s="85">
        <v>45988</v>
      </c>
      <c r="B97" s="86">
        <v>1</v>
      </c>
      <c r="C97" s="86" t="s">
        <v>742</v>
      </c>
      <c r="D97" s="86" t="s">
        <v>741</v>
      </c>
      <c r="E97" s="91">
        <v>200</v>
      </c>
      <c r="F97" s="91">
        <f t="shared" si="2"/>
        <v>200</v>
      </c>
      <c r="G97" s="86"/>
      <c r="H97" s="86"/>
      <c r="I97" s="86" t="s">
        <v>85</v>
      </c>
    </row>
    <row r="98" spans="1:9" x14ac:dyDescent="0.3">
      <c r="A98" s="85">
        <v>45988</v>
      </c>
      <c r="B98" s="86">
        <v>10</v>
      </c>
      <c r="C98" s="86" t="s">
        <v>647</v>
      </c>
      <c r="D98" s="86" t="s">
        <v>335</v>
      </c>
      <c r="E98" s="91">
        <v>410</v>
      </c>
      <c r="F98" s="91">
        <f t="shared" si="2"/>
        <v>4100</v>
      </c>
      <c r="G98" s="86" t="s">
        <v>743</v>
      </c>
      <c r="H98" s="86"/>
      <c r="I98" s="86" t="s">
        <v>825</v>
      </c>
    </row>
    <row r="99" spans="1:9" x14ac:dyDescent="0.3">
      <c r="A99" s="85">
        <v>45989</v>
      </c>
      <c r="B99" s="86">
        <v>6</v>
      </c>
      <c r="C99" s="86" t="s">
        <v>647</v>
      </c>
      <c r="D99" s="86" t="s">
        <v>364</v>
      </c>
      <c r="E99" s="91">
        <v>419</v>
      </c>
      <c r="F99" s="91">
        <f t="shared" si="2"/>
        <v>2514</v>
      </c>
      <c r="G99" s="86" t="s">
        <v>772</v>
      </c>
      <c r="H99" s="86"/>
      <c r="I99" s="86" t="s">
        <v>825</v>
      </c>
    </row>
    <row r="100" spans="1:9" x14ac:dyDescent="0.3">
      <c r="A100" s="81">
        <v>45989</v>
      </c>
      <c r="B100" s="82">
        <v>10</v>
      </c>
      <c r="C100" s="82" t="s">
        <v>745</v>
      </c>
      <c r="D100" s="82" t="s">
        <v>364</v>
      </c>
      <c r="E100" s="83">
        <v>125</v>
      </c>
      <c r="F100" s="83">
        <f t="shared" si="2"/>
        <v>1250</v>
      </c>
      <c r="G100" s="82" t="s">
        <v>751</v>
      </c>
      <c r="H100" s="82"/>
      <c r="I100" s="82"/>
    </row>
    <row r="101" spans="1:9" x14ac:dyDescent="0.3">
      <c r="A101" s="81">
        <v>45989</v>
      </c>
      <c r="B101" s="82">
        <v>3</v>
      </c>
      <c r="C101" s="82" t="s">
        <v>647</v>
      </c>
      <c r="D101" s="82" t="s">
        <v>364</v>
      </c>
      <c r="E101" s="83">
        <v>419</v>
      </c>
      <c r="F101" s="83">
        <f t="shared" si="2"/>
        <v>1257</v>
      </c>
      <c r="G101" s="82" t="s">
        <v>11</v>
      </c>
      <c r="H101" s="82"/>
      <c r="I101" s="82"/>
    </row>
    <row r="102" spans="1:9" x14ac:dyDescent="0.3">
      <c r="A102" s="81">
        <v>45989</v>
      </c>
      <c r="B102" s="82">
        <v>2</v>
      </c>
      <c r="C102" s="82" t="s">
        <v>647</v>
      </c>
      <c r="D102" s="82" t="s">
        <v>364</v>
      </c>
      <c r="E102" s="83">
        <v>419</v>
      </c>
      <c r="F102" s="83">
        <f t="shared" si="2"/>
        <v>838</v>
      </c>
      <c r="G102" s="82" t="s">
        <v>102</v>
      </c>
      <c r="H102" s="82"/>
      <c r="I102" s="82"/>
    </row>
    <row r="103" spans="1:9" x14ac:dyDescent="0.3">
      <c r="A103" s="85">
        <v>45990</v>
      </c>
      <c r="B103" s="86">
        <v>1</v>
      </c>
      <c r="C103" s="86" t="s">
        <v>717</v>
      </c>
      <c r="D103" s="86" t="s">
        <v>746</v>
      </c>
      <c r="E103" s="91">
        <v>467</v>
      </c>
      <c r="F103" s="91">
        <f t="shared" si="2"/>
        <v>467</v>
      </c>
      <c r="G103" s="86" t="s">
        <v>8</v>
      </c>
      <c r="H103" s="86"/>
      <c r="I103" s="86" t="s">
        <v>825</v>
      </c>
    </row>
    <row r="104" spans="1:9" x14ac:dyDescent="0.3">
      <c r="A104" s="85">
        <v>45990</v>
      </c>
      <c r="B104" s="86">
        <v>2</v>
      </c>
      <c r="C104" s="86" t="s">
        <v>717</v>
      </c>
      <c r="D104" s="86" t="s">
        <v>331</v>
      </c>
      <c r="E104" s="91">
        <v>479</v>
      </c>
      <c r="F104" s="91">
        <f t="shared" si="2"/>
        <v>958</v>
      </c>
      <c r="G104" s="86" t="s">
        <v>8</v>
      </c>
      <c r="H104" s="86"/>
      <c r="I104" s="86" t="s">
        <v>825</v>
      </c>
    </row>
    <row r="105" spans="1:9" x14ac:dyDescent="0.3">
      <c r="A105" s="85">
        <v>45990</v>
      </c>
      <c r="B105" s="86">
        <v>2</v>
      </c>
      <c r="C105" s="86" t="s">
        <v>665</v>
      </c>
      <c r="D105" s="86" t="s">
        <v>331</v>
      </c>
      <c r="E105" s="91">
        <v>399</v>
      </c>
      <c r="F105" s="91">
        <f t="shared" si="2"/>
        <v>798</v>
      </c>
      <c r="G105" s="86" t="s">
        <v>8</v>
      </c>
      <c r="H105" s="86"/>
      <c r="I105" s="86" t="s">
        <v>825</v>
      </c>
    </row>
    <row r="106" spans="1:9" x14ac:dyDescent="0.3">
      <c r="A106" s="85">
        <v>45990</v>
      </c>
      <c r="B106" s="86">
        <v>3</v>
      </c>
      <c r="C106" s="86" t="s">
        <v>647</v>
      </c>
      <c r="D106" s="86" t="s">
        <v>230</v>
      </c>
      <c r="E106" s="91">
        <v>419</v>
      </c>
      <c r="F106" s="91">
        <f t="shared" si="2"/>
        <v>1257</v>
      </c>
      <c r="G106" s="86" t="s">
        <v>8</v>
      </c>
      <c r="H106" s="86"/>
      <c r="I106" s="86" t="s">
        <v>825</v>
      </c>
    </row>
    <row r="107" spans="1:9" x14ac:dyDescent="0.3">
      <c r="A107" s="85">
        <v>45990</v>
      </c>
      <c r="B107" s="86">
        <v>2</v>
      </c>
      <c r="C107" s="86" t="s">
        <v>717</v>
      </c>
      <c r="D107" s="86" t="s">
        <v>230</v>
      </c>
      <c r="E107" s="91">
        <v>479</v>
      </c>
      <c r="F107" s="91">
        <f t="shared" si="2"/>
        <v>958</v>
      </c>
      <c r="G107" s="86" t="s">
        <v>8</v>
      </c>
      <c r="H107" s="86"/>
      <c r="I107" s="86" t="s">
        <v>825</v>
      </c>
    </row>
    <row r="108" spans="1:9" x14ac:dyDescent="0.3">
      <c r="A108" s="85">
        <v>45990</v>
      </c>
      <c r="B108" s="86">
        <v>3</v>
      </c>
      <c r="C108" s="86" t="s">
        <v>747</v>
      </c>
      <c r="D108" s="86" t="s">
        <v>230</v>
      </c>
      <c r="E108" s="91">
        <v>105</v>
      </c>
      <c r="F108" s="91">
        <f t="shared" si="2"/>
        <v>315</v>
      </c>
      <c r="G108" s="86" t="s">
        <v>8</v>
      </c>
      <c r="H108" s="86"/>
      <c r="I108" s="86" t="s">
        <v>825</v>
      </c>
    </row>
    <row r="109" spans="1:9" x14ac:dyDescent="0.3">
      <c r="A109" s="85">
        <v>45990</v>
      </c>
      <c r="B109" s="86">
        <v>2</v>
      </c>
      <c r="C109" s="86" t="s">
        <v>665</v>
      </c>
      <c r="D109" s="86" t="s">
        <v>230</v>
      </c>
      <c r="E109" s="91">
        <v>299</v>
      </c>
      <c r="F109" s="91">
        <f t="shared" si="2"/>
        <v>598</v>
      </c>
      <c r="G109" s="86" t="s">
        <v>8</v>
      </c>
      <c r="H109" s="86"/>
      <c r="I109" s="86" t="s">
        <v>825</v>
      </c>
    </row>
    <row r="110" spans="1:9" x14ac:dyDescent="0.3">
      <c r="A110" s="81">
        <v>45990</v>
      </c>
      <c r="B110" s="82">
        <v>1</v>
      </c>
      <c r="C110" s="82" t="s">
        <v>748</v>
      </c>
      <c r="D110" s="82" t="s">
        <v>230</v>
      </c>
      <c r="E110" s="83">
        <v>399</v>
      </c>
      <c r="F110" s="83">
        <f t="shared" si="2"/>
        <v>399</v>
      </c>
      <c r="G110" s="82" t="s">
        <v>102</v>
      </c>
      <c r="H110" s="82"/>
      <c r="I110" s="82"/>
    </row>
    <row r="111" spans="1:9" x14ac:dyDescent="0.3">
      <c r="A111" s="85">
        <v>45990</v>
      </c>
      <c r="B111" s="86">
        <v>4</v>
      </c>
      <c r="C111" s="86" t="s">
        <v>665</v>
      </c>
      <c r="D111" s="86" t="s">
        <v>749</v>
      </c>
      <c r="E111" s="91">
        <v>398</v>
      </c>
      <c r="F111" s="91">
        <f t="shared" si="2"/>
        <v>1592</v>
      </c>
      <c r="G111" s="86" t="s">
        <v>8</v>
      </c>
      <c r="H111" s="86"/>
      <c r="I111" s="86" t="s">
        <v>825</v>
      </c>
    </row>
    <row r="112" spans="1:9" x14ac:dyDescent="0.3">
      <c r="A112" s="85">
        <v>45990</v>
      </c>
      <c r="B112" s="86">
        <v>2</v>
      </c>
      <c r="C112" s="86" t="s">
        <v>665</v>
      </c>
      <c r="D112" s="86" t="s">
        <v>749</v>
      </c>
      <c r="E112" s="91">
        <v>398</v>
      </c>
      <c r="F112" s="91">
        <f t="shared" si="2"/>
        <v>796</v>
      </c>
      <c r="G112" s="86" t="s">
        <v>793</v>
      </c>
      <c r="H112" s="86"/>
      <c r="I112" s="86" t="s">
        <v>825</v>
      </c>
    </row>
    <row r="113" spans="1:9" x14ac:dyDescent="0.3">
      <c r="A113" s="85">
        <v>45990</v>
      </c>
      <c r="B113" s="86">
        <v>4</v>
      </c>
      <c r="C113" s="86" t="s">
        <v>665</v>
      </c>
      <c r="D113" s="86" t="s">
        <v>495</v>
      </c>
      <c r="E113" s="91">
        <v>398</v>
      </c>
      <c r="F113" s="91">
        <f t="shared" si="2"/>
        <v>1592</v>
      </c>
      <c r="G113" s="86" t="s">
        <v>8</v>
      </c>
      <c r="H113" s="86"/>
      <c r="I113" s="86" t="s">
        <v>825</v>
      </c>
    </row>
    <row r="114" spans="1:9" x14ac:dyDescent="0.3">
      <c r="A114" s="85">
        <v>45990</v>
      </c>
      <c r="B114" s="86">
        <v>3</v>
      </c>
      <c r="C114" s="86" t="s">
        <v>665</v>
      </c>
      <c r="D114" s="86" t="s">
        <v>750</v>
      </c>
      <c r="E114" s="91">
        <v>398</v>
      </c>
      <c r="F114" s="91">
        <f t="shared" si="2"/>
        <v>1194</v>
      </c>
      <c r="G114" s="86" t="s">
        <v>8</v>
      </c>
      <c r="H114" s="86"/>
      <c r="I114" s="86" t="s">
        <v>825</v>
      </c>
    </row>
    <row r="115" spans="1:9" x14ac:dyDescent="0.3">
      <c r="A115" s="85">
        <v>45990</v>
      </c>
      <c r="B115" s="86">
        <v>5</v>
      </c>
      <c r="C115" s="86" t="s">
        <v>665</v>
      </c>
      <c r="D115" s="86" t="s">
        <v>678</v>
      </c>
      <c r="E115" s="91">
        <v>398</v>
      </c>
      <c r="F115" s="91">
        <f t="shared" si="2"/>
        <v>1990</v>
      </c>
      <c r="G115" s="86" t="s">
        <v>62</v>
      </c>
      <c r="H115" s="86"/>
      <c r="I115" s="86" t="s">
        <v>824</v>
      </c>
    </row>
    <row r="116" spans="1:9" x14ac:dyDescent="0.3">
      <c r="A116" s="85">
        <v>45990</v>
      </c>
      <c r="B116" s="86">
        <v>35</v>
      </c>
      <c r="C116" s="86" t="s">
        <v>665</v>
      </c>
      <c r="D116" s="86" t="s">
        <v>678</v>
      </c>
      <c r="E116" s="91">
        <v>0</v>
      </c>
      <c r="F116" s="91">
        <f t="shared" si="2"/>
        <v>0</v>
      </c>
      <c r="G116" s="86" t="s">
        <v>759</v>
      </c>
      <c r="H116" s="86"/>
      <c r="I116" s="86" t="s">
        <v>824</v>
      </c>
    </row>
    <row r="117" spans="1:9" x14ac:dyDescent="0.3">
      <c r="A117" s="85">
        <v>45991</v>
      </c>
      <c r="B117" s="86">
        <v>18</v>
      </c>
      <c r="C117" s="86" t="s">
        <v>665</v>
      </c>
      <c r="D117" s="86" t="s">
        <v>760</v>
      </c>
      <c r="E117" s="91">
        <v>398</v>
      </c>
      <c r="F117" s="91">
        <f t="shared" si="2"/>
        <v>7164</v>
      </c>
      <c r="G117" s="86" t="s">
        <v>8</v>
      </c>
      <c r="H117" s="86"/>
      <c r="I117" s="86" t="s">
        <v>825</v>
      </c>
    </row>
    <row r="118" spans="1:9" x14ac:dyDescent="0.3">
      <c r="A118" s="85">
        <v>45991</v>
      </c>
      <c r="B118" s="86">
        <v>9</v>
      </c>
      <c r="C118" s="86" t="s">
        <v>665</v>
      </c>
      <c r="D118" s="86" t="s">
        <v>761</v>
      </c>
      <c r="E118" s="91">
        <v>398</v>
      </c>
      <c r="F118" s="91">
        <f t="shared" si="2"/>
        <v>3582</v>
      </c>
      <c r="G118" s="86" t="s">
        <v>8</v>
      </c>
      <c r="H118" s="86"/>
      <c r="I118" s="86" t="s">
        <v>825</v>
      </c>
    </row>
    <row r="119" spans="1:9" x14ac:dyDescent="0.3">
      <c r="A119" s="85">
        <v>45991</v>
      </c>
      <c r="B119" s="86">
        <v>1</v>
      </c>
      <c r="C119" s="86" t="s">
        <v>665</v>
      </c>
      <c r="D119" s="86" t="s">
        <v>762</v>
      </c>
      <c r="E119" s="91">
        <v>299</v>
      </c>
      <c r="F119" s="91">
        <f t="shared" si="2"/>
        <v>299</v>
      </c>
      <c r="G119" s="86" t="s">
        <v>8</v>
      </c>
      <c r="H119" s="86"/>
      <c r="I119" s="86" t="s">
        <v>825</v>
      </c>
    </row>
    <row r="120" spans="1:9" x14ac:dyDescent="0.3">
      <c r="A120" s="85">
        <v>45991</v>
      </c>
      <c r="B120" s="86">
        <v>2</v>
      </c>
      <c r="C120" s="86" t="s">
        <v>717</v>
      </c>
      <c r="D120" s="86" t="s">
        <v>762</v>
      </c>
      <c r="E120" s="91">
        <v>479</v>
      </c>
      <c r="F120" s="91">
        <f t="shared" si="2"/>
        <v>958</v>
      </c>
      <c r="G120" s="86" t="s">
        <v>8</v>
      </c>
      <c r="H120" s="86"/>
      <c r="I120" s="86" t="s">
        <v>825</v>
      </c>
    </row>
    <row r="121" spans="1:9" x14ac:dyDescent="0.3">
      <c r="A121" s="85">
        <v>45991</v>
      </c>
      <c r="B121" s="86">
        <v>8</v>
      </c>
      <c r="C121" s="86" t="s">
        <v>698</v>
      </c>
      <c r="D121" s="86" t="s">
        <v>762</v>
      </c>
      <c r="E121" s="91">
        <v>125</v>
      </c>
      <c r="F121" s="91">
        <f t="shared" si="2"/>
        <v>1000</v>
      </c>
      <c r="G121" s="86" t="s">
        <v>8</v>
      </c>
      <c r="H121" s="86"/>
      <c r="I121" s="86" t="s">
        <v>825</v>
      </c>
    </row>
    <row r="122" spans="1:9" x14ac:dyDescent="0.3">
      <c r="A122" s="85">
        <v>45991</v>
      </c>
      <c r="B122" s="86">
        <v>1</v>
      </c>
      <c r="C122" s="86" t="s">
        <v>763</v>
      </c>
      <c r="D122" s="86" t="s">
        <v>762</v>
      </c>
      <c r="E122" s="91">
        <v>380</v>
      </c>
      <c r="F122" s="91">
        <f t="shared" si="2"/>
        <v>380</v>
      </c>
      <c r="G122" s="86" t="s">
        <v>8</v>
      </c>
      <c r="H122" s="86"/>
      <c r="I122" s="86" t="s">
        <v>825</v>
      </c>
    </row>
    <row r="123" spans="1:9" x14ac:dyDescent="0.3">
      <c r="A123" s="85">
        <v>45991</v>
      </c>
      <c r="B123" s="86">
        <v>1</v>
      </c>
      <c r="C123" s="86" t="s">
        <v>692</v>
      </c>
      <c r="D123" s="86" t="s">
        <v>762</v>
      </c>
      <c r="E123" s="91">
        <v>419</v>
      </c>
      <c r="F123" s="91">
        <f t="shared" si="2"/>
        <v>419</v>
      </c>
      <c r="G123" s="86" t="s">
        <v>8</v>
      </c>
      <c r="H123" s="86"/>
      <c r="I123" s="86" t="s">
        <v>825</v>
      </c>
    </row>
    <row r="124" spans="1:9" x14ac:dyDescent="0.3">
      <c r="A124" s="85">
        <v>45991</v>
      </c>
      <c r="B124" s="86">
        <v>2</v>
      </c>
      <c r="C124" s="86" t="s">
        <v>665</v>
      </c>
      <c r="D124" s="86" t="s">
        <v>764</v>
      </c>
      <c r="E124" s="91">
        <v>398</v>
      </c>
      <c r="F124" s="91">
        <f t="shared" si="2"/>
        <v>796</v>
      </c>
      <c r="G124" s="86" t="s">
        <v>8</v>
      </c>
      <c r="H124" s="86"/>
      <c r="I124" s="86" t="s">
        <v>825</v>
      </c>
    </row>
    <row r="125" spans="1:9" x14ac:dyDescent="0.3">
      <c r="A125" s="85">
        <v>45991</v>
      </c>
      <c r="B125" s="86">
        <v>2</v>
      </c>
      <c r="C125" s="86" t="s">
        <v>665</v>
      </c>
      <c r="D125" s="86" t="s">
        <v>764</v>
      </c>
      <c r="E125" s="91">
        <v>398</v>
      </c>
      <c r="F125" s="91">
        <f t="shared" si="2"/>
        <v>796</v>
      </c>
      <c r="G125" s="86" t="s">
        <v>782</v>
      </c>
      <c r="H125" s="86"/>
      <c r="I125" s="86" t="s">
        <v>825</v>
      </c>
    </row>
    <row r="126" spans="1:9" x14ac:dyDescent="0.3">
      <c r="A126" s="85">
        <v>45991</v>
      </c>
      <c r="B126" s="86">
        <v>4</v>
      </c>
      <c r="C126" s="86" t="s">
        <v>665</v>
      </c>
      <c r="D126" s="86" t="s">
        <v>765</v>
      </c>
      <c r="E126" s="91">
        <v>398</v>
      </c>
      <c r="F126" s="91">
        <f t="shared" si="2"/>
        <v>1592</v>
      </c>
      <c r="G126" s="86" t="s">
        <v>782</v>
      </c>
      <c r="H126" s="86"/>
      <c r="I126" s="86" t="s">
        <v>825</v>
      </c>
    </row>
    <row r="127" spans="1:9" x14ac:dyDescent="0.3">
      <c r="A127" s="85">
        <v>45991</v>
      </c>
      <c r="B127" s="86">
        <v>2</v>
      </c>
      <c r="C127" s="86" t="s">
        <v>665</v>
      </c>
      <c r="D127" s="86" t="s">
        <v>765</v>
      </c>
      <c r="E127" s="91">
        <v>398</v>
      </c>
      <c r="F127" s="91">
        <f t="shared" si="2"/>
        <v>796</v>
      </c>
      <c r="G127" s="86" t="s">
        <v>8</v>
      </c>
      <c r="H127" s="86"/>
      <c r="I127" s="86" t="s">
        <v>825</v>
      </c>
    </row>
    <row r="128" spans="1:9" x14ac:dyDescent="0.3">
      <c r="A128" s="85">
        <v>45991</v>
      </c>
      <c r="B128" s="86">
        <v>3</v>
      </c>
      <c r="C128" s="86" t="s">
        <v>665</v>
      </c>
      <c r="D128" s="86" t="s">
        <v>364</v>
      </c>
      <c r="E128" s="91">
        <v>299</v>
      </c>
      <c r="F128" s="91">
        <f t="shared" si="2"/>
        <v>897</v>
      </c>
      <c r="G128" s="86" t="s">
        <v>8</v>
      </c>
      <c r="H128" s="86"/>
      <c r="I128" s="86" t="s">
        <v>825</v>
      </c>
    </row>
    <row r="129" spans="1:9" x14ac:dyDescent="0.3">
      <c r="A129" s="85">
        <v>45991</v>
      </c>
      <c r="B129" s="86">
        <v>2</v>
      </c>
      <c r="C129" s="86" t="s">
        <v>717</v>
      </c>
      <c r="D129" s="86" t="s">
        <v>364</v>
      </c>
      <c r="E129" s="91">
        <v>479</v>
      </c>
      <c r="F129" s="91">
        <f t="shared" si="2"/>
        <v>958</v>
      </c>
      <c r="G129" s="86" t="s">
        <v>8</v>
      </c>
      <c r="H129" s="86"/>
      <c r="I129" s="86" t="s">
        <v>825</v>
      </c>
    </row>
    <row r="130" spans="1:9" x14ac:dyDescent="0.3">
      <c r="A130" s="85">
        <v>45991</v>
      </c>
      <c r="B130" s="86">
        <v>8</v>
      </c>
      <c r="C130" s="86" t="s">
        <v>698</v>
      </c>
      <c r="D130" s="86" t="s">
        <v>364</v>
      </c>
      <c r="E130" s="91">
        <v>125</v>
      </c>
      <c r="F130" s="91">
        <f t="shared" si="2"/>
        <v>1000</v>
      </c>
      <c r="G130" s="86" t="s">
        <v>8</v>
      </c>
      <c r="H130" s="86"/>
      <c r="I130" s="86" t="s">
        <v>825</v>
      </c>
    </row>
    <row r="131" spans="1:9" x14ac:dyDescent="0.3">
      <c r="A131" s="85">
        <v>45991</v>
      </c>
      <c r="B131" s="86">
        <v>7</v>
      </c>
      <c r="C131" s="86" t="s">
        <v>748</v>
      </c>
      <c r="D131" s="86" t="s">
        <v>364</v>
      </c>
      <c r="E131" s="91">
        <v>380</v>
      </c>
      <c r="F131" s="91">
        <f t="shared" si="2"/>
        <v>2660</v>
      </c>
      <c r="G131" s="86" t="s">
        <v>8</v>
      </c>
      <c r="H131" s="86"/>
      <c r="I131" s="86" t="s">
        <v>825</v>
      </c>
    </row>
    <row r="132" spans="1:9" x14ac:dyDescent="0.3">
      <c r="A132" s="85">
        <v>45991</v>
      </c>
      <c r="B132" s="86">
        <v>3</v>
      </c>
      <c r="C132" s="86" t="s">
        <v>692</v>
      </c>
      <c r="D132" s="86" t="s">
        <v>364</v>
      </c>
      <c r="E132" s="91">
        <v>410</v>
      </c>
      <c r="F132" s="91">
        <f t="shared" si="2"/>
        <v>1230</v>
      </c>
      <c r="G132" s="86" t="s">
        <v>827</v>
      </c>
      <c r="H132" s="86"/>
      <c r="I132" s="86" t="s">
        <v>825</v>
      </c>
    </row>
    <row r="133" spans="1:9" x14ac:dyDescent="0.3">
      <c r="A133" s="85">
        <v>45991</v>
      </c>
      <c r="B133" s="86">
        <v>47</v>
      </c>
      <c r="C133" s="86" t="s">
        <v>665</v>
      </c>
      <c r="D133" s="86" t="s">
        <v>776</v>
      </c>
      <c r="E133" s="91">
        <v>398</v>
      </c>
      <c r="F133" s="91">
        <f t="shared" si="2"/>
        <v>18706</v>
      </c>
      <c r="G133" s="86" t="s">
        <v>775</v>
      </c>
      <c r="H133" s="86"/>
      <c r="I133" s="86" t="s">
        <v>825</v>
      </c>
    </row>
    <row r="134" spans="1:9" x14ac:dyDescent="0.3">
      <c r="A134" s="85">
        <v>45991</v>
      </c>
      <c r="B134" s="86">
        <v>1</v>
      </c>
      <c r="C134" s="86" t="s">
        <v>777</v>
      </c>
      <c r="D134" s="86" t="s">
        <v>778</v>
      </c>
      <c r="E134" s="91">
        <v>470</v>
      </c>
      <c r="F134" s="91">
        <f t="shared" si="2"/>
        <v>470</v>
      </c>
      <c r="G134" s="86" t="s">
        <v>779</v>
      </c>
      <c r="H134" s="86"/>
      <c r="I134" s="86" t="s">
        <v>85</v>
      </c>
    </row>
    <row r="135" spans="1:9" x14ac:dyDescent="0.3">
      <c r="A135" s="85">
        <v>45991</v>
      </c>
      <c r="B135" s="86">
        <v>1</v>
      </c>
      <c r="C135" s="86" t="s">
        <v>542</v>
      </c>
      <c r="D135" s="86" t="s">
        <v>687</v>
      </c>
      <c r="E135" s="91">
        <v>10122.66</v>
      </c>
      <c r="F135" s="91">
        <f t="shared" si="2"/>
        <v>10122.66</v>
      </c>
      <c r="G135" s="86" t="s">
        <v>780</v>
      </c>
      <c r="H135" s="86"/>
      <c r="I135" s="86" t="s">
        <v>85</v>
      </c>
    </row>
  </sheetData>
  <autoFilter ref="A1:I135" xr:uid="{F843712B-5933-404F-B2E1-AD38379E5E9E}"/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FB64-39E0-4CD5-A2A8-B4DACC1E3C5C}">
  <dimension ref="A1:O113"/>
  <sheetViews>
    <sheetView tabSelected="1" topLeftCell="A73" workbookViewId="0">
      <selection activeCell="G84" sqref="G84"/>
    </sheetView>
  </sheetViews>
  <sheetFormatPr defaultRowHeight="14.4" x14ac:dyDescent="0.3"/>
  <cols>
    <col min="3" max="3" width="22.109375" bestFit="1" customWidth="1"/>
    <col min="4" max="4" width="23.88671875" bestFit="1" customWidth="1"/>
    <col min="7" max="7" width="25.88671875" bestFit="1" customWidth="1"/>
    <col min="8" max="8" width="7.88671875" bestFit="1" customWidth="1"/>
    <col min="9" max="9" width="14.5546875" bestFit="1" customWidth="1"/>
    <col min="14" max="14" width="16.664062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5" x14ac:dyDescent="0.3">
      <c r="A2" s="85">
        <v>45992</v>
      </c>
      <c r="B2" s="86">
        <v>2</v>
      </c>
      <c r="C2" s="86" t="s">
        <v>665</v>
      </c>
      <c r="D2" s="86" t="s">
        <v>781</v>
      </c>
      <c r="E2" s="87">
        <v>399</v>
      </c>
      <c r="F2" s="87">
        <f t="shared" ref="F2:F15" si="0">E2*B2</f>
        <v>798</v>
      </c>
      <c r="G2" s="86" t="s">
        <v>793</v>
      </c>
      <c r="H2" s="86"/>
      <c r="I2" s="86" t="s">
        <v>825</v>
      </c>
    </row>
    <row r="3" spans="1:15" x14ac:dyDescent="0.3">
      <c r="A3" s="85">
        <v>45992</v>
      </c>
      <c r="B3" s="86">
        <v>2</v>
      </c>
      <c r="C3" s="86" t="s">
        <v>665</v>
      </c>
      <c r="D3" s="86" t="s">
        <v>795</v>
      </c>
      <c r="E3" s="87">
        <v>398</v>
      </c>
      <c r="F3" s="87">
        <f t="shared" si="0"/>
        <v>796</v>
      </c>
      <c r="G3" s="86" t="s">
        <v>8</v>
      </c>
      <c r="H3" s="86"/>
      <c r="I3" s="86" t="s">
        <v>825</v>
      </c>
      <c r="L3">
        <v>2</v>
      </c>
      <c r="M3" t="s">
        <v>790</v>
      </c>
      <c r="N3" t="s">
        <v>39</v>
      </c>
      <c r="O3" t="s">
        <v>791</v>
      </c>
    </row>
    <row r="4" spans="1:15" x14ac:dyDescent="0.3">
      <c r="A4" s="85">
        <v>45992</v>
      </c>
      <c r="B4" s="86">
        <v>2</v>
      </c>
      <c r="C4" s="86" t="s">
        <v>785</v>
      </c>
      <c r="D4" s="86" t="s">
        <v>364</v>
      </c>
      <c r="E4" s="87">
        <v>479</v>
      </c>
      <c r="F4" s="87">
        <f t="shared" si="0"/>
        <v>958</v>
      </c>
      <c r="G4" s="86" t="s">
        <v>831</v>
      </c>
      <c r="H4" s="86"/>
      <c r="I4" s="86"/>
    </row>
    <row r="5" spans="1:15" x14ac:dyDescent="0.3">
      <c r="A5" s="85">
        <v>45992</v>
      </c>
      <c r="B5" s="86">
        <v>2</v>
      </c>
      <c r="C5" s="86" t="s">
        <v>665</v>
      </c>
      <c r="D5" s="86" t="s">
        <v>364</v>
      </c>
      <c r="E5" s="87">
        <v>299</v>
      </c>
      <c r="F5" s="87">
        <f t="shared" si="0"/>
        <v>598</v>
      </c>
      <c r="G5" s="86" t="s">
        <v>831</v>
      </c>
      <c r="H5" s="86"/>
      <c r="I5" s="86"/>
    </row>
    <row r="6" spans="1:15" x14ac:dyDescent="0.3">
      <c r="A6" s="85">
        <v>45992</v>
      </c>
      <c r="B6" s="86">
        <v>3</v>
      </c>
      <c r="C6" s="86" t="s">
        <v>662</v>
      </c>
      <c r="D6" s="86" t="s">
        <v>364</v>
      </c>
      <c r="E6" s="87">
        <v>419</v>
      </c>
      <c r="F6" s="87">
        <f t="shared" si="0"/>
        <v>1257</v>
      </c>
      <c r="G6" s="86" t="s">
        <v>831</v>
      </c>
      <c r="H6" s="86"/>
      <c r="I6" s="86"/>
    </row>
    <row r="7" spans="1:15" x14ac:dyDescent="0.3">
      <c r="A7" s="85">
        <v>45992</v>
      </c>
      <c r="B7" s="86">
        <v>10</v>
      </c>
      <c r="C7" s="86" t="s">
        <v>698</v>
      </c>
      <c r="D7" s="86" t="s">
        <v>364</v>
      </c>
      <c r="E7" s="87">
        <v>125</v>
      </c>
      <c r="F7" s="87">
        <f t="shared" si="0"/>
        <v>1250</v>
      </c>
      <c r="G7" s="86" t="s">
        <v>831</v>
      </c>
      <c r="H7" s="86"/>
      <c r="I7" s="86"/>
    </row>
    <row r="8" spans="1:15" x14ac:dyDescent="0.3">
      <c r="A8" s="85">
        <v>45992</v>
      </c>
      <c r="B8" s="86">
        <v>2</v>
      </c>
      <c r="C8" s="86" t="s">
        <v>785</v>
      </c>
      <c r="D8" s="86" t="s">
        <v>364</v>
      </c>
      <c r="E8" s="87">
        <v>479</v>
      </c>
      <c r="F8" s="87">
        <f t="shared" si="0"/>
        <v>958</v>
      </c>
      <c r="G8" s="86" t="s">
        <v>801</v>
      </c>
      <c r="H8" s="86"/>
      <c r="I8" s="86"/>
    </row>
    <row r="9" spans="1:15" x14ac:dyDescent="0.3">
      <c r="A9" s="85">
        <v>45992</v>
      </c>
      <c r="B9" s="86">
        <v>1</v>
      </c>
      <c r="C9" s="86" t="s">
        <v>665</v>
      </c>
      <c r="D9" s="86" t="s">
        <v>364</v>
      </c>
      <c r="E9" s="87">
        <v>299</v>
      </c>
      <c r="F9" s="87">
        <f t="shared" si="0"/>
        <v>299</v>
      </c>
      <c r="G9" s="86" t="s">
        <v>801</v>
      </c>
      <c r="H9" s="86"/>
      <c r="I9" s="86"/>
    </row>
    <row r="10" spans="1:15" x14ac:dyDescent="0.3">
      <c r="A10" s="88">
        <v>45992</v>
      </c>
      <c r="B10" s="89">
        <v>3</v>
      </c>
      <c r="C10" s="89" t="s">
        <v>662</v>
      </c>
      <c r="D10" s="89" t="s">
        <v>364</v>
      </c>
      <c r="E10" s="90">
        <v>419</v>
      </c>
      <c r="F10" s="90">
        <f t="shared" si="0"/>
        <v>1257</v>
      </c>
      <c r="G10" s="89" t="s">
        <v>801</v>
      </c>
      <c r="H10" s="89"/>
      <c r="I10" s="89"/>
    </row>
    <row r="11" spans="1:15" x14ac:dyDescent="0.3">
      <c r="A11" s="85">
        <v>45992</v>
      </c>
      <c r="B11" s="86">
        <v>1</v>
      </c>
      <c r="C11" s="86" t="s">
        <v>786</v>
      </c>
      <c r="D11" s="86" t="s">
        <v>30</v>
      </c>
      <c r="E11" s="87">
        <v>659</v>
      </c>
      <c r="F11" s="87">
        <f t="shared" si="0"/>
        <v>659</v>
      </c>
      <c r="G11" s="86" t="s">
        <v>792</v>
      </c>
      <c r="H11" s="86"/>
      <c r="I11" s="86" t="s">
        <v>825</v>
      </c>
    </row>
    <row r="12" spans="1:15" x14ac:dyDescent="0.3">
      <c r="A12" s="85">
        <v>45992</v>
      </c>
      <c r="B12" s="86">
        <v>1</v>
      </c>
      <c r="C12" s="86" t="s">
        <v>787</v>
      </c>
      <c r="D12" s="86" t="s">
        <v>30</v>
      </c>
      <c r="E12" s="87">
        <v>509</v>
      </c>
      <c r="F12" s="87">
        <f t="shared" si="0"/>
        <v>509</v>
      </c>
      <c r="G12" s="86" t="s">
        <v>792</v>
      </c>
      <c r="H12" s="86"/>
      <c r="I12" s="86" t="s">
        <v>825</v>
      </c>
    </row>
    <row r="13" spans="1:15" x14ac:dyDescent="0.3">
      <c r="A13" s="85">
        <v>45992</v>
      </c>
      <c r="B13" s="86">
        <v>12</v>
      </c>
      <c r="C13" s="86" t="s">
        <v>665</v>
      </c>
      <c r="D13" s="86" t="s">
        <v>789</v>
      </c>
      <c r="E13" s="87">
        <v>398</v>
      </c>
      <c r="F13" s="87">
        <f t="shared" si="0"/>
        <v>4776</v>
      </c>
      <c r="G13" s="86" t="s">
        <v>428</v>
      </c>
      <c r="H13" s="86"/>
      <c r="I13" s="86" t="s">
        <v>825</v>
      </c>
    </row>
    <row r="14" spans="1:15" x14ac:dyDescent="0.3">
      <c r="A14" s="85">
        <v>45993</v>
      </c>
      <c r="B14" s="86">
        <v>2</v>
      </c>
      <c r="C14" s="86" t="s">
        <v>665</v>
      </c>
      <c r="D14" s="86" t="s">
        <v>28</v>
      </c>
      <c r="E14" s="87">
        <v>398</v>
      </c>
      <c r="F14" s="87">
        <f t="shared" si="0"/>
        <v>796</v>
      </c>
      <c r="G14" s="86" t="s">
        <v>8</v>
      </c>
      <c r="H14" s="86"/>
      <c r="I14" s="86" t="s">
        <v>825</v>
      </c>
    </row>
    <row r="15" spans="1:15" x14ac:dyDescent="0.3">
      <c r="A15" s="85">
        <v>45993</v>
      </c>
      <c r="B15" s="86">
        <v>2</v>
      </c>
      <c r="C15" s="86" t="s">
        <v>665</v>
      </c>
      <c r="D15" s="86" t="s">
        <v>794</v>
      </c>
      <c r="E15" s="87">
        <v>398</v>
      </c>
      <c r="F15" s="87">
        <f t="shared" si="0"/>
        <v>796</v>
      </c>
      <c r="G15" s="86" t="s">
        <v>8</v>
      </c>
      <c r="H15" s="86"/>
      <c r="I15" s="86" t="s">
        <v>825</v>
      </c>
    </row>
    <row r="16" spans="1:15" x14ac:dyDescent="0.3">
      <c r="A16" s="85">
        <v>45993</v>
      </c>
      <c r="B16" s="86">
        <v>1</v>
      </c>
      <c r="C16" s="86" t="s">
        <v>665</v>
      </c>
      <c r="D16" s="86" t="s">
        <v>789</v>
      </c>
      <c r="E16" s="87">
        <v>398</v>
      </c>
      <c r="F16" s="87">
        <f t="shared" ref="F16:F113" si="1">E16*B16</f>
        <v>398</v>
      </c>
      <c r="G16" s="86" t="s">
        <v>428</v>
      </c>
      <c r="H16" s="86"/>
      <c r="I16" s="86" t="s">
        <v>825</v>
      </c>
    </row>
    <row r="17" spans="1:10" x14ac:dyDescent="0.3">
      <c r="A17" s="85">
        <v>45993</v>
      </c>
      <c r="B17" s="86">
        <v>1</v>
      </c>
      <c r="C17" s="86" t="s">
        <v>777</v>
      </c>
      <c r="D17" s="86" t="s">
        <v>778</v>
      </c>
      <c r="E17" s="87">
        <v>130</v>
      </c>
      <c r="F17" s="87">
        <f t="shared" si="1"/>
        <v>130</v>
      </c>
      <c r="G17" s="86" t="s">
        <v>779</v>
      </c>
      <c r="H17" s="86"/>
      <c r="I17" s="86"/>
    </row>
    <row r="18" spans="1:10" x14ac:dyDescent="0.3">
      <c r="A18" s="85">
        <v>45993</v>
      </c>
      <c r="B18" s="86">
        <v>5</v>
      </c>
      <c r="C18" s="86" t="s">
        <v>708</v>
      </c>
      <c r="D18" s="86" t="s">
        <v>796</v>
      </c>
      <c r="E18" s="87">
        <v>105</v>
      </c>
      <c r="F18" s="87">
        <f t="shared" si="1"/>
        <v>525</v>
      </c>
      <c r="G18" s="86" t="s">
        <v>797</v>
      </c>
      <c r="H18" s="86"/>
      <c r="I18" s="86" t="s">
        <v>825</v>
      </c>
    </row>
    <row r="19" spans="1:10" x14ac:dyDescent="0.3">
      <c r="A19" s="85">
        <v>45993</v>
      </c>
      <c r="B19" s="86">
        <v>2</v>
      </c>
      <c r="C19" s="86" t="s">
        <v>665</v>
      </c>
      <c r="D19" s="86" t="s">
        <v>796</v>
      </c>
      <c r="E19" s="87">
        <v>299</v>
      </c>
      <c r="F19" s="87">
        <f t="shared" si="1"/>
        <v>598</v>
      </c>
      <c r="G19" s="86" t="s">
        <v>797</v>
      </c>
      <c r="H19" s="86"/>
      <c r="I19" s="86" t="s">
        <v>825</v>
      </c>
    </row>
    <row r="20" spans="1:10" x14ac:dyDescent="0.3">
      <c r="A20" s="85">
        <v>45993</v>
      </c>
      <c r="B20" s="86">
        <v>4</v>
      </c>
      <c r="C20" s="86" t="s">
        <v>698</v>
      </c>
      <c r="D20" s="86" t="s">
        <v>796</v>
      </c>
      <c r="E20" s="87">
        <v>125</v>
      </c>
      <c r="F20" s="87">
        <f t="shared" si="1"/>
        <v>500</v>
      </c>
      <c r="G20" s="86" t="s">
        <v>797</v>
      </c>
      <c r="H20" s="86"/>
      <c r="I20" s="86" t="s">
        <v>825</v>
      </c>
    </row>
    <row r="21" spans="1:10" x14ac:dyDescent="0.3">
      <c r="A21" s="85">
        <v>45993</v>
      </c>
      <c r="B21" s="86">
        <v>2</v>
      </c>
      <c r="C21" s="86" t="s">
        <v>717</v>
      </c>
      <c r="D21" s="86" t="s">
        <v>796</v>
      </c>
      <c r="E21" s="87">
        <v>479</v>
      </c>
      <c r="F21" s="87">
        <f t="shared" si="1"/>
        <v>958</v>
      </c>
      <c r="G21" s="86" t="s">
        <v>797</v>
      </c>
      <c r="H21" s="86"/>
      <c r="I21" s="86" t="s">
        <v>825</v>
      </c>
    </row>
    <row r="22" spans="1:10" x14ac:dyDescent="0.3">
      <c r="A22" s="85">
        <v>45993</v>
      </c>
      <c r="B22" s="86">
        <v>1</v>
      </c>
      <c r="C22" s="86" t="s">
        <v>665</v>
      </c>
      <c r="D22" s="86" t="s">
        <v>798</v>
      </c>
      <c r="E22" s="87">
        <v>299</v>
      </c>
      <c r="F22" s="87">
        <f t="shared" si="1"/>
        <v>299</v>
      </c>
      <c r="G22" s="86" t="s">
        <v>797</v>
      </c>
      <c r="H22" s="86"/>
      <c r="I22" s="86" t="s">
        <v>825</v>
      </c>
    </row>
    <row r="23" spans="1:10" x14ac:dyDescent="0.3">
      <c r="A23" s="85">
        <v>45993</v>
      </c>
      <c r="B23" s="86">
        <v>2</v>
      </c>
      <c r="C23" s="86" t="s">
        <v>717</v>
      </c>
      <c r="D23" s="86" t="s">
        <v>798</v>
      </c>
      <c r="E23" s="87">
        <v>478</v>
      </c>
      <c r="F23" s="87">
        <f t="shared" si="1"/>
        <v>956</v>
      </c>
      <c r="G23" s="86" t="s">
        <v>797</v>
      </c>
      <c r="H23" s="86"/>
      <c r="I23" s="86" t="s">
        <v>825</v>
      </c>
    </row>
    <row r="24" spans="1:10" x14ac:dyDescent="0.3">
      <c r="A24" s="85">
        <v>45993</v>
      </c>
      <c r="B24" s="86">
        <v>3</v>
      </c>
      <c r="C24" s="86" t="s">
        <v>665</v>
      </c>
      <c r="D24" s="86" t="s">
        <v>799</v>
      </c>
      <c r="E24" s="87">
        <v>399</v>
      </c>
      <c r="F24" s="87">
        <f t="shared" si="1"/>
        <v>1197</v>
      </c>
      <c r="G24" s="86" t="s">
        <v>797</v>
      </c>
      <c r="H24" s="86"/>
      <c r="I24" s="86" t="s">
        <v>825</v>
      </c>
    </row>
    <row r="25" spans="1:10" x14ac:dyDescent="0.3">
      <c r="A25" s="85">
        <v>45994</v>
      </c>
      <c r="B25" s="86">
        <v>12</v>
      </c>
      <c r="C25" s="86" t="s">
        <v>665</v>
      </c>
      <c r="D25" s="86" t="s">
        <v>800</v>
      </c>
      <c r="E25" s="87">
        <v>398</v>
      </c>
      <c r="F25" s="87">
        <f t="shared" si="1"/>
        <v>4776</v>
      </c>
      <c r="G25" s="86" t="s">
        <v>365</v>
      </c>
      <c r="H25" s="86"/>
      <c r="I25" s="86" t="s">
        <v>825</v>
      </c>
    </row>
    <row r="26" spans="1:10" x14ac:dyDescent="0.3">
      <c r="A26" s="85">
        <v>45994</v>
      </c>
      <c r="B26" s="86">
        <v>1</v>
      </c>
      <c r="C26" s="86" t="s">
        <v>802</v>
      </c>
      <c r="D26" s="86" t="s">
        <v>442</v>
      </c>
      <c r="E26" s="87">
        <v>598</v>
      </c>
      <c r="F26" s="87">
        <f t="shared" si="1"/>
        <v>598</v>
      </c>
      <c r="G26" s="86" t="s">
        <v>365</v>
      </c>
      <c r="H26" s="86"/>
      <c r="I26" s="86"/>
      <c r="J26" t="s">
        <v>813</v>
      </c>
    </row>
    <row r="27" spans="1:10" x14ac:dyDescent="0.3">
      <c r="A27" s="85">
        <v>45994</v>
      </c>
      <c r="B27" s="86">
        <v>6</v>
      </c>
      <c r="C27" s="86" t="s">
        <v>708</v>
      </c>
      <c r="D27" s="86" t="s">
        <v>689</v>
      </c>
      <c r="E27" s="87">
        <v>103</v>
      </c>
      <c r="F27" s="87">
        <f t="shared" si="1"/>
        <v>618</v>
      </c>
      <c r="G27" s="86" t="s">
        <v>365</v>
      </c>
      <c r="H27" s="86"/>
      <c r="I27" s="86"/>
    </row>
    <row r="28" spans="1:10" x14ac:dyDescent="0.3">
      <c r="A28" s="85">
        <v>45994</v>
      </c>
      <c r="B28" s="86">
        <v>2</v>
      </c>
      <c r="C28" s="86" t="s">
        <v>718</v>
      </c>
      <c r="D28" s="86" t="s">
        <v>689</v>
      </c>
      <c r="E28" s="87">
        <v>629</v>
      </c>
      <c r="F28" s="87">
        <f t="shared" si="1"/>
        <v>1258</v>
      </c>
      <c r="G28" s="86" t="s">
        <v>365</v>
      </c>
      <c r="H28" s="86"/>
      <c r="I28" s="86"/>
    </row>
    <row r="29" spans="1:10" x14ac:dyDescent="0.3">
      <c r="A29" s="85">
        <v>45994</v>
      </c>
      <c r="B29" s="86">
        <v>1</v>
      </c>
      <c r="C29" s="86" t="s">
        <v>803</v>
      </c>
      <c r="D29" s="86" t="s">
        <v>689</v>
      </c>
      <c r="E29" s="87">
        <v>69</v>
      </c>
      <c r="F29" s="87">
        <f t="shared" si="1"/>
        <v>69</v>
      </c>
      <c r="G29" s="86" t="s">
        <v>365</v>
      </c>
      <c r="H29" s="86"/>
      <c r="I29" s="86"/>
      <c r="J29" t="s">
        <v>813</v>
      </c>
    </row>
    <row r="30" spans="1:10" x14ac:dyDescent="0.3">
      <c r="A30" s="85">
        <v>45994</v>
      </c>
      <c r="B30" s="86">
        <v>1</v>
      </c>
      <c r="C30" s="86" t="s">
        <v>804</v>
      </c>
      <c r="D30" s="86" t="s">
        <v>689</v>
      </c>
      <c r="E30" s="87">
        <v>44</v>
      </c>
      <c r="F30" s="87">
        <f t="shared" si="1"/>
        <v>44</v>
      </c>
      <c r="G30" s="86" t="s">
        <v>365</v>
      </c>
      <c r="H30" s="86"/>
      <c r="I30" s="86"/>
      <c r="J30" t="s">
        <v>813</v>
      </c>
    </row>
    <row r="31" spans="1:10" x14ac:dyDescent="0.3">
      <c r="A31" s="85">
        <v>45994</v>
      </c>
      <c r="B31" s="86">
        <v>2</v>
      </c>
      <c r="C31" s="86" t="s">
        <v>665</v>
      </c>
      <c r="D31" s="86" t="s">
        <v>689</v>
      </c>
      <c r="E31" s="87">
        <v>299</v>
      </c>
      <c r="F31" s="87">
        <f t="shared" si="1"/>
        <v>598</v>
      </c>
      <c r="G31" s="86" t="s">
        <v>365</v>
      </c>
      <c r="H31" s="86"/>
      <c r="I31" s="86"/>
    </row>
    <row r="32" spans="1:10" x14ac:dyDescent="0.3">
      <c r="A32" s="85">
        <v>45994</v>
      </c>
      <c r="B32" s="86">
        <v>14</v>
      </c>
      <c r="C32" s="86" t="s">
        <v>698</v>
      </c>
      <c r="D32" s="86" t="s">
        <v>689</v>
      </c>
      <c r="E32" s="87">
        <v>125</v>
      </c>
      <c r="F32" s="87">
        <f t="shared" si="1"/>
        <v>1750</v>
      </c>
      <c r="G32" s="86" t="s">
        <v>365</v>
      </c>
      <c r="H32" s="86"/>
      <c r="I32" s="86"/>
    </row>
    <row r="33" spans="1:10" x14ac:dyDescent="0.3">
      <c r="A33" s="85">
        <v>45994</v>
      </c>
      <c r="B33" s="86">
        <v>1</v>
      </c>
      <c r="C33" s="86" t="s">
        <v>662</v>
      </c>
      <c r="D33" s="86" t="s">
        <v>689</v>
      </c>
      <c r="E33" s="87">
        <v>419</v>
      </c>
      <c r="F33" s="87">
        <f t="shared" si="1"/>
        <v>419</v>
      </c>
      <c r="G33" s="86" t="s">
        <v>365</v>
      </c>
      <c r="H33" s="86"/>
      <c r="I33" s="86"/>
    </row>
    <row r="34" spans="1:10" x14ac:dyDescent="0.3">
      <c r="A34" s="85">
        <v>45994</v>
      </c>
      <c r="B34" s="86">
        <v>5</v>
      </c>
      <c r="C34" s="86" t="s">
        <v>805</v>
      </c>
      <c r="D34" s="86" t="s">
        <v>689</v>
      </c>
      <c r="E34" s="87">
        <v>419</v>
      </c>
      <c r="F34" s="87">
        <f t="shared" si="1"/>
        <v>2095</v>
      </c>
      <c r="G34" s="86" t="s">
        <v>365</v>
      </c>
      <c r="H34" s="86"/>
      <c r="I34" s="86"/>
    </row>
    <row r="35" spans="1:10" x14ac:dyDescent="0.3">
      <c r="A35" s="85">
        <v>45994</v>
      </c>
      <c r="B35" s="86">
        <v>1</v>
      </c>
      <c r="C35" s="86" t="s">
        <v>665</v>
      </c>
      <c r="D35" s="86" t="s">
        <v>689</v>
      </c>
      <c r="E35" s="87">
        <v>299</v>
      </c>
      <c r="F35" s="87">
        <f t="shared" si="1"/>
        <v>299</v>
      </c>
      <c r="G35" s="86" t="s">
        <v>365</v>
      </c>
      <c r="H35" s="86"/>
      <c r="I35" s="86"/>
    </row>
    <row r="36" spans="1:10" x14ac:dyDescent="0.3">
      <c r="A36" s="85">
        <v>45994</v>
      </c>
      <c r="B36" s="86">
        <v>2</v>
      </c>
      <c r="C36" s="86" t="s">
        <v>665</v>
      </c>
      <c r="D36" s="86" t="s">
        <v>689</v>
      </c>
      <c r="E36" s="87">
        <v>299</v>
      </c>
      <c r="F36" s="87">
        <f t="shared" si="1"/>
        <v>598</v>
      </c>
      <c r="G36" s="86" t="s">
        <v>365</v>
      </c>
      <c r="H36" s="86"/>
      <c r="I36" s="86"/>
    </row>
    <row r="37" spans="1:10" x14ac:dyDescent="0.3">
      <c r="A37" s="85">
        <v>45994</v>
      </c>
      <c r="B37" s="86">
        <v>1</v>
      </c>
      <c r="C37" s="86" t="s">
        <v>665</v>
      </c>
      <c r="D37" s="86" t="s">
        <v>689</v>
      </c>
      <c r="E37" s="87">
        <v>299</v>
      </c>
      <c r="F37" s="87">
        <f t="shared" si="1"/>
        <v>299</v>
      </c>
      <c r="G37" s="86" t="s">
        <v>365</v>
      </c>
      <c r="H37" s="86"/>
      <c r="I37" s="86"/>
    </row>
    <row r="38" spans="1:10" x14ac:dyDescent="0.3">
      <c r="A38" s="85">
        <v>45994</v>
      </c>
      <c r="B38" s="86">
        <v>2</v>
      </c>
      <c r="C38" s="86" t="s">
        <v>717</v>
      </c>
      <c r="D38" s="86" t="s">
        <v>689</v>
      </c>
      <c r="E38" s="87">
        <v>479</v>
      </c>
      <c r="F38" s="87">
        <f t="shared" si="1"/>
        <v>958</v>
      </c>
      <c r="G38" s="86" t="s">
        <v>365</v>
      </c>
      <c r="H38" s="86"/>
      <c r="I38" s="86"/>
    </row>
    <row r="39" spans="1:10" x14ac:dyDescent="0.3">
      <c r="A39" s="85">
        <v>45994</v>
      </c>
      <c r="B39" s="86">
        <v>2</v>
      </c>
      <c r="C39" s="86" t="s">
        <v>717</v>
      </c>
      <c r="D39" s="86" t="s">
        <v>711</v>
      </c>
      <c r="E39" s="87">
        <v>479</v>
      </c>
      <c r="F39" s="87">
        <f t="shared" si="1"/>
        <v>958</v>
      </c>
      <c r="G39" s="86" t="s">
        <v>8</v>
      </c>
      <c r="H39" s="86"/>
      <c r="I39" s="86"/>
    </row>
    <row r="40" spans="1:10" x14ac:dyDescent="0.3">
      <c r="A40" s="85">
        <v>45994</v>
      </c>
      <c r="B40" s="86">
        <v>1</v>
      </c>
      <c r="C40" s="86" t="s">
        <v>717</v>
      </c>
      <c r="D40" s="86" t="s">
        <v>806</v>
      </c>
      <c r="E40" s="87">
        <v>499</v>
      </c>
      <c r="F40" s="87">
        <v>499</v>
      </c>
      <c r="G40" s="86" t="s">
        <v>8</v>
      </c>
      <c r="H40" s="86"/>
      <c r="I40" s="86"/>
      <c r="J40" t="s">
        <v>807</v>
      </c>
    </row>
    <row r="41" spans="1:10" x14ac:dyDescent="0.3">
      <c r="A41" s="85">
        <v>45994</v>
      </c>
      <c r="B41" s="86">
        <v>4</v>
      </c>
      <c r="C41" s="86" t="s">
        <v>665</v>
      </c>
      <c r="D41" s="86" t="s">
        <v>808</v>
      </c>
      <c r="E41" s="87">
        <v>398</v>
      </c>
      <c r="F41" s="87">
        <f t="shared" si="1"/>
        <v>1592</v>
      </c>
      <c r="G41" s="86" t="s">
        <v>8</v>
      </c>
      <c r="H41" s="86"/>
      <c r="I41" s="86"/>
    </row>
    <row r="42" spans="1:10" x14ac:dyDescent="0.3">
      <c r="A42" s="85">
        <v>45995</v>
      </c>
      <c r="B42" s="86">
        <v>1</v>
      </c>
      <c r="C42" s="86" t="s">
        <v>665</v>
      </c>
      <c r="D42" s="86" t="s">
        <v>689</v>
      </c>
      <c r="E42" s="87">
        <v>299</v>
      </c>
      <c r="F42" s="87">
        <f t="shared" si="1"/>
        <v>299</v>
      </c>
      <c r="G42" s="86" t="s">
        <v>8</v>
      </c>
      <c r="H42" s="86"/>
      <c r="I42" s="86"/>
    </row>
    <row r="43" spans="1:10" x14ac:dyDescent="0.3">
      <c r="A43" s="85">
        <v>45995</v>
      </c>
      <c r="B43" s="86">
        <v>2</v>
      </c>
      <c r="C43" s="86" t="s">
        <v>665</v>
      </c>
      <c r="D43" s="86" t="s">
        <v>794</v>
      </c>
      <c r="E43" s="87">
        <v>399</v>
      </c>
      <c r="F43" s="87">
        <f t="shared" si="1"/>
        <v>798</v>
      </c>
      <c r="G43" s="86" t="s">
        <v>8</v>
      </c>
      <c r="H43" s="86"/>
      <c r="I43" s="86"/>
    </row>
    <row r="44" spans="1:10" x14ac:dyDescent="0.3">
      <c r="A44" s="85">
        <v>45995</v>
      </c>
      <c r="B44" s="86">
        <v>3</v>
      </c>
      <c r="C44" s="86" t="s">
        <v>805</v>
      </c>
      <c r="D44" s="86" t="s">
        <v>842</v>
      </c>
      <c r="E44" s="87">
        <v>419</v>
      </c>
      <c r="F44" s="87">
        <f t="shared" si="1"/>
        <v>1257</v>
      </c>
      <c r="G44" s="86" t="s">
        <v>8</v>
      </c>
      <c r="H44" s="86"/>
      <c r="I44" s="86"/>
    </row>
    <row r="45" spans="1:10" x14ac:dyDescent="0.3">
      <c r="A45" s="85">
        <v>45995</v>
      </c>
      <c r="B45" s="86">
        <v>2</v>
      </c>
      <c r="C45" s="86" t="s">
        <v>665</v>
      </c>
      <c r="D45" s="86" t="s">
        <v>491</v>
      </c>
      <c r="E45" s="87">
        <v>299</v>
      </c>
      <c r="F45" s="87">
        <f t="shared" si="1"/>
        <v>598</v>
      </c>
      <c r="G45" s="86" t="s">
        <v>8</v>
      </c>
      <c r="H45" s="86"/>
      <c r="I45" s="86"/>
    </row>
    <row r="46" spans="1:10" x14ac:dyDescent="0.3">
      <c r="A46" s="85">
        <v>45995</v>
      </c>
      <c r="B46" s="86">
        <v>1</v>
      </c>
      <c r="C46" s="86" t="s">
        <v>830</v>
      </c>
      <c r="D46" s="86" t="s">
        <v>739</v>
      </c>
      <c r="E46" s="87">
        <v>221</v>
      </c>
      <c r="F46" s="87">
        <f t="shared" si="1"/>
        <v>221</v>
      </c>
      <c r="G46" s="86"/>
      <c r="H46" s="86"/>
      <c r="I46" s="86" t="s">
        <v>85</v>
      </c>
    </row>
    <row r="47" spans="1:10" x14ac:dyDescent="0.3">
      <c r="A47" s="85">
        <v>45995</v>
      </c>
      <c r="B47" s="86">
        <v>2</v>
      </c>
      <c r="C47" s="86" t="s">
        <v>665</v>
      </c>
      <c r="D47" s="86" t="s">
        <v>72</v>
      </c>
      <c r="E47" s="87">
        <v>398</v>
      </c>
      <c r="F47" s="87">
        <f t="shared" si="1"/>
        <v>796</v>
      </c>
      <c r="G47" s="86" t="s">
        <v>8</v>
      </c>
      <c r="H47" s="86"/>
      <c r="I47" s="86"/>
    </row>
    <row r="48" spans="1:10" x14ac:dyDescent="0.3">
      <c r="A48" s="85">
        <v>45995</v>
      </c>
      <c r="B48" s="86">
        <v>2</v>
      </c>
      <c r="C48" s="86" t="s">
        <v>665</v>
      </c>
      <c r="D48" s="86" t="s">
        <v>21</v>
      </c>
      <c r="E48" s="87">
        <v>398</v>
      </c>
      <c r="F48" s="87">
        <f t="shared" si="1"/>
        <v>796</v>
      </c>
      <c r="G48" s="86" t="s">
        <v>8</v>
      </c>
      <c r="H48" s="86"/>
      <c r="I48" s="86"/>
    </row>
    <row r="49" spans="1:13" x14ac:dyDescent="0.3">
      <c r="A49" s="85">
        <v>45995</v>
      </c>
      <c r="B49" s="86">
        <v>2</v>
      </c>
      <c r="C49" s="86" t="s">
        <v>665</v>
      </c>
      <c r="D49" s="86" t="s">
        <v>21</v>
      </c>
      <c r="E49" s="87">
        <v>398</v>
      </c>
      <c r="F49" s="87">
        <f t="shared" si="1"/>
        <v>796</v>
      </c>
      <c r="G49" s="86" t="s">
        <v>8</v>
      </c>
      <c r="H49" s="86"/>
      <c r="I49" s="86"/>
    </row>
    <row r="50" spans="1:13" x14ac:dyDescent="0.3">
      <c r="A50" s="85">
        <v>45995</v>
      </c>
      <c r="B50" s="86">
        <v>1</v>
      </c>
      <c r="C50" s="86" t="s">
        <v>665</v>
      </c>
      <c r="D50" s="86" t="s">
        <v>809</v>
      </c>
      <c r="E50" s="87">
        <v>399</v>
      </c>
      <c r="F50" s="87">
        <f t="shared" si="1"/>
        <v>399</v>
      </c>
      <c r="G50" s="86" t="s">
        <v>8</v>
      </c>
      <c r="H50" s="86"/>
      <c r="I50" s="86"/>
    </row>
    <row r="51" spans="1:13" x14ac:dyDescent="0.3">
      <c r="A51" s="85">
        <v>45995</v>
      </c>
      <c r="B51" s="86">
        <v>1</v>
      </c>
      <c r="C51" s="86" t="s">
        <v>665</v>
      </c>
      <c r="D51" s="86" t="s">
        <v>101</v>
      </c>
      <c r="E51" s="87">
        <v>299</v>
      </c>
      <c r="F51" s="87">
        <f t="shared" si="1"/>
        <v>299</v>
      </c>
      <c r="G51" s="86" t="s">
        <v>846</v>
      </c>
      <c r="H51" s="86"/>
      <c r="I51" s="86"/>
      <c r="J51">
        <v>924</v>
      </c>
    </row>
    <row r="52" spans="1:13" x14ac:dyDescent="0.3">
      <c r="A52" s="85">
        <v>45995</v>
      </c>
      <c r="B52" s="86">
        <v>5</v>
      </c>
      <c r="C52" s="86" t="s">
        <v>698</v>
      </c>
      <c r="D52" s="86" t="s">
        <v>101</v>
      </c>
      <c r="E52" s="87">
        <v>125</v>
      </c>
      <c r="F52" s="87">
        <f t="shared" si="1"/>
        <v>625</v>
      </c>
      <c r="G52" s="86" t="s">
        <v>365</v>
      </c>
      <c r="H52" s="86"/>
      <c r="I52" s="86"/>
    </row>
    <row r="53" spans="1:13" x14ac:dyDescent="0.3">
      <c r="A53" s="81">
        <v>45995</v>
      </c>
      <c r="B53" s="82">
        <v>1</v>
      </c>
      <c r="C53" s="82" t="s">
        <v>665</v>
      </c>
      <c r="D53" s="82" t="s">
        <v>101</v>
      </c>
      <c r="E53" s="84">
        <v>299</v>
      </c>
      <c r="F53" s="84">
        <f t="shared" si="1"/>
        <v>299</v>
      </c>
      <c r="G53" s="82" t="s">
        <v>834</v>
      </c>
      <c r="H53" s="82"/>
      <c r="I53" s="82"/>
    </row>
    <row r="54" spans="1:13" x14ac:dyDescent="0.3">
      <c r="A54" s="85">
        <v>45995</v>
      </c>
      <c r="B54" s="86">
        <v>4</v>
      </c>
      <c r="C54" s="86" t="s">
        <v>662</v>
      </c>
      <c r="D54" s="86" t="s">
        <v>101</v>
      </c>
      <c r="E54" s="87">
        <v>419</v>
      </c>
      <c r="F54" s="87">
        <f t="shared" si="1"/>
        <v>1676</v>
      </c>
      <c r="G54" s="86" t="s">
        <v>8</v>
      </c>
      <c r="H54" s="86"/>
      <c r="I54" s="86"/>
    </row>
    <row r="55" spans="1:13" x14ac:dyDescent="0.3">
      <c r="A55" s="85">
        <v>45995</v>
      </c>
      <c r="B55" s="86">
        <v>1</v>
      </c>
      <c r="C55" s="86" t="s">
        <v>665</v>
      </c>
      <c r="D55" s="86" t="s">
        <v>101</v>
      </c>
      <c r="E55" s="87">
        <v>299</v>
      </c>
      <c r="F55" s="87">
        <f t="shared" si="1"/>
        <v>299</v>
      </c>
      <c r="G55" s="86" t="s">
        <v>8</v>
      </c>
      <c r="H55" s="86"/>
      <c r="I55" s="86"/>
    </row>
    <row r="56" spans="1:13" x14ac:dyDescent="0.3">
      <c r="A56" s="81">
        <v>45995</v>
      </c>
      <c r="B56" s="82">
        <v>2</v>
      </c>
      <c r="C56" s="82" t="s">
        <v>845</v>
      </c>
      <c r="D56" s="82" t="s">
        <v>101</v>
      </c>
      <c r="E56" s="84">
        <v>479</v>
      </c>
      <c r="F56" s="84">
        <f t="shared" si="1"/>
        <v>958</v>
      </c>
      <c r="G56" s="82" t="s">
        <v>11</v>
      </c>
      <c r="H56" s="82"/>
      <c r="I56" s="82"/>
    </row>
    <row r="57" spans="1:13" x14ac:dyDescent="0.3">
      <c r="A57" s="85">
        <v>45996</v>
      </c>
      <c r="B57" s="86">
        <v>2</v>
      </c>
      <c r="C57" s="86" t="s">
        <v>698</v>
      </c>
      <c r="D57" s="86" t="s">
        <v>101</v>
      </c>
      <c r="E57" s="87">
        <v>125</v>
      </c>
      <c r="F57" s="87">
        <f t="shared" si="1"/>
        <v>250</v>
      </c>
      <c r="G57" s="86" t="s">
        <v>8</v>
      </c>
      <c r="H57" s="86"/>
      <c r="I57" s="86"/>
      <c r="J57">
        <v>3183</v>
      </c>
    </row>
    <row r="58" spans="1:13" x14ac:dyDescent="0.3">
      <c r="A58" s="85">
        <v>45996</v>
      </c>
      <c r="B58" s="86">
        <v>3</v>
      </c>
      <c r="C58" s="86" t="s">
        <v>665</v>
      </c>
      <c r="D58" s="86" t="s">
        <v>230</v>
      </c>
      <c r="E58" s="87">
        <v>329</v>
      </c>
      <c r="F58" s="87">
        <f t="shared" si="1"/>
        <v>987</v>
      </c>
      <c r="G58" s="86" t="s">
        <v>8</v>
      </c>
      <c r="H58" s="86"/>
      <c r="I58" s="86"/>
    </row>
    <row r="59" spans="1:13" x14ac:dyDescent="0.3">
      <c r="A59" s="85">
        <v>45996</v>
      </c>
      <c r="B59" s="86">
        <v>1</v>
      </c>
      <c r="C59" s="86" t="s">
        <v>805</v>
      </c>
      <c r="D59" s="86" t="s">
        <v>230</v>
      </c>
      <c r="E59" s="87">
        <v>429</v>
      </c>
      <c r="F59" s="87">
        <f t="shared" si="1"/>
        <v>429</v>
      </c>
      <c r="G59" s="86" t="s">
        <v>8</v>
      </c>
      <c r="H59" s="86"/>
      <c r="I59" s="86"/>
    </row>
    <row r="60" spans="1:13" x14ac:dyDescent="0.3">
      <c r="A60" s="85">
        <v>45996</v>
      </c>
      <c r="B60" s="86">
        <v>2</v>
      </c>
      <c r="C60" s="86" t="s">
        <v>718</v>
      </c>
      <c r="D60" s="86" t="s">
        <v>230</v>
      </c>
      <c r="E60" s="87">
        <v>629</v>
      </c>
      <c r="F60" s="87">
        <f t="shared" si="1"/>
        <v>1258</v>
      </c>
      <c r="G60" s="86" t="s">
        <v>8</v>
      </c>
      <c r="H60" s="86"/>
      <c r="I60" s="86"/>
    </row>
    <row r="61" spans="1:13" x14ac:dyDescent="0.3">
      <c r="A61" s="85">
        <v>45996</v>
      </c>
      <c r="B61" s="86">
        <v>2</v>
      </c>
      <c r="C61" s="86" t="s">
        <v>665</v>
      </c>
      <c r="D61" s="86" t="s">
        <v>19</v>
      </c>
      <c r="E61" s="87">
        <v>398</v>
      </c>
      <c r="F61" s="87">
        <f t="shared" si="1"/>
        <v>796</v>
      </c>
      <c r="G61" s="86" t="s">
        <v>8</v>
      </c>
      <c r="H61" s="86"/>
      <c r="I61" s="86"/>
      <c r="M61">
        <v>67</v>
      </c>
    </row>
    <row r="62" spans="1:13" x14ac:dyDescent="0.3">
      <c r="A62" s="85">
        <v>45996</v>
      </c>
      <c r="B62" s="86">
        <v>4</v>
      </c>
      <c r="C62" s="86" t="s">
        <v>665</v>
      </c>
      <c r="D62" s="86" t="s">
        <v>676</v>
      </c>
      <c r="E62" s="87">
        <v>398</v>
      </c>
      <c r="F62" s="87">
        <f t="shared" si="1"/>
        <v>1592</v>
      </c>
      <c r="G62" s="86" t="s">
        <v>8</v>
      </c>
      <c r="H62" s="86"/>
      <c r="I62" s="86"/>
      <c r="M62">
        <v>67</v>
      </c>
    </row>
    <row r="63" spans="1:13" x14ac:dyDescent="0.3">
      <c r="A63" s="85">
        <v>45996</v>
      </c>
      <c r="B63" s="86">
        <v>2</v>
      </c>
      <c r="C63" s="86" t="s">
        <v>665</v>
      </c>
      <c r="D63" s="86" t="s">
        <v>814</v>
      </c>
      <c r="E63" s="87">
        <v>398</v>
      </c>
      <c r="F63" s="87">
        <f t="shared" si="1"/>
        <v>796</v>
      </c>
      <c r="G63" s="86" t="s">
        <v>857</v>
      </c>
      <c r="H63" s="86"/>
      <c r="I63" s="86"/>
      <c r="M63">
        <v>20</v>
      </c>
    </row>
    <row r="64" spans="1:13" x14ac:dyDescent="0.3">
      <c r="A64" s="85">
        <v>45997</v>
      </c>
      <c r="B64" s="86">
        <v>20</v>
      </c>
      <c r="C64" s="86" t="s">
        <v>665</v>
      </c>
      <c r="D64" s="86" t="s">
        <v>118</v>
      </c>
      <c r="E64" s="87">
        <v>380</v>
      </c>
      <c r="F64" s="87">
        <f t="shared" si="1"/>
        <v>7600</v>
      </c>
      <c r="G64" s="86" t="s">
        <v>831</v>
      </c>
      <c r="H64" s="86"/>
      <c r="I64" s="86"/>
    </row>
    <row r="65" spans="1:9" x14ac:dyDescent="0.3">
      <c r="A65" s="85">
        <v>45998</v>
      </c>
      <c r="B65" s="86">
        <v>4</v>
      </c>
      <c r="C65" s="86" t="s">
        <v>665</v>
      </c>
      <c r="D65" s="86" t="s">
        <v>836</v>
      </c>
      <c r="E65" s="87">
        <v>398</v>
      </c>
      <c r="F65" s="87">
        <f t="shared" si="1"/>
        <v>1592</v>
      </c>
      <c r="G65" s="86" t="s">
        <v>8</v>
      </c>
      <c r="H65" s="86"/>
      <c r="I65" s="86"/>
    </row>
    <row r="66" spans="1:9" x14ac:dyDescent="0.3">
      <c r="A66" s="85">
        <v>45998</v>
      </c>
      <c r="B66" s="86">
        <v>2</v>
      </c>
      <c r="C66" s="86" t="s">
        <v>665</v>
      </c>
      <c r="D66" s="86" t="s">
        <v>837</v>
      </c>
      <c r="E66" s="87">
        <v>398</v>
      </c>
      <c r="F66" s="87">
        <f t="shared" si="1"/>
        <v>796</v>
      </c>
      <c r="G66" s="86" t="s">
        <v>8</v>
      </c>
      <c r="H66" s="86"/>
      <c r="I66" s="86"/>
    </row>
    <row r="67" spans="1:9" x14ac:dyDescent="0.3">
      <c r="A67" s="85">
        <v>45998</v>
      </c>
      <c r="B67" s="86">
        <v>2</v>
      </c>
      <c r="C67" s="86" t="s">
        <v>665</v>
      </c>
      <c r="D67" s="86" t="s">
        <v>820</v>
      </c>
      <c r="E67" s="87">
        <v>398</v>
      </c>
      <c r="F67" s="87">
        <f t="shared" si="1"/>
        <v>796</v>
      </c>
      <c r="G67" s="86" t="s">
        <v>8</v>
      </c>
      <c r="H67" s="86"/>
      <c r="I67" s="86"/>
    </row>
    <row r="68" spans="1:9" x14ac:dyDescent="0.3">
      <c r="A68" s="85">
        <v>45998</v>
      </c>
      <c r="B68" s="86">
        <v>2</v>
      </c>
      <c r="C68" s="86" t="s">
        <v>665</v>
      </c>
      <c r="D68" s="86" t="s">
        <v>820</v>
      </c>
      <c r="E68" s="87">
        <v>398</v>
      </c>
      <c r="F68" s="87">
        <f t="shared" si="1"/>
        <v>796</v>
      </c>
      <c r="G68" s="86" t="s">
        <v>838</v>
      </c>
      <c r="H68" s="86"/>
      <c r="I68" s="86"/>
    </row>
    <row r="69" spans="1:9" x14ac:dyDescent="0.3">
      <c r="A69" s="85">
        <v>45998</v>
      </c>
      <c r="B69" s="86">
        <v>3</v>
      </c>
      <c r="C69" s="86" t="s">
        <v>839</v>
      </c>
      <c r="D69" s="86" t="s">
        <v>840</v>
      </c>
      <c r="E69" s="87">
        <v>1400</v>
      </c>
      <c r="F69" s="87">
        <f t="shared" si="1"/>
        <v>4200</v>
      </c>
      <c r="G69" s="86" t="s">
        <v>8</v>
      </c>
      <c r="H69" s="86"/>
      <c r="I69" s="86"/>
    </row>
    <row r="70" spans="1:9" x14ac:dyDescent="0.3">
      <c r="A70" s="85">
        <v>45998</v>
      </c>
      <c r="B70" s="86">
        <v>1</v>
      </c>
      <c r="C70" s="86" t="s">
        <v>665</v>
      </c>
      <c r="D70" s="86" t="s">
        <v>491</v>
      </c>
      <c r="E70" s="87">
        <v>399</v>
      </c>
      <c r="F70" s="87">
        <f t="shared" si="1"/>
        <v>399</v>
      </c>
      <c r="G70" s="86" t="s">
        <v>8</v>
      </c>
      <c r="H70" s="86"/>
      <c r="I70" s="86"/>
    </row>
    <row r="71" spans="1:9" x14ac:dyDescent="0.3">
      <c r="A71" s="85">
        <v>45998</v>
      </c>
      <c r="B71" s="86">
        <v>7</v>
      </c>
      <c r="C71" s="86" t="s">
        <v>665</v>
      </c>
      <c r="D71" s="86" t="s">
        <v>841</v>
      </c>
      <c r="E71" s="87">
        <v>398</v>
      </c>
      <c r="F71" s="87">
        <f t="shared" si="1"/>
        <v>2786</v>
      </c>
      <c r="G71" s="86" t="s">
        <v>8</v>
      </c>
      <c r="H71" s="86"/>
      <c r="I71" s="86"/>
    </row>
    <row r="72" spans="1:9" x14ac:dyDescent="0.3">
      <c r="A72" s="85">
        <v>45998</v>
      </c>
      <c r="B72" s="86">
        <v>2</v>
      </c>
      <c r="C72" s="86" t="s">
        <v>665</v>
      </c>
      <c r="D72" s="86" t="s">
        <v>843</v>
      </c>
      <c r="E72" s="87">
        <v>379</v>
      </c>
      <c r="F72" s="87">
        <f t="shared" si="1"/>
        <v>758</v>
      </c>
      <c r="G72" s="86" t="s">
        <v>844</v>
      </c>
      <c r="H72" s="86"/>
      <c r="I72" s="86"/>
    </row>
    <row r="73" spans="1:9" x14ac:dyDescent="0.3">
      <c r="A73" s="85">
        <v>45998</v>
      </c>
      <c r="B73" s="86">
        <v>30</v>
      </c>
      <c r="C73" s="86" t="s">
        <v>665</v>
      </c>
      <c r="D73" s="86" t="s">
        <v>858</v>
      </c>
      <c r="E73" s="87">
        <v>399</v>
      </c>
      <c r="F73" s="87">
        <f t="shared" ref="F73:F75" si="2">E73*B73</f>
        <v>11970</v>
      </c>
      <c r="G73" s="86" t="s">
        <v>859</v>
      </c>
      <c r="H73" s="86"/>
      <c r="I73" s="86" t="s">
        <v>825</v>
      </c>
    </row>
    <row r="74" spans="1:9" x14ac:dyDescent="0.3">
      <c r="A74" s="85">
        <v>45998</v>
      </c>
      <c r="B74" s="86">
        <v>26</v>
      </c>
      <c r="C74" s="86" t="s">
        <v>665</v>
      </c>
      <c r="D74" s="86" t="s">
        <v>858</v>
      </c>
      <c r="E74" s="87">
        <v>399</v>
      </c>
      <c r="F74" s="87">
        <f t="shared" si="2"/>
        <v>10374</v>
      </c>
      <c r="G74" s="86" t="s">
        <v>859</v>
      </c>
      <c r="H74" s="86"/>
      <c r="I74" s="86" t="s">
        <v>825</v>
      </c>
    </row>
    <row r="75" spans="1:9" x14ac:dyDescent="0.3">
      <c r="A75" s="85">
        <v>45998</v>
      </c>
      <c r="B75" s="86">
        <v>1</v>
      </c>
      <c r="C75" s="86" t="s">
        <v>777</v>
      </c>
      <c r="D75" s="86" t="s">
        <v>860</v>
      </c>
      <c r="E75" s="87">
        <v>1020</v>
      </c>
      <c r="F75" s="87">
        <f t="shared" si="2"/>
        <v>1020</v>
      </c>
      <c r="G75" s="86" t="s">
        <v>861</v>
      </c>
      <c r="H75" s="86"/>
      <c r="I75" s="86" t="s">
        <v>85</v>
      </c>
    </row>
    <row r="76" spans="1:9" x14ac:dyDescent="0.3">
      <c r="A76" s="85">
        <v>45999</v>
      </c>
      <c r="B76" s="86">
        <v>15</v>
      </c>
      <c r="C76" s="86" t="s">
        <v>698</v>
      </c>
      <c r="D76" s="86" t="s">
        <v>689</v>
      </c>
      <c r="E76" s="87">
        <v>125</v>
      </c>
      <c r="F76" s="87">
        <f t="shared" si="1"/>
        <v>1875</v>
      </c>
      <c r="G76" s="86" t="s">
        <v>8</v>
      </c>
      <c r="H76" s="86"/>
      <c r="I76" s="86"/>
    </row>
    <row r="77" spans="1:9" x14ac:dyDescent="0.3">
      <c r="A77" s="85">
        <v>45999</v>
      </c>
      <c r="B77" s="86">
        <v>1</v>
      </c>
      <c r="C77" s="86" t="s">
        <v>665</v>
      </c>
      <c r="D77" s="86" t="s">
        <v>689</v>
      </c>
      <c r="E77" s="87">
        <v>299</v>
      </c>
      <c r="F77" s="87">
        <f t="shared" si="1"/>
        <v>299</v>
      </c>
      <c r="G77" s="86" t="s">
        <v>8</v>
      </c>
      <c r="H77" s="86"/>
      <c r="I77" s="86"/>
    </row>
    <row r="78" spans="1:9" x14ac:dyDescent="0.3">
      <c r="A78" s="85">
        <v>45999</v>
      </c>
      <c r="B78" s="86">
        <v>2</v>
      </c>
      <c r="C78" s="86" t="s">
        <v>665</v>
      </c>
      <c r="D78" s="86" t="s">
        <v>689</v>
      </c>
      <c r="E78" s="87">
        <v>299</v>
      </c>
      <c r="F78" s="87">
        <f t="shared" si="1"/>
        <v>598</v>
      </c>
      <c r="G78" s="86" t="s">
        <v>874</v>
      </c>
      <c r="H78" s="86"/>
      <c r="I78" s="86"/>
    </row>
    <row r="79" spans="1:9" x14ac:dyDescent="0.3">
      <c r="A79" s="85">
        <v>45999</v>
      </c>
      <c r="B79" s="86">
        <v>2</v>
      </c>
      <c r="C79" s="86" t="s">
        <v>805</v>
      </c>
      <c r="D79" s="86" t="s">
        <v>689</v>
      </c>
      <c r="E79" s="87">
        <v>419</v>
      </c>
      <c r="F79" s="87">
        <f t="shared" si="1"/>
        <v>838</v>
      </c>
      <c r="G79" s="86" t="s">
        <v>8</v>
      </c>
      <c r="H79" s="86"/>
      <c r="I79" s="86"/>
    </row>
    <row r="80" spans="1:9" x14ac:dyDescent="0.3">
      <c r="A80" s="85">
        <v>45999</v>
      </c>
      <c r="B80" s="86">
        <v>18</v>
      </c>
      <c r="C80" s="86" t="s">
        <v>698</v>
      </c>
      <c r="D80" s="86" t="s">
        <v>101</v>
      </c>
      <c r="E80" s="87">
        <v>125</v>
      </c>
      <c r="F80" s="87">
        <f t="shared" si="1"/>
        <v>2250</v>
      </c>
      <c r="G80" s="86" t="s">
        <v>8</v>
      </c>
      <c r="H80" s="86"/>
      <c r="I80" s="86"/>
    </row>
    <row r="81" spans="1:9" x14ac:dyDescent="0.3">
      <c r="A81" s="85">
        <v>45999</v>
      </c>
      <c r="B81" s="86">
        <v>2</v>
      </c>
      <c r="C81" s="86" t="s">
        <v>833</v>
      </c>
      <c r="D81" s="86" t="s">
        <v>101</v>
      </c>
      <c r="E81" s="87">
        <v>2059</v>
      </c>
      <c r="F81" s="87">
        <f t="shared" si="1"/>
        <v>4118</v>
      </c>
      <c r="G81" s="86" t="s">
        <v>8</v>
      </c>
      <c r="H81" s="86"/>
      <c r="I81" s="86"/>
    </row>
    <row r="82" spans="1:9" x14ac:dyDescent="0.3">
      <c r="A82" s="81">
        <v>45999</v>
      </c>
      <c r="B82" s="82">
        <v>1</v>
      </c>
      <c r="C82" s="82" t="s">
        <v>665</v>
      </c>
      <c r="D82" s="82" t="s">
        <v>101</v>
      </c>
      <c r="E82" s="84">
        <v>299</v>
      </c>
      <c r="F82" s="84">
        <f t="shared" si="1"/>
        <v>299</v>
      </c>
      <c r="G82" s="82" t="s">
        <v>834</v>
      </c>
      <c r="H82" s="82"/>
      <c r="I82" s="82"/>
    </row>
    <row r="83" spans="1:9" x14ac:dyDescent="0.3">
      <c r="A83" s="81">
        <v>45999</v>
      </c>
      <c r="B83" s="82">
        <v>1</v>
      </c>
      <c r="C83" s="82" t="s">
        <v>665</v>
      </c>
      <c r="D83" s="82" t="s">
        <v>101</v>
      </c>
      <c r="E83" s="84">
        <v>299</v>
      </c>
      <c r="F83" s="84">
        <f t="shared" si="1"/>
        <v>299</v>
      </c>
      <c r="G83" s="82" t="s">
        <v>835</v>
      </c>
      <c r="H83" s="82"/>
      <c r="I83" s="82"/>
    </row>
    <row r="84" spans="1:9" x14ac:dyDescent="0.3">
      <c r="A84" s="85">
        <v>46000</v>
      </c>
      <c r="B84" s="86">
        <v>12</v>
      </c>
      <c r="C84" s="86" t="s">
        <v>665</v>
      </c>
      <c r="D84" s="86" t="s">
        <v>494</v>
      </c>
      <c r="E84" s="87">
        <v>398</v>
      </c>
      <c r="F84" s="87">
        <f t="shared" si="1"/>
        <v>4776</v>
      </c>
      <c r="G84" s="86" t="s">
        <v>8</v>
      </c>
      <c r="H84" s="86"/>
      <c r="I84" s="86"/>
    </row>
    <row r="85" spans="1:9" x14ac:dyDescent="0.3">
      <c r="A85" s="85">
        <v>46000</v>
      </c>
      <c r="B85" s="86">
        <v>40</v>
      </c>
      <c r="C85" s="86" t="s">
        <v>665</v>
      </c>
      <c r="D85" s="86" t="s">
        <v>828</v>
      </c>
      <c r="E85" s="87">
        <v>398</v>
      </c>
      <c r="F85" s="87">
        <f t="shared" si="1"/>
        <v>15920</v>
      </c>
      <c r="G85" s="86" t="s">
        <v>862</v>
      </c>
      <c r="H85" s="86"/>
      <c r="I85" s="86" t="s">
        <v>863</v>
      </c>
    </row>
    <row r="86" spans="1:9" x14ac:dyDescent="0.3">
      <c r="A86" s="85">
        <v>46000</v>
      </c>
      <c r="B86" s="86">
        <v>1</v>
      </c>
      <c r="C86" s="86" t="s">
        <v>296</v>
      </c>
      <c r="D86" s="86" t="s">
        <v>828</v>
      </c>
      <c r="E86" s="87">
        <v>110</v>
      </c>
      <c r="F86" s="87">
        <f t="shared" si="1"/>
        <v>110</v>
      </c>
      <c r="G86" s="86" t="s">
        <v>862</v>
      </c>
      <c r="H86" s="86"/>
      <c r="I86" s="86"/>
    </row>
    <row r="87" spans="1:9" x14ac:dyDescent="0.3">
      <c r="A87" s="85">
        <v>46000</v>
      </c>
      <c r="B87" s="86">
        <v>1</v>
      </c>
      <c r="C87" s="86" t="s">
        <v>665</v>
      </c>
      <c r="D87" s="86" t="s">
        <v>829</v>
      </c>
      <c r="E87" s="87">
        <v>398</v>
      </c>
      <c r="F87" s="87">
        <f t="shared" si="1"/>
        <v>398</v>
      </c>
      <c r="G87" s="86" t="s">
        <v>8</v>
      </c>
      <c r="H87" s="86"/>
      <c r="I87" s="86"/>
    </row>
    <row r="88" spans="1:9" x14ac:dyDescent="0.3">
      <c r="A88" s="85">
        <v>46000</v>
      </c>
      <c r="B88" s="86">
        <v>1</v>
      </c>
      <c r="C88" s="86" t="s">
        <v>830</v>
      </c>
      <c r="D88" s="86" t="s">
        <v>739</v>
      </c>
      <c r="E88" s="87">
        <v>90</v>
      </c>
      <c r="F88" s="87">
        <f t="shared" si="1"/>
        <v>90</v>
      </c>
      <c r="G88" s="86"/>
      <c r="H88" s="86"/>
      <c r="I88" s="86" t="s">
        <v>85</v>
      </c>
    </row>
    <row r="89" spans="1:9" x14ac:dyDescent="0.3">
      <c r="A89" s="85">
        <v>46000</v>
      </c>
      <c r="B89" s="86">
        <v>1</v>
      </c>
      <c r="C89" s="86" t="s">
        <v>665</v>
      </c>
      <c r="D89" s="86" t="s">
        <v>492</v>
      </c>
      <c r="E89" s="87">
        <v>0</v>
      </c>
      <c r="F89" s="87">
        <f t="shared" si="1"/>
        <v>0</v>
      </c>
      <c r="G89" s="86" t="s">
        <v>832</v>
      </c>
      <c r="H89" s="86"/>
      <c r="I89" s="86"/>
    </row>
    <row r="90" spans="1:9" x14ac:dyDescent="0.3">
      <c r="A90" s="85">
        <v>46001</v>
      </c>
      <c r="B90" s="86">
        <v>10</v>
      </c>
      <c r="C90" s="86" t="s">
        <v>665</v>
      </c>
      <c r="D90" s="86" t="s">
        <v>741</v>
      </c>
      <c r="E90" s="87">
        <v>398</v>
      </c>
      <c r="F90" s="87">
        <f t="shared" si="1"/>
        <v>3980</v>
      </c>
      <c r="G90" s="86" t="s">
        <v>862</v>
      </c>
      <c r="H90" s="86"/>
      <c r="I90" s="86" t="s">
        <v>863</v>
      </c>
    </row>
    <row r="91" spans="1:9" x14ac:dyDescent="0.3">
      <c r="A91" s="81">
        <v>46001</v>
      </c>
      <c r="B91" s="82">
        <v>2</v>
      </c>
      <c r="C91" s="82" t="s">
        <v>665</v>
      </c>
      <c r="D91" s="82" t="s">
        <v>810</v>
      </c>
      <c r="E91" s="84">
        <v>399</v>
      </c>
      <c r="F91" s="84">
        <f t="shared" si="1"/>
        <v>798</v>
      </c>
      <c r="G91" s="82" t="s">
        <v>856</v>
      </c>
      <c r="H91" s="82"/>
      <c r="I91" s="82"/>
    </row>
    <row r="92" spans="1:9" x14ac:dyDescent="0.3">
      <c r="A92" s="85">
        <v>46001</v>
      </c>
      <c r="B92" s="86">
        <v>2</v>
      </c>
      <c r="C92" s="86" t="s">
        <v>665</v>
      </c>
      <c r="D92" s="86" t="s">
        <v>820</v>
      </c>
      <c r="E92" s="87">
        <v>398</v>
      </c>
      <c r="F92" s="87">
        <f t="shared" si="1"/>
        <v>796</v>
      </c>
      <c r="G92" s="86" t="s">
        <v>862</v>
      </c>
      <c r="H92" s="86"/>
      <c r="I92" s="86"/>
    </row>
    <row r="93" spans="1:9" x14ac:dyDescent="0.3">
      <c r="A93" s="85">
        <v>46001</v>
      </c>
      <c r="B93" s="86">
        <v>1</v>
      </c>
      <c r="C93" s="86" t="s">
        <v>665</v>
      </c>
      <c r="D93" s="86" t="s">
        <v>820</v>
      </c>
      <c r="E93" s="87">
        <v>398</v>
      </c>
      <c r="F93" s="87">
        <f t="shared" si="1"/>
        <v>398</v>
      </c>
      <c r="G93" s="86" t="s">
        <v>8</v>
      </c>
      <c r="H93" s="86"/>
      <c r="I93" s="86"/>
    </row>
    <row r="94" spans="1:9" x14ac:dyDescent="0.3">
      <c r="A94" s="85">
        <v>46002</v>
      </c>
      <c r="B94" s="86">
        <v>2</v>
      </c>
      <c r="C94" s="86" t="s">
        <v>805</v>
      </c>
      <c r="D94" s="86" t="s">
        <v>364</v>
      </c>
      <c r="E94" s="87">
        <v>419</v>
      </c>
      <c r="F94" s="87">
        <f t="shared" si="1"/>
        <v>838</v>
      </c>
      <c r="G94" s="86" t="s">
        <v>8</v>
      </c>
      <c r="H94" s="86"/>
      <c r="I94" s="86"/>
    </row>
    <row r="95" spans="1:9" x14ac:dyDescent="0.3">
      <c r="A95" s="81">
        <v>46002</v>
      </c>
      <c r="B95" s="82">
        <v>3</v>
      </c>
      <c r="C95" s="82" t="s">
        <v>665</v>
      </c>
      <c r="D95" s="82" t="s">
        <v>364</v>
      </c>
      <c r="E95" s="84">
        <v>340</v>
      </c>
      <c r="F95" s="84">
        <f t="shared" si="1"/>
        <v>1020</v>
      </c>
      <c r="G95" s="82" t="s">
        <v>864</v>
      </c>
      <c r="H95" s="82"/>
      <c r="I95" s="82"/>
    </row>
    <row r="96" spans="1:9" x14ac:dyDescent="0.3">
      <c r="A96" s="85">
        <v>46002</v>
      </c>
      <c r="B96" s="86">
        <v>4</v>
      </c>
      <c r="C96" s="86" t="s">
        <v>747</v>
      </c>
      <c r="D96" s="86" t="s">
        <v>364</v>
      </c>
      <c r="E96" s="87">
        <v>105</v>
      </c>
      <c r="F96" s="87">
        <f t="shared" si="1"/>
        <v>420</v>
      </c>
      <c r="G96" s="86" t="s">
        <v>8</v>
      </c>
      <c r="H96" s="86"/>
      <c r="I96" s="86"/>
    </row>
    <row r="97" spans="1:9" x14ac:dyDescent="0.3">
      <c r="A97" s="85">
        <v>46002</v>
      </c>
      <c r="B97" s="86">
        <v>1</v>
      </c>
      <c r="C97" s="86" t="s">
        <v>323</v>
      </c>
      <c r="D97" s="86" t="s">
        <v>364</v>
      </c>
      <c r="E97" s="87">
        <v>573</v>
      </c>
      <c r="F97" s="87">
        <f t="shared" si="1"/>
        <v>573</v>
      </c>
      <c r="G97" s="86" t="s">
        <v>8</v>
      </c>
      <c r="H97" s="86"/>
      <c r="I97" s="86"/>
    </row>
    <row r="98" spans="1:9" x14ac:dyDescent="0.3">
      <c r="A98" s="85">
        <v>46002</v>
      </c>
      <c r="B98" s="86">
        <v>10</v>
      </c>
      <c r="C98" s="86" t="s">
        <v>698</v>
      </c>
      <c r="D98" s="86" t="s">
        <v>364</v>
      </c>
      <c r="E98" s="87">
        <v>130</v>
      </c>
      <c r="F98" s="87">
        <f t="shared" si="1"/>
        <v>1300</v>
      </c>
      <c r="G98" s="86" t="s">
        <v>8</v>
      </c>
      <c r="H98" s="86"/>
      <c r="I98" s="86"/>
    </row>
    <row r="99" spans="1:9" x14ac:dyDescent="0.3">
      <c r="A99" s="81">
        <v>46002</v>
      </c>
      <c r="B99" s="82">
        <v>3</v>
      </c>
      <c r="C99" s="82" t="s">
        <v>378</v>
      </c>
      <c r="D99" s="82" t="s">
        <v>364</v>
      </c>
      <c r="E99" s="84">
        <v>573</v>
      </c>
      <c r="F99" s="84">
        <f t="shared" si="1"/>
        <v>1719</v>
      </c>
      <c r="G99" s="82" t="s">
        <v>865</v>
      </c>
      <c r="H99" s="82"/>
      <c r="I99" s="82"/>
    </row>
    <row r="100" spans="1:9" x14ac:dyDescent="0.3">
      <c r="A100" s="81">
        <v>46002</v>
      </c>
      <c r="B100" s="82">
        <v>3</v>
      </c>
      <c r="C100" s="82" t="s">
        <v>639</v>
      </c>
      <c r="D100" s="82" t="s">
        <v>364</v>
      </c>
      <c r="E100" s="84">
        <v>1095</v>
      </c>
      <c r="F100" s="84">
        <f t="shared" si="1"/>
        <v>3285</v>
      </c>
      <c r="G100" s="82" t="s">
        <v>865</v>
      </c>
      <c r="H100" s="82"/>
      <c r="I100" s="82"/>
    </row>
    <row r="101" spans="1:9" x14ac:dyDescent="0.3">
      <c r="A101" s="85">
        <v>46002</v>
      </c>
      <c r="B101" s="86">
        <v>2</v>
      </c>
      <c r="C101" s="86" t="s">
        <v>839</v>
      </c>
      <c r="D101" s="86" t="s">
        <v>101</v>
      </c>
      <c r="E101" s="87">
        <v>1400</v>
      </c>
      <c r="F101" s="87">
        <f t="shared" si="1"/>
        <v>2800</v>
      </c>
      <c r="G101" s="86" t="s">
        <v>866</v>
      </c>
      <c r="H101" s="86"/>
      <c r="I101" s="86"/>
    </row>
    <row r="102" spans="1:9" x14ac:dyDescent="0.3">
      <c r="A102" s="85">
        <v>46002</v>
      </c>
      <c r="B102" s="86">
        <v>2</v>
      </c>
      <c r="C102" s="86" t="s">
        <v>665</v>
      </c>
      <c r="D102" s="86" t="s">
        <v>101</v>
      </c>
      <c r="E102" s="87">
        <v>399</v>
      </c>
      <c r="F102" s="87">
        <f t="shared" si="1"/>
        <v>798</v>
      </c>
      <c r="G102" s="86" t="s">
        <v>866</v>
      </c>
      <c r="H102" s="86"/>
      <c r="I102" s="86"/>
    </row>
    <row r="103" spans="1:9" x14ac:dyDescent="0.3">
      <c r="A103" s="85">
        <v>46002</v>
      </c>
      <c r="B103" s="86">
        <v>10</v>
      </c>
      <c r="C103" s="86" t="s">
        <v>698</v>
      </c>
      <c r="D103" s="86" t="s">
        <v>101</v>
      </c>
      <c r="E103" s="87">
        <v>125</v>
      </c>
      <c r="F103" s="87">
        <f t="shared" si="1"/>
        <v>1250</v>
      </c>
      <c r="G103" s="86" t="s">
        <v>866</v>
      </c>
      <c r="H103" s="86"/>
      <c r="I103" s="86"/>
    </row>
    <row r="104" spans="1:9" x14ac:dyDescent="0.3">
      <c r="A104" s="85">
        <v>46002</v>
      </c>
      <c r="B104" s="86">
        <v>2</v>
      </c>
      <c r="C104" s="86" t="s">
        <v>839</v>
      </c>
      <c r="D104" s="86" t="s">
        <v>101</v>
      </c>
      <c r="E104" s="87">
        <v>1400</v>
      </c>
      <c r="F104" s="87">
        <f t="shared" si="1"/>
        <v>2800</v>
      </c>
      <c r="G104" s="86" t="s">
        <v>365</v>
      </c>
      <c r="H104" s="86"/>
      <c r="I104" s="86"/>
    </row>
    <row r="105" spans="1:9" x14ac:dyDescent="0.3">
      <c r="A105" s="81">
        <v>46003</v>
      </c>
      <c r="B105" s="82">
        <v>20</v>
      </c>
      <c r="C105" s="82" t="s">
        <v>665</v>
      </c>
      <c r="D105" s="82" t="s">
        <v>741</v>
      </c>
      <c r="E105" s="84">
        <v>398</v>
      </c>
      <c r="F105" s="84">
        <f t="shared" si="1"/>
        <v>7960</v>
      </c>
      <c r="G105" s="82" t="s">
        <v>867</v>
      </c>
      <c r="H105" s="82"/>
      <c r="I105" s="82"/>
    </row>
    <row r="106" spans="1:9" x14ac:dyDescent="0.3">
      <c r="A106" s="85">
        <v>46003</v>
      </c>
      <c r="B106" s="86">
        <v>10</v>
      </c>
      <c r="C106" s="86" t="s">
        <v>839</v>
      </c>
      <c r="D106" s="86" t="s">
        <v>869</v>
      </c>
      <c r="E106" s="87">
        <v>1400</v>
      </c>
      <c r="F106" s="87">
        <f t="shared" si="1"/>
        <v>14000</v>
      </c>
      <c r="G106" s="86" t="s">
        <v>873</v>
      </c>
      <c r="H106" s="86"/>
      <c r="I106" s="86"/>
    </row>
    <row r="107" spans="1:9" x14ac:dyDescent="0.3">
      <c r="A107" s="85">
        <v>46003</v>
      </c>
      <c r="B107" s="86">
        <v>3</v>
      </c>
      <c r="C107" s="86" t="s">
        <v>868</v>
      </c>
      <c r="D107" s="86" t="s">
        <v>869</v>
      </c>
      <c r="E107" s="87">
        <v>2490</v>
      </c>
      <c r="F107" s="87">
        <f t="shared" si="1"/>
        <v>7470</v>
      </c>
      <c r="G107" s="86" t="s">
        <v>873</v>
      </c>
      <c r="H107" s="86"/>
      <c r="I107" s="86"/>
    </row>
    <row r="108" spans="1:9" x14ac:dyDescent="0.3">
      <c r="A108" s="81">
        <v>46002</v>
      </c>
      <c r="B108" s="82">
        <v>100</v>
      </c>
      <c r="C108" s="82" t="s">
        <v>665</v>
      </c>
      <c r="D108" s="82" t="s">
        <v>870</v>
      </c>
      <c r="E108" s="84">
        <v>274</v>
      </c>
      <c r="F108" s="84">
        <f t="shared" si="1"/>
        <v>27400</v>
      </c>
      <c r="G108" s="82" t="s">
        <v>62</v>
      </c>
      <c r="H108" s="82"/>
      <c r="I108" s="82"/>
    </row>
    <row r="109" spans="1:9" x14ac:dyDescent="0.3">
      <c r="A109" s="81">
        <v>46002</v>
      </c>
      <c r="B109" s="82">
        <v>1</v>
      </c>
      <c r="C109" s="82" t="s">
        <v>296</v>
      </c>
      <c r="D109" s="82" t="s">
        <v>870</v>
      </c>
      <c r="E109" s="84">
        <v>110</v>
      </c>
      <c r="F109" s="84">
        <f t="shared" si="1"/>
        <v>110</v>
      </c>
      <c r="G109" s="82" t="s">
        <v>62</v>
      </c>
      <c r="H109" s="82"/>
      <c r="I109" s="82"/>
    </row>
    <row r="110" spans="1:9" x14ac:dyDescent="0.3">
      <c r="A110" s="81">
        <v>46003</v>
      </c>
      <c r="B110" s="82">
        <v>70</v>
      </c>
      <c r="C110" s="82" t="s">
        <v>698</v>
      </c>
      <c r="D110" s="82" t="s">
        <v>30</v>
      </c>
      <c r="E110" s="84">
        <v>132</v>
      </c>
      <c r="F110" s="84">
        <f t="shared" si="1"/>
        <v>9240</v>
      </c>
      <c r="G110" s="82" t="s">
        <v>62</v>
      </c>
      <c r="H110" s="82"/>
      <c r="I110" s="82"/>
    </row>
    <row r="111" spans="1:9" x14ac:dyDescent="0.3">
      <c r="A111" s="81">
        <v>46004</v>
      </c>
      <c r="B111" s="82">
        <v>10</v>
      </c>
      <c r="C111" s="82" t="s">
        <v>871</v>
      </c>
      <c r="D111" s="82" t="s">
        <v>678</v>
      </c>
      <c r="E111" s="84">
        <v>960</v>
      </c>
      <c r="F111" s="84">
        <f t="shared" si="1"/>
        <v>9600</v>
      </c>
      <c r="G111" s="82" t="s">
        <v>62</v>
      </c>
      <c r="H111" s="82"/>
      <c r="I111" s="82" t="s">
        <v>115</v>
      </c>
    </row>
    <row r="112" spans="1:9" x14ac:dyDescent="0.3">
      <c r="A112" s="85">
        <v>46005</v>
      </c>
      <c r="B112" s="86">
        <v>3</v>
      </c>
      <c r="C112" s="86" t="s">
        <v>872</v>
      </c>
      <c r="D112" s="86" t="s">
        <v>869</v>
      </c>
      <c r="E112" s="87">
        <v>3300</v>
      </c>
      <c r="F112" s="87">
        <f t="shared" si="1"/>
        <v>9900</v>
      </c>
      <c r="G112" s="86" t="s">
        <v>8</v>
      </c>
      <c r="H112" s="86"/>
      <c r="I112" s="86"/>
    </row>
    <row r="113" spans="1:9" x14ac:dyDescent="0.3">
      <c r="A113" s="85">
        <v>46005</v>
      </c>
      <c r="B113" s="86">
        <v>23</v>
      </c>
      <c r="C113" s="86" t="s">
        <v>665</v>
      </c>
      <c r="D113" s="86" t="s">
        <v>858</v>
      </c>
      <c r="E113" s="87">
        <v>399</v>
      </c>
      <c r="F113" s="87">
        <f t="shared" si="1"/>
        <v>9177</v>
      </c>
      <c r="G113" s="86" t="s">
        <v>875</v>
      </c>
      <c r="H113" s="86"/>
      <c r="I113" s="86"/>
    </row>
  </sheetData>
  <autoFilter ref="A1:O93" xr:uid="{D462FB64-39E0-4CD5-A2A8-B4DACC1E3C5C}"/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2F5D-C9BC-4643-9721-3D57603ACE45}">
  <dimension ref="A1:I15"/>
  <sheetViews>
    <sheetView workbookViewId="0">
      <selection activeCell="F21" sqref="F21"/>
    </sheetView>
  </sheetViews>
  <sheetFormatPr defaultRowHeight="14.4" x14ac:dyDescent="0.3"/>
  <cols>
    <col min="6" max="6" width="23.21875" bestFit="1" customWidth="1"/>
  </cols>
  <sheetData>
    <row r="1" spans="1:9" x14ac:dyDescent="0.3">
      <c r="A1" s="2" t="s">
        <v>65</v>
      </c>
      <c r="B1" s="2" t="s">
        <v>0</v>
      </c>
      <c r="C1" s="2" t="s">
        <v>159</v>
      </c>
      <c r="D1" s="2" t="s">
        <v>816</v>
      </c>
      <c r="E1" s="2" t="s">
        <v>4</v>
      </c>
      <c r="F1" s="2" t="s">
        <v>819</v>
      </c>
      <c r="G1" s="2" t="s">
        <v>817</v>
      </c>
      <c r="H1" s="2" t="s">
        <v>65</v>
      </c>
      <c r="I1" s="2" t="s">
        <v>818</v>
      </c>
    </row>
    <row r="2" spans="1:9" x14ac:dyDescent="0.3">
      <c r="A2" s="68">
        <v>45996</v>
      </c>
      <c r="B2" s="1">
        <v>1</v>
      </c>
      <c r="C2" s="2" t="s">
        <v>815</v>
      </c>
      <c r="D2" s="2">
        <v>400</v>
      </c>
      <c r="E2" s="2">
        <f>B2*D2</f>
        <v>400</v>
      </c>
      <c r="F2" s="2" t="s">
        <v>820</v>
      </c>
      <c r="G2" s="2"/>
      <c r="H2" s="2"/>
      <c r="I2" s="2"/>
    </row>
    <row r="3" spans="1:9" x14ac:dyDescent="0.3">
      <c r="A3" s="68">
        <v>45996</v>
      </c>
      <c r="B3" s="2">
        <v>1</v>
      </c>
      <c r="C3" s="2" t="s">
        <v>815</v>
      </c>
      <c r="D3" s="2">
        <v>400</v>
      </c>
      <c r="E3" s="2">
        <v>400</v>
      </c>
      <c r="F3" s="2" t="s">
        <v>820</v>
      </c>
      <c r="G3" s="2"/>
      <c r="H3" s="2"/>
      <c r="I3" s="2"/>
    </row>
    <row r="4" spans="1:9" x14ac:dyDescent="0.3">
      <c r="A4" s="68">
        <v>45996</v>
      </c>
      <c r="B4" s="2">
        <v>1</v>
      </c>
      <c r="C4" s="2" t="s">
        <v>815</v>
      </c>
      <c r="D4" s="2">
        <v>398</v>
      </c>
      <c r="E4" s="2">
        <v>398</v>
      </c>
      <c r="F4" s="2" t="s">
        <v>821</v>
      </c>
      <c r="G4" s="2"/>
      <c r="H4" s="2"/>
      <c r="I4" s="2"/>
    </row>
    <row r="5" spans="1:9" x14ac:dyDescent="0.3">
      <c r="A5" s="68">
        <v>45997</v>
      </c>
      <c r="B5" s="2">
        <v>1</v>
      </c>
      <c r="C5" s="2" t="s">
        <v>815</v>
      </c>
      <c r="D5" s="2">
        <v>399</v>
      </c>
      <c r="E5" s="2">
        <v>399</v>
      </c>
      <c r="F5" s="2" t="s">
        <v>306</v>
      </c>
      <c r="G5" s="2"/>
      <c r="H5" s="2"/>
      <c r="I5" s="2"/>
    </row>
    <row r="6" spans="1:9" x14ac:dyDescent="0.3">
      <c r="A6" s="2"/>
      <c r="B6" s="2"/>
      <c r="C6" s="2"/>
      <c r="D6" s="2"/>
      <c r="E6" s="2"/>
      <c r="F6" s="2"/>
      <c r="G6" s="2"/>
      <c r="H6" s="2"/>
      <c r="I6" s="2"/>
    </row>
    <row r="7" spans="1:9" x14ac:dyDescent="0.3">
      <c r="A7" s="2"/>
      <c r="B7" s="2"/>
      <c r="C7" s="2"/>
      <c r="D7" s="2"/>
      <c r="E7" s="2"/>
      <c r="F7" s="2"/>
      <c r="G7" s="2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02E4-739C-4E53-A49B-A5FC40B98A5D}">
  <dimension ref="A1:P43"/>
  <sheetViews>
    <sheetView topLeftCell="A25" workbookViewId="0">
      <selection activeCell="P20" sqref="P20"/>
    </sheetView>
  </sheetViews>
  <sheetFormatPr defaultRowHeight="14.4" x14ac:dyDescent="0.3"/>
  <cols>
    <col min="3" max="3" width="14.44140625" bestFit="1" customWidth="1"/>
    <col min="4" max="4" width="15.77734375" bestFit="1" customWidth="1"/>
    <col min="15" max="15" width="24.77734375" bestFit="1" customWidth="1"/>
  </cols>
  <sheetData>
    <row r="1" spans="1:16" x14ac:dyDescent="0.3">
      <c r="A1" t="s">
        <v>65</v>
      </c>
      <c r="B1" t="s">
        <v>774</v>
      </c>
      <c r="C1" t="s">
        <v>788</v>
      </c>
      <c r="D1" t="s">
        <v>2</v>
      </c>
      <c r="O1" s="6">
        <v>45998</v>
      </c>
    </row>
    <row r="2" spans="1:16" x14ac:dyDescent="0.3">
      <c r="A2" s="78">
        <v>45992</v>
      </c>
      <c r="B2" s="80">
        <v>2581</v>
      </c>
      <c r="C2" t="s">
        <v>62</v>
      </c>
      <c r="D2" t="s">
        <v>364</v>
      </c>
      <c r="H2">
        <v>37617</v>
      </c>
      <c r="K2">
        <v>5</v>
      </c>
      <c r="L2">
        <v>299</v>
      </c>
      <c r="M2">
        <f>K2*L2</f>
        <v>1495</v>
      </c>
      <c r="O2" t="s">
        <v>849</v>
      </c>
    </row>
    <row r="3" spans="1:16" x14ac:dyDescent="0.3">
      <c r="A3" s="78">
        <v>45993</v>
      </c>
      <c r="B3" s="80">
        <v>1257</v>
      </c>
      <c r="D3" t="s">
        <v>809</v>
      </c>
      <c r="H3">
        <v>8000</v>
      </c>
      <c r="K3">
        <v>4</v>
      </c>
      <c r="L3">
        <v>479</v>
      </c>
      <c r="M3">
        <f t="shared" ref="M3:M6" si="0">K3*L3</f>
        <v>1916</v>
      </c>
      <c r="O3" t="s">
        <v>850</v>
      </c>
    </row>
    <row r="4" spans="1:16" x14ac:dyDescent="0.3">
      <c r="A4" s="78">
        <v>45993</v>
      </c>
      <c r="B4" s="80">
        <v>1197</v>
      </c>
      <c r="D4" t="s">
        <v>810</v>
      </c>
      <c r="H4">
        <f>SUM(H2:H3)</f>
        <v>45617</v>
      </c>
      <c r="K4">
        <v>4</v>
      </c>
      <c r="L4">
        <v>225</v>
      </c>
      <c r="M4">
        <f t="shared" si="0"/>
        <v>900</v>
      </c>
      <c r="O4" t="s">
        <v>851</v>
      </c>
    </row>
    <row r="5" spans="1:16" x14ac:dyDescent="0.3">
      <c r="A5" s="78">
        <v>45995</v>
      </c>
      <c r="B5" s="80">
        <v>1995</v>
      </c>
      <c r="D5" t="s">
        <v>810</v>
      </c>
      <c r="K5">
        <v>57</v>
      </c>
      <c r="L5">
        <v>399</v>
      </c>
      <c r="M5">
        <f t="shared" si="0"/>
        <v>22743</v>
      </c>
      <c r="O5" t="s">
        <v>852</v>
      </c>
    </row>
    <row r="6" spans="1:16" x14ac:dyDescent="0.3">
      <c r="A6" s="78">
        <v>45993</v>
      </c>
      <c r="B6" s="80">
        <v>796</v>
      </c>
      <c r="D6" s="11" t="s">
        <v>811</v>
      </c>
      <c r="K6">
        <v>4</v>
      </c>
      <c r="L6">
        <v>419</v>
      </c>
      <c r="M6">
        <f t="shared" si="0"/>
        <v>1676</v>
      </c>
      <c r="O6" t="s">
        <v>853</v>
      </c>
    </row>
    <row r="7" spans="1:16" x14ac:dyDescent="0.3">
      <c r="A7" s="78">
        <v>45993</v>
      </c>
      <c r="B7" s="80">
        <v>399</v>
      </c>
      <c r="D7" t="s">
        <v>812</v>
      </c>
      <c r="M7">
        <f>SUM(M2:M6)</f>
        <v>28730</v>
      </c>
      <c r="O7" s="51">
        <v>150</v>
      </c>
    </row>
    <row r="8" spans="1:16" x14ac:dyDescent="0.3">
      <c r="A8" s="78">
        <v>45994</v>
      </c>
      <c r="B8" s="80">
        <v>399</v>
      </c>
      <c r="D8" t="s">
        <v>812</v>
      </c>
      <c r="O8" t="s">
        <v>854</v>
      </c>
      <c r="P8" t="s">
        <v>855</v>
      </c>
    </row>
    <row r="9" spans="1:16" x14ac:dyDescent="0.3">
      <c r="A9" s="78">
        <v>45994</v>
      </c>
      <c r="B9" s="80">
        <v>399</v>
      </c>
      <c r="D9" t="s">
        <v>812</v>
      </c>
    </row>
    <row r="10" spans="1:16" x14ac:dyDescent="0.3">
      <c r="A10" s="78">
        <v>45994</v>
      </c>
      <c r="B10" s="80">
        <v>399</v>
      </c>
      <c r="D10" t="s">
        <v>812</v>
      </c>
    </row>
    <row r="11" spans="1:16" x14ac:dyDescent="0.3">
      <c r="A11" s="78">
        <v>45994</v>
      </c>
      <c r="B11" s="80">
        <v>398</v>
      </c>
      <c r="D11" t="s">
        <v>302</v>
      </c>
    </row>
    <row r="12" spans="1:16" x14ac:dyDescent="0.3">
      <c r="A12" s="78">
        <v>45994</v>
      </c>
      <c r="B12" s="80">
        <v>398</v>
      </c>
      <c r="D12" s="11" t="s">
        <v>811</v>
      </c>
      <c r="L12" s="79">
        <f>H4-M7</f>
        <v>16887</v>
      </c>
    </row>
    <row r="13" spans="1:16" x14ac:dyDescent="0.3">
      <c r="A13" s="78">
        <v>45995</v>
      </c>
      <c r="B13" s="80">
        <v>796</v>
      </c>
      <c r="D13" s="11" t="s">
        <v>811</v>
      </c>
    </row>
    <row r="14" spans="1:16" x14ac:dyDescent="0.3">
      <c r="A14" s="78">
        <v>45995</v>
      </c>
      <c r="B14" s="80">
        <v>796</v>
      </c>
      <c r="D14" s="11" t="s">
        <v>811</v>
      </c>
      <c r="M14">
        <v>25</v>
      </c>
      <c r="N14">
        <v>398</v>
      </c>
      <c r="O14">
        <f>M14*N14</f>
        <v>9950</v>
      </c>
    </row>
    <row r="15" spans="1:16" x14ac:dyDescent="0.3">
      <c r="A15" s="78">
        <v>45996</v>
      </c>
      <c r="B15" s="80">
        <v>796</v>
      </c>
      <c r="D15" s="11" t="s">
        <v>811</v>
      </c>
      <c r="M15">
        <v>2</v>
      </c>
      <c r="N15">
        <v>2049</v>
      </c>
      <c r="O15">
        <f>M15*N15</f>
        <v>4098</v>
      </c>
    </row>
    <row r="16" spans="1:16" x14ac:dyDescent="0.3">
      <c r="A16" s="78">
        <v>45996</v>
      </c>
      <c r="B16" s="80">
        <v>798</v>
      </c>
      <c r="D16" s="11" t="s">
        <v>810</v>
      </c>
      <c r="M16">
        <v>5</v>
      </c>
      <c r="N16">
        <v>168</v>
      </c>
      <c r="O16">
        <f>M16*N16</f>
        <v>840</v>
      </c>
    </row>
    <row r="17" spans="1:15" x14ac:dyDescent="0.3">
      <c r="A17" s="78">
        <v>45999</v>
      </c>
      <c r="B17" s="80">
        <v>299</v>
      </c>
      <c r="D17" s="11" t="s">
        <v>812</v>
      </c>
      <c r="O17">
        <f>SUM(O14:O16)</f>
        <v>14888</v>
      </c>
    </row>
    <row r="18" spans="1:15" x14ac:dyDescent="0.3">
      <c r="A18" s="78">
        <v>45999</v>
      </c>
      <c r="B18" s="80">
        <v>398</v>
      </c>
      <c r="D18" s="11" t="s">
        <v>675</v>
      </c>
      <c r="G18" t="s">
        <v>847</v>
      </c>
    </row>
    <row r="19" spans="1:15" x14ac:dyDescent="0.3">
      <c r="A19" s="78">
        <v>45999</v>
      </c>
      <c r="B19" s="80">
        <v>399</v>
      </c>
      <c r="D19" s="11" t="s">
        <v>812</v>
      </c>
    </row>
    <row r="20" spans="1:15" x14ac:dyDescent="0.3">
      <c r="A20" s="78">
        <v>45999</v>
      </c>
      <c r="B20" s="80">
        <v>399</v>
      </c>
      <c r="D20" s="11" t="s">
        <v>812</v>
      </c>
    </row>
    <row r="21" spans="1:15" x14ac:dyDescent="0.3">
      <c r="A21" s="78">
        <v>45999</v>
      </c>
      <c r="B21" s="80">
        <v>399</v>
      </c>
      <c r="D21" s="11" t="s">
        <v>812</v>
      </c>
    </row>
    <row r="22" spans="1:15" x14ac:dyDescent="0.3">
      <c r="A22" s="78">
        <v>45999</v>
      </c>
      <c r="B22" s="80">
        <v>399</v>
      </c>
      <c r="D22" s="11" t="s">
        <v>812</v>
      </c>
    </row>
    <row r="23" spans="1:15" x14ac:dyDescent="0.3">
      <c r="A23" s="78">
        <v>45999</v>
      </c>
      <c r="B23" s="80">
        <v>796</v>
      </c>
      <c r="D23" s="11" t="s">
        <v>848</v>
      </c>
    </row>
    <row r="24" spans="1:15" x14ac:dyDescent="0.3">
      <c r="A24" s="78">
        <v>45999</v>
      </c>
      <c r="B24" s="80">
        <v>3980</v>
      </c>
      <c r="D24" s="11" t="s">
        <v>302</v>
      </c>
    </row>
    <row r="25" spans="1:15" x14ac:dyDescent="0.3">
      <c r="A25" s="78">
        <v>46000</v>
      </c>
      <c r="B25" s="80">
        <v>299</v>
      </c>
      <c r="D25" s="11" t="s">
        <v>812</v>
      </c>
    </row>
    <row r="26" spans="1:15" x14ac:dyDescent="0.3">
      <c r="A26" s="78">
        <v>46000</v>
      </c>
      <c r="B26" s="80">
        <v>394</v>
      </c>
      <c r="D26" s="11" t="s">
        <v>812</v>
      </c>
    </row>
    <row r="27" spans="1:15" x14ac:dyDescent="0.3">
      <c r="A27" s="78">
        <v>46000</v>
      </c>
      <c r="B27" s="80">
        <v>399</v>
      </c>
      <c r="D27" s="11" t="s">
        <v>812</v>
      </c>
    </row>
    <row r="28" spans="1:15" x14ac:dyDescent="0.3">
      <c r="A28" s="78">
        <v>46000</v>
      </c>
      <c r="B28" s="80">
        <v>798</v>
      </c>
      <c r="D28" s="11" t="s">
        <v>810</v>
      </c>
    </row>
    <row r="29" spans="1:15" x14ac:dyDescent="0.3">
      <c r="A29" s="78">
        <v>46000</v>
      </c>
      <c r="B29" s="80">
        <v>798</v>
      </c>
      <c r="D29" s="11" t="s">
        <v>810</v>
      </c>
    </row>
    <row r="30" spans="1:15" x14ac:dyDescent="0.3">
      <c r="A30" s="78">
        <v>46000</v>
      </c>
      <c r="B30" s="80">
        <v>798</v>
      </c>
      <c r="D30" s="11" t="s">
        <v>810</v>
      </c>
    </row>
    <row r="31" spans="1:15" x14ac:dyDescent="0.3">
      <c r="A31" s="78">
        <v>46000</v>
      </c>
      <c r="B31" s="80">
        <v>798</v>
      </c>
      <c r="D31" s="11" t="s">
        <v>810</v>
      </c>
    </row>
    <row r="32" spans="1:15" x14ac:dyDescent="0.3">
      <c r="A32" s="78">
        <v>46000</v>
      </c>
      <c r="B32" s="80">
        <v>1197</v>
      </c>
      <c r="D32" s="11" t="s">
        <v>812</v>
      </c>
    </row>
    <row r="33" spans="1:4" x14ac:dyDescent="0.3">
      <c r="A33" s="78">
        <v>46000</v>
      </c>
      <c r="B33" s="80">
        <v>840.75</v>
      </c>
      <c r="D33" s="11" t="s">
        <v>811</v>
      </c>
    </row>
    <row r="34" spans="1:4" x14ac:dyDescent="0.3">
      <c r="A34" s="78">
        <v>46000</v>
      </c>
      <c r="B34" s="80">
        <v>798</v>
      </c>
      <c r="D34" s="11" t="s">
        <v>810</v>
      </c>
    </row>
    <row r="35" spans="1:4" x14ac:dyDescent="0.3">
      <c r="A35" s="78">
        <v>46000</v>
      </c>
      <c r="B35" s="80">
        <v>5245.99</v>
      </c>
      <c r="D35" s="11" t="s">
        <v>812</v>
      </c>
    </row>
    <row r="36" spans="1:4" x14ac:dyDescent="0.3">
      <c r="A36" s="78">
        <v>46000</v>
      </c>
      <c r="B36" s="80">
        <v>399</v>
      </c>
      <c r="D36" s="11" t="s">
        <v>812</v>
      </c>
    </row>
    <row r="37" spans="1:4" x14ac:dyDescent="0.3">
      <c r="A37" s="78">
        <v>46000</v>
      </c>
      <c r="B37" s="80">
        <v>399</v>
      </c>
      <c r="D37" s="11" t="s">
        <v>812</v>
      </c>
    </row>
    <row r="38" spans="1:4" x14ac:dyDescent="0.3">
      <c r="A38" s="78">
        <v>46000</v>
      </c>
      <c r="B38" s="80">
        <v>796</v>
      </c>
      <c r="D38" s="11" t="s">
        <v>811</v>
      </c>
    </row>
    <row r="39" spans="1:4" x14ac:dyDescent="0.3">
      <c r="A39" s="78">
        <v>46000</v>
      </c>
      <c r="B39" s="80">
        <v>796</v>
      </c>
      <c r="D39" s="11" t="s">
        <v>811</v>
      </c>
    </row>
    <row r="40" spans="1:4" x14ac:dyDescent="0.3">
      <c r="A40" s="78">
        <v>46000</v>
      </c>
      <c r="B40" s="80">
        <v>796</v>
      </c>
      <c r="D40" s="11" t="s">
        <v>811</v>
      </c>
    </row>
    <row r="41" spans="1:4" x14ac:dyDescent="0.3">
      <c r="A41" s="78">
        <v>46000</v>
      </c>
      <c r="B41" s="80">
        <v>796</v>
      </c>
      <c r="D41" s="11" t="s">
        <v>811</v>
      </c>
    </row>
    <row r="42" spans="1:4" x14ac:dyDescent="0.3">
      <c r="A42" s="78">
        <v>46000</v>
      </c>
      <c r="B42" s="80">
        <v>796</v>
      </c>
      <c r="D42" s="11" t="s">
        <v>811</v>
      </c>
    </row>
    <row r="43" spans="1:4" x14ac:dyDescent="0.3">
      <c r="B43" s="79">
        <f>SUM(B2:B42)</f>
        <v>37616.74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D5CE-4873-448D-A20D-8AD8B0BC412B}">
  <dimension ref="A1:C12"/>
  <sheetViews>
    <sheetView workbookViewId="0">
      <selection activeCell="H18" sqref="H18"/>
    </sheetView>
  </sheetViews>
  <sheetFormatPr defaultRowHeight="14.4" x14ac:dyDescent="0.3"/>
  <sheetData>
    <row r="1" spans="1:3" x14ac:dyDescent="0.3">
      <c r="A1" t="s">
        <v>65</v>
      </c>
      <c r="B1" t="s">
        <v>773</v>
      </c>
      <c r="C1" t="s">
        <v>774</v>
      </c>
    </row>
    <row r="2" spans="1:3" x14ac:dyDescent="0.3">
      <c r="A2" s="78">
        <v>45991</v>
      </c>
      <c r="B2">
        <v>2</v>
      </c>
      <c r="C2" s="79">
        <v>796</v>
      </c>
    </row>
    <row r="3" spans="1:3" x14ac:dyDescent="0.3">
      <c r="A3" s="78">
        <v>45991</v>
      </c>
      <c r="B3">
        <v>1</v>
      </c>
      <c r="C3" s="79">
        <v>398</v>
      </c>
    </row>
    <row r="4" spans="1:3" x14ac:dyDescent="0.3">
      <c r="A4" s="78">
        <v>45991</v>
      </c>
      <c r="B4">
        <v>2</v>
      </c>
      <c r="C4" s="79">
        <v>796</v>
      </c>
    </row>
    <row r="5" spans="1:3" x14ac:dyDescent="0.3">
      <c r="A5" s="78">
        <v>45991</v>
      </c>
      <c r="B5">
        <v>6</v>
      </c>
      <c r="C5" s="79">
        <v>2388</v>
      </c>
    </row>
    <row r="6" spans="1:3" x14ac:dyDescent="0.3">
      <c r="A6" s="78">
        <v>45991</v>
      </c>
      <c r="B6">
        <v>13</v>
      </c>
      <c r="C6" s="79">
        <v>5174</v>
      </c>
    </row>
    <row r="7" spans="1:3" x14ac:dyDescent="0.3">
      <c r="A7" s="78">
        <v>45991</v>
      </c>
      <c r="B7">
        <v>11</v>
      </c>
      <c r="C7" s="79">
        <v>4378</v>
      </c>
    </row>
    <row r="8" spans="1:3" x14ac:dyDescent="0.3">
      <c r="A8" s="78">
        <v>45991</v>
      </c>
      <c r="B8">
        <v>2</v>
      </c>
      <c r="C8" s="79">
        <v>796</v>
      </c>
    </row>
    <row r="9" spans="1:3" x14ac:dyDescent="0.3">
      <c r="A9" s="78">
        <v>45991</v>
      </c>
      <c r="B9">
        <v>3</v>
      </c>
      <c r="C9" s="79">
        <v>1194</v>
      </c>
    </row>
    <row r="10" spans="1:3" x14ac:dyDescent="0.3">
      <c r="A10" s="78">
        <v>45991</v>
      </c>
      <c r="B10">
        <v>4</v>
      </c>
      <c r="C10" s="79">
        <v>1592</v>
      </c>
    </row>
    <row r="11" spans="1:3" x14ac:dyDescent="0.3">
      <c r="A11" s="78">
        <v>45991</v>
      </c>
      <c r="B11">
        <v>3</v>
      </c>
      <c r="C11" s="79">
        <v>1200</v>
      </c>
    </row>
    <row r="12" spans="1:3" x14ac:dyDescent="0.3">
      <c r="B12">
        <f>SUM(B2:B11)</f>
        <v>47</v>
      </c>
      <c r="C12" s="79">
        <f>SUM(C2:C11)</f>
        <v>18712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875F-D429-4CE7-AE39-3DD74060A467}">
  <dimension ref="A1:K28"/>
  <sheetViews>
    <sheetView workbookViewId="0">
      <selection activeCell="B26" sqref="B26"/>
    </sheetView>
  </sheetViews>
  <sheetFormatPr defaultRowHeight="14.4" x14ac:dyDescent="0.3"/>
  <cols>
    <col min="3" max="3" width="26" bestFit="1" customWidth="1"/>
    <col min="4" max="4" width="23" bestFit="1" customWidth="1"/>
    <col min="5" max="5" width="7.5546875" bestFit="1" customWidth="1"/>
    <col min="7" max="7" width="33.109375" bestFit="1" customWidth="1"/>
    <col min="10" max="10" width="34.88671875" bestFit="1" customWidth="1"/>
    <col min="11" max="11" width="10.44140625" bestFit="1" customWidth="1"/>
    <col min="12" max="12" width="11.44140625" bestFit="1" customWidth="1"/>
    <col min="13" max="13" width="12.109375" bestFit="1" customWidth="1"/>
    <col min="14" max="14" width="9.77734375" bestFit="1" customWidth="1"/>
    <col min="15" max="15" width="7.88671875" bestFit="1" customWidth="1"/>
    <col min="16" max="16" width="18.6640625" bestFit="1" customWidth="1"/>
    <col min="17" max="17" width="9.33203125" bestFit="1" customWidth="1"/>
    <col min="18" max="18" width="7.88671875" bestFit="1" customWidth="1"/>
    <col min="19" max="19" width="26.5546875" bestFit="1" customWidth="1"/>
    <col min="20" max="20" width="18.33203125" bestFit="1" customWidth="1"/>
    <col min="21" max="21" width="7" bestFit="1" customWidth="1"/>
    <col min="22" max="22" width="10.77734375" bestFit="1" customWidth="1"/>
  </cols>
  <sheetData>
    <row r="1" spans="1:11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J1" s="13" t="s">
        <v>2</v>
      </c>
      <c r="K1" t="s">
        <v>756</v>
      </c>
    </row>
    <row r="2" spans="1:11" x14ac:dyDescent="0.3">
      <c r="A2" s="68">
        <v>45980</v>
      </c>
      <c r="B2" s="2">
        <v>15</v>
      </c>
      <c r="C2" s="2" t="s">
        <v>698</v>
      </c>
      <c r="D2" s="2" t="s">
        <v>30</v>
      </c>
      <c r="E2" s="3">
        <v>125</v>
      </c>
      <c r="F2" s="3">
        <v>1875</v>
      </c>
      <c r="G2" s="2" t="s">
        <v>719</v>
      </c>
    </row>
    <row r="3" spans="1:11" x14ac:dyDescent="0.3">
      <c r="A3" s="68">
        <v>45981</v>
      </c>
      <c r="B3" s="2">
        <v>12</v>
      </c>
      <c r="C3" s="2" t="s">
        <v>698</v>
      </c>
      <c r="D3" s="2" t="s">
        <v>702</v>
      </c>
      <c r="E3" s="3">
        <v>125</v>
      </c>
      <c r="F3" s="3">
        <v>1500</v>
      </c>
      <c r="G3" s="2" t="s">
        <v>758</v>
      </c>
      <c r="J3" s="13" t="s">
        <v>78</v>
      </c>
      <c r="K3" t="s">
        <v>81</v>
      </c>
    </row>
    <row r="4" spans="1:11" x14ac:dyDescent="0.3">
      <c r="A4" s="68">
        <v>45981</v>
      </c>
      <c r="B4" s="2">
        <v>23</v>
      </c>
      <c r="C4" s="2" t="s">
        <v>698</v>
      </c>
      <c r="D4" s="2" t="s">
        <v>703</v>
      </c>
      <c r="E4" s="3">
        <v>125</v>
      </c>
      <c r="F4" s="3">
        <v>2875</v>
      </c>
      <c r="G4" s="2" t="s">
        <v>754</v>
      </c>
      <c r="J4" s="14" t="s">
        <v>719</v>
      </c>
      <c r="K4">
        <v>26</v>
      </c>
    </row>
    <row r="5" spans="1:11" x14ac:dyDescent="0.3">
      <c r="A5" s="68">
        <v>45982</v>
      </c>
      <c r="B5" s="2">
        <v>1</v>
      </c>
      <c r="C5" s="2" t="s">
        <v>712</v>
      </c>
      <c r="D5" s="2" t="s">
        <v>713</v>
      </c>
      <c r="E5" s="3">
        <v>598</v>
      </c>
      <c r="F5" s="3">
        <v>598</v>
      </c>
      <c r="G5" s="2" t="s">
        <v>231</v>
      </c>
      <c r="J5" s="74" t="s">
        <v>698</v>
      </c>
      <c r="K5">
        <v>15</v>
      </c>
    </row>
    <row r="6" spans="1:11" x14ac:dyDescent="0.3">
      <c r="A6" s="68">
        <v>45982</v>
      </c>
      <c r="B6" s="2">
        <v>5</v>
      </c>
      <c r="C6" s="2" t="s">
        <v>717</v>
      </c>
      <c r="D6" s="2" t="s">
        <v>87</v>
      </c>
      <c r="E6" s="3">
        <v>509</v>
      </c>
      <c r="F6" s="3">
        <v>2545</v>
      </c>
      <c r="G6" s="2" t="s">
        <v>719</v>
      </c>
      <c r="J6" s="74" t="s">
        <v>717</v>
      </c>
      <c r="K6">
        <v>5</v>
      </c>
    </row>
    <row r="7" spans="1:11" x14ac:dyDescent="0.3">
      <c r="A7" s="68">
        <v>45982</v>
      </c>
      <c r="B7" s="2">
        <v>6</v>
      </c>
      <c r="C7" s="2" t="s">
        <v>718</v>
      </c>
      <c r="D7" s="2" t="s">
        <v>87</v>
      </c>
      <c r="E7" s="3">
        <v>659</v>
      </c>
      <c r="F7" s="3">
        <v>3954</v>
      </c>
      <c r="G7" s="2" t="s">
        <v>719</v>
      </c>
      <c r="J7" s="74" t="s">
        <v>718</v>
      </c>
      <c r="K7">
        <v>6</v>
      </c>
    </row>
    <row r="8" spans="1:11" x14ac:dyDescent="0.3">
      <c r="A8" s="68">
        <v>45982</v>
      </c>
      <c r="B8" s="2">
        <v>3</v>
      </c>
      <c r="C8" s="2" t="s">
        <v>718</v>
      </c>
      <c r="D8" s="2" t="s">
        <v>87</v>
      </c>
      <c r="E8" s="3">
        <v>659</v>
      </c>
      <c r="F8" s="3">
        <v>1977</v>
      </c>
      <c r="G8" s="2" t="s">
        <v>753</v>
      </c>
      <c r="J8" s="14" t="s">
        <v>231</v>
      </c>
      <c r="K8">
        <v>1</v>
      </c>
    </row>
    <row r="9" spans="1:11" x14ac:dyDescent="0.3">
      <c r="A9" s="68">
        <v>45982</v>
      </c>
      <c r="B9" s="2">
        <v>7</v>
      </c>
      <c r="C9" s="2" t="s">
        <v>717</v>
      </c>
      <c r="D9" s="2" t="s">
        <v>87</v>
      </c>
      <c r="E9" s="3">
        <v>509</v>
      </c>
      <c r="F9" s="3">
        <v>3563</v>
      </c>
      <c r="G9" s="2" t="s">
        <v>753</v>
      </c>
      <c r="J9" s="74" t="s">
        <v>712</v>
      </c>
      <c r="K9">
        <v>1</v>
      </c>
    </row>
    <row r="10" spans="1:11" x14ac:dyDescent="0.3">
      <c r="A10" s="68">
        <v>45982</v>
      </c>
      <c r="B10" s="2">
        <v>5</v>
      </c>
      <c r="C10" s="2" t="s">
        <v>722</v>
      </c>
      <c r="D10" s="2" t="s">
        <v>87</v>
      </c>
      <c r="E10" s="3">
        <v>659</v>
      </c>
      <c r="F10" s="3">
        <v>3295</v>
      </c>
      <c r="G10" s="2" t="s">
        <v>754</v>
      </c>
      <c r="J10" s="14" t="s">
        <v>755</v>
      </c>
      <c r="K10">
        <v>8</v>
      </c>
    </row>
    <row r="11" spans="1:11" x14ac:dyDescent="0.3">
      <c r="A11" s="68">
        <v>45982</v>
      </c>
      <c r="B11" s="2">
        <v>9</v>
      </c>
      <c r="C11" s="2" t="s">
        <v>723</v>
      </c>
      <c r="D11" s="2" t="s">
        <v>87</v>
      </c>
      <c r="E11" s="3">
        <v>509</v>
      </c>
      <c r="F11" s="3">
        <v>4581</v>
      </c>
      <c r="G11" s="2" t="s">
        <v>754</v>
      </c>
      <c r="J11" s="74" t="s">
        <v>723</v>
      </c>
      <c r="K11">
        <v>8</v>
      </c>
    </row>
    <row r="12" spans="1:11" x14ac:dyDescent="0.3">
      <c r="A12" s="68">
        <v>45982</v>
      </c>
      <c r="B12" s="2">
        <v>8</v>
      </c>
      <c r="C12" s="2" t="s">
        <v>723</v>
      </c>
      <c r="D12" s="2" t="s">
        <v>87</v>
      </c>
      <c r="E12" s="3">
        <v>509</v>
      </c>
      <c r="F12" s="3">
        <v>4072</v>
      </c>
      <c r="G12" s="2" t="s">
        <v>755</v>
      </c>
      <c r="J12" s="14" t="s">
        <v>754</v>
      </c>
      <c r="K12">
        <v>37</v>
      </c>
    </row>
    <row r="13" spans="1:11" x14ac:dyDescent="0.3">
      <c r="A13" s="68">
        <v>45989</v>
      </c>
      <c r="B13" s="2">
        <v>6</v>
      </c>
      <c r="C13" s="2" t="s">
        <v>647</v>
      </c>
      <c r="D13" s="2" t="s">
        <v>364</v>
      </c>
      <c r="E13" s="3">
        <v>419</v>
      </c>
      <c r="F13" s="3">
        <v>2514</v>
      </c>
      <c r="G13" s="2" t="s">
        <v>744</v>
      </c>
      <c r="J13" s="74" t="s">
        <v>698</v>
      </c>
      <c r="K13">
        <v>23</v>
      </c>
    </row>
    <row r="14" spans="1:11" x14ac:dyDescent="0.3">
      <c r="A14" s="68">
        <v>45989</v>
      </c>
      <c r="B14" s="2">
        <v>10</v>
      </c>
      <c r="C14" s="2" t="s">
        <v>745</v>
      </c>
      <c r="D14" s="2" t="s">
        <v>364</v>
      </c>
      <c r="E14" s="3">
        <v>125</v>
      </c>
      <c r="F14" s="3">
        <v>1250</v>
      </c>
      <c r="G14" s="2" t="s">
        <v>751</v>
      </c>
      <c r="J14" s="74" t="s">
        <v>723</v>
      </c>
      <c r="K14">
        <v>9</v>
      </c>
    </row>
    <row r="15" spans="1:11" x14ac:dyDescent="0.3">
      <c r="A15" s="68">
        <v>45989</v>
      </c>
      <c r="B15" s="2">
        <v>3</v>
      </c>
      <c r="C15" s="2" t="s">
        <v>647</v>
      </c>
      <c r="D15" s="2" t="s">
        <v>364</v>
      </c>
      <c r="E15" s="3">
        <v>419</v>
      </c>
      <c r="F15" s="3">
        <v>1257</v>
      </c>
      <c r="G15" s="2" t="s">
        <v>11</v>
      </c>
      <c r="J15" s="74" t="s">
        <v>722</v>
      </c>
      <c r="K15">
        <v>5</v>
      </c>
    </row>
    <row r="16" spans="1:11" x14ac:dyDescent="0.3">
      <c r="A16" s="68">
        <v>45989</v>
      </c>
      <c r="B16" s="2">
        <v>2</v>
      </c>
      <c r="C16" s="2" t="s">
        <v>647</v>
      </c>
      <c r="D16" s="2" t="s">
        <v>364</v>
      </c>
      <c r="E16" s="3">
        <v>419</v>
      </c>
      <c r="F16" s="3">
        <v>838</v>
      </c>
      <c r="G16" s="2" t="s">
        <v>102</v>
      </c>
      <c r="J16" s="14" t="s">
        <v>744</v>
      </c>
      <c r="K16">
        <v>6</v>
      </c>
    </row>
    <row r="17" spans="1:11" x14ac:dyDescent="0.3">
      <c r="A17" s="68">
        <v>45990</v>
      </c>
      <c r="B17" s="2">
        <v>1</v>
      </c>
      <c r="C17" s="2" t="s">
        <v>748</v>
      </c>
      <c r="D17" s="2" t="s">
        <v>230</v>
      </c>
      <c r="E17" s="3">
        <v>399</v>
      </c>
      <c r="F17" s="3">
        <v>399</v>
      </c>
      <c r="G17" s="2" t="s">
        <v>102</v>
      </c>
      <c r="J17" s="74" t="s">
        <v>647</v>
      </c>
      <c r="K17">
        <v>6</v>
      </c>
    </row>
    <row r="18" spans="1:11" x14ac:dyDescent="0.3">
      <c r="A18" s="68">
        <v>45990</v>
      </c>
      <c r="B18" s="2">
        <v>2</v>
      </c>
      <c r="C18" s="2" t="s">
        <v>665</v>
      </c>
      <c r="D18" s="2" t="s">
        <v>749</v>
      </c>
      <c r="E18" s="3">
        <v>398</v>
      </c>
      <c r="F18" s="3">
        <v>796</v>
      </c>
      <c r="G18" s="2" t="s">
        <v>757</v>
      </c>
      <c r="J18" s="14" t="s">
        <v>11</v>
      </c>
      <c r="K18">
        <v>3</v>
      </c>
    </row>
    <row r="19" spans="1:11" x14ac:dyDescent="0.3">
      <c r="J19" s="74" t="s">
        <v>647</v>
      </c>
      <c r="K19">
        <v>3</v>
      </c>
    </row>
    <row r="20" spans="1:11" x14ac:dyDescent="0.3">
      <c r="J20" s="14" t="s">
        <v>102</v>
      </c>
      <c r="K20">
        <v>3</v>
      </c>
    </row>
    <row r="21" spans="1:11" x14ac:dyDescent="0.3">
      <c r="J21" s="74" t="s">
        <v>647</v>
      </c>
      <c r="K21">
        <v>2</v>
      </c>
    </row>
    <row r="22" spans="1:11" x14ac:dyDescent="0.3">
      <c r="J22" s="74" t="s">
        <v>748</v>
      </c>
      <c r="K22">
        <v>1</v>
      </c>
    </row>
    <row r="23" spans="1:11" x14ac:dyDescent="0.3">
      <c r="J23" s="14" t="s">
        <v>751</v>
      </c>
      <c r="K23">
        <v>10</v>
      </c>
    </row>
    <row r="24" spans="1:11" x14ac:dyDescent="0.3">
      <c r="J24" s="74" t="s">
        <v>745</v>
      </c>
      <c r="K24">
        <v>10</v>
      </c>
    </row>
    <row r="25" spans="1:11" x14ac:dyDescent="0.3">
      <c r="J25" s="14" t="s">
        <v>753</v>
      </c>
      <c r="K25">
        <v>10</v>
      </c>
    </row>
    <row r="26" spans="1:11" x14ac:dyDescent="0.3">
      <c r="J26" s="74" t="s">
        <v>717</v>
      </c>
      <c r="K26">
        <v>7</v>
      </c>
    </row>
    <row r="27" spans="1:11" x14ac:dyDescent="0.3">
      <c r="J27" s="74" t="s">
        <v>718</v>
      </c>
      <c r="K27">
        <v>3</v>
      </c>
    </row>
    <row r="28" spans="1:11" x14ac:dyDescent="0.3">
      <c r="J28" s="14" t="s">
        <v>80</v>
      </c>
      <c r="K28">
        <v>104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J18" sqref="J18"/>
    </sheetView>
  </sheetViews>
  <sheetFormatPr defaultRowHeight="14.4" x14ac:dyDescent="0.3"/>
  <cols>
    <col min="1" max="1" width="6.5546875" bestFit="1" customWidth="1"/>
    <col min="2" max="2" width="4" bestFit="1" customWidth="1"/>
    <col min="3" max="3" width="15.88671875" bestFit="1" customWidth="1"/>
    <col min="4" max="4" width="15.77734375" bestFit="1" customWidth="1"/>
    <col min="5" max="5" width="6.44140625" bestFit="1" customWidth="1"/>
    <col min="6" max="6" width="7.44140625" bestFit="1" customWidth="1"/>
    <col min="7" max="7" width="14.44140625" bestFit="1" customWidth="1"/>
    <col min="8" max="8" width="15" bestFit="1" customWidth="1"/>
    <col min="9" max="9" width="12.109375" bestFit="1" customWidth="1"/>
    <col min="12" max="12" width="15.88671875" bestFit="1" customWidth="1"/>
    <col min="13" max="13" width="10.44140625" bestFit="1" customWidth="1"/>
    <col min="15" max="15" width="12.5546875" bestFit="1" customWidth="1"/>
    <col min="16" max="16" width="10.44140625" bestFit="1" customWidth="1"/>
    <col min="18" max="18" width="15.77734375" bestFit="1" customWidth="1"/>
    <col min="19" max="19" width="10.44140625" bestFit="1" customWidth="1"/>
  </cols>
  <sheetData>
    <row r="1" spans="1:23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3">
      <c r="A2" s="68">
        <v>45957</v>
      </c>
      <c r="B2" s="2">
        <v>1</v>
      </c>
      <c r="C2" s="2" t="s">
        <v>406</v>
      </c>
      <c r="D2" s="2" t="s">
        <v>635</v>
      </c>
      <c r="E2" s="65">
        <v>1449</v>
      </c>
      <c r="F2" s="65">
        <v>1449</v>
      </c>
      <c r="G2" s="2" t="s">
        <v>348</v>
      </c>
      <c r="H2" s="2" t="s">
        <v>636</v>
      </c>
      <c r="I2" s="2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3">
      <c r="A3" s="68">
        <v>45957</v>
      </c>
      <c r="B3" s="2">
        <v>2</v>
      </c>
      <c r="C3" s="2" t="s">
        <v>406</v>
      </c>
      <c r="D3" s="2" t="s">
        <v>383</v>
      </c>
      <c r="E3" s="65">
        <v>1455</v>
      </c>
      <c r="F3" s="65">
        <f>E3*B3</f>
        <v>2910</v>
      </c>
      <c r="G3" s="2" t="s">
        <v>348</v>
      </c>
      <c r="H3" s="2" t="s">
        <v>638</v>
      </c>
      <c r="I3" s="72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3">
      <c r="A4" s="68">
        <v>45958</v>
      </c>
      <c r="B4" s="2">
        <v>10</v>
      </c>
      <c r="C4" s="2" t="s">
        <v>406</v>
      </c>
      <c r="D4" s="2" t="s">
        <v>383</v>
      </c>
      <c r="E4" s="65">
        <v>1399</v>
      </c>
      <c r="F4" s="65">
        <f>E4*B4</f>
        <v>13990</v>
      </c>
      <c r="G4" s="2" t="s">
        <v>348</v>
      </c>
      <c r="H4" s="2" t="s">
        <v>636</v>
      </c>
      <c r="I4" s="2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3">
      <c r="A5" s="68">
        <v>45958</v>
      </c>
      <c r="B5" s="2">
        <v>1</v>
      </c>
      <c r="C5" s="2" t="s">
        <v>391</v>
      </c>
      <c r="D5" s="2" t="s">
        <v>383</v>
      </c>
      <c r="E5" s="65">
        <v>9</v>
      </c>
      <c r="F5" s="65">
        <v>9</v>
      </c>
      <c r="G5" s="2"/>
      <c r="H5" s="2" t="s">
        <v>636</v>
      </c>
      <c r="I5" s="2"/>
      <c r="L5" s="14" t="s">
        <v>80</v>
      </c>
      <c r="M5">
        <v>23</v>
      </c>
      <c r="O5" s="14" t="s">
        <v>80</v>
      </c>
      <c r="P5">
        <v>16</v>
      </c>
    </row>
    <row r="6" spans="1:23" x14ac:dyDescent="0.3">
      <c r="A6" s="68">
        <v>45958</v>
      </c>
      <c r="B6" s="2">
        <v>3</v>
      </c>
      <c r="C6" s="2" t="s">
        <v>378</v>
      </c>
      <c r="D6" s="2" t="s">
        <v>383</v>
      </c>
      <c r="E6" s="65">
        <v>780</v>
      </c>
      <c r="F6" s="65">
        <f>E6*B6</f>
        <v>2340</v>
      </c>
      <c r="G6" s="2" t="s">
        <v>348</v>
      </c>
      <c r="H6" s="2" t="s">
        <v>636</v>
      </c>
      <c r="I6" s="2"/>
    </row>
    <row r="7" spans="1:23" x14ac:dyDescent="0.3">
      <c r="A7" s="68">
        <v>45958</v>
      </c>
      <c r="B7" s="2">
        <v>6</v>
      </c>
      <c r="C7" s="2" t="s">
        <v>406</v>
      </c>
      <c r="D7" s="2" t="s">
        <v>433</v>
      </c>
      <c r="E7" s="65">
        <v>1348</v>
      </c>
      <c r="F7" s="65">
        <f t="shared" ref="F7:F8" si="0">E7*B7</f>
        <v>8088</v>
      </c>
      <c r="G7" s="2" t="s">
        <v>348</v>
      </c>
      <c r="H7" s="2" t="s">
        <v>636</v>
      </c>
      <c r="I7" s="2"/>
    </row>
    <row r="8" spans="1:23" x14ac:dyDescent="0.3">
      <c r="A8" s="68">
        <v>45958</v>
      </c>
      <c r="B8" s="2">
        <v>1</v>
      </c>
      <c r="C8" s="2" t="s">
        <v>639</v>
      </c>
      <c r="D8" s="2" t="s">
        <v>433</v>
      </c>
      <c r="E8" s="65">
        <v>1348</v>
      </c>
      <c r="F8" s="65">
        <f t="shared" si="0"/>
        <v>1348</v>
      </c>
      <c r="G8" s="2" t="s">
        <v>348</v>
      </c>
      <c r="H8" s="2" t="s">
        <v>636</v>
      </c>
      <c r="I8" s="2"/>
    </row>
    <row r="9" spans="1:23" x14ac:dyDescent="0.3">
      <c r="A9" s="2"/>
      <c r="B9" s="2"/>
      <c r="C9" s="2"/>
      <c r="D9" s="2"/>
      <c r="E9" s="2"/>
      <c r="F9" s="2"/>
      <c r="G9" s="2"/>
      <c r="H9" s="2"/>
      <c r="I9" s="2"/>
    </row>
    <row r="10" spans="1:23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19"/>
  <sheetViews>
    <sheetView workbookViewId="0">
      <selection activeCell="D14" sqref="D14"/>
    </sheetView>
  </sheetViews>
  <sheetFormatPr defaultRowHeight="14.4" x14ac:dyDescent="0.3"/>
  <cols>
    <col min="1" max="1" width="16.5546875" bestFit="1" customWidth="1"/>
    <col min="2" max="2" width="4" bestFit="1" customWidth="1"/>
    <col min="3" max="4" width="17" bestFit="1" customWidth="1"/>
    <col min="6" max="6" width="10" bestFit="1" customWidth="1"/>
    <col min="7" max="7" width="14.4414062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92">
        <v>45964</v>
      </c>
      <c r="B2" s="86">
        <v>2</v>
      </c>
      <c r="C2" s="86" t="s">
        <v>582</v>
      </c>
      <c r="D2" s="86" t="s">
        <v>383</v>
      </c>
      <c r="E2" s="91">
        <v>1450</v>
      </c>
      <c r="F2" s="91">
        <f>B2*E2</f>
        <v>2900</v>
      </c>
      <c r="G2" s="86" t="s">
        <v>348</v>
      </c>
      <c r="H2" s="86" t="s">
        <v>464</v>
      </c>
      <c r="I2" s="86"/>
    </row>
    <row r="3" spans="1:9" x14ac:dyDescent="0.3">
      <c r="A3" s="92">
        <v>45964</v>
      </c>
      <c r="B3" s="86">
        <v>2</v>
      </c>
      <c r="C3" s="86" t="s">
        <v>580</v>
      </c>
      <c r="D3" s="86" t="s">
        <v>460</v>
      </c>
      <c r="E3" s="91">
        <v>1450</v>
      </c>
      <c r="F3" s="91">
        <f t="shared" ref="F3:F12" si="0">B3*E3</f>
        <v>2900</v>
      </c>
      <c r="G3" s="86" t="s">
        <v>348</v>
      </c>
      <c r="H3" s="86" t="s">
        <v>464</v>
      </c>
      <c r="I3" s="86"/>
    </row>
    <row r="4" spans="1:9" x14ac:dyDescent="0.3">
      <c r="A4" s="92">
        <v>45964</v>
      </c>
      <c r="B4" s="86">
        <v>1</v>
      </c>
      <c r="C4" s="86" t="s">
        <v>582</v>
      </c>
      <c r="D4" s="86" t="s">
        <v>635</v>
      </c>
      <c r="E4" s="91">
        <v>1480</v>
      </c>
      <c r="F4" s="91">
        <f t="shared" si="0"/>
        <v>1480</v>
      </c>
      <c r="G4" s="86" t="s">
        <v>348</v>
      </c>
      <c r="H4" s="86" t="s">
        <v>464</v>
      </c>
      <c r="I4" s="86"/>
    </row>
    <row r="5" spans="1:9" x14ac:dyDescent="0.3">
      <c r="A5" s="92">
        <v>45964</v>
      </c>
      <c r="B5" s="86">
        <v>4</v>
      </c>
      <c r="C5" s="86" t="s">
        <v>679</v>
      </c>
      <c r="D5" s="86" t="s">
        <v>383</v>
      </c>
      <c r="E5" s="91">
        <v>1399</v>
      </c>
      <c r="F5" s="91">
        <f t="shared" si="0"/>
        <v>5596</v>
      </c>
      <c r="G5" s="86" t="s">
        <v>348</v>
      </c>
      <c r="H5" s="86" t="s">
        <v>464</v>
      </c>
      <c r="I5" s="86"/>
    </row>
    <row r="6" spans="1:9" x14ac:dyDescent="0.3">
      <c r="A6" s="92">
        <v>45964</v>
      </c>
      <c r="B6" s="86">
        <v>2</v>
      </c>
      <c r="C6" s="86" t="s">
        <v>582</v>
      </c>
      <c r="D6" s="86" t="s">
        <v>383</v>
      </c>
      <c r="E6" s="91">
        <v>1399</v>
      </c>
      <c r="F6" s="91">
        <f t="shared" si="0"/>
        <v>2798</v>
      </c>
      <c r="G6" s="86" t="s">
        <v>348</v>
      </c>
      <c r="H6" s="86" t="s">
        <v>464</v>
      </c>
      <c r="I6" s="86"/>
    </row>
    <row r="7" spans="1:9" x14ac:dyDescent="0.3">
      <c r="A7" s="92">
        <v>45968</v>
      </c>
      <c r="B7" s="86">
        <v>60</v>
      </c>
      <c r="C7" s="86" t="s">
        <v>667</v>
      </c>
      <c r="D7" s="86" t="s">
        <v>668</v>
      </c>
      <c r="E7" s="91">
        <v>10</v>
      </c>
      <c r="F7" s="91">
        <f t="shared" si="0"/>
        <v>600</v>
      </c>
      <c r="G7" s="86"/>
      <c r="H7" s="86"/>
      <c r="I7" s="86"/>
    </row>
    <row r="8" spans="1:9" x14ac:dyDescent="0.3">
      <c r="A8" s="92">
        <v>45988</v>
      </c>
      <c r="B8" s="86">
        <v>1</v>
      </c>
      <c r="C8" s="86" t="s">
        <v>582</v>
      </c>
      <c r="D8" s="86" t="s">
        <v>522</v>
      </c>
      <c r="E8" s="91">
        <v>1348</v>
      </c>
      <c r="F8" s="91">
        <f t="shared" si="0"/>
        <v>1348</v>
      </c>
      <c r="G8" s="86" t="s">
        <v>348</v>
      </c>
      <c r="H8" s="86" t="s">
        <v>464</v>
      </c>
      <c r="I8" s="93">
        <v>46004</v>
      </c>
    </row>
    <row r="9" spans="1:9" x14ac:dyDescent="0.3">
      <c r="A9" s="92">
        <v>45988</v>
      </c>
      <c r="B9" s="86">
        <v>1</v>
      </c>
      <c r="C9" s="86" t="s">
        <v>679</v>
      </c>
      <c r="D9" s="86" t="s">
        <v>522</v>
      </c>
      <c r="E9" s="91">
        <v>1348</v>
      </c>
      <c r="F9" s="91">
        <f t="shared" si="0"/>
        <v>1348</v>
      </c>
      <c r="G9" s="86" t="s">
        <v>348</v>
      </c>
      <c r="H9" s="86" t="s">
        <v>464</v>
      </c>
      <c r="I9" s="93">
        <v>46004</v>
      </c>
    </row>
    <row r="10" spans="1:9" x14ac:dyDescent="0.3">
      <c r="A10" s="92">
        <v>45989</v>
      </c>
      <c r="B10" s="86">
        <v>3</v>
      </c>
      <c r="C10" s="86" t="s">
        <v>582</v>
      </c>
      <c r="D10" s="86" t="s">
        <v>466</v>
      </c>
      <c r="E10" s="91">
        <v>1380</v>
      </c>
      <c r="F10" s="91">
        <f t="shared" si="0"/>
        <v>4140</v>
      </c>
      <c r="G10" s="86" t="s">
        <v>348</v>
      </c>
      <c r="H10" s="86" t="s">
        <v>467</v>
      </c>
      <c r="I10" s="93">
        <v>46004</v>
      </c>
    </row>
    <row r="11" spans="1:9" x14ac:dyDescent="0.3">
      <c r="A11" s="92">
        <v>45989</v>
      </c>
      <c r="B11" s="86">
        <v>10</v>
      </c>
      <c r="C11" s="86" t="s">
        <v>679</v>
      </c>
      <c r="D11" s="86" t="s">
        <v>383</v>
      </c>
      <c r="E11" s="91">
        <v>1390</v>
      </c>
      <c r="F11" s="91">
        <f t="shared" si="0"/>
        <v>13900</v>
      </c>
      <c r="G11" s="86" t="s">
        <v>348</v>
      </c>
      <c r="H11" s="86" t="s">
        <v>464</v>
      </c>
      <c r="I11" s="93">
        <v>46004</v>
      </c>
    </row>
    <row r="12" spans="1:9" x14ac:dyDescent="0.3">
      <c r="A12" s="92">
        <v>45989</v>
      </c>
      <c r="B12" s="86">
        <v>12</v>
      </c>
      <c r="C12" s="86" t="s">
        <v>582</v>
      </c>
      <c r="D12" s="86" t="s">
        <v>383</v>
      </c>
      <c r="E12" s="91">
        <v>1390</v>
      </c>
      <c r="F12" s="91">
        <f t="shared" si="0"/>
        <v>16680</v>
      </c>
      <c r="G12" s="86" t="s">
        <v>348</v>
      </c>
      <c r="H12" s="86" t="s">
        <v>464</v>
      </c>
      <c r="I12" s="93">
        <v>46004</v>
      </c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D5C9-25AA-416C-A42E-39C15F7EADF6}">
  <dimension ref="A1:O16"/>
  <sheetViews>
    <sheetView workbookViewId="0">
      <selection activeCell="E23" sqref="E23"/>
    </sheetView>
  </sheetViews>
  <sheetFormatPr defaultRowHeight="14.4" x14ac:dyDescent="0.3"/>
  <cols>
    <col min="3" max="3" width="15.88671875" bestFit="1" customWidth="1"/>
    <col min="4" max="4" width="15.21875" bestFit="1" customWidth="1"/>
    <col min="7" max="7" width="14.44140625" bestFit="1" customWidth="1"/>
    <col min="8" max="8" width="15" bestFit="1" customWidth="1"/>
    <col min="9" max="9" width="12.10937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J1" s="48" t="s">
        <v>632</v>
      </c>
    </row>
    <row r="2" spans="1:15" x14ac:dyDescent="0.3">
      <c r="A2" s="85">
        <v>45993</v>
      </c>
      <c r="B2" s="86">
        <v>10</v>
      </c>
      <c r="C2" s="86" t="s">
        <v>639</v>
      </c>
      <c r="D2" s="86" t="s">
        <v>460</v>
      </c>
      <c r="E2" s="86">
        <v>1260</v>
      </c>
      <c r="F2" s="86">
        <f>B2*E2</f>
        <v>12600</v>
      </c>
      <c r="G2" s="86" t="s">
        <v>348</v>
      </c>
      <c r="H2" s="86" t="s">
        <v>464</v>
      </c>
      <c r="I2" s="86"/>
      <c r="J2" s="78">
        <v>46004</v>
      </c>
    </row>
    <row r="3" spans="1:15" x14ac:dyDescent="0.3">
      <c r="A3" s="85">
        <v>45993</v>
      </c>
      <c r="B3" s="86">
        <v>1</v>
      </c>
      <c r="C3" s="86" t="s">
        <v>639</v>
      </c>
      <c r="D3" s="86" t="s">
        <v>433</v>
      </c>
      <c r="E3" s="86">
        <v>1348</v>
      </c>
      <c r="F3" s="86">
        <f>B3*E3</f>
        <v>1348</v>
      </c>
      <c r="G3" s="86" t="s">
        <v>348</v>
      </c>
      <c r="H3" s="86" t="s">
        <v>464</v>
      </c>
      <c r="I3" s="86"/>
      <c r="J3" s="78">
        <v>46004</v>
      </c>
    </row>
    <row r="4" spans="1:15" x14ac:dyDescent="0.3">
      <c r="A4" s="85">
        <v>45993</v>
      </c>
      <c r="B4" s="86">
        <v>3</v>
      </c>
      <c r="C4" s="86" t="s">
        <v>378</v>
      </c>
      <c r="D4" s="86" t="s">
        <v>433</v>
      </c>
      <c r="E4" s="86">
        <v>738</v>
      </c>
      <c r="F4" s="86">
        <f t="shared" ref="F4:F11" si="0">B4*E4</f>
        <v>2214</v>
      </c>
      <c r="G4" s="86" t="s">
        <v>348</v>
      </c>
      <c r="H4" s="86" t="s">
        <v>464</v>
      </c>
      <c r="I4" s="86"/>
      <c r="J4" s="78">
        <v>46004</v>
      </c>
    </row>
    <row r="5" spans="1:15" x14ac:dyDescent="0.3">
      <c r="A5" s="85">
        <v>45993</v>
      </c>
      <c r="B5" s="86">
        <v>2</v>
      </c>
      <c r="C5" s="86" t="s">
        <v>406</v>
      </c>
      <c r="D5" s="86" t="s">
        <v>433</v>
      </c>
      <c r="E5" s="86">
        <v>1348</v>
      </c>
      <c r="F5" s="86">
        <f t="shared" si="0"/>
        <v>2696</v>
      </c>
      <c r="G5" s="86" t="s">
        <v>348</v>
      </c>
      <c r="H5" s="86" t="s">
        <v>464</v>
      </c>
      <c r="I5" s="86"/>
      <c r="J5" s="78">
        <v>46004</v>
      </c>
    </row>
    <row r="6" spans="1:15" x14ac:dyDescent="0.3">
      <c r="A6" s="85">
        <v>45993</v>
      </c>
      <c r="B6" s="86">
        <v>2</v>
      </c>
      <c r="C6" s="86" t="s">
        <v>639</v>
      </c>
      <c r="D6" s="86" t="s">
        <v>433</v>
      </c>
      <c r="E6" s="86">
        <v>1348</v>
      </c>
      <c r="F6" s="86">
        <f t="shared" si="0"/>
        <v>2696</v>
      </c>
      <c r="G6" s="86" t="s">
        <v>348</v>
      </c>
      <c r="H6" s="86" t="s">
        <v>464</v>
      </c>
      <c r="I6" s="86"/>
      <c r="J6" s="78">
        <v>46004</v>
      </c>
    </row>
    <row r="7" spans="1:15" x14ac:dyDescent="0.3">
      <c r="A7" s="85">
        <v>46000</v>
      </c>
      <c r="B7" s="86">
        <v>500</v>
      </c>
      <c r="C7" s="86" t="s">
        <v>822</v>
      </c>
      <c r="D7" s="86" t="s">
        <v>291</v>
      </c>
      <c r="E7" s="86">
        <v>28</v>
      </c>
      <c r="F7" s="86">
        <f t="shared" si="0"/>
        <v>14000</v>
      </c>
      <c r="G7" s="86" t="s">
        <v>348</v>
      </c>
      <c r="H7" s="86" t="s">
        <v>543</v>
      </c>
      <c r="I7" s="85">
        <v>46003</v>
      </c>
      <c r="J7" s="78">
        <v>46004</v>
      </c>
    </row>
    <row r="8" spans="1:15" x14ac:dyDescent="0.3">
      <c r="A8" s="85">
        <v>46000</v>
      </c>
      <c r="B8" s="86">
        <v>100</v>
      </c>
      <c r="C8" s="86" t="s">
        <v>31</v>
      </c>
      <c r="D8" s="86" t="s">
        <v>291</v>
      </c>
      <c r="E8" s="86">
        <v>299</v>
      </c>
      <c r="F8" s="86">
        <f t="shared" si="0"/>
        <v>29900</v>
      </c>
      <c r="G8" s="86" t="s">
        <v>348</v>
      </c>
      <c r="H8" s="86" t="s">
        <v>543</v>
      </c>
      <c r="I8" s="85">
        <v>46004</v>
      </c>
      <c r="J8" s="78">
        <v>46004</v>
      </c>
      <c r="O8">
        <v>880</v>
      </c>
    </row>
    <row r="9" spans="1:15" x14ac:dyDescent="0.3">
      <c r="A9" s="85">
        <v>46000</v>
      </c>
      <c r="B9" s="86">
        <v>1</v>
      </c>
      <c r="C9" s="86" t="s">
        <v>823</v>
      </c>
      <c r="D9" s="86" t="s">
        <v>291</v>
      </c>
      <c r="E9" s="86">
        <v>89</v>
      </c>
      <c r="F9" s="86">
        <f t="shared" si="0"/>
        <v>89</v>
      </c>
      <c r="G9" s="86" t="s">
        <v>348</v>
      </c>
      <c r="H9" s="86" t="s">
        <v>543</v>
      </c>
      <c r="I9" s="85">
        <v>46005</v>
      </c>
      <c r="J9" s="78">
        <v>46004</v>
      </c>
    </row>
    <row r="10" spans="1:15" x14ac:dyDescent="0.3">
      <c r="A10" s="85">
        <v>46001</v>
      </c>
      <c r="B10" s="86">
        <v>100</v>
      </c>
      <c r="C10" s="86" t="s">
        <v>31</v>
      </c>
      <c r="D10" s="86" t="s">
        <v>291</v>
      </c>
      <c r="E10" s="86">
        <v>299</v>
      </c>
      <c r="F10" s="86">
        <f t="shared" si="0"/>
        <v>29900</v>
      </c>
      <c r="G10" s="86" t="s">
        <v>348</v>
      </c>
      <c r="H10" s="86" t="s">
        <v>543</v>
      </c>
      <c r="I10" s="85">
        <v>46006</v>
      </c>
      <c r="J10" s="78">
        <v>46004</v>
      </c>
    </row>
    <row r="11" spans="1:15" x14ac:dyDescent="0.3">
      <c r="A11" s="81">
        <v>46002</v>
      </c>
      <c r="B11" s="82">
        <v>2</v>
      </c>
      <c r="C11" s="82" t="s">
        <v>378</v>
      </c>
      <c r="D11" s="82" t="s">
        <v>460</v>
      </c>
      <c r="E11" s="82">
        <v>775</v>
      </c>
      <c r="F11" s="82">
        <f t="shared" si="0"/>
        <v>1550</v>
      </c>
      <c r="G11" s="82" t="s">
        <v>62</v>
      </c>
      <c r="H11" s="82" t="s">
        <v>464</v>
      </c>
      <c r="I11" s="82"/>
    </row>
    <row r="12" spans="1:15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15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15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15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15" x14ac:dyDescent="0.3">
      <c r="A16" s="2"/>
      <c r="B16" s="2"/>
      <c r="C16" s="2"/>
      <c r="D16" s="2"/>
      <c r="E16" s="2"/>
      <c r="F16" s="2"/>
      <c r="G16" s="2"/>
      <c r="H16" s="2"/>
      <c r="I16" s="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2354-68B5-49F6-A18C-2404B03515F9}">
  <dimension ref="E2:O10"/>
  <sheetViews>
    <sheetView topLeftCell="C1" workbookViewId="0">
      <selection activeCell="S14" sqref="S14"/>
    </sheetView>
  </sheetViews>
  <sheetFormatPr defaultRowHeight="14.4" x14ac:dyDescent="0.3"/>
  <sheetData>
    <row r="2" spans="5:15" x14ac:dyDescent="0.3">
      <c r="E2">
        <v>57800</v>
      </c>
      <c r="F2">
        <v>41000</v>
      </c>
      <c r="H2">
        <v>43000</v>
      </c>
      <c r="K2">
        <v>60</v>
      </c>
      <c r="L2">
        <v>410</v>
      </c>
      <c r="M2">
        <f>K2*L2</f>
        <v>24600</v>
      </c>
      <c r="N2">
        <v>110</v>
      </c>
      <c r="O2">
        <f>K2*N2</f>
        <v>6600</v>
      </c>
    </row>
    <row r="3" spans="5:15" x14ac:dyDescent="0.3">
      <c r="E3">
        <v>9000</v>
      </c>
      <c r="F3">
        <v>500</v>
      </c>
      <c r="H3">
        <v>9000</v>
      </c>
      <c r="K3">
        <v>10</v>
      </c>
      <c r="L3">
        <v>3300</v>
      </c>
      <c r="M3">
        <f t="shared" ref="M3:M4" si="0">K3*L3</f>
        <v>33000</v>
      </c>
      <c r="N3">
        <v>1100</v>
      </c>
      <c r="O3">
        <f t="shared" ref="O3:O9" si="1">K3*N3</f>
        <v>11000</v>
      </c>
    </row>
    <row r="4" spans="5:15" x14ac:dyDescent="0.3">
      <c r="E4">
        <v>3</v>
      </c>
      <c r="F4">
        <v>1600</v>
      </c>
      <c r="H4">
        <f>H2-H3</f>
        <v>34000</v>
      </c>
      <c r="K4">
        <v>5</v>
      </c>
      <c r="L4">
        <v>2500</v>
      </c>
      <c r="M4">
        <f t="shared" si="0"/>
        <v>12500</v>
      </c>
      <c r="N4">
        <v>600</v>
      </c>
      <c r="O4">
        <f t="shared" si="1"/>
        <v>3000</v>
      </c>
    </row>
    <row r="5" spans="5:15" x14ac:dyDescent="0.3">
      <c r="F5">
        <v>43100</v>
      </c>
      <c r="H5">
        <v>23800</v>
      </c>
      <c r="M5">
        <f>SUM(M2:M4)</f>
        <v>70100</v>
      </c>
      <c r="O5">
        <f t="shared" si="1"/>
        <v>0</v>
      </c>
    </row>
    <row r="6" spans="5:15" x14ac:dyDescent="0.3">
      <c r="K6">
        <v>5</v>
      </c>
      <c r="N6">
        <v>400</v>
      </c>
      <c r="O6">
        <f t="shared" si="1"/>
        <v>2000</v>
      </c>
    </row>
    <row r="7" spans="5:15" x14ac:dyDescent="0.3">
      <c r="O7">
        <f t="shared" si="1"/>
        <v>0</v>
      </c>
    </row>
    <row r="8" spans="5:15" x14ac:dyDescent="0.3">
      <c r="G8">
        <f>57800-34000</f>
        <v>23800</v>
      </c>
      <c r="K8">
        <v>40</v>
      </c>
      <c r="N8">
        <v>100</v>
      </c>
      <c r="O8">
        <f t="shared" si="1"/>
        <v>4000</v>
      </c>
    </row>
    <row r="9" spans="5:15" x14ac:dyDescent="0.3">
      <c r="K9">
        <v>20</v>
      </c>
      <c r="N9">
        <v>300</v>
      </c>
      <c r="O9">
        <f t="shared" si="1"/>
        <v>6000</v>
      </c>
    </row>
    <row r="10" spans="5:15" x14ac:dyDescent="0.3">
      <c r="O10">
        <f>SUM(O2:O9)</f>
        <v>32600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15F-3C6D-43C4-B25D-C70DAFBC57BE}">
  <dimension ref="A2:D6"/>
  <sheetViews>
    <sheetView workbookViewId="0">
      <selection activeCell="M22" sqref="M22"/>
    </sheetView>
  </sheetViews>
  <sheetFormatPr defaultRowHeight="14.4" x14ac:dyDescent="0.3"/>
  <sheetData>
    <row r="2" spans="1:4" x14ac:dyDescent="0.3">
      <c r="A2" s="75">
        <v>5</v>
      </c>
      <c r="B2" t="s">
        <v>669</v>
      </c>
      <c r="C2">
        <v>2600</v>
      </c>
      <c r="D2">
        <f>A2*C2</f>
        <v>13000</v>
      </c>
    </row>
    <row r="3" spans="1:4" x14ac:dyDescent="0.3">
      <c r="A3" s="75">
        <v>10</v>
      </c>
      <c r="B3" t="s">
        <v>670</v>
      </c>
      <c r="C3">
        <v>3300</v>
      </c>
      <c r="D3">
        <f t="shared" ref="D3:D5" si="0">A3*C3</f>
        <v>33000</v>
      </c>
    </row>
    <row r="4" spans="1:4" x14ac:dyDescent="0.3">
      <c r="A4" s="75">
        <v>10</v>
      </c>
      <c r="B4" t="s">
        <v>671</v>
      </c>
      <c r="C4">
        <v>1300</v>
      </c>
      <c r="D4">
        <f t="shared" si="0"/>
        <v>13000</v>
      </c>
    </row>
    <row r="5" spans="1:4" x14ac:dyDescent="0.3">
      <c r="A5" s="75">
        <v>20</v>
      </c>
      <c r="B5" t="s">
        <v>672</v>
      </c>
      <c r="C5">
        <v>1400</v>
      </c>
      <c r="D5">
        <f t="shared" si="0"/>
        <v>28000</v>
      </c>
    </row>
    <row r="6" spans="1:4" x14ac:dyDescent="0.3">
      <c r="D6">
        <f>SUM(D2:D5)</f>
        <v>87000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4.4" x14ac:dyDescent="0.3"/>
  <cols>
    <col min="1" max="1" width="13.6640625" bestFit="1" customWidth="1"/>
  </cols>
  <sheetData>
    <row r="2" spans="1:3" x14ac:dyDescent="0.3">
      <c r="A2" t="s">
        <v>377</v>
      </c>
      <c r="B2" s="11">
        <v>238</v>
      </c>
    </row>
    <row r="3" spans="1:3" x14ac:dyDescent="0.3">
      <c r="A3" t="s">
        <v>380</v>
      </c>
      <c r="B3">
        <v>17.07</v>
      </c>
    </row>
    <row r="4" spans="1:3" x14ac:dyDescent="0.3">
      <c r="A4" t="s">
        <v>380</v>
      </c>
      <c r="B4">
        <v>5.69</v>
      </c>
    </row>
    <row r="5" spans="1:3" x14ac:dyDescent="0.3">
      <c r="A5" t="s">
        <v>381</v>
      </c>
      <c r="B5">
        <v>251.58</v>
      </c>
    </row>
    <row r="6" spans="1:3" x14ac:dyDescent="0.3">
      <c r="B6">
        <v>1.75</v>
      </c>
    </row>
    <row r="7" spans="1:3" x14ac:dyDescent="0.3">
      <c r="B7">
        <v>4.18</v>
      </c>
    </row>
    <row r="8" spans="1:3" x14ac:dyDescent="0.3">
      <c r="B8">
        <v>7.58</v>
      </c>
    </row>
    <row r="9" spans="1:3" x14ac:dyDescent="0.3">
      <c r="B9">
        <v>3.79</v>
      </c>
    </row>
    <row r="10" spans="1:3" x14ac:dyDescent="0.3">
      <c r="A10" t="s">
        <v>386</v>
      </c>
      <c r="B10">
        <v>82.62</v>
      </c>
    </row>
    <row r="11" spans="1:3" x14ac:dyDescent="0.3">
      <c r="A11" t="s">
        <v>380</v>
      </c>
      <c r="B11">
        <v>77.959999999999994</v>
      </c>
    </row>
    <row r="12" spans="1:3" x14ac:dyDescent="0.3">
      <c r="A12" t="s">
        <v>389</v>
      </c>
      <c r="B12">
        <v>132</v>
      </c>
    </row>
    <row r="13" spans="1:3" x14ac:dyDescent="0.3">
      <c r="B13">
        <v>12</v>
      </c>
    </row>
    <row r="14" spans="1:3" x14ac:dyDescent="0.3">
      <c r="B14">
        <v>3.5</v>
      </c>
    </row>
    <row r="15" spans="1:3" x14ac:dyDescent="0.3">
      <c r="B15">
        <v>12</v>
      </c>
    </row>
    <row r="16" spans="1:3" x14ac:dyDescent="0.3">
      <c r="A16" t="s">
        <v>399</v>
      </c>
      <c r="B16">
        <v>601</v>
      </c>
      <c r="C16" t="s">
        <v>394</v>
      </c>
    </row>
    <row r="17" spans="1:3" x14ac:dyDescent="0.3">
      <c r="A17" t="s">
        <v>399</v>
      </c>
      <c r="B17">
        <v>497</v>
      </c>
      <c r="C17" t="s">
        <v>394</v>
      </c>
    </row>
    <row r="18" spans="1:3" x14ac:dyDescent="0.3">
      <c r="A18" t="s">
        <v>398</v>
      </c>
      <c r="B18">
        <v>58</v>
      </c>
      <c r="C18" t="s">
        <v>397</v>
      </c>
    </row>
    <row r="19" spans="1:3" x14ac:dyDescent="0.3">
      <c r="A19" t="s">
        <v>400</v>
      </c>
      <c r="B19">
        <v>25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4.4" x14ac:dyDescent="0.3"/>
  <cols>
    <col min="1" max="1" width="10.88671875" bestFit="1" customWidth="1"/>
  </cols>
  <sheetData>
    <row r="2" spans="1:2" x14ac:dyDescent="0.3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Waleed</vt:lpstr>
      <vt:lpstr>AU June </vt:lpstr>
      <vt:lpstr>AU Aug</vt:lpstr>
      <vt:lpstr>AU July</vt:lpstr>
      <vt:lpstr>AU SEP</vt:lpstr>
      <vt:lpstr>AU OCT</vt:lpstr>
      <vt:lpstr>AU NOV</vt:lpstr>
      <vt:lpstr>AU DEC</vt:lpstr>
      <vt:lpstr>Gift Card</vt:lpstr>
      <vt:lpstr>Adil </vt:lpstr>
      <vt:lpstr>Waleed </vt:lpstr>
      <vt:lpstr>Sheet5</vt:lpstr>
      <vt:lpstr>NZ OCT</vt:lpstr>
      <vt:lpstr>NZ NOV</vt:lpstr>
      <vt:lpstr>NZ DEC</vt:lpstr>
      <vt:lpstr>Sheet3</vt:lpstr>
      <vt:lpstr>Sheet2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2025-12-22T14:50:44Z</dcterms:modified>
</cp:coreProperties>
</file>