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5300\Documents\Swiss Tech Files 2025\Waheed Bhai Sheets\"/>
    </mc:Choice>
  </mc:AlternateContent>
  <xr:revisionPtr revIDLastSave="0" documentId="13_ncr:1_{AE6BBEAA-0452-46F1-9731-355D46C428B4}" xr6:coauthVersionLast="47" xr6:coauthVersionMax="47" xr10:uidLastSave="{00000000-0000-0000-0000-000000000000}"/>
  <bookViews>
    <workbookView xWindow="-120" yWindow="-120" windowWidth="29040" windowHeight="15720" firstSheet="16" activeTab="28" xr2:uid="{795DD68C-9659-410F-8844-C05D5B01E5C2}"/>
  </bookViews>
  <sheets>
    <sheet name="Pending" sheetId="2" state="hidden" r:id="rId1"/>
    <sheet name="March " sheetId="1" state="hidden" r:id="rId2"/>
    <sheet name="Mehwish" sheetId="3" state="hidden" r:id="rId3"/>
    <sheet name="April" sheetId="4" state="hidden" r:id="rId4"/>
    <sheet name="May " sheetId="9" state="hidden" r:id="rId5"/>
    <sheet name="Sheet4" sheetId="15" state="hidden" r:id="rId6"/>
    <sheet name="Sheet1" sheetId="11" state="hidden" r:id="rId7"/>
    <sheet name="Broadway" sheetId="7" state="hidden" r:id="rId8"/>
    <sheet name="Broadway DJI" sheetId="28" state="hidden" r:id="rId9"/>
    <sheet name="Shipment NOV" sheetId="29" state="hidden" r:id="rId10"/>
    <sheet name="Shipment" sheetId="6" state="hidden" r:id="rId11"/>
    <sheet name="Shipment 2904" sheetId="8" state="hidden" r:id="rId12"/>
    <sheet name="NZ Purchase May" sheetId="10" state="hidden" r:id="rId13"/>
    <sheet name="NZ July" sheetId="16" state="hidden" r:id="rId14"/>
    <sheet name="NZ Aug" sheetId="19" state="hidden" r:id="rId15"/>
    <sheet name="NZ SEP" sheetId="22" state="hidden" r:id="rId16"/>
    <sheet name="Melbourne Company" sheetId="21" r:id="rId17"/>
    <sheet name="AU June " sheetId="12" state="hidden" r:id="rId18"/>
    <sheet name="AU Aug" sheetId="20" state="hidden" r:id="rId19"/>
    <sheet name="AU July" sheetId="18" state="hidden" r:id="rId20"/>
    <sheet name="AU SEP" sheetId="23" state="hidden" r:id="rId21"/>
    <sheet name="AU OCT" sheetId="24" state="hidden" r:id="rId22"/>
    <sheet name="AU NOV" sheetId="27" state="hidden" r:id="rId23"/>
    <sheet name="AU DEC" sheetId="34" state="hidden" r:id="rId24"/>
    <sheet name="AU FEB" sheetId="43" r:id="rId25"/>
    <sheet name="AU MAR" sheetId="45" state="hidden" r:id="rId26"/>
    <sheet name="APR NZ" sheetId="46" r:id="rId27"/>
    <sheet name="APR AU" sheetId="47" r:id="rId28"/>
    <sheet name="MAY AU" sheetId="48" r:id="rId29"/>
    <sheet name="Sheet8" sheetId="42" state="hidden" r:id="rId30"/>
    <sheet name="AU JAN" sheetId="40" state="hidden" r:id="rId31"/>
    <sheet name="Sheet7" sheetId="39" state="hidden" r:id="rId32"/>
    <sheet name="Sheet6" sheetId="38" state="hidden" r:id="rId33"/>
    <sheet name="Gift Card" sheetId="37" state="hidden" r:id="rId34"/>
    <sheet name="Adil " sheetId="35" state="hidden" r:id="rId35"/>
    <sheet name="Waleed " sheetId="33" state="hidden" r:id="rId36"/>
    <sheet name="Sheet5" sheetId="32" state="hidden" r:id="rId37"/>
    <sheet name="NZ OCT" sheetId="25" state="hidden" r:id="rId38"/>
    <sheet name="NZ NOV" sheetId="26" state="hidden" r:id="rId39"/>
    <sheet name="NZ JAN" sheetId="41" state="hidden" r:id="rId40"/>
    <sheet name="NZ FEB" sheetId="44" state="hidden" r:id="rId41"/>
    <sheet name="NZ DEC" sheetId="36" state="hidden" r:id="rId42"/>
    <sheet name="Sheet3" sheetId="31" state="hidden" r:id="rId43"/>
    <sheet name="Sheet2" sheetId="30" state="hidden" r:id="rId44"/>
    <sheet name="NZ visit expense" sheetId="17" state="hidden" r:id="rId45"/>
    <sheet name="Abdul Rafey" sheetId="5" state="hidden" r:id="rId46"/>
  </sheets>
  <definedNames>
    <definedName name="_xlnm._FilterDatabase" localSheetId="27" hidden="1">'APR AU'!$A$1:$K$66</definedName>
    <definedName name="_xlnm._FilterDatabase" localSheetId="26" hidden="1">'APR NZ'!$A$1:$Q$39</definedName>
    <definedName name="_xlnm._FilterDatabase" localSheetId="3" hidden="1">April!$A$1:$H$152</definedName>
    <definedName name="_xlnm._FilterDatabase" localSheetId="18" hidden="1">'AU Aug'!$A$1:$N$37</definedName>
    <definedName name="_xlnm._FilterDatabase" localSheetId="23" hidden="1">'AU DEC'!$A$1:$O$286</definedName>
    <definedName name="_xlnm._FilterDatabase" localSheetId="30" hidden="1">'AU JAN'!$A$1:$R$43</definedName>
    <definedName name="_xlnm._FilterDatabase" localSheetId="19" hidden="1">'AU July'!$A$1:$K$40</definedName>
    <definedName name="_xlnm._FilterDatabase" localSheetId="17" hidden="1">'AU June '!$A$1:$P$70</definedName>
    <definedName name="_xlnm._FilterDatabase" localSheetId="22" hidden="1">'AU NOV'!$A$1:$I$135</definedName>
    <definedName name="_xlnm._FilterDatabase" localSheetId="21" hidden="1">'AU OCT'!$A$1:$I$28</definedName>
    <definedName name="_xlnm._FilterDatabase" localSheetId="20" hidden="1">'AU SEP'!$A$1:$M$32</definedName>
    <definedName name="_xlnm._FilterDatabase" localSheetId="1" hidden="1">'March '!$A$1:$G$39</definedName>
    <definedName name="_xlnm._FilterDatabase" localSheetId="4" hidden="1">'May '!$A$1:$O$27</definedName>
    <definedName name="_xlnm._FilterDatabase" localSheetId="28" hidden="1">'MAY AU'!$A$1:$O$84</definedName>
    <definedName name="_xlnm._FilterDatabase" localSheetId="31" hidden="1">Sheet7!$A$1:$I$30</definedName>
  </definedNames>
  <calcPr calcId="191029"/>
  <pivotCaches>
    <pivotCache cacheId="0" r:id="rId47"/>
    <pivotCache cacheId="1" r:id="rId48"/>
    <pivotCache cacheId="2" r:id="rId49"/>
    <pivotCache cacheId="3" r:id="rId50"/>
    <pivotCache cacheId="4" r:id="rId51"/>
    <pivotCache cacheId="5" r:id="rId52"/>
    <pivotCache cacheId="6" r:id="rId53"/>
    <pivotCache cacheId="7" r:id="rId54"/>
    <pivotCache cacheId="8" r:id="rId55"/>
    <pivotCache cacheId="9" r:id="rId56"/>
    <pivotCache cacheId="10" r:id="rId5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84" i="48" l="1"/>
  <c r="F83" i="48"/>
  <c r="H39" i="46"/>
  <c r="F75" i="48"/>
  <c r="F74" i="48"/>
  <c r="F73" i="48"/>
  <c r="F72" i="48"/>
  <c r="F71" i="48"/>
  <c r="F70" i="48"/>
  <c r="F69" i="48"/>
  <c r="F68" i="48"/>
  <c r="F67" i="48"/>
  <c r="F66" i="48"/>
  <c r="F82" i="48"/>
  <c r="F81" i="48"/>
  <c r="F80" i="48"/>
  <c r="F79" i="48"/>
  <c r="F78" i="48"/>
  <c r="F77" i="48"/>
  <c r="F65" i="48"/>
  <c r="F61" i="48"/>
  <c r="F62" i="48"/>
  <c r="F63" i="48"/>
  <c r="F64" i="48"/>
  <c r="F60" i="48"/>
  <c r="F57" i="48"/>
  <c r="F58" i="48"/>
  <c r="F59" i="48"/>
  <c r="H38" i="46"/>
  <c r="F55" i="48"/>
  <c r="F56" i="48"/>
  <c r="F54" i="48"/>
  <c r="H35" i="46"/>
  <c r="H36" i="46"/>
  <c r="H37" i="46"/>
  <c r="H34" i="46"/>
  <c r="H33" i="46"/>
  <c r="F50" i="48"/>
  <c r="F49" i="48"/>
  <c r="F44" i="48"/>
  <c r="F45" i="48"/>
  <c r="F46" i="48"/>
  <c r="F47" i="48"/>
  <c r="F48" i="48"/>
  <c r="F42" i="48"/>
  <c r="F43" i="48"/>
  <c r="F41" i="48"/>
  <c r="H28" i="46"/>
  <c r="H26" i="46"/>
  <c r="H27" i="46"/>
  <c r="F34" i="48"/>
  <c r="F33" i="48"/>
  <c r="F32" i="48"/>
  <c r="F31" i="48"/>
  <c r="F30" i="48"/>
  <c r="H25" i="46"/>
  <c r="F29" i="48"/>
  <c r="F28" i="48"/>
  <c r="F27" i="48"/>
  <c r="F26" i="48"/>
  <c r="F25" i="48"/>
  <c r="F24" i="48"/>
  <c r="F23" i="48"/>
  <c r="F22" i="48"/>
  <c r="H24" i="46"/>
  <c r="F21" i="48"/>
  <c r="F16" i="48" l="1"/>
  <c r="F17" i="48"/>
  <c r="F18" i="48"/>
  <c r="F19" i="48"/>
  <c r="F20" i="48"/>
  <c r="F12" i="48"/>
  <c r="F13" i="48"/>
  <c r="F14" i="48"/>
  <c r="F15" i="48"/>
  <c r="F11" i="48"/>
  <c r="F10" i="48"/>
  <c r="F9" i="48"/>
  <c r="F8" i="48"/>
  <c r="F7" i="48"/>
  <c r="F6" i="48"/>
  <c r="F5" i="48"/>
  <c r="F4" i="48"/>
  <c r="F3" i="48"/>
  <c r="F2" i="48"/>
  <c r="H23" i="46"/>
  <c r="H22" i="46"/>
  <c r="H21" i="46"/>
  <c r="H20" i="46"/>
  <c r="F66" i="47"/>
  <c r="F62" i="47"/>
  <c r="F63" i="47"/>
  <c r="F64" i="47"/>
  <c r="F65" i="47"/>
  <c r="R19" i="46"/>
  <c r="R17" i="46"/>
  <c r="R16" i="46"/>
  <c r="R18" i="46" s="1"/>
  <c r="R20" i="46" s="1"/>
  <c r="R22" i="46" s="1"/>
  <c r="F61" i="47"/>
  <c r="F60" i="47"/>
  <c r="F59" i="47"/>
  <c r="F58" i="47"/>
  <c r="F57" i="47"/>
  <c r="F56" i="47"/>
  <c r="F55" i="47"/>
  <c r="F54" i="47"/>
  <c r="F53" i="47"/>
  <c r="F52" i="47"/>
  <c r="F51" i="47"/>
  <c r="F50" i="47"/>
  <c r="F49" i="47"/>
  <c r="F48" i="47"/>
  <c r="F47" i="47"/>
  <c r="F46" i="47"/>
  <c r="F45" i="47"/>
  <c r="F44" i="47"/>
  <c r="F41" i="47"/>
  <c r="F42" i="47"/>
  <c r="F43" i="47"/>
  <c r="F40" i="47"/>
  <c r="F39" i="47"/>
  <c r="F37" i="47"/>
  <c r="F38" i="47"/>
  <c r="F34" i="47"/>
  <c r="F35" i="47"/>
  <c r="F36" i="47"/>
  <c r="F32" i="47"/>
  <c r="F33" i="47"/>
  <c r="F31" i="47"/>
  <c r="F30" i="47"/>
  <c r="H17" i="46"/>
  <c r="H18" i="46"/>
  <c r="H19" i="46"/>
  <c r="F29" i="47" l="1"/>
  <c r="F27" i="47"/>
  <c r="F26" i="47"/>
  <c r="F25" i="47"/>
  <c r="F24" i="47"/>
  <c r="F22" i="47"/>
  <c r="F21" i="47"/>
  <c r="H16" i="46"/>
  <c r="F20" i="47"/>
  <c r="F19" i="47"/>
  <c r="F18" i="47"/>
  <c r="F17" i="47"/>
  <c r="F16" i="47"/>
  <c r="F15" i="47"/>
  <c r="F14" i="47"/>
  <c r="F13" i="47"/>
  <c r="F12" i="47"/>
  <c r="F11" i="47"/>
  <c r="F10" i="47"/>
  <c r="F9" i="47"/>
  <c r="F8" i="47"/>
  <c r="F4" i="47"/>
  <c r="F5" i="47"/>
  <c r="F6" i="47"/>
  <c r="F7" i="47"/>
  <c r="F2" i="47"/>
  <c r="H12" i="46"/>
  <c r="H2" i="46"/>
  <c r="H11" i="46"/>
  <c r="H10" i="46"/>
  <c r="H9" i="46"/>
  <c r="H4" i="46"/>
  <c r="H5" i="46"/>
  <c r="H3" i="46"/>
  <c r="H8" i="46"/>
  <c r="H7" i="46"/>
  <c r="H6" i="46"/>
  <c r="F3" i="45"/>
  <c r="F2" i="45"/>
  <c r="F35" i="43"/>
  <c r="F36" i="43"/>
  <c r="F37" i="43"/>
  <c r="F34" i="43"/>
  <c r="F6" i="44"/>
  <c r="F5" i="44"/>
  <c r="F4" i="44"/>
  <c r="F3" i="44"/>
  <c r="F2" i="44"/>
  <c r="N25" i="43"/>
  <c r="F31" i="43"/>
  <c r="F32" i="43"/>
  <c r="F30" i="43"/>
  <c r="F29" i="43"/>
  <c r="F28" i="43"/>
  <c r="F27" i="43"/>
  <c r="F26" i="43"/>
  <c r="F20" i="43"/>
  <c r="F21" i="43"/>
  <c r="F22" i="43"/>
  <c r="F23" i="43"/>
  <c r="F24" i="43"/>
  <c r="F25" i="43"/>
  <c r="F19" i="43"/>
  <c r="F69" i="40"/>
  <c r="F14" i="43"/>
  <c r="F15" i="43"/>
  <c r="F16" i="43"/>
  <c r="F17" i="43"/>
  <c r="F18" i="43"/>
  <c r="F3" i="43"/>
  <c r="F4" i="43"/>
  <c r="F5" i="43"/>
  <c r="F6" i="43"/>
  <c r="F7" i="43"/>
  <c r="F8" i="43"/>
  <c r="F9" i="43"/>
  <c r="F10" i="43"/>
  <c r="F11" i="43"/>
  <c r="F12" i="43"/>
  <c r="F13" i="43"/>
  <c r="F2" i="43"/>
  <c r="F91" i="40"/>
  <c r="F90" i="40"/>
  <c r="F89" i="40"/>
  <c r="F88" i="40"/>
  <c r="F87" i="40"/>
  <c r="F86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72" i="40"/>
  <c r="F70" i="40"/>
  <c r="F64" i="40"/>
  <c r="F65" i="40"/>
  <c r="F66" i="40"/>
  <c r="F67" i="40"/>
  <c r="F63" i="40"/>
  <c r="F62" i="40"/>
  <c r="F61" i="40"/>
  <c r="F60" i="40"/>
  <c r="F59" i="40"/>
  <c r="F58" i="40"/>
  <c r="F55" i="40"/>
  <c r="F56" i="40"/>
  <c r="F57" i="40"/>
  <c r="F54" i="40"/>
  <c r="F53" i="40"/>
  <c r="F47" i="40"/>
  <c r="F48" i="40"/>
  <c r="F49" i="40"/>
  <c r="F50" i="40"/>
  <c r="F51" i="40"/>
  <c r="F52" i="40"/>
  <c r="F46" i="40"/>
  <c r="F45" i="40"/>
  <c r="F44" i="40"/>
  <c r="R14" i="42" l="1"/>
  <c r="R13" i="42"/>
  <c r="R12" i="42"/>
  <c r="R11" i="42"/>
  <c r="R10" i="42"/>
  <c r="K18" i="42"/>
  <c r="K17" i="42"/>
  <c r="H17" i="42"/>
  <c r="K9" i="42"/>
  <c r="K10" i="42"/>
  <c r="K11" i="42"/>
  <c r="K14" i="42"/>
  <c r="J5" i="42"/>
  <c r="K5" i="42" s="1"/>
  <c r="J6" i="42"/>
  <c r="K6" i="42" s="1"/>
  <c r="H5" i="42"/>
  <c r="H6" i="42"/>
  <c r="H7" i="42"/>
  <c r="J7" i="42" s="1"/>
  <c r="K7" i="42" s="1"/>
  <c r="H2" i="42"/>
  <c r="J2" i="42" s="1"/>
  <c r="K2" i="42" s="1"/>
  <c r="G3" i="42"/>
  <c r="H3" i="42" s="1"/>
  <c r="J3" i="42" s="1"/>
  <c r="K3" i="42" s="1"/>
  <c r="G4" i="42"/>
  <c r="H4" i="42" s="1"/>
  <c r="J4" i="42" s="1"/>
  <c r="K4" i="42" s="1"/>
  <c r="G5" i="42"/>
  <c r="G6" i="42"/>
  <c r="G7" i="42"/>
  <c r="G8" i="42"/>
  <c r="H8" i="42" s="1"/>
  <c r="J8" i="42" s="1"/>
  <c r="K8" i="42" s="1"/>
  <c r="G9" i="42"/>
  <c r="H9" i="42" s="1"/>
  <c r="G10" i="42"/>
  <c r="H10" i="42" s="1"/>
  <c r="G11" i="42"/>
  <c r="H11" i="42" s="1"/>
  <c r="G12" i="42"/>
  <c r="H12" i="42" s="1"/>
  <c r="J12" i="42" s="1"/>
  <c r="K12" i="42" s="1"/>
  <c r="G13" i="42"/>
  <c r="H13" i="42" s="1"/>
  <c r="J13" i="42" s="1"/>
  <c r="K13" i="42" s="1"/>
  <c r="G14" i="42"/>
  <c r="H14" i="42" s="1"/>
  <c r="G15" i="42"/>
  <c r="H15" i="42" s="1"/>
  <c r="J15" i="42" s="1"/>
  <c r="K15" i="42" s="1"/>
  <c r="G16" i="42"/>
  <c r="H16" i="42" s="1"/>
  <c r="J16" i="42" s="1"/>
  <c r="K16" i="42" s="1"/>
  <c r="G2" i="42"/>
  <c r="O3" i="42"/>
  <c r="O2" i="42"/>
  <c r="O4" i="42" s="1"/>
  <c r="O5" i="42" s="1"/>
  <c r="E3" i="42"/>
  <c r="F3" i="42" s="1"/>
  <c r="E4" i="42"/>
  <c r="F4" i="42" s="1"/>
  <c r="E5" i="42"/>
  <c r="F5" i="42" s="1"/>
  <c r="E6" i="42"/>
  <c r="F6" i="42" s="1"/>
  <c r="E7" i="42"/>
  <c r="F7" i="42" s="1"/>
  <c r="E8" i="42"/>
  <c r="F8" i="42" s="1"/>
  <c r="E9" i="42"/>
  <c r="F9" i="42" s="1"/>
  <c r="E10" i="42"/>
  <c r="F10" i="42" s="1"/>
  <c r="E11" i="42"/>
  <c r="F11" i="42" s="1"/>
  <c r="E12" i="42"/>
  <c r="F12" i="42" s="1"/>
  <c r="E13" i="42"/>
  <c r="F13" i="42" s="1"/>
  <c r="E14" i="42"/>
  <c r="F14" i="42" s="1"/>
  <c r="E15" i="42"/>
  <c r="F15" i="42" s="1"/>
  <c r="E16" i="42"/>
  <c r="F16" i="42" s="1"/>
  <c r="E2" i="42"/>
  <c r="F2" i="42" s="1"/>
  <c r="F42" i="40"/>
  <c r="F43" i="40"/>
  <c r="F39" i="40"/>
  <c r="F38" i="40"/>
  <c r="F37" i="40"/>
  <c r="F17" i="42" l="1"/>
  <c r="E17" i="42"/>
  <c r="F36" i="40"/>
  <c r="F35" i="40"/>
  <c r="F34" i="40"/>
  <c r="F33" i="40"/>
  <c r="F32" i="40"/>
  <c r="F31" i="40"/>
  <c r="F30" i="40"/>
  <c r="F29" i="40"/>
  <c r="F25" i="40"/>
  <c r="F26" i="40"/>
  <c r="F27" i="40"/>
  <c r="F28" i="40"/>
  <c r="F24" i="40"/>
  <c r="F23" i="40"/>
  <c r="F22" i="40"/>
  <c r="F3" i="41"/>
  <c r="F4" i="41"/>
  <c r="F6" i="41"/>
  <c r="F7" i="41"/>
  <c r="F2" i="41"/>
  <c r="A1" i="24" a="1"/>
  <c r="A1" i="24" s="1"/>
  <c r="J285" i="34"/>
  <c r="J284" i="34"/>
  <c r="J271" i="34"/>
  <c r="J270" i="34"/>
  <c r="J269" i="34"/>
  <c r="F18" i="40"/>
  <c r="F19" i="40"/>
  <c r="F20" i="40"/>
  <c r="F21" i="40"/>
  <c r="F17" i="40"/>
  <c r="F5" i="40"/>
  <c r="F6" i="40"/>
  <c r="F7" i="40"/>
  <c r="F8" i="40"/>
  <c r="F9" i="40"/>
  <c r="F10" i="40"/>
  <c r="F11" i="40"/>
  <c r="F12" i="40"/>
  <c r="F13" i="40"/>
  <c r="F14" i="40"/>
  <c r="F15" i="40"/>
  <c r="E61" i="35"/>
  <c r="E57" i="35"/>
  <c r="E58" i="35"/>
  <c r="E59" i="35"/>
  <c r="E60" i="35"/>
  <c r="E56" i="35"/>
  <c r="F3" i="40"/>
  <c r="F4" i="40"/>
  <c r="F2" i="40"/>
  <c r="F16" i="36"/>
  <c r="E53" i="35"/>
  <c r="E47" i="35"/>
  <c r="E49" i="35"/>
  <c r="E50" i="35"/>
  <c r="E51" i="35"/>
  <c r="E52" i="35"/>
  <c r="E48" i="35"/>
  <c r="F285" i="34"/>
  <c r="F284" i="34"/>
  <c r="F283" i="34"/>
  <c r="F272" i="34"/>
  <c r="F273" i="34"/>
  <c r="F274" i="34"/>
  <c r="F275" i="34"/>
  <c r="F276" i="34"/>
  <c r="F277" i="34"/>
  <c r="F278" i="34"/>
  <c r="F279" i="34"/>
  <c r="F280" i="34"/>
  <c r="F281" i="34"/>
  <c r="F282" i="34"/>
  <c r="F268" i="34"/>
  <c r="F269" i="34"/>
  <c r="F270" i="34"/>
  <c r="F271" i="34"/>
  <c r="M269" i="34"/>
  <c r="F263" i="34"/>
  <c r="F264" i="34"/>
  <c r="F265" i="34"/>
  <c r="F266" i="34"/>
  <c r="F267" i="34"/>
  <c r="F262" i="34"/>
  <c r="F261" i="34"/>
  <c r="F260" i="34"/>
  <c r="F259" i="34"/>
  <c r="F258" i="34"/>
  <c r="F257" i="34"/>
  <c r="F256" i="34"/>
  <c r="F255" i="34"/>
  <c r="F254" i="34"/>
  <c r="F253" i="34"/>
  <c r="F252" i="34"/>
  <c r="F251" i="34"/>
  <c r="F250" i="34"/>
  <c r="F249" i="34"/>
  <c r="F248" i="34"/>
  <c r="F247" i="34"/>
  <c r="F246" i="34"/>
  <c r="F245" i="34"/>
  <c r="F244" i="34"/>
  <c r="F243" i="34"/>
  <c r="F242" i="34"/>
  <c r="F236" i="34"/>
  <c r="F234" i="34"/>
  <c r="F235" i="34"/>
  <c r="F237" i="34"/>
  <c r="F238" i="34"/>
  <c r="F239" i="34"/>
  <c r="F240" i="34"/>
  <c r="F241" i="34"/>
  <c r="M242" i="34"/>
  <c r="N242" i="34" s="1"/>
  <c r="F228" i="34"/>
  <c r="F229" i="34"/>
  <c r="F230" i="34"/>
  <c r="F231" i="34"/>
  <c r="F232" i="34"/>
  <c r="F233" i="34"/>
  <c r="F227" i="34"/>
  <c r="F226" i="34"/>
  <c r="F12" i="36"/>
  <c r="F13" i="36"/>
  <c r="V4" i="34"/>
  <c r="V5" i="34"/>
  <c r="V6" i="34"/>
  <c r="V7" i="34"/>
  <c r="V8" i="34"/>
  <c r="V9" i="34"/>
  <c r="V10" i="34"/>
  <c r="V11" i="34"/>
  <c r="V12" i="34"/>
  <c r="V13" i="34"/>
  <c r="V14" i="34"/>
  <c r="V15" i="34"/>
  <c r="V16" i="34"/>
  <c r="V17" i="34"/>
  <c r="V18" i="34"/>
  <c r="V19" i="34"/>
  <c r="V20" i="34"/>
  <c r="V21" i="34"/>
  <c r="V22" i="34"/>
  <c r="V23" i="34"/>
  <c r="V24" i="34"/>
  <c r="V25" i="34"/>
  <c r="V26" i="34"/>
  <c r="V27" i="34"/>
  <c r="V28" i="34"/>
  <c r="V29" i="34"/>
  <c r="V30" i="34"/>
  <c r="V31" i="34"/>
  <c r="V32" i="34"/>
  <c r="V3" i="34"/>
  <c r="F199" i="34"/>
  <c r="F198" i="34"/>
  <c r="F197" i="34"/>
  <c r="F165" i="34"/>
  <c r="F184" i="34"/>
  <c r="F183" i="34"/>
  <c r="F181" i="34"/>
  <c r="F182" i="34"/>
  <c r="F180" i="34"/>
  <c r="F179" i="34"/>
  <c r="F178" i="34"/>
  <c r="F162" i="34"/>
  <c r="F163" i="34"/>
  <c r="F164" i="34"/>
  <c r="F160" i="34"/>
  <c r="F161" i="34"/>
  <c r="F159" i="34"/>
  <c r="F157" i="34"/>
  <c r="F158" i="34"/>
  <c r="F167" i="34"/>
  <c r="F168" i="34"/>
  <c r="F166" i="34"/>
  <c r="F177" i="34"/>
  <c r="F176" i="34"/>
  <c r="F174" i="34"/>
  <c r="F175" i="34"/>
  <c r="F173" i="34"/>
  <c r="F172" i="34"/>
  <c r="F171" i="34"/>
  <c r="F156" i="34"/>
  <c r="F155" i="34"/>
  <c r="F154" i="34"/>
  <c r="F153" i="34"/>
  <c r="F152" i="34"/>
  <c r="F123" i="34"/>
  <c r="F122" i="34"/>
  <c r="O148" i="34"/>
  <c r="F147" i="34"/>
  <c r="F145" i="34"/>
  <c r="F146" i="34"/>
  <c r="F148" i="34"/>
  <c r="F149" i="34"/>
  <c r="F150" i="34"/>
  <c r="F151" i="34"/>
  <c r="F135" i="34"/>
  <c r="F134" i="34"/>
  <c r="F130" i="34"/>
  <c r="F131" i="34"/>
  <c r="F132" i="34"/>
  <c r="F133" i="34"/>
  <c r="F136" i="34"/>
  <c r="F137" i="34"/>
  <c r="F138" i="34"/>
  <c r="F139" i="34"/>
  <c r="F140" i="34"/>
  <c r="F141" i="34"/>
  <c r="F142" i="34"/>
  <c r="F143" i="34"/>
  <c r="F144" i="34"/>
  <c r="L138" i="34"/>
  <c r="F128" i="34"/>
  <c r="F129" i="34"/>
  <c r="F126" i="34"/>
  <c r="F125" i="34"/>
  <c r="F124" i="34"/>
  <c r="F121" i="34"/>
  <c r="F119" i="34"/>
  <c r="F120" i="34"/>
  <c r="F118" i="34"/>
  <c r="F117" i="34"/>
  <c r="F116" i="34"/>
  <c r="F115" i="34"/>
  <c r="F114" i="34"/>
  <c r="F113" i="34"/>
  <c r="F112" i="34"/>
  <c r="F111" i="34"/>
  <c r="F110" i="34"/>
  <c r="F109" i="34"/>
  <c r="F108" i="34"/>
  <c r="F11" i="36"/>
  <c r="F107" i="34"/>
  <c r="F106" i="34"/>
  <c r="F105" i="34"/>
  <c r="F104" i="34"/>
  <c r="F103" i="34"/>
  <c r="F102" i="34"/>
  <c r="F101" i="34"/>
  <c r="F100" i="34"/>
  <c r="F99" i="34"/>
  <c r="F98" i="34"/>
  <c r="F97" i="34"/>
  <c r="F96" i="34"/>
  <c r="F95" i="34"/>
  <c r="F94" i="34"/>
  <c r="F75" i="34"/>
  <c r="F74" i="34"/>
  <c r="F73" i="34"/>
  <c r="F93" i="34"/>
  <c r="F92" i="34"/>
  <c r="F91" i="34"/>
  <c r="O17" i="35"/>
  <c r="O16" i="35"/>
  <c r="O15" i="35"/>
  <c r="O14" i="35"/>
  <c r="L12" i="35"/>
  <c r="M7" i="35"/>
  <c r="M3" i="35"/>
  <c r="M4" i="35"/>
  <c r="M5" i="35"/>
  <c r="M6" i="35"/>
  <c r="M2" i="35"/>
  <c r="H4" i="35"/>
  <c r="B43" i="35"/>
  <c r="F90" i="34"/>
  <c r="F10" i="36"/>
  <c r="F58" i="34"/>
  <c r="F59" i="34"/>
  <c r="F60" i="34"/>
  <c r="F53" i="34"/>
  <c r="F52" i="34"/>
  <c r="F51" i="34"/>
  <c r="F54" i="34"/>
  <c r="F55" i="34"/>
  <c r="F56" i="34"/>
  <c r="F57" i="34"/>
  <c r="F50" i="34"/>
  <c r="F72" i="34"/>
  <c r="F44" i="34"/>
  <c r="F45" i="34"/>
  <c r="F46" i="34"/>
  <c r="F47" i="34"/>
  <c r="F48" i="34"/>
  <c r="F49" i="34"/>
  <c r="F71" i="34"/>
  <c r="F70" i="34"/>
  <c r="F69" i="34"/>
  <c r="F68" i="34"/>
  <c r="F67" i="34"/>
  <c r="F66" i="34"/>
  <c r="F65" i="34"/>
  <c r="F64" i="34"/>
  <c r="F81" i="34"/>
  <c r="F80" i="34"/>
  <c r="F79" i="34"/>
  <c r="F78" i="34"/>
  <c r="F77" i="34"/>
  <c r="F76" i="34"/>
  <c r="F89" i="34"/>
  <c r="F88" i="34"/>
  <c r="F86" i="34"/>
  <c r="F85" i="34"/>
  <c r="F87" i="34"/>
  <c r="F9" i="36"/>
  <c r="F8" i="36"/>
  <c r="F7" i="36"/>
  <c r="E2" i="37"/>
  <c r="F42" i="34"/>
  <c r="F43" i="34"/>
  <c r="F61" i="34"/>
  <c r="F62" i="34"/>
  <c r="F63" i="34"/>
  <c r="F82" i="34"/>
  <c r="F83" i="34"/>
  <c r="F84" i="34"/>
  <c r="F41" i="34"/>
  <c r="F39" i="34"/>
  <c r="F38" i="34"/>
  <c r="F37" i="34"/>
  <c r="F36" i="34"/>
  <c r="F35" i="34"/>
  <c r="F34" i="34"/>
  <c r="F33" i="34"/>
  <c r="F32" i="34"/>
  <c r="F31" i="34"/>
  <c r="F30" i="34"/>
  <c r="F29" i="34"/>
  <c r="F28" i="34"/>
  <c r="F27" i="34"/>
  <c r="F26" i="34"/>
  <c r="F25" i="34"/>
  <c r="F4" i="36"/>
  <c r="F5" i="36"/>
  <c r="F6" i="36"/>
  <c r="F3" i="36"/>
  <c r="F24" i="34"/>
  <c r="F23" i="34"/>
  <c r="F22" i="34"/>
  <c r="F20" i="34"/>
  <c r="F21" i="34"/>
  <c r="F19" i="34"/>
  <c r="F18" i="34"/>
  <c r="F17" i="34"/>
  <c r="F16" i="34"/>
  <c r="F2" i="36"/>
  <c r="F15" i="34"/>
  <c r="F14" i="34"/>
  <c r="F13" i="34"/>
  <c r="F12" i="34"/>
  <c r="F11" i="34"/>
  <c r="F10" i="34"/>
  <c r="F9" i="34"/>
  <c r="F8" i="34"/>
  <c r="F4" i="34"/>
  <c r="F5" i="34"/>
  <c r="F6" i="34"/>
  <c r="F7" i="34"/>
  <c r="F2" i="34"/>
  <c r="F3" i="34"/>
  <c r="F135" i="27"/>
  <c r="F134" i="27"/>
  <c r="F133" i="27"/>
  <c r="B12" i="33"/>
  <c r="C12" i="33"/>
  <c r="F132" i="27"/>
  <c r="F131" i="27"/>
  <c r="F130" i="27"/>
  <c r="F129" i="27"/>
  <c r="F128" i="27"/>
  <c r="F127" i="27"/>
  <c r="F126" i="27"/>
  <c r="F125" i="27"/>
  <c r="F124" i="27"/>
  <c r="F123" i="27"/>
  <c r="F122" i="27"/>
  <c r="F121" i="27"/>
  <c r="F120" i="27"/>
  <c r="F119" i="27"/>
  <c r="F118" i="27"/>
  <c r="F117" i="27"/>
  <c r="F116" i="27"/>
  <c r="F115" i="27"/>
  <c r="F114" i="27"/>
  <c r="F112" i="27"/>
  <c r="F113" i="27"/>
  <c r="F111" i="27"/>
  <c r="F110" i="27"/>
  <c r="F109" i="27"/>
  <c r="F108" i="27"/>
  <c r="F107" i="27"/>
  <c r="F106" i="27"/>
  <c r="F105" i="27"/>
  <c r="F104" i="27"/>
  <c r="F103" i="27"/>
  <c r="F102" i="27"/>
  <c r="F101" i="27"/>
  <c r="F100" i="27"/>
  <c r="F99" i="27"/>
  <c r="F12" i="26"/>
  <c r="F11" i="26"/>
  <c r="F10" i="26"/>
  <c r="F9" i="26"/>
  <c r="F8" i="26"/>
  <c r="F98" i="27"/>
  <c r="F97" i="27"/>
  <c r="F96" i="27"/>
  <c r="F95" i="27"/>
  <c r="F94" i="27"/>
  <c r="F93" i="27"/>
  <c r="F92" i="27"/>
  <c r="F91" i="27"/>
  <c r="F90" i="27"/>
  <c r="F89" i="27"/>
  <c r="F88" i="27"/>
  <c r="F87" i="27"/>
  <c r="F86" i="27"/>
  <c r="F85" i="27"/>
  <c r="F84" i="27"/>
  <c r="F83" i="27"/>
  <c r="F82" i="27"/>
  <c r="F81" i="27"/>
  <c r="F80" i="27"/>
  <c r="F79" i="27"/>
  <c r="F78" i="27"/>
  <c r="F77" i="27"/>
  <c r="F76" i="27"/>
  <c r="F75" i="27"/>
  <c r="F74" i="27"/>
  <c r="F72" i="27"/>
  <c r="F73" i="27"/>
  <c r="F68" i="27"/>
  <c r="F69" i="27"/>
  <c r="F67" i="27"/>
  <c r="F66" i="27"/>
  <c r="F65" i="27"/>
  <c r="F64" i="27"/>
  <c r="F63" i="27"/>
  <c r="F62" i="27"/>
  <c r="F61" i="27"/>
  <c r="F59" i="27"/>
  <c r="F60" i="27"/>
  <c r="F58" i="27"/>
  <c r="F57" i="27"/>
  <c r="F56" i="27"/>
  <c r="F55" i="27"/>
  <c r="F54" i="27"/>
  <c r="F53" i="27"/>
  <c r="F52" i="27"/>
  <c r="F51" i="27"/>
  <c r="F50" i="27"/>
  <c r="F49" i="27"/>
  <c r="F48" i="27"/>
  <c r="F47" i="27"/>
  <c r="F46" i="27"/>
  <c r="F45" i="27"/>
  <c r="F44" i="27"/>
  <c r="F43" i="27"/>
  <c r="F42" i="27"/>
  <c r="O6" i="27"/>
  <c r="O7" i="27"/>
  <c r="O8" i="27"/>
  <c r="O9" i="27"/>
  <c r="O10" i="27"/>
  <c r="O11" i="27"/>
  <c r="O5" i="27"/>
  <c r="F41" i="27"/>
  <c r="F37" i="27"/>
  <c r="F38" i="27"/>
  <c r="F39" i="27"/>
  <c r="F40" i="27"/>
  <c r="F36" i="27"/>
  <c r="F35" i="27"/>
  <c r="F34" i="27"/>
  <c r="F33" i="27"/>
  <c r="O10" i="31"/>
  <c r="O7" i="31"/>
  <c r="O8" i="31"/>
  <c r="O9" i="31"/>
  <c r="O3" i="31"/>
  <c r="O4" i="31"/>
  <c r="O5" i="31"/>
  <c r="O6" i="31"/>
  <c r="O2" i="31"/>
  <c r="F29" i="27"/>
  <c r="F30" i="27"/>
  <c r="F31" i="27"/>
  <c r="F32" i="27"/>
  <c r="G8" i="31"/>
  <c r="M5" i="31"/>
  <c r="M3" i="31"/>
  <c r="M4" i="31"/>
  <c r="M2" i="31"/>
  <c r="H4" i="31"/>
  <c r="F28" i="27"/>
  <c r="F26" i="27"/>
  <c r="F27" i="27"/>
  <c r="F25" i="27"/>
  <c r="F20" i="27"/>
  <c r="F21" i="27"/>
  <c r="F22" i="27"/>
  <c r="F23" i="27"/>
  <c r="F24" i="27"/>
  <c r="F19" i="27"/>
  <c r="F18" i="27"/>
  <c r="F17" i="27"/>
  <c r="F16" i="27"/>
  <c r="F15" i="27"/>
  <c r="D5" i="30"/>
  <c r="D4" i="30"/>
  <c r="D3" i="30"/>
  <c r="D2" i="30"/>
  <c r="D6" i="30" s="1"/>
  <c r="F7" i="26"/>
  <c r="F11" i="27"/>
  <c r="F12" i="27"/>
  <c r="F13" i="27"/>
  <c r="F14" i="27"/>
  <c r="F10" i="27"/>
  <c r="F9" i="27"/>
  <c r="F6" i="27"/>
  <c r="F7" i="27"/>
  <c r="F8" i="27"/>
  <c r="G11" i="29"/>
  <c r="G3" i="29"/>
  <c r="G4" i="29"/>
  <c r="G5" i="29"/>
  <c r="G6" i="29"/>
  <c r="G7" i="29"/>
  <c r="G8" i="29"/>
  <c r="G9" i="29"/>
  <c r="G10" i="29"/>
  <c r="G2" i="29"/>
  <c r="V33" i="34" l="1"/>
  <c r="O12" i="27"/>
  <c r="E11" i="29"/>
  <c r="E3" i="29"/>
  <c r="E4" i="29"/>
  <c r="E5" i="29"/>
  <c r="E6" i="29"/>
  <c r="E7" i="29"/>
  <c r="E8" i="29"/>
  <c r="E9" i="29"/>
  <c r="E10" i="29"/>
  <c r="E2" i="29"/>
  <c r="F21" i="28"/>
  <c r="F19" i="28"/>
  <c r="F17" i="28"/>
  <c r="F6" i="28"/>
  <c r="F5" i="28"/>
  <c r="F4" i="28"/>
  <c r="F3" i="28"/>
  <c r="F2" i="28"/>
  <c r="F4" i="27"/>
  <c r="F5" i="27"/>
  <c r="F3" i="27"/>
  <c r="F2" i="27"/>
  <c r="F3" i="26"/>
  <c r="F4" i="26"/>
  <c r="F5" i="26"/>
  <c r="F6" i="26"/>
  <c r="F2" i="26"/>
  <c r="F28" i="24"/>
  <c r="F27" i="24"/>
  <c r="F26" i="24"/>
  <c r="F25" i="24"/>
  <c r="M21" i="19"/>
  <c r="M19" i="19"/>
  <c r="F7" i="25"/>
  <c r="F8" i="25"/>
  <c r="F6" i="25"/>
  <c r="F4" i="25"/>
  <c r="F3" i="25"/>
  <c r="F24" i="24"/>
  <c r="F23" i="24"/>
  <c r="F22" i="24"/>
  <c r="F6" i="24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5" i="24"/>
  <c r="F3" i="24"/>
  <c r="F4" i="24"/>
  <c r="F2" i="24"/>
  <c r="F34" i="23"/>
  <c r="F32" i="23"/>
  <c r="F31" i="23"/>
  <c r="F30" i="23"/>
  <c r="F29" i="23"/>
  <c r="F24" i="23"/>
  <c r="F25" i="23"/>
  <c r="F26" i="23"/>
  <c r="F27" i="23"/>
  <c r="F28" i="23"/>
  <c r="F23" i="23"/>
  <c r="F9" i="22"/>
  <c r="F20" i="23"/>
  <c r="F21" i="23"/>
  <c r="F19" i="23"/>
  <c r="F18" i="23"/>
  <c r="F16" i="23"/>
  <c r="F9" i="23"/>
  <c r="F10" i="23"/>
  <c r="F11" i="23"/>
  <c r="F12" i="23"/>
  <c r="F13" i="23"/>
  <c r="F14" i="23"/>
  <c r="F15" i="23"/>
  <c r="F8" i="23"/>
  <c r="F4" i="23"/>
  <c r="F5" i="23"/>
  <c r="F6" i="23"/>
  <c r="F7" i="23"/>
  <c r="F3" i="23"/>
  <c r="F2" i="23"/>
  <c r="F3" i="22"/>
  <c r="F4" i="22"/>
  <c r="F5" i="22"/>
  <c r="F6" i="22"/>
  <c r="F7" i="22"/>
  <c r="F8" i="22"/>
  <c r="F10" i="22"/>
  <c r="F11" i="22"/>
  <c r="F2" i="22"/>
  <c r="F44" i="20"/>
  <c r="F43" i="20"/>
  <c r="F27" i="20" l="1"/>
  <c r="F41" i="20"/>
  <c r="F40" i="20"/>
  <c r="F39" i="20"/>
  <c r="F26" i="20"/>
  <c r="F22" i="19"/>
  <c r="F21" i="19"/>
  <c r="F38" i="20"/>
  <c r="M15" i="18" l="1"/>
  <c r="M14" i="18"/>
  <c r="M35" i="20"/>
  <c r="F33" i="20"/>
  <c r="F34" i="20"/>
  <c r="F35" i="20"/>
  <c r="F36" i="20"/>
  <c r="F37" i="20"/>
  <c r="F32" i="20"/>
  <c r="F31" i="20"/>
  <c r="B10" i="20"/>
  <c r="B11" i="20"/>
  <c r="B12" i="20"/>
  <c r="B14" i="20"/>
  <c r="B15" i="20"/>
  <c r="B16" i="20"/>
  <c r="B17" i="20"/>
  <c r="B18" i="20"/>
  <c r="B19" i="20"/>
  <c r="B20" i="20"/>
  <c r="B21" i="20"/>
  <c r="B22" i="20"/>
  <c r="B23" i="20"/>
  <c r="B24" i="20"/>
  <c r="B25" i="20"/>
  <c r="B28" i="20"/>
  <c r="B9" i="20"/>
  <c r="F7" i="20"/>
  <c r="F8" i="20"/>
  <c r="F6" i="20"/>
  <c r="M9" i="19"/>
  <c r="M8" i="19"/>
  <c r="F6" i="19"/>
  <c r="F7" i="19"/>
  <c r="F8" i="19"/>
  <c r="F9" i="19"/>
  <c r="F10" i="19"/>
  <c r="F11" i="19"/>
  <c r="F12" i="19"/>
  <c r="F13" i="19"/>
  <c r="F14" i="19"/>
  <c r="F15" i="19"/>
  <c r="F16" i="19"/>
  <c r="F17" i="19"/>
  <c r="F18" i="19"/>
  <c r="F19" i="19"/>
  <c r="F20" i="19"/>
  <c r="F5" i="20"/>
  <c r="F41" i="16"/>
  <c r="F37" i="16"/>
  <c r="F36" i="16"/>
  <c r="F3" i="20"/>
  <c r="F2" i="20"/>
  <c r="F5" i="19"/>
  <c r="F3" i="19"/>
  <c r="F4" i="19"/>
  <c r="F2" i="19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19" i="18"/>
  <c r="F20" i="18"/>
  <c r="F21" i="18"/>
  <c r="F22" i="18"/>
  <c r="F23" i="18"/>
  <c r="F18" i="18"/>
  <c r="F35" i="16"/>
  <c r="F17" i="18"/>
  <c r="F16" i="18"/>
  <c r="F33" i="16"/>
  <c r="F34" i="16"/>
  <c r="F4" i="18"/>
  <c r="F5" i="18"/>
  <c r="F6" i="18"/>
  <c r="F7" i="18"/>
  <c r="F8" i="18"/>
  <c r="F9" i="18"/>
  <c r="F10" i="18"/>
  <c r="F11" i="18"/>
  <c r="F13" i="18"/>
  <c r="F14" i="18"/>
  <c r="F15" i="18"/>
  <c r="F3" i="18"/>
  <c r="F32" i="16"/>
  <c r="F31" i="16"/>
  <c r="F30" i="16"/>
  <c r="F18" i="16"/>
  <c r="F19" i="16"/>
  <c r="F20" i="16"/>
  <c r="F21" i="16"/>
  <c r="F22" i="16"/>
  <c r="F23" i="16"/>
  <c r="F13" i="16"/>
  <c r="F14" i="16"/>
  <c r="F15" i="16"/>
  <c r="F16" i="16"/>
  <c r="F17" i="16"/>
  <c r="F7" i="16"/>
  <c r="F8" i="16"/>
  <c r="F10" i="16"/>
  <c r="F11" i="16"/>
  <c r="F12" i="16"/>
  <c r="F9" i="16"/>
  <c r="F6" i="16"/>
  <c r="I31" i="4"/>
  <c r="I30" i="4"/>
  <c r="F3" i="16" l="1"/>
  <c r="F4" i="16"/>
  <c r="F5" i="16"/>
  <c r="F2" i="16"/>
  <c r="F22" i="10"/>
  <c r="F3" i="12" l="1"/>
  <c r="F25" i="12"/>
  <c r="F24" i="12"/>
  <c r="F20" i="10"/>
  <c r="F21" i="10"/>
  <c r="F20" i="12"/>
  <c r="F21" i="12"/>
  <c r="F22" i="12"/>
  <c r="F23" i="12"/>
  <c r="F4" i="12"/>
  <c r="F5" i="12"/>
  <c r="F6" i="12"/>
  <c r="F7" i="12"/>
  <c r="F8" i="12"/>
  <c r="F9" i="12"/>
  <c r="F10" i="12"/>
  <c r="F11" i="12"/>
  <c r="F12" i="12"/>
  <c r="F13" i="12"/>
  <c r="F14" i="12"/>
  <c r="F15" i="12"/>
  <c r="F16" i="12"/>
  <c r="F17" i="12"/>
  <c r="F18" i="12"/>
  <c r="F19" i="12"/>
  <c r="F2" i="12"/>
  <c r="F27" i="9"/>
  <c r="F26" i="9"/>
  <c r="F25" i="9"/>
  <c r="F23" i="9"/>
  <c r="F24" i="9"/>
  <c r="F22" i="9"/>
  <c r="F21" i="9"/>
  <c r="F20" i="9"/>
  <c r="F19" i="10"/>
  <c r="I19" i="10"/>
  <c r="J19" i="10" s="1"/>
  <c r="K19" i="10" s="1"/>
  <c r="F18" i="10"/>
  <c r="I18" i="10"/>
  <c r="J18" i="10"/>
  <c r="K18" i="10" s="1"/>
  <c r="F17" i="10"/>
  <c r="I17" i="10"/>
  <c r="J17" i="10"/>
  <c r="K17" i="10"/>
  <c r="N17" i="10"/>
  <c r="F13" i="9"/>
  <c r="F14" i="9"/>
  <c r="F15" i="9"/>
  <c r="F16" i="9"/>
  <c r="F17" i="9"/>
  <c r="F18" i="9"/>
  <c r="F19" i="9"/>
  <c r="F12" i="9"/>
  <c r="F10" i="9"/>
  <c r="F11" i="9"/>
  <c r="N18" i="10"/>
  <c r="O18" i="10" s="1"/>
  <c r="L18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3" i="10"/>
  <c r="L4" i="10"/>
  <c r="L5" i="10"/>
  <c r="L6" i="10"/>
  <c r="L7" i="10"/>
  <c r="L8" i="10"/>
  <c r="L9" i="10"/>
  <c r="L10" i="10"/>
  <c r="L11" i="10"/>
  <c r="L12" i="10"/>
  <c r="L13" i="10"/>
  <c r="L14" i="10"/>
  <c r="L15" i="10"/>
  <c r="L16" i="10"/>
  <c r="L3" i="10"/>
  <c r="Q3" i="10"/>
  <c r="F9" i="9"/>
  <c r="F7" i="9"/>
  <c r="F8" i="9"/>
  <c r="J5" i="10" l="1"/>
  <c r="K5" i="10" s="1"/>
  <c r="I3" i="10"/>
  <c r="J3" i="10" s="1"/>
  <c r="K3" i="10" s="1"/>
  <c r="I4" i="10"/>
  <c r="J4" i="10" s="1"/>
  <c r="K4" i="10" s="1"/>
  <c r="I5" i="10"/>
  <c r="F3" i="10"/>
  <c r="F4" i="10"/>
  <c r="F5" i="10"/>
  <c r="I7" i="10"/>
  <c r="J7" i="10" s="1"/>
  <c r="K7" i="10" s="1"/>
  <c r="I8" i="10"/>
  <c r="J8" i="10" s="1"/>
  <c r="K8" i="10" s="1"/>
  <c r="I9" i="10"/>
  <c r="J9" i="10" s="1"/>
  <c r="K9" i="10" s="1"/>
  <c r="I10" i="10"/>
  <c r="J10" i="10" s="1"/>
  <c r="K10" i="10" s="1"/>
  <c r="I11" i="10"/>
  <c r="J11" i="10" s="1"/>
  <c r="K11" i="10" s="1"/>
  <c r="I12" i="10"/>
  <c r="J12" i="10" s="1"/>
  <c r="K12" i="10" s="1"/>
  <c r="I13" i="10"/>
  <c r="J13" i="10" s="1"/>
  <c r="K13" i="10" s="1"/>
  <c r="I14" i="10"/>
  <c r="J14" i="10" s="1"/>
  <c r="K14" i="10" s="1"/>
  <c r="I15" i="10"/>
  <c r="J15" i="10" s="1"/>
  <c r="K15" i="10" s="1"/>
  <c r="I16" i="10"/>
  <c r="J16" i="10" s="1"/>
  <c r="K16" i="10" s="1"/>
  <c r="I6" i="10"/>
  <c r="J6" i="10" s="1"/>
  <c r="K6" i="10" s="1"/>
  <c r="F16" i="10" l="1"/>
  <c r="F15" i="10"/>
  <c r="F14" i="10"/>
  <c r="F8" i="10"/>
  <c r="F9" i="10"/>
  <c r="F10" i="10"/>
  <c r="F11" i="10"/>
  <c r="F12" i="10"/>
  <c r="F13" i="10"/>
  <c r="F7" i="10"/>
  <c r="F6" i="10"/>
  <c r="F6" i="9"/>
  <c r="F19" i="7"/>
  <c r="F18" i="7"/>
  <c r="F17" i="7"/>
  <c r="F16" i="7"/>
  <c r="F15" i="7"/>
  <c r="N23" i="8"/>
  <c r="L23" i="8"/>
  <c r="L22" i="8"/>
  <c r="N22" i="8"/>
  <c r="N21" i="8"/>
  <c r="L21" i="8"/>
  <c r="N20" i="8"/>
  <c r="L20" i="8"/>
  <c r="F3" i="9"/>
  <c r="F4" i="9"/>
  <c r="F5" i="9"/>
  <c r="F2" i="9"/>
  <c r="F152" i="4"/>
  <c r="F151" i="4"/>
  <c r="F150" i="4"/>
  <c r="F149" i="4"/>
  <c r="F148" i="4"/>
  <c r="F147" i="4"/>
  <c r="N16" i="8"/>
  <c r="N17" i="8"/>
  <c r="N18" i="8"/>
  <c r="N19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2" i="8"/>
  <c r="L19" i="8" l="1"/>
  <c r="L18" i="8"/>
  <c r="L16" i="8"/>
  <c r="L17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2" i="8"/>
  <c r="G3" i="7"/>
  <c r="G2" i="7"/>
  <c r="F146" i="4" l="1"/>
  <c r="F145" i="4"/>
  <c r="F144" i="4"/>
  <c r="F143" i="4"/>
  <c r="F142" i="4"/>
  <c r="F136" i="4"/>
  <c r="F137" i="4"/>
  <c r="F138" i="4"/>
  <c r="F139" i="4"/>
  <c r="F140" i="4"/>
  <c r="F141" i="4"/>
  <c r="F135" i="4"/>
  <c r="F134" i="4"/>
  <c r="F133" i="4"/>
  <c r="F132" i="4"/>
  <c r="F131" i="4"/>
  <c r="F130" i="4"/>
  <c r="F129" i="4"/>
  <c r="F128" i="4"/>
  <c r="F127" i="4"/>
  <c r="F126" i="4"/>
  <c r="F124" i="4"/>
  <c r="F125" i="4"/>
  <c r="F123" i="4"/>
  <c r="F122" i="4"/>
  <c r="F121" i="4"/>
  <c r="F120" i="4"/>
  <c r="F119" i="4"/>
  <c r="F118" i="4"/>
  <c r="F117" i="4"/>
  <c r="F116" i="4"/>
  <c r="F115" i="4"/>
  <c r="F114" i="4"/>
  <c r="F113" i="4"/>
  <c r="I113" i="4" s="1"/>
  <c r="F112" i="4"/>
  <c r="F111" i="4"/>
  <c r="F108" i="4"/>
  <c r="F109" i="4"/>
  <c r="F110" i="4"/>
  <c r="F107" i="4"/>
  <c r="F106" i="4"/>
  <c r="F46" i="4"/>
  <c r="F48" i="4"/>
  <c r="F91" i="4"/>
  <c r="F90" i="4"/>
  <c r="F89" i="4"/>
  <c r="F104" i="4"/>
  <c r="F105" i="4"/>
  <c r="F103" i="4"/>
  <c r="F102" i="4"/>
  <c r="F101" i="4"/>
  <c r="F100" i="4"/>
  <c r="F99" i="4"/>
  <c r="F98" i="4"/>
  <c r="F97" i="4"/>
  <c r="F96" i="4"/>
  <c r="F95" i="4"/>
  <c r="F94" i="4"/>
  <c r="F93" i="4"/>
  <c r="F92" i="4"/>
  <c r="F88" i="4"/>
  <c r="F87" i="4"/>
  <c r="F86" i="4"/>
  <c r="F85" i="4"/>
  <c r="F84" i="4"/>
  <c r="F83" i="4"/>
  <c r="F82" i="4"/>
  <c r="F81" i="4"/>
  <c r="F9" i="3"/>
  <c r="F8" i="3"/>
  <c r="F69" i="4"/>
  <c r="F67" i="4"/>
  <c r="F68" i="4"/>
  <c r="F70" i="4"/>
  <c r="F71" i="4"/>
  <c r="F72" i="4"/>
  <c r="F73" i="4"/>
  <c r="F74" i="4"/>
  <c r="F75" i="4"/>
  <c r="F76" i="4"/>
  <c r="F77" i="4"/>
  <c r="I77" i="4" s="1"/>
  <c r="F78" i="4"/>
  <c r="F79" i="4"/>
  <c r="F80" i="4"/>
  <c r="F66" i="4"/>
  <c r="F63" i="4"/>
  <c r="F64" i="4"/>
  <c r="F65" i="4"/>
  <c r="F62" i="4"/>
  <c r="F61" i="4"/>
  <c r="F60" i="4"/>
  <c r="F59" i="4"/>
  <c r="F58" i="4"/>
  <c r="F55" i="4"/>
  <c r="F56" i="4"/>
  <c r="F57" i="4"/>
  <c r="F50" i="4"/>
  <c r="F51" i="4"/>
  <c r="F52" i="4"/>
  <c r="F53" i="4"/>
  <c r="F54" i="4"/>
  <c r="F49" i="4"/>
  <c r="F47" i="4"/>
  <c r="F38" i="4" l="1"/>
  <c r="I38" i="4" s="1"/>
  <c r="F37" i="4"/>
  <c r="F33" i="4"/>
  <c r="F34" i="4"/>
  <c r="F35" i="4"/>
  <c r="F36" i="4"/>
  <c r="F39" i="4"/>
  <c r="F40" i="4"/>
  <c r="F41" i="4"/>
  <c r="F42" i="4"/>
  <c r="F43" i="4"/>
  <c r="F44" i="4"/>
  <c r="F45" i="4"/>
  <c r="F32" i="4"/>
  <c r="F20" i="4"/>
  <c r="F21" i="4"/>
  <c r="F22" i="4"/>
  <c r="F23" i="4"/>
  <c r="F24" i="4"/>
  <c r="I24" i="4" s="1"/>
  <c r="F25" i="4"/>
  <c r="F26" i="4"/>
  <c r="I26" i="4" s="1"/>
  <c r="F27" i="4"/>
  <c r="F28" i="4"/>
  <c r="F29" i="4"/>
  <c r="I29" i="4" s="1"/>
  <c r="F7" i="3"/>
  <c r="F18" i="4"/>
  <c r="F19" i="4"/>
  <c r="F6" i="3"/>
  <c r="F39" i="1" l="1"/>
  <c r="F5" i="4"/>
  <c r="F6" i="4"/>
  <c r="F7" i="4"/>
  <c r="F8" i="4"/>
  <c r="F9" i="4"/>
  <c r="F10" i="4"/>
  <c r="F11" i="4"/>
  <c r="F12" i="4"/>
  <c r="F13" i="4"/>
  <c r="I13" i="4" s="1"/>
  <c r="F14" i="4"/>
  <c r="I14" i="4" s="1"/>
  <c r="F15" i="4"/>
  <c r="F16" i="4"/>
  <c r="F17" i="4"/>
  <c r="F4" i="4"/>
  <c r="E3" i="4"/>
  <c r="E2" i="4"/>
  <c r="F4" i="3"/>
  <c r="F3" i="3"/>
  <c r="F35" i="1"/>
  <c r="F36" i="1"/>
  <c r="F37" i="1"/>
  <c r="F38" i="1"/>
  <c r="F34" i="1"/>
  <c r="E29" i="2"/>
  <c r="E28" i="2"/>
  <c r="E27" i="2"/>
  <c r="E26" i="2"/>
  <c r="E25" i="2"/>
  <c r="E24" i="2"/>
  <c r="F33" i="1"/>
  <c r="F32" i="1"/>
  <c r="E15" i="2"/>
  <c r="E14" i="2"/>
  <c r="E13" i="2"/>
  <c r="E12" i="2"/>
  <c r="E11" i="2"/>
  <c r="E10" i="2"/>
  <c r="F30" i="1" l="1"/>
  <c r="F29" i="1"/>
  <c r="F28" i="1"/>
  <c r="F27" i="1"/>
  <c r="F26" i="1"/>
  <c r="F25" i="1"/>
  <c r="F24" i="1"/>
  <c r="F23" i="1"/>
  <c r="F22" i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<sst xmlns="http://schemas.openxmlformats.org/spreadsheetml/2006/main" count="5482" uniqueCount="1301">
  <si>
    <t>Qty</t>
  </si>
  <si>
    <t>Items</t>
  </si>
  <si>
    <t>Store</t>
  </si>
  <si>
    <t>Price</t>
  </si>
  <si>
    <t>Total</t>
  </si>
  <si>
    <t>status</t>
  </si>
  <si>
    <t>PS5 Astro BOT</t>
  </si>
  <si>
    <t>JBHIFI Castle Hills</t>
  </si>
  <si>
    <t>Collected</t>
  </si>
  <si>
    <t>Mac Book Air M4 24/512Midnight</t>
  </si>
  <si>
    <t>EB Games Online</t>
  </si>
  <si>
    <t>Pending Collection Merrylands</t>
  </si>
  <si>
    <t>Pending Collection Bankstown</t>
  </si>
  <si>
    <t>Mac Book Air Midnight</t>
  </si>
  <si>
    <t>Costco Online</t>
  </si>
  <si>
    <t>Delivered  home on 29/03/2025</t>
  </si>
  <si>
    <t>Office Works Hornsby</t>
  </si>
  <si>
    <t>Mac Book Air M4 24/512 Sky Blue</t>
  </si>
  <si>
    <t xml:space="preserve">Iphone 16 Pro max 256 GB Desert </t>
  </si>
  <si>
    <t>Office Works Northmead</t>
  </si>
  <si>
    <t>Office Works  west ryde</t>
  </si>
  <si>
    <t>Office Works North Ryde</t>
  </si>
  <si>
    <t>PickUp Northmead/ Collected</t>
  </si>
  <si>
    <t>Office Works  Castle Hills</t>
  </si>
  <si>
    <t>Pending Collection</t>
  </si>
  <si>
    <t>Office Works Blacktown</t>
  </si>
  <si>
    <t>Mac Book Pro 16/512 Silver</t>
  </si>
  <si>
    <t>Office Works Wentworthville</t>
  </si>
  <si>
    <t>Office Works Auburn</t>
  </si>
  <si>
    <t>Mac Book Pro M4 14" 16/512 Silver</t>
  </si>
  <si>
    <t>Good Guys Auburn</t>
  </si>
  <si>
    <t>Mini Evo</t>
  </si>
  <si>
    <t>Mini 12 Purple</t>
  </si>
  <si>
    <t>Mini 12 Blue</t>
  </si>
  <si>
    <t>Mini 12 White</t>
  </si>
  <si>
    <t>Ninja Blast Blender</t>
  </si>
  <si>
    <t>Pending Collection Blacktown</t>
  </si>
  <si>
    <t>Order Cancelled</t>
  </si>
  <si>
    <t>Air</t>
  </si>
  <si>
    <t>Officeworks Online</t>
  </si>
  <si>
    <t>Pro</t>
  </si>
  <si>
    <t>Good Guys Bankstown</t>
  </si>
  <si>
    <t>Wentworthville</t>
  </si>
  <si>
    <t>Blacktown</t>
  </si>
  <si>
    <t>Castle Hills</t>
  </si>
  <si>
    <t>Auburn</t>
  </si>
  <si>
    <t>Five Dock</t>
  </si>
  <si>
    <t>Pending</t>
  </si>
  <si>
    <t>Macbook</t>
  </si>
  <si>
    <t>No Entry</t>
  </si>
  <si>
    <t>Office Works Five Dock</t>
  </si>
  <si>
    <t>Collected 29.03.2025</t>
  </si>
  <si>
    <t>4 Collected 29.03.2025</t>
  </si>
  <si>
    <t>Comments 29.03.2025</t>
  </si>
  <si>
    <t>As of 28.03.2025</t>
  </si>
  <si>
    <t>JBHIFI Online</t>
  </si>
  <si>
    <t>Mac Book Pro M4 14" 16/ 1TB Space Black</t>
  </si>
  <si>
    <t>Collected 30/03/2025</t>
  </si>
  <si>
    <t>Collected 31/03/2025</t>
  </si>
  <si>
    <t>Good Guys Blacktown</t>
  </si>
  <si>
    <t>Mini 12  Mix Colour</t>
  </si>
  <si>
    <t>Ps5 Astro Bot</t>
  </si>
  <si>
    <t>Pending Delivery</t>
  </si>
  <si>
    <t>Received</t>
  </si>
  <si>
    <t>Mac Book Pro</t>
  </si>
  <si>
    <t>Date</t>
  </si>
  <si>
    <t>Collection Date</t>
  </si>
  <si>
    <t>Mac Book Pro M4 16/1TB Space Black</t>
  </si>
  <si>
    <t>Mac Book Air 13" M4 24/512 Sky Blue</t>
  </si>
  <si>
    <t>Mac Book Pro M4 14" 16/1TB Space Black</t>
  </si>
  <si>
    <t>Office Works Castle Hills</t>
  </si>
  <si>
    <t>JBHIFI Hornsby</t>
  </si>
  <si>
    <t>Office Works West Ryde</t>
  </si>
  <si>
    <t>Mac Book Air 13" M4 24/512 Space Black</t>
  </si>
  <si>
    <t>Instax Mini 99 Bundle</t>
  </si>
  <si>
    <t>Meta Quest 3 512</t>
  </si>
  <si>
    <t>Norton Antivirus</t>
  </si>
  <si>
    <t>Collected 01/04/2025</t>
  </si>
  <si>
    <t>Row Labels</t>
  </si>
  <si>
    <t>(blank)</t>
  </si>
  <si>
    <t>Grand Total</t>
  </si>
  <si>
    <t>Sum of Qty</t>
  </si>
  <si>
    <t xml:space="preserve">JBHIFI Meta Quest </t>
  </si>
  <si>
    <t>Merylands</t>
  </si>
  <si>
    <t>Packaging</t>
  </si>
  <si>
    <t>Expense</t>
  </si>
  <si>
    <t>Instax Mini 12</t>
  </si>
  <si>
    <t xml:space="preserve">Good Guys </t>
  </si>
  <si>
    <t>Office Works Punchbowl</t>
  </si>
  <si>
    <t>Collected 04/04/2025</t>
  </si>
  <si>
    <t>Collected 03/04/2025</t>
  </si>
  <si>
    <t>Order Cancelled /Refund 03/04/2025</t>
  </si>
  <si>
    <t xml:space="preserve">Paid </t>
  </si>
  <si>
    <t>Order Cancelled Refund 08/04/2025</t>
  </si>
  <si>
    <t>Mac Book Air 15" M4 24/512 Sky Blue</t>
  </si>
  <si>
    <t>PS5 Hard drive</t>
  </si>
  <si>
    <t>Office Works Nortmead</t>
  </si>
  <si>
    <t>Mac Book Air 13" M4 24/512 Midnight</t>
  </si>
  <si>
    <t>PS5 Astrobot with CD game</t>
  </si>
  <si>
    <t>Big W Winston Hills</t>
  </si>
  <si>
    <t>Big W Bansktown</t>
  </si>
  <si>
    <t>JBHIFI Bankstown</t>
  </si>
  <si>
    <t>Pending Collection Parramatta</t>
  </si>
  <si>
    <t>Big W Merrylands</t>
  </si>
  <si>
    <t>Meta Quest 3S 128</t>
  </si>
  <si>
    <t>Delivered 11/04/2025</t>
  </si>
  <si>
    <t>EB Games North Ryde</t>
  </si>
  <si>
    <t>Collected  10/04/2025</t>
  </si>
  <si>
    <t>Collected 10/04/2025</t>
  </si>
  <si>
    <t>Cancelled Refund to be process</t>
  </si>
  <si>
    <t>Order Cancelled Refunded</t>
  </si>
  <si>
    <t>Shipment 07/04/2025</t>
  </si>
  <si>
    <t>Macbook Air M4 13" 24/512 Midnight</t>
  </si>
  <si>
    <t>Macbook Air M4 13" 24/512 Sky Blue</t>
  </si>
  <si>
    <t>Harvey Norman Morre Park</t>
  </si>
  <si>
    <t>10% Gift Card</t>
  </si>
  <si>
    <t>PS5 Astrobot Bundle No CD</t>
  </si>
  <si>
    <t>Play Station Portal Black</t>
  </si>
  <si>
    <t>Harvey Norman Broadway</t>
  </si>
  <si>
    <t>Macbook Air M4 13" 24/512 Silver</t>
  </si>
  <si>
    <t>Harvey Norman Castle Hills</t>
  </si>
  <si>
    <t>Macbook Air M4 15" 24/512 Midnight</t>
  </si>
  <si>
    <t>Instax Mini 40</t>
  </si>
  <si>
    <t>Dragon Age Game CD</t>
  </si>
  <si>
    <t>Harvey Norman North Ryde</t>
  </si>
  <si>
    <t xml:space="preserve">Big W Online </t>
  </si>
  <si>
    <t>Macbook Air M4 15" 24/512 Silver</t>
  </si>
  <si>
    <t>13/04/205</t>
  </si>
  <si>
    <t>13/04/206</t>
  </si>
  <si>
    <t>10% gift Card</t>
  </si>
  <si>
    <t>Harvey Norman Auburn</t>
  </si>
  <si>
    <t>Mac Book Air M4 24/512 13"</t>
  </si>
  <si>
    <t>DJI Osmo Pocket 3</t>
  </si>
  <si>
    <t>Instax mini EVO</t>
  </si>
  <si>
    <t>Instax Film 20 Pack</t>
  </si>
  <si>
    <t>Collected 13/04/2024</t>
  </si>
  <si>
    <t>Collected 13/04/2025</t>
  </si>
  <si>
    <t>Harvey Norman Alexandria</t>
  </si>
  <si>
    <t>Harvey Norman Blacktown</t>
  </si>
  <si>
    <t>Good Guys Castle Hills</t>
  </si>
  <si>
    <t>DJI Mavic Pro RC</t>
  </si>
  <si>
    <t>DJI Mavic Pro RC Combo</t>
  </si>
  <si>
    <t>10% Gift Card + $200 Gift Card</t>
  </si>
  <si>
    <t xml:space="preserve">Instax LiPlay Mix </t>
  </si>
  <si>
    <t>Instax LiPlay Pink</t>
  </si>
  <si>
    <t>Macbook Air M3 13" 24/512 Midnight</t>
  </si>
  <si>
    <t>Sum of Total</t>
  </si>
  <si>
    <t>(Multiple Items)</t>
  </si>
  <si>
    <t>Mac Book Air M4 13" 24/512 Sky Blue</t>
  </si>
  <si>
    <t>Mac Book Air M4 13 " 24/512 Sky Blue</t>
  </si>
  <si>
    <t>Mac Book Air M4 13" 24/512 Midnight</t>
  </si>
  <si>
    <t>Mac Book Air M3 15"24/512 Starlight</t>
  </si>
  <si>
    <t>Mac Book Air M3 15"24/512 Silver</t>
  </si>
  <si>
    <t>Mac Book Air  M3 15" 24/512 Starlight</t>
  </si>
  <si>
    <t>Mac Book Air M3 15" 24/512 Midnight</t>
  </si>
  <si>
    <t>Mac Book Air  M4 15" 24/512 Sky Blue</t>
  </si>
  <si>
    <t>Mac Book Air M4 15" 24/512 Sky Blue</t>
  </si>
  <si>
    <t>Mac Book Air  M4 15" 24/512 Midnight</t>
  </si>
  <si>
    <t>Macbook Air M4 15" 24/512 Sky Blue</t>
  </si>
  <si>
    <t>Description</t>
  </si>
  <si>
    <t>Mac Book Air 13" M4 24/512</t>
  </si>
  <si>
    <t>Mac Book Air 15" M4 24/512</t>
  </si>
  <si>
    <t>Instax mini Evo</t>
  </si>
  <si>
    <t xml:space="preserve">PS Portal </t>
  </si>
  <si>
    <t>DJI</t>
  </si>
  <si>
    <t>Mini 12</t>
  </si>
  <si>
    <t>Mini 40</t>
  </si>
  <si>
    <t>Evo</t>
  </si>
  <si>
    <t>CD</t>
  </si>
  <si>
    <t>Paper</t>
  </si>
  <si>
    <t>Liplay</t>
  </si>
  <si>
    <t>EVO</t>
  </si>
  <si>
    <t>MC7D4X</t>
  </si>
  <si>
    <t>Osmo Pocket</t>
  </si>
  <si>
    <t>MC9K4X</t>
  </si>
  <si>
    <t>Pro 15" M4 16/512</t>
  </si>
  <si>
    <t>MC9J4X</t>
  </si>
  <si>
    <t>Meta Quest</t>
  </si>
  <si>
    <t>DJI COMBO</t>
  </si>
  <si>
    <t>MC6L4X</t>
  </si>
  <si>
    <t>M4 PRO 24/512</t>
  </si>
  <si>
    <t>BAG</t>
  </si>
  <si>
    <t>MC9L4X</t>
  </si>
  <si>
    <t>PS5</t>
  </si>
  <si>
    <t>IN Van</t>
  </si>
  <si>
    <t>home</t>
  </si>
  <si>
    <t>MIni 40</t>
  </si>
  <si>
    <t>MCV64X</t>
  </si>
  <si>
    <t>PS5 with CD</t>
  </si>
  <si>
    <t>Big W Online Rockdale</t>
  </si>
  <si>
    <t>PS5 Collected ,CD pending collection</t>
  </si>
  <si>
    <t>Order cancelled</t>
  </si>
  <si>
    <t>Cancelled Refund processed 17/04</t>
  </si>
  <si>
    <t>Collected 16/04/2025</t>
  </si>
  <si>
    <t>Sunglass Hut Bankstown</t>
  </si>
  <si>
    <t>Osmo Action 5 pro Adventure</t>
  </si>
  <si>
    <t>Osmo Pocket 3</t>
  </si>
  <si>
    <t>Osmo Mobile 7 P</t>
  </si>
  <si>
    <t>RW4008</t>
  </si>
  <si>
    <t>OPSM Parramatta</t>
  </si>
  <si>
    <t>RW4010 Transitions</t>
  </si>
  <si>
    <t>RW4008 Transitions</t>
  </si>
  <si>
    <t>RW 4008 Transitions</t>
  </si>
  <si>
    <t>Sunglass Hut Parramatta</t>
  </si>
  <si>
    <t>RW4006 Transitions</t>
  </si>
  <si>
    <t>EYE CONCEPTS MerryLands</t>
  </si>
  <si>
    <t>RW4006</t>
  </si>
  <si>
    <t>Macbook Air M4 15" 24/512 Starlinght</t>
  </si>
  <si>
    <t>Collected/shipped Dubai</t>
  </si>
  <si>
    <t>Cancelled /Refunded</t>
  </si>
  <si>
    <t>RW4006 Rayban Glasses</t>
  </si>
  <si>
    <t>Meta RW4010 Transition</t>
  </si>
  <si>
    <t>Myer Online</t>
  </si>
  <si>
    <t>Myer Sydney</t>
  </si>
  <si>
    <t xml:space="preserve">RW4006 Matte Dusty Blue </t>
  </si>
  <si>
    <t>Osmo 7P</t>
  </si>
  <si>
    <t>DJI Mavic Pro3 RC</t>
  </si>
  <si>
    <t xml:space="preserve">$1200 Gift Card </t>
  </si>
  <si>
    <t>Sunglass Hut Castle Towers</t>
  </si>
  <si>
    <t>David Jones Castle hills</t>
  </si>
  <si>
    <t>RW4006 Matte Dusty Blue 53</t>
  </si>
  <si>
    <t>Myer Castle Hills</t>
  </si>
  <si>
    <t xml:space="preserve">Meta RaybanTransitions Mix </t>
  </si>
  <si>
    <t>OPSM Castle Hills</t>
  </si>
  <si>
    <t>New AU Company registration</t>
  </si>
  <si>
    <t>Airpods 4 ANC</t>
  </si>
  <si>
    <t>Camera House Drummyone</t>
  </si>
  <si>
    <t>DJI Mavic Pro 3 RC</t>
  </si>
  <si>
    <t>DJI Mavic Pro 3 RC Combo</t>
  </si>
  <si>
    <t>$200 Gift Card</t>
  </si>
  <si>
    <t>JBHIFI Top Ryde</t>
  </si>
  <si>
    <t>Pending Collection Broadway</t>
  </si>
  <si>
    <t>JBHIFI Top Macquarie park</t>
  </si>
  <si>
    <t>Collected 24/04/2025</t>
  </si>
  <si>
    <t>Delivered 23/04/2025</t>
  </si>
  <si>
    <t>DJI Mavic 3 Pro RC</t>
  </si>
  <si>
    <t>DJI Mavic 3 Pro RC Combo</t>
  </si>
  <si>
    <t>Meta Ryban Transitions</t>
  </si>
  <si>
    <t>Instax film wide 10pk</t>
  </si>
  <si>
    <t>Instax film wide 20pk</t>
  </si>
  <si>
    <t>Instax film Square 10 PK</t>
  </si>
  <si>
    <t xml:space="preserve">Instax film Square 10 PK Black </t>
  </si>
  <si>
    <t>Instax film Square 10 PK Monochorome</t>
  </si>
  <si>
    <t>Instax film Square 10 PK star Illuminate</t>
  </si>
  <si>
    <t>Instax film Square 10 PK star sunset</t>
  </si>
  <si>
    <t>Instax film Square 10 PK star Rainbow</t>
  </si>
  <si>
    <t>Intax mini link 3</t>
  </si>
  <si>
    <t>instax Liplay</t>
  </si>
  <si>
    <t xml:space="preserve">Instax mini EVO </t>
  </si>
  <si>
    <t>JBHIFI Moore Park</t>
  </si>
  <si>
    <t>Harvey Norman Moore Park</t>
  </si>
  <si>
    <t xml:space="preserve">Price </t>
  </si>
  <si>
    <t>Descriptions</t>
  </si>
  <si>
    <t>Macbook Air 13" 24/512</t>
  </si>
  <si>
    <t>Macbook Air 15" 24/512</t>
  </si>
  <si>
    <t>Grand total</t>
  </si>
  <si>
    <t>Deposit</t>
  </si>
  <si>
    <t>Paid in store</t>
  </si>
  <si>
    <t>Gift cards</t>
  </si>
  <si>
    <t>Old Gift cards</t>
  </si>
  <si>
    <t>Andy Owe</t>
  </si>
  <si>
    <t>Box</t>
  </si>
  <si>
    <t>PS5 Portal</t>
  </si>
  <si>
    <t>Evo Camera</t>
  </si>
  <si>
    <t>DJI mavic 3 RC Combo</t>
  </si>
  <si>
    <t xml:space="preserve">DJI mavic 3 RC </t>
  </si>
  <si>
    <t>Osmo Mobile 7P</t>
  </si>
  <si>
    <t>Camera mini 12</t>
  </si>
  <si>
    <t>Meta Glasses</t>
  </si>
  <si>
    <t>Mini Link</t>
  </si>
  <si>
    <t>16/17</t>
  </si>
  <si>
    <t>Films Mix</t>
  </si>
  <si>
    <t>Harvey Norman Liverpool</t>
  </si>
  <si>
    <t xml:space="preserve">DJI Mavic 3 Pro RC </t>
  </si>
  <si>
    <t>Collected 26/04/2025</t>
  </si>
  <si>
    <t>4 Pending Collection</t>
  </si>
  <si>
    <t>Collected Change to M4 from M3</t>
  </si>
  <si>
    <t>28/04/2025 shipment</t>
  </si>
  <si>
    <t>Shipment dispatched</t>
  </si>
  <si>
    <t>Sunglass Hutt Bankstown</t>
  </si>
  <si>
    <t>Mac Book Air  M4 13" 24/512 Sky Blue</t>
  </si>
  <si>
    <t>Collected 27/04/2025</t>
  </si>
  <si>
    <t>RW4006 Matte Dusty Blue 50</t>
  </si>
  <si>
    <t>Sunglass Hutt Castle Hills</t>
  </si>
  <si>
    <t>Transitions Graphite Green</t>
  </si>
  <si>
    <t>Wayfarer Shiny Black Clear 4006</t>
  </si>
  <si>
    <t>JBHIFI Castle hills</t>
  </si>
  <si>
    <t>NZ</t>
  </si>
  <si>
    <t>14 macbook pending collection</t>
  </si>
  <si>
    <t>Myer Parramatta</t>
  </si>
  <si>
    <t>Rayban Meta AI Glasses via gift cards</t>
  </si>
  <si>
    <t>Noel Leeming</t>
  </si>
  <si>
    <t>Paid in full</t>
  </si>
  <si>
    <t>Shipment Date</t>
  </si>
  <si>
    <t>Instax film 20PK</t>
  </si>
  <si>
    <t>Starlink V4</t>
  </si>
  <si>
    <t>Delivery Charges</t>
  </si>
  <si>
    <t>PS5 Astrobot</t>
  </si>
  <si>
    <t>Google Streamer</t>
  </si>
  <si>
    <t>NZ Purchasing</t>
  </si>
  <si>
    <t>Canon camera</t>
  </si>
  <si>
    <t>Osmo pocket 3 creator combo</t>
  </si>
  <si>
    <t>Harvey Norman</t>
  </si>
  <si>
    <t>GST</t>
  </si>
  <si>
    <t>Before GST</t>
  </si>
  <si>
    <t>Myer Macquarie Park</t>
  </si>
  <si>
    <t>JBHIFI Broadway</t>
  </si>
  <si>
    <t>1 Refund</t>
  </si>
  <si>
    <t>Refund</t>
  </si>
  <si>
    <t>Sunglass Hutt Parramatta</t>
  </si>
  <si>
    <t>Transitions mix</t>
  </si>
  <si>
    <t>Cost</t>
  </si>
  <si>
    <t>total unit</t>
  </si>
  <si>
    <t>Sale price</t>
  </si>
  <si>
    <t>Canon GX70</t>
  </si>
  <si>
    <t>Digi Direct</t>
  </si>
  <si>
    <t>total</t>
  </si>
  <si>
    <t>DJI Mic 2</t>
  </si>
  <si>
    <t>JBHIFI Merrylands</t>
  </si>
  <si>
    <t>Meta Transitions Wayfarer</t>
  </si>
  <si>
    <t>Rayban Wayfarer</t>
  </si>
  <si>
    <t>Collected 16/05/2025</t>
  </si>
  <si>
    <t xml:space="preserve">1 Delivered 27/04/25 </t>
  </si>
  <si>
    <t>Canon SX740</t>
  </si>
  <si>
    <t>Harvey norman Moore Park</t>
  </si>
  <si>
    <t>DJI Mavic 4 Pro RC Combo</t>
  </si>
  <si>
    <t>12 Collected</t>
  </si>
  <si>
    <t xml:space="preserve">10 Pending Collection </t>
  </si>
  <si>
    <t>10 Collected</t>
  </si>
  <si>
    <t xml:space="preserve">Instax mini 12 </t>
  </si>
  <si>
    <t xml:space="preserve">Total Paid $92450 Only </t>
  </si>
  <si>
    <t>JBHIFI Macquarie Park</t>
  </si>
  <si>
    <t xml:space="preserve">Pending Collection Bankstown </t>
  </si>
  <si>
    <t>MobilieCiti</t>
  </si>
  <si>
    <t>Osmo Pocket 3 Combo</t>
  </si>
  <si>
    <t>DJI Macquarie Park</t>
  </si>
  <si>
    <t>JBHIFI  Parramatta</t>
  </si>
  <si>
    <t>Mavic 3 Combo</t>
  </si>
  <si>
    <t>Mavic 3 RC</t>
  </si>
  <si>
    <t>osmo pocket combo</t>
  </si>
  <si>
    <t>Mic2</t>
  </si>
  <si>
    <t>Mavic 4 Combo</t>
  </si>
  <si>
    <t>Canon740X</t>
  </si>
  <si>
    <t>Mac Book Air 15 "</t>
  </si>
  <si>
    <t>Mac Book Air 13"</t>
  </si>
  <si>
    <t xml:space="preserve">Meta </t>
  </si>
  <si>
    <t>Laptop</t>
  </si>
  <si>
    <t>Portable Camera</t>
  </si>
  <si>
    <t>Delivered</t>
  </si>
  <si>
    <t>Harvey Norman Moorepark</t>
  </si>
  <si>
    <t xml:space="preserve">Osmo Pocket 3 </t>
  </si>
  <si>
    <t>Mavic 4 Pro</t>
  </si>
  <si>
    <t>Mavic 4 Pro combo</t>
  </si>
  <si>
    <t>Mavic 3 Pro</t>
  </si>
  <si>
    <t>Mavic 3 Pro combo</t>
  </si>
  <si>
    <t>COSTCO</t>
  </si>
  <si>
    <t>PS5 Console</t>
  </si>
  <si>
    <t>PS5 Controller</t>
  </si>
  <si>
    <t>Digi Direct Parramatta</t>
  </si>
  <si>
    <t>GM II Lense</t>
  </si>
  <si>
    <t>EB Games Parramatta</t>
  </si>
  <si>
    <t>EB Games Merrylands</t>
  </si>
  <si>
    <t>EB Games Bankstown</t>
  </si>
  <si>
    <t>Photo Warehouse online</t>
  </si>
  <si>
    <t>JBHIFI Parramatta</t>
  </si>
  <si>
    <t xml:space="preserve">Collected </t>
  </si>
  <si>
    <t>Mobile Citi</t>
  </si>
  <si>
    <t>Items Shipped</t>
  </si>
  <si>
    <t>Collected 29/06/2025</t>
  </si>
  <si>
    <t>$200 Deposit Only</t>
  </si>
  <si>
    <t>$100 Deposit Only</t>
  </si>
  <si>
    <t>Harvey Norman Tawoomba</t>
  </si>
  <si>
    <t>Mark II with memory card and pouch</t>
  </si>
  <si>
    <t xml:space="preserve">Photo WH </t>
  </si>
  <si>
    <t>Canon Mark III</t>
  </si>
  <si>
    <t>Canon Mark II</t>
  </si>
  <si>
    <t>Lense</t>
  </si>
  <si>
    <t>car hire deposit</t>
  </si>
  <si>
    <t>SX740</t>
  </si>
  <si>
    <t xml:space="preserve">Photo WH online </t>
  </si>
  <si>
    <t>food</t>
  </si>
  <si>
    <t>soho</t>
  </si>
  <si>
    <t>photogear</t>
  </si>
  <si>
    <t>Progear</t>
  </si>
  <si>
    <t>photo wearhouse</t>
  </si>
  <si>
    <t>Rubber Monkey online</t>
  </si>
  <si>
    <t>car</t>
  </si>
  <si>
    <t>Auckland Camera centre</t>
  </si>
  <si>
    <t xml:space="preserve">Sx740 </t>
  </si>
  <si>
    <t>Soho</t>
  </si>
  <si>
    <t xml:space="preserve">Noel Leeming </t>
  </si>
  <si>
    <t>Delivery</t>
  </si>
  <si>
    <t>Noel Leeming delivery</t>
  </si>
  <si>
    <t>Collected 06/07/2025</t>
  </si>
  <si>
    <t>AUD</t>
  </si>
  <si>
    <t>starlink V4</t>
  </si>
  <si>
    <t>Instax Wide 400</t>
  </si>
  <si>
    <t xml:space="preserve">AUD </t>
  </si>
  <si>
    <t>Uber</t>
  </si>
  <si>
    <t>Emirates</t>
  </si>
  <si>
    <t>Train</t>
  </si>
  <si>
    <t>NZ Visit Expense</t>
  </si>
  <si>
    <t>Megatop Shipping Charges paid</t>
  </si>
  <si>
    <t>Photo WH City</t>
  </si>
  <si>
    <t>G7X Mark II</t>
  </si>
  <si>
    <t>G7X Mark III</t>
  </si>
  <si>
    <t>G7X Mark III Silver</t>
  </si>
  <si>
    <t>V4 Standard Kit</t>
  </si>
  <si>
    <t xml:space="preserve">Harvey norman Mount Roskills </t>
  </si>
  <si>
    <t>Mark III</t>
  </si>
  <si>
    <t>Mark II</t>
  </si>
  <si>
    <t>Deposit Lense</t>
  </si>
  <si>
    <t>3 Collected 17/07/2025 1Pending</t>
  </si>
  <si>
    <t>Delivered 15/07/2025</t>
  </si>
  <si>
    <t>Refunded 15/07/2025</t>
  </si>
  <si>
    <t>10 %Gift Card Pending</t>
  </si>
  <si>
    <t>DJI mini 4K Fly more Combo</t>
  </si>
  <si>
    <t>DJI MINI 4 PRO RC</t>
  </si>
  <si>
    <t>CANON IXUS 285</t>
  </si>
  <si>
    <t>CANON SX740</t>
  </si>
  <si>
    <t>Harvey Norman OSBORNE PARK</t>
  </si>
  <si>
    <t>MARK II</t>
  </si>
  <si>
    <t>DJI OSMO POCKET 3</t>
  </si>
  <si>
    <t>Mavic 3 Pro RC</t>
  </si>
  <si>
    <t>Camera Warehouse Drummoyne</t>
  </si>
  <si>
    <t>G7X MARK III</t>
  </si>
  <si>
    <t>DELIVERED</t>
  </si>
  <si>
    <t>64 DELIVERED DUBAI</t>
  </si>
  <si>
    <t>Shipped</t>
  </si>
  <si>
    <t>Shipped 23/07/2025</t>
  </si>
  <si>
    <t>Shipped 23/07/2026</t>
  </si>
  <si>
    <t>Lenses Canon</t>
  </si>
  <si>
    <t>Deposit/ Pending Stock</t>
  </si>
  <si>
    <t>Photogear</t>
  </si>
  <si>
    <t>Harvey Norman McGrath Hills</t>
  </si>
  <si>
    <t>Delivered Abdul NL</t>
  </si>
  <si>
    <t>$4000 Deposit Paid</t>
  </si>
  <si>
    <t>PS5 Console Bundle Disc</t>
  </si>
  <si>
    <t>PS5 Console Bundle Digital</t>
  </si>
  <si>
    <t>PS5 Controller Wireless</t>
  </si>
  <si>
    <t>Big W Macquarie Centre</t>
  </si>
  <si>
    <t>EB Games Macquarie Park</t>
  </si>
  <si>
    <t>EB Games Roselands</t>
  </si>
  <si>
    <t>EB Games Rhodes</t>
  </si>
  <si>
    <t>Big W Top Ryde</t>
  </si>
  <si>
    <t>Big W Top Ryde Online</t>
  </si>
  <si>
    <t>JBHIFI Top Macquarie Park</t>
  </si>
  <si>
    <t>G7X MARK III Black</t>
  </si>
  <si>
    <t>G7X MARK III Silver</t>
  </si>
  <si>
    <t>29/072025</t>
  </si>
  <si>
    <t>JBHIFI City Westfield</t>
  </si>
  <si>
    <t>Big W Town Hall</t>
  </si>
  <si>
    <t>EB Games City</t>
  </si>
  <si>
    <t>Collected 03/08/2025</t>
  </si>
  <si>
    <t>Good Guys</t>
  </si>
  <si>
    <t>Instax mini 12 pack mini paper</t>
  </si>
  <si>
    <t>Instax mini paper 60 pack</t>
  </si>
  <si>
    <t>Instax 20 pack mini paper</t>
  </si>
  <si>
    <t>Instax mini EVO Black</t>
  </si>
  <si>
    <t>G7x Mark III Black</t>
  </si>
  <si>
    <t>Auckland Camera</t>
  </si>
  <si>
    <t>Photo Warehouse Online</t>
  </si>
  <si>
    <t>Delivery Address</t>
  </si>
  <si>
    <t>CT Freight</t>
  </si>
  <si>
    <t>Abdul Khan</t>
  </si>
  <si>
    <t>Delivery Date</t>
  </si>
  <si>
    <t>Progear Online</t>
  </si>
  <si>
    <t>Nazia Khan</t>
  </si>
  <si>
    <t>Instax Mini EVO</t>
  </si>
  <si>
    <t>Collected 15/08/2025</t>
  </si>
  <si>
    <t>Pending Stock</t>
  </si>
  <si>
    <t>$3434 Deposit</t>
  </si>
  <si>
    <t>Shipped 12/08</t>
  </si>
  <si>
    <t>Delivered07/08 Abdul NL</t>
  </si>
  <si>
    <t>Delivered 06/08 Abdul NL</t>
  </si>
  <si>
    <t>Bunnings Manukau</t>
  </si>
  <si>
    <t>Bunnings Westgate</t>
  </si>
  <si>
    <t>Bunnings Mount Roskills</t>
  </si>
  <si>
    <t>Bunnings New Lynn</t>
  </si>
  <si>
    <t>Bunnings Glenfield</t>
  </si>
  <si>
    <t>Bunnings Mt Wellington</t>
  </si>
  <si>
    <t>Bunnings Botany</t>
  </si>
  <si>
    <t>Bunnings North Shore</t>
  </si>
  <si>
    <t>Harvey Norman Mount Roskills</t>
  </si>
  <si>
    <t>Shipped 15/08</t>
  </si>
  <si>
    <t>NZ Trip Expense</t>
  </si>
  <si>
    <t>07 to 08 August</t>
  </si>
  <si>
    <t>Only $169 Refund</t>
  </si>
  <si>
    <t>$169 Cancellation Penalty</t>
  </si>
  <si>
    <t>Bunnings Simithfield</t>
  </si>
  <si>
    <t>Bunnings Lidcomb</t>
  </si>
  <si>
    <t>JBHIFI Macquarie</t>
  </si>
  <si>
    <t>Bunnings Seven Hills</t>
  </si>
  <si>
    <t>Bunnings Carlingford</t>
  </si>
  <si>
    <t>Bunnings Gladesville</t>
  </si>
  <si>
    <t>Bunnings Smithfield</t>
  </si>
  <si>
    <t>Bunnings Northmead</t>
  </si>
  <si>
    <t>Bunnings Blacktown</t>
  </si>
  <si>
    <t>Bunnings Minchinbury</t>
  </si>
  <si>
    <t>Bunnings Castlehills</t>
  </si>
  <si>
    <t>Bunnings Dural</t>
  </si>
  <si>
    <t>Bunnings Thornleigh</t>
  </si>
  <si>
    <t>Bunnings Pymbal</t>
  </si>
  <si>
    <t>Bunnings Clyde Noth Melbourne</t>
  </si>
  <si>
    <t>Bunnings Port Melbourne</t>
  </si>
  <si>
    <t>Bunnings Vermont South Melbourne</t>
  </si>
  <si>
    <t>Bunnings Sunshine Melbourne</t>
  </si>
  <si>
    <t xml:space="preserve">Order Cancelled </t>
  </si>
  <si>
    <t>DJI Mavic 4 Pro Combo</t>
  </si>
  <si>
    <t>Collected 16/08/2025</t>
  </si>
  <si>
    <t>Collected 16/08/2026</t>
  </si>
  <si>
    <t>Collected 16/08/2027</t>
  </si>
  <si>
    <t>CANON IXUS285</t>
  </si>
  <si>
    <t>PS5 BUNDLE DIGITAL</t>
  </si>
  <si>
    <t>DJI MNI 4K FLY More Combo</t>
  </si>
  <si>
    <t>PS5 BUNDLE Disc</t>
  </si>
  <si>
    <t>AR</t>
  </si>
  <si>
    <t>Shipped 19/08</t>
  </si>
  <si>
    <t>Pro Gear</t>
  </si>
  <si>
    <t>Updated in Aug file</t>
  </si>
  <si>
    <t>Pending delivery</t>
  </si>
  <si>
    <t>Delivery Abdul Khan</t>
  </si>
  <si>
    <t>Rubber Monkey</t>
  </si>
  <si>
    <t>Instax mini EVO Brown</t>
  </si>
  <si>
    <t>Delivery Cahrges</t>
  </si>
  <si>
    <t>Paid on 26/08/2025</t>
  </si>
  <si>
    <t>Bunnings Packenham Melbourne</t>
  </si>
  <si>
    <t>Shipped 25/08</t>
  </si>
  <si>
    <t>Delivered CT Freight</t>
  </si>
  <si>
    <t>Shipped 25/08/2025</t>
  </si>
  <si>
    <t>Bunnings Perth (Waleed)</t>
  </si>
  <si>
    <t xml:space="preserve">Mega Top </t>
  </si>
  <si>
    <t>Paid on 01/09/2025</t>
  </si>
  <si>
    <t>Delivered Megatop</t>
  </si>
  <si>
    <t>Deliverd CT Freight Melbourne</t>
  </si>
  <si>
    <t>Shipped 03/09/2025</t>
  </si>
  <si>
    <t>Shipping Charges Australia Paid</t>
  </si>
  <si>
    <t>Previous Balance cleared</t>
  </si>
  <si>
    <t>Delivered CT Freight Melbourne</t>
  </si>
  <si>
    <t xml:space="preserve">Mavic 4 Pro RC </t>
  </si>
  <si>
    <t>Only $738 Deposit Paid</t>
  </si>
  <si>
    <t>Pending stock</t>
  </si>
  <si>
    <t>Shipping Charges</t>
  </si>
  <si>
    <t>CT Freight NZ</t>
  </si>
  <si>
    <t>Collected 22/08/202</t>
  </si>
  <si>
    <t>Bunnings Multiple Stores</t>
  </si>
  <si>
    <t>DJI mini 4K</t>
  </si>
  <si>
    <t>$5000 Deposit Paid/ Pending Collection</t>
  </si>
  <si>
    <t>Good Guys Online</t>
  </si>
  <si>
    <t>Ninja Slushi</t>
  </si>
  <si>
    <t>Ninja Delux Creami</t>
  </si>
  <si>
    <t>Collected 04/09/2025</t>
  </si>
  <si>
    <t>1 Pending collected 07/09/2025</t>
  </si>
  <si>
    <t>DJI Mini 4 Pro  DJI RC 2</t>
  </si>
  <si>
    <t>DJI Mavic 4 Pro Fly More Combo</t>
  </si>
  <si>
    <t>DJI Mini 4 Pro Fly More Combo 35 MIN</t>
  </si>
  <si>
    <t>DJI Mini 4 Pro Fly More Combo 45 MIN</t>
  </si>
  <si>
    <t>Collected 10/09/2025</t>
  </si>
  <si>
    <t>Collected 11/09/2025</t>
  </si>
  <si>
    <t>Ninja Blender</t>
  </si>
  <si>
    <t>Canon IXUS 285</t>
  </si>
  <si>
    <t>DJI Mavic 4 Pro RC</t>
  </si>
  <si>
    <t>DJI mini 4K Fly more combo</t>
  </si>
  <si>
    <t>Updated on 10/09/2025</t>
  </si>
  <si>
    <t>Comments</t>
  </si>
  <si>
    <t>Updated 11/09/2025</t>
  </si>
  <si>
    <t>Updated 10/09/2025</t>
  </si>
  <si>
    <t>Ref: 22/07/2025</t>
  </si>
  <si>
    <t>Deposit Only 10/09/2025</t>
  </si>
  <si>
    <t>Shipped 11/09/2025</t>
  </si>
  <si>
    <t>Apple Store Charlestown</t>
  </si>
  <si>
    <t>Iphone 17 Pro Max 512 GB Orange</t>
  </si>
  <si>
    <t>Apple store (Bondi, Sydney, Hornsby)</t>
  </si>
  <si>
    <t xml:space="preserve">Iphone 17 Pro Max 256 GB </t>
  </si>
  <si>
    <t>Apple Store</t>
  </si>
  <si>
    <t>Iphone Collection Expense</t>
  </si>
  <si>
    <t>Omar Khan</t>
  </si>
  <si>
    <t>Collected 19/09/2025</t>
  </si>
  <si>
    <t>At Logistics</t>
  </si>
  <si>
    <t>Delivered to Abdul NZ</t>
  </si>
  <si>
    <t>Mark III Silver</t>
  </si>
  <si>
    <t>Photo Gear</t>
  </si>
  <si>
    <t>Mark III Black</t>
  </si>
  <si>
    <t>DJI mini 5 pro fly more combo 52 min</t>
  </si>
  <si>
    <t>Collected 25/09/2025</t>
  </si>
  <si>
    <t>DJI Mavic 4 Pro Fly More Combo 512</t>
  </si>
  <si>
    <t>Osmo Pocket 3 creator combo</t>
  </si>
  <si>
    <t>DJI Mini 4 Pro RC2</t>
  </si>
  <si>
    <t>DJI Mini 4 Pro Fly More Combo RC2 34min</t>
  </si>
  <si>
    <t>4 Collected 1 pending 25/09/2025</t>
  </si>
  <si>
    <t xml:space="preserve">25_17 pm 256 blue </t>
  </si>
  <si>
    <t xml:space="preserve">8-17 pm 256 orange </t>
  </si>
  <si>
    <t>2-17 pro 256 orange</t>
  </si>
  <si>
    <t>Iphone 17 pro max Blue 256</t>
  </si>
  <si>
    <t xml:space="preserve">Apple Online </t>
  </si>
  <si>
    <t>Collected 26/09/2025</t>
  </si>
  <si>
    <t>Iphone 17 pro max Orange 256</t>
  </si>
  <si>
    <t>Iphone 17 pro  Orange 256</t>
  </si>
  <si>
    <t>Tipu Canada Card Collected</t>
  </si>
  <si>
    <t>Tipu Canada card Collected</t>
  </si>
  <si>
    <t>Tipu Canada Card Collected 26/09/2025</t>
  </si>
  <si>
    <t>Apple Online Sydney</t>
  </si>
  <si>
    <t>Apple Hornsby</t>
  </si>
  <si>
    <t>Deposit Only 10/09/2025 Pending stock</t>
  </si>
  <si>
    <t>1 Short Refund</t>
  </si>
  <si>
    <t xml:space="preserve">Refund </t>
  </si>
  <si>
    <t xml:space="preserve">Meta Glasses </t>
  </si>
  <si>
    <t>Sunglass Hut</t>
  </si>
  <si>
    <t>Bunnings East Packenham</t>
  </si>
  <si>
    <t>Shipped 21/10/2025</t>
  </si>
  <si>
    <t>Digi Direcr Parramatta</t>
  </si>
  <si>
    <t xml:space="preserve">G7X mark III Silver </t>
  </si>
  <si>
    <t>17 pro max 1TB Orange</t>
  </si>
  <si>
    <t>17 Pro max 512 Orange</t>
  </si>
  <si>
    <t>17 Pro max 256 Orange</t>
  </si>
  <si>
    <t>Charlestown</t>
  </si>
  <si>
    <t>Bondi</t>
  </si>
  <si>
    <t>Castletower</t>
  </si>
  <si>
    <t>JBHIFI in store</t>
  </si>
  <si>
    <t>Collected 22/10</t>
  </si>
  <si>
    <t>Collected 21/10</t>
  </si>
  <si>
    <t>Shipping charges Paid</t>
  </si>
  <si>
    <t>Paid</t>
  </si>
  <si>
    <t>Updated 20/10/2025</t>
  </si>
  <si>
    <t xml:space="preserve">Delivered in dubai </t>
  </si>
  <si>
    <t>Updated 21/10/2025</t>
  </si>
  <si>
    <t>Original purchase</t>
  </si>
  <si>
    <t xml:space="preserve">Megatop </t>
  </si>
  <si>
    <t>Camera Warehouse Drummyone</t>
  </si>
  <si>
    <t>Cancelled 24/10/2025</t>
  </si>
  <si>
    <t>Collected 23/10/2025</t>
  </si>
  <si>
    <t>Delivered 23/10/2025</t>
  </si>
  <si>
    <t>Shipping</t>
  </si>
  <si>
    <t>Shipped 24/10/2025</t>
  </si>
  <si>
    <t>Pending Refund</t>
  </si>
  <si>
    <t>Photo Warehouse</t>
  </si>
  <si>
    <t>Abdul Khan NZ</t>
  </si>
  <si>
    <t>SOR061988</t>
  </si>
  <si>
    <t>Nazia Khan NZ</t>
  </si>
  <si>
    <t>G7X Mark III Black</t>
  </si>
  <si>
    <t>Refund Received</t>
  </si>
  <si>
    <t>Good Guys Castle Hill</t>
  </si>
  <si>
    <t>JBL Charge 6 Black</t>
  </si>
  <si>
    <t>JBL Charge 6 Blue</t>
  </si>
  <si>
    <t>Collected 30-10</t>
  </si>
  <si>
    <t>DJI mini 5 Pro FMC 52 Min</t>
  </si>
  <si>
    <t>Osmo Pocket 3 Creator combos Active</t>
  </si>
  <si>
    <t>Mic 3 Combo</t>
  </si>
  <si>
    <t>Collected 03-11</t>
  </si>
  <si>
    <t>Collected 02-11</t>
  </si>
  <si>
    <t>Sum of Price</t>
  </si>
  <si>
    <t>JBL Cherge 6</t>
  </si>
  <si>
    <t>Flip 2</t>
  </si>
  <si>
    <t>Mavic 4 FMC</t>
  </si>
  <si>
    <t>Old Deposit</t>
  </si>
  <si>
    <t>Old Purchasing</t>
  </si>
  <si>
    <t>Collected 04-11</t>
  </si>
  <si>
    <t>DJI Mavic 4 pro</t>
  </si>
  <si>
    <t>DJI Mavic 4 pro FMC  512</t>
  </si>
  <si>
    <t>DJI Mavic 4 pro FMC</t>
  </si>
  <si>
    <t>DJI Mini 5 FMC</t>
  </si>
  <si>
    <t>DJI Mic 3</t>
  </si>
  <si>
    <t>Sydney Shipment Items 05Th NOV 25</t>
  </si>
  <si>
    <t>Flip Essentials</t>
  </si>
  <si>
    <t>Starlink Standard Kit</t>
  </si>
  <si>
    <t>Bunnings Rydalmere</t>
  </si>
  <si>
    <t>Camera Commision</t>
  </si>
  <si>
    <t xml:space="preserve">Abdul Khan </t>
  </si>
  <si>
    <t>Mavic 4 (DJI RC2)</t>
  </si>
  <si>
    <t>Mavic 4 pro Fly more combo (DJI RC2)</t>
  </si>
  <si>
    <t>DJI Mini 5 Pro Fly More Combo (DJI RC2)</t>
  </si>
  <si>
    <t>DJI Mini 5 Pro Fly More Combo Plus (DJI RC2)</t>
  </si>
  <si>
    <t>Google pixel pro 128</t>
  </si>
  <si>
    <t>Google pixel pro 256</t>
  </si>
  <si>
    <t>Officeworks Castle Hills</t>
  </si>
  <si>
    <t>Officeworks Wentworthville</t>
  </si>
  <si>
    <t>Officeworks Wetherhill park</t>
  </si>
  <si>
    <t>Harvey Norman Fyshwick</t>
  </si>
  <si>
    <t>Mark IIISilver</t>
  </si>
  <si>
    <t>Collected 11 NOV</t>
  </si>
  <si>
    <t>DJI Mavic 4 standard</t>
  </si>
  <si>
    <t>DJI Mavic 4 FMC RC2</t>
  </si>
  <si>
    <t>Collected 17-11</t>
  </si>
  <si>
    <t>Collected 15-11</t>
  </si>
  <si>
    <t>ASIC</t>
  </si>
  <si>
    <t>Company registration renew  Fee</t>
  </si>
  <si>
    <t>Megatop</t>
  </si>
  <si>
    <t xml:space="preserve">Meta Quest 3s 256 </t>
  </si>
  <si>
    <t>JBHIFI Roselands</t>
  </si>
  <si>
    <t>Collected/ 2 shipped</t>
  </si>
  <si>
    <t>Shipped 05-11</t>
  </si>
  <si>
    <t>DJI Mic 3 Combo</t>
  </si>
  <si>
    <t>Sydney Shipment</t>
  </si>
  <si>
    <t>Osmo Pocket Standard</t>
  </si>
  <si>
    <t>Collected Parramatta</t>
  </si>
  <si>
    <t>Osmo Pocket 3  Creator Combo Active</t>
  </si>
  <si>
    <t>Osmo Pocket 3 Creator Combo</t>
  </si>
  <si>
    <t>JBL Charge 6</t>
  </si>
  <si>
    <t>Ninetendo Switch 2 Bundle</t>
  </si>
  <si>
    <t>Collected 20-11</t>
  </si>
  <si>
    <t>Delivered 20-11</t>
  </si>
  <si>
    <t>Good Guys Wetherhill Park</t>
  </si>
  <si>
    <t>Good Guys Casula</t>
  </si>
  <si>
    <t>Eb Games Parramatta</t>
  </si>
  <si>
    <t>Iphone17 pro max 256 Silver</t>
  </si>
  <si>
    <t>Iphone17 pro max 256 Orange</t>
  </si>
  <si>
    <t>DJI Osmo Pocket 3 standrad</t>
  </si>
  <si>
    <t>DJI Mic Mini</t>
  </si>
  <si>
    <t>Bunnings(Mix old P)</t>
  </si>
  <si>
    <t>Colected 21-11</t>
  </si>
  <si>
    <t>JBHIFI Hurstville</t>
  </si>
  <si>
    <t>PS5 Disk Bundle NBA</t>
  </si>
  <si>
    <t>Ebgames Online</t>
  </si>
  <si>
    <t xml:space="preserve">PS5 Disk Bundle </t>
  </si>
  <si>
    <t>Ebgames Parramatta</t>
  </si>
  <si>
    <t>Collected 21-11</t>
  </si>
  <si>
    <t>PS5 Digital</t>
  </si>
  <si>
    <t>PS5 Disc</t>
  </si>
  <si>
    <t>Pending Collection Auburn</t>
  </si>
  <si>
    <t>Delivered 21-11</t>
  </si>
  <si>
    <t>TBC</t>
  </si>
  <si>
    <t xml:space="preserve">PS5Disc </t>
  </si>
  <si>
    <t>PS5Digital</t>
  </si>
  <si>
    <t xml:space="preserve">JBL Charge 6 </t>
  </si>
  <si>
    <t xml:space="preserve">Osmo Pocket 3 Creator Combo </t>
  </si>
  <si>
    <t>Google pixel 10 pro 128</t>
  </si>
  <si>
    <t>Google pixel 10 pro 256</t>
  </si>
  <si>
    <t>Google pixel 8 pro 128</t>
  </si>
  <si>
    <t>Colledted 20-11</t>
  </si>
  <si>
    <t>Delivered 24-11</t>
  </si>
  <si>
    <t>Delivered 22-11</t>
  </si>
  <si>
    <t>Bunnings Leppington</t>
  </si>
  <si>
    <t>Bunnings Bankstown</t>
  </si>
  <si>
    <t>Bunnings Hoxton park</t>
  </si>
  <si>
    <t>Bunnings North Penrith</t>
  </si>
  <si>
    <t>Bunnings Penrith</t>
  </si>
  <si>
    <t>Active units</t>
  </si>
  <si>
    <t>Van Hire 11+ Petrol</t>
  </si>
  <si>
    <t>Anis Rental</t>
  </si>
  <si>
    <t>w</t>
  </si>
  <si>
    <t>Bunnings Packenham</t>
  </si>
  <si>
    <t>Delivery Expense</t>
  </si>
  <si>
    <t>Collected 29-11</t>
  </si>
  <si>
    <t>Pending Collection Macarthur Square</t>
  </si>
  <si>
    <t>JBL Chare 6</t>
  </si>
  <si>
    <t>Ebgames Macuarie Park</t>
  </si>
  <si>
    <t>Mic Mini</t>
  </si>
  <si>
    <t>Ray Ban Meta Wayfarer Gen 1</t>
  </si>
  <si>
    <t>Office Works Guildford</t>
  </si>
  <si>
    <t>Bunnings Villawood</t>
  </si>
  <si>
    <t>Pending Collection TBC</t>
  </si>
  <si>
    <t>Delivered 28-11</t>
  </si>
  <si>
    <t>Pending Collection Whetherill Park</t>
  </si>
  <si>
    <t>Pending Collection Casula</t>
  </si>
  <si>
    <t>Pending Collection Campbelltown</t>
  </si>
  <si>
    <t>(All)</t>
  </si>
  <si>
    <t>Pending Collection Auburn Officeworks</t>
  </si>
  <si>
    <t>Pending Collection Wetherill Park</t>
  </si>
  <si>
    <t>$1000 Deposit Only</t>
  </si>
  <si>
    <t>Bunnings Campbelltown</t>
  </si>
  <si>
    <t>Bunnings Gregory Hills</t>
  </si>
  <si>
    <t>JBHIFI Macarthure Square</t>
  </si>
  <si>
    <t>Meta Wayfarer Gen 1 Glasses</t>
  </si>
  <si>
    <t>Office Works Gledswood</t>
  </si>
  <si>
    <t>Office Works Casula</t>
  </si>
  <si>
    <t>22 Units Collected 30-11</t>
  </si>
  <si>
    <t>1 unit to be refund</t>
  </si>
  <si>
    <t>Good Guys Wetherill Park</t>
  </si>
  <si>
    <t>1 unit refund</t>
  </si>
  <si>
    <t>Campbelltown (7 Units Collected)</t>
  </si>
  <si>
    <t>Casula (Colledted 30-11)</t>
  </si>
  <si>
    <t>Macarthur Square (Collected 30-11)</t>
  </si>
  <si>
    <t>Unit</t>
  </si>
  <si>
    <t>Amount</t>
  </si>
  <si>
    <t>Collected Perth Waleed</t>
  </si>
  <si>
    <t>Perth Waleed</t>
  </si>
  <si>
    <t>Collection Commision</t>
  </si>
  <si>
    <t>Waleed</t>
  </si>
  <si>
    <t>Perth Collection</t>
  </si>
  <si>
    <t>Megatop Shipping Charges</t>
  </si>
  <si>
    <t>BCF Wetherill Park</t>
  </si>
  <si>
    <t>Collected 01-12</t>
  </si>
  <si>
    <t>5 Units Collected 01-13</t>
  </si>
  <si>
    <t>2units  to be refund</t>
  </si>
  <si>
    <t>PS5 Slim Digital</t>
  </si>
  <si>
    <t>PS5 Slim Disc NBA</t>
  </si>
  <si>
    <t>PS5 Slim Digital 1TB</t>
  </si>
  <si>
    <t>Status</t>
  </si>
  <si>
    <t>Bunnings Perth</t>
  </si>
  <si>
    <t>Starlink</t>
  </si>
  <si>
    <t>Cancelled</t>
  </si>
  <si>
    <t>Collected 02-12</t>
  </si>
  <si>
    <t xml:space="preserve"> Auburn Collected 02-12</t>
  </si>
  <si>
    <t>BCF Auburn</t>
  </si>
  <si>
    <t>Office Works Wetherill park</t>
  </si>
  <si>
    <t>JBHIFI Parramatta Adil</t>
  </si>
  <si>
    <t>Delivered 02-12</t>
  </si>
  <si>
    <t>JBHIFI Homebush Adil</t>
  </si>
  <si>
    <t>BCF Adil</t>
  </si>
  <si>
    <t>Bunnings Castle Hills</t>
  </si>
  <si>
    <t>Collected 03-12</t>
  </si>
  <si>
    <t>PS5 DISC</t>
  </si>
  <si>
    <t>Wireless Controller</t>
  </si>
  <si>
    <t>Astrobot Games</t>
  </si>
  <si>
    <t>Mic 3</t>
  </si>
  <si>
    <t>Eb Games Hurstville</t>
  </si>
  <si>
    <t>To be adjusted 467</t>
  </si>
  <si>
    <t>Officeworks Hurstville</t>
  </si>
  <si>
    <t>JBHIFI Homebush</t>
  </si>
  <si>
    <t>BCF</t>
  </si>
  <si>
    <t>Officeworks</t>
  </si>
  <si>
    <t>JBHIFI</t>
  </si>
  <si>
    <t>P</t>
  </si>
  <si>
    <t>Officeworks Auburn</t>
  </si>
  <si>
    <t>Gift Card</t>
  </si>
  <si>
    <t>Value</t>
  </si>
  <si>
    <t>Use Store</t>
  </si>
  <si>
    <t>Balance</t>
  </si>
  <si>
    <t>Purchase Store</t>
  </si>
  <si>
    <t>Officeworks Northmead</t>
  </si>
  <si>
    <t>Officeworks Wentwortville</t>
  </si>
  <si>
    <t>Mini Film 20PK</t>
  </si>
  <si>
    <t xml:space="preserve">Delivery </t>
  </si>
  <si>
    <t>Cancelled Pending Refund</t>
  </si>
  <si>
    <t>Dubai</t>
  </si>
  <si>
    <t>Collected 09-12</t>
  </si>
  <si>
    <t>Collected 04th Dec</t>
  </si>
  <si>
    <t>Bunnings Hawthorn</t>
  </si>
  <si>
    <t>Officeworks West Ryde</t>
  </si>
  <si>
    <t>Van Hire + Petrol</t>
  </si>
  <si>
    <t>Collected 08-12</t>
  </si>
  <si>
    <t>$1000 Deposit Only 120 units</t>
  </si>
  <si>
    <t>Iphone 17 pro max 256</t>
  </si>
  <si>
    <t>Pending Collection Top Ryde</t>
  </si>
  <si>
    <t>Officeworks Belrose</t>
  </si>
  <si>
    <t>Officeworks North Ryde</t>
  </si>
  <si>
    <t>Collected North Ryde</t>
  </si>
  <si>
    <t>DJI mini 5 pro combo plus</t>
  </si>
  <si>
    <t>DJI Northmead</t>
  </si>
  <si>
    <t>Bunnings Belrose</t>
  </si>
  <si>
    <t xml:space="preserve">JBHIFI Macquarie </t>
  </si>
  <si>
    <t>JBHIFI Belrose</t>
  </si>
  <si>
    <t>Collected Macquarie Park 07-12</t>
  </si>
  <si>
    <t>Ps5 Digital</t>
  </si>
  <si>
    <t xml:space="preserve">Collected Homebush </t>
  </si>
  <si>
    <t>+</t>
  </si>
  <si>
    <t>Bunnings</t>
  </si>
  <si>
    <t xml:space="preserve">56 units breakdown </t>
  </si>
  <si>
    <t>54*15</t>
  </si>
  <si>
    <t>2*30</t>
  </si>
  <si>
    <t>Total $870</t>
  </si>
  <si>
    <t>Previous 6 units+ other items</t>
  </si>
  <si>
    <t>Grand total = $1020</t>
  </si>
  <si>
    <t>paid 07/12</t>
  </si>
  <si>
    <t>Collected 10-12</t>
  </si>
  <si>
    <t>Multiple Stores Adil</t>
  </si>
  <si>
    <t>Delivered 07-12</t>
  </si>
  <si>
    <t>Adil Bhai</t>
  </si>
  <si>
    <t>Cash Paid</t>
  </si>
  <si>
    <t>Delivered 12-12</t>
  </si>
  <si>
    <t>CT Freight M</t>
  </si>
  <si>
    <t>Pending Collection Mt Druitt</t>
  </si>
  <si>
    <t>Collected Burwood</t>
  </si>
  <si>
    <t>DJI Mavic 4 RC2 Standard</t>
  </si>
  <si>
    <t>DJI Macquarie</t>
  </si>
  <si>
    <t>Bunnings East Pakenham</t>
  </si>
  <si>
    <t>Acer A7 Laptop</t>
  </si>
  <si>
    <t>Collected 14-12</t>
  </si>
  <si>
    <t>Collected 13-12</t>
  </si>
  <si>
    <t>Delivered 14-12</t>
  </si>
  <si>
    <t>Bunnings  Bankstown</t>
  </si>
  <si>
    <t>Sx740</t>
  </si>
  <si>
    <t>Commision</t>
  </si>
  <si>
    <t>Collected 15-12</t>
  </si>
  <si>
    <t>DJI mavic 4 pro fly more combo</t>
  </si>
  <si>
    <t>Delivered 15-12</t>
  </si>
  <si>
    <t>DJI Mini 4</t>
  </si>
  <si>
    <t>Bunnings Maribyrnong</t>
  </si>
  <si>
    <t>Bunnings Epping</t>
  </si>
  <si>
    <t>Bunnings Sevenhills</t>
  </si>
  <si>
    <t xml:space="preserve">$1000 Deposit Only </t>
  </si>
  <si>
    <t>Bunnings Sunshine</t>
  </si>
  <si>
    <t>$1500 Deposit for 224 units</t>
  </si>
  <si>
    <t>PS5 Slims Digital Bundle</t>
  </si>
  <si>
    <t>Big W Winston hills</t>
  </si>
  <si>
    <t>Direct to boot</t>
  </si>
  <si>
    <t>Service Desk</t>
  </si>
  <si>
    <t>Big W Blacktown</t>
  </si>
  <si>
    <t>Collected 18-12</t>
  </si>
  <si>
    <t>$1500 Deposit for 60 units</t>
  </si>
  <si>
    <t>Bunnings Footrscray</t>
  </si>
  <si>
    <t>500 Deposit 40units</t>
  </si>
  <si>
    <t xml:space="preserve">PS5 Slims Digital </t>
  </si>
  <si>
    <t>Eb games Parramatta</t>
  </si>
  <si>
    <t>Eb games Merrylands</t>
  </si>
  <si>
    <t>PS5 Slims Disc Bundle</t>
  </si>
  <si>
    <t>PS5 Slim Digital Bundle</t>
  </si>
  <si>
    <t>Pocket 3 Creator combo</t>
  </si>
  <si>
    <t>Mavic 4 pro Standard</t>
  </si>
  <si>
    <t>Mavic 4 pro fly more combo 42 min</t>
  </si>
  <si>
    <t>Starlink Commission</t>
  </si>
  <si>
    <t>Collcted 19-12</t>
  </si>
  <si>
    <t>Order Cancelled Pending Refund</t>
  </si>
  <si>
    <t>Delivered 18-12</t>
  </si>
  <si>
    <t>30 Starlink</t>
  </si>
  <si>
    <t>Collected 20-12</t>
  </si>
  <si>
    <t>Delivered 20-12</t>
  </si>
  <si>
    <t>Canon IXUS285</t>
  </si>
  <si>
    <t>Big W Macquarie</t>
  </si>
  <si>
    <t>PS5 VR2</t>
  </si>
  <si>
    <t>Multiple Stores Adil Bhai</t>
  </si>
  <si>
    <t>Received 20-12</t>
  </si>
  <si>
    <t>Price Check</t>
  </si>
  <si>
    <t>Collected 21-12</t>
  </si>
  <si>
    <t>Order Cancelled 21-12</t>
  </si>
  <si>
    <t>Big W Wetherill Park</t>
  </si>
  <si>
    <t>Big W Bankstown</t>
  </si>
  <si>
    <t>Big W Bonnyrigg</t>
  </si>
  <si>
    <t>Big W Liverpool</t>
  </si>
  <si>
    <t xml:space="preserve">1 Collected </t>
  </si>
  <si>
    <t>JBHIFI Wetherill Park</t>
  </si>
  <si>
    <t>JBHIFI Liverpool</t>
  </si>
  <si>
    <t>Collected 22-12</t>
  </si>
  <si>
    <t>Melbourne Trip Expense</t>
  </si>
  <si>
    <t>Ticket+Car+Delivery+Hotel+Food</t>
  </si>
  <si>
    <t>Sydney Van Hire</t>
  </si>
  <si>
    <t>Big W Campsie</t>
  </si>
  <si>
    <t>Collected 23-12</t>
  </si>
  <si>
    <t>G7XMark III black</t>
  </si>
  <si>
    <t>DJI Mavic 4 Pro Creator Combo (512GB)</t>
  </si>
  <si>
    <t xml:space="preserve">DJI Mavic 4 Pro </t>
  </si>
  <si>
    <t>DJI mini 5 Pro Combo plus</t>
  </si>
  <si>
    <t>DJI mini 5 Pro Combo</t>
  </si>
  <si>
    <t>Starlink Standard Kit V4</t>
  </si>
  <si>
    <t>Bunnings Greenacre</t>
  </si>
  <si>
    <t>$500 deposit Only</t>
  </si>
  <si>
    <t>$6398</t>
  </si>
  <si>
    <t xml:space="preserve">PS5 Fortnite FC Bundle </t>
  </si>
  <si>
    <t>EB Games parramatta</t>
  </si>
  <si>
    <t>$610</t>
  </si>
  <si>
    <t>EB Games  parramatta</t>
  </si>
  <si>
    <t>Bunnings Pakenham Melbourne</t>
  </si>
  <si>
    <t>$398</t>
  </si>
  <si>
    <t>$7960</t>
  </si>
  <si>
    <t>$479</t>
  </si>
  <si>
    <t>$4311</t>
  </si>
  <si>
    <t>Received 23-12</t>
  </si>
  <si>
    <t>PS5 Slim Disc Bundle</t>
  </si>
  <si>
    <t>$629</t>
  </si>
  <si>
    <t>$6919</t>
  </si>
  <si>
    <t>PS5 Slim Disc</t>
  </si>
  <si>
    <t>$1258</t>
  </si>
  <si>
    <t>Delivered 24-12</t>
  </si>
  <si>
    <t>Starlink Deposit</t>
  </si>
  <si>
    <t>Delivered CT Freight 24-12</t>
  </si>
  <si>
    <t xml:space="preserve">Bunnings Lidcomb </t>
  </si>
  <si>
    <t>500 Deposit 60 units</t>
  </si>
  <si>
    <t>1000 Dposit 500 units</t>
  </si>
  <si>
    <t>500 Deposit 250 units</t>
  </si>
  <si>
    <t>Bunnings Morayfield QLD</t>
  </si>
  <si>
    <t>Bunnings Frenshesforest</t>
  </si>
  <si>
    <t>Bunnings Alexandria</t>
  </si>
  <si>
    <t>60 Units , No Deposit</t>
  </si>
  <si>
    <t>DJI Mavic 4 pro 512</t>
  </si>
  <si>
    <t>Wafarer Gen2 Transition</t>
  </si>
  <si>
    <t>Braun 9 in 1</t>
  </si>
  <si>
    <t>JBL Flip 7</t>
  </si>
  <si>
    <t>Iphone 17 pro max 512 Silver</t>
  </si>
  <si>
    <t>Samsung Ultra 512</t>
  </si>
  <si>
    <t>Iphone 17 pro max 256 Silver</t>
  </si>
  <si>
    <t>Braun IPL 5137 Hair Remover</t>
  </si>
  <si>
    <t>PS5 Disc Bundle</t>
  </si>
  <si>
    <t>Iphone 17 pro max Silver 512</t>
  </si>
  <si>
    <t>Collected Burwood 27-12</t>
  </si>
  <si>
    <t xml:space="preserve">Cancelled </t>
  </si>
  <si>
    <t>Starlink standard kit</t>
  </si>
  <si>
    <t>Braun Shaver Series 6</t>
  </si>
  <si>
    <t>Braun Silk Epil</t>
  </si>
  <si>
    <t xml:space="preserve">Iphone 17 pro max 256 Silver </t>
  </si>
  <si>
    <t>PS5 Digital Bundle</t>
  </si>
  <si>
    <t>Perth Collection Multiple Stores</t>
  </si>
  <si>
    <t>Waleed Perth</t>
  </si>
  <si>
    <t>Collected 26-12</t>
  </si>
  <si>
    <t>Refunded</t>
  </si>
  <si>
    <t>Braun AIO7540 all in one Series 7</t>
  </si>
  <si>
    <t>Braun SES9-041 3D SILK epil9</t>
  </si>
  <si>
    <t>BRAUN AIO5520 ALL IN ONE</t>
  </si>
  <si>
    <t>BRAUN SES7-081 SILK EPIL 7</t>
  </si>
  <si>
    <t>BRAUN IPL 5137</t>
  </si>
  <si>
    <t>Pending Collection Castle Tower</t>
  </si>
  <si>
    <t>Collected 30-12</t>
  </si>
  <si>
    <t>Pending refund</t>
  </si>
  <si>
    <t>Order cancelled 31-12</t>
  </si>
  <si>
    <t>Collected 31-12</t>
  </si>
  <si>
    <t>Harvey Norman Perth</t>
  </si>
  <si>
    <t>Disc</t>
  </si>
  <si>
    <t>Digital</t>
  </si>
  <si>
    <t>Plain</t>
  </si>
  <si>
    <t>Paid on 01/01/2026</t>
  </si>
  <si>
    <t xml:space="preserve"> Collection Commision</t>
  </si>
  <si>
    <t>22 Units Starlink + 27 Units PS5</t>
  </si>
  <si>
    <t>Delivered 31-12</t>
  </si>
  <si>
    <t>2 Delivered 31-12/ 4 Pending</t>
  </si>
  <si>
    <t>6 Delivered 31-12/ 3 Pending</t>
  </si>
  <si>
    <t xml:space="preserve">Old Purchase 27/07/2025 </t>
  </si>
  <si>
    <t>Collected 03-01</t>
  </si>
  <si>
    <t>$1537.9 + $968 GC ( Deposit )</t>
  </si>
  <si>
    <t>2 Delivered 05-01</t>
  </si>
  <si>
    <t>5 Delivered 31-12/ 1 Pending</t>
  </si>
  <si>
    <t>Delivered 02-01</t>
  </si>
  <si>
    <t>Collected 04-01</t>
  </si>
  <si>
    <t>Swiss Tech</t>
  </si>
  <si>
    <t>Business Name Renew Fees</t>
  </si>
  <si>
    <t>Starlink Standard kit</t>
  </si>
  <si>
    <t>HN Online</t>
  </si>
  <si>
    <t>HN Alex</t>
  </si>
  <si>
    <t>HN Liverpool</t>
  </si>
  <si>
    <t>OW</t>
  </si>
  <si>
    <t>Big W Bank</t>
  </si>
  <si>
    <t>Eb Games</t>
  </si>
  <si>
    <t>Jbhi Fi Merrylands</t>
  </si>
  <si>
    <t xml:space="preserve">Disc </t>
  </si>
  <si>
    <t>Pending Delivery Adil Bhai</t>
  </si>
  <si>
    <t>Received 03-01</t>
  </si>
  <si>
    <t>Adil Bhai Harvey Norman Alex</t>
  </si>
  <si>
    <t>Stock Received 03-01</t>
  </si>
  <si>
    <t>Commission Paid</t>
  </si>
  <si>
    <t>Collection Commission</t>
  </si>
  <si>
    <t>2 Delivered 06-01/ 2 pending</t>
  </si>
  <si>
    <t>2 Delivered 06-01/ 1 pending</t>
  </si>
  <si>
    <t>2 Delivered 06-01/1 Pending</t>
  </si>
  <si>
    <t>Officeworks Blacktown</t>
  </si>
  <si>
    <t>Megatop Sydney</t>
  </si>
  <si>
    <t>Shipping Expense</t>
  </si>
  <si>
    <t>Collected 06-01</t>
  </si>
  <si>
    <t>1 Delivered 09-01/ 1 pending</t>
  </si>
  <si>
    <t>Delivered 09-01</t>
  </si>
  <si>
    <t>Collected 10-01</t>
  </si>
  <si>
    <t>Collected 09-01</t>
  </si>
  <si>
    <t>Collected 08-01</t>
  </si>
  <si>
    <t>Officeworks Wetheill Park</t>
  </si>
  <si>
    <t>1 delivered 09-01/0 pending</t>
  </si>
  <si>
    <t>Collected 12-01</t>
  </si>
  <si>
    <t>Update on 11-01-26</t>
  </si>
  <si>
    <t>Abdul K</t>
  </si>
  <si>
    <t>$8300 Paid/ $5500 Balance</t>
  </si>
  <si>
    <t>DJI Mavic 4 Pro</t>
  </si>
  <si>
    <t>DJI Mic 3 combo</t>
  </si>
  <si>
    <t>Mac Book Pro M5 24/1TB</t>
  </si>
  <si>
    <t>Apple Air Pods 4 ANC</t>
  </si>
  <si>
    <t>DJI Mini 4K combo</t>
  </si>
  <si>
    <t>Collected JB Hurstville</t>
  </si>
  <si>
    <t>CT Frieight Melbourne</t>
  </si>
  <si>
    <t>CT Frieght NZ</t>
  </si>
  <si>
    <t>Iphone Air 256</t>
  </si>
  <si>
    <t>Officeworks Old Guildford</t>
  </si>
  <si>
    <t>Collected 16-01</t>
  </si>
  <si>
    <t>JBHIFI Mount Druitt</t>
  </si>
  <si>
    <t>Iphone Air 256 Sky Blue</t>
  </si>
  <si>
    <t>Iphone Air 256 White</t>
  </si>
  <si>
    <t>Iphone Air 256 Gold &amp; White</t>
  </si>
  <si>
    <t>Delivered 16-01/ 27-12 Deposit Update</t>
  </si>
  <si>
    <t>Iphone 17 pro max 256 (2 Orange/ 5 Silver)</t>
  </si>
  <si>
    <t>Collected 17-01</t>
  </si>
  <si>
    <t>Delivered 15-01</t>
  </si>
  <si>
    <t>16 Blue Delivered 16-01/ 24 Pending</t>
  </si>
  <si>
    <t>Delivered 21-01</t>
  </si>
  <si>
    <t>Bunnungs Pymbal</t>
  </si>
  <si>
    <t>Delivered 20-01</t>
  </si>
  <si>
    <t>Deposit Only for 40 Units</t>
  </si>
  <si>
    <t>VanHire + Petrol</t>
  </si>
  <si>
    <t>Collected 19-01</t>
  </si>
  <si>
    <t>2 Collected 03-01 /1 Collected 19-01/</t>
  </si>
  <si>
    <t>0 pending</t>
  </si>
  <si>
    <t>Collected 19-01 / 0 pending</t>
  </si>
  <si>
    <t>Anis Car Rental</t>
  </si>
  <si>
    <t>PS5 Bundle Disc and slims</t>
  </si>
  <si>
    <t>Dji Mavic 4 pro 512 GB</t>
  </si>
  <si>
    <t>Dji Mavic 4 pro FMC</t>
  </si>
  <si>
    <t>DJI Mavic 4 pro RC</t>
  </si>
  <si>
    <t>Iphone 17 pro Max 256 &amp; 512</t>
  </si>
  <si>
    <t>Mac Book Pro M5 24/1 TB</t>
  </si>
  <si>
    <t>Gen2 Transitions Meta</t>
  </si>
  <si>
    <t>JBL Speakers</t>
  </si>
  <si>
    <t>Sydney shipment Items 21/01/26</t>
  </si>
  <si>
    <t>Sale</t>
  </si>
  <si>
    <t>Difference</t>
  </si>
  <si>
    <t>Perth shipment Items 21/01/26</t>
  </si>
  <si>
    <t>Collected 21-01</t>
  </si>
  <si>
    <t>Iphone Air  256</t>
  </si>
  <si>
    <t>JHIFI Bankstown</t>
  </si>
  <si>
    <t>Deposit Only for 60 Units</t>
  </si>
  <si>
    <t>Bunnings Sunbury</t>
  </si>
  <si>
    <t>Bunnings Castle Hill</t>
  </si>
  <si>
    <t>JBHIFI Castle Tower</t>
  </si>
  <si>
    <t>Iphone 17 pro max 256 Orange</t>
  </si>
  <si>
    <t>JBHIFI Castle Hills Home</t>
  </si>
  <si>
    <t>Iphone Air 256 (Gold &amp; White)</t>
  </si>
  <si>
    <t>1 Delivered 23-01/ 0 Pending</t>
  </si>
  <si>
    <t xml:space="preserve">Iphone Air 256 Gold </t>
  </si>
  <si>
    <t>(Ref 12 Jan  $500 balance)</t>
  </si>
  <si>
    <t>Iphone Air 256 Blue</t>
  </si>
  <si>
    <t>$580+62+62+125.60+298 GC Deposit</t>
  </si>
  <si>
    <t>Bunnings Epping Melbourne</t>
  </si>
  <si>
    <t>Perth Collection Commision</t>
  </si>
  <si>
    <t>($2300 +$500)</t>
  </si>
  <si>
    <t>Waleed (Dec Month)</t>
  </si>
  <si>
    <t>refunded</t>
  </si>
  <si>
    <t>Whetherill park</t>
  </si>
  <si>
    <t xml:space="preserve"> 24 delivered 21-01/ 0 Pending</t>
  </si>
  <si>
    <t>$500 + $449 GC deposit +($1048+$997) 31-01</t>
  </si>
  <si>
    <t>Pending Delivery 28-01 Delivered</t>
  </si>
  <si>
    <t>Delivered 29-01</t>
  </si>
  <si>
    <t>Bunnings Footscray Melbourne</t>
  </si>
  <si>
    <t>Bunnings Thomastown Melbourne</t>
  </si>
  <si>
    <t>Bunnings Fairfield Melbourne</t>
  </si>
  <si>
    <t>Bunnings Craigiburn Melbourne</t>
  </si>
  <si>
    <t>Bunnings Tarnett Melbourne</t>
  </si>
  <si>
    <t>Bunnings Hoppers Cross Melbourne</t>
  </si>
  <si>
    <t>Bunnings Coburg Melbourne</t>
  </si>
  <si>
    <t>Bunnings Caroline Spring Melbourne</t>
  </si>
  <si>
    <t>Bunnings Taylors Lakes Melbourne</t>
  </si>
  <si>
    <t>Bunnings Melton East Melbourne</t>
  </si>
  <si>
    <t>Bunnings Broadmedows Melbourne</t>
  </si>
  <si>
    <t>Melbourne</t>
  </si>
  <si>
    <t>Mini EVO</t>
  </si>
  <si>
    <t xml:space="preserve">Starlink Mini </t>
  </si>
  <si>
    <t>Javed Bhai Investment Profit</t>
  </si>
  <si>
    <t>Year 2025</t>
  </si>
  <si>
    <t>Javed Bhai</t>
  </si>
  <si>
    <t>Pending Delivery 27-01 Melbourne Delivered</t>
  </si>
  <si>
    <t>Delivered 02-02</t>
  </si>
  <si>
    <t>Iphone 17 pro max</t>
  </si>
  <si>
    <t>Update 03/02</t>
  </si>
  <si>
    <t>Bunnings Hoxtonpark</t>
  </si>
  <si>
    <t>Starlink Mini</t>
  </si>
  <si>
    <t>Bunnings Bonnyrigg</t>
  </si>
  <si>
    <t>Starlink V2</t>
  </si>
  <si>
    <t>25/01 Deposit Update</t>
  </si>
  <si>
    <t>Online</t>
  </si>
  <si>
    <t>Updated</t>
  </si>
  <si>
    <t>Collected 09-02</t>
  </si>
  <si>
    <t>Macbook Pro M5 24/1TB</t>
  </si>
  <si>
    <t>DJI Mavic 4 Pro RC2</t>
  </si>
  <si>
    <t>DJI Mni 5 pro Combo Plus</t>
  </si>
  <si>
    <t>Apple Watch Ultra 3</t>
  </si>
  <si>
    <t>Kodak Camera</t>
  </si>
  <si>
    <t>Apple Airpods ANC</t>
  </si>
  <si>
    <t>Merrylands</t>
  </si>
  <si>
    <t>Collected  Broadway 14-02</t>
  </si>
  <si>
    <t xml:space="preserve"> 20,000 Paid </t>
  </si>
  <si>
    <t>Bunings Westfootscray Melbourne</t>
  </si>
  <si>
    <t>JHIFI Roselands</t>
  </si>
  <si>
    <t>Canon Mark III Black</t>
  </si>
  <si>
    <t>Cancelled Refund received 19-02</t>
  </si>
  <si>
    <t>Cancelled Refund Received 19-02</t>
  </si>
  <si>
    <t>Starlink Mini Commision</t>
  </si>
  <si>
    <t>Old Balance Paid</t>
  </si>
  <si>
    <t>Bunnings Morayfiled Queensland</t>
  </si>
  <si>
    <t>CT Freight Melbourne</t>
  </si>
  <si>
    <t>Megatop Cargo</t>
  </si>
  <si>
    <t>Meta Rayban transitions</t>
  </si>
  <si>
    <t>Return 28-02</t>
  </si>
  <si>
    <t>Missing</t>
  </si>
  <si>
    <t>Yes</t>
  </si>
  <si>
    <t>Delivered Logistics</t>
  </si>
  <si>
    <t>OrderNumer</t>
  </si>
  <si>
    <t>Peding Confirmation</t>
  </si>
  <si>
    <t>Ruber Monkey</t>
  </si>
  <si>
    <t>Abdul Noel Leeming</t>
  </si>
  <si>
    <t>CT Freight New Zealand</t>
  </si>
  <si>
    <t>10 V4 Payment</t>
  </si>
  <si>
    <t>Minelab 1000</t>
  </si>
  <si>
    <t>Annaconda</t>
  </si>
  <si>
    <t xml:space="preserve">Waleed  collection </t>
  </si>
  <si>
    <t>Perth</t>
  </si>
  <si>
    <t>Bunnings  Pakenham</t>
  </si>
  <si>
    <t>Iphone 17 pro max 256 Orange &amp; Silver</t>
  </si>
  <si>
    <t>Meta Gen2 Transitios</t>
  </si>
  <si>
    <t>Bunnings  Perth</t>
  </si>
  <si>
    <t>BCF ONLINE</t>
  </si>
  <si>
    <t>In Perth</t>
  </si>
  <si>
    <t>Zunera</t>
  </si>
  <si>
    <t>Waheed</t>
  </si>
  <si>
    <t>Minelab GPZ 8000</t>
  </si>
  <si>
    <t>Jacobs Digital</t>
  </si>
  <si>
    <t>Abdul Rehman Card</t>
  </si>
  <si>
    <t>BAU005200829</t>
  </si>
  <si>
    <t>Order Number</t>
  </si>
  <si>
    <t>BAU005200857</t>
  </si>
  <si>
    <t>VVHGYYIHT</t>
  </si>
  <si>
    <t>Lucky stricke gold</t>
  </si>
  <si>
    <t>GPZ8000 Deposit</t>
  </si>
  <si>
    <t>Gold Ballarat</t>
  </si>
  <si>
    <t>Deposit Only</t>
  </si>
  <si>
    <t>BAU005203314</t>
  </si>
  <si>
    <t>Bunnings Stores</t>
  </si>
  <si>
    <t>Storage Hire</t>
  </si>
  <si>
    <t>Storage King</t>
  </si>
  <si>
    <t>$8000 18th April  +7790 22th April</t>
  </si>
  <si>
    <t>Collected Abdul Khan</t>
  </si>
  <si>
    <t>Anaconda</t>
  </si>
  <si>
    <t>Luckystrike</t>
  </si>
  <si>
    <t> BAU005211686</t>
  </si>
  <si>
    <t> BAU005211702</t>
  </si>
  <si>
    <t>GC</t>
  </si>
  <si>
    <t>BAU005211725</t>
  </si>
  <si>
    <t>Anaconda Online</t>
  </si>
  <si>
    <t> 1429956175</t>
  </si>
  <si>
    <t> BAU005211862</t>
  </si>
  <si>
    <t>Bunings Bankstown</t>
  </si>
  <si>
    <t>Iphone pro max 256 Silver</t>
  </si>
  <si>
    <t>Iphone pro max 256 Orange</t>
  </si>
  <si>
    <t>DJI mini 5 pro RC2</t>
  </si>
  <si>
    <t>Meta Gen2 Transitions</t>
  </si>
  <si>
    <t>Iphone 17 pro max Silver</t>
  </si>
  <si>
    <t>Collected Homebush</t>
  </si>
  <si>
    <t>DJI Mavic 4 Pro FMC</t>
  </si>
  <si>
    <t>DJI Mavic 4 Pro RC2 512 GB</t>
  </si>
  <si>
    <t>Jbhifi Homebush</t>
  </si>
  <si>
    <t>260 units</t>
  </si>
  <si>
    <t>G7X</t>
  </si>
  <si>
    <t>Mega Top</t>
  </si>
  <si>
    <t>Starlink Actuated kit</t>
  </si>
  <si>
    <t>Qantas Marketplace</t>
  </si>
  <si>
    <t>Photogear Online</t>
  </si>
  <si>
    <t>:1432352721</t>
  </si>
  <si>
    <t>Macbook Pro M5 16/512</t>
  </si>
  <si>
    <t> 1433849400</t>
  </si>
  <si>
    <t> 1433849843</t>
  </si>
  <si>
    <t>Anaconda Chullora</t>
  </si>
  <si>
    <t>Bond money Deposit</t>
  </si>
  <si>
    <t xml:space="preserve">Abdul Basit Accountant </t>
  </si>
  <si>
    <t>Store/Person</t>
  </si>
  <si>
    <t>Company formation fee</t>
  </si>
  <si>
    <t>1 Delivered/ 1 to be refund</t>
  </si>
  <si>
    <t>Goldmonster 2000</t>
  </si>
  <si>
    <t>BAU005229887</t>
  </si>
  <si>
    <t>BCF Online</t>
  </si>
  <si>
    <t>BAU005229891</t>
  </si>
  <si>
    <t>BAU005229897</t>
  </si>
  <si>
    <t>BAU005229901</t>
  </si>
  <si>
    <t xml:space="preserve">Shipping Charges </t>
  </si>
  <si>
    <t>A</t>
  </si>
  <si>
    <t>B</t>
  </si>
  <si>
    <t>S</t>
  </si>
  <si>
    <t>2 Pending</t>
  </si>
  <si>
    <t>BAU005234462</t>
  </si>
  <si>
    <t>BAU005234590</t>
  </si>
  <si>
    <t>BAU005234594</t>
  </si>
  <si>
    <t>BAU005234602</t>
  </si>
  <si>
    <t>BAU005234608</t>
  </si>
  <si>
    <t>Relocation Expense</t>
  </si>
  <si>
    <t>Collection Charges</t>
  </si>
  <si>
    <t>NL05365513</t>
  </si>
  <si>
    <t>Instax Mini 13</t>
  </si>
  <si>
    <t>Noel Leeming Online</t>
  </si>
  <si>
    <t>2000 Paid only</t>
  </si>
  <si>
    <t> BAU005236793</t>
  </si>
  <si>
    <t> BAU005236826</t>
  </si>
  <si>
    <t>BAU005236836</t>
  </si>
  <si>
    <t>BAU005236844</t>
  </si>
  <si>
    <t> BAU005236854</t>
  </si>
  <si>
    <t>E45WIG3AQ</t>
  </si>
  <si>
    <t>Anaconda Marsden Park</t>
  </si>
  <si>
    <t>Eastern Creek</t>
  </si>
  <si>
    <t>BAU005238756</t>
  </si>
  <si>
    <t> BAU005238760</t>
  </si>
  <si>
    <t>BAU005238763</t>
  </si>
  <si>
    <t>BAU005238767</t>
  </si>
  <si>
    <t>BAU005238770</t>
  </si>
  <si>
    <t>All previous bal clear</t>
  </si>
  <si>
    <t>collection commission</t>
  </si>
  <si>
    <t>Iphoe 17 pro max</t>
  </si>
  <si>
    <t>Collection</t>
  </si>
  <si>
    <t>BCF Online Adil Bhai</t>
  </si>
  <si>
    <t>Harvey Norman Adil Bhai</t>
  </si>
  <si>
    <t>G7X MakIII Silver</t>
  </si>
  <si>
    <t>NGH88QE83</t>
  </si>
  <si>
    <t>CT Freight Sydney</t>
  </si>
  <si>
    <t>Anaconda Penrith</t>
  </si>
  <si>
    <t>BCF penrith</t>
  </si>
  <si>
    <t>Purchased</t>
  </si>
  <si>
    <t>Anaconda  Online</t>
  </si>
  <si>
    <t>BAU005245330</t>
  </si>
  <si>
    <t> BAU005245333</t>
  </si>
  <si>
    <t> BAU005245336</t>
  </si>
  <si>
    <t> 1441008523</t>
  </si>
  <si>
    <t>Storage Charges</t>
  </si>
  <si>
    <t> 1441008661</t>
  </si>
  <si>
    <t> 1442067308</t>
  </si>
  <si>
    <t> BAU005248271</t>
  </si>
  <si>
    <t>BAU005248273</t>
  </si>
  <si>
    <t> BAU005248377</t>
  </si>
  <si>
    <t>Instax mini 13</t>
  </si>
  <si>
    <t>JBHIFI Castle Towers</t>
  </si>
  <si>
    <t>Meta Gen 2 Transitions</t>
  </si>
  <si>
    <t>860 paid on 20-05</t>
  </si>
  <si>
    <t>Storage King Sydney</t>
  </si>
  <si>
    <t>Collected 23/05</t>
  </si>
  <si>
    <t>Asfand Perth Transfer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</si>
</sst>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&quot;$&quot;#,##0;[Red]\-&quot;$&quot;#,##0"/>
    <numFmt numFmtId="165" formatCode="&quot;$&quot;#,##0.00;[Red]\-&quot;$&quot;#,##0.00"/>
    <numFmt numFmtId="166" formatCode="_-&quot;$&quot;* #,##0_-;\-&quot;$&quot;* #,##0_-;_-&quot;$&quot;* &quot;-&quot;_-;_-@_-"/>
    <numFmt numFmtId="167" formatCode="&quot;$&quot;#,##0.00"/>
    <numFmt numFmtId="168" formatCode="&quot;$&quot;#,##0"/>
    <numFmt numFmtId="169" formatCode="[$-C09]dd\-mmm\-yy;@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EE0000"/>
      <name val="Calibri"/>
      <family val="2"/>
      <scheme val="minor"/>
    </font>
    <font>
      <i/>
      <sz val="10"/>
      <color rgb="FF212529"/>
      <name val="Arial"/>
      <family val="2"/>
    </font>
    <font>
      <sz val="8"/>
      <color theme="1"/>
      <name val="Courier New"/>
      <family val="3"/>
    </font>
    <font>
      <b/>
      <sz val="11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8"/>
      <color rgb="FF707070"/>
      <name val="Segoe UI"/>
      <family val="2"/>
    </font>
    <font>
      <sz val="8"/>
      <color rgb="FF333333"/>
      <name val="Arial"/>
      <family val="2"/>
    </font>
    <font>
      <sz val="8"/>
      <color rgb="FF4A4A4A"/>
      <name val="Arial"/>
      <family val="2"/>
    </font>
    <font>
      <b/>
      <sz val="9"/>
      <color rgb="FFE87722"/>
      <name val="Calibri"/>
      <family val="2"/>
      <scheme val="minor"/>
    </font>
    <font>
      <sz val="8"/>
      <color rgb="FF2D2D2D"/>
      <name val="Arial"/>
      <family val="2"/>
    </font>
    <font>
      <sz val="7"/>
      <color rgb="FF4A4A4A"/>
      <name val="Arial"/>
      <family val="2"/>
    </font>
    <font>
      <sz val="7"/>
      <color rgb="FF191919"/>
      <name val="Arial"/>
      <family val="2"/>
    </font>
    <font>
      <sz val="8"/>
      <color rgb="FF333333"/>
      <name val="Arial"/>
      <family val="2"/>
    </font>
    <font>
      <sz val="8"/>
      <color rgb="FF2D2D2D"/>
      <name val="Arial"/>
      <family val="2"/>
    </font>
    <font>
      <sz val="8"/>
      <color rgb="FF333333"/>
      <name val="Arial"/>
      <family val="2"/>
    </font>
    <font>
      <sz val="10"/>
      <color rgb="FF666666"/>
      <name val="Segoe UI"/>
      <family val="2"/>
    </font>
    <font>
      <sz val="8"/>
      <color theme="1"/>
      <name val="Arial"/>
      <family val="2"/>
    </font>
    <font>
      <sz val="8"/>
      <color rgb="FF333333"/>
      <name val="Arial"/>
      <family val="2"/>
    </font>
    <font>
      <b/>
      <sz val="10"/>
      <color rgb="FFFFFFFF"/>
      <name val="Arial"/>
      <family val="2"/>
    </font>
    <font>
      <sz val="8"/>
      <color rgb="FF333333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8">
    <xf numFmtId="0" fontId="0" fillId="0" borderId="0" xfId="0"/>
    <xf numFmtId="1" fontId="0" fillId="0" borderId="1" xfId="0" applyNumberFormat="1" applyBorder="1"/>
    <xf numFmtId="0" fontId="0" fillId="0" borderId="1" xfId="0" applyBorder="1"/>
    <xf numFmtId="167" fontId="0" fillId="0" borderId="1" xfId="0" applyNumberFormat="1" applyBorder="1"/>
    <xf numFmtId="0" fontId="1" fillId="0" borderId="1" xfId="0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0" fillId="0" borderId="0" xfId="0" applyNumberFormat="1"/>
    <xf numFmtId="0" fontId="1" fillId="0" borderId="0" xfId="0" applyFont="1" applyAlignment="1">
      <alignment horizontal="center"/>
    </xf>
    <xf numFmtId="14" fontId="0" fillId="0" borderId="1" xfId="0" applyNumberFormat="1" applyBorder="1"/>
    <xf numFmtId="167" fontId="1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0" fillId="2" borderId="0" xfId="0" applyFill="1"/>
    <xf numFmtId="14" fontId="0" fillId="2" borderId="0" xfId="0" applyNumberFormat="1" applyFill="1"/>
    <xf numFmtId="0" fontId="0" fillId="0" borderId="0" xfId="0" pivotButton="1"/>
    <xf numFmtId="0" fontId="0" fillId="0" borderId="0" xfId="0" applyAlignment="1">
      <alignment horizontal="left"/>
    </xf>
    <xf numFmtId="14" fontId="2" fillId="0" borderId="0" xfId="0" applyNumberFormat="1" applyFont="1"/>
    <xf numFmtId="0" fontId="2" fillId="2" borderId="1" xfId="0" applyFont="1" applyFill="1" applyBorder="1"/>
    <xf numFmtId="14" fontId="2" fillId="0" borderId="1" xfId="0" applyNumberFormat="1" applyFont="1" applyBorder="1"/>
    <xf numFmtId="0" fontId="2" fillId="0" borderId="1" xfId="0" applyFont="1" applyBorder="1"/>
    <xf numFmtId="167" fontId="2" fillId="0" borderId="1" xfId="0" applyNumberFormat="1" applyFont="1" applyBorder="1"/>
    <xf numFmtId="0" fontId="2" fillId="0" borderId="0" xfId="0" applyFont="1"/>
    <xf numFmtId="164" fontId="0" fillId="0" borderId="1" xfId="0" applyNumberFormat="1" applyBorder="1"/>
    <xf numFmtId="0" fontId="0" fillId="0" borderId="2" xfId="0" applyBorder="1"/>
    <xf numFmtId="167" fontId="0" fillId="0" borderId="2" xfId="0" applyNumberFormat="1" applyBorder="1"/>
    <xf numFmtId="0" fontId="0" fillId="0" borderId="3" xfId="0" applyBorder="1"/>
    <xf numFmtId="0" fontId="0" fillId="3" borderId="1" xfId="0" applyFill="1" applyBorder="1"/>
    <xf numFmtId="0" fontId="2" fillId="3" borderId="1" xfId="0" applyFont="1" applyFill="1" applyBorder="1"/>
    <xf numFmtId="0" fontId="0" fillId="0" borderId="4" xfId="0" pivotButton="1" applyBorder="1"/>
    <xf numFmtId="0" fontId="0" fillId="0" borderId="6" xfId="0" applyBorder="1"/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7" xfId="0" applyBorder="1"/>
    <xf numFmtId="0" fontId="0" fillId="0" borderId="8" xfId="0" applyBorder="1" applyAlignment="1">
      <alignment horizontal="left"/>
    </xf>
    <xf numFmtId="0" fontId="0" fillId="0" borderId="9" xfId="0" applyBorder="1"/>
    <xf numFmtId="14" fontId="0" fillId="4" borderId="1" xfId="0" applyNumberFormat="1" applyFill="1" applyBorder="1"/>
    <xf numFmtId="0" fontId="0" fillId="4" borderId="1" xfId="0" applyFill="1" applyBorder="1"/>
    <xf numFmtId="167" fontId="0" fillId="4" borderId="1" xfId="0" applyNumberFormat="1" applyFill="1" applyBorder="1"/>
    <xf numFmtId="0" fontId="4" fillId="0" borderId="1" xfId="0" applyFont="1" applyBorder="1"/>
    <xf numFmtId="14" fontId="0" fillId="5" borderId="0" xfId="0" applyNumberFormat="1" applyFill="1"/>
    <xf numFmtId="0" fontId="0" fillId="5" borderId="2" xfId="0" applyFill="1" applyBorder="1"/>
    <xf numFmtId="167" fontId="0" fillId="5" borderId="2" xfId="0" applyNumberFormat="1" applyFill="1" applyBorder="1"/>
    <xf numFmtId="0" fontId="0" fillId="5" borderId="1" xfId="0" applyFill="1" applyBorder="1"/>
    <xf numFmtId="0" fontId="0" fillId="5" borderId="0" xfId="0" applyFill="1"/>
    <xf numFmtId="167" fontId="0" fillId="3" borderId="1" xfId="0" applyNumberFormat="1" applyFill="1" applyBorder="1"/>
    <xf numFmtId="0" fontId="1" fillId="0" borderId="1" xfId="0" applyFont="1" applyBorder="1"/>
    <xf numFmtId="0" fontId="0" fillId="0" borderId="1" xfId="0" applyBorder="1" applyAlignment="1">
      <alignment horizontal="center"/>
    </xf>
    <xf numFmtId="14" fontId="1" fillId="0" borderId="1" xfId="0" applyNumberFormat="1" applyFont="1" applyBorder="1"/>
    <xf numFmtId="4" fontId="0" fillId="0" borderId="0" xfId="0" applyNumberFormat="1"/>
    <xf numFmtId="0" fontId="1" fillId="0" borderId="2" xfId="0" applyFont="1" applyBorder="1" applyAlignment="1">
      <alignment horizontal="center"/>
    </xf>
    <xf numFmtId="14" fontId="0" fillId="2" borderId="1" xfId="0" applyNumberFormat="1" applyFill="1" applyBorder="1"/>
    <xf numFmtId="167" fontId="0" fillId="2" borderId="1" xfId="0" applyNumberFormat="1" applyFill="1" applyBorder="1"/>
    <xf numFmtId="164" fontId="0" fillId="0" borderId="0" xfId="0" applyNumberFormat="1"/>
    <xf numFmtId="0" fontId="1" fillId="6" borderId="11" xfId="0" applyFont="1" applyFill="1" applyBorder="1"/>
    <xf numFmtId="0" fontId="1" fillId="6" borderId="12" xfId="0" applyFont="1" applyFill="1" applyBorder="1" applyAlignment="1">
      <alignment horizontal="left"/>
    </xf>
    <xf numFmtId="0" fontId="1" fillId="6" borderId="12" xfId="0" applyFont="1" applyFill="1" applyBorder="1"/>
    <xf numFmtId="14" fontId="4" fillId="0" borderId="1" xfId="0" applyNumberFormat="1" applyFont="1" applyBorder="1"/>
    <xf numFmtId="167" fontId="4" fillId="0" borderId="1" xfId="0" applyNumberFormat="1" applyFont="1" applyBorder="1"/>
    <xf numFmtId="14" fontId="5" fillId="0" borderId="1" xfId="0" applyNumberFormat="1" applyFont="1" applyBorder="1"/>
    <xf numFmtId="0" fontId="5" fillId="0" borderId="1" xfId="0" applyFont="1" applyBorder="1"/>
    <xf numFmtId="167" fontId="5" fillId="0" borderId="1" xfId="0" applyNumberFormat="1" applyFont="1" applyBorder="1"/>
    <xf numFmtId="167" fontId="0" fillId="0" borderId="0" xfId="0" applyNumberFormat="1"/>
    <xf numFmtId="0" fontId="1" fillId="0" borderId="13" xfId="0" applyFont="1" applyBorder="1" applyAlignment="1">
      <alignment horizontal="center"/>
    </xf>
    <xf numFmtId="14" fontId="2" fillId="2" borderId="1" xfId="0" applyNumberFormat="1" applyFont="1" applyFill="1" applyBorder="1"/>
    <xf numFmtId="167" fontId="2" fillId="2" borderId="1" xfId="0" applyNumberFormat="1" applyFont="1" applyFill="1" applyBorder="1"/>
    <xf numFmtId="0" fontId="0" fillId="7" borderId="1" xfId="0" applyFill="1" applyBorder="1"/>
    <xf numFmtId="168" fontId="0" fillId="0" borderId="1" xfId="0" applyNumberFormat="1" applyBorder="1"/>
    <xf numFmtId="168" fontId="0" fillId="2" borderId="1" xfId="0" applyNumberFormat="1" applyFill="1" applyBorder="1"/>
    <xf numFmtId="168" fontId="0" fillId="2" borderId="1" xfId="0" applyNumberFormat="1" applyFill="1" applyBorder="1" applyAlignment="1">
      <alignment vertical="center"/>
    </xf>
    <xf numFmtId="16" fontId="0" fillId="0" borderId="1" xfId="0" applyNumberFormat="1" applyBorder="1"/>
    <xf numFmtId="168" fontId="2" fillId="2" borderId="1" xfId="0" applyNumberFormat="1" applyFont="1" applyFill="1" applyBorder="1" applyAlignment="1">
      <alignment vertical="center"/>
    </xf>
    <xf numFmtId="168" fontId="2" fillId="2" borderId="1" xfId="0" applyNumberFormat="1" applyFont="1" applyFill="1" applyBorder="1"/>
    <xf numFmtId="0" fontId="0" fillId="7" borderId="2" xfId="0" applyFill="1" applyBorder="1"/>
    <xf numFmtId="0" fontId="6" fillId="0" borderId="0" xfId="0" applyFont="1" applyAlignment="1">
      <alignment vertical="center" wrapText="1"/>
    </xf>
    <xf numFmtId="168" fontId="1" fillId="0" borderId="1" xfId="0" applyNumberFormat="1" applyFont="1" applyBorder="1" applyAlignment="1">
      <alignment horizontal="center"/>
    </xf>
    <xf numFmtId="0" fontId="0" fillId="0" borderId="0" xfId="0" applyAlignment="1">
      <alignment horizontal="left" indent="1"/>
    </xf>
    <xf numFmtId="0" fontId="7" fillId="0" borderId="0" xfId="0" applyFont="1"/>
    <xf numFmtId="0" fontId="1" fillId="0" borderId="1" xfId="0" pivotButton="1" applyFont="1" applyBorder="1"/>
    <xf numFmtId="14" fontId="1" fillId="0" borderId="1" xfId="0" applyNumberFormat="1" applyFont="1" applyBorder="1" applyAlignment="1">
      <alignment horizontal="left"/>
    </xf>
    <xf numFmtId="169" fontId="0" fillId="0" borderId="1" xfId="0" applyNumberFormat="1" applyBorder="1"/>
    <xf numFmtId="16" fontId="0" fillId="0" borderId="0" xfId="0" applyNumberFormat="1"/>
    <xf numFmtId="16" fontId="0" fillId="2" borderId="1" xfId="0" applyNumberFormat="1" applyFill="1" applyBorder="1"/>
    <xf numFmtId="168" fontId="0" fillId="0" borderId="0" xfId="0" applyNumberFormat="1"/>
    <xf numFmtId="16" fontId="0" fillId="0" borderId="3" xfId="0" applyNumberFormat="1" applyBorder="1"/>
    <xf numFmtId="168" fontId="0" fillId="0" borderId="3" xfId="0" applyNumberFormat="1" applyBorder="1"/>
    <xf numFmtId="168" fontId="0" fillId="2" borderId="0" xfId="0" applyNumberFormat="1" applyFill="1"/>
    <xf numFmtId="16" fontId="2" fillId="0" borderId="1" xfId="0" applyNumberFormat="1" applyFont="1" applyBorder="1"/>
    <xf numFmtId="168" fontId="2" fillId="0" borderId="1" xfId="0" applyNumberFormat="1" applyFont="1" applyBorder="1"/>
    <xf numFmtId="16" fontId="0" fillId="0" borderId="14" xfId="0" applyNumberFormat="1" applyBorder="1"/>
    <xf numFmtId="0" fontId="0" fillId="0" borderId="14" xfId="0" applyBorder="1"/>
    <xf numFmtId="168" fontId="0" fillId="0" borderId="14" xfId="0" applyNumberFormat="1" applyBorder="1"/>
    <xf numFmtId="168" fontId="1" fillId="0" borderId="1" xfId="0" applyNumberFormat="1" applyFont="1" applyBorder="1"/>
    <xf numFmtId="0" fontId="0" fillId="0" borderId="1" xfId="0" applyBorder="1" applyAlignment="1">
      <alignment horizontal="right"/>
    </xf>
    <xf numFmtId="0" fontId="0" fillId="0" borderId="0" xfId="0" applyAlignment="1">
      <alignment horizontal="left" indent="2"/>
    </xf>
    <xf numFmtId="16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166" fontId="1" fillId="0" borderId="1" xfId="0" applyNumberFormat="1" applyFont="1" applyBorder="1" applyAlignment="1">
      <alignment horizontal="center"/>
    </xf>
    <xf numFmtId="0" fontId="0" fillId="8" borderId="1" xfId="0" applyFill="1" applyBorder="1"/>
    <xf numFmtId="16" fontId="2" fillId="0" borderId="0" xfId="0" applyNumberFormat="1" applyFont="1"/>
    <xf numFmtId="16" fontId="0" fillId="2" borderId="0" xfId="0" applyNumberFormat="1" applyFill="1"/>
    <xf numFmtId="165" fontId="0" fillId="0" borderId="1" xfId="0" applyNumberFormat="1" applyBorder="1"/>
    <xf numFmtId="164" fontId="0" fillId="2" borderId="1" xfId="0" applyNumberFormat="1" applyFill="1" applyBorder="1"/>
    <xf numFmtId="18" fontId="0" fillId="0" borderId="1" xfId="0" applyNumberFormat="1" applyBorder="1"/>
    <xf numFmtId="18" fontId="0" fillId="0" borderId="0" xfId="0" applyNumberFormat="1"/>
    <xf numFmtId="16" fontId="0" fillId="7" borderId="1" xfId="0" applyNumberFormat="1" applyFill="1" applyBorder="1"/>
    <xf numFmtId="168" fontId="0" fillId="7" borderId="1" xfId="0" applyNumberFormat="1" applyFill="1" applyBorder="1"/>
    <xf numFmtId="16" fontId="2" fillId="2" borderId="1" xfId="0" applyNumberFormat="1" applyFont="1" applyFill="1" applyBorder="1"/>
    <xf numFmtId="9" fontId="0" fillId="0" borderId="1" xfId="0" applyNumberFormat="1" applyBorder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0" fillId="0" borderId="10" xfId="0" applyBorder="1"/>
    <xf numFmtId="0" fontId="13" fillId="0" borderId="0" xfId="0" applyFont="1"/>
    <xf numFmtId="0" fontId="24" fillId="0" borderId="0" xfId="0" applyFont="1"/>
    <xf numFmtId="16" fontId="0" fillId="9" borderId="1" xfId="0" applyNumberFormat="1" applyFill="1" applyBorder="1"/>
    <xf numFmtId="0" fontId="0" fillId="9" borderId="1" xfId="0" applyFill="1" applyBorder="1"/>
    <xf numFmtId="167" fontId="0" fillId="9" borderId="1" xfId="0" applyNumberFormat="1" applyFill="1" applyBorder="1"/>
    <xf numFmtId="0" fontId="16" fillId="9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/>
    </xf>
    <xf numFmtId="0" fontId="16" fillId="9" borderId="0" xfId="0" applyFont="1" applyFill="1"/>
    <xf numFmtId="0" fontId="17" fillId="9" borderId="0" xfId="0" applyFont="1" applyFill="1"/>
    <xf numFmtId="0" fontId="18" fillId="9" borderId="1" xfId="0" applyFont="1" applyFill="1" applyBorder="1"/>
    <xf numFmtId="0" fontId="20" fillId="9" borderId="1" xfId="0" applyFont="1" applyFill="1" applyBorder="1"/>
    <xf numFmtId="0" fontId="20" fillId="9" borderId="0" xfId="0" applyFont="1" applyFill="1"/>
    <xf numFmtId="16" fontId="0" fillId="9" borderId="3" xfId="0" applyNumberFormat="1" applyFill="1" applyBorder="1"/>
    <xf numFmtId="0" fontId="0" fillId="9" borderId="3" xfId="0" applyFill="1" applyBorder="1"/>
    <xf numFmtId="167" fontId="0" fillId="9" borderId="3" xfId="0" applyNumberFormat="1" applyFill="1" applyBorder="1"/>
    <xf numFmtId="0" fontId="23" fillId="9" borderId="1" xfId="0" applyFont="1" applyFill="1" applyBorder="1"/>
    <xf numFmtId="0" fontId="23" fillId="9" borderId="0" xfId="0" applyFont="1" applyFill="1"/>
    <xf numFmtId="16" fontId="0" fillId="10" borderId="1" xfId="0" applyNumberFormat="1" applyFill="1" applyBorder="1"/>
    <xf numFmtId="0" fontId="0" fillId="10" borderId="1" xfId="0" applyFill="1" applyBorder="1"/>
    <xf numFmtId="167" fontId="0" fillId="10" borderId="1" xfId="0" applyNumberFormat="1" applyFill="1" applyBorder="1"/>
    <xf numFmtId="0" fontId="0" fillId="10" borderId="1" xfId="0" applyFill="1" applyBorder="1" applyAlignment="1">
      <alignment horizontal="center"/>
    </xf>
    <xf numFmtId="16" fontId="0" fillId="10" borderId="14" xfId="0" applyNumberFormat="1" applyFill="1" applyBorder="1"/>
    <xf numFmtId="0" fontId="0" fillId="10" borderId="14" xfId="0" applyFill="1" applyBorder="1"/>
    <xf numFmtId="167" fontId="0" fillId="10" borderId="14" xfId="0" applyNumberFormat="1" applyFill="1" applyBorder="1"/>
    <xf numFmtId="0" fontId="18" fillId="10" borderId="14" xfId="0" applyFont="1" applyFill="1" applyBorder="1"/>
    <xf numFmtId="0" fontId="20" fillId="10" borderId="1" xfId="0" applyFont="1" applyFill="1" applyBorder="1"/>
    <xf numFmtId="168" fontId="0" fillId="10" borderId="1" xfId="0" applyNumberFormat="1" applyFill="1" applyBorder="1"/>
    <xf numFmtId="0" fontId="8" fillId="10" borderId="1" xfId="0" applyFont="1" applyFill="1" applyBorder="1"/>
    <xf numFmtId="0" fontId="9" fillId="10" borderId="1" xfId="0" applyFont="1" applyFill="1" applyBorder="1"/>
    <xf numFmtId="164" fontId="0" fillId="10" borderId="1" xfId="0" applyNumberFormat="1" applyFill="1" applyBorder="1"/>
    <xf numFmtId="0" fontId="10" fillId="10" borderId="1" xfId="0" applyFont="1" applyFill="1" applyBorder="1"/>
    <xf numFmtId="0" fontId="15" fillId="10" borderId="1" xfId="0" applyFont="1" applyFill="1" applyBorder="1"/>
    <xf numFmtId="0" fontId="21" fillId="9" borderId="0" xfId="0" applyFont="1" applyFill="1"/>
    <xf numFmtId="0" fontId="19" fillId="9" borderId="0" xfId="0" applyFont="1" applyFill="1"/>
    <xf numFmtId="0" fontId="22" fillId="9" borderId="1" xfId="0" applyFont="1" applyFill="1" applyBorder="1"/>
    <xf numFmtId="0" fontId="19" fillId="10" borderId="1" xfId="0" applyFont="1" applyFill="1" applyBorder="1"/>
    <xf numFmtId="0" fontId="2" fillId="10" borderId="1" xfId="0" applyFont="1" applyFill="1" applyBorder="1"/>
    <xf numFmtId="168" fontId="0" fillId="9" borderId="1" xfId="0" applyNumberFormat="1" applyFill="1" applyBorder="1"/>
    <xf numFmtId="9" fontId="0" fillId="9" borderId="1" xfId="0" applyNumberFormat="1" applyFill="1" applyBorder="1"/>
    <xf numFmtId="0" fontId="12" fillId="9" borderId="0" xfId="0" applyFont="1" applyFill="1"/>
    <xf numFmtId="0" fontId="13" fillId="9" borderId="0" xfId="0" applyFont="1" applyFill="1"/>
    <xf numFmtId="0" fontId="13" fillId="9" borderId="1" xfId="0" applyFont="1" applyFill="1" applyBorder="1"/>
    <xf numFmtId="0" fontId="12" fillId="9" borderId="1" xfId="0" applyFont="1" applyFill="1" applyBorder="1"/>
    <xf numFmtId="0" fontId="14" fillId="9" borderId="1" xfId="0" applyFont="1" applyFill="1" applyBorder="1"/>
    <xf numFmtId="0" fontId="14" fillId="10" borderId="1" xfId="0" applyFont="1" applyFill="1" applyBorder="1"/>
    <xf numFmtId="0" fontId="25" fillId="9" borderId="0" xfId="0" applyFont="1" applyFill="1"/>
    <xf numFmtId="0" fontId="25" fillId="9" borderId="1" xfId="0" applyFont="1" applyFill="1" applyBorder="1"/>
    <xf numFmtId="0" fontId="13" fillId="10" borderId="1" xfId="0" applyFont="1" applyFill="1" applyBorder="1"/>
    <xf numFmtId="14" fontId="1" fillId="0" borderId="1" xfId="0" applyNumberFormat="1" applyFont="1" applyBorder="1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10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7" fontId="0" fillId="2" borderId="1" xfId="0" applyNumberFormat="1" applyFill="1" applyBorder="1" applyAlignment="1">
      <alignment horizontal="center" vertical="center"/>
    </xf>
    <xf numFmtId="0" fontId="0" fillId="0" borderId="1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pivotCacheDefinition" Target="pivotCache/pivotCacheDefinition1.xml"/><Relationship Id="rId50" Type="http://schemas.openxmlformats.org/officeDocument/2006/relationships/pivotCacheDefinition" Target="pivotCache/pivotCacheDefinition4.xml"/><Relationship Id="rId55" Type="http://schemas.openxmlformats.org/officeDocument/2006/relationships/pivotCacheDefinition" Target="pivotCache/pivotCacheDefinition9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pivotCacheDefinition" Target="pivotCache/pivotCacheDefinition7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sheetMetadata" Target="metadata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pivotCacheDefinition" Target="pivotCache/pivotCacheDefinition2.xml"/><Relationship Id="rId56" Type="http://schemas.openxmlformats.org/officeDocument/2006/relationships/pivotCacheDefinition" Target="pivotCache/pivotCacheDefinition10.xml"/><Relationship Id="rId8" Type="http://schemas.openxmlformats.org/officeDocument/2006/relationships/worksheet" Target="worksheets/sheet8.xml"/><Relationship Id="rId51" Type="http://schemas.openxmlformats.org/officeDocument/2006/relationships/pivotCacheDefinition" Target="pivotCache/pivotCacheDefinition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pivotCacheDefinition" Target="pivotCache/pivotCacheDefinition8.xml"/><Relationship Id="rId62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pivotCacheDefinition" Target="pivotCache/pivotCacheDefinition3.xml"/><Relationship Id="rId57" Type="http://schemas.openxmlformats.org/officeDocument/2006/relationships/pivotCacheDefinition" Target="pivotCache/pivotCacheDefinition1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pivotCacheDefinition" Target="pivotCache/pivotCacheDefinition6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0.935911921297" createdVersion="8" refreshedVersion="8" minRefreshableVersion="3" recordCount="89" xr:uid="{E56D146B-893C-4692-9733-3923AF751B4C}">
  <cacheSource type="worksheet">
    <worksheetSource ref="A1:H1048576" sheet="April"/>
  </cacheSource>
  <cacheFields count="8">
    <cacheField name="Date" numFmtId="0">
      <sharedItems containsNonDate="0" containsDate="1" containsString="0" containsBlank="1" minDate="2025-04-01T00:00:00" maxDate="2025-04-14T00:00:00" count="12">
        <d v="2025-04-01T00:00:00"/>
        <d v="2025-04-02T00:00:00"/>
        <d v="2025-04-03T00:00:00"/>
        <d v="2025-04-04T00:00:00"/>
        <m/>
        <d v="2025-04-05T00:00:00"/>
        <d v="2025-04-08T00:00:00"/>
        <d v="2025-04-09T00:00:00"/>
        <d v="2025-04-10T00:00:00"/>
        <d v="2025-04-11T00:00:00"/>
        <d v="2025-04-12T00:00:00"/>
        <d v="2025-04-13T00:00:00"/>
      </sharedItems>
    </cacheField>
    <cacheField name="Qty" numFmtId="0">
      <sharedItems containsString="0" containsBlank="1" containsNumber="1" containsInteger="1" minValue="1" maxValue="20"/>
    </cacheField>
    <cacheField name="Items" numFmtId="0">
      <sharedItems containsBlank="1" count="53">
        <s v="Mac Book Air 13&quot; M4 24/512 Sky Blue"/>
        <s v="Mac Book Pro M4 14&quot; 16/1TB Space Black"/>
        <s v="Mac Book Pro M4 16/1TB Space Black"/>
        <s v="Mac Book Air 13&quot; M4 24/512 Space Black"/>
        <s v="Instax Mini 99 Bundle"/>
        <s v="PS5 Astrobot with CD game"/>
        <s v="Meta Quest 3 512"/>
        <s v="Norton Antivirus"/>
        <s v="JBHIFI Meta Quest "/>
        <s v="Packaging"/>
        <s v="Instax Mini 12"/>
        <s v="Mac Book Pro M4 14&quot; 16/512 Silver"/>
        <s v="Mac Book Air M4 13&quot; 24/512 Sky Blue"/>
        <s v="Mac Book Air 13&quot; M4 24/512 Midnight"/>
        <s v="PS5 Hard drive"/>
        <s v="Mac Book Air 15&quot; M4 24/512 Sky Blue"/>
        <s v="Mac Book Air M4 13 &quot; 24/512 Sky Blue"/>
        <s v="Mac Book Air M4 13&quot; 24/512 Midnight"/>
        <s v="Mac Book Air M3 15&quot;24/512 Starlight"/>
        <s v="Mac Book Air M3 15&quot;24/512 Silver"/>
        <s v="Mac Book Air  M3 15&quot; 24/512 Starlight"/>
        <s v="Mac Book Air M3 15&quot; 24/512 Midnight"/>
        <s v="Mac Book Air  M4 15&quot; 24/512 Sky Blue"/>
        <s v="Meta Quest 3S 128"/>
        <s v="Mac Book Air M4 15&quot; 24/512 Sky Blue"/>
        <s v="Mac Book Air  M4 15&quot; 24/512 Midnight"/>
        <s v="Macbook Air M4 13&quot; 24/512 Midnight"/>
        <s v="Macbook Air M4 13&quot; 24/512 Sky Blue"/>
        <s v="PS5 Astrobot Bundle No CD"/>
        <s v="Play Station Portal Black"/>
        <s v="Macbook Air M4 13&quot; 24/512 Silver"/>
        <s v="Macbook Air M4 15&quot; 24/512 Midnight"/>
        <s v="Macbook Air M4 15&quot; 24/512 Sky Blue"/>
        <s v="Instax Mini 40"/>
        <s v="Dragon Age Game CD"/>
        <s v="Macbook Air M4 15&quot; 24/512 Silver"/>
        <s v="DJI Osmo Pocket 3"/>
        <s v="Instax mini EVO"/>
        <s v="Instax Film 20 Pack"/>
        <s v="Macbook Air M3 13&quot; 24/512 Midnight"/>
        <s v="DJI Mavic Pro RC"/>
        <s v="DJI Mavic Pro RC Combo"/>
        <s v="Instax LiPlay Mix "/>
        <s v="Instax LiPlay Pink"/>
        <m/>
        <s v="Macbook Air M4 15&quot; 24/512 Sky" u="1"/>
        <s v="Mac Book Air 15&quot; M3 24/512 Starlight" u="1"/>
        <s v="Mac Book Air 15&quot; M3 24/512 Silver" u="1"/>
        <s v="Mac Book Air 15&quot; M3 24/512 Midnight" u="1"/>
        <s v="Mac Book Air 15&quot; 24/512 Sky Blue" u="1"/>
        <s v="Mac Book Air 15&quot; 24/512 Midnight" u="1"/>
        <s v="PS5 Astro Bot Bundle" u="1"/>
        <s v="PS5 Astro Bot Bundle With CD" u="1"/>
      </sharedItems>
    </cacheField>
    <cacheField name="Store" numFmtId="0">
      <sharedItems containsBlank="1"/>
    </cacheField>
    <cacheField name="Price" numFmtId="0">
      <sharedItems containsString="0" containsBlank="1" containsNumber="1" minValue="19" maxValue="3535"/>
    </cacheField>
    <cacheField name="Total" numFmtId="0">
      <sharedItems containsString="0" containsBlank="1" containsNumber="1" minValue="0" maxValue="34485"/>
    </cacheField>
    <cacheField name="status" numFmtId="0">
      <sharedItems containsBlank="1"/>
    </cacheField>
    <cacheField name="Collection Date" numFmtId="0">
      <sharedItems containsDate="1" containsBlank="1" containsMixedTypes="1" minDate="2025-04-02T00:00:00" maxDate="2025-04-09T00:00: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65.002499768518" createdVersion="8" refreshedVersion="8" minRefreshableVersion="3" recordCount="44" xr:uid="{85A17209-09B1-4700-8385-A531484FAB42}">
  <cacheSource type="worksheet">
    <worksheetSource ref="A1:B1048576" sheet="Shipment"/>
  </cacheSource>
  <cacheFields count="2">
    <cacheField name="Qty" numFmtId="0">
      <sharedItems containsString="0" containsBlank="1" containsNumber="1" containsInteger="1" minValue="1" maxValue="33"/>
    </cacheField>
    <cacheField name="Description" numFmtId="0">
      <sharedItems containsBlank="1" containsMixedTypes="1" containsNumber="1" containsInteger="1" minValue="12" maxValue="12" count="25">
        <s v="Mac Book Air 13&quot; M4 24/512"/>
        <s v="Mac Book Air 15&quot; M4 24/512"/>
        <s v="Instax mini Evo"/>
        <s v="PS Portal "/>
        <s v="DJI"/>
        <s v="Mini 12"/>
        <s v="Mini 40"/>
        <s v="CD"/>
        <s v="Paper"/>
        <s v="Evo"/>
        <s v="Liplay"/>
        <s v="MCV64X"/>
        <s v="MC7D4X"/>
        <s v="Osmo Pocket"/>
        <s v="MC9K4X"/>
        <s v="Pro 15&quot; M4 16/512"/>
        <s v="MC9J4X"/>
        <s v="Meta Quest"/>
        <s v="DJI COMBO"/>
        <s v="MC6L4X"/>
        <s v="M4 PRO 24/512"/>
        <s v="MC9L4X"/>
        <s v="PS5"/>
        <m/>
        <n v="12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774.971201851855" createdVersion="8" refreshedVersion="8" minRefreshableVersion="3" recordCount="39" xr:uid="{33859011-C1BF-4934-80AA-D888C3CF48CE}">
  <cacheSource type="worksheet">
    <worksheetSource ref="A1:B1048576" sheet="Shipment 2904"/>
  </cacheSource>
  <cacheFields count="2">
    <cacheField name="Qty" numFmtId="0">
      <sharedItems containsString="0" containsBlank="1" containsNumber="1" containsInteger="1" minValue="1" maxValue="48"/>
    </cacheField>
    <cacheField name="Description" numFmtId="0">
      <sharedItems containsBlank="1" count="15">
        <s v="Mac Book Air 13&quot; M4 24/512"/>
        <s v="CD"/>
        <s v="PS5 Portal"/>
        <s v="Evo Camera"/>
        <s v="DJI mavic 3 RC Combo"/>
        <s v="DJI mavic 3 RC "/>
        <s v="Osmo Mobile 7P"/>
        <s v="Camera mini 12"/>
        <s v="Meta Glasses"/>
        <s v="Mac Book Air 15&quot; M4 24/512"/>
        <s v="Airpods 4 ANC"/>
        <s v="Liplay"/>
        <s v="Mini Link"/>
        <s v="Films Mix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6326967592" createdVersion="8" refreshedVersion="8" minRefreshableVersion="3" recordCount="12" xr:uid="{0E8D8428-3BF0-4872-B912-F036CF5D301C}">
  <cacheSource type="worksheet">
    <worksheetSource ref="B1:C1048576" sheet="NZ OCT"/>
  </cacheSource>
  <cacheFields count="2">
    <cacheField name="Qty" numFmtId="0">
      <sharedItems containsString="0" containsBlank="1" containsNumber="1" containsInteger="1" minValue="1" maxValue="10"/>
    </cacheField>
    <cacheField name="Descriptions" numFmtId="0">
      <sharedItems containsBlank="1" count="5">
        <s v="G7X Mark III Silver"/>
        <s v="Delivery"/>
        <s v="SX740"/>
        <s v="G7X Mark III Black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7379050923" createdVersion="8" refreshedVersion="8" minRefreshableVersion="3" recordCount="12" xr:uid="{9C96B46B-6876-4B70-B448-E1C87E972CE9}">
  <cacheSource type="worksheet">
    <worksheetSource ref="B1:C1048576" sheet="NZ SEP"/>
  </cacheSource>
  <cacheFields count="2">
    <cacheField name="Qty" numFmtId="0">
      <sharedItems containsString="0" containsBlank="1" containsNumber="1" containsInteger="1" minValue="1" maxValue="400"/>
    </cacheField>
    <cacheField name="Descriptions" numFmtId="0">
      <sharedItems containsBlank="1" count="7">
        <s v="Instax mini EVO Black"/>
        <s v="Starlink V4"/>
        <s v="Delivery"/>
        <s v="Mark III Silver"/>
        <s v="Mark III Black"/>
        <s v="SX740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3.848790972224" createdVersion="8" refreshedVersion="8" minRefreshableVersion="3" recordCount="24" xr:uid="{C0FDE2A1-6F55-4C45-A9E4-81AE55E139A5}">
  <cacheSource type="worksheet">
    <worksheetSource ref="B1:C1048576" sheet="NZ Aug"/>
  </cacheSource>
  <cacheFields count="2">
    <cacheField name="Qty" numFmtId="0">
      <sharedItems containsString="0" containsBlank="1" containsNumber="1" containsInteger="1" minValue="1" maxValue="50"/>
    </cacheField>
    <cacheField name="Descriptions" numFmtId="0">
      <sharedItems containsBlank="1" count="9">
        <s v="Instax mini EVO Black"/>
        <s v="G7x Mark III Black"/>
        <s v="Starlink V4"/>
        <s v="NZ Trip Expense"/>
        <s v="Canon SX740"/>
        <s v="Instax mini EVO Brown"/>
        <s v="Delivery Cahrges"/>
        <s v="Shipping Charg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64.995956712963" createdVersion="8" refreshedVersion="8" minRefreshableVersion="3" recordCount="6" xr:uid="{C7084A55-F26C-4552-B04F-44E044E46EBD}">
  <cacheSource type="worksheet">
    <worksheetSource ref="B1:E1048576" sheet="Broadway DJI"/>
  </cacheSource>
  <cacheFields count="4">
    <cacheField name="Qty" numFmtId="0">
      <sharedItems containsString="0" containsBlank="1" containsNumber="1" containsInteger="1" minValue="3" maxValue="8" count="5">
        <n v="6"/>
        <n v="8"/>
        <n v="3"/>
        <n v="5"/>
        <m/>
      </sharedItems>
    </cacheField>
    <cacheField name="Items" numFmtId="0">
      <sharedItems containsBlank="1" count="5">
        <s v="Mavic 4 Pro combo"/>
        <s v="Mavic 4 Pro"/>
        <s v="Starlink V4"/>
        <s v="DJI Mavic 4 Pro Combo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274" maxValue="37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0.951439467593" createdVersion="8" refreshedVersion="8" minRefreshableVersion="3" recordCount="28" xr:uid="{A21EF4BF-D30D-49F1-98DA-59BE87326FDC}">
  <cacheSource type="worksheet">
    <worksheetSource ref="A1:G1048576" sheet="Sheet5"/>
  </cacheSource>
  <cacheFields count="7">
    <cacheField name="Date" numFmtId="0">
      <sharedItems containsNonDate="0" containsDate="1" containsString="0" containsBlank="1" minDate="2025-11-19T00:00:00" maxDate="2025-11-30T00:00:00"/>
    </cacheField>
    <cacheField name="Qty" numFmtId="0">
      <sharedItems containsString="0" containsBlank="1" containsNumber="1" containsInteger="1" minValue="1" maxValue="23"/>
    </cacheField>
    <cacheField name="Descriptions" numFmtId="0">
      <sharedItems containsBlank="1" count="11">
        <s v="JBL Charge 6"/>
        <s v="PS5 Disk Bundle NBA"/>
        <s v="PS5 Digital"/>
        <s v="PS5 Disc"/>
        <s v="PS5Disc "/>
        <s v="PS5Digital"/>
        <s v="Mic 3 Combo"/>
        <s v="JBL Chare 6"/>
        <s v="Ray Ban Meta Wayfarer Gen 1"/>
        <s v="Starlink Standard Kit"/>
        <m/>
      </sharedItems>
    </cacheField>
    <cacheField name="Store" numFmtId="0">
      <sharedItems containsBlank="1" count="9">
        <s v="Good Guys Auburn"/>
        <s v="Good Guys Wetherhill Park"/>
        <s v="Good Guys Casula"/>
        <s v="Ebgames Online"/>
        <s v="Good Guys "/>
        <s v="JBHIFI Parramatta"/>
        <s v="JBHIFI Top Ryde"/>
        <s v="Office Works Guildford"/>
        <m/>
      </sharedItems>
    </cacheField>
    <cacheField name="Price" numFmtId="0">
      <sharedItems containsString="0" containsBlank="1" containsNumber="1" containsInteger="1" minValue="125" maxValue="659"/>
    </cacheField>
    <cacheField name="Total" numFmtId="0">
      <sharedItems containsString="0" containsBlank="1" containsNumber="1" containsInteger="1" minValue="399" maxValue="4581"/>
    </cacheField>
    <cacheField name="status" numFmtId="0">
      <sharedItems containsBlank="1" count="14">
        <s v="Pending Collection Auburn"/>
        <s v="Pending Collection Wetherill Park"/>
        <s v="Pending Collection Casula"/>
        <s v="Pending Collection Broadway"/>
        <s v="Pending Collection Whetherill Park"/>
        <s v="Pending Collection Campbelltown"/>
        <s v="Pending Collection Macarthur Square"/>
        <s v="Pending Collection TBC"/>
        <s v="Pending Collection Merrylands"/>
        <s v="Pending Collection Parramatta"/>
        <s v="Pending Collection Auburn Officeworks"/>
        <m/>
        <s v="Pending Collection Wetherhill Park" u="1"/>
        <s v="Pending Collection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771064813" createdVersion="8" refreshedVersion="8" minRefreshableVersion="3" recordCount="135" xr:uid="{08E1C40D-E075-41DE-AEEB-496187BE7156}">
  <cacheSource type="worksheet">
    <worksheetSource ref="A1:I1048576" sheet="AU NOV"/>
  </cacheSource>
  <cacheFields count="9">
    <cacheField name="Date" numFmtId="0">
      <sharedItems containsNonDate="0" containsDate="1" containsString="0" containsBlank="1" minDate="2025-11-02T00:00:00" maxDate="2025-12-01T00:00:00"/>
    </cacheField>
    <cacheField name="Qty" numFmtId="0">
      <sharedItems containsString="0" containsBlank="1" containsNumber="1" containsInteger="1" minValue="1" maxValue="50"/>
    </cacheField>
    <cacheField name="Descriptions" numFmtId="0">
      <sharedItems containsBlank="1" count="42">
        <s v="Mic 3 Combo"/>
        <s v="JBL Charge 6 "/>
        <s v="JBL Charge 6"/>
        <s v="Mini 4"/>
        <s v="Mavic 4 FMC"/>
        <s v="Flip Essentials"/>
        <s v="DJI Mic 3 Combo"/>
        <s v="Starlink Standard Kit"/>
        <s v="Google pixel 10 pro 128"/>
        <s v="Google pixel 10 pro 256"/>
        <s v="DJI mini 5 Pro FMC 52 Min"/>
        <s v="DJI Mavic 4 standard"/>
        <s v="DJI Mavic 4 FMC RC2"/>
        <s v="Google pixel 8 pro 128"/>
        <s v="Company registration renew  Fee"/>
        <s v="Shipping Charges"/>
        <s v="Meta Quest 3s 256 "/>
        <s v="Ninja Blender"/>
        <s v="Osmo Pocket 3 Creator Combo"/>
        <s v="Osmo Pocket Standard"/>
        <s v="Osmo Pocket 3  Creator Combo Active"/>
        <s v="Osmo Pocket 3 Creator Combo "/>
        <s v="Ninetendo Switch 2 Bundle"/>
        <s v="Iphone17 pro max 256 Silver"/>
        <s v="Iphone17 pro max 256 Orange"/>
        <s v="DJI Osmo Pocket 3 standrad"/>
        <s v="DJI Mic Mini"/>
        <s v="PS5 Disk Bundle NBA"/>
        <s v="PS5 Disk Bundle "/>
        <s v="PS5 Digital"/>
        <s v="PS5 Disc"/>
        <s v="PS5Disc "/>
        <s v="PS5Digital"/>
        <s v="Van Hire 11+ Petrol"/>
        <s v="Canon SX740"/>
        <s v="Delivery Expense"/>
        <s v="JBL Chare 6"/>
        <s v="Mic Mini"/>
        <s v="Ray Ban Meta Wayfarer Gen 1"/>
        <s v="Meta Wayfarer Gen 1 Glasses"/>
        <s v="Collection Commision"/>
        <m/>
      </sharedItems>
    </cacheField>
    <cacheField name="Store" numFmtId="0">
      <sharedItems containsBlank="1"/>
    </cacheField>
    <cacheField name="Price" numFmtId="167">
      <sharedItems containsBlank="1" containsMixedTypes="1" containsNumber="1" minValue="0" maxValue="10122.66"/>
    </cacheField>
    <cacheField name="Total" numFmtId="167">
      <sharedItems containsString="0" containsBlank="1" containsNumber="1" minValue="0" maxValue="40500"/>
    </cacheField>
    <cacheField name="status" numFmtId="0">
      <sharedItems containsBlank="1"/>
    </cacheField>
    <cacheField name="Shipped" numFmtId="0">
      <sharedItems containsNonDate="0" containsDate="1" containsString="0" containsBlank="1" minDate="2025-11-05T00:00:00" maxDate="2025-11-25T00:00:00"/>
    </cacheField>
    <cacheField name="Comments" numFmtId="0">
      <sharedItems containsBlank="1" count="11">
        <m/>
        <s v="Old Deposit"/>
        <s v="Old Purchasing"/>
        <s v="10% Gift Card"/>
        <s v="Megatop"/>
        <s v="1 unit to be refund"/>
        <s v="Active units"/>
        <s v="2units  to be refund"/>
        <s v="1 unit refund"/>
        <s v="Expense"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5995.032862268519" createdVersion="8" refreshedVersion="8" minRefreshableVersion="3" recordCount="46" xr:uid="{2BC92729-E410-4819-8593-C9C2A5A3D1F5}">
  <cacheSource type="worksheet">
    <worksheetSource ref="A1:I1048576" sheet="AU DEC"/>
  </cacheSource>
  <cacheFields count="9">
    <cacheField name="Date" numFmtId="0">
      <sharedItems containsNonDate="0" containsDate="1" containsString="0" containsBlank="1" minDate="2025-12-01T00:00:00" maxDate="2025-12-04T00:00:00" count="4">
        <d v="2025-12-01T00:00:00"/>
        <d v="2025-12-02T00:00:00"/>
        <d v="2025-12-03T00:00:00"/>
        <m/>
      </sharedItems>
    </cacheField>
    <cacheField name="Qty" numFmtId="0">
      <sharedItems containsString="0" containsBlank="1" containsNumber="1" containsInteger="1" minValue="1" maxValue="14" count="10">
        <n v="2"/>
        <n v="3"/>
        <n v="10"/>
        <n v="1"/>
        <n v="12"/>
        <n v="5"/>
        <n v="4"/>
        <n v="6"/>
        <n v="14"/>
        <m/>
      </sharedItems>
    </cacheField>
    <cacheField name="Descriptions" numFmtId="0">
      <sharedItems containsBlank="1" count="15">
        <s v="Starlink Standard Kit"/>
        <s v="PS5 Slim Digital"/>
        <s v="DJI Mic 3"/>
        <s v="JBL Charge 6"/>
        <s v="PS5 Slim Disc NBA"/>
        <s v="PS5 Slim Digital 1TB"/>
        <s v="Collection Commision"/>
        <s v="DJI Mic Mini"/>
        <s v="PS5 Digital"/>
        <s v="PS5"/>
        <s v="PS5 DISC"/>
        <s v="Wireless Controller"/>
        <s v="Astrobot Games"/>
        <s v="Mic 3"/>
        <m/>
      </sharedItems>
    </cacheField>
    <cacheField name="Store" numFmtId="0">
      <sharedItems containsBlank="1"/>
    </cacheField>
    <cacheField name="Price" numFmtId="0">
      <sharedItems containsString="0" containsBlank="1" containsNumber="1" containsInteger="1" minValue="44" maxValue="659"/>
    </cacheField>
    <cacheField name="Total" numFmtId="0">
      <sharedItems containsString="0" containsBlank="1" containsNumber="1" containsInteger="1" minValue="44" maxValue="4776"/>
    </cacheField>
    <cacheField name="status" numFmtId="0">
      <sharedItems containsBlank="1"/>
    </cacheField>
    <cacheField name="Shipped" numFmtId="0">
      <sharedItems containsNonDate="0" containsString="0" containsBlank="1"/>
    </cacheField>
    <cacheField name="Comments" numFmtId="0">
      <sharedItems containsBlank="1" count="3">
        <s v="Megatop"/>
        <m/>
        <s v="Logistic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bdul Pasha" refreshedDate="46021.588136574072" createdVersion="8" refreshedVersion="8" minRefreshableVersion="3" recordCount="778" xr:uid="{5AEF0A9B-1413-46E3-8671-611EEA0AC8E1}">
  <cacheSource type="worksheet">
    <worksheetSource ref="A1:I1048576" sheet="Sheet7"/>
  </cacheSource>
  <cacheFields count="9">
    <cacheField name="Date" numFmtId="0">
      <sharedItems containsNonDate="0" containsDate="1" containsString="0" containsBlank="1" minDate="2025-12-04T00:00:00" maxDate="2025-12-29T00:00:00"/>
    </cacheField>
    <cacheField name="Qty" numFmtId="0">
      <sharedItems containsString="0" containsBlank="1" containsNumber="1" containsInteger="1" minValue="1" maxValue="6"/>
    </cacheField>
    <cacheField name="Descriptions" numFmtId="0">
      <sharedItems containsBlank="1" count="13">
        <s v="Ps5 Digital"/>
        <s v="Starlink Standard Kit"/>
        <s v="PS5 Slims Digital Bundle"/>
        <s v="PS5 Slims Disc Bundle"/>
        <s v="PS5 Slim Digital Bundle"/>
        <s v="PS5 Slim Disc Bundle"/>
        <s v="DJI Mavic 4 pro 512"/>
        <s v="DJI mavic 4 pro fly more combo"/>
        <s v="JBL Charge 6"/>
        <s v="DJI Mic 3"/>
        <s v="PS5 Disc Bundle"/>
        <s v="Iphone 17 pro max 512 Silver"/>
        <m/>
      </sharedItems>
    </cacheField>
    <cacheField name="Store" numFmtId="0">
      <sharedItems containsBlank="1" count="11">
        <s v="JBHIFI Bankstown"/>
        <s v="JBHIFI Parramatta"/>
        <s v="Big W Blacktown"/>
        <s v="Big W Top Ryde"/>
        <s v="Big W Macquarie"/>
        <s v="Big W Bankstown"/>
        <s v="Big W Campsie"/>
        <s v="DJI Macquarie"/>
        <s v="JBHIFI Roselands"/>
        <m/>
        <s v="Big W North Ryde" u="1"/>
      </sharedItems>
    </cacheField>
    <cacheField name="Price" numFmtId="0">
      <sharedItems containsString="0" containsBlank="1" containsNumber="1" containsInteger="1" minValue="125" maxValue="4400"/>
    </cacheField>
    <cacheField name="Total" numFmtId="0">
      <sharedItems containsString="0" containsBlank="1" containsNumber="1" containsInteger="1" minValue="299" maxValue="13200"/>
    </cacheField>
    <cacheField name="status" numFmtId="0">
      <sharedItems containsBlank="1" count="6">
        <s v="Pending Collection Merrylands"/>
        <s v="Pending Collection Top Ryde"/>
        <s v="Pending Collection Mt Druitt"/>
        <s v="Pending Collection"/>
        <s v="Pending Collection Castle Tower"/>
        <m/>
      </sharedItems>
    </cacheField>
    <cacheField name="Shipped" numFmtId="0">
      <sharedItems containsNonDate="0" containsString="0" containsBlank="1"/>
    </cacheField>
    <cacheField name="Comment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n v="2"/>
    <x v="0"/>
    <s v="Office Works Northmead"/>
    <n v="2089.4899999999998"/>
    <n v="4178.9799999999996"/>
    <s v="Collected"/>
    <d v="2025-04-02T00:00:00"/>
  </r>
  <r>
    <x v="0"/>
    <n v="2"/>
    <x v="1"/>
    <s v="Office Works Auburn"/>
    <n v="2460.4899999999998"/>
    <n v="4920.9799999999996"/>
    <s v="Collected"/>
    <m/>
  </r>
  <r>
    <x v="1"/>
    <n v="2"/>
    <x v="2"/>
    <s v="Office Works Northmead"/>
    <n v="2517.4899999999998"/>
    <n v="5034.9799999999996"/>
    <s v="Collected"/>
    <m/>
  </r>
  <r>
    <x v="1"/>
    <n v="2"/>
    <x v="0"/>
    <s v="Office Works Castle Hills"/>
    <n v="2089.4899999999998"/>
    <n v="4178.9799999999996"/>
    <s v="Collected"/>
    <m/>
  </r>
  <r>
    <x v="1"/>
    <n v="2"/>
    <x v="3"/>
    <s v="Office Works Castle Hills"/>
    <n v="2089.4899999999998"/>
    <n v="4178.9799999999996"/>
    <s v="Collected"/>
    <m/>
  </r>
  <r>
    <x v="1"/>
    <n v="1"/>
    <x v="0"/>
    <s v="Office Works Hornsby"/>
    <n v="2089.9899999999998"/>
    <n v="2089.9899999999998"/>
    <s v="Collected"/>
    <d v="2025-04-08T00:00:00"/>
  </r>
  <r>
    <x v="1"/>
    <n v="1"/>
    <x v="3"/>
    <s v="Office Works Hornsby"/>
    <n v="2089.9899999999998"/>
    <n v="2089.9899999999998"/>
    <s v="Collected"/>
    <d v="2025-04-08T00:00:00"/>
  </r>
  <r>
    <x v="1"/>
    <n v="8"/>
    <x v="4"/>
    <s v="JBHIFI Hornsby"/>
    <n v="229"/>
    <n v="1832"/>
    <s v="Collected"/>
    <d v="2025-04-02T00:00:00"/>
  </r>
  <r>
    <x v="1"/>
    <n v="1"/>
    <x v="5"/>
    <s v="JBHIFI Hornsby"/>
    <n v="699"/>
    <n v="699"/>
    <s v="Collected"/>
    <d v="2025-04-03T00:00:00"/>
  </r>
  <r>
    <x v="1"/>
    <n v="1"/>
    <x v="6"/>
    <s v="JBHIFI Hornsby"/>
    <n v="799"/>
    <n v="799"/>
    <s v="Collected"/>
    <d v="2025-04-03T00:00:00"/>
  </r>
  <r>
    <x v="1"/>
    <n v="1"/>
    <x v="0"/>
    <s v="JBHIFI Hornsby"/>
    <n v="2149"/>
    <n v="2149"/>
    <s v="Collected"/>
    <d v="2025-04-02T00:00:00"/>
  </r>
  <r>
    <x v="1"/>
    <n v="1"/>
    <x v="0"/>
    <s v="Office Works North Ryde"/>
    <n v="2089.9899999999998"/>
    <n v="2089.9899999999998"/>
    <m/>
    <s v="Order Cancelled Refund 08/04/2025"/>
  </r>
  <r>
    <x v="1"/>
    <n v="2"/>
    <x v="0"/>
    <s v="Office Works West Ryde"/>
    <n v="2089.9899999999998"/>
    <n v="4179.9799999999996"/>
    <s v="Pending Collection Northmead"/>
    <s v="Order Cancelled Refunded"/>
  </r>
  <r>
    <x v="1"/>
    <n v="1"/>
    <x v="0"/>
    <s v="Office Works Auburn"/>
    <n v="2089.9899999999998"/>
    <n v="2089.9899999999998"/>
    <s v="Collected"/>
    <d v="2025-04-04T00:00:00"/>
  </r>
  <r>
    <x v="1"/>
    <n v="1"/>
    <x v="3"/>
    <s v="Office Works Auburn"/>
    <n v="2089.9899999999998"/>
    <n v="2089.9899999999998"/>
    <s v="Collected"/>
    <d v="2025-04-04T00:00:00"/>
  </r>
  <r>
    <x v="1"/>
    <n v="1"/>
    <x v="7"/>
    <s v="Office Works Auburn"/>
    <n v="39"/>
    <n v="39"/>
    <s v="Collected"/>
    <d v="2025-04-02T00:00:00"/>
  </r>
  <r>
    <x v="2"/>
    <n v="1"/>
    <x v="8"/>
    <s v="JBHIFI Castle Hills"/>
    <n v="799"/>
    <n v="799"/>
    <s v="Collected"/>
    <m/>
  </r>
  <r>
    <x v="2"/>
    <n v="1"/>
    <x v="5"/>
    <s v="Merylands"/>
    <n v="669"/>
    <n v="669"/>
    <s v="Collected  10/04/2025"/>
    <m/>
  </r>
  <r>
    <x v="2"/>
    <m/>
    <x v="9"/>
    <s v="Expense"/>
    <n v="36.54"/>
    <n v="0"/>
    <m/>
    <m/>
  </r>
  <r>
    <x v="3"/>
    <n v="6"/>
    <x v="10"/>
    <s v="Good Guys "/>
    <n v="87"/>
    <n v="522"/>
    <s v="Collected"/>
    <m/>
  </r>
  <r>
    <x v="3"/>
    <n v="1"/>
    <x v="11"/>
    <s v="Good Guys Bankstown"/>
    <n v="2204"/>
    <n v="2204"/>
    <s v="Collected  10/04/2025"/>
    <m/>
  </r>
  <r>
    <x v="3"/>
    <n v="1"/>
    <x v="3"/>
    <s v="Office Works Punchbowl"/>
    <n v="2089.9899999999998"/>
    <n v="2089.9899999999998"/>
    <s v="Collected"/>
    <m/>
  </r>
  <r>
    <x v="3"/>
    <n v="1"/>
    <x v="0"/>
    <s v="Office Works Punchbowl"/>
    <n v="2089.9899999999998"/>
    <n v="2089.9899999999998"/>
    <s v="Cancelled Refund to be process"/>
    <m/>
  </r>
  <r>
    <x v="4"/>
    <n v="1"/>
    <x v="12"/>
    <s v="Office Works Castle Hills"/>
    <n v="2089.9899999999998"/>
    <n v="2089.9899999999998"/>
    <s v="Collected"/>
    <m/>
  </r>
  <r>
    <x v="5"/>
    <n v="1"/>
    <x v="13"/>
    <s v="Office Works Castle Hills"/>
    <n v="2089.9899999999998"/>
    <n v="2089.9899999999998"/>
    <s v="Cancelled Refund to be process"/>
    <m/>
  </r>
  <r>
    <x v="5"/>
    <n v="1"/>
    <x v="14"/>
    <s v="JBHIFI Castle Hills"/>
    <n v="149"/>
    <n v="149"/>
    <s v="Collected"/>
    <m/>
  </r>
  <r>
    <x v="5"/>
    <n v="1"/>
    <x v="15"/>
    <s v="JBHIFI Castle Hills"/>
    <n v="2549"/>
    <n v="2549"/>
    <s v="Collected"/>
    <m/>
  </r>
  <r>
    <x v="6"/>
    <n v="1"/>
    <x v="16"/>
    <s v="Office Works Castle Hills"/>
    <n v="2089.9899999999998"/>
    <n v="2089.9899999999998"/>
    <s v="Cancelled Refund to be process"/>
    <m/>
  </r>
  <r>
    <x v="6"/>
    <n v="1"/>
    <x v="17"/>
    <s v="Office Works Hornsby"/>
    <n v="2089.9899999999998"/>
    <n v="2089"/>
    <s v="Cancelled Refund to be process"/>
    <m/>
  </r>
  <r>
    <x v="6"/>
    <n v="1"/>
    <x v="17"/>
    <s v="Office Works Hornsby"/>
    <n v="2089.9899999999998"/>
    <n v="2089"/>
    <s v="Cancelled Refund to be process"/>
    <m/>
  </r>
  <r>
    <x v="7"/>
    <n v="10"/>
    <x v="5"/>
    <s v="Big W Merrylands"/>
    <n v="724"/>
    <n v="7240"/>
    <s v="Collected"/>
    <m/>
  </r>
  <r>
    <x v="7"/>
    <n v="2"/>
    <x v="18"/>
    <s v="Costco Online"/>
    <n v="1749.99"/>
    <n v="3499.98"/>
    <s v="Delivered 11/04/2024"/>
    <m/>
  </r>
  <r>
    <x v="7"/>
    <n v="2"/>
    <x v="19"/>
    <s v="Costco Online"/>
    <n v="1749.99"/>
    <n v="3499.98"/>
    <s v="Delivered 11/04/2025"/>
    <m/>
  </r>
  <r>
    <x v="7"/>
    <n v="3"/>
    <x v="20"/>
    <s v="Costco Online"/>
    <n v="1749.99"/>
    <n v="5249.97"/>
    <s v="Delivered 11/04/2026"/>
    <m/>
  </r>
  <r>
    <x v="7"/>
    <n v="6"/>
    <x v="21"/>
    <s v="Costco Online"/>
    <n v="1749.99"/>
    <n v="10499.94"/>
    <s v="Delivered 11/04/2027"/>
    <m/>
  </r>
  <r>
    <x v="7"/>
    <n v="5"/>
    <x v="22"/>
    <s v="Costco Online"/>
    <n v="2199"/>
    <n v="10995"/>
    <s v="Delivered 11/04/2028"/>
    <m/>
  </r>
  <r>
    <x v="7"/>
    <n v="1"/>
    <x v="5"/>
    <s v="EB Games North Ryde"/>
    <n v="669"/>
    <n v="669"/>
    <s v="Pending Confirmation"/>
    <m/>
  </r>
  <r>
    <x v="8"/>
    <n v="1"/>
    <x v="23"/>
    <s v="JBHIFI Bankstown"/>
    <n v="449"/>
    <n v="449"/>
    <s v="Collected"/>
    <m/>
  </r>
  <r>
    <x v="8"/>
    <n v="2"/>
    <x v="5"/>
    <s v="JBHIFI Bankstown"/>
    <n v="689"/>
    <n v="1378"/>
    <s v="Pending Collection Parramatta"/>
    <m/>
  </r>
  <r>
    <x v="8"/>
    <n v="8"/>
    <x v="5"/>
    <s v="Big W Bansktown"/>
    <n v="724"/>
    <n v="5792"/>
    <s v="Pending Collection"/>
    <m/>
  </r>
  <r>
    <x v="8"/>
    <n v="5"/>
    <x v="5"/>
    <s v="Big W Winston Hills"/>
    <n v="724"/>
    <n v="3620"/>
    <s v="Collected"/>
    <m/>
  </r>
  <r>
    <x v="9"/>
    <n v="11"/>
    <x v="5"/>
    <s v="Big W Winston Hills"/>
    <n v="724"/>
    <n v="7964"/>
    <s v="Collected"/>
    <m/>
  </r>
  <r>
    <x v="9"/>
    <n v="3"/>
    <x v="24"/>
    <s v="Costco Online"/>
    <n v="2549.9899999999998"/>
    <n v="7649.9699999999993"/>
    <s v="Delivered"/>
    <m/>
  </r>
  <r>
    <x v="9"/>
    <n v="1"/>
    <x v="25"/>
    <s v="Costco Online"/>
    <n v="2549.9899999999998"/>
    <n v="2549.9899999999998"/>
    <s v="Delivered"/>
    <m/>
  </r>
  <r>
    <x v="10"/>
    <n v="1"/>
    <x v="26"/>
    <s v="Harvey Norman Morre Park"/>
    <n v="2299"/>
    <n v="2299"/>
    <s v="Pending Collection"/>
    <s v="10% Gift Card"/>
  </r>
  <r>
    <x v="10"/>
    <n v="1"/>
    <x v="27"/>
    <s v="Harvey Norman Morre Park"/>
    <n v="2299"/>
    <n v="2299"/>
    <s v="Pending Collection"/>
    <s v="10% Gift Card"/>
  </r>
  <r>
    <x v="10"/>
    <n v="1"/>
    <x v="28"/>
    <s v="Harvey Norman Morre Park"/>
    <n v="724"/>
    <n v="724"/>
    <s v="Pending Collection"/>
    <s v="10% Gift Card"/>
  </r>
  <r>
    <x v="10"/>
    <n v="3"/>
    <x v="29"/>
    <s v="Harvey Norman Morre Park"/>
    <n v="328"/>
    <n v="984"/>
    <s v="Pending Collection"/>
    <s v="10% Gift Card"/>
  </r>
  <r>
    <x v="10"/>
    <n v="15"/>
    <x v="27"/>
    <s v="Harvey Norman Broadway"/>
    <n v="2299"/>
    <n v="34485"/>
    <s v="Pending Collection"/>
    <s v="10% Gift Card"/>
  </r>
  <r>
    <x v="10"/>
    <n v="10"/>
    <x v="26"/>
    <s v="Harvey Norman Broadway"/>
    <n v="2299"/>
    <n v="22990"/>
    <s v="Pending Collection"/>
    <s v="10% Gift Card"/>
  </r>
  <r>
    <x v="10"/>
    <n v="5"/>
    <x v="30"/>
    <s v="Harvey Norman Broadway"/>
    <n v="2299"/>
    <n v="11495"/>
    <s v="Pending Collection"/>
    <s v="10% Gift Card"/>
  </r>
  <r>
    <x v="10"/>
    <n v="5"/>
    <x v="31"/>
    <s v="Harvey Norman Broadway"/>
    <n v="2699"/>
    <n v="13495"/>
    <s v="Pending Collection"/>
    <s v="10% Gift Card"/>
  </r>
  <r>
    <x v="10"/>
    <n v="5"/>
    <x v="32"/>
    <s v="Harvey Norman Broadway"/>
    <n v="2699"/>
    <n v="13495"/>
    <s v="Pending Collection"/>
    <s v="10% Gift Card"/>
  </r>
  <r>
    <x v="10"/>
    <n v="2"/>
    <x v="26"/>
    <s v="Harvey Norman Castle Hills"/>
    <n v="2299"/>
    <n v="4598"/>
    <s v="Collected"/>
    <s v="10% Gift Card"/>
  </r>
  <r>
    <x v="10"/>
    <n v="2"/>
    <x v="27"/>
    <s v="Harvey Norman Castle Hills"/>
    <n v="2299"/>
    <n v="4598"/>
    <s v="Collected"/>
    <s v="10% Gift Card"/>
  </r>
  <r>
    <x v="10"/>
    <n v="1"/>
    <x v="31"/>
    <s v="Harvey Norman Castle Hills"/>
    <n v="2699"/>
    <n v="2699"/>
    <s v="Collected"/>
    <s v="10% Gift Card"/>
  </r>
  <r>
    <x v="10"/>
    <n v="2"/>
    <x v="32"/>
    <s v="Harvey Norman Castle Hills"/>
    <n v="2699"/>
    <n v="5398"/>
    <s v="Collected"/>
    <s v="10% Gift Card"/>
  </r>
  <r>
    <x v="10"/>
    <n v="5"/>
    <x v="33"/>
    <s v="Harvey Norman Castle Hills"/>
    <n v="143"/>
    <n v="715"/>
    <s v="Collected"/>
    <s v="10% Gift Card"/>
  </r>
  <r>
    <x v="10"/>
    <n v="6"/>
    <x v="34"/>
    <s v="Harvey Norman Castle Hills"/>
    <n v="30"/>
    <n v="180"/>
    <s v="Collected"/>
    <s v="10% Gift Card"/>
  </r>
  <r>
    <x v="10"/>
    <n v="20"/>
    <x v="34"/>
    <s v="Harvey Norman Castle Hills"/>
    <n v="30"/>
    <n v="600"/>
    <s v="Pending Collection"/>
    <s v="10% Gift Card"/>
  </r>
  <r>
    <x v="10"/>
    <n v="6"/>
    <x v="34"/>
    <s v="Harvey Norman North Ryde"/>
    <n v="30"/>
    <n v="180"/>
    <s v="Collected"/>
    <s v="10% Gift Card"/>
  </r>
  <r>
    <x v="10"/>
    <n v="5"/>
    <x v="28"/>
    <s v="Harvey Norman North Ryde"/>
    <n v="715"/>
    <n v="3575"/>
    <s v="Collected"/>
    <s v="10% Gift Card"/>
  </r>
  <r>
    <x v="10"/>
    <n v="1"/>
    <x v="26"/>
    <s v="Harvey Norman North Ryde"/>
    <n v="2299"/>
    <n v="2299"/>
    <s v="Collected"/>
    <s v="10% Gift Card"/>
  </r>
  <r>
    <x v="10"/>
    <n v="1"/>
    <x v="31"/>
    <s v="Harvey Norman North Ryde"/>
    <n v="2699"/>
    <n v="2699"/>
    <s v="Collected"/>
    <s v="10% Gift Card"/>
  </r>
  <r>
    <x v="11"/>
    <n v="17"/>
    <x v="28"/>
    <s v="Costco Online"/>
    <n v="699.99"/>
    <n v="11899.83"/>
    <s v="Pending Delivery"/>
    <m/>
  </r>
  <r>
    <x v="11"/>
    <n v="1"/>
    <x v="28"/>
    <s v="Costco Online"/>
    <n v="699.99"/>
    <n v="699.99"/>
    <s v="Pending Delivery"/>
    <m/>
  </r>
  <r>
    <x v="11"/>
    <n v="3"/>
    <x v="31"/>
    <s v="Costco Online"/>
    <n v="2549.9899999999998"/>
    <n v="7649.9699999999993"/>
    <s v="Pending Delivery"/>
    <m/>
  </r>
  <r>
    <x v="11"/>
    <n v="2"/>
    <x v="35"/>
    <s v="Costco Online"/>
    <n v="2549.9899999999998"/>
    <n v="5099.9799999999996"/>
    <s v="Pending Delivery"/>
    <m/>
  </r>
  <r>
    <x v="11"/>
    <n v="10"/>
    <x v="5"/>
    <s v="Big W Online "/>
    <n v="724"/>
    <n v="7240"/>
    <s v="Pending Collection Hurstville"/>
    <m/>
  </r>
  <r>
    <x v="11"/>
    <n v="1"/>
    <x v="36"/>
    <s v="Good Guys Blacktown"/>
    <n v="713"/>
    <n v="713"/>
    <s v="Collected"/>
    <m/>
  </r>
  <r>
    <x v="11"/>
    <n v="3"/>
    <x v="37"/>
    <s v="Good Guys Bankstown"/>
    <n v="213"/>
    <n v="639"/>
    <s v="Collected"/>
    <m/>
  </r>
  <r>
    <x v="11"/>
    <n v="2"/>
    <x v="10"/>
    <s v="Good Guys Bankstown"/>
    <n v="87"/>
    <n v="174"/>
    <s v="Collected"/>
    <m/>
  </r>
  <r>
    <x v="11"/>
    <n v="8"/>
    <x v="38"/>
    <s v="Good Guys Bankstown"/>
    <n v="19"/>
    <n v="152"/>
    <s v="Collected"/>
    <m/>
  </r>
  <r>
    <x v="11"/>
    <n v="20"/>
    <x v="34"/>
    <s v="Harvey Norman Morre Park"/>
    <n v="30"/>
    <n v="600"/>
    <s v="Pending Collection"/>
    <s v="10% Gift Card"/>
  </r>
  <r>
    <x v="11"/>
    <n v="3"/>
    <x v="28"/>
    <s v="Harvey Norman Alexandria"/>
    <n v="724"/>
    <n v="2172"/>
    <s v="Pending Collection"/>
    <s v="10% Gift Card"/>
  </r>
  <r>
    <x v="11"/>
    <n v="1"/>
    <x v="39"/>
    <s v="Harvey Norman Blacktown"/>
    <n v="2077"/>
    <n v="2077"/>
    <s v="Collected"/>
    <s v="10% Gift Card"/>
  </r>
  <r>
    <x v="11"/>
    <n v="1"/>
    <x v="31"/>
    <s v="Harvey Norman Blacktown"/>
    <n v="2699"/>
    <n v="2699"/>
    <s v="Collected"/>
    <s v="10% Gift Card"/>
  </r>
  <r>
    <x v="11"/>
    <n v="2"/>
    <x v="29"/>
    <s v="JBHIFI Castle Hills"/>
    <n v="299"/>
    <n v="598"/>
    <s v="Collected"/>
    <s v="10% Gift Card"/>
  </r>
  <r>
    <x v="11"/>
    <n v="12"/>
    <x v="38"/>
    <s v="Good Guys Castle Hills"/>
    <n v="19"/>
    <n v="228"/>
    <m/>
    <m/>
  </r>
  <r>
    <x v="11"/>
    <n v="1"/>
    <x v="37"/>
    <s v="Good Guys Castle Hills"/>
    <n v="213"/>
    <n v="213"/>
    <m/>
    <m/>
  </r>
  <r>
    <x v="11"/>
    <n v="3"/>
    <x v="10"/>
    <s v="Good Guys Castle Hills"/>
    <n v="87"/>
    <n v="261"/>
    <m/>
    <m/>
  </r>
  <r>
    <x v="11"/>
    <n v="5"/>
    <x v="40"/>
    <s v="Harvey Norman Castle Hills"/>
    <n v="2605"/>
    <n v="13025"/>
    <m/>
    <s v="10% Gift Card + $200 Gift Card"/>
  </r>
  <r>
    <x v="11"/>
    <n v="1"/>
    <x v="41"/>
    <s v="Harvey Norman Castle Hills"/>
    <n v="3535"/>
    <n v="3535"/>
    <m/>
    <s v="10% Gift Card + $200 Gift Card"/>
  </r>
  <r>
    <x v="11"/>
    <n v="6"/>
    <x v="42"/>
    <s v="Harvey Norman Castle Hills"/>
    <n v="204"/>
    <n v="1224"/>
    <m/>
    <s v="10% Gift Card"/>
  </r>
  <r>
    <x v="11"/>
    <n v="3"/>
    <x v="43"/>
    <s v="Harvey Norman Castle Hills"/>
    <n v="200"/>
    <n v="600"/>
    <m/>
    <s v="10% Gift Card"/>
  </r>
  <r>
    <x v="11"/>
    <n v="11"/>
    <x v="38"/>
    <s v="Harvey Norman Castle Hills"/>
    <n v="21"/>
    <n v="231"/>
    <m/>
    <s v="10% Gift Card"/>
  </r>
  <r>
    <x v="4"/>
    <m/>
    <x v="44"/>
    <m/>
    <m/>
    <m/>
    <m/>
    <m/>
  </r>
  <r>
    <x v="4"/>
    <m/>
    <x v="44"/>
    <m/>
    <m/>
    <m/>
    <m/>
    <m/>
  </r>
  <r>
    <x v="4"/>
    <m/>
    <x v="44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4"/>
    <x v="0"/>
  </r>
  <r>
    <n v="2"/>
    <x v="1"/>
  </r>
  <r>
    <n v="4"/>
    <x v="2"/>
  </r>
  <r>
    <n v="2"/>
    <x v="1"/>
  </r>
  <r>
    <n v="2"/>
    <x v="3"/>
  </r>
  <r>
    <n v="2"/>
    <x v="4"/>
  </r>
  <r>
    <n v="9"/>
    <x v="5"/>
  </r>
  <r>
    <n v="2"/>
    <x v="6"/>
  </r>
  <r>
    <n v="2"/>
    <x v="2"/>
  </r>
  <r>
    <n v="7"/>
    <x v="7"/>
  </r>
  <r>
    <n v="27"/>
    <x v="8"/>
  </r>
  <r>
    <n v="2"/>
    <x v="9"/>
  </r>
  <r>
    <n v="8"/>
    <x v="10"/>
  </r>
  <r>
    <n v="7"/>
    <x v="5"/>
  </r>
  <r>
    <n v="4"/>
    <x v="8"/>
  </r>
  <r>
    <n v="1"/>
    <x v="7"/>
  </r>
  <r>
    <n v="5"/>
    <x v="11"/>
  </r>
  <r>
    <n v="2"/>
    <x v="4"/>
  </r>
  <r>
    <n v="4"/>
    <x v="9"/>
  </r>
  <r>
    <n v="30"/>
    <x v="7"/>
  </r>
  <r>
    <n v="2"/>
    <x v="6"/>
  </r>
  <r>
    <n v="2"/>
    <x v="12"/>
  </r>
  <r>
    <n v="1"/>
    <x v="1"/>
  </r>
  <r>
    <n v="1"/>
    <x v="6"/>
  </r>
  <r>
    <n v="1"/>
    <x v="9"/>
  </r>
  <r>
    <n v="1"/>
    <x v="13"/>
  </r>
  <r>
    <n v="2"/>
    <x v="14"/>
  </r>
  <r>
    <n v="1"/>
    <x v="15"/>
  </r>
  <r>
    <n v="2"/>
    <x v="16"/>
  </r>
  <r>
    <n v="3"/>
    <x v="14"/>
  </r>
  <r>
    <n v="1"/>
    <x v="17"/>
  </r>
  <r>
    <n v="2"/>
    <x v="7"/>
  </r>
  <r>
    <n v="5"/>
    <x v="0"/>
  </r>
  <r>
    <n v="1"/>
    <x v="18"/>
  </r>
  <r>
    <n v="1"/>
    <x v="19"/>
  </r>
  <r>
    <n v="1"/>
    <x v="12"/>
  </r>
  <r>
    <n v="1"/>
    <x v="20"/>
  </r>
  <r>
    <n v="2"/>
    <x v="0"/>
  </r>
  <r>
    <n v="6"/>
    <x v="21"/>
  </r>
  <r>
    <n v="33"/>
    <x v="22"/>
  </r>
  <r>
    <n v="6"/>
    <x v="22"/>
  </r>
  <r>
    <n v="8"/>
    <x v="22"/>
  </r>
  <r>
    <n v="10"/>
    <x v="22"/>
  </r>
  <r>
    <m/>
    <x v="2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">
  <r>
    <n v="7"/>
    <x v="0"/>
  </r>
  <r>
    <n v="12"/>
    <x v="1"/>
  </r>
  <r>
    <n v="7"/>
    <x v="0"/>
  </r>
  <r>
    <n v="1"/>
    <x v="2"/>
  </r>
  <r>
    <n v="6"/>
    <x v="0"/>
  </r>
  <r>
    <n v="2"/>
    <x v="2"/>
  </r>
  <r>
    <n v="2"/>
    <x v="3"/>
  </r>
  <r>
    <n v="6"/>
    <x v="0"/>
  </r>
  <r>
    <n v="3"/>
    <x v="4"/>
  </r>
  <r>
    <n v="9"/>
    <x v="0"/>
  </r>
  <r>
    <n v="2"/>
    <x v="4"/>
  </r>
  <r>
    <n v="4"/>
    <x v="5"/>
  </r>
  <r>
    <n v="1"/>
    <x v="0"/>
  </r>
  <r>
    <n v="5"/>
    <x v="6"/>
  </r>
  <r>
    <n v="18"/>
    <x v="1"/>
  </r>
  <r>
    <n v="2"/>
    <x v="4"/>
  </r>
  <r>
    <n v="2"/>
    <x v="5"/>
  </r>
  <r>
    <n v="3"/>
    <x v="3"/>
  </r>
  <r>
    <n v="18"/>
    <x v="7"/>
  </r>
  <r>
    <n v="4"/>
    <x v="5"/>
  </r>
  <r>
    <n v="48"/>
    <x v="8"/>
  </r>
  <r>
    <n v="2"/>
    <x v="0"/>
  </r>
  <r>
    <n v="2"/>
    <x v="4"/>
  </r>
  <r>
    <n v="2"/>
    <x v="4"/>
  </r>
  <r>
    <n v="1"/>
    <x v="0"/>
  </r>
  <r>
    <n v="1"/>
    <x v="9"/>
  </r>
  <r>
    <n v="5"/>
    <x v="9"/>
  </r>
  <r>
    <n v="4"/>
    <x v="5"/>
  </r>
  <r>
    <n v="5"/>
    <x v="10"/>
  </r>
  <r>
    <n v="1"/>
    <x v="3"/>
  </r>
  <r>
    <n v="2"/>
    <x v="11"/>
  </r>
  <r>
    <n v="1"/>
    <x v="12"/>
  </r>
  <r>
    <n v="2"/>
    <x v="9"/>
  </r>
  <r>
    <n v="1"/>
    <x v="5"/>
  </r>
  <r>
    <n v="2"/>
    <x v="9"/>
  </r>
  <r>
    <n v="5"/>
    <x v="8"/>
  </r>
  <r>
    <n v="5"/>
    <x v="9"/>
  </r>
  <r>
    <m/>
    <x v="13"/>
  </r>
  <r>
    <m/>
    <x v="14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1"/>
    <x v="0"/>
  </r>
  <r>
    <n v="2"/>
    <x v="0"/>
  </r>
  <r>
    <n v="10"/>
    <x v="0"/>
  </r>
  <r>
    <n v="1"/>
    <x v="1"/>
  </r>
  <r>
    <n v="3"/>
    <x v="2"/>
  </r>
  <r>
    <n v="6"/>
    <x v="0"/>
  </r>
  <r>
    <n v="1"/>
    <x v="3"/>
  </r>
  <r>
    <m/>
    <x v="4"/>
  </r>
  <r>
    <m/>
    <x v="4"/>
  </r>
  <r>
    <m/>
    <x v="4"/>
  </r>
  <r>
    <m/>
    <x v="4"/>
  </r>
  <r>
    <m/>
    <x v="4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">
  <r>
    <n v="50"/>
    <x v="0"/>
  </r>
  <r>
    <n v="400"/>
    <x v="1"/>
  </r>
  <r>
    <n v="3"/>
    <x v="2"/>
  </r>
  <r>
    <n v="2"/>
    <x v="3"/>
  </r>
  <r>
    <n v="4"/>
    <x v="3"/>
  </r>
  <r>
    <n v="1"/>
    <x v="4"/>
  </r>
  <r>
    <n v="4"/>
    <x v="5"/>
  </r>
  <r>
    <n v="5"/>
    <x v="3"/>
  </r>
  <r>
    <m/>
    <x v="6"/>
  </r>
  <r>
    <m/>
    <x v="6"/>
  </r>
  <r>
    <m/>
    <x v="6"/>
  </r>
  <r>
    <m/>
    <x v="6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">
  <r>
    <n v="50"/>
    <x v="0"/>
  </r>
  <r>
    <n v="1"/>
    <x v="1"/>
  </r>
  <r>
    <n v="1"/>
    <x v="1"/>
  </r>
  <r>
    <n v="2"/>
    <x v="1"/>
  </r>
  <r>
    <n v="4"/>
    <x v="2"/>
  </r>
  <r>
    <n v="2"/>
    <x v="2"/>
  </r>
  <r>
    <n v="2"/>
    <x v="2"/>
  </r>
  <r>
    <n v="7"/>
    <x v="2"/>
  </r>
  <r>
    <n v="8"/>
    <x v="2"/>
  </r>
  <r>
    <n v="20"/>
    <x v="2"/>
  </r>
  <r>
    <n v="26"/>
    <x v="2"/>
  </r>
  <r>
    <n v="40"/>
    <x v="2"/>
  </r>
  <r>
    <n v="2"/>
    <x v="2"/>
  </r>
  <r>
    <n v="1"/>
    <x v="3"/>
  </r>
  <r>
    <n v="5"/>
    <x v="4"/>
  </r>
  <r>
    <n v="1"/>
    <x v="4"/>
  </r>
  <r>
    <n v="1"/>
    <x v="4"/>
  </r>
  <r>
    <n v="4"/>
    <x v="4"/>
  </r>
  <r>
    <n v="50"/>
    <x v="0"/>
  </r>
  <r>
    <n v="50"/>
    <x v="5"/>
  </r>
  <r>
    <n v="1"/>
    <x v="6"/>
  </r>
  <r>
    <n v="10"/>
    <x v="4"/>
  </r>
  <r>
    <m/>
    <x v="7"/>
  </r>
  <r>
    <m/>
    <x v="8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s v="Harvey Norman Broadway"/>
    <n v="3750"/>
  </r>
  <r>
    <x v="1"/>
    <x v="1"/>
    <s v="Harvey Norman Broadway"/>
    <n v="2885"/>
  </r>
  <r>
    <x v="2"/>
    <x v="1"/>
    <s v="Harvey Norman Broadway"/>
    <n v="2885"/>
  </r>
  <r>
    <x v="3"/>
    <x v="2"/>
    <s v="Harvey Norman Broadway"/>
    <n v="274"/>
  </r>
  <r>
    <x v="1"/>
    <x v="3"/>
    <s v="Harvey Norman Broadway"/>
    <n v="3750"/>
  </r>
  <r>
    <x v="4"/>
    <x v="4"/>
    <m/>
    <m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d v="2025-11-19T00:00:00"/>
    <n v="15"/>
    <x v="0"/>
    <x v="0"/>
    <n v="125"/>
    <n v="1875"/>
    <x v="0"/>
  </r>
  <r>
    <d v="2025-11-20T00:00:00"/>
    <n v="12"/>
    <x v="0"/>
    <x v="1"/>
    <n v="125"/>
    <n v="1500"/>
    <x v="1"/>
  </r>
  <r>
    <d v="2025-11-20T00:00:00"/>
    <n v="23"/>
    <x v="0"/>
    <x v="2"/>
    <n v="125"/>
    <n v="2875"/>
    <x v="2"/>
  </r>
  <r>
    <d v="2025-11-21T00:00:00"/>
    <n v="1"/>
    <x v="1"/>
    <x v="3"/>
    <n v="598"/>
    <n v="598"/>
    <x v="3"/>
  </r>
  <r>
    <d v="2025-11-21T00:00:00"/>
    <n v="5"/>
    <x v="2"/>
    <x v="4"/>
    <n v="509"/>
    <n v="2545"/>
    <x v="0"/>
  </r>
  <r>
    <d v="2025-11-21T00:00:00"/>
    <n v="6"/>
    <x v="3"/>
    <x v="4"/>
    <n v="659"/>
    <n v="3954"/>
    <x v="0"/>
  </r>
  <r>
    <d v="2025-11-21T00:00:00"/>
    <n v="3"/>
    <x v="3"/>
    <x v="4"/>
    <n v="659"/>
    <n v="1977"/>
    <x v="4"/>
  </r>
  <r>
    <d v="2025-11-21T00:00:00"/>
    <n v="7"/>
    <x v="2"/>
    <x v="4"/>
    <n v="509"/>
    <n v="3563"/>
    <x v="4"/>
  </r>
  <r>
    <d v="2025-11-21T00:00:00"/>
    <n v="5"/>
    <x v="4"/>
    <x v="4"/>
    <n v="659"/>
    <n v="3295"/>
    <x v="2"/>
  </r>
  <r>
    <d v="2025-11-21T00:00:00"/>
    <n v="9"/>
    <x v="5"/>
    <x v="4"/>
    <n v="509"/>
    <n v="4581"/>
    <x v="2"/>
  </r>
  <r>
    <d v="2025-11-21T00:00:00"/>
    <n v="8"/>
    <x v="5"/>
    <x v="4"/>
    <n v="509"/>
    <n v="4072"/>
    <x v="5"/>
  </r>
  <r>
    <d v="2025-11-28T00:00:00"/>
    <n v="6"/>
    <x v="6"/>
    <x v="5"/>
    <n v="419"/>
    <n v="2514"/>
    <x v="6"/>
  </r>
  <r>
    <d v="2025-11-28T00:00:00"/>
    <n v="10"/>
    <x v="7"/>
    <x v="5"/>
    <n v="125"/>
    <n v="1250"/>
    <x v="7"/>
  </r>
  <r>
    <d v="2025-11-28T00:00:00"/>
    <n v="3"/>
    <x v="6"/>
    <x v="5"/>
    <n v="419"/>
    <n v="1257"/>
    <x v="8"/>
  </r>
  <r>
    <d v="2025-11-28T00:00:00"/>
    <n v="2"/>
    <x v="6"/>
    <x v="5"/>
    <n v="419"/>
    <n v="838"/>
    <x v="9"/>
  </r>
  <r>
    <d v="2025-11-29T00:00:00"/>
    <n v="1"/>
    <x v="8"/>
    <x v="6"/>
    <n v="399"/>
    <n v="399"/>
    <x v="9"/>
  </r>
  <r>
    <d v="2025-11-29T00:00:00"/>
    <n v="2"/>
    <x v="9"/>
    <x v="7"/>
    <n v="398"/>
    <n v="796"/>
    <x v="10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  <r>
    <m/>
    <m/>
    <x v="10"/>
    <x v="8"/>
    <m/>
    <m/>
    <x v="1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5">
  <r>
    <d v="2025-11-03T00:00:00"/>
    <n v="10"/>
    <x v="0"/>
    <s v="DJI Macquarie Park"/>
    <n v="410"/>
    <n v="4100"/>
    <s v="Collected 03-11"/>
    <d v="2025-11-05T00:00:00"/>
    <x v="0"/>
  </r>
  <r>
    <d v="2025-11-03T00:00:00"/>
    <n v="7"/>
    <x v="1"/>
    <s v="Good Guys Blacktown"/>
    <n v="150"/>
    <n v="1050"/>
    <s v="Collected 03-11"/>
    <d v="2025-11-05T00:00:00"/>
    <x v="0"/>
  </r>
  <r>
    <d v="2025-11-02T00:00:00"/>
    <n v="4"/>
    <x v="2"/>
    <s v="Good Guys Auburn"/>
    <n v="150"/>
    <n v="600"/>
    <s v="Collected 02-11"/>
    <d v="2025-11-05T00:00:00"/>
    <x v="0"/>
  </r>
  <r>
    <d v="2025-11-02T00:00:00"/>
    <n v="4"/>
    <x v="1"/>
    <s v="Good Guys Auburn"/>
    <n v="150"/>
    <n v="600"/>
    <s v="Collected 02-11"/>
    <d v="2025-11-05T00:00:00"/>
    <x v="0"/>
  </r>
  <r>
    <d v="2025-11-04T00:00:00"/>
    <n v="20"/>
    <x v="3"/>
    <s v="Harvey Norman Moorepark"/>
    <n v="1063"/>
    <n v="21260"/>
    <s v="Collected 04-11"/>
    <d v="2025-11-05T00:00:00"/>
    <x v="1"/>
  </r>
  <r>
    <d v="2025-11-04T00:00:00"/>
    <n v="12"/>
    <x v="4"/>
    <s v="Harvey Norman Broadway"/>
    <n v="3375"/>
    <n v="40500"/>
    <s v="Collected 04-11"/>
    <d v="2025-11-05T00:00:00"/>
    <x v="0"/>
  </r>
  <r>
    <d v="2025-11-04T00:00:00"/>
    <n v="2"/>
    <x v="5"/>
    <s v="Harvey Norman Broadway"/>
    <n v="88"/>
    <n v="176"/>
    <s v="Collected 04-11"/>
    <d v="2025-11-05T00:00:00"/>
    <x v="2"/>
  </r>
  <r>
    <d v="2025-11-05T00:00:00"/>
    <n v="30"/>
    <x v="6"/>
    <s v="DJI Macquarie Park"/>
    <n v="410"/>
    <n v="12300"/>
    <s v="Collected 11 NOV"/>
    <d v="2025-11-18T00:00:00"/>
    <x v="0"/>
  </r>
  <r>
    <d v="2025-11-08T00:00:00"/>
    <n v="1"/>
    <x v="7"/>
    <s v="Bunnings Northmead"/>
    <n v="450"/>
    <n v="450"/>
    <s v="Collected "/>
    <d v="2025-11-18T00:00:00"/>
    <x v="0"/>
  </r>
  <r>
    <d v="2025-11-08T00:00:00"/>
    <n v="1"/>
    <x v="7"/>
    <s v="Bunnings Seven Hills"/>
    <n v="450"/>
    <n v="450"/>
    <s v="Collected "/>
    <d v="2025-11-18T00:00:00"/>
    <x v="0"/>
  </r>
  <r>
    <d v="2025-11-08T00:00:00"/>
    <n v="4"/>
    <x v="7"/>
    <s v="Bunnings Carlingford"/>
    <n v="450"/>
    <n v="1800"/>
    <s v="Collected "/>
    <d v="2025-11-18T00:00:00"/>
    <x v="0"/>
  </r>
  <r>
    <d v="2025-11-08T00:00:00"/>
    <n v="5"/>
    <x v="7"/>
    <s v="Bunnings Rydalmere"/>
    <n v="450"/>
    <n v="2250"/>
    <s v="Collected "/>
    <d v="2025-11-18T00:00:00"/>
    <x v="0"/>
  </r>
  <r>
    <d v="2025-11-08T00:00:00"/>
    <n v="11"/>
    <x v="7"/>
    <s v="Bunnings Gladesville"/>
    <n v="450"/>
    <n v="4950"/>
    <s v="Collected "/>
    <d v="2025-11-18T00:00:00"/>
    <x v="0"/>
  </r>
  <r>
    <d v="2025-11-09T00:00:00"/>
    <n v="10"/>
    <x v="7"/>
    <s v="Bunnings Thornleigh"/>
    <n v="450"/>
    <n v="4500"/>
    <s v="Collected "/>
    <d v="2025-11-18T00:00:00"/>
    <x v="0"/>
  </r>
  <r>
    <d v="2025-11-09T00:00:00"/>
    <n v="1"/>
    <x v="8"/>
    <s v="Harvey Norman Castle Hills"/>
    <n v="1358"/>
    <n v="1358"/>
    <s v="Collected "/>
    <d v="2025-11-18T00:00:00"/>
    <x v="3"/>
  </r>
  <r>
    <d v="2025-11-09T00:00:00"/>
    <n v="2"/>
    <x v="9"/>
    <s v="Officeworks Castle Hills"/>
    <n v="1403"/>
    <n v="2806"/>
    <s v="Collected "/>
    <d v="2025-11-18T00:00:00"/>
    <x v="0"/>
  </r>
  <r>
    <d v="2025-11-09T00:00:00"/>
    <n v="1"/>
    <x v="7"/>
    <s v="Officeworks Castle Hills"/>
    <n v="474"/>
    <n v="474"/>
    <s v="Collected "/>
    <d v="2025-11-18T00:00:00"/>
    <x v="0"/>
  </r>
  <r>
    <d v="2025-11-09T00:00:00"/>
    <n v="1"/>
    <x v="9"/>
    <s v="Office Works Northmead"/>
    <n v="1403"/>
    <n v="1403"/>
    <s v="Collected"/>
    <d v="2025-11-18T00:00:00"/>
    <x v="0"/>
  </r>
  <r>
    <d v="2025-11-09T00:00:00"/>
    <n v="1"/>
    <x v="9"/>
    <s v="Office Works Northmead"/>
    <n v="1403"/>
    <n v="1403"/>
    <s v="Collected 15-11"/>
    <d v="2025-11-18T00:00:00"/>
    <x v="0"/>
  </r>
  <r>
    <d v="2025-11-09T00:00:00"/>
    <n v="2"/>
    <x v="7"/>
    <s v="Bunnings Northmead"/>
    <n v="450"/>
    <n v="900"/>
    <s v="Collected"/>
    <d v="2025-11-18T00:00:00"/>
    <x v="0"/>
  </r>
  <r>
    <d v="2025-11-09T00:00:00"/>
    <n v="1"/>
    <x v="9"/>
    <s v="Officeworks Wentworthville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1"/>
    <x v="9"/>
    <s v="Officeworks Wetherhill park"/>
    <n v="1403"/>
    <n v="1403"/>
    <s v="Collected"/>
    <d v="2025-11-18T00:00:00"/>
    <x v="0"/>
  </r>
  <r>
    <d v="2025-11-09T00:00:00"/>
    <n v="5"/>
    <x v="7"/>
    <s v="Bunnings Smithfield"/>
    <n v="450"/>
    <n v="2250"/>
    <s v="Collected"/>
    <d v="2025-11-21T00:00:00"/>
    <x v="0"/>
  </r>
  <r>
    <d v="2025-11-09T00:00:00"/>
    <n v="3"/>
    <x v="8"/>
    <s v="Harvey Norman Fyshwick"/>
    <n v="1358"/>
    <n v="4074"/>
    <s v="Collected 21-11"/>
    <d v="2025-11-21T00:00:00"/>
    <x v="3"/>
  </r>
  <r>
    <d v="2025-11-09T00:00:00"/>
    <n v="3"/>
    <x v="9"/>
    <s v="Harvey Norman Fyshwick"/>
    <n v="1477"/>
    <n v="4431"/>
    <s v="Collected 21-11"/>
    <d v="2025-11-21T00:00:00"/>
    <x v="3"/>
  </r>
  <r>
    <d v="2025-11-09T00:00:00"/>
    <n v="5"/>
    <x v="6"/>
    <s v="DJI Macquarie Park"/>
    <n v="410"/>
    <n v="2050"/>
    <s v="Collected/ 2 shipped"/>
    <d v="2025-11-18T00:00:00"/>
    <x v="0"/>
  </r>
  <r>
    <d v="2025-11-11T00:00:00"/>
    <n v="30"/>
    <x v="6"/>
    <s v="DJI Macquarie Park"/>
    <n v="410"/>
    <n v="12300"/>
    <s v="Collected 17-11"/>
    <d v="2025-11-18T00:00:00"/>
    <x v="0"/>
  </r>
  <r>
    <d v="2025-11-11T00:00:00"/>
    <n v="5"/>
    <x v="10"/>
    <s v="DJI Macquarie Park"/>
    <n v="1400"/>
    <n v="7000"/>
    <s v="Collected 17-11"/>
    <d v="2025-11-18T00:00:00"/>
    <x v="0"/>
  </r>
  <r>
    <d v="2025-11-11T00:00:00"/>
    <n v="5"/>
    <x v="11"/>
    <s v="DJI Macquarie Park"/>
    <n v="2500"/>
    <n v="12500"/>
    <s v="Collected 17-11"/>
    <d v="2025-11-18T00:00:00"/>
    <x v="0"/>
  </r>
  <r>
    <d v="2025-11-11T00:00:00"/>
    <n v="10"/>
    <x v="12"/>
    <s v="DJI Macquarie Park"/>
    <n v="3300"/>
    <n v="33000"/>
    <s v="Collected 17-11"/>
    <d v="2025-11-18T00:00:00"/>
    <x v="0"/>
  </r>
  <r>
    <d v="2025-11-17T00:00:00"/>
    <n v="9"/>
    <x v="13"/>
    <s v="Harvey Norman Fyshwick"/>
    <n v="625"/>
    <n v="5625"/>
    <s v="Colledted 20-11"/>
    <d v="2025-11-21T00:00:00"/>
    <x v="3"/>
  </r>
  <r>
    <d v="2025-11-17T00:00:00"/>
    <n v="1"/>
    <x v="14"/>
    <s v="ASIC"/>
    <n v="329"/>
    <n v="329"/>
    <m/>
    <m/>
    <x v="0"/>
  </r>
  <r>
    <d v="2025-11-17T00:00:00"/>
    <n v="1"/>
    <x v="15"/>
    <s v="Megatop"/>
    <n v="5000"/>
    <n v="5000"/>
    <m/>
    <m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Bankstown"/>
    <n v="454"/>
    <n v="908"/>
    <s v="Delivered 20-11"/>
    <d v="2025-11-21T00:00:00"/>
    <x v="0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1-11"/>
    <m/>
    <x v="4"/>
  </r>
  <r>
    <d v="2025-11-18T00:00:00"/>
    <n v="2"/>
    <x v="16"/>
    <s v="JBHIFI Roselands"/>
    <n v="454"/>
    <n v="908"/>
    <s v="Delivered 24-11"/>
    <m/>
    <x v="4"/>
  </r>
  <r>
    <d v="2025-11-18T00:00:00"/>
    <n v="3"/>
    <x v="1"/>
    <s v="JBHIFI Roselands"/>
    <n v="130"/>
    <n v="390"/>
    <s v="Collected"/>
    <d v="2025-11-21T00:00:00"/>
    <x v="0"/>
  </r>
  <r>
    <d v="2025-11-19T00:00:00"/>
    <n v="6"/>
    <x v="1"/>
    <s v="JBHIFI Roselands"/>
    <n v="130"/>
    <n v="780"/>
    <s v="Collected"/>
    <d v="2025-11-21T00:00:00"/>
    <x v="0"/>
  </r>
  <r>
    <d v="2025-11-19T00:00:00"/>
    <n v="10"/>
    <x v="17"/>
    <s v="JBHIFI Roselands"/>
    <n v="39"/>
    <n v="390"/>
    <s v="Collected"/>
    <d v="2025-11-21T00:00:00"/>
    <x v="0"/>
  </r>
  <r>
    <d v="2025-11-19T00:00:00"/>
    <n v="6"/>
    <x v="18"/>
    <s v="JBHIFI Roselands"/>
    <n v="779"/>
    <n v="4674"/>
    <s v="Collected"/>
    <d v="2025-11-21T00:00:00"/>
    <x v="0"/>
  </r>
  <r>
    <d v="2025-11-19T00:00:00"/>
    <n v="6"/>
    <x v="19"/>
    <s v="JBHIFI Roselands"/>
    <n v="594"/>
    <n v="3564"/>
    <s v="Collected"/>
    <d v="2025-11-21T00:00:00"/>
    <x v="0"/>
  </r>
  <r>
    <d v="2025-11-19T00:00:00"/>
    <n v="3"/>
    <x v="19"/>
    <s v="JBHIFI Roselands"/>
    <n v="594"/>
    <n v="1782"/>
    <s v="Collected Parramatta"/>
    <d v="2025-11-21T00:00:00"/>
    <x v="0"/>
  </r>
  <r>
    <d v="2025-11-19T00:00:00"/>
    <n v="4"/>
    <x v="16"/>
    <s v="JBHIFI Roselands"/>
    <n v="454"/>
    <n v="1816"/>
    <s v="Delivered 24-11"/>
    <m/>
    <x v="4"/>
  </r>
  <r>
    <d v="2025-11-19T00:00:00"/>
    <n v="10"/>
    <x v="20"/>
    <s v="DJI Macquarie Park"/>
    <n v="777"/>
    <n v="7770"/>
    <s v="Collected 29-11"/>
    <m/>
    <x v="0"/>
  </r>
  <r>
    <d v="2025-11-19T00:00:00"/>
    <n v="10"/>
    <x v="10"/>
    <s v="DJI Macquarie Park"/>
    <n v="1400"/>
    <n v="14000"/>
    <s v="Collected 29-11"/>
    <m/>
    <x v="0"/>
  </r>
  <r>
    <d v="2025-11-19T00:00:00"/>
    <n v="7"/>
    <x v="19"/>
    <s v="JBHIFI Bankstown"/>
    <n v="559"/>
    <n v="3913"/>
    <s v="Collected"/>
    <d v="2025-11-21T00:00:00"/>
    <x v="0"/>
  </r>
  <r>
    <d v="2025-11-19T00:00:00"/>
    <n v="6"/>
    <x v="21"/>
    <s v="JBHIFI Bankstown"/>
    <n v="779"/>
    <n v="4674"/>
    <s v="Collected"/>
    <d v="2025-11-21T00:00:00"/>
    <x v="0"/>
  </r>
  <r>
    <d v="2025-11-19T00:00:00"/>
    <n v="4"/>
    <x v="2"/>
    <s v="JBHIFI Bankstown"/>
    <n v="125"/>
    <n v="500"/>
    <s v="Collected"/>
    <d v="2025-11-21T00:00:00"/>
    <x v="0"/>
  </r>
  <r>
    <d v="2025-11-19T00:00:00"/>
    <n v="1"/>
    <x v="22"/>
    <s v="Eb Games Parramatta"/>
    <n v="699"/>
    <n v="699"/>
    <s v="Collected 20-11"/>
    <d v="2025-11-21T00:00:00"/>
    <x v="0"/>
  </r>
  <r>
    <d v="2025-11-19T00:00:00"/>
    <n v="15"/>
    <x v="2"/>
    <s v="Good Guys Auburn"/>
    <n v="125"/>
    <n v="1875"/>
    <s v="Collected 02-12"/>
    <m/>
    <x v="0"/>
  </r>
  <r>
    <d v="2025-11-20T00:00:00"/>
    <n v="12"/>
    <x v="2"/>
    <s v="Good Guys Wetherill Park"/>
    <n v="125"/>
    <n v="1500"/>
    <s v="Collected 01-12"/>
    <m/>
    <x v="0"/>
  </r>
  <r>
    <d v="2025-11-20T00:00:00"/>
    <n v="23"/>
    <x v="2"/>
    <s v="Good Guys Casula"/>
    <n v="125"/>
    <n v="2875"/>
    <s v="22 Units Collected 30-11"/>
    <m/>
    <x v="5"/>
  </r>
  <r>
    <d v="2025-11-20T00:00:00"/>
    <n v="1"/>
    <x v="22"/>
    <s v="Eb Games Parramatta"/>
    <n v="699"/>
    <n v="699"/>
    <s v="Collected 20-11"/>
    <d v="2025-11-21T00:00:00"/>
    <x v="0"/>
  </r>
  <r>
    <d v="2025-11-20T00:00:00"/>
    <n v="2"/>
    <x v="23"/>
    <s v="JBHIFI Parramatta"/>
    <n v="2100"/>
    <n v="42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2"/>
    <x v="24"/>
    <s v="JBHIFI Merrylands"/>
    <n v="2100"/>
    <n v="4200"/>
    <s v="Colected 21-11"/>
    <d v="2025-11-21T00:00:00"/>
    <x v="0"/>
  </r>
  <r>
    <d v="2025-11-20T00:00:00"/>
    <n v="5"/>
    <x v="25"/>
    <s v="JBHIFI Parramatta"/>
    <n v="574"/>
    <n v="2870"/>
    <s v="Collected"/>
    <d v="2025-11-21T00:00:00"/>
    <x v="0"/>
  </r>
  <r>
    <d v="2025-11-20T00:00:00"/>
    <n v="10"/>
    <x v="26"/>
    <s v="JBHIFI Parramatta"/>
    <n v="103"/>
    <n v="1030"/>
    <s v="Collected"/>
    <d v="2025-11-21T00:00:00"/>
    <x v="0"/>
  </r>
  <r>
    <d v="2025-11-20T00:00:00"/>
    <n v="3"/>
    <x v="2"/>
    <s v="JBHIFI Parramatta"/>
    <n v="125"/>
    <n v="375"/>
    <s v="Collected"/>
    <d v="2025-11-21T00:00:00"/>
    <x v="0"/>
  </r>
  <r>
    <d v="2025-11-20T00:00:00"/>
    <n v="3"/>
    <x v="23"/>
    <s v="JBHIFI Parramatta"/>
    <n v="2100"/>
    <n v="6300"/>
    <s v="Collected"/>
    <d v="2025-11-21T00:00:00"/>
    <x v="0"/>
  </r>
  <r>
    <d v="2025-11-20T00:00:00"/>
    <n v="3"/>
    <x v="24"/>
    <s v="JBHIFI Parramatta"/>
    <n v="2100"/>
    <n v="6300"/>
    <s v="Collected"/>
    <d v="2025-11-21T00:00:00"/>
    <x v="0"/>
  </r>
  <r>
    <d v="2025-11-20T00:00:00"/>
    <n v="12"/>
    <x v="7"/>
    <s v="Bunnings(Mix old P)"/>
    <n v="449"/>
    <n v="5388"/>
    <s v="Collected"/>
    <d v="2025-11-21T00:00:00"/>
    <x v="0"/>
  </r>
  <r>
    <d v="2025-11-21T00:00:00"/>
    <n v="4"/>
    <x v="23"/>
    <s v="JBHIFI Parramatta"/>
    <n v="2100"/>
    <n v="8400"/>
    <s v="Collected"/>
    <d v="2025-11-21T00:00:00"/>
    <x v="0"/>
  </r>
  <r>
    <d v="2025-11-21T00:00:00"/>
    <n v="6"/>
    <x v="23"/>
    <s v="JBHIFI Hurstville"/>
    <n v="2100"/>
    <n v="12600"/>
    <s v="Collected"/>
    <d v="2025-11-21T00:00:00"/>
    <x v="0"/>
  </r>
  <r>
    <d v="2025-11-21T00:00:00"/>
    <n v="6"/>
    <x v="24"/>
    <s v="JBHIFI Hurstville"/>
    <n v="2100"/>
    <n v="12600"/>
    <s v="Collected"/>
    <d v="2025-11-21T00:00:00"/>
    <x v="0"/>
  </r>
  <r>
    <d v="2025-11-21T00:00:00"/>
    <n v="16"/>
    <x v="7"/>
    <s v="Megatop"/>
    <s v="TBC"/>
    <n v="0"/>
    <s v="Collected"/>
    <d v="2025-11-21T00:00:00"/>
    <x v="0"/>
  </r>
  <r>
    <d v="2025-11-21T00:00:00"/>
    <n v="5"/>
    <x v="7"/>
    <s v="Megatop"/>
    <n v="0"/>
    <n v="0"/>
    <s v="Collected"/>
    <d v="2025-11-21T00:00:00"/>
    <x v="6"/>
  </r>
  <r>
    <d v="2025-11-21T00:00:00"/>
    <n v="20"/>
    <x v="7"/>
    <s v="Bunnings Lidcomb"/>
    <n v="399"/>
    <n v="7980"/>
    <s v="Collected"/>
    <d v="2025-11-24T00:00:00"/>
    <x v="0"/>
  </r>
  <r>
    <d v="2025-11-21T00:00:00"/>
    <n v="9"/>
    <x v="7"/>
    <s v="Bunnings Gladesville"/>
    <n v="399"/>
    <n v="3591"/>
    <s v="Collected"/>
    <d v="2025-11-24T00:00:00"/>
    <x v="0"/>
  </r>
  <r>
    <d v="2025-11-21T00:00:00"/>
    <n v="3"/>
    <x v="27"/>
    <s v="Ebgames Online"/>
    <n v="609.95000000000005"/>
    <n v="1829.8500000000001"/>
    <s v="Delivered 22-11"/>
    <m/>
    <x v="4"/>
  </r>
  <r>
    <d v="2025-11-21T00:00:00"/>
    <n v="1"/>
    <x v="27"/>
    <s v="Ebgames Online"/>
    <n v="598"/>
    <n v="598"/>
    <s v="Pending Collection Broadway"/>
    <m/>
    <x v="0"/>
  </r>
  <r>
    <d v="2025-11-21T00:00:00"/>
    <n v="1"/>
    <x v="28"/>
    <s v="Ebgames Parramatta"/>
    <n v="598"/>
    <n v="598"/>
    <s v="Collected 21-11"/>
    <d v="2025-11-21T00:00:00"/>
    <x v="0"/>
  </r>
  <r>
    <d v="2025-11-21T00:00:00"/>
    <n v="5"/>
    <x v="29"/>
    <s v="Good Guys "/>
    <n v="509"/>
    <n v="2545"/>
    <s v="Collected 02-12"/>
    <m/>
    <x v="0"/>
  </r>
  <r>
    <d v="2025-11-21T00:00:00"/>
    <n v="6"/>
    <x v="30"/>
    <s v="Good Guys "/>
    <n v="659"/>
    <n v="3954"/>
    <s v="Collected 02-12"/>
    <m/>
    <x v="0"/>
  </r>
  <r>
    <d v="2025-11-21T00:00:00"/>
    <n v="3"/>
    <x v="30"/>
    <s v="Good Guys "/>
    <n v="659"/>
    <n v="1977"/>
    <s v="Collected 01-12"/>
    <m/>
    <x v="0"/>
  </r>
  <r>
    <d v="2025-11-21T00:00:00"/>
    <n v="7"/>
    <x v="29"/>
    <s v="Good Guys "/>
    <n v="509"/>
    <n v="3563"/>
    <s v="5 Units Collected 01-13"/>
    <m/>
    <x v="7"/>
  </r>
  <r>
    <d v="2025-11-21T00:00:00"/>
    <n v="5"/>
    <x v="31"/>
    <s v="Good Guys "/>
    <n v="659"/>
    <n v="3295"/>
    <s v="Casula (Colledted 30-11)"/>
    <m/>
    <x v="0"/>
  </r>
  <r>
    <d v="2025-11-21T00:00:00"/>
    <n v="9"/>
    <x v="32"/>
    <s v="Good Guys "/>
    <n v="509"/>
    <n v="4581"/>
    <s v="Casula (Colledted 30-11)"/>
    <m/>
    <x v="0"/>
  </r>
  <r>
    <d v="2025-11-21T00:00:00"/>
    <n v="8"/>
    <x v="32"/>
    <s v="Good Guys "/>
    <n v="509"/>
    <n v="4072"/>
    <s v="Campbelltown (7 Units Collected)"/>
    <m/>
    <x v="8"/>
  </r>
  <r>
    <d v="2025-11-23T00:00:00"/>
    <n v="14"/>
    <x v="7"/>
    <s v="Bunnings Leppington"/>
    <n v="398"/>
    <n v="5572"/>
    <s v="Collected"/>
    <d v="2025-11-24T00:00:00"/>
    <x v="0"/>
  </r>
  <r>
    <d v="2025-11-23T00:00:00"/>
    <n v="5"/>
    <x v="7"/>
    <s v="Bunnings Northmead"/>
    <n v="398"/>
    <n v="1990"/>
    <s v="Collected"/>
    <d v="2025-11-24T00:00:00"/>
    <x v="0"/>
  </r>
  <r>
    <d v="2025-11-23T00:00:00"/>
    <n v="27"/>
    <x v="7"/>
    <s v="Bunnings Seven Hills"/>
    <n v="398"/>
    <n v="10746"/>
    <s v="Collected"/>
    <d v="2025-11-24T00:00:00"/>
    <x v="0"/>
  </r>
  <r>
    <d v="2025-11-23T00:00:00"/>
    <n v="20"/>
    <x v="7"/>
    <s v="Bunnings Minchinbury"/>
    <n v="398"/>
    <n v="7960"/>
    <s v="Collected"/>
    <d v="2025-11-24T00:00:00"/>
    <x v="0"/>
  </r>
  <r>
    <d v="2025-11-23T00:00:00"/>
    <n v="12"/>
    <x v="7"/>
    <s v="Bunnings Blacktown"/>
    <n v="398"/>
    <n v="4776"/>
    <s v="Collected"/>
    <d v="2025-11-24T00:00:00"/>
    <x v="0"/>
  </r>
  <r>
    <d v="2025-11-23T00:00:00"/>
    <n v="19"/>
    <x v="7"/>
    <s v="Bunnings Hoxton park"/>
    <n v="398"/>
    <n v="7562"/>
    <s v="Collected"/>
    <d v="2025-11-24T00:00:00"/>
    <x v="0"/>
  </r>
  <r>
    <d v="2025-11-23T00:00:00"/>
    <n v="10"/>
    <x v="7"/>
    <s v="Bunnings North Penrith"/>
    <n v="398"/>
    <n v="3980"/>
    <s v="Collected"/>
    <d v="2025-11-24T00:00:00"/>
    <x v="0"/>
  </r>
  <r>
    <d v="2025-11-23T00:00:00"/>
    <n v="17"/>
    <x v="7"/>
    <s v="Bunnings Penrith"/>
    <n v="398"/>
    <n v="6766"/>
    <s v="Collected"/>
    <d v="2025-11-24T00:00:00"/>
    <x v="0"/>
  </r>
  <r>
    <d v="2025-11-24T00:00:00"/>
    <n v="27"/>
    <x v="7"/>
    <s v="Bunnings Bankstown"/>
    <n v="398"/>
    <n v="10746"/>
    <s v="Collected"/>
    <d v="2025-11-24T00:00:00"/>
    <x v="0"/>
  </r>
  <r>
    <d v="2025-11-24T00:00:00"/>
    <n v="11"/>
    <x v="7"/>
    <s v="Bunnings Bankstown"/>
    <n v="398"/>
    <n v="4378"/>
    <s v="Collected"/>
    <m/>
    <x v="4"/>
  </r>
  <r>
    <d v="2025-11-24T00:00:00"/>
    <n v="1"/>
    <x v="33"/>
    <s v="Anis Rental"/>
    <n v="105"/>
    <n v="105"/>
    <m/>
    <m/>
    <x v="9"/>
  </r>
  <r>
    <d v="2025-11-24T00:00:00"/>
    <n v="2"/>
    <x v="34"/>
    <s v="Digi Direct Parramatta"/>
    <n v="679"/>
    <n v="1358"/>
    <s v="Collected "/>
    <m/>
    <x v="1"/>
  </r>
  <r>
    <d v="2025-11-27T00:00:00"/>
    <n v="50"/>
    <x v="7"/>
    <s v="Bunnings Packenham"/>
    <n v="398"/>
    <n v="19900"/>
    <s v="Delivered 28-11"/>
    <m/>
    <x v="0"/>
  </r>
  <r>
    <d v="2025-11-27T00:00:00"/>
    <n v="1"/>
    <x v="35"/>
    <s v="Bunnings Packenham"/>
    <n v="200"/>
    <n v="200"/>
    <m/>
    <m/>
    <x v="9"/>
  </r>
  <r>
    <d v="2025-11-27T00:00:00"/>
    <n v="10"/>
    <x v="0"/>
    <s v="DJI Macquarie Park"/>
    <n v="410"/>
    <n v="4100"/>
    <s v="Collected 29-11"/>
    <m/>
    <x v="4"/>
  </r>
  <r>
    <d v="2025-11-28T00:00:00"/>
    <n v="6"/>
    <x v="0"/>
    <s v="JBHIFI Parramatta"/>
    <n v="419"/>
    <n v="2514"/>
    <s v="Macarthur Square (Collected 30-11)"/>
    <m/>
    <x v="4"/>
  </r>
  <r>
    <d v="2025-11-28T00:00:00"/>
    <n v="10"/>
    <x v="36"/>
    <s v="JBHIFI Parramatta"/>
    <n v="125"/>
    <n v="1250"/>
    <s v="Pending Collection TBC"/>
    <m/>
    <x v="0"/>
  </r>
  <r>
    <d v="2025-11-28T00:00:00"/>
    <n v="3"/>
    <x v="0"/>
    <s v="JBHIFI Parramatta"/>
    <n v="419"/>
    <n v="1257"/>
    <s v="Pending Collection Merrylands"/>
    <m/>
    <x v="0"/>
  </r>
  <r>
    <d v="2025-11-28T00:00:00"/>
    <n v="2"/>
    <x v="0"/>
    <s v="JBHIFI Parramatta"/>
    <n v="419"/>
    <n v="838"/>
    <s v="Pending Collection Parramatta"/>
    <m/>
    <x v="0"/>
  </r>
  <r>
    <d v="2025-11-29T00:00:00"/>
    <n v="1"/>
    <x v="29"/>
    <s v="Ebgames Macuarie Park"/>
    <n v="467"/>
    <n v="467"/>
    <s v="Collected"/>
    <m/>
    <x v="4"/>
  </r>
  <r>
    <d v="2025-11-29T00:00:00"/>
    <n v="2"/>
    <x v="29"/>
    <s v="JBHIFI Macquarie Park"/>
    <n v="479"/>
    <n v="958"/>
    <s v="Collected"/>
    <m/>
    <x v="4"/>
  </r>
  <r>
    <d v="2025-11-29T00:00:00"/>
    <n v="2"/>
    <x v="7"/>
    <s v="JBHIFI Macquarie Park"/>
    <n v="399"/>
    <n v="798"/>
    <s v="Collected"/>
    <m/>
    <x v="4"/>
  </r>
  <r>
    <d v="2025-11-29T00:00:00"/>
    <n v="3"/>
    <x v="0"/>
    <s v="JBHIFI Top Ryde"/>
    <n v="419"/>
    <n v="1257"/>
    <s v="Collected"/>
    <m/>
    <x v="4"/>
  </r>
  <r>
    <d v="2025-11-29T00:00:00"/>
    <n v="2"/>
    <x v="29"/>
    <s v="JBHIFI Top Ryde"/>
    <n v="479"/>
    <n v="958"/>
    <s v="Collected"/>
    <m/>
    <x v="4"/>
  </r>
  <r>
    <d v="2025-11-29T00:00:00"/>
    <n v="3"/>
    <x v="37"/>
    <s v="JBHIFI Top Ryde"/>
    <n v="105"/>
    <n v="315"/>
    <s v="Collected"/>
    <m/>
    <x v="4"/>
  </r>
  <r>
    <d v="2025-11-29T00:00:00"/>
    <n v="2"/>
    <x v="7"/>
    <s v="JBHIFI Top Ryde"/>
    <n v="299"/>
    <n v="598"/>
    <s v="Collected"/>
    <m/>
    <x v="4"/>
  </r>
  <r>
    <d v="2025-11-29T00:00:00"/>
    <n v="1"/>
    <x v="38"/>
    <s v="JBHIFI Top Ryde"/>
    <n v="399"/>
    <n v="399"/>
    <s v="Pending Collection Parramatta"/>
    <m/>
    <x v="0"/>
  </r>
  <r>
    <d v="2025-11-29T00:00:00"/>
    <n v="4"/>
    <x v="7"/>
    <s v="Office Works Guildford"/>
    <n v="398"/>
    <n v="1592"/>
    <s v="Collected"/>
    <m/>
    <x v="4"/>
  </r>
  <r>
    <d v="2025-11-29T00:00:00"/>
    <n v="2"/>
    <x v="7"/>
    <s v="Office Works Guildford"/>
    <n v="398"/>
    <n v="796"/>
    <s v=" Auburn Collected 02-12"/>
    <m/>
    <x v="4"/>
  </r>
  <r>
    <d v="2025-11-29T00:00:00"/>
    <n v="4"/>
    <x v="7"/>
    <s v="Bunnings Smithfield"/>
    <n v="398"/>
    <n v="1592"/>
    <s v="Collected"/>
    <m/>
    <x v="4"/>
  </r>
  <r>
    <d v="2025-11-29T00:00:00"/>
    <n v="3"/>
    <x v="7"/>
    <s v="Bunnings Villawood"/>
    <n v="398"/>
    <n v="1194"/>
    <s v="Collected"/>
    <m/>
    <x v="4"/>
  </r>
  <r>
    <d v="2025-11-29T00:00:00"/>
    <n v="5"/>
    <x v="7"/>
    <s v="Harvey Norman Fyshwick"/>
    <n v="398"/>
    <n v="1990"/>
    <s v="Pending Delivery"/>
    <m/>
    <x v="0"/>
  </r>
  <r>
    <d v="2025-11-29T00:00:00"/>
    <n v="35"/>
    <x v="7"/>
    <s v="Harvey Norman Fyshwick"/>
    <n v="0"/>
    <n v="0"/>
    <s v="$1000 Deposit Only"/>
    <m/>
    <x v="0"/>
  </r>
  <r>
    <d v="2025-11-30T00:00:00"/>
    <n v="18"/>
    <x v="7"/>
    <s v="Bunnings Campbelltown"/>
    <n v="398"/>
    <n v="7164"/>
    <s v="Collected"/>
    <m/>
    <x v="4"/>
  </r>
  <r>
    <d v="2025-11-30T00:00:00"/>
    <n v="9"/>
    <x v="7"/>
    <s v="Bunnings Gregory Hills"/>
    <n v="398"/>
    <n v="3582"/>
    <s v="Collected"/>
    <m/>
    <x v="4"/>
  </r>
  <r>
    <d v="2025-11-30T00:00:00"/>
    <n v="1"/>
    <x v="7"/>
    <s v="JBHIFI Macarthure Square"/>
    <n v="299"/>
    <n v="299"/>
    <s v="Collected"/>
    <m/>
    <x v="4"/>
  </r>
  <r>
    <d v="2025-11-30T00:00:00"/>
    <n v="2"/>
    <x v="29"/>
    <s v="JBHIFI Macarthure Square"/>
    <n v="479"/>
    <n v="958"/>
    <s v="Collected"/>
    <m/>
    <x v="4"/>
  </r>
  <r>
    <d v="2025-11-30T00:00:00"/>
    <n v="8"/>
    <x v="2"/>
    <s v="JBHIFI Macarthure Square"/>
    <n v="125"/>
    <n v="1000"/>
    <s v="Collected"/>
    <m/>
    <x v="4"/>
  </r>
  <r>
    <d v="2025-11-30T00:00:00"/>
    <n v="1"/>
    <x v="39"/>
    <s v="JBHIFI Macarthure Square"/>
    <n v="380"/>
    <n v="380"/>
    <s v="Collected"/>
    <m/>
    <x v="4"/>
  </r>
  <r>
    <d v="2025-11-30T00:00:00"/>
    <n v="1"/>
    <x v="6"/>
    <s v="JBHIFI Macarthure Square"/>
    <n v="419"/>
    <n v="419"/>
    <s v="Collected"/>
    <m/>
    <x v="4"/>
  </r>
  <r>
    <d v="2025-11-30T00:00:00"/>
    <n v="2"/>
    <x v="7"/>
    <s v="Office Works Gledswood"/>
    <n v="398"/>
    <n v="796"/>
    <s v="Collected"/>
    <m/>
    <x v="4"/>
  </r>
  <r>
    <d v="2025-11-30T00:00:00"/>
    <n v="2"/>
    <x v="7"/>
    <s v="Office Works Gledswood"/>
    <n v="398"/>
    <n v="796"/>
    <s v="Collected 01-12"/>
    <m/>
    <x v="4"/>
  </r>
  <r>
    <d v="2025-11-30T00:00:00"/>
    <n v="4"/>
    <x v="7"/>
    <s v="Office Works Casula"/>
    <n v="398"/>
    <n v="1592"/>
    <s v="Collected 01-12"/>
    <m/>
    <x v="4"/>
  </r>
  <r>
    <d v="2025-11-30T00:00:00"/>
    <n v="2"/>
    <x v="7"/>
    <s v="Office Works Casula"/>
    <n v="398"/>
    <n v="796"/>
    <s v="Collected"/>
    <m/>
    <x v="4"/>
  </r>
  <r>
    <d v="2025-11-30T00:00:00"/>
    <n v="3"/>
    <x v="7"/>
    <s v="JBHIFI Parramatta"/>
    <n v="299"/>
    <n v="897"/>
    <s v="Collected"/>
    <m/>
    <x v="4"/>
  </r>
  <r>
    <d v="2025-11-30T00:00:00"/>
    <n v="2"/>
    <x v="29"/>
    <s v="JBHIFI Parramatta"/>
    <n v="479"/>
    <n v="958"/>
    <s v="Collected"/>
    <m/>
    <x v="4"/>
  </r>
  <r>
    <d v="2025-11-30T00:00:00"/>
    <n v="8"/>
    <x v="2"/>
    <s v="JBHIFI Parramatta"/>
    <n v="125"/>
    <n v="1000"/>
    <s v="Collected"/>
    <m/>
    <x v="4"/>
  </r>
  <r>
    <d v="2025-11-30T00:00:00"/>
    <n v="7"/>
    <x v="38"/>
    <s v="JBHIFI Parramatta"/>
    <n v="380"/>
    <n v="2660"/>
    <s v="Collected"/>
    <m/>
    <x v="4"/>
  </r>
  <r>
    <d v="2025-11-30T00:00:00"/>
    <n v="3"/>
    <x v="6"/>
    <s v="JBHIFI Parramatta"/>
    <n v="410"/>
    <n v="1230"/>
    <s v="Pending Collection Macquarie Park"/>
    <m/>
    <x v="0"/>
  </r>
  <r>
    <d v="2025-11-30T00:00:00"/>
    <n v="47"/>
    <x v="7"/>
    <s v="Perth Waleed"/>
    <n v="398"/>
    <n v="18706"/>
    <s v="Collected Perth Waleed"/>
    <m/>
    <x v="10"/>
  </r>
  <r>
    <d v="2025-11-30T00:00:00"/>
    <n v="1"/>
    <x v="40"/>
    <s v="Waleed"/>
    <n v="470"/>
    <n v="470"/>
    <s v="Perth Collection"/>
    <m/>
    <x v="0"/>
  </r>
  <r>
    <d v="2025-11-30T00:00:00"/>
    <n v="1"/>
    <x v="15"/>
    <s v="Megatop"/>
    <n v="10122.66"/>
    <n v="10122.66"/>
    <s v="Megatop Shipping Charges"/>
    <m/>
    <x v="9"/>
  </r>
  <r>
    <m/>
    <m/>
    <x v="41"/>
    <m/>
    <m/>
    <m/>
    <m/>
    <m/>
    <x v="0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">
  <r>
    <x v="0"/>
    <x v="0"/>
    <x v="0"/>
    <s v="BCF Wetherill Park"/>
    <n v="399"/>
    <n v="798"/>
    <s v=" Auburn Collected 02-12"/>
    <m/>
    <x v="0"/>
  </r>
  <r>
    <x v="0"/>
    <x v="0"/>
    <x v="0"/>
    <s v="Office Works Wetherill park"/>
    <n v="398"/>
    <n v="796"/>
    <s v="Collected"/>
    <m/>
    <x v="0"/>
  </r>
  <r>
    <x v="0"/>
    <x v="0"/>
    <x v="1"/>
    <s v="JBHIFI Parramatta"/>
    <n v="479"/>
    <n v="958"/>
    <s v="Pending Collection Bankstown"/>
    <m/>
    <x v="1"/>
  </r>
  <r>
    <x v="0"/>
    <x v="0"/>
    <x v="0"/>
    <s v="JBHIFI Parramatta"/>
    <n v="299"/>
    <n v="598"/>
    <s v="Pending Collection Bankstown"/>
    <m/>
    <x v="1"/>
  </r>
  <r>
    <x v="0"/>
    <x v="1"/>
    <x v="2"/>
    <s v="JBHIFI Parramatta"/>
    <n v="419"/>
    <n v="1257"/>
    <s v="Pending Collection Bankstown"/>
    <m/>
    <x v="1"/>
  </r>
  <r>
    <x v="0"/>
    <x v="2"/>
    <x v="3"/>
    <s v="JBHIFI Parramatta"/>
    <n v="125"/>
    <n v="1250"/>
    <s v="Pending Collection Bankstown"/>
    <m/>
    <x v="1"/>
  </r>
  <r>
    <x v="0"/>
    <x v="0"/>
    <x v="1"/>
    <s v="JBHIFI Parramatta"/>
    <n v="479"/>
    <n v="958"/>
    <s v="Collected 03-12"/>
    <m/>
    <x v="1"/>
  </r>
  <r>
    <x v="0"/>
    <x v="3"/>
    <x v="0"/>
    <s v="JBHIFI Parramatta"/>
    <n v="299"/>
    <n v="299"/>
    <s v="Collected 03-12"/>
    <m/>
    <x v="1"/>
  </r>
  <r>
    <x v="0"/>
    <x v="1"/>
    <x v="2"/>
    <s v="JBHIFI Parramatta"/>
    <n v="419"/>
    <n v="1257"/>
    <s v="Collected 03-12"/>
    <m/>
    <x v="1"/>
  </r>
  <r>
    <x v="0"/>
    <x v="3"/>
    <x v="4"/>
    <s v="Good Guys Auburn"/>
    <n v="659"/>
    <n v="659"/>
    <s v="Collected 02-12"/>
    <m/>
    <x v="0"/>
  </r>
  <r>
    <x v="0"/>
    <x v="3"/>
    <x v="5"/>
    <s v="Good Guys Auburn"/>
    <n v="509"/>
    <n v="509"/>
    <s v="Collected 02-12"/>
    <m/>
    <x v="0"/>
  </r>
  <r>
    <x v="0"/>
    <x v="4"/>
    <x v="0"/>
    <s v="Bunnings Perth"/>
    <n v="398"/>
    <n v="4776"/>
    <s v="Pending Delivery Waleed"/>
    <m/>
    <x v="2"/>
  </r>
  <r>
    <x v="1"/>
    <x v="0"/>
    <x v="0"/>
    <s v="Office Works Auburn"/>
    <n v="398"/>
    <n v="796"/>
    <s v="Collected"/>
    <m/>
    <x v="0"/>
  </r>
  <r>
    <x v="1"/>
    <x v="0"/>
    <x v="0"/>
    <s v="BCF Auburn"/>
    <n v="398"/>
    <n v="796"/>
    <s v="Collected"/>
    <m/>
    <x v="0"/>
  </r>
  <r>
    <x v="1"/>
    <x v="3"/>
    <x v="0"/>
    <s v="Bunnings Perth"/>
    <n v="398"/>
    <n v="398"/>
    <s v="Pending Delivery Waleed"/>
    <m/>
    <x v="2"/>
  </r>
  <r>
    <x v="1"/>
    <x v="3"/>
    <x v="6"/>
    <s v="Waleed"/>
    <n v="130"/>
    <n v="130"/>
    <s v="Perth Collection"/>
    <m/>
    <x v="1"/>
  </r>
  <r>
    <x v="1"/>
    <x v="5"/>
    <x v="7"/>
    <s v="JBHIFI Parramatta Adil"/>
    <n v="105"/>
    <n v="525"/>
    <s v="Delivered 02-12"/>
    <m/>
    <x v="0"/>
  </r>
  <r>
    <x v="1"/>
    <x v="0"/>
    <x v="0"/>
    <s v="JBHIFI Parramatta Adil"/>
    <n v="299"/>
    <n v="598"/>
    <s v="Delivered 02-12"/>
    <m/>
    <x v="0"/>
  </r>
  <r>
    <x v="1"/>
    <x v="6"/>
    <x v="3"/>
    <s v="JBHIFI Parramatta Adil"/>
    <n v="125"/>
    <n v="500"/>
    <s v="Delivered 02-12"/>
    <m/>
    <x v="1"/>
  </r>
  <r>
    <x v="1"/>
    <x v="0"/>
    <x v="8"/>
    <s v="JBHIFI Parramatta Adil"/>
    <n v="479"/>
    <n v="958"/>
    <s v="Delivered 02-12"/>
    <m/>
    <x v="0"/>
  </r>
  <r>
    <x v="1"/>
    <x v="3"/>
    <x v="0"/>
    <s v="JBHIFI Homebush Adil"/>
    <n v="299"/>
    <n v="299"/>
    <s v="Delivered 02-12"/>
    <m/>
    <x v="0"/>
  </r>
  <r>
    <x v="1"/>
    <x v="0"/>
    <x v="9"/>
    <s v="JBHIFI Homebush Adil"/>
    <n v="478"/>
    <n v="956"/>
    <s v="Delivered 02-12"/>
    <m/>
    <x v="0"/>
  </r>
  <r>
    <x v="1"/>
    <x v="1"/>
    <x v="0"/>
    <s v="BCF Adil"/>
    <n v="399"/>
    <n v="1197"/>
    <s v="Delivered 02-12"/>
    <m/>
    <x v="0"/>
  </r>
  <r>
    <x v="2"/>
    <x v="4"/>
    <x v="0"/>
    <s v="Bunnings Castle Hills"/>
    <n v="398"/>
    <n v="4776"/>
    <s v="Collected "/>
    <m/>
    <x v="0"/>
  </r>
  <r>
    <x v="2"/>
    <x v="3"/>
    <x v="10"/>
    <s v="EB Games Roselands"/>
    <n v="598"/>
    <n v="598"/>
    <s v="Collected "/>
    <m/>
    <x v="1"/>
  </r>
  <r>
    <x v="2"/>
    <x v="7"/>
    <x v="7"/>
    <s v="JBHIFI Roselands"/>
    <n v="103"/>
    <n v="618"/>
    <s v="Collected "/>
    <m/>
    <x v="1"/>
  </r>
  <r>
    <x v="2"/>
    <x v="0"/>
    <x v="10"/>
    <s v="JBHIFI Roselands"/>
    <n v="629"/>
    <n v="1258"/>
    <s v="Collected "/>
    <m/>
    <x v="1"/>
  </r>
  <r>
    <x v="2"/>
    <x v="3"/>
    <x v="11"/>
    <s v="JBHIFI Roselands"/>
    <n v="69"/>
    <n v="69"/>
    <s v="Collected "/>
    <m/>
    <x v="1"/>
  </r>
  <r>
    <x v="2"/>
    <x v="3"/>
    <x v="12"/>
    <s v="JBHIFI Roselands"/>
    <n v="44"/>
    <n v="44"/>
    <s v="Collected "/>
    <m/>
    <x v="1"/>
  </r>
  <r>
    <x v="2"/>
    <x v="0"/>
    <x v="0"/>
    <s v="JBHIFI Roselands"/>
    <n v="299"/>
    <n v="598"/>
    <s v="Collected "/>
    <m/>
    <x v="1"/>
  </r>
  <r>
    <x v="2"/>
    <x v="8"/>
    <x v="3"/>
    <s v="JBHIFI Roselands"/>
    <n v="125"/>
    <n v="1750"/>
    <s v="Collected "/>
    <m/>
    <x v="1"/>
  </r>
  <r>
    <x v="2"/>
    <x v="3"/>
    <x v="2"/>
    <s v="JBHIFI Roselands"/>
    <n v="419"/>
    <n v="419"/>
    <s v="Collected "/>
    <m/>
    <x v="1"/>
  </r>
  <r>
    <x v="2"/>
    <x v="5"/>
    <x v="13"/>
    <s v="JBHIFI Roselands"/>
    <n v="419"/>
    <n v="2095"/>
    <s v="Pending Collection Broadway"/>
    <m/>
    <x v="1"/>
  </r>
  <r>
    <x v="2"/>
    <x v="3"/>
    <x v="0"/>
    <s v="JBHIFI Roselands"/>
    <n v="299"/>
    <n v="299"/>
    <s v="Pending Collection Broadway"/>
    <m/>
    <x v="1"/>
  </r>
  <r>
    <x v="2"/>
    <x v="0"/>
    <x v="0"/>
    <s v="JBHIFI Roselands"/>
    <n v="299"/>
    <n v="598"/>
    <s v="Pending Collection Macquarie"/>
    <m/>
    <x v="1"/>
  </r>
  <r>
    <x v="2"/>
    <x v="3"/>
    <x v="0"/>
    <s v="JBHIFI Roselands"/>
    <n v="299"/>
    <n v="299"/>
    <s v="Pending Collection Bankstown"/>
    <m/>
    <x v="1"/>
  </r>
  <r>
    <x v="2"/>
    <x v="0"/>
    <x v="8"/>
    <s v="JBHIFI Roselands"/>
    <n v="479"/>
    <n v="958"/>
    <s v="Pending Collection Broadway"/>
    <m/>
    <x v="1"/>
  </r>
  <r>
    <x v="2"/>
    <x v="0"/>
    <x v="8"/>
    <s v="JBHIFI Hurstville"/>
    <n v="479"/>
    <n v="958"/>
    <s v="Collected"/>
    <m/>
    <x v="1"/>
  </r>
  <r>
    <x v="2"/>
    <x v="3"/>
    <x v="8"/>
    <s v="Eb Games Hurstville"/>
    <n v="499"/>
    <n v="499"/>
    <s v="Collected"/>
    <m/>
    <x v="1"/>
  </r>
  <r>
    <x v="2"/>
    <x v="6"/>
    <x v="0"/>
    <s v="Officeworks Hurstville"/>
    <n v="398"/>
    <n v="1592"/>
    <s v="Collected"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  <r>
    <x v="3"/>
    <x v="9"/>
    <x v="14"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78">
  <r>
    <d v="2025-12-04T00:00:00"/>
    <n v="2"/>
    <x v="0"/>
    <x v="0"/>
    <n v="479"/>
    <n v="958"/>
    <x v="0"/>
    <m/>
    <s v="Order Cancelled Pending Refund"/>
  </r>
  <r>
    <d v="2025-12-08T00:00:00"/>
    <n v="1"/>
    <x v="1"/>
    <x v="0"/>
    <n v="299"/>
    <n v="299"/>
    <x v="1"/>
    <m/>
    <m/>
  </r>
  <r>
    <d v="2025-12-11T00:00:00"/>
    <n v="3"/>
    <x v="1"/>
    <x v="1"/>
    <n v="340"/>
    <n v="1020"/>
    <x v="2"/>
    <m/>
    <m/>
  </r>
  <r>
    <d v="2025-12-19T00:00:00"/>
    <n v="2"/>
    <x v="2"/>
    <x v="2"/>
    <n v="477"/>
    <n v="954"/>
    <x v="3"/>
    <m/>
    <s v="Direct to boot"/>
  </r>
  <r>
    <d v="2025-12-20T00:00:00"/>
    <n v="2"/>
    <x v="3"/>
    <x v="3"/>
    <n v="629"/>
    <n v="1258"/>
    <x v="3"/>
    <m/>
    <m/>
  </r>
  <r>
    <d v="2025-12-20T00:00:00"/>
    <n v="2"/>
    <x v="4"/>
    <x v="3"/>
    <n v="477"/>
    <n v="954"/>
    <x v="3"/>
    <m/>
    <m/>
  </r>
  <r>
    <d v="2025-12-20T00:00:00"/>
    <n v="2"/>
    <x v="4"/>
    <x v="4"/>
    <n v="477"/>
    <n v="954"/>
    <x v="3"/>
    <m/>
    <m/>
  </r>
  <r>
    <d v="2025-12-21T00:00:00"/>
    <n v="2"/>
    <x v="4"/>
    <x v="2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5"/>
    <n v="477"/>
    <n v="954"/>
    <x v="3"/>
    <m/>
    <m/>
  </r>
  <r>
    <d v="2025-12-21T00:00:00"/>
    <n v="2"/>
    <x v="4"/>
    <x v="3"/>
    <n v="477"/>
    <n v="954"/>
    <x v="3"/>
    <m/>
    <m/>
  </r>
  <r>
    <d v="2025-12-21T00:00:00"/>
    <n v="2"/>
    <x v="3"/>
    <x v="3"/>
    <n v="629"/>
    <n v="1258"/>
    <x v="3"/>
    <m/>
    <m/>
  </r>
  <r>
    <d v="2025-12-21T00:00:00"/>
    <n v="2"/>
    <x v="4"/>
    <x v="2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6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4"/>
    <x v="5"/>
    <n v="477"/>
    <n v="954"/>
    <x v="3"/>
    <m/>
    <m/>
  </r>
  <r>
    <d v="2025-12-22T00:00:00"/>
    <n v="2"/>
    <x v="5"/>
    <x v="3"/>
    <n v="629"/>
    <n v="1258"/>
    <x v="3"/>
    <m/>
    <m/>
  </r>
  <r>
    <d v="2025-12-22T00:00:00"/>
    <n v="2"/>
    <x v="5"/>
    <x v="3"/>
    <n v="629"/>
    <n v="1258"/>
    <x v="3"/>
    <m/>
    <m/>
  </r>
  <r>
    <d v="2025-12-26T00:00:00"/>
    <n v="3"/>
    <x v="6"/>
    <x v="7"/>
    <n v="4400"/>
    <n v="13200"/>
    <x v="3"/>
    <m/>
    <m/>
  </r>
  <r>
    <d v="2025-12-26T00:00:00"/>
    <n v="2"/>
    <x v="7"/>
    <x v="7"/>
    <n v="3250"/>
    <n v="6500"/>
    <x v="3"/>
    <m/>
    <m/>
  </r>
  <r>
    <d v="2025-12-26T00:00:00"/>
    <n v="1"/>
    <x v="6"/>
    <x v="7"/>
    <n v="4400"/>
    <n v="4400"/>
    <x v="3"/>
    <m/>
    <m/>
  </r>
  <r>
    <d v="2025-12-26T00:00:00"/>
    <n v="1"/>
    <x v="7"/>
    <x v="7"/>
    <n v="3250"/>
    <n v="3250"/>
    <x v="3"/>
    <m/>
    <m/>
  </r>
  <r>
    <d v="2025-12-26T00:00:00"/>
    <n v="1"/>
    <x v="6"/>
    <x v="7"/>
    <n v="4400"/>
    <n v="4400"/>
    <x v="3"/>
    <m/>
    <m/>
  </r>
  <r>
    <d v="2025-12-26T00:00:00"/>
    <n v="2"/>
    <x v="7"/>
    <x v="7"/>
    <n v="3250"/>
    <n v="6500"/>
    <x v="3"/>
    <m/>
    <m/>
  </r>
  <r>
    <d v="2025-12-27T00:00:00"/>
    <n v="6"/>
    <x v="8"/>
    <x v="0"/>
    <n v="125"/>
    <n v="750"/>
    <x v="3"/>
    <m/>
    <m/>
  </r>
  <r>
    <d v="2025-12-27T00:00:00"/>
    <n v="3"/>
    <x v="9"/>
    <x v="0"/>
    <n v="419"/>
    <n v="1257"/>
    <x v="3"/>
    <m/>
    <m/>
  </r>
  <r>
    <d v="2025-12-27T00:00:00"/>
    <n v="2"/>
    <x v="10"/>
    <x v="0"/>
    <n v="629"/>
    <n v="1258"/>
    <x v="3"/>
    <m/>
    <m/>
  </r>
  <r>
    <d v="2025-12-28T00:00:00"/>
    <n v="2"/>
    <x v="11"/>
    <x v="8"/>
    <n v="2599"/>
    <n v="5198"/>
    <x v="4"/>
    <m/>
    <s v="10% Gift Card"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  <r>
    <m/>
    <m/>
    <x v="12"/>
    <x v="9"/>
    <m/>
    <m/>
    <x v="5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8CDC26-7888-4022-A435-C26BDFB55F57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K3:M32" firstHeaderRow="0" firstDataRow="1" firstDataCol="1" rowPageCount="1" colPageCount="1"/>
  <pivotFields count="8">
    <pivotField axis="axisPage" multipleItemSelectionAllowed="1" showAll="0">
      <items count="13">
        <item h="1" x="0"/>
        <item h="1" x="1"/>
        <item h="1" x="2"/>
        <item h="1" x="3"/>
        <item h="1" x="5"/>
        <item h="1" x="6"/>
        <item x="7"/>
        <item x="8"/>
        <item x="9"/>
        <item x="10"/>
        <item x="11"/>
        <item h="1" x="4"/>
        <item t="default"/>
      </items>
    </pivotField>
    <pivotField dataField="1" showAll="0"/>
    <pivotField axis="axisRow" showAll="0">
      <items count="54">
        <item x="40"/>
        <item x="41"/>
        <item x="36"/>
        <item x="34"/>
        <item x="38"/>
        <item x="42"/>
        <item x="43"/>
        <item x="10"/>
        <item x="33"/>
        <item x="4"/>
        <item x="37"/>
        <item x="8"/>
        <item x="13"/>
        <item x="0"/>
        <item x="3"/>
        <item m="1" x="50"/>
        <item m="1" x="49"/>
        <item m="1" x="48"/>
        <item m="1" x="47"/>
        <item m="1" x="46"/>
        <item x="15"/>
        <item x="1"/>
        <item x="11"/>
        <item x="2"/>
        <item x="39"/>
        <item x="26"/>
        <item x="30"/>
        <item x="27"/>
        <item x="31"/>
        <item x="35"/>
        <item m="1" x="45"/>
        <item x="6"/>
        <item x="23"/>
        <item x="7"/>
        <item x="9"/>
        <item x="29"/>
        <item m="1" x="51"/>
        <item m="1" x="52"/>
        <item x="28"/>
        <item x="5"/>
        <item x="14"/>
        <item x="44"/>
        <item x="12"/>
        <item x="16"/>
        <item x="17"/>
        <item x="18"/>
        <item x="19"/>
        <item x="20"/>
        <item x="21"/>
        <item x="22"/>
        <item x="24"/>
        <item x="25"/>
        <item x="32"/>
        <item t="default"/>
      </items>
    </pivotField>
    <pivotField showAll="0"/>
    <pivotField showAll="0"/>
    <pivotField dataField="1" showAll="0"/>
    <pivotField showAll="0"/>
    <pivotField showAll="0"/>
  </pivotFields>
  <rowFields count="1">
    <field x="2"/>
  </rowFields>
  <row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10"/>
    </i>
    <i>
      <x v="24"/>
    </i>
    <i>
      <x v="25"/>
    </i>
    <i>
      <x v="26"/>
    </i>
    <i>
      <x v="27"/>
    </i>
    <i>
      <x v="28"/>
    </i>
    <i>
      <x v="29"/>
    </i>
    <i>
      <x v="32"/>
    </i>
    <i>
      <x v="35"/>
    </i>
    <i>
      <x v="38"/>
    </i>
    <i>
      <x v="39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-2"/>
  </colFields>
  <colItems count="2">
    <i>
      <x/>
    </i>
    <i i="1">
      <x v="1"/>
    </i>
  </colItems>
  <pageFields count="1">
    <pageField fld="0" hier="-1"/>
  </pageFields>
  <dataFields count="2">
    <dataField name="Sum of Qty" fld="1" baseField="0" baseItem="0"/>
    <dataField name="Sum of Total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7FC2DE2-8549-49AA-B615-BA0B091290B9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11" firstHeaderRow="1" firstDataRow="1" firstDataCol="1"/>
  <pivotFields count="4">
    <pivotField axis="axisRow" showAll="0">
      <items count="6">
        <item x="2"/>
        <item x="3"/>
        <item x="0"/>
        <item x="1"/>
        <item h="1" x="4"/>
        <item t="default"/>
      </items>
    </pivotField>
    <pivotField axis="axisRow" showAll="0">
      <items count="6">
        <item x="3"/>
        <item x="1"/>
        <item x="0"/>
        <item x="2"/>
        <item x="4"/>
        <item t="default"/>
      </items>
    </pivotField>
    <pivotField showAll="0"/>
    <pivotField dataField="1" showAll="0"/>
  </pivotFields>
  <rowFields count="2">
    <field x="0"/>
    <field x="1"/>
  </rowFields>
  <rowItems count="10">
    <i>
      <x/>
    </i>
    <i r="1">
      <x v="1"/>
    </i>
    <i>
      <x v="1"/>
    </i>
    <i r="1">
      <x v="3"/>
    </i>
    <i>
      <x v="2"/>
    </i>
    <i r="1">
      <x v="2"/>
    </i>
    <i>
      <x v="3"/>
    </i>
    <i r="1">
      <x/>
    </i>
    <i r="1">
      <x v="1"/>
    </i>
    <i t="grand">
      <x/>
    </i>
  </rowItems>
  <colItems count="1">
    <i/>
  </colItems>
  <dataFields count="1">
    <dataField name="Sum of Price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ED46CD0-3AB8-4CDC-B956-87B9AD7E756F}" name="PivotTable2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 rowHeaderCaption="Items">
  <location ref="E1:F25" firstHeaderRow="1" firstDataRow="1" firstDataCol="1"/>
  <pivotFields count="2">
    <pivotField dataField="1" showAll="0"/>
    <pivotField axis="axisRow" showAll="0">
      <items count="26">
        <item m="1" x="24"/>
        <item x="7"/>
        <item x="4"/>
        <item x="18"/>
        <item x="9"/>
        <item x="2"/>
        <item x="10"/>
        <item x="20"/>
        <item x="0"/>
        <item x="1"/>
        <item x="19"/>
        <item x="12"/>
        <item x="16"/>
        <item x="14"/>
        <item x="21"/>
        <item x="11"/>
        <item x="17"/>
        <item x="5"/>
        <item x="6"/>
        <item x="13"/>
        <item x="8"/>
        <item x="15"/>
        <item x="3"/>
        <item x="22"/>
        <item h="1" x="23"/>
        <item t="default"/>
      </items>
    </pivotField>
  </pivotFields>
  <rowFields count="1">
    <field x="1"/>
  </rowFields>
  <rowItems count="24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um of Qty" fld="0" baseField="1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9D96FA-1A17-4CA2-BCDA-A8BC1AC5A0EA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multipleFieldFilters="0">
  <location ref="H1:I16" firstHeaderRow="1" firstDataRow="1" firstDataCol="1"/>
  <pivotFields count="2">
    <pivotField dataField="1" showAll="0"/>
    <pivotField axis="axisRow" showAll="0">
      <items count="16">
        <item x="10"/>
        <item x="7"/>
        <item x="1"/>
        <item x="5"/>
        <item x="4"/>
        <item x="3"/>
        <item x="13"/>
        <item x="11"/>
        <item x="0"/>
        <item x="9"/>
        <item x="8"/>
        <item x="12"/>
        <item x="6"/>
        <item x="2"/>
        <item h="1" x="14"/>
        <item t="default"/>
      </items>
    </pivotField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dataFields count="1">
    <dataField name="Sum of Qty" fld="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205BE3B-6286-465E-BBE1-291AA35E01B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P1:Q19" firstHeaderRow="1" firstDataRow="1" firstDataCol="1"/>
  <pivotFields count="9">
    <pivotField showAll="0"/>
    <pivotField dataField="1" showAll="0"/>
    <pivotField axis="axisRow" showAll="0">
      <items count="43">
        <item x="34"/>
        <item x="40"/>
        <item x="14"/>
        <item x="35"/>
        <item x="12"/>
        <item x="11"/>
        <item x="6"/>
        <item x="26"/>
        <item x="10"/>
        <item x="25"/>
        <item x="5"/>
        <item x="8"/>
        <item x="9"/>
        <item x="13"/>
        <item x="24"/>
        <item x="23"/>
        <item x="36"/>
        <item x="2"/>
        <item x="1"/>
        <item x="4"/>
        <item x="16"/>
        <item x="39"/>
        <item x="0"/>
        <item x="37"/>
        <item x="3"/>
        <item x="22"/>
        <item x="17"/>
        <item x="20"/>
        <item x="18"/>
        <item x="21"/>
        <item x="19"/>
        <item x="29"/>
        <item x="30"/>
        <item x="28"/>
        <item x="27"/>
        <item x="32"/>
        <item x="31"/>
        <item x="38"/>
        <item x="15"/>
        <item x="7"/>
        <item x="33"/>
        <item x="41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2">
        <item x="8"/>
        <item x="5"/>
        <item h="1" x="3"/>
        <item x="7"/>
        <item h="1" x="6"/>
        <item h="1" x="9"/>
        <item x="4"/>
        <item h="1" x="1"/>
        <item h="1" x="2"/>
        <item h="1" x="0"/>
        <item h="1" x="10"/>
        <item t="default"/>
      </items>
    </pivotField>
  </pivotFields>
  <rowFields count="2">
    <field x="8"/>
    <field x="2"/>
  </rowFields>
  <rowItems count="18">
    <i>
      <x/>
    </i>
    <i r="1">
      <x v="35"/>
    </i>
    <i>
      <x v="1"/>
    </i>
    <i r="1">
      <x v="17"/>
    </i>
    <i>
      <x v="3"/>
    </i>
    <i r="1">
      <x v="31"/>
    </i>
    <i>
      <x v="6"/>
    </i>
    <i r="1">
      <x v="6"/>
    </i>
    <i r="1">
      <x v="17"/>
    </i>
    <i r="1">
      <x v="20"/>
    </i>
    <i r="1">
      <x v="21"/>
    </i>
    <i r="1">
      <x v="22"/>
    </i>
    <i r="1">
      <x v="23"/>
    </i>
    <i r="1">
      <x v="31"/>
    </i>
    <i r="1">
      <x v="34"/>
    </i>
    <i r="1">
      <x v="37"/>
    </i>
    <i r="1">
      <x v="3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221EA51-945D-4AA4-86F0-D097A1C9C91C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S1:T9" firstHeaderRow="1" firstDataRow="1" firstDataCol="1"/>
  <pivotFields count="9">
    <pivotField showAll="0"/>
    <pivotField dataField="1" showAll="0"/>
    <pivotField axis="axisRow" showAll="0">
      <items count="16">
        <item x="6"/>
        <item x="2"/>
        <item x="7"/>
        <item x="3"/>
        <item x="9"/>
        <item x="8"/>
        <item x="1"/>
        <item x="5"/>
        <item x="4"/>
        <item x="0"/>
        <item x="14"/>
        <item x="10"/>
        <item x="11"/>
        <item x="12"/>
        <item x="1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</pivotFields>
  <rowFields count="2">
    <field x="8"/>
    <field x="2"/>
  </rowFields>
  <rowItems count="8">
    <i>
      <x/>
    </i>
    <i r="1">
      <x v="2"/>
    </i>
    <i r="1">
      <x v="4"/>
    </i>
    <i r="1">
      <x v="5"/>
    </i>
    <i r="1">
      <x v="7"/>
    </i>
    <i r="1">
      <x v="8"/>
    </i>
    <i r="1">
      <x v="9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9A7FA-A501-4B9D-A191-67DABC1501A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K1:L45" firstHeaderRow="1" firstDataRow="1" firstDataCol="1"/>
  <pivotFields count="9">
    <pivotField showAll="0"/>
    <pivotField dataField="1" showAll="0"/>
    <pivotField axis="axisRow" showAll="0">
      <items count="14">
        <item x="6"/>
        <item x="7"/>
        <item x="9"/>
        <item x="11"/>
        <item x="8"/>
        <item x="0"/>
        <item x="10"/>
        <item x="4"/>
        <item x="5"/>
        <item x="2"/>
        <item x="3"/>
        <item x="1"/>
        <item x="12"/>
        <item t="default"/>
      </items>
    </pivotField>
    <pivotField axis="axisRow" showAll="0">
      <items count="12">
        <item x="5"/>
        <item x="2"/>
        <item x="6"/>
        <item x="4"/>
        <item m="1" x="10"/>
        <item x="3"/>
        <item x="7"/>
        <item x="0"/>
        <item x="1"/>
        <item x="8"/>
        <item h="1" x="9"/>
        <item t="default"/>
      </items>
    </pivotField>
    <pivotField showAll="0"/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</pivotFields>
  <rowFields count="3">
    <field x="3"/>
    <field x="2"/>
    <field x="6"/>
  </rowFields>
  <rowItems count="44">
    <i>
      <x/>
    </i>
    <i r="1">
      <x v="7"/>
    </i>
    <i r="2">
      <x/>
    </i>
    <i>
      <x v="1"/>
    </i>
    <i r="1">
      <x v="7"/>
    </i>
    <i r="2">
      <x/>
    </i>
    <i r="1">
      <x v="9"/>
    </i>
    <i r="2">
      <x/>
    </i>
    <i>
      <x v="2"/>
    </i>
    <i r="1">
      <x v="7"/>
    </i>
    <i r="2">
      <x/>
    </i>
    <i>
      <x v="3"/>
    </i>
    <i r="1">
      <x v="7"/>
    </i>
    <i r="2">
      <x/>
    </i>
    <i>
      <x v="5"/>
    </i>
    <i r="1">
      <x v="7"/>
    </i>
    <i r="2">
      <x/>
    </i>
    <i r="1">
      <x v="8"/>
    </i>
    <i r="2">
      <x/>
    </i>
    <i r="1">
      <x v="10"/>
    </i>
    <i r="2">
      <x/>
    </i>
    <i>
      <x v="6"/>
    </i>
    <i r="1">
      <x/>
    </i>
    <i r="2">
      <x/>
    </i>
    <i r="1">
      <x v="1"/>
    </i>
    <i r="2">
      <x/>
    </i>
    <i>
      <x v="7"/>
    </i>
    <i r="1">
      <x v="2"/>
    </i>
    <i r="2">
      <x/>
    </i>
    <i r="1">
      <x v="4"/>
    </i>
    <i r="2">
      <x/>
    </i>
    <i r="1">
      <x v="5"/>
    </i>
    <i r="2">
      <x v="2"/>
    </i>
    <i r="1">
      <x v="6"/>
    </i>
    <i r="2">
      <x/>
    </i>
    <i r="1">
      <x v="11"/>
    </i>
    <i r="2">
      <x v="4"/>
    </i>
    <i>
      <x v="8"/>
    </i>
    <i r="1">
      <x v="11"/>
    </i>
    <i r="2">
      <x v="3"/>
    </i>
    <i>
      <x v="9"/>
    </i>
    <i r="1">
      <x v="3"/>
    </i>
    <i r="2">
      <x v="1"/>
    </i>
    <i t="grand">
      <x/>
    </i>
  </rowItems>
  <colItems count="1">
    <i/>
  </colItem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B607CA-17ED-4342-8BAF-0321C1221DF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J3:K28" firstHeaderRow="1" firstDataRow="1" firstDataCol="1" rowPageCount="1" colPageCount="1"/>
  <pivotFields count="7">
    <pivotField showAll="0"/>
    <pivotField dataField="1" showAll="0"/>
    <pivotField axis="axisRow" showAll="0">
      <items count="12">
        <item x="7"/>
        <item x="0"/>
        <item x="6"/>
        <item x="2"/>
        <item x="3"/>
        <item x="1"/>
        <item x="5"/>
        <item x="4"/>
        <item x="8"/>
        <item x="9"/>
        <item x="10"/>
        <item t="default"/>
      </items>
    </pivotField>
    <pivotField axis="axisPage" showAll="0">
      <items count="10">
        <item x="3"/>
        <item x="4"/>
        <item x="0"/>
        <item x="2"/>
        <item x="1"/>
        <item x="5"/>
        <item x="6"/>
        <item x="7"/>
        <item x="8"/>
        <item t="default"/>
      </items>
    </pivotField>
    <pivotField showAll="0"/>
    <pivotField showAll="0"/>
    <pivotField axis="axisRow" showAll="0">
      <items count="15">
        <item m="1" x="13"/>
        <item x="0"/>
        <item x="3"/>
        <item x="5"/>
        <item x="2"/>
        <item x="6"/>
        <item x="8"/>
        <item x="9"/>
        <item x="7"/>
        <item x="4"/>
        <item h="1" x="11"/>
        <item h="1" m="1" x="12"/>
        <item h="1" x="10"/>
        <item h="1" x="1"/>
        <item t="default"/>
      </items>
    </pivotField>
  </pivotFields>
  <rowFields count="2">
    <field x="6"/>
    <field x="2"/>
  </rowFields>
  <rowItems count="25">
    <i>
      <x v="1"/>
    </i>
    <i r="1">
      <x v="1"/>
    </i>
    <i r="1">
      <x v="3"/>
    </i>
    <i r="1">
      <x v="4"/>
    </i>
    <i>
      <x v="2"/>
    </i>
    <i r="1">
      <x v="5"/>
    </i>
    <i>
      <x v="3"/>
    </i>
    <i r="1">
      <x v="6"/>
    </i>
    <i>
      <x v="4"/>
    </i>
    <i r="1">
      <x v="1"/>
    </i>
    <i r="1">
      <x v="6"/>
    </i>
    <i r="1">
      <x v="7"/>
    </i>
    <i>
      <x v="5"/>
    </i>
    <i r="1">
      <x v="2"/>
    </i>
    <i>
      <x v="6"/>
    </i>
    <i r="1">
      <x v="2"/>
    </i>
    <i>
      <x v="7"/>
    </i>
    <i r="1">
      <x v="2"/>
    </i>
    <i r="1">
      <x v="8"/>
    </i>
    <i>
      <x v="8"/>
    </i>
    <i r="1">
      <x/>
    </i>
    <i>
      <x v="9"/>
    </i>
    <i r="1">
      <x v="3"/>
    </i>
    <i r="1">
      <x v="4"/>
    </i>
    <i t="grand">
      <x/>
    </i>
  </rowItems>
  <colItems count="1">
    <i/>
  </colItems>
  <pageFields count="1">
    <pageField fld="3" hier="-1"/>
  </pageFields>
  <dataFields count="1">
    <dataField name="Sum of Qty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4463A4-B764-4ED8-A7D5-9D5362DEBBE8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L1:M5" firstHeaderRow="1" firstDataRow="1" firstDataCol="1"/>
  <pivotFields count="2">
    <pivotField dataField="1" showAll="0"/>
    <pivotField axis="axisRow" showAll="0">
      <items count="6">
        <item h="1" x="1"/>
        <item x="3"/>
        <item x="0"/>
        <item x="2"/>
        <item h="1" x="4"/>
        <item t="default"/>
      </items>
    </pivotField>
  </pivotFields>
  <rowFields count="1"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B863D5-6AF0-4F00-BA97-6261CBBF8E49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R1:S4" firstHeaderRow="1" firstDataRow="1" firstDataCol="1"/>
  <pivotFields count="2">
    <pivotField dataField="1" showAll="0"/>
    <pivotField axis="axisRow" showAll="0">
      <items count="10">
        <item x="4"/>
        <item h="1" x="6"/>
        <item x="1"/>
        <item h="1" x="0"/>
        <item h="1" x="5"/>
        <item h="1" x="3"/>
        <item h="1" x="7"/>
        <item h="1" x="2"/>
        <item h="1" x="8"/>
        <item t="default"/>
      </items>
    </pivotField>
  </pivotFields>
  <rowFields count="1">
    <field x="1"/>
  </rowFields>
  <rowItems count="3">
    <i>
      <x/>
    </i>
    <i>
      <x v="2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8E6684-692D-429E-AAEB-46A3920AE23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1:P5" firstHeaderRow="1" firstDataRow="1" firstDataCol="1"/>
  <pivotFields count="2">
    <pivotField dataField="1" showAll="0"/>
    <pivotField axis="axisRow" showAll="0">
      <items count="8">
        <item h="1" x="2"/>
        <item h="1" x="0"/>
        <item x="4"/>
        <item x="3"/>
        <item h="1" x="1"/>
        <item x="5"/>
        <item h="1" x="6"/>
        <item t="default"/>
      </items>
    </pivotField>
  </pivotFields>
  <rowFields count="1">
    <field x="1"/>
  </rowFields>
  <rowItems count="4">
    <i>
      <x v="2"/>
    </i>
    <i>
      <x v="3"/>
    </i>
    <i>
      <x v="5"/>
    </i>
    <i t="grand">
      <x/>
    </i>
  </rowItems>
  <colItems count="1">
    <i/>
  </colItems>
  <dataFields count="1">
    <dataField name="Sum of Qty" fld="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arveynorman.com.au/dji-mini-4-pro-rc-2.html" TargetMode="External"/><Relationship Id="rId1" Type="http://schemas.openxmlformats.org/officeDocument/2006/relationships/hyperlink" Target="https://www.harveynorman.com.au/dji-mini-4-pro-rc-2.html" TargetMode="Externa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1.xml"/><Relationship Id="rId2" Type="http://schemas.openxmlformats.org/officeDocument/2006/relationships/pivotTable" Target="../pivotTables/pivotTable10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6B308-AC8E-4EA6-88E6-4FA3FB60CEAC}">
  <dimension ref="A1:F29"/>
  <sheetViews>
    <sheetView topLeftCell="A10" workbookViewId="0">
      <selection activeCell="D34" sqref="D34"/>
    </sheetView>
  </sheetViews>
  <sheetFormatPr defaultRowHeight="15" x14ac:dyDescent="0.25"/>
  <cols>
    <col min="1" max="1" width="14.7109375" bestFit="1" customWidth="1"/>
    <col min="2" max="2" width="18.5703125" bestFit="1" customWidth="1"/>
    <col min="3" max="3" width="16.140625" bestFit="1" customWidth="1"/>
    <col min="4" max="4" width="19.85546875" bestFit="1" customWidth="1"/>
    <col min="5" max="5" width="10.5703125" bestFit="1" customWidth="1"/>
    <col min="6" max="6" width="25.85546875" bestFit="1" customWidth="1"/>
  </cols>
  <sheetData>
    <row r="1" spans="1:6" x14ac:dyDescent="0.25">
      <c r="A1" t="s">
        <v>54</v>
      </c>
    </row>
    <row r="2" spans="1:6" x14ac:dyDescent="0.25">
      <c r="A2" t="s">
        <v>47</v>
      </c>
      <c r="B2" t="s">
        <v>48</v>
      </c>
      <c r="F2" t="s">
        <v>53</v>
      </c>
    </row>
    <row r="3" spans="1:6" x14ac:dyDescent="0.25">
      <c r="A3">
        <v>2</v>
      </c>
      <c r="B3" t="s">
        <v>46</v>
      </c>
      <c r="C3" t="s">
        <v>38</v>
      </c>
      <c r="F3" t="s">
        <v>51</v>
      </c>
    </row>
    <row r="4" spans="1:6" x14ac:dyDescent="0.25">
      <c r="A4">
        <v>6</v>
      </c>
      <c r="B4" t="s">
        <v>45</v>
      </c>
      <c r="C4" t="s">
        <v>38</v>
      </c>
      <c r="F4" t="s">
        <v>52</v>
      </c>
    </row>
    <row r="5" spans="1:6" x14ac:dyDescent="0.25">
      <c r="A5">
        <v>4</v>
      </c>
      <c r="B5" t="s">
        <v>44</v>
      </c>
      <c r="C5" t="s">
        <v>38</v>
      </c>
    </row>
    <row r="6" spans="1:6" x14ac:dyDescent="0.25">
      <c r="A6">
        <v>4</v>
      </c>
      <c r="B6" t="s">
        <v>43</v>
      </c>
      <c r="C6" t="s">
        <v>38</v>
      </c>
    </row>
    <row r="7" spans="1:6" x14ac:dyDescent="0.25">
      <c r="A7">
        <v>2</v>
      </c>
      <c r="B7" t="s">
        <v>42</v>
      </c>
      <c r="C7" t="s">
        <v>40</v>
      </c>
    </row>
    <row r="8" spans="1:6" x14ac:dyDescent="0.25">
      <c r="A8">
        <v>1</v>
      </c>
      <c r="B8" t="s">
        <v>41</v>
      </c>
      <c r="C8" t="s">
        <v>40</v>
      </c>
    </row>
    <row r="9" spans="1:6" x14ac:dyDescent="0.25">
      <c r="A9">
        <v>2</v>
      </c>
      <c r="B9" t="s">
        <v>39</v>
      </c>
      <c r="C9" t="s">
        <v>38</v>
      </c>
      <c r="D9" t="s">
        <v>37</v>
      </c>
      <c r="E9" s="6">
        <v>45742</v>
      </c>
      <c r="F9" t="s">
        <v>49</v>
      </c>
    </row>
    <row r="10" spans="1:6" x14ac:dyDescent="0.25">
      <c r="A10" s="1">
        <v>2</v>
      </c>
      <c r="B10" s="2" t="s">
        <v>31</v>
      </c>
      <c r="C10" s="2" t="s">
        <v>30</v>
      </c>
      <c r="D10" s="3">
        <v>220</v>
      </c>
      <c r="E10" s="3">
        <f t="shared" ref="E10:E15" si="0">(A10*D10)</f>
        <v>440</v>
      </c>
      <c r="F10" s="2" t="s">
        <v>36</v>
      </c>
    </row>
    <row r="11" spans="1:6" x14ac:dyDescent="0.25">
      <c r="A11" s="1">
        <v>2</v>
      </c>
      <c r="B11" s="2" t="s">
        <v>31</v>
      </c>
      <c r="C11" s="2" t="s">
        <v>30</v>
      </c>
      <c r="D11" s="3">
        <v>220</v>
      </c>
      <c r="E11" s="3">
        <f t="shared" si="0"/>
        <v>440</v>
      </c>
      <c r="F11" s="2" t="s">
        <v>12</v>
      </c>
    </row>
    <row r="12" spans="1:6" x14ac:dyDescent="0.25">
      <c r="A12" s="1">
        <v>2</v>
      </c>
      <c r="B12" s="2" t="s">
        <v>32</v>
      </c>
      <c r="C12" s="2" t="s">
        <v>30</v>
      </c>
      <c r="D12" s="3">
        <v>89</v>
      </c>
      <c r="E12" s="3">
        <f t="shared" si="0"/>
        <v>178</v>
      </c>
      <c r="F12" s="2" t="s">
        <v>12</v>
      </c>
    </row>
    <row r="13" spans="1:6" x14ac:dyDescent="0.25">
      <c r="A13" s="1">
        <v>1</v>
      </c>
      <c r="B13" s="2" t="s">
        <v>33</v>
      </c>
      <c r="C13" s="2" t="s">
        <v>30</v>
      </c>
      <c r="D13" s="3">
        <v>89</v>
      </c>
      <c r="E13" s="3">
        <f t="shared" si="0"/>
        <v>89</v>
      </c>
      <c r="F13" s="2" t="s">
        <v>12</v>
      </c>
    </row>
    <row r="14" spans="1:6" x14ac:dyDescent="0.25">
      <c r="A14" s="1">
        <v>1</v>
      </c>
      <c r="B14" s="2" t="s">
        <v>6</v>
      </c>
      <c r="C14" s="2" t="s">
        <v>10</v>
      </c>
      <c r="D14" s="3">
        <v>669</v>
      </c>
      <c r="E14" s="3">
        <f t="shared" si="0"/>
        <v>669</v>
      </c>
      <c r="F14" s="2" t="s">
        <v>11</v>
      </c>
    </row>
    <row r="15" spans="1:6" x14ac:dyDescent="0.25">
      <c r="A15" s="1">
        <v>1</v>
      </c>
      <c r="B15" s="2" t="s">
        <v>6</v>
      </c>
      <c r="C15" s="2" t="s">
        <v>10</v>
      </c>
      <c r="D15" s="3">
        <v>669</v>
      </c>
      <c r="E15" s="3">
        <f t="shared" si="0"/>
        <v>669</v>
      </c>
      <c r="F15" s="2" t="s">
        <v>12</v>
      </c>
    </row>
    <row r="17" spans="1:6" x14ac:dyDescent="0.25">
      <c r="A17" s="6">
        <v>45381</v>
      </c>
    </row>
    <row r="18" spans="1:6" x14ac:dyDescent="0.25">
      <c r="A18">
        <v>4</v>
      </c>
      <c r="B18" t="s">
        <v>45</v>
      </c>
      <c r="C18" t="s">
        <v>38</v>
      </c>
    </row>
    <row r="19" spans="1:6" x14ac:dyDescent="0.25">
      <c r="A19">
        <v>4</v>
      </c>
      <c r="B19" t="s">
        <v>44</v>
      </c>
      <c r="C19" t="s">
        <v>38</v>
      </c>
    </row>
    <row r="20" spans="1:6" x14ac:dyDescent="0.25">
      <c r="A20">
        <v>4</v>
      </c>
      <c r="B20" t="s">
        <v>43</v>
      </c>
      <c r="C20" t="s">
        <v>38</v>
      </c>
    </row>
    <row r="21" spans="1:6" x14ac:dyDescent="0.25">
      <c r="A21">
        <v>2</v>
      </c>
      <c r="B21" t="s">
        <v>42</v>
      </c>
      <c r="C21" t="s">
        <v>40</v>
      </c>
    </row>
    <row r="22" spans="1:6" x14ac:dyDescent="0.25">
      <c r="A22">
        <v>1</v>
      </c>
      <c r="B22" t="s">
        <v>41</v>
      </c>
      <c r="C22" t="s">
        <v>40</v>
      </c>
    </row>
    <row r="23" spans="1:6" x14ac:dyDescent="0.25">
      <c r="A23">
        <v>2</v>
      </c>
      <c r="B23" t="s">
        <v>39</v>
      </c>
      <c r="C23" t="s">
        <v>38</v>
      </c>
      <c r="D23" t="s">
        <v>37</v>
      </c>
      <c r="E23" s="6">
        <v>45742</v>
      </c>
      <c r="F23" t="s">
        <v>49</v>
      </c>
    </row>
    <row r="24" spans="1:6" x14ac:dyDescent="0.25">
      <c r="A24" s="1">
        <v>2</v>
      </c>
      <c r="B24" s="2" t="s">
        <v>31</v>
      </c>
      <c r="C24" s="2" t="s">
        <v>30</v>
      </c>
      <c r="D24" s="3">
        <v>220</v>
      </c>
      <c r="E24" s="3">
        <f t="shared" ref="E24:E29" si="1">(A24*D24)</f>
        <v>440</v>
      </c>
      <c r="F24" s="2" t="s">
        <v>36</v>
      </c>
    </row>
    <row r="25" spans="1:6" x14ac:dyDescent="0.25">
      <c r="A25" s="1">
        <v>2</v>
      </c>
      <c r="B25" s="2" t="s">
        <v>31</v>
      </c>
      <c r="C25" s="2" t="s">
        <v>30</v>
      </c>
      <c r="D25" s="3">
        <v>220</v>
      </c>
      <c r="E25" s="3">
        <f t="shared" si="1"/>
        <v>440</v>
      </c>
      <c r="F25" s="2" t="s">
        <v>12</v>
      </c>
    </row>
    <row r="26" spans="1:6" x14ac:dyDescent="0.25">
      <c r="A26" s="1">
        <v>2</v>
      </c>
      <c r="B26" s="2" t="s">
        <v>32</v>
      </c>
      <c r="C26" s="2" t="s">
        <v>30</v>
      </c>
      <c r="D26" s="3">
        <v>89</v>
      </c>
      <c r="E26" s="3">
        <f t="shared" si="1"/>
        <v>178</v>
      </c>
      <c r="F26" s="2" t="s">
        <v>12</v>
      </c>
    </row>
    <row r="27" spans="1:6" x14ac:dyDescent="0.25">
      <c r="A27" s="1">
        <v>1</v>
      </c>
      <c r="B27" s="2" t="s">
        <v>33</v>
      </c>
      <c r="C27" s="2" t="s">
        <v>30</v>
      </c>
      <c r="D27" s="3">
        <v>89</v>
      </c>
      <c r="E27" s="3">
        <f t="shared" si="1"/>
        <v>89</v>
      </c>
      <c r="F27" s="2" t="s">
        <v>12</v>
      </c>
    </row>
    <row r="28" spans="1:6" x14ac:dyDescent="0.25">
      <c r="A28" s="1">
        <v>1</v>
      </c>
      <c r="B28" s="2" t="s">
        <v>6</v>
      </c>
      <c r="C28" s="2" t="s">
        <v>10</v>
      </c>
      <c r="D28" s="3">
        <v>669</v>
      </c>
      <c r="E28" s="3">
        <f t="shared" si="1"/>
        <v>669</v>
      </c>
      <c r="F28" s="2" t="s">
        <v>11</v>
      </c>
    </row>
    <row r="29" spans="1:6" x14ac:dyDescent="0.25">
      <c r="A29" s="1">
        <v>1</v>
      </c>
      <c r="B29" s="2" t="s">
        <v>6</v>
      </c>
      <c r="C29" s="2" t="s">
        <v>10</v>
      </c>
      <c r="D29" s="3">
        <v>669</v>
      </c>
      <c r="E29" s="3">
        <f t="shared" si="1"/>
        <v>669</v>
      </c>
      <c r="F29" s="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43748-E6CA-4C09-ADC4-E9C94C19C6E7}">
  <dimension ref="A1:J39"/>
  <sheetViews>
    <sheetView topLeftCell="A17" workbookViewId="0">
      <selection activeCell="E40" sqref="E40"/>
    </sheetView>
  </sheetViews>
  <sheetFormatPr defaultRowHeight="15" x14ac:dyDescent="0.25"/>
  <cols>
    <col min="1" max="1" width="10.5703125" bestFit="1" customWidth="1"/>
    <col min="3" max="3" width="30.28515625" bestFit="1" customWidth="1"/>
    <col min="4" max="4" width="25" bestFit="1" customWidth="1"/>
    <col min="5" max="5" width="9" bestFit="1" customWidth="1"/>
    <col min="6" max="6" width="10" bestFit="1" customWidth="1"/>
    <col min="7" max="7" width="31.5703125" bestFit="1" customWidth="1"/>
    <col min="9" max="9" width="36.28515625" bestFit="1" customWidth="1"/>
    <col min="10" max="10" width="10.42578125" bestFit="1" customWidth="1"/>
  </cols>
  <sheetData>
    <row r="1" spans="1:10" x14ac:dyDescent="0.25">
      <c r="A1" t="s">
        <v>65</v>
      </c>
      <c r="B1" s="4" t="s">
        <v>0</v>
      </c>
      <c r="C1" s="5" t="s">
        <v>1</v>
      </c>
      <c r="D1" s="4" t="s">
        <v>2</v>
      </c>
      <c r="E1" s="4" t="s">
        <v>3</v>
      </c>
      <c r="F1" s="4" t="s">
        <v>4</v>
      </c>
      <c r="G1" s="4" t="s">
        <v>5</v>
      </c>
      <c r="I1" s="13" t="s">
        <v>78</v>
      </c>
      <c r="J1" t="s">
        <v>81</v>
      </c>
    </row>
    <row r="2" spans="1:10" x14ac:dyDescent="0.25">
      <c r="A2" s="6">
        <v>45742</v>
      </c>
      <c r="B2" s="1">
        <v>1</v>
      </c>
      <c r="C2" s="2" t="s">
        <v>6</v>
      </c>
      <c r="D2" s="2" t="s">
        <v>7</v>
      </c>
      <c r="E2" s="3">
        <v>699</v>
      </c>
      <c r="F2" s="3">
        <f>(B2*E2)</f>
        <v>699</v>
      </c>
      <c r="G2" s="2" t="s">
        <v>8</v>
      </c>
      <c r="I2" s="14" t="s">
        <v>18</v>
      </c>
      <c r="J2">
        <v>2</v>
      </c>
    </row>
    <row r="3" spans="1:10" x14ac:dyDescent="0.25">
      <c r="A3" s="6">
        <v>45742</v>
      </c>
      <c r="B3" s="1">
        <v>1</v>
      </c>
      <c r="C3" s="2" t="s">
        <v>9</v>
      </c>
      <c r="D3" s="2" t="s">
        <v>7</v>
      </c>
      <c r="E3" s="3">
        <v>2149</v>
      </c>
      <c r="F3" s="3">
        <f t="shared" ref="F3:F19" si="0">(B3*E3)</f>
        <v>2149</v>
      </c>
      <c r="G3" s="2" t="s">
        <v>8</v>
      </c>
      <c r="I3" s="14" t="s">
        <v>17</v>
      </c>
      <c r="J3">
        <v>23</v>
      </c>
    </row>
    <row r="4" spans="1:10" x14ac:dyDescent="0.25">
      <c r="A4" s="6">
        <v>45742</v>
      </c>
      <c r="B4" s="1">
        <v>1</v>
      </c>
      <c r="C4" s="2" t="s">
        <v>6</v>
      </c>
      <c r="D4" s="2" t="s">
        <v>10</v>
      </c>
      <c r="E4" s="3">
        <v>669</v>
      </c>
      <c r="F4" s="3">
        <f t="shared" si="0"/>
        <v>669</v>
      </c>
      <c r="G4" s="2" t="s">
        <v>108</v>
      </c>
      <c r="I4" s="14" t="s">
        <v>9</v>
      </c>
      <c r="J4">
        <v>6</v>
      </c>
    </row>
    <row r="5" spans="1:10" x14ac:dyDescent="0.25">
      <c r="A5" s="6">
        <v>45742</v>
      </c>
      <c r="B5" s="1">
        <v>1</v>
      </c>
      <c r="C5" s="2" t="s">
        <v>6</v>
      </c>
      <c r="D5" s="2" t="s">
        <v>10</v>
      </c>
      <c r="E5" s="3">
        <v>669</v>
      </c>
      <c r="F5" s="3">
        <f t="shared" si="0"/>
        <v>669</v>
      </c>
      <c r="G5" s="2" t="s">
        <v>89</v>
      </c>
      <c r="I5" s="14" t="s">
        <v>13</v>
      </c>
      <c r="J5">
        <v>5</v>
      </c>
    </row>
    <row r="6" spans="1:10" x14ac:dyDescent="0.25">
      <c r="A6" s="6">
        <v>45742</v>
      </c>
      <c r="B6" s="1">
        <v>5</v>
      </c>
      <c r="C6" s="2" t="s">
        <v>13</v>
      </c>
      <c r="D6" s="2" t="s">
        <v>14</v>
      </c>
      <c r="E6" s="3">
        <v>2199.9899999999998</v>
      </c>
      <c r="F6" s="3">
        <f t="shared" si="0"/>
        <v>10999.949999999999</v>
      </c>
      <c r="G6" s="2" t="s">
        <v>15</v>
      </c>
      <c r="I6" s="14" t="s">
        <v>26</v>
      </c>
      <c r="J6">
        <v>2</v>
      </c>
    </row>
    <row r="7" spans="1:10" x14ac:dyDescent="0.25">
      <c r="A7" s="6">
        <v>45742</v>
      </c>
      <c r="B7" s="1">
        <v>1</v>
      </c>
      <c r="C7" s="2" t="s">
        <v>9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I7" s="14" t="s">
        <v>56</v>
      </c>
      <c r="J7">
        <v>4</v>
      </c>
    </row>
    <row r="8" spans="1:10" x14ac:dyDescent="0.25">
      <c r="A8" s="6">
        <v>45742</v>
      </c>
      <c r="B8" s="1">
        <v>1</v>
      </c>
      <c r="C8" s="2" t="s">
        <v>17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I8" s="14" t="s">
        <v>29</v>
      </c>
      <c r="J8">
        <v>3</v>
      </c>
    </row>
    <row r="9" spans="1:10" x14ac:dyDescent="0.25">
      <c r="A9" s="6">
        <v>45742</v>
      </c>
      <c r="B9" s="1">
        <v>2</v>
      </c>
      <c r="C9" s="2" t="s">
        <v>18</v>
      </c>
      <c r="D9" s="2" t="s">
        <v>19</v>
      </c>
      <c r="E9" s="3">
        <v>1880.99</v>
      </c>
      <c r="F9" s="3">
        <f t="shared" si="0"/>
        <v>3761.98</v>
      </c>
      <c r="G9" s="2" t="s">
        <v>8</v>
      </c>
      <c r="I9" s="14" t="s">
        <v>60</v>
      </c>
      <c r="J9">
        <v>10</v>
      </c>
    </row>
    <row r="10" spans="1:10" x14ac:dyDescent="0.25">
      <c r="A10" s="6">
        <v>45742</v>
      </c>
      <c r="B10" s="1">
        <v>2</v>
      </c>
      <c r="C10" s="2" t="s">
        <v>17</v>
      </c>
      <c r="D10" s="2" t="s">
        <v>19</v>
      </c>
      <c r="E10" s="3">
        <v>2089.4899999999998</v>
      </c>
      <c r="F10" s="3">
        <f t="shared" si="0"/>
        <v>4178.9799999999996</v>
      </c>
      <c r="G10" s="2" t="s">
        <v>8</v>
      </c>
      <c r="I10" s="14" t="s">
        <v>33</v>
      </c>
      <c r="J10">
        <v>3</v>
      </c>
    </row>
    <row r="11" spans="1:10" x14ac:dyDescent="0.25">
      <c r="A11" s="6">
        <v>45742</v>
      </c>
      <c r="B11" s="1">
        <v>2</v>
      </c>
      <c r="C11" s="2" t="s">
        <v>17</v>
      </c>
      <c r="D11" s="2" t="s">
        <v>20</v>
      </c>
      <c r="E11" s="3">
        <v>2089.4899999999998</v>
      </c>
      <c r="F11" s="3">
        <f t="shared" si="0"/>
        <v>4178.9799999999996</v>
      </c>
      <c r="G11" s="2" t="s">
        <v>57</v>
      </c>
      <c r="I11" s="14" t="s">
        <v>32</v>
      </c>
      <c r="J11">
        <v>4</v>
      </c>
    </row>
    <row r="12" spans="1:10" x14ac:dyDescent="0.25">
      <c r="A12" s="6">
        <v>45742</v>
      </c>
      <c r="B12" s="1">
        <v>2</v>
      </c>
      <c r="C12" s="2" t="s">
        <v>17</v>
      </c>
      <c r="D12" s="2" t="s">
        <v>21</v>
      </c>
      <c r="E12" s="3">
        <v>2089.4899999999998</v>
      </c>
      <c r="F12" s="3">
        <f t="shared" si="0"/>
        <v>4178.9799999999996</v>
      </c>
      <c r="G12" s="2" t="s">
        <v>22</v>
      </c>
      <c r="I12" s="14" t="s">
        <v>34</v>
      </c>
      <c r="J12">
        <v>2</v>
      </c>
    </row>
    <row r="13" spans="1:10" x14ac:dyDescent="0.25">
      <c r="A13" s="6">
        <v>45742</v>
      </c>
      <c r="B13" s="1">
        <v>2</v>
      </c>
      <c r="C13" s="2" t="s">
        <v>17</v>
      </c>
      <c r="D13" s="2" t="s">
        <v>23</v>
      </c>
      <c r="E13" s="3">
        <v>2089.4899999999998</v>
      </c>
      <c r="F13" s="3">
        <f t="shared" si="0"/>
        <v>4178.9799999999996</v>
      </c>
      <c r="G13" s="2" t="s">
        <v>8</v>
      </c>
      <c r="I13" s="14" t="s">
        <v>31</v>
      </c>
      <c r="J13">
        <v>16</v>
      </c>
    </row>
    <row r="14" spans="1:10" x14ac:dyDescent="0.25">
      <c r="A14" s="6">
        <v>45743</v>
      </c>
      <c r="B14" s="1">
        <v>2</v>
      </c>
      <c r="C14" s="2" t="s">
        <v>17</v>
      </c>
      <c r="D14" s="2" t="s">
        <v>19</v>
      </c>
      <c r="E14" s="3">
        <v>2089.4899999999998</v>
      </c>
      <c r="F14" s="3">
        <f t="shared" si="0"/>
        <v>4178.9799999999996</v>
      </c>
      <c r="G14" s="2" t="s">
        <v>58</v>
      </c>
      <c r="I14" s="14" t="s">
        <v>35</v>
      </c>
      <c r="J14">
        <v>2</v>
      </c>
    </row>
    <row r="15" spans="1:10" x14ac:dyDescent="0.25">
      <c r="A15" s="6">
        <v>45743</v>
      </c>
      <c r="B15" s="1">
        <v>2</v>
      </c>
      <c r="C15" s="2" t="s">
        <v>17</v>
      </c>
      <c r="D15" s="2" t="s">
        <v>23</v>
      </c>
      <c r="E15" s="3">
        <v>2089.4899999999998</v>
      </c>
      <c r="F15" s="3">
        <f t="shared" si="0"/>
        <v>4178.9799999999996</v>
      </c>
      <c r="G15" s="2" t="s">
        <v>58</v>
      </c>
      <c r="I15" s="14" t="s">
        <v>6</v>
      </c>
      <c r="J15">
        <v>4</v>
      </c>
    </row>
    <row r="16" spans="1:10" x14ac:dyDescent="0.25">
      <c r="A16" s="6">
        <v>45743</v>
      </c>
      <c r="B16" s="1">
        <v>2</v>
      </c>
      <c r="C16" s="2" t="s">
        <v>9</v>
      </c>
      <c r="D16" s="2" t="s">
        <v>23</v>
      </c>
      <c r="E16" s="3">
        <v>2089.4899999999998</v>
      </c>
      <c r="F16" s="3">
        <f t="shared" si="0"/>
        <v>4178.9799999999996</v>
      </c>
      <c r="G16" s="2" t="s">
        <v>58</v>
      </c>
      <c r="I16" s="14" t="s">
        <v>79</v>
      </c>
    </row>
    <row r="17" spans="1:10" x14ac:dyDescent="0.25">
      <c r="A17" s="6">
        <v>45743</v>
      </c>
      <c r="B17" s="1">
        <v>2</v>
      </c>
      <c r="C17" s="2" t="s">
        <v>9</v>
      </c>
      <c r="D17" s="2" t="s">
        <v>25</v>
      </c>
      <c r="E17" s="3">
        <v>2089.4899999999998</v>
      </c>
      <c r="F17" s="3">
        <f t="shared" si="0"/>
        <v>4178.9799999999996</v>
      </c>
      <c r="G17" s="2" t="s">
        <v>58</v>
      </c>
      <c r="I17" s="14" t="s">
        <v>80</v>
      </c>
      <c r="J17">
        <v>86</v>
      </c>
    </row>
    <row r="18" spans="1:10" x14ac:dyDescent="0.25">
      <c r="A18" s="6">
        <v>45743</v>
      </c>
      <c r="B18" s="1">
        <v>2</v>
      </c>
      <c r="C18" s="2" t="s">
        <v>17</v>
      </c>
      <c r="D18" s="2" t="s">
        <v>25</v>
      </c>
      <c r="E18" s="3">
        <v>2089.4899999999998</v>
      </c>
      <c r="F18" s="3">
        <f t="shared" si="0"/>
        <v>4178.9799999999996</v>
      </c>
      <c r="G18" s="2" t="s">
        <v>58</v>
      </c>
    </row>
    <row r="19" spans="1:10" x14ac:dyDescent="0.25">
      <c r="A19" s="6">
        <v>45743</v>
      </c>
      <c r="B19" s="1">
        <v>2</v>
      </c>
      <c r="C19" s="2" t="s">
        <v>26</v>
      </c>
      <c r="D19" s="2" t="s">
        <v>27</v>
      </c>
      <c r="E19" s="3">
        <v>2204</v>
      </c>
      <c r="F19" s="3">
        <f t="shared" si="0"/>
        <v>4408</v>
      </c>
      <c r="G19" s="2" t="s">
        <v>58</v>
      </c>
    </row>
    <row r="20" spans="1:10" x14ac:dyDescent="0.25">
      <c r="A20" s="6">
        <v>45744</v>
      </c>
      <c r="B20" s="1">
        <v>2</v>
      </c>
      <c r="C20" s="2" t="s">
        <v>17</v>
      </c>
      <c r="D20" s="2" t="s">
        <v>28</v>
      </c>
      <c r="E20" s="3">
        <v>2089.4899999999998</v>
      </c>
      <c r="F20" s="3">
        <v>4178.9799999999996</v>
      </c>
      <c r="G20" s="2" t="s">
        <v>77</v>
      </c>
    </row>
    <row r="21" spans="1:10" x14ac:dyDescent="0.25">
      <c r="A21" s="6">
        <v>45744</v>
      </c>
      <c r="B21" s="1">
        <v>1</v>
      </c>
      <c r="C21" s="2" t="s">
        <v>29</v>
      </c>
      <c r="D21" s="2" t="s">
        <v>30</v>
      </c>
      <c r="E21" s="3">
        <v>2204</v>
      </c>
      <c r="F21" s="3">
        <f>(B21*E21)</f>
        <v>2204</v>
      </c>
      <c r="G21" s="2" t="s">
        <v>89</v>
      </c>
    </row>
    <row r="22" spans="1:10" x14ac:dyDescent="0.25">
      <c r="A22" s="6">
        <v>45744</v>
      </c>
      <c r="B22" s="1">
        <v>2</v>
      </c>
      <c r="C22" s="2" t="s">
        <v>31</v>
      </c>
      <c r="D22" s="2" t="s">
        <v>30</v>
      </c>
      <c r="E22" s="3">
        <v>220</v>
      </c>
      <c r="F22" s="3">
        <f t="shared" ref="F22:F30" si="1">(B22*E22)</f>
        <v>440</v>
      </c>
      <c r="G22" s="2" t="s">
        <v>8</v>
      </c>
    </row>
    <row r="23" spans="1:10" x14ac:dyDescent="0.25">
      <c r="A23" s="6">
        <v>45744</v>
      </c>
      <c r="B23" s="1">
        <v>2</v>
      </c>
      <c r="C23" s="2" t="s">
        <v>32</v>
      </c>
      <c r="D23" s="2" t="s">
        <v>30</v>
      </c>
      <c r="E23" s="3">
        <v>89</v>
      </c>
      <c r="F23" s="3">
        <f t="shared" si="1"/>
        <v>178</v>
      </c>
      <c r="G23" s="2" t="s">
        <v>8</v>
      </c>
    </row>
    <row r="24" spans="1:10" x14ac:dyDescent="0.25">
      <c r="A24" s="6">
        <v>45744</v>
      </c>
      <c r="B24" s="1">
        <v>2</v>
      </c>
      <c r="C24" s="2" t="s">
        <v>33</v>
      </c>
      <c r="D24" s="2" t="s">
        <v>30</v>
      </c>
      <c r="E24" s="3">
        <v>89</v>
      </c>
      <c r="F24" s="3">
        <f t="shared" si="1"/>
        <v>178</v>
      </c>
      <c r="G24" s="2" t="s">
        <v>8</v>
      </c>
    </row>
    <row r="25" spans="1:10" x14ac:dyDescent="0.25">
      <c r="A25" s="6">
        <v>45744</v>
      </c>
      <c r="B25" s="1">
        <v>2</v>
      </c>
      <c r="C25" s="2" t="s">
        <v>34</v>
      </c>
      <c r="D25" s="2" t="s">
        <v>30</v>
      </c>
      <c r="E25" s="3">
        <v>89</v>
      </c>
      <c r="F25" s="3">
        <f t="shared" si="1"/>
        <v>178</v>
      </c>
      <c r="G25" s="2" t="s">
        <v>8</v>
      </c>
    </row>
    <row r="26" spans="1:10" x14ac:dyDescent="0.25">
      <c r="A26" s="6">
        <v>45744</v>
      </c>
      <c r="B26" s="1">
        <v>2</v>
      </c>
      <c r="C26" s="2" t="s">
        <v>35</v>
      </c>
      <c r="D26" s="2" t="s">
        <v>30</v>
      </c>
      <c r="E26" s="3">
        <v>55</v>
      </c>
      <c r="F26" s="3">
        <f t="shared" si="1"/>
        <v>110</v>
      </c>
      <c r="G26" s="2" t="s">
        <v>8</v>
      </c>
    </row>
    <row r="27" spans="1:10" x14ac:dyDescent="0.25">
      <c r="A27" s="6">
        <v>45744</v>
      </c>
      <c r="B27" s="1">
        <v>2</v>
      </c>
      <c r="C27" s="2" t="s">
        <v>31</v>
      </c>
      <c r="D27" s="2" t="s">
        <v>30</v>
      </c>
      <c r="E27" s="3">
        <v>220</v>
      </c>
      <c r="F27" s="3">
        <f t="shared" si="1"/>
        <v>440</v>
      </c>
      <c r="G27" s="2" t="s">
        <v>58</v>
      </c>
    </row>
    <row r="28" spans="1:10" x14ac:dyDescent="0.25">
      <c r="A28" s="6">
        <v>45744</v>
      </c>
      <c r="B28" s="1">
        <v>2</v>
      </c>
      <c r="C28" s="2" t="s">
        <v>31</v>
      </c>
      <c r="D28" s="2" t="s">
        <v>30</v>
      </c>
      <c r="E28" s="3">
        <v>220</v>
      </c>
      <c r="F28" s="3">
        <f t="shared" si="1"/>
        <v>440</v>
      </c>
      <c r="G28" s="2" t="s">
        <v>89</v>
      </c>
    </row>
    <row r="29" spans="1:10" x14ac:dyDescent="0.25">
      <c r="A29" s="6">
        <v>45744</v>
      </c>
      <c r="B29" s="1">
        <v>2</v>
      </c>
      <c r="C29" s="2" t="s">
        <v>32</v>
      </c>
      <c r="D29" s="2" t="s">
        <v>30</v>
      </c>
      <c r="E29" s="3">
        <v>89</v>
      </c>
      <c r="F29" s="3">
        <f t="shared" si="1"/>
        <v>178</v>
      </c>
      <c r="G29" s="2" t="s">
        <v>89</v>
      </c>
    </row>
    <row r="30" spans="1:10" x14ac:dyDescent="0.25">
      <c r="A30" s="6">
        <v>45744</v>
      </c>
      <c r="B30" s="1">
        <v>1</v>
      </c>
      <c r="C30" s="2" t="s">
        <v>33</v>
      </c>
      <c r="D30" s="2" t="s">
        <v>30</v>
      </c>
      <c r="E30" s="3">
        <v>89</v>
      </c>
      <c r="F30" s="3">
        <f t="shared" si="1"/>
        <v>89</v>
      </c>
      <c r="G30" s="2" t="s">
        <v>89</v>
      </c>
    </row>
    <row r="31" spans="1:10" x14ac:dyDescent="0.25">
      <c r="A31" s="6">
        <v>45745</v>
      </c>
      <c r="B31" s="1">
        <v>2</v>
      </c>
      <c r="C31" s="2" t="s">
        <v>17</v>
      </c>
      <c r="D31" s="2" t="s">
        <v>28</v>
      </c>
      <c r="E31" s="3">
        <v>2089.4899999999998</v>
      </c>
      <c r="F31" s="3">
        <v>4178.9799999999996</v>
      </c>
      <c r="G31" s="2" t="s">
        <v>77</v>
      </c>
    </row>
    <row r="32" spans="1:10" x14ac:dyDescent="0.25">
      <c r="A32" s="6">
        <v>45745</v>
      </c>
      <c r="B32" s="1">
        <v>2</v>
      </c>
      <c r="C32" s="2" t="s">
        <v>29</v>
      </c>
      <c r="D32" s="2" t="s">
        <v>50</v>
      </c>
      <c r="E32" s="3">
        <v>2204</v>
      </c>
      <c r="F32" s="3">
        <f t="shared" ref="F32:F39" si="2">(B32*E32)</f>
        <v>4408</v>
      </c>
      <c r="G32" s="2" t="s">
        <v>57</v>
      </c>
    </row>
    <row r="33" spans="1:7" x14ac:dyDescent="0.25">
      <c r="A33" s="6">
        <v>45745</v>
      </c>
      <c r="B33" s="1">
        <v>1</v>
      </c>
      <c r="C33" s="2" t="s">
        <v>6</v>
      </c>
      <c r="D33" s="2" t="s">
        <v>10</v>
      </c>
      <c r="E33" s="3">
        <v>669</v>
      </c>
      <c r="F33" s="3">
        <f t="shared" si="2"/>
        <v>669</v>
      </c>
      <c r="G33" s="2" t="s">
        <v>89</v>
      </c>
    </row>
    <row r="34" spans="1:7" x14ac:dyDescent="0.25">
      <c r="A34" s="6">
        <v>45747</v>
      </c>
      <c r="B34" s="2">
        <v>2</v>
      </c>
      <c r="C34" s="2" t="s">
        <v>17</v>
      </c>
      <c r="D34" s="2" t="s">
        <v>19</v>
      </c>
      <c r="E34" s="2">
        <v>2460.9899999999998</v>
      </c>
      <c r="F34" s="2">
        <f t="shared" si="2"/>
        <v>4921.9799999999996</v>
      </c>
      <c r="G34" s="2" t="s">
        <v>77</v>
      </c>
    </row>
    <row r="35" spans="1:7" x14ac:dyDescent="0.25">
      <c r="A35" s="6">
        <v>45747</v>
      </c>
      <c r="B35" s="2">
        <v>2</v>
      </c>
      <c r="C35" s="2" t="s">
        <v>56</v>
      </c>
      <c r="D35" s="2" t="s">
        <v>25</v>
      </c>
      <c r="E35" s="2">
        <v>2089.9899999999998</v>
      </c>
      <c r="F35" s="2">
        <f t="shared" si="2"/>
        <v>4179.9799999999996</v>
      </c>
      <c r="G35" s="2" t="s">
        <v>90</v>
      </c>
    </row>
    <row r="36" spans="1:7" x14ac:dyDescent="0.25">
      <c r="A36" s="6">
        <v>45747</v>
      </c>
      <c r="B36" s="2">
        <v>2</v>
      </c>
      <c r="C36" s="2" t="s">
        <v>56</v>
      </c>
      <c r="D36" s="2" t="s">
        <v>27</v>
      </c>
      <c r="E36" s="2">
        <v>2460.9899999999998</v>
      </c>
      <c r="F36" s="2">
        <f t="shared" si="2"/>
        <v>4921.9799999999996</v>
      </c>
      <c r="G36" s="2" t="s">
        <v>90</v>
      </c>
    </row>
    <row r="37" spans="1:7" x14ac:dyDescent="0.25">
      <c r="A37" s="6">
        <v>45747</v>
      </c>
      <c r="B37" s="2">
        <v>10</v>
      </c>
      <c r="C37" s="2" t="s">
        <v>31</v>
      </c>
      <c r="D37" s="2" t="s">
        <v>59</v>
      </c>
      <c r="E37" s="2">
        <v>213</v>
      </c>
      <c r="F37" s="2">
        <f t="shared" si="2"/>
        <v>2130</v>
      </c>
      <c r="G37" s="2" t="s">
        <v>135</v>
      </c>
    </row>
    <row r="38" spans="1:7" x14ac:dyDescent="0.25">
      <c r="A38" s="6">
        <v>45747</v>
      </c>
      <c r="B38" s="2">
        <v>10</v>
      </c>
      <c r="C38" s="2" t="s">
        <v>60</v>
      </c>
      <c r="D38" s="2" t="s">
        <v>59</v>
      </c>
      <c r="E38" s="2">
        <v>87</v>
      </c>
      <c r="F38" s="2">
        <f t="shared" si="2"/>
        <v>870</v>
      </c>
      <c r="G38" s="2" t="s">
        <v>136</v>
      </c>
    </row>
    <row r="39" spans="1:7" x14ac:dyDescent="0.25">
      <c r="A39" s="15">
        <v>45747</v>
      </c>
      <c r="B39" s="16">
        <v>2</v>
      </c>
      <c r="C39" s="16" t="s">
        <v>17</v>
      </c>
      <c r="D39" s="16" t="s">
        <v>28</v>
      </c>
      <c r="E39" s="16">
        <v>2089.9899999999998</v>
      </c>
      <c r="F39" s="16">
        <f t="shared" si="2"/>
        <v>4179.9799999999996</v>
      </c>
      <c r="G39" s="16" t="s">
        <v>91</v>
      </c>
    </row>
  </sheetData>
  <autoFilter ref="A1:G39" xr:uid="{DC07A957-8A1B-407D-8C45-962A45CF9E96}"/>
  <phoneticPr fontId="3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3D81B-C2B7-4955-80BB-EC43B2456073}">
  <dimension ref="A1:K9"/>
  <sheetViews>
    <sheetView workbookViewId="0">
      <selection activeCell="I15" sqref="I15"/>
    </sheetView>
  </sheetViews>
  <sheetFormatPr defaultRowHeight="15" x14ac:dyDescent="0.25"/>
  <cols>
    <col min="1" max="1" width="9.5703125" bestFit="1" customWidth="1"/>
    <col min="3" max="3" width="28.7109375" bestFit="1" customWidth="1"/>
    <col min="4" max="4" width="20.7109375" bestFit="1" customWidth="1"/>
    <col min="7" max="7" width="14.42578125" bestFit="1" customWidth="1"/>
    <col min="8" max="8" width="9.5703125" bestFit="1" customWidth="1"/>
    <col min="9" max="9" width="22.28515625" bestFit="1" customWidth="1"/>
  </cols>
  <sheetData>
    <row r="1" spans="1:11" x14ac:dyDescent="0.25">
      <c r="B1" s="160">
        <v>45746</v>
      </c>
      <c r="C1" s="160"/>
      <c r="D1" s="160"/>
      <c r="E1" s="160"/>
      <c r="F1" s="160"/>
      <c r="G1" s="160"/>
    </row>
    <row r="2" spans="1:11" x14ac:dyDescent="0.25">
      <c r="B2" s="4" t="s">
        <v>0</v>
      </c>
      <c r="C2" s="5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6">
        <v>45749</v>
      </c>
      <c r="J2" s="7"/>
      <c r="K2" t="s">
        <v>92</v>
      </c>
    </row>
    <row r="3" spans="1:11" x14ac:dyDescent="0.25">
      <c r="B3">
        <v>5</v>
      </c>
      <c r="C3" t="s">
        <v>61</v>
      </c>
      <c r="D3" t="s">
        <v>55</v>
      </c>
      <c r="E3">
        <v>679</v>
      </c>
      <c r="F3">
        <f>(B3*E3)</f>
        <v>3395</v>
      </c>
      <c r="G3" t="s">
        <v>63</v>
      </c>
      <c r="H3">
        <v>4</v>
      </c>
      <c r="I3" t="s">
        <v>63</v>
      </c>
      <c r="K3" s="161">
        <v>125</v>
      </c>
    </row>
    <row r="4" spans="1:11" x14ac:dyDescent="0.25">
      <c r="B4">
        <v>1</v>
      </c>
      <c r="C4" s="2" t="s">
        <v>17</v>
      </c>
      <c r="D4" t="s">
        <v>28</v>
      </c>
      <c r="E4">
        <v>2089</v>
      </c>
      <c r="F4">
        <f>(B4*E4)</f>
        <v>2089</v>
      </c>
      <c r="G4" t="s">
        <v>63</v>
      </c>
      <c r="H4">
        <v>1</v>
      </c>
      <c r="I4" t="s">
        <v>63</v>
      </c>
      <c r="K4" s="161"/>
    </row>
    <row r="5" spans="1:11" x14ac:dyDescent="0.25">
      <c r="A5" s="12">
        <v>45748</v>
      </c>
      <c r="B5" s="11">
        <v>1</v>
      </c>
      <c r="C5" s="10" t="s">
        <v>64</v>
      </c>
      <c r="D5" s="11" t="s">
        <v>28</v>
      </c>
      <c r="E5" s="11">
        <v>2460.4899999999998</v>
      </c>
      <c r="F5" s="11">
        <v>2460.4899999999998</v>
      </c>
      <c r="G5" t="s">
        <v>62</v>
      </c>
    </row>
    <row r="6" spans="1:11" x14ac:dyDescent="0.25">
      <c r="A6" s="6">
        <v>45750</v>
      </c>
      <c r="B6" s="11">
        <v>2</v>
      </c>
      <c r="C6" s="2" t="s">
        <v>17</v>
      </c>
      <c r="D6" s="11" t="s">
        <v>28</v>
      </c>
      <c r="E6" s="11">
        <v>2460.4899999999998</v>
      </c>
      <c r="F6" s="11">
        <f>(B6*E6)</f>
        <v>4920.9799999999996</v>
      </c>
      <c r="G6" t="s">
        <v>62</v>
      </c>
      <c r="H6">
        <v>2</v>
      </c>
      <c r="I6" t="s">
        <v>209</v>
      </c>
      <c r="K6">
        <v>100</v>
      </c>
    </row>
    <row r="7" spans="1:11" x14ac:dyDescent="0.25">
      <c r="A7" s="6">
        <v>45755</v>
      </c>
      <c r="B7">
        <v>2</v>
      </c>
      <c r="C7" s="2" t="s">
        <v>17</v>
      </c>
      <c r="D7" t="s">
        <v>96</v>
      </c>
      <c r="E7">
        <v>2089</v>
      </c>
      <c r="F7" s="11">
        <f>(B7*E7)</f>
        <v>4178</v>
      </c>
      <c r="G7" t="s">
        <v>63</v>
      </c>
      <c r="H7">
        <v>2</v>
      </c>
      <c r="I7" t="s">
        <v>63</v>
      </c>
    </row>
    <row r="8" spans="1:11" x14ac:dyDescent="0.25">
      <c r="A8" t="s">
        <v>127</v>
      </c>
      <c r="B8">
        <v>1</v>
      </c>
      <c r="C8" s="2" t="s">
        <v>131</v>
      </c>
      <c r="D8" t="s">
        <v>130</v>
      </c>
      <c r="E8">
        <v>2299</v>
      </c>
      <c r="F8" s="11">
        <f>(B8*E8)</f>
        <v>2299</v>
      </c>
      <c r="G8" t="s">
        <v>63</v>
      </c>
      <c r="H8">
        <v>1</v>
      </c>
      <c r="I8" t="s">
        <v>129</v>
      </c>
    </row>
    <row r="9" spans="1:11" x14ac:dyDescent="0.25">
      <c r="A9" t="s">
        <v>128</v>
      </c>
      <c r="B9">
        <v>1</v>
      </c>
      <c r="C9" s="22" t="s">
        <v>61</v>
      </c>
      <c r="D9" t="s">
        <v>130</v>
      </c>
      <c r="E9">
        <v>724</v>
      </c>
      <c r="F9" s="11">
        <f>(B9*E9)</f>
        <v>724</v>
      </c>
      <c r="G9" t="s">
        <v>63</v>
      </c>
      <c r="H9">
        <v>1</v>
      </c>
      <c r="I9" t="s">
        <v>129</v>
      </c>
    </row>
  </sheetData>
  <mergeCells count="2">
    <mergeCell ref="B1:G1"/>
    <mergeCell ref="K3:K4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222-7D91-4DD5-A208-B3F68A87D525}">
  <dimension ref="A1:W190"/>
  <sheetViews>
    <sheetView topLeftCell="A138" workbookViewId="0">
      <selection activeCell="H98" sqref="H98"/>
    </sheetView>
  </sheetViews>
  <sheetFormatPr defaultRowHeight="15" x14ac:dyDescent="0.25"/>
  <cols>
    <col min="1" max="1" width="10.5703125" bestFit="1" customWidth="1"/>
    <col min="3" max="3" width="35.7109375" bestFit="1" customWidth="1"/>
    <col min="4" max="4" width="25.28515625" bestFit="1" customWidth="1"/>
    <col min="6" max="6" width="10" bestFit="1" customWidth="1"/>
    <col min="7" max="7" width="35.28515625" bestFit="1" customWidth="1"/>
    <col min="8" max="8" width="30.7109375" bestFit="1" customWidth="1"/>
    <col min="9" max="9" width="10" bestFit="1" customWidth="1"/>
    <col min="10" max="10" width="22" bestFit="1" customWidth="1"/>
    <col min="11" max="11" width="34.85546875" bestFit="1" customWidth="1"/>
    <col min="12" max="12" width="17.85546875" bestFit="1" customWidth="1"/>
    <col min="13" max="13" width="12" bestFit="1" customWidth="1"/>
    <col min="14" max="16" width="11.140625" bestFit="1" customWidth="1"/>
    <col min="17" max="17" width="12" bestFit="1" customWidth="1"/>
    <col min="18" max="21" width="11.140625" bestFit="1" customWidth="1"/>
    <col min="22" max="22" width="15.7109375" bestFit="1" customWidth="1"/>
    <col min="23" max="23" width="17" bestFit="1" customWidth="1"/>
  </cols>
  <sheetData>
    <row r="1" spans="1:2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K1" s="13" t="s">
        <v>65</v>
      </c>
      <c r="L1" t="s">
        <v>147</v>
      </c>
    </row>
    <row r="2" spans="1:23" x14ac:dyDescent="0.25">
      <c r="A2" s="8">
        <v>45748</v>
      </c>
      <c r="B2" s="2">
        <v>2</v>
      </c>
      <c r="C2" s="2" t="s">
        <v>68</v>
      </c>
      <c r="D2" s="2" t="s">
        <v>19</v>
      </c>
      <c r="E2" s="3">
        <f>(F2/2)</f>
        <v>2089.4899999999998</v>
      </c>
      <c r="F2" s="3">
        <v>4178.9799999999996</v>
      </c>
      <c r="G2" s="2" t="s">
        <v>8</v>
      </c>
      <c r="H2" s="8">
        <v>45749</v>
      </c>
    </row>
    <row r="3" spans="1:23" x14ac:dyDescent="0.25">
      <c r="A3" s="8">
        <v>45748</v>
      </c>
      <c r="B3" s="2">
        <v>2</v>
      </c>
      <c r="C3" s="2" t="s">
        <v>69</v>
      </c>
      <c r="D3" s="2" t="s">
        <v>28</v>
      </c>
      <c r="E3" s="3">
        <f>(F3/2)</f>
        <v>2460.4899999999998</v>
      </c>
      <c r="F3" s="3">
        <v>4920.9799999999996</v>
      </c>
      <c r="G3" s="2" t="s">
        <v>8</v>
      </c>
      <c r="H3" s="2"/>
      <c r="K3" s="13" t="s">
        <v>78</v>
      </c>
      <c r="L3" t="s">
        <v>81</v>
      </c>
      <c r="M3" t="s">
        <v>146</v>
      </c>
    </row>
    <row r="4" spans="1:23" x14ac:dyDescent="0.25">
      <c r="A4" s="8">
        <v>45749</v>
      </c>
      <c r="B4" s="2">
        <v>2</v>
      </c>
      <c r="C4" s="2" t="s">
        <v>67</v>
      </c>
      <c r="D4" s="2" t="s">
        <v>19</v>
      </c>
      <c r="E4" s="3">
        <v>2517.4899999999998</v>
      </c>
      <c r="F4" s="3">
        <f>(B4*E4)</f>
        <v>5034.9799999999996</v>
      </c>
      <c r="G4" s="2" t="s">
        <v>8</v>
      </c>
      <c r="H4" s="2"/>
      <c r="K4" s="14" t="s">
        <v>140</v>
      </c>
      <c r="L4">
        <v>5</v>
      </c>
      <c r="M4">
        <v>13025</v>
      </c>
    </row>
    <row r="5" spans="1:23" x14ac:dyDescent="0.25">
      <c r="A5" s="8">
        <v>45749</v>
      </c>
      <c r="B5" s="2">
        <v>2</v>
      </c>
      <c r="C5" s="2" t="s">
        <v>68</v>
      </c>
      <c r="D5" s="2" t="s">
        <v>70</v>
      </c>
      <c r="E5" s="3">
        <v>2089.4899999999998</v>
      </c>
      <c r="F5" s="3">
        <f t="shared" ref="F5:F29" si="0">(B5*E5)</f>
        <v>4178.9799999999996</v>
      </c>
      <c r="G5" s="2" t="s">
        <v>8</v>
      </c>
      <c r="H5" s="2"/>
      <c r="K5" s="14" t="s">
        <v>141</v>
      </c>
      <c r="L5">
        <v>1</v>
      </c>
      <c r="M5">
        <v>3535</v>
      </c>
    </row>
    <row r="6" spans="1:23" x14ac:dyDescent="0.25">
      <c r="A6" s="8">
        <v>45749</v>
      </c>
      <c r="B6" s="2">
        <v>2</v>
      </c>
      <c r="C6" s="2" t="s">
        <v>73</v>
      </c>
      <c r="D6" s="2" t="s">
        <v>70</v>
      </c>
      <c r="E6" s="3">
        <v>2089.4899999999998</v>
      </c>
      <c r="F6" s="3">
        <f t="shared" si="0"/>
        <v>4178.9799999999996</v>
      </c>
      <c r="G6" s="2" t="s">
        <v>8</v>
      </c>
      <c r="H6" s="2"/>
      <c r="K6" s="14" t="s">
        <v>132</v>
      </c>
      <c r="L6">
        <v>1</v>
      </c>
      <c r="M6">
        <v>713</v>
      </c>
    </row>
    <row r="7" spans="1:23" x14ac:dyDescent="0.25">
      <c r="A7" s="8">
        <v>45749</v>
      </c>
      <c r="B7" s="2">
        <v>1</v>
      </c>
      <c r="C7" s="2" t="s">
        <v>68</v>
      </c>
      <c r="D7" s="2" t="s">
        <v>16</v>
      </c>
      <c r="E7" s="3">
        <v>2089.9899999999998</v>
      </c>
      <c r="F7" s="3">
        <f t="shared" si="0"/>
        <v>2089.9899999999998</v>
      </c>
      <c r="G7" s="2" t="s">
        <v>8</v>
      </c>
      <c r="H7" s="8">
        <v>45755</v>
      </c>
      <c r="K7" s="14" t="s">
        <v>123</v>
      </c>
      <c r="L7">
        <v>52</v>
      </c>
      <c r="M7">
        <v>1560</v>
      </c>
    </row>
    <row r="8" spans="1:23" x14ac:dyDescent="0.25">
      <c r="A8" s="8">
        <v>45749</v>
      </c>
      <c r="B8" s="2">
        <v>1</v>
      </c>
      <c r="C8" s="2" t="s">
        <v>73</v>
      </c>
      <c r="D8" s="2" t="s">
        <v>16</v>
      </c>
      <c r="E8" s="3">
        <v>2089.9899999999998</v>
      </c>
      <c r="F8" s="3">
        <f t="shared" si="0"/>
        <v>2089.9899999999998</v>
      </c>
      <c r="G8" s="2" t="s">
        <v>8</v>
      </c>
      <c r="H8" s="8">
        <v>45755</v>
      </c>
      <c r="K8" s="14" t="s">
        <v>134</v>
      </c>
      <c r="L8">
        <v>31</v>
      </c>
      <c r="M8">
        <v>611</v>
      </c>
    </row>
    <row r="9" spans="1:23" x14ac:dyDescent="0.25">
      <c r="A9" s="8">
        <v>45749</v>
      </c>
      <c r="B9" s="2">
        <v>8</v>
      </c>
      <c r="C9" s="2" t="s">
        <v>74</v>
      </c>
      <c r="D9" s="2" t="s">
        <v>71</v>
      </c>
      <c r="E9" s="3">
        <v>229</v>
      </c>
      <c r="F9" s="3">
        <f t="shared" si="0"/>
        <v>1832</v>
      </c>
      <c r="G9" s="2" t="s">
        <v>8</v>
      </c>
      <c r="H9" s="8">
        <v>45749</v>
      </c>
      <c r="K9" s="14" t="s">
        <v>143</v>
      </c>
      <c r="L9">
        <v>6</v>
      </c>
      <c r="M9">
        <v>1224</v>
      </c>
    </row>
    <row r="10" spans="1:23" x14ac:dyDescent="0.25">
      <c r="A10" s="8">
        <v>45749</v>
      </c>
      <c r="B10" s="2">
        <v>1</v>
      </c>
      <c r="C10" s="2" t="s">
        <v>98</v>
      </c>
      <c r="D10" s="2" t="s">
        <v>71</v>
      </c>
      <c r="E10" s="3">
        <v>699</v>
      </c>
      <c r="F10" s="3">
        <f t="shared" si="0"/>
        <v>699</v>
      </c>
      <c r="G10" s="2" t="s">
        <v>8</v>
      </c>
      <c r="H10" s="8">
        <v>45750</v>
      </c>
      <c r="K10" s="14" t="s">
        <v>144</v>
      </c>
      <c r="L10">
        <v>3</v>
      </c>
      <c r="M10">
        <v>600</v>
      </c>
    </row>
    <row r="11" spans="1:23" x14ac:dyDescent="0.25">
      <c r="A11" s="8">
        <v>45749</v>
      </c>
      <c r="B11" s="2">
        <v>1</v>
      </c>
      <c r="C11" s="2" t="s">
        <v>75</v>
      </c>
      <c r="D11" s="2" t="s">
        <v>71</v>
      </c>
      <c r="E11" s="3">
        <v>799</v>
      </c>
      <c r="F11" s="3">
        <f t="shared" si="0"/>
        <v>799</v>
      </c>
      <c r="G11" s="2" t="s">
        <v>8</v>
      </c>
      <c r="H11" s="8">
        <v>45750</v>
      </c>
      <c r="K11" s="14" t="s">
        <v>86</v>
      </c>
      <c r="L11">
        <v>5</v>
      </c>
      <c r="M11">
        <v>435</v>
      </c>
    </row>
    <row r="12" spans="1:23" x14ac:dyDescent="0.25">
      <c r="A12" s="8">
        <v>45749</v>
      </c>
      <c r="B12" s="2">
        <v>1</v>
      </c>
      <c r="C12" s="2" t="s">
        <v>68</v>
      </c>
      <c r="D12" s="2" t="s">
        <v>71</v>
      </c>
      <c r="E12" s="3">
        <v>2149</v>
      </c>
      <c r="F12" s="3">
        <f t="shared" si="0"/>
        <v>2149</v>
      </c>
      <c r="G12" s="2" t="s">
        <v>8</v>
      </c>
      <c r="H12" s="8">
        <v>45749</v>
      </c>
      <c r="K12" s="14" t="s">
        <v>122</v>
      </c>
      <c r="L12">
        <v>5</v>
      </c>
      <c r="M12">
        <v>715</v>
      </c>
    </row>
    <row r="13" spans="1:23" x14ac:dyDescent="0.25">
      <c r="A13" s="17">
        <v>45749</v>
      </c>
      <c r="B13" s="18">
        <v>1</v>
      </c>
      <c r="C13" s="18" t="s">
        <v>68</v>
      </c>
      <c r="D13" s="18" t="s">
        <v>21</v>
      </c>
      <c r="E13" s="19">
        <v>2089.9899999999998</v>
      </c>
      <c r="F13" s="19">
        <f t="shared" si="0"/>
        <v>2089.9899999999998</v>
      </c>
      <c r="G13" s="18" t="s">
        <v>110</v>
      </c>
      <c r="H13" s="18" t="s">
        <v>93</v>
      </c>
      <c r="I13" s="60">
        <f>F13/11</f>
        <v>189.99909090909088</v>
      </c>
      <c r="K13" s="14" t="s">
        <v>133</v>
      </c>
      <c r="L13">
        <v>4</v>
      </c>
      <c r="M13">
        <v>852</v>
      </c>
    </row>
    <row r="14" spans="1:23" s="20" customFormat="1" x14ac:dyDescent="0.25">
      <c r="A14" s="17">
        <v>45749</v>
      </c>
      <c r="B14" s="18">
        <v>2</v>
      </c>
      <c r="C14" s="18" t="s">
        <v>68</v>
      </c>
      <c r="D14" s="18" t="s">
        <v>72</v>
      </c>
      <c r="E14" s="19">
        <v>2089.9899999999998</v>
      </c>
      <c r="F14" s="19">
        <f t="shared" si="0"/>
        <v>4179.9799999999996</v>
      </c>
      <c r="G14" s="18" t="s">
        <v>110</v>
      </c>
      <c r="H14" s="18" t="s">
        <v>110</v>
      </c>
      <c r="I14" s="60">
        <f>F14/11</f>
        <v>379.99818181818176</v>
      </c>
      <c r="K14" s="14" t="s">
        <v>145</v>
      </c>
      <c r="L14">
        <v>1</v>
      </c>
      <c r="M14">
        <v>2077</v>
      </c>
      <c r="N14"/>
      <c r="O14"/>
      <c r="P14"/>
      <c r="Q14"/>
      <c r="R14"/>
      <c r="S14"/>
      <c r="T14"/>
      <c r="U14"/>
      <c r="V14"/>
      <c r="W14"/>
    </row>
    <row r="15" spans="1:23" x14ac:dyDescent="0.25">
      <c r="A15" s="8">
        <v>45749</v>
      </c>
      <c r="B15" s="2">
        <v>1</v>
      </c>
      <c r="C15" s="2" t="s">
        <v>68</v>
      </c>
      <c r="D15" s="2" t="s">
        <v>28</v>
      </c>
      <c r="E15" s="3">
        <v>2089.9899999999998</v>
      </c>
      <c r="F15" s="3">
        <f t="shared" si="0"/>
        <v>2089.9899999999998</v>
      </c>
      <c r="G15" s="2" t="s">
        <v>8</v>
      </c>
      <c r="H15" s="8">
        <v>45751</v>
      </c>
      <c r="K15" s="14" t="s">
        <v>112</v>
      </c>
      <c r="L15">
        <v>14</v>
      </c>
      <c r="M15">
        <v>32186</v>
      </c>
    </row>
    <row r="16" spans="1:23" x14ac:dyDescent="0.25">
      <c r="A16" s="8">
        <v>45749</v>
      </c>
      <c r="B16" s="2">
        <v>1</v>
      </c>
      <c r="C16" s="2" t="s">
        <v>73</v>
      </c>
      <c r="D16" s="2" t="s">
        <v>28</v>
      </c>
      <c r="E16" s="3">
        <v>2089.9899999999998</v>
      </c>
      <c r="F16" s="3">
        <f t="shared" si="0"/>
        <v>2089.9899999999998</v>
      </c>
      <c r="G16" s="2" t="s">
        <v>8</v>
      </c>
      <c r="H16" s="8">
        <v>45751</v>
      </c>
      <c r="K16" s="14" t="s">
        <v>119</v>
      </c>
      <c r="L16">
        <v>5</v>
      </c>
      <c r="M16">
        <v>11495</v>
      </c>
    </row>
    <row r="17" spans="1:13" x14ac:dyDescent="0.25">
      <c r="A17" s="8">
        <v>45749</v>
      </c>
      <c r="B17" s="2">
        <v>1</v>
      </c>
      <c r="C17" s="2" t="s">
        <v>76</v>
      </c>
      <c r="D17" s="2" t="s">
        <v>28</v>
      </c>
      <c r="E17" s="3">
        <v>39</v>
      </c>
      <c r="F17" s="3">
        <f t="shared" si="0"/>
        <v>39</v>
      </c>
      <c r="G17" s="2" t="s">
        <v>8</v>
      </c>
      <c r="H17" s="8">
        <v>45749</v>
      </c>
      <c r="K17" s="14" t="s">
        <v>113</v>
      </c>
      <c r="L17">
        <v>18</v>
      </c>
      <c r="M17">
        <v>41382</v>
      </c>
    </row>
    <row r="18" spans="1:13" x14ac:dyDescent="0.25">
      <c r="A18" s="8">
        <v>45750</v>
      </c>
      <c r="B18" s="2">
        <v>1</v>
      </c>
      <c r="C18" s="2" t="s">
        <v>82</v>
      </c>
      <c r="D18" s="2" t="s">
        <v>7</v>
      </c>
      <c r="E18" s="3">
        <v>799</v>
      </c>
      <c r="F18" s="3">
        <f t="shared" si="0"/>
        <v>799</v>
      </c>
      <c r="G18" s="2" t="s">
        <v>8</v>
      </c>
      <c r="H18" s="2"/>
      <c r="K18" s="14" t="s">
        <v>121</v>
      </c>
      <c r="L18">
        <v>11</v>
      </c>
      <c r="M18">
        <v>29241.97</v>
      </c>
    </row>
    <row r="19" spans="1:13" x14ac:dyDescent="0.25">
      <c r="A19" s="8">
        <v>45750</v>
      </c>
      <c r="B19" s="2">
        <v>1</v>
      </c>
      <c r="C19" s="2" t="s">
        <v>98</v>
      </c>
      <c r="D19" s="2" t="s">
        <v>83</v>
      </c>
      <c r="E19" s="3">
        <v>669</v>
      </c>
      <c r="F19" s="3">
        <f t="shared" si="0"/>
        <v>669</v>
      </c>
      <c r="G19" s="2" t="s">
        <v>107</v>
      </c>
      <c r="H19" s="2"/>
      <c r="K19" s="14" t="s">
        <v>126</v>
      </c>
      <c r="L19">
        <v>2</v>
      </c>
      <c r="M19">
        <v>5099.9799999999996</v>
      </c>
    </row>
    <row r="20" spans="1:13" x14ac:dyDescent="0.25">
      <c r="A20" s="8">
        <v>45750</v>
      </c>
      <c r="B20" s="2"/>
      <c r="C20" s="2" t="s">
        <v>84</v>
      </c>
      <c r="D20" s="2" t="s">
        <v>85</v>
      </c>
      <c r="E20" s="3">
        <v>36.54</v>
      </c>
      <c r="F20" s="3">
        <f t="shared" si="0"/>
        <v>0</v>
      </c>
      <c r="G20" s="2"/>
      <c r="H20" s="2"/>
      <c r="K20" s="14" t="s">
        <v>104</v>
      </c>
      <c r="L20">
        <v>1</v>
      </c>
      <c r="M20">
        <v>449</v>
      </c>
    </row>
    <row r="21" spans="1:13" x14ac:dyDescent="0.25">
      <c r="A21" s="8">
        <v>45751</v>
      </c>
      <c r="B21" s="2">
        <v>6</v>
      </c>
      <c r="C21" s="2" t="s">
        <v>86</v>
      </c>
      <c r="D21" s="2" t="s">
        <v>87</v>
      </c>
      <c r="E21" s="3">
        <v>87</v>
      </c>
      <c r="F21" s="3">
        <f t="shared" si="0"/>
        <v>522</v>
      </c>
      <c r="G21" s="2" t="s">
        <v>8</v>
      </c>
      <c r="H21" s="2"/>
      <c r="K21" s="14" t="s">
        <v>117</v>
      </c>
      <c r="L21">
        <v>5</v>
      </c>
      <c r="M21">
        <v>1582</v>
      </c>
    </row>
    <row r="22" spans="1:13" x14ac:dyDescent="0.25">
      <c r="A22" s="8">
        <v>45751</v>
      </c>
      <c r="B22" s="2">
        <v>1</v>
      </c>
      <c r="C22" s="2" t="s">
        <v>29</v>
      </c>
      <c r="D22" s="2" t="s">
        <v>41</v>
      </c>
      <c r="E22" s="3">
        <v>2204</v>
      </c>
      <c r="F22" s="3">
        <f t="shared" si="0"/>
        <v>2204</v>
      </c>
      <c r="G22" s="2" t="s">
        <v>107</v>
      </c>
      <c r="H22" s="2"/>
      <c r="K22" s="14" t="s">
        <v>116</v>
      </c>
      <c r="L22">
        <v>27</v>
      </c>
      <c r="M22">
        <v>19070.82</v>
      </c>
    </row>
    <row r="23" spans="1:13" x14ac:dyDescent="0.25">
      <c r="A23" s="8">
        <v>45751</v>
      </c>
      <c r="B23" s="2">
        <v>1</v>
      </c>
      <c r="C23" s="2" t="s">
        <v>73</v>
      </c>
      <c r="D23" s="2" t="s">
        <v>88</v>
      </c>
      <c r="E23" s="3">
        <v>2089.9899999999998</v>
      </c>
      <c r="F23" s="3">
        <f t="shared" si="0"/>
        <v>2089.9899999999998</v>
      </c>
      <c r="G23" s="2" t="s">
        <v>8</v>
      </c>
      <c r="H23" s="2"/>
      <c r="K23" s="14" t="s">
        <v>98</v>
      </c>
      <c r="L23">
        <v>47</v>
      </c>
      <c r="M23">
        <v>33903</v>
      </c>
    </row>
    <row r="24" spans="1:13" x14ac:dyDescent="0.25">
      <c r="A24" s="57">
        <v>45751</v>
      </c>
      <c r="B24" s="58">
        <v>1</v>
      </c>
      <c r="C24" s="58" t="s">
        <v>68</v>
      </c>
      <c r="D24" s="58" t="s">
        <v>88</v>
      </c>
      <c r="E24" s="59">
        <v>2089.9899999999998</v>
      </c>
      <c r="F24" s="59">
        <f t="shared" si="0"/>
        <v>2089.9899999999998</v>
      </c>
      <c r="G24" s="58" t="s">
        <v>192</v>
      </c>
      <c r="H24" s="2"/>
      <c r="I24" s="60">
        <f>F24/11</f>
        <v>189.99909090909088</v>
      </c>
      <c r="K24" s="14" t="s">
        <v>151</v>
      </c>
      <c r="L24">
        <v>2</v>
      </c>
      <c r="M24">
        <v>3499.98</v>
      </c>
    </row>
    <row r="25" spans="1:13" x14ac:dyDescent="0.25">
      <c r="A25" s="8"/>
      <c r="B25" s="2">
        <v>1</v>
      </c>
      <c r="C25" s="2" t="s">
        <v>148</v>
      </c>
      <c r="D25" s="2" t="s">
        <v>70</v>
      </c>
      <c r="E25" s="3">
        <v>2089.9899999999998</v>
      </c>
      <c r="F25" s="3">
        <f t="shared" si="0"/>
        <v>2089.9899999999998</v>
      </c>
      <c r="G25" s="2" t="s">
        <v>8</v>
      </c>
      <c r="H25" s="2"/>
      <c r="J25" t="s">
        <v>111</v>
      </c>
      <c r="K25" s="14" t="s">
        <v>152</v>
      </c>
      <c r="L25">
        <v>2</v>
      </c>
      <c r="M25">
        <v>3499.98</v>
      </c>
    </row>
    <row r="26" spans="1:13" x14ac:dyDescent="0.25">
      <c r="A26" s="57">
        <v>45752</v>
      </c>
      <c r="B26" s="58">
        <v>1</v>
      </c>
      <c r="C26" s="58" t="s">
        <v>97</v>
      </c>
      <c r="D26" s="58" t="s">
        <v>70</v>
      </c>
      <c r="E26" s="59">
        <v>2089.9899999999998</v>
      </c>
      <c r="F26" s="59">
        <f t="shared" si="0"/>
        <v>2089.9899999999998</v>
      </c>
      <c r="G26" s="58" t="s">
        <v>192</v>
      </c>
      <c r="H26" s="2"/>
      <c r="I26" s="60">
        <f>F26/11</f>
        <v>189.99909090909088</v>
      </c>
      <c r="K26" s="14" t="s">
        <v>153</v>
      </c>
      <c r="L26">
        <v>3</v>
      </c>
      <c r="M26">
        <v>5249.97</v>
      </c>
    </row>
    <row r="27" spans="1:13" x14ac:dyDescent="0.25">
      <c r="A27" s="8">
        <v>45752</v>
      </c>
      <c r="B27" s="2">
        <v>1</v>
      </c>
      <c r="C27" s="2" t="s">
        <v>95</v>
      </c>
      <c r="D27" s="2" t="s">
        <v>7</v>
      </c>
      <c r="E27" s="3">
        <v>149</v>
      </c>
      <c r="F27" s="3">
        <f t="shared" si="0"/>
        <v>149</v>
      </c>
      <c r="G27" s="2" t="s">
        <v>8</v>
      </c>
      <c r="H27" s="2"/>
      <c r="K27" s="14" t="s">
        <v>154</v>
      </c>
      <c r="L27">
        <v>6</v>
      </c>
      <c r="M27">
        <v>10499.94</v>
      </c>
    </row>
    <row r="28" spans="1:13" x14ac:dyDescent="0.25">
      <c r="A28" s="8">
        <v>45752</v>
      </c>
      <c r="B28" s="2">
        <v>1</v>
      </c>
      <c r="C28" s="2" t="s">
        <v>94</v>
      </c>
      <c r="D28" s="2" t="s">
        <v>7</v>
      </c>
      <c r="E28" s="21">
        <v>2549</v>
      </c>
      <c r="F28" s="3">
        <f t="shared" si="0"/>
        <v>2549</v>
      </c>
      <c r="G28" s="2" t="s">
        <v>8</v>
      </c>
      <c r="H28" s="2"/>
      <c r="K28" s="14" t="s">
        <v>155</v>
      </c>
      <c r="L28">
        <v>5</v>
      </c>
      <c r="M28">
        <v>10995</v>
      </c>
    </row>
    <row r="29" spans="1:13" x14ac:dyDescent="0.25">
      <c r="A29" s="57">
        <v>45755</v>
      </c>
      <c r="B29" s="58">
        <v>1</v>
      </c>
      <c r="C29" s="58" t="s">
        <v>149</v>
      </c>
      <c r="D29" s="58" t="s">
        <v>70</v>
      </c>
      <c r="E29" s="59">
        <v>2089.9899999999998</v>
      </c>
      <c r="F29" s="59">
        <f t="shared" si="0"/>
        <v>2089.9899999999998</v>
      </c>
      <c r="G29" s="58" t="s">
        <v>192</v>
      </c>
      <c r="H29" s="2"/>
      <c r="I29" s="60">
        <f t="shared" ref="I29:I31" si="1">F29/11</f>
        <v>189.99909090909088</v>
      </c>
      <c r="K29" s="14" t="s">
        <v>156</v>
      </c>
      <c r="L29">
        <v>3</v>
      </c>
      <c r="M29">
        <v>7649.9699999999993</v>
      </c>
    </row>
    <row r="30" spans="1:13" x14ac:dyDescent="0.25">
      <c r="A30" s="57">
        <v>45755</v>
      </c>
      <c r="B30" s="58">
        <v>1</v>
      </c>
      <c r="C30" s="58" t="s">
        <v>150</v>
      </c>
      <c r="D30" s="58" t="s">
        <v>16</v>
      </c>
      <c r="E30" s="59">
        <v>2089.9899999999998</v>
      </c>
      <c r="F30" s="59">
        <v>2089</v>
      </c>
      <c r="G30" s="58" t="s">
        <v>192</v>
      </c>
      <c r="H30" s="2"/>
      <c r="I30" s="60">
        <f t="shared" si="1"/>
        <v>189.90909090909091</v>
      </c>
      <c r="K30" s="14" t="s">
        <v>157</v>
      </c>
      <c r="L30">
        <v>1</v>
      </c>
      <c r="M30">
        <v>2549.9899999999998</v>
      </c>
    </row>
    <row r="31" spans="1:13" x14ac:dyDescent="0.25">
      <c r="A31" s="57">
        <v>45755</v>
      </c>
      <c r="B31" s="58">
        <v>1</v>
      </c>
      <c r="C31" s="58" t="s">
        <v>150</v>
      </c>
      <c r="D31" s="58" t="s">
        <v>16</v>
      </c>
      <c r="E31" s="59">
        <v>2089.9899999999998</v>
      </c>
      <c r="F31" s="59">
        <v>2089</v>
      </c>
      <c r="G31" s="58" t="s">
        <v>109</v>
      </c>
      <c r="H31" s="2"/>
      <c r="I31" s="60">
        <f t="shared" si="1"/>
        <v>189.90909090909091</v>
      </c>
      <c r="K31" s="14" t="s">
        <v>158</v>
      </c>
      <c r="L31">
        <v>7</v>
      </c>
      <c r="M31">
        <v>18893</v>
      </c>
    </row>
    <row r="32" spans="1:13" x14ac:dyDescent="0.25">
      <c r="A32" s="8">
        <v>45756</v>
      </c>
      <c r="B32" s="2">
        <v>10</v>
      </c>
      <c r="C32" s="2" t="s">
        <v>98</v>
      </c>
      <c r="D32" s="2" t="s">
        <v>103</v>
      </c>
      <c r="E32" s="3">
        <v>724</v>
      </c>
      <c r="F32" s="3">
        <f>B32*E32</f>
        <v>7240</v>
      </c>
      <c r="G32" s="2" t="s">
        <v>8</v>
      </c>
      <c r="H32" s="2"/>
      <c r="K32" s="14" t="s">
        <v>80</v>
      </c>
      <c r="L32">
        <v>273</v>
      </c>
      <c r="M32">
        <v>262594.60000000003</v>
      </c>
    </row>
    <row r="33" spans="1:9" x14ac:dyDescent="0.25">
      <c r="A33" s="8">
        <v>45756</v>
      </c>
      <c r="B33" s="2">
        <v>2</v>
      </c>
      <c r="C33" s="2" t="s">
        <v>151</v>
      </c>
      <c r="D33" s="2" t="s">
        <v>14</v>
      </c>
      <c r="E33" s="3">
        <v>1749.99</v>
      </c>
      <c r="F33" s="3">
        <f t="shared" ref="F33:F39" si="2">B33*E33</f>
        <v>3499.98</v>
      </c>
      <c r="G33" s="2" t="s">
        <v>105</v>
      </c>
      <c r="H33" s="2"/>
    </row>
    <row r="34" spans="1:9" x14ac:dyDescent="0.25">
      <c r="A34" s="8">
        <v>45756</v>
      </c>
      <c r="B34" s="2">
        <v>2</v>
      </c>
      <c r="C34" s="2" t="s">
        <v>152</v>
      </c>
      <c r="D34" s="2" t="s">
        <v>14</v>
      </c>
      <c r="E34" s="3">
        <v>1749.99</v>
      </c>
      <c r="F34" s="3">
        <f t="shared" si="2"/>
        <v>3499.98</v>
      </c>
      <c r="G34" s="2" t="s">
        <v>105</v>
      </c>
      <c r="H34" s="2"/>
    </row>
    <row r="35" spans="1:9" x14ac:dyDescent="0.25">
      <c r="A35" s="8">
        <v>45756</v>
      </c>
      <c r="B35" s="2">
        <v>3</v>
      </c>
      <c r="C35" s="2" t="s">
        <v>153</v>
      </c>
      <c r="D35" s="2" t="s">
        <v>14</v>
      </c>
      <c r="E35" s="3">
        <v>1749.99</v>
      </c>
      <c r="F35" s="3">
        <f t="shared" si="2"/>
        <v>5249.97</v>
      </c>
      <c r="G35" s="2" t="s">
        <v>105</v>
      </c>
      <c r="H35" s="2"/>
    </row>
    <row r="36" spans="1:9" x14ac:dyDescent="0.25">
      <c r="A36" s="8">
        <v>45756</v>
      </c>
      <c r="B36" s="2">
        <v>6</v>
      </c>
      <c r="C36" s="2" t="s">
        <v>154</v>
      </c>
      <c r="D36" s="2" t="s">
        <v>14</v>
      </c>
      <c r="E36" s="3">
        <v>1749.99</v>
      </c>
      <c r="F36" s="3">
        <f t="shared" si="2"/>
        <v>10499.94</v>
      </c>
      <c r="G36" s="2" t="s">
        <v>105</v>
      </c>
      <c r="H36" s="2"/>
    </row>
    <row r="37" spans="1:9" x14ac:dyDescent="0.25">
      <c r="A37" s="55">
        <v>45756</v>
      </c>
      <c r="B37" s="37">
        <v>5</v>
      </c>
      <c r="C37" s="37" t="s">
        <v>280</v>
      </c>
      <c r="D37" s="37" t="s">
        <v>14</v>
      </c>
      <c r="E37" s="56">
        <v>2199</v>
      </c>
      <c r="F37" s="56">
        <f t="shared" si="2"/>
        <v>10995</v>
      </c>
      <c r="G37" s="37" t="s">
        <v>105</v>
      </c>
      <c r="H37" s="37"/>
    </row>
    <row r="38" spans="1:9" x14ac:dyDescent="0.25">
      <c r="A38" s="17">
        <v>45756</v>
      </c>
      <c r="B38" s="18">
        <v>1</v>
      </c>
      <c r="C38" s="18" t="s">
        <v>98</v>
      </c>
      <c r="D38" s="18" t="s">
        <v>106</v>
      </c>
      <c r="E38" s="19">
        <v>669</v>
      </c>
      <c r="F38" s="19">
        <f t="shared" si="2"/>
        <v>669</v>
      </c>
      <c r="G38" s="18" t="s">
        <v>191</v>
      </c>
      <c r="H38" s="2"/>
      <c r="I38" s="60">
        <f>F38/11</f>
        <v>60.81818181818182</v>
      </c>
    </row>
    <row r="39" spans="1:9" x14ac:dyDescent="0.25">
      <c r="A39" s="8">
        <v>45757</v>
      </c>
      <c r="B39" s="2">
        <v>1</v>
      </c>
      <c r="C39" s="2" t="s">
        <v>104</v>
      </c>
      <c r="D39" s="2" t="s">
        <v>101</v>
      </c>
      <c r="E39" s="3">
        <v>449</v>
      </c>
      <c r="F39" s="3">
        <f t="shared" si="2"/>
        <v>449</v>
      </c>
      <c r="G39" s="2" t="s">
        <v>8</v>
      </c>
      <c r="H39" s="2"/>
    </row>
    <row r="40" spans="1:9" x14ac:dyDescent="0.25">
      <c r="A40" s="8">
        <v>45757</v>
      </c>
      <c r="B40" s="2">
        <v>2</v>
      </c>
      <c r="C40" s="2" t="s">
        <v>98</v>
      </c>
      <c r="D40" s="2" t="s">
        <v>101</v>
      </c>
      <c r="E40" s="3">
        <v>689</v>
      </c>
      <c r="F40" s="3">
        <f t="shared" ref="F40:F108" si="3">B40*E40</f>
        <v>1378</v>
      </c>
      <c r="G40" s="2" t="s">
        <v>281</v>
      </c>
      <c r="H40" s="2"/>
    </row>
    <row r="41" spans="1:9" x14ac:dyDescent="0.25">
      <c r="A41" s="8">
        <v>45757</v>
      </c>
      <c r="B41" s="2">
        <v>8</v>
      </c>
      <c r="C41" s="2" t="s">
        <v>98</v>
      </c>
      <c r="D41" s="2" t="s">
        <v>100</v>
      </c>
      <c r="E41" s="3">
        <v>724</v>
      </c>
      <c r="F41" s="3">
        <f t="shared" si="3"/>
        <v>5792</v>
      </c>
      <c r="G41" s="2" t="s">
        <v>8</v>
      </c>
      <c r="H41" s="2"/>
    </row>
    <row r="42" spans="1:9" x14ac:dyDescent="0.25">
      <c r="A42" s="8">
        <v>45757</v>
      </c>
      <c r="B42" s="2">
        <v>5</v>
      </c>
      <c r="C42" s="2" t="s">
        <v>98</v>
      </c>
      <c r="D42" s="2" t="s">
        <v>99</v>
      </c>
      <c r="E42" s="3">
        <v>724</v>
      </c>
      <c r="F42" s="3">
        <f t="shared" si="3"/>
        <v>3620</v>
      </c>
      <c r="G42" s="2" t="s">
        <v>8</v>
      </c>
      <c r="H42" s="2"/>
    </row>
    <row r="43" spans="1:9" x14ac:dyDescent="0.25">
      <c r="A43" s="8">
        <v>45758</v>
      </c>
      <c r="B43" s="2">
        <v>11</v>
      </c>
      <c r="C43" s="2" t="s">
        <v>98</v>
      </c>
      <c r="D43" s="2" t="s">
        <v>99</v>
      </c>
      <c r="E43" s="3">
        <v>724</v>
      </c>
      <c r="F43" s="3">
        <f t="shared" si="3"/>
        <v>7964</v>
      </c>
      <c r="G43" s="2" t="s">
        <v>8</v>
      </c>
      <c r="H43" s="2"/>
    </row>
    <row r="44" spans="1:9" x14ac:dyDescent="0.25">
      <c r="A44" s="8">
        <v>45758</v>
      </c>
      <c r="B44" s="2">
        <v>3</v>
      </c>
      <c r="C44" s="2" t="s">
        <v>156</v>
      </c>
      <c r="D44" s="2" t="s">
        <v>14</v>
      </c>
      <c r="E44" s="3">
        <v>2549.9899999999998</v>
      </c>
      <c r="F44" s="3">
        <f t="shared" si="3"/>
        <v>7649.9699999999993</v>
      </c>
      <c r="G44" s="2" t="s">
        <v>105</v>
      </c>
      <c r="H44" s="2"/>
    </row>
    <row r="45" spans="1:9" x14ac:dyDescent="0.25">
      <c r="A45" s="8">
        <v>45758</v>
      </c>
      <c r="B45" s="2">
        <v>1</v>
      </c>
      <c r="C45" s="2" t="s">
        <v>157</v>
      </c>
      <c r="D45" s="2" t="s">
        <v>14</v>
      </c>
      <c r="E45" s="3">
        <v>2549.9899999999998</v>
      </c>
      <c r="F45" s="3">
        <f t="shared" si="3"/>
        <v>2549.9899999999998</v>
      </c>
      <c r="G45" s="2" t="s">
        <v>105</v>
      </c>
      <c r="H45" s="2"/>
    </row>
    <row r="46" spans="1:9" x14ac:dyDescent="0.25">
      <c r="A46" s="8">
        <v>45759</v>
      </c>
      <c r="B46" s="2">
        <v>1</v>
      </c>
      <c r="C46" s="2" t="s">
        <v>112</v>
      </c>
      <c r="D46" s="2" t="s">
        <v>114</v>
      </c>
      <c r="E46" s="3">
        <v>2299</v>
      </c>
      <c r="F46" s="3">
        <f t="shared" si="3"/>
        <v>2299</v>
      </c>
      <c r="G46" s="2" t="s">
        <v>233</v>
      </c>
      <c r="H46" s="2" t="s">
        <v>115</v>
      </c>
      <c r="I46">
        <v>471</v>
      </c>
    </row>
    <row r="47" spans="1:9" x14ac:dyDescent="0.25">
      <c r="A47" s="8">
        <v>45759</v>
      </c>
      <c r="B47" s="2">
        <v>1</v>
      </c>
      <c r="C47" s="2" t="s">
        <v>113</v>
      </c>
      <c r="D47" s="2" t="s">
        <v>114</v>
      </c>
      <c r="E47" s="3">
        <v>2299</v>
      </c>
      <c r="F47" s="3">
        <f t="shared" si="3"/>
        <v>2299</v>
      </c>
      <c r="G47" s="2" t="s">
        <v>233</v>
      </c>
      <c r="H47" s="2" t="s">
        <v>115</v>
      </c>
      <c r="I47">
        <v>171</v>
      </c>
    </row>
    <row r="48" spans="1:9" x14ac:dyDescent="0.25">
      <c r="A48" s="8">
        <v>45759</v>
      </c>
      <c r="B48" s="2">
        <v>1</v>
      </c>
      <c r="C48" s="2" t="s">
        <v>116</v>
      </c>
      <c r="D48" s="2" t="s">
        <v>114</v>
      </c>
      <c r="E48" s="3">
        <v>724</v>
      </c>
      <c r="F48" s="3">
        <f t="shared" si="3"/>
        <v>724</v>
      </c>
      <c r="G48" s="2" t="s">
        <v>233</v>
      </c>
      <c r="H48" s="2" t="s">
        <v>115</v>
      </c>
    </row>
    <row r="49" spans="1:10" x14ac:dyDescent="0.25">
      <c r="A49" s="8">
        <v>45759</v>
      </c>
      <c r="B49" s="2">
        <v>3</v>
      </c>
      <c r="C49" s="2" t="s">
        <v>117</v>
      </c>
      <c r="D49" s="2" t="s">
        <v>114</v>
      </c>
      <c r="E49" s="3">
        <v>328</v>
      </c>
      <c r="F49" s="3">
        <f t="shared" si="3"/>
        <v>984</v>
      </c>
      <c r="G49" s="2" t="s">
        <v>233</v>
      </c>
      <c r="H49" s="2" t="s">
        <v>115</v>
      </c>
    </row>
    <row r="50" spans="1:10" x14ac:dyDescent="0.25">
      <c r="A50" s="8">
        <v>45759</v>
      </c>
      <c r="B50" s="2">
        <v>15</v>
      </c>
      <c r="C50" s="2" t="s">
        <v>113</v>
      </c>
      <c r="D50" s="2" t="s">
        <v>118</v>
      </c>
      <c r="E50" s="3">
        <v>2299</v>
      </c>
      <c r="F50" s="3">
        <f t="shared" si="3"/>
        <v>34485</v>
      </c>
      <c r="G50" s="10" t="s">
        <v>274</v>
      </c>
      <c r="H50" s="2" t="s">
        <v>115</v>
      </c>
      <c r="I50">
        <v>95960</v>
      </c>
      <c r="J50">
        <v>95960</v>
      </c>
    </row>
    <row r="51" spans="1:10" x14ac:dyDescent="0.25">
      <c r="A51" s="8">
        <v>45759</v>
      </c>
      <c r="B51" s="2">
        <v>10</v>
      </c>
      <c r="C51" s="2" t="s">
        <v>112</v>
      </c>
      <c r="D51" s="2" t="s">
        <v>118</v>
      </c>
      <c r="E51" s="3">
        <v>2299</v>
      </c>
      <c r="F51" s="3">
        <f t="shared" si="3"/>
        <v>22990</v>
      </c>
      <c r="G51" s="2" t="s">
        <v>321</v>
      </c>
      <c r="H51" s="2" t="s">
        <v>115</v>
      </c>
      <c r="I51">
        <v>87231</v>
      </c>
      <c r="J51">
        <v>3000</v>
      </c>
    </row>
    <row r="52" spans="1:10" x14ac:dyDescent="0.25">
      <c r="A52" s="8">
        <v>45759</v>
      </c>
      <c r="B52" s="2">
        <v>5</v>
      </c>
      <c r="C52" s="2" t="s">
        <v>119</v>
      </c>
      <c r="D52" s="2" t="s">
        <v>118</v>
      </c>
      <c r="E52" s="3">
        <v>2299</v>
      </c>
      <c r="F52" s="3">
        <f t="shared" si="3"/>
        <v>11495</v>
      </c>
      <c r="G52" s="2" t="s">
        <v>274</v>
      </c>
      <c r="H52" s="2" t="s">
        <v>115</v>
      </c>
      <c r="I52">
        <v>9596</v>
      </c>
      <c r="J52">
        <v>9000</v>
      </c>
    </row>
    <row r="53" spans="1:10" x14ac:dyDescent="0.25">
      <c r="A53" s="8">
        <v>45759</v>
      </c>
      <c r="B53" s="2">
        <v>5</v>
      </c>
      <c r="C53" s="2" t="s">
        <v>121</v>
      </c>
      <c r="D53" s="2" t="s">
        <v>118</v>
      </c>
      <c r="E53" s="3">
        <v>2699</v>
      </c>
      <c r="F53" s="3">
        <f t="shared" si="3"/>
        <v>13495</v>
      </c>
      <c r="G53" s="2" t="s">
        <v>274</v>
      </c>
      <c r="H53" s="2" t="s">
        <v>115</v>
      </c>
      <c r="I53">
        <v>890</v>
      </c>
      <c r="J53">
        <v>9964</v>
      </c>
    </row>
    <row r="54" spans="1:10" x14ac:dyDescent="0.25">
      <c r="A54" s="8">
        <v>45759</v>
      </c>
      <c r="B54" s="2">
        <v>5</v>
      </c>
      <c r="C54" s="2" t="s">
        <v>158</v>
      </c>
      <c r="D54" s="2" t="s">
        <v>118</v>
      </c>
      <c r="E54" s="3">
        <v>2699</v>
      </c>
      <c r="F54" s="3">
        <f t="shared" si="3"/>
        <v>13495</v>
      </c>
      <c r="G54" s="10" t="s">
        <v>321</v>
      </c>
      <c r="H54" s="2" t="s">
        <v>115</v>
      </c>
      <c r="J54">
        <v>8916</v>
      </c>
    </row>
    <row r="55" spans="1:10" x14ac:dyDescent="0.25">
      <c r="A55" s="8">
        <v>45759</v>
      </c>
      <c r="B55" s="2">
        <v>2</v>
      </c>
      <c r="C55" s="2" t="s">
        <v>112</v>
      </c>
      <c r="D55" s="2" t="s">
        <v>120</v>
      </c>
      <c r="E55" s="3">
        <v>2299</v>
      </c>
      <c r="F55" s="3">
        <f t="shared" si="3"/>
        <v>4598</v>
      </c>
      <c r="G55" s="2" t="s">
        <v>8</v>
      </c>
      <c r="H55" s="2" t="s">
        <v>115</v>
      </c>
      <c r="J55">
        <v>9000</v>
      </c>
    </row>
    <row r="56" spans="1:10" x14ac:dyDescent="0.25">
      <c r="A56" s="8">
        <v>45759</v>
      </c>
      <c r="B56" s="2">
        <v>2</v>
      </c>
      <c r="C56" s="2" t="s">
        <v>113</v>
      </c>
      <c r="D56" s="2" t="s">
        <v>120</v>
      </c>
      <c r="E56" s="3">
        <v>2299</v>
      </c>
      <c r="F56" s="3">
        <f t="shared" si="3"/>
        <v>4598</v>
      </c>
      <c r="G56" s="2" t="s">
        <v>8</v>
      </c>
      <c r="H56" s="2" t="s">
        <v>115</v>
      </c>
      <c r="J56">
        <v>1794</v>
      </c>
    </row>
    <row r="57" spans="1:10" x14ac:dyDescent="0.25">
      <c r="A57" s="8">
        <v>45759</v>
      </c>
      <c r="B57" s="2">
        <v>1</v>
      </c>
      <c r="C57" s="2" t="s">
        <v>121</v>
      </c>
      <c r="D57" s="2" t="s">
        <v>120</v>
      </c>
      <c r="E57" s="3">
        <v>2699</v>
      </c>
      <c r="F57" s="3">
        <f t="shared" si="3"/>
        <v>2699</v>
      </c>
      <c r="G57" s="2" t="s">
        <v>8</v>
      </c>
      <c r="H57" s="2" t="s">
        <v>115</v>
      </c>
      <c r="J57">
        <v>9000</v>
      </c>
    </row>
    <row r="58" spans="1:10" x14ac:dyDescent="0.25">
      <c r="A58" s="8">
        <v>45759</v>
      </c>
      <c r="B58" s="2">
        <v>2</v>
      </c>
      <c r="C58" s="2" t="s">
        <v>158</v>
      </c>
      <c r="D58" s="2" t="s">
        <v>120</v>
      </c>
      <c r="E58" s="3">
        <v>2699</v>
      </c>
      <c r="F58" s="3">
        <f t="shared" si="3"/>
        <v>5398</v>
      </c>
      <c r="G58" s="2" t="s">
        <v>8</v>
      </c>
      <c r="H58" s="2" t="s">
        <v>115</v>
      </c>
      <c r="J58">
        <v>4394</v>
      </c>
    </row>
    <row r="59" spans="1:10" x14ac:dyDescent="0.25">
      <c r="A59" s="8">
        <v>45759</v>
      </c>
      <c r="B59" s="2">
        <v>5</v>
      </c>
      <c r="C59" s="2" t="s">
        <v>122</v>
      </c>
      <c r="D59" s="2" t="s">
        <v>120</v>
      </c>
      <c r="E59" s="3">
        <v>143</v>
      </c>
      <c r="F59" s="3">
        <f t="shared" si="3"/>
        <v>715</v>
      </c>
      <c r="G59" s="2" t="s">
        <v>8</v>
      </c>
      <c r="H59" s="2" t="s">
        <v>115</v>
      </c>
      <c r="J59">
        <v>9000</v>
      </c>
    </row>
    <row r="60" spans="1:10" x14ac:dyDescent="0.25">
      <c r="A60" s="8">
        <v>45759</v>
      </c>
      <c r="B60" s="2">
        <v>6</v>
      </c>
      <c r="C60" s="2" t="s">
        <v>123</v>
      </c>
      <c r="D60" s="2" t="s">
        <v>120</v>
      </c>
      <c r="E60" s="3">
        <v>30</v>
      </c>
      <c r="F60" s="3">
        <f t="shared" si="3"/>
        <v>180</v>
      </c>
      <c r="G60" s="2" t="s">
        <v>8</v>
      </c>
      <c r="H60" s="2" t="s">
        <v>115</v>
      </c>
      <c r="J60">
        <v>4440</v>
      </c>
    </row>
    <row r="61" spans="1:10" x14ac:dyDescent="0.25">
      <c r="A61" s="8">
        <v>45759</v>
      </c>
      <c r="B61" s="2">
        <v>20</v>
      </c>
      <c r="C61" s="2" t="s">
        <v>123</v>
      </c>
      <c r="D61" s="2" t="s">
        <v>120</v>
      </c>
      <c r="E61" s="3">
        <v>30</v>
      </c>
      <c r="F61" s="3">
        <f t="shared" si="3"/>
        <v>600</v>
      </c>
      <c r="G61" s="2" t="s">
        <v>24</v>
      </c>
      <c r="H61" s="2" t="s">
        <v>115</v>
      </c>
      <c r="J61">
        <v>9000</v>
      </c>
    </row>
    <row r="62" spans="1:10" x14ac:dyDescent="0.25">
      <c r="A62" s="8">
        <v>45759</v>
      </c>
      <c r="B62" s="2">
        <v>6</v>
      </c>
      <c r="C62" s="2" t="s">
        <v>123</v>
      </c>
      <c r="D62" s="2" t="s">
        <v>124</v>
      </c>
      <c r="E62" s="3">
        <v>30</v>
      </c>
      <c r="F62" s="3">
        <f t="shared" si="3"/>
        <v>180</v>
      </c>
      <c r="G62" s="2" t="s">
        <v>8</v>
      </c>
      <c r="H62" s="2" t="s">
        <v>115</v>
      </c>
      <c r="J62">
        <v>2623</v>
      </c>
    </row>
    <row r="63" spans="1:10" x14ac:dyDescent="0.25">
      <c r="A63" s="8">
        <v>45759</v>
      </c>
      <c r="B63" s="2">
        <v>5</v>
      </c>
      <c r="C63" s="2" t="s">
        <v>116</v>
      </c>
      <c r="D63" s="2" t="s">
        <v>124</v>
      </c>
      <c r="E63" s="3">
        <v>715</v>
      </c>
      <c r="F63" s="3">
        <f t="shared" si="3"/>
        <v>3575</v>
      </c>
      <c r="G63" s="2" t="s">
        <v>8</v>
      </c>
      <c r="H63" s="2" t="s">
        <v>115</v>
      </c>
      <c r="J63">
        <v>5000</v>
      </c>
    </row>
    <row r="64" spans="1:10" x14ac:dyDescent="0.25">
      <c r="A64" s="8">
        <v>45759</v>
      </c>
      <c r="B64" s="2">
        <v>1</v>
      </c>
      <c r="C64" s="2" t="s">
        <v>112</v>
      </c>
      <c r="D64" s="2" t="s">
        <v>124</v>
      </c>
      <c r="E64" s="3">
        <v>2299</v>
      </c>
      <c r="F64" s="3">
        <f t="shared" si="3"/>
        <v>2299</v>
      </c>
      <c r="G64" s="2" t="s">
        <v>8</v>
      </c>
      <c r="H64" s="2" t="s">
        <v>115</v>
      </c>
      <c r="J64">
        <v>280</v>
      </c>
    </row>
    <row r="65" spans="1:10" x14ac:dyDescent="0.25">
      <c r="A65" s="8">
        <v>45759</v>
      </c>
      <c r="B65" s="2">
        <v>1</v>
      </c>
      <c r="C65" s="2" t="s">
        <v>121</v>
      </c>
      <c r="D65" s="2" t="s">
        <v>124</v>
      </c>
      <c r="E65" s="3">
        <v>2699</v>
      </c>
      <c r="F65" s="3">
        <f t="shared" si="3"/>
        <v>2699</v>
      </c>
      <c r="G65" s="2" t="s">
        <v>8</v>
      </c>
      <c r="H65" s="2" t="s">
        <v>115</v>
      </c>
      <c r="J65">
        <v>270</v>
      </c>
    </row>
    <row r="66" spans="1:10" x14ac:dyDescent="0.25">
      <c r="A66" s="8">
        <v>45760</v>
      </c>
      <c r="B66" s="2">
        <v>17</v>
      </c>
      <c r="C66" s="2" t="s">
        <v>116</v>
      </c>
      <c r="D66" s="2" t="s">
        <v>14</v>
      </c>
      <c r="E66" s="3">
        <v>699.99</v>
      </c>
      <c r="F66" s="3">
        <f t="shared" si="3"/>
        <v>11899.83</v>
      </c>
      <c r="G66" s="2" t="s">
        <v>234</v>
      </c>
      <c r="H66" s="2"/>
      <c r="J66">
        <v>400</v>
      </c>
    </row>
    <row r="67" spans="1:10" x14ac:dyDescent="0.25">
      <c r="A67" s="8">
        <v>45760</v>
      </c>
      <c r="B67" s="2">
        <v>1</v>
      </c>
      <c r="C67" s="2" t="s">
        <v>116</v>
      </c>
      <c r="D67" s="2" t="s">
        <v>14</v>
      </c>
      <c r="E67" s="3">
        <v>699.99</v>
      </c>
      <c r="F67" s="3">
        <f t="shared" si="3"/>
        <v>699.99</v>
      </c>
      <c r="G67" s="2" t="s">
        <v>234</v>
      </c>
      <c r="H67" s="2"/>
      <c r="J67">
        <v>300</v>
      </c>
    </row>
    <row r="68" spans="1:10" x14ac:dyDescent="0.25">
      <c r="A68" s="8">
        <v>45760</v>
      </c>
      <c r="B68" s="2">
        <v>3</v>
      </c>
      <c r="C68" s="2" t="s">
        <v>121</v>
      </c>
      <c r="D68" s="2" t="s">
        <v>14</v>
      </c>
      <c r="E68" s="3">
        <v>2549.9899999999998</v>
      </c>
      <c r="F68" s="3">
        <f t="shared" si="3"/>
        <v>7649.9699999999993</v>
      </c>
      <c r="G68" s="2" t="s">
        <v>234</v>
      </c>
      <c r="H68" s="2"/>
      <c r="J68">
        <v>350</v>
      </c>
    </row>
    <row r="69" spans="1:10" x14ac:dyDescent="0.25">
      <c r="A69" s="8">
        <v>45760</v>
      </c>
      <c r="B69" s="2">
        <v>2</v>
      </c>
      <c r="C69" s="2" t="s">
        <v>126</v>
      </c>
      <c r="D69" s="2" t="s">
        <v>14</v>
      </c>
      <c r="E69" s="3">
        <v>2549.9899999999998</v>
      </c>
      <c r="F69" s="3">
        <f t="shared" si="3"/>
        <v>5099.9799999999996</v>
      </c>
      <c r="G69" s="2" t="s">
        <v>234</v>
      </c>
      <c r="H69" s="2"/>
      <c r="J69">
        <v>500</v>
      </c>
    </row>
    <row r="70" spans="1:10" x14ac:dyDescent="0.25">
      <c r="A70" s="8">
        <v>45760</v>
      </c>
      <c r="B70" s="2">
        <v>10</v>
      </c>
      <c r="C70" s="2" t="s">
        <v>98</v>
      </c>
      <c r="D70" s="2" t="s">
        <v>125</v>
      </c>
      <c r="E70" s="3">
        <v>724</v>
      </c>
      <c r="F70" s="3">
        <f t="shared" si="3"/>
        <v>7240</v>
      </c>
      <c r="G70" s="2" t="s">
        <v>193</v>
      </c>
      <c r="H70" s="2"/>
    </row>
    <row r="71" spans="1:10" x14ac:dyDescent="0.25">
      <c r="A71" s="8">
        <v>45760</v>
      </c>
      <c r="B71" s="2">
        <v>1</v>
      </c>
      <c r="C71" s="2" t="s">
        <v>132</v>
      </c>
      <c r="D71" s="2" t="s">
        <v>59</v>
      </c>
      <c r="E71" s="3">
        <v>713</v>
      </c>
      <c r="F71" s="3">
        <f t="shared" si="3"/>
        <v>713</v>
      </c>
      <c r="G71" s="2" t="s">
        <v>8</v>
      </c>
      <c r="H71" s="2"/>
    </row>
    <row r="72" spans="1:10" x14ac:dyDescent="0.25">
      <c r="A72" s="8">
        <v>45760</v>
      </c>
      <c r="B72" s="2">
        <v>3</v>
      </c>
      <c r="C72" s="2" t="s">
        <v>133</v>
      </c>
      <c r="D72" s="2" t="s">
        <v>41</v>
      </c>
      <c r="E72" s="3">
        <v>213</v>
      </c>
      <c r="F72" s="3">
        <f t="shared" si="3"/>
        <v>639</v>
      </c>
      <c r="G72" s="37" t="s">
        <v>8</v>
      </c>
      <c r="H72" s="2"/>
    </row>
    <row r="73" spans="1:10" x14ac:dyDescent="0.25">
      <c r="A73" s="8">
        <v>45760</v>
      </c>
      <c r="B73" s="2">
        <v>2</v>
      </c>
      <c r="C73" s="2" t="s">
        <v>86</v>
      </c>
      <c r="D73" s="2" t="s">
        <v>41</v>
      </c>
      <c r="E73" s="3">
        <v>87</v>
      </c>
      <c r="F73" s="3">
        <f t="shared" si="3"/>
        <v>174</v>
      </c>
      <c r="G73" s="2" t="s">
        <v>8</v>
      </c>
      <c r="H73" s="2"/>
    </row>
    <row r="74" spans="1:10" x14ac:dyDescent="0.25">
      <c r="A74" s="8">
        <v>45760</v>
      </c>
      <c r="B74" s="2">
        <v>8</v>
      </c>
      <c r="C74" s="2" t="s">
        <v>134</v>
      </c>
      <c r="D74" s="2" t="s">
        <v>41</v>
      </c>
      <c r="E74" s="3">
        <v>19</v>
      </c>
      <c r="F74" s="3">
        <f t="shared" si="3"/>
        <v>152</v>
      </c>
      <c r="G74" s="2" t="s">
        <v>8</v>
      </c>
      <c r="H74" s="2"/>
    </row>
    <row r="75" spans="1:10" x14ac:dyDescent="0.25">
      <c r="A75" s="8">
        <v>45760</v>
      </c>
      <c r="B75" s="2">
        <v>20</v>
      </c>
      <c r="C75" s="2" t="s">
        <v>123</v>
      </c>
      <c r="D75" s="2" t="s">
        <v>250</v>
      </c>
      <c r="E75" s="3">
        <v>30</v>
      </c>
      <c r="F75" s="3">
        <f t="shared" si="3"/>
        <v>600</v>
      </c>
      <c r="G75" s="2" t="s">
        <v>233</v>
      </c>
      <c r="H75" s="2" t="s">
        <v>115</v>
      </c>
    </row>
    <row r="76" spans="1:10" x14ac:dyDescent="0.25">
      <c r="A76" s="8">
        <v>45760</v>
      </c>
      <c r="B76" s="2">
        <v>4</v>
      </c>
      <c r="C76" s="2" t="s">
        <v>116</v>
      </c>
      <c r="D76" s="2" t="s">
        <v>137</v>
      </c>
      <c r="E76" s="3">
        <v>724</v>
      </c>
      <c r="F76" s="3">
        <f t="shared" si="3"/>
        <v>2896</v>
      </c>
      <c r="G76" s="2" t="s">
        <v>233</v>
      </c>
      <c r="H76" s="2" t="s">
        <v>115</v>
      </c>
      <c r="I76">
        <v>60</v>
      </c>
    </row>
    <row r="77" spans="1:10" x14ac:dyDescent="0.25">
      <c r="A77" s="34">
        <v>45760</v>
      </c>
      <c r="B77" s="35">
        <v>1</v>
      </c>
      <c r="C77" s="35" t="s">
        <v>112</v>
      </c>
      <c r="D77" s="35" t="s">
        <v>138</v>
      </c>
      <c r="E77" s="36">
        <v>2249</v>
      </c>
      <c r="F77" s="36">
        <f t="shared" si="3"/>
        <v>2249</v>
      </c>
      <c r="G77" s="18" t="s">
        <v>276</v>
      </c>
      <c r="H77" s="35" t="s">
        <v>115</v>
      </c>
      <c r="I77" s="60">
        <f>F77/11</f>
        <v>204.45454545454547</v>
      </c>
    </row>
    <row r="78" spans="1:10" x14ac:dyDescent="0.25">
      <c r="A78" s="8">
        <v>45760</v>
      </c>
      <c r="B78" s="2">
        <v>1</v>
      </c>
      <c r="C78" s="2" t="s">
        <v>121</v>
      </c>
      <c r="D78" s="2" t="s">
        <v>138</v>
      </c>
      <c r="E78" s="3">
        <v>2699</v>
      </c>
      <c r="F78" s="3">
        <f t="shared" si="3"/>
        <v>2699</v>
      </c>
      <c r="G78" s="2" t="s">
        <v>8</v>
      </c>
      <c r="H78" s="2" t="s">
        <v>115</v>
      </c>
    </row>
    <row r="79" spans="1:10" x14ac:dyDescent="0.25">
      <c r="A79" s="8">
        <v>45760</v>
      </c>
      <c r="B79" s="2">
        <v>2</v>
      </c>
      <c r="C79" s="2" t="s">
        <v>117</v>
      </c>
      <c r="D79" s="2" t="s">
        <v>7</v>
      </c>
      <c r="E79" s="3">
        <v>299</v>
      </c>
      <c r="F79" s="3">
        <f t="shared" si="3"/>
        <v>598</v>
      </c>
      <c r="G79" s="2" t="s">
        <v>8</v>
      </c>
      <c r="H79" s="2" t="s">
        <v>115</v>
      </c>
    </row>
    <row r="80" spans="1:10" x14ac:dyDescent="0.25">
      <c r="A80" s="8">
        <v>45760</v>
      </c>
      <c r="B80" s="2">
        <v>12</v>
      </c>
      <c r="C80" s="2" t="s">
        <v>134</v>
      </c>
      <c r="D80" s="2" t="s">
        <v>139</v>
      </c>
      <c r="E80" s="3">
        <v>19</v>
      </c>
      <c r="F80" s="3">
        <f t="shared" si="3"/>
        <v>228</v>
      </c>
      <c r="G80" s="2" t="s">
        <v>8</v>
      </c>
      <c r="H80" s="2"/>
    </row>
    <row r="81" spans="1:8" x14ac:dyDescent="0.25">
      <c r="A81" s="8">
        <v>45760</v>
      </c>
      <c r="B81" s="2">
        <v>1</v>
      </c>
      <c r="C81" s="2" t="s">
        <v>133</v>
      </c>
      <c r="D81" s="2" t="s">
        <v>139</v>
      </c>
      <c r="E81" s="3">
        <v>213</v>
      </c>
      <c r="F81" s="3">
        <f t="shared" si="3"/>
        <v>213</v>
      </c>
      <c r="G81" s="2" t="s">
        <v>8</v>
      </c>
      <c r="H81" s="2"/>
    </row>
    <row r="82" spans="1:8" x14ac:dyDescent="0.25">
      <c r="A82" s="8">
        <v>45760</v>
      </c>
      <c r="B82" s="2">
        <v>3</v>
      </c>
      <c r="C82" s="2" t="s">
        <v>86</v>
      </c>
      <c r="D82" s="2" t="s">
        <v>139</v>
      </c>
      <c r="E82" s="3">
        <v>87</v>
      </c>
      <c r="F82" s="3">
        <f t="shared" si="3"/>
        <v>261</v>
      </c>
      <c r="G82" s="2" t="s">
        <v>8</v>
      </c>
      <c r="H82" s="2"/>
    </row>
    <row r="83" spans="1:8" x14ac:dyDescent="0.25">
      <c r="A83" s="8">
        <v>45760</v>
      </c>
      <c r="B83" s="2">
        <v>5</v>
      </c>
      <c r="C83" s="2" t="s">
        <v>235</v>
      </c>
      <c r="D83" s="2" t="s">
        <v>120</v>
      </c>
      <c r="E83" s="3">
        <v>2605</v>
      </c>
      <c r="F83" s="3">
        <f t="shared" si="3"/>
        <v>13025</v>
      </c>
      <c r="G83" s="2" t="s">
        <v>8</v>
      </c>
      <c r="H83" s="2" t="s">
        <v>142</v>
      </c>
    </row>
    <row r="84" spans="1:8" x14ac:dyDescent="0.25">
      <c r="A84" s="8">
        <v>45760</v>
      </c>
      <c r="B84" s="2">
        <v>1</v>
      </c>
      <c r="C84" s="2" t="s">
        <v>236</v>
      </c>
      <c r="D84" s="2" t="s">
        <v>120</v>
      </c>
      <c r="E84" s="3">
        <v>3535</v>
      </c>
      <c r="F84" s="3">
        <f t="shared" si="3"/>
        <v>3535</v>
      </c>
      <c r="G84" s="2" t="s">
        <v>8</v>
      </c>
      <c r="H84" s="2" t="s">
        <v>142</v>
      </c>
    </row>
    <row r="85" spans="1:8" x14ac:dyDescent="0.25">
      <c r="A85" s="8">
        <v>45760</v>
      </c>
      <c r="B85" s="2">
        <v>6</v>
      </c>
      <c r="C85" s="2" t="s">
        <v>143</v>
      </c>
      <c r="D85" s="2" t="s">
        <v>120</v>
      </c>
      <c r="E85" s="3">
        <v>204</v>
      </c>
      <c r="F85" s="3">
        <f t="shared" si="3"/>
        <v>1224</v>
      </c>
      <c r="G85" s="2" t="s">
        <v>8</v>
      </c>
      <c r="H85" s="2" t="s">
        <v>115</v>
      </c>
    </row>
    <row r="86" spans="1:8" x14ac:dyDescent="0.25">
      <c r="A86" s="8">
        <v>45760</v>
      </c>
      <c r="B86" s="2">
        <v>3</v>
      </c>
      <c r="C86" s="2" t="s">
        <v>144</v>
      </c>
      <c r="D86" s="2" t="s">
        <v>120</v>
      </c>
      <c r="E86" s="3">
        <v>200</v>
      </c>
      <c r="F86" s="3">
        <f t="shared" si="3"/>
        <v>600</v>
      </c>
      <c r="G86" s="2" t="s">
        <v>8</v>
      </c>
      <c r="H86" s="2" t="s">
        <v>115</v>
      </c>
    </row>
    <row r="87" spans="1:8" x14ac:dyDescent="0.25">
      <c r="A87" s="8">
        <v>45760</v>
      </c>
      <c r="B87" s="2">
        <v>11</v>
      </c>
      <c r="C87" s="2" t="s">
        <v>134</v>
      </c>
      <c r="D87" s="2" t="s">
        <v>120</v>
      </c>
      <c r="E87" s="3">
        <v>21</v>
      </c>
      <c r="F87" s="3">
        <f t="shared" si="3"/>
        <v>231</v>
      </c>
      <c r="G87" s="2" t="s">
        <v>8</v>
      </c>
      <c r="H87" s="2" t="s">
        <v>115</v>
      </c>
    </row>
    <row r="88" spans="1:8" x14ac:dyDescent="0.25">
      <c r="A88" s="6">
        <v>45761</v>
      </c>
      <c r="B88" s="22">
        <v>6</v>
      </c>
      <c r="C88" s="22" t="s">
        <v>188</v>
      </c>
      <c r="D88" s="2" t="s">
        <v>189</v>
      </c>
      <c r="E88" s="23">
        <v>724</v>
      </c>
      <c r="F88" s="23">
        <f t="shared" si="3"/>
        <v>4344</v>
      </c>
      <c r="G88" s="2" t="s">
        <v>190</v>
      </c>
      <c r="H88" s="2"/>
    </row>
    <row r="89" spans="1:8" x14ac:dyDescent="0.25">
      <c r="A89" s="8">
        <v>45762</v>
      </c>
      <c r="B89" s="2">
        <v>2</v>
      </c>
      <c r="C89" s="2" t="s">
        <v>207</v>
      </c>
      <c r="D89" s="2" t="s">
        <v>14</v>
      </c>
      <c r="E89" s="23">
        <v>2549</v>
      </c>
      <c r="F89" s="23">
        <f t="shared" si="3"/>
        <v>5098</v>
      </c>
      <c r="G89" s="2" t="s">
        <v>234</v>
      </c>
      <c r="H89" s="2"/>
    </row>
    <row r="90" spans="1:8" x14ac:dyDescent="0.25">
      <c r="A90" s="8">
        <v>45762</v>
      </c>
      <c r="B90" s="2">
        <v>1</v>
      </c>
      <c r="C90" s="2" t="s">
        <v>126</v>
      </c>
      <c r="D90" s="2" t="s">
        <v>14</v>
      </c>
      <c r="E90" s="23">
        <v>2549</v>
      </c>
      <c r="F90" s="23">
        <f t="shared" si="3"/>
        <v>2549</v>
      </c>
      <c r="G90" s="2" t="s">
        <v>234</v>
      </c>
      <c r="H90" s="2"/>
    </row>
    <row r="91" spans="1:8" x14ac:dyDescent="0.25">
      <c r="A91" s="8">
        <v>45762</v>
      </c>
      <c r="B91" s="2">
        <v>2</v>
      </c>
      <c r="C91" s="2" t="s">
        <v>113</v>
      </c>
      <c r="D91" s="2" t="s">
        <v>14</v>
      </c>
      <c r="E91" s="23">
        <v>2199</v>
      </c>
      <c r="F91" s="23">
        <f t="shared" si="3"/>
        <v>4398</v>
      </c>
      <c r="G91" s="2" t="s">
        <v>234</v>
      </c>
      <c r="H91" s="2"/>
    </row>
    <row r="92" spans="1:8" s="42" customFormat="1" x14ac:dyDescent="0.25">
      <c r="A92" s="38">
        <v>45763</v>
      </c>
      <c r="B92" s="39">
        <v>2</v>
      </c>
      <c r="C92" s="39" t="s">
        <v>211</v>
      </c>
      <c r="D92" s="39" t="s">
        <v>194</v>
      </c>
      <c r="E92" s="40">
        <v>539</v>
      </c>
      <c r="F92" s="40">
        <f t="shared" si="3"/>
        <v>1078</v>
      </c>
      <c r="G92" s="39" t="s">
        <v>208</v>
      </c>
      <c r="H92" s="41" t="s">
        <v>278</v>
      </c>
    </row>
    <row r="93" spans="1:8" x14ac:dyDescent="0.25">
      <c r="A93" s="6">
        <v>45763</v>
      </c>
      <c r="B93" s="22">
        <v>2</v>
      </c>
      <c r="C93" s="22" t="s">
        <v>31</v>
      </c>
      <c r="D93" s="24" t="s">
        <v>30</v>
      </c>
      <c r="E93" s="23">
        <v>213</v>
      </c>
      <c r="F93" s="23">
        <f t="shared" si="3"/>
        <v>426</v>
      </c>
      <c r="G93" s="22" t="s">
        <v>8</v>
      </c>
      <c r="H93" s="2"/>
    </row>
    <row r="94" spans="1:8" x14ac:dyDescent="0.25">
      <c r="A94" s="8">
        <v>45763</v>
      </c>
      <c r="B94" s="2">
        <v>6</v>
      </c>
      <c r="C94" s="2" t="s">
        <v>134</v>
      </c>
      <c r="D94" s="2" t="s">
        <v>30</v>
      </c>
      <c r="E94" s="3">
        <v>19</v>
      </c>
      <c r="F94" s="3">
        <f t="shared" si="3"/>
        <v>114</v>
      </c>
      <c r="G94" s="2" t="s">
        <v>8</v>
      </c>
      <c r="H94" s="2"/>
    </row>
    <row r="95" spans="1:8" x14ac:dyDescent="0.25">
      <c r="A95" s="8">
        <v>45763</v>
      </c>
      <c r="B95" s="2">
        <v>2</v>
      </c>
      <c r="C95" s="2" t="s">
        <v>195</v>
      </c>
      <c r="D95" s="2" t="s">
        <v>30</v>
      </c>
      <c r="E95" s="3">
        <v>646</v>
      </c>
      <c r="F95" s="3">
        <f t="shared" si="3"/>
        <v>1292</v>
      </c>
      <c r="G95" s="2" t="s">
        <v>24</v>
      </c>
      <c r="H95" s="2" t="s">
        <v>605</v>
      </c>
    </row>
    <row r="96" spans="1:8" x14ac:dyDescent="0.25">
      <c r="A96" s="8">
        <v>45763</v>
      </c>
      <c r="B96" s="2">
        <v>4</v>
      </c>
      <c r="C96" s="2" t="s">
        <v>196</v>
      </c>
      <c r="D96" s="2" t="s">
        <v>30</v>
      </c>
      <c r="E96" s="3">
        <v>713</v>
      </c>
      <c r="F96" s="3">
        <f t="shared" si="3"/>
        <v>2852</v>
      </c>
      <c r="G96" s="2" t="s">
        <v>24</v>
      </c>
      <c r="H96" s="2"/>
    </row>
    <row r="97" spans="1:8" x14ac:dyDescent="0.25">
      <c r="A97" s="8">
        <v>45763</v>
      </c>
      <c r="B97" s="2">
        <v>2</v>
      </c>
      <c r="C97" s="2" t="s">
        <v>197</v>
      </c>
      <c r="D97" s="2" t="s">
        <v>30</v>
      </c>
      <c r="E97" s="3">
        <v>184</v>
      </c>
      <c r="F97" s="3">
        <f t="shared" si="3"/>
        <v>368</v>
      </c>
      <c r="G97" s="2" t="s">
        <v>24</v>
      </c>
      <c r="H97" s="2" t="s">
        <v>308</v>
      </c>
    </row>
    <row r="98" spans="1:8" x14ac:dyDescent="0.25">
      <c r="A98" s="8">
        <v>45764</v>
      </c>
      <c r="B98" s="2">
        <v>1</v>
      </c>
      <c r="C98" s="2" t="s">
        <v>210</v>
      </c>
      <c r="D98" s="2" t="s">
        <v>205</v>
      </c>
      <c r="E98" s="3">
        <v>489</v>
      </c>
      <c r="F98" s="3">
        <f t="shared" si="3"/>
        <v>489</v>
      </c>
      <c r="G98" s="2" t="s">
        <v>8</v>
      </c>
      <c r="H98" s="2"/>
    </row>
    <row r="99" spans="1:8" x14ac:dyDescent="0.25">
      <c r="A99" s="8">
        <v>45764</v>
      </c>
      <c r="B99" s="2">
        <v>1</v>
      </c>
      <c r="C99" s="2" t="s">
        <v>198</v>
      </c>
      <c r="D99" s="2" t="s">
        <v>205</v>
      </c>
      <c r="E99" s="3">
        <v>489</v>
      </c>
      <c r="F99" s="3">
        <f t="shared" si="3"/>
        <v>489</v>
      </c>
      <c r="G99" s="2" t="s">
        <v>8</v>
      </c>
      <c r="H99" s="2"/>
    </row>
    <row r="100" spans="1:8" x14ac:dyDescent="0.25">
      <c r="A100" s="8">
        <v>45764</v>
      </c>
      <c r="B100" s="2">
        <v>1</v>
      </c>
      <c r="C100" s="2" t="s">
        <v>200</v>
      </c>
      <c r="D100" s="2" t="s">
        <v>199</v>
      </c>
      <c r="E100" s="3">
        <v>539</v>
      </c>
      <c r="F100" s="3">
        <f t="shared" si="3"/>
        <v>539</v>
      </c>
      <c r="G100" s="2" t="s">
        <v>8</v>
      </c>
      <c r="H100" s="2"/>
    </row>
    <row r="101" spans="1:8" x14ac:dyDescent="0.25">
      <c r="A101" s="8">
        <v>45764</v>
      </c>
      <c r="B101" s="2">
        <v>1</v>
      </c>
      <c r="C101" s="2" t="s">
        <v>201</v>
      </c>
      <c r="D101" s="2" t="s">
        <v>199</v>
      </c>
      <c r="E101" s="3">
        <v>539</v>
      </c>
      <c r="F101" s="3">
        <f t="shared" si="3"/>
        <v>539</v>
      </c>
      <c r="G101" s="2" t="s">
        <v>8</v>
      </c>
      <c r="H101" s="2"/>
    </row>
    <row r="102" spans="1:8" x14ac:dyDescent="0.25">
      <c r="A102" s="8">
        <v>45764</v>
      </c>
      <c r="B102" s="2">
        <v>1</v>
      </c>
      <c r="C102" s="25" t="s">
        <v>202</v>
      </c>
      <c r="D102" s="2" t="s">
        <v>203</v>
      </c>
      <c r="E102" s="3">
        <v>539</v>
      </c>
      <c r="F102" s="3">
        <f t="shared" si="3"/>
        <v>539</v>
      </c>
      <c r="G102" s="2" t="s">
        <v>8</v>
      </c>
      <c r="H102" s="2"/>
    </row>
    <row r="103" spans="1:8" x14ac:dyDescent="0.25">
      <c r="A103" s="8">
        <v>45764</v>
      </c>
      <c r="B103" s="2">
        <v>1</v>
      </c>
      <c r="C103" s="25" t="s">
        <v>206</v>
      </c>
      <c r="D103" s="2" t="s">
        <v>203</v>
      </c>
      <c r="E103" s="3">
        <v>489</v>
      </c>
      <c r="F103" s="3">
        <f t="shared" si="3"/>
        <v>489</v>
      </c>
      <c r="G103" s="2" t="s">
        <v>8</v>
      </c>
      <c r="H103" s="2"/>
    </row>
    <row r="104" spans="1:8" x14ac:dyDescent="0.25">
      <c r="A104" s="8">
        <v>45764</v>
      </c>
      <c r="B104" s="2">
        <v>5</v>
      </c>
      <c r="C104" s="25" t="s">
        <v>200</v>
      </c>
      <c r="D104" s="2" t="s">
        <v>203</v>
      </c>
      <c r="E104" s="3">
        <v>539</v>
      </c>
      <c r="F104" s="3">
        <f t="shared" si="3"/>
        <v>2695</v>
      </c>
      <c r="G104" s="2" t="s">
        <v>8</v>
      </c>
      <c r="H104" s="2"/>
    </row>
    <row r="105" spans="1:8" x14ac:dyDescent="0.25">
      <c r="A105" s="8">
        <v>45764</v>
      </c>
      <c r="B105" s="2">
        <v>4</v>
      </c>
      <c r="C105" s="2" t="s">
        <v>204</v>
      </c>
      <c r="D105" s="2" t="s">
        <v>203</v>
      </c>
      <c r="E105" s="3">
        <v>539</v>
      </c>
      <c r="F105" s="3">
        <f t="shared" si="3"/>
        <v>2156</v>
      </c>
      <c r="G105" s="2" t="s">
        <v>8</v>
      </c>
      <c r="H105" s="2"/>
    </row>
    <row r="106" spans="1:8" x14ac:dyDescent="0.25">
      <c r="A106" s="8">
        <v>45767</v>
      </c>
      <c r="B106" s="2">
        <v>1</v>
      </c>
      <c r="C106" s="26" t="s">
        <v>85</v>
      </c>
      <c r="D106" s="2" t="s">
        <v>224</v>
      </c>
      <c r="E106" s="3">
        <v>597</v>
      </c>
      <c r="F106" s="3">
        <f t="shared" si="3"/>
        <v>597</v>
      </c>
      <c r="G106" s="2"/>
      <c r="H106" s="2"/>
    </row>
    <row r="107" spans="1:8" x14ac:dyDescent="0.25">
      <c r="A107" s="8">
        <v>45767</v>
      </c>
      <c r="B107" s="2">
        <v>9</v>
      </c>
      <c r="C107" s="25" t="s">
        <v>222</v>
      </c>
      <c r="D107" s="2" t="s">
        <v>213</v>
      </c>
      <c r="E107" s="3">
        <v>539</v>
      </c>
      <c r="F107" s="3">
        <f t="shared" si="3"/>
        <v>4851</v>
      </c>
      <c r="G107" s="2" t="s">
        <v>8</v>
      </c>
      <c r="H107" s="2"/>
    </row>
    <row r="108" spans="1:8" x14ac:dyDescent="0.25">
      <c r="A108" s="8">
        <v>45767</v>
      </c>
      <c r="B108" s="2">
        <v>5</v>
      </c>
      <c r="C108" s="2" t="s">
        <v>214</v>
      </c>
      <c r="D108" s="2" t="s">
        <v>212</v>
      </c>
      <c r="E108" s="3">
        <v>489</v>
      </c>
      <c r="F108" s="3">
        <f t="shared" si="3"/>
        <v>2445</v>
      </c>
      <c r="G108" s="2" t="s">
        <v>234</v>
      </c>
      <c r="H108" s="2"/>
    </row>
    <row r="109" spans="1:8" x14ac:dyDescent="0.25">
      <c r="A109" s="8">
        <v>45768</v>
      </c>
      <c r="B109" s="2">
        <v>1</v>
      </c>
      <c r="C109" s="2" t="s">
        <v>215</v>
      </c>
      <c r="D109" s="2" t="s">
        <v>139</v>
      </c>
      <c r="E109" s="2">
        <v>184</v>
      </c>
      <c r="F109" s="3">
        <f t="shared" ref="F109:F152" si="4">B109*E109</f>
        <v>184</v>
      </c>
      <c r="G109" s="2" t="s">
        <v>8</v>
      </c>
      <c r="H109" s="2"/>
    </row>
    <row r="110" spans="1:8" x14ac:dyDescent="0.25">
      <c r="A110" s="8">
        <v>45768</v>
      </c>
      <c r="B110" s="2">
        <v>6</v>
      </c>
      <c r="C110" s="2" t="s">
        <v>216</v>
      </c>
      <c r="D110" s="2" t="s">
        <v>120</v>
      </c>
      <c r="E110" s="2">
        <v>2590</v>
      </c>
      <c r="F110" s="3">
        <f t="shared" si="4"/>
        <v>15540</v>
      </c>
      <c r="G110" s="2" t="s">
        <v>8</v>
      </c>
      <c r="H110" s="2" t="s">
        <v>217</v>
      </c>
    </row>
    <row r="111" spans="1:8" x14ac:dyDescent="0.25">
      <c r="A111" s="8">
        <v>45768</v>
      </c>
      <c r="B111" s="2">
        <v>5</v>
      </c>
      <c r="C111" s="2" t="s">
        <v>134</v>
      </c>
      <c r="D111" s="2" t="s">
        <v>120</v>
      </c>
      <c r="E111" s="2">
        <v>21</v>
      </c>
      <c r="F111" s="2">
        <f t="shared" si="4"/>
        <v>105</v>
      </c>
      <c r="G111" s="2" t="s">
        <v>8</v>
      </c>
      <c r="H111" s="2"/>
    </row>
    <row r="112" spans="1:8" x14ac:dyDescent="0.25">
      <c r="A112" s="8">
        <v>45768</v>
      </c>
      <c r="B112" s="2">
        <v>6</v>
      </c>
      <c r="C112" s="25" t="s">
        <v>222</v>
      </c>
      <c r="D112" s="2" t="s">
        <v>218</v>
      </c>
      <c r="E112" s="3">
        <v>539</v>
      </c>
      <c r="F112" s="3">
        <f t="shared" si="4"/>
        <v>3234</v>
      </c>
      <c r="G112" s="2" t="s">
        <v>8</v>
      </c>
      <c r="H112" s="2"/>
    </row>
    <row r="113" spans="1:9" x14ac:dyDescent="0.25">
      <c r="A113" s="8">
        <v>45768</v>
      </c>
      <c r="B113" s="2">
        <v>2</v>
      </c>
      <c r="C113" s="26" t="s">
        <v>220</v>
      </c>
      <c r="D113" s="18" t="s">
        <v>219</v>
      </c>
      <c r="E113" s="19">
        <v>489</v>
      </c>
      <c r="F113" s="19">
        <f t="shared" si="4"/>
        <v>978</v>
      </c>
      <c r="G113" s="18" t="s">
        <v>322</v>
      </c>
      <c r="H113" s="18" t="s">
        <v>307</v>
      </c>
      <c r="I113" s="60">
        <f>F113/11</f>
        <v>88.909090909090907</v>
      </c>
    </row>
    <row r="114" spans="1:9" x14ac:dyDescent="0.25">
      <c r="A114" s="8">
        <v>45768</v>
      </c>
      <c r="B114" s="2">
        <v>4</v>
      </c>
      <c r="C114" s="25" t="s">
        <v>222</v>
      </c>
      <c r="D114" s="2" t="s">
        <v>221</v>
      </c>
      <c r="E114" s="3">
        <v>539</v>
      </c>
      <c r="F114" s="3">
        <f t="shared" si="4"/>
        <v>2156</v>
      </c>
      <c r="G114" s="2" t="s">
        <v>8</v>
      </c>
      <c r="H114" s="2"/>
    </row>
    <row r="115" spans="1:9" x14ac:dyDescent="0.25">
      <c r="A115" s="8">
        <v>45768</v>
      </c>
      <c r="B115" s="2">
        <v>4</v>
      </c>
      <c r="C115" s="25" t="s">
        <v>222</v>
      </c>
      <c r="D115" s="2" t="s">
        <v>223</v>
      </c>
      <c r="E115" s="3">
        <v>539</v>
      </c>
      <c r="F115" s="3">
        <f t="shared" si="4"/>
        <v>2156</v>
      </c>
      <c r="G115" s="2" t="s">
        <v>8</v>
      </c>
      <c r="H115" s="2"/>
    </row>
    <row r="116" spans="1:9" x14ac:dyDescent="0.25">
      <c r="A116" s="8">
        <v>45768</v>
      </c>
      <c r="B116" s="2">
        <v>3</v>
      </c>
      <c r="C116" s="2" t="s">
        <v>113</v>
      </c>
      <c r="D116" s="2" t="s">
        <v>14</v>
      </c>
      <c r="E116" s="3">
        <v>2199</v>
      </c>
      <c r="F116" s="3">
        <f t="shared" si="4"/>
        <v>6597</v>
      </c>
      <c r="G116" s="2" t="s">
        <v>234</v>
      </c>
      <c r="H116" s="2"/>
    </row>
    <row r="117" spans="1:9" x14ac:dyDescent="0.25">
      <c r="A117" s="8">
        <v>45768</v>
      </c>
      <c r="B117" s="2">
        <v>6</v>
      </c>
      <c r="C117" s="2" t="s">
        <v>112</v>
      </c>
      <c r="D117" s="2" t="s">
        <v>14</v>
      </c>
      <c r="E117" s="3">
        <v>2199</v>
      </c>
      <c r="F117" s="3">
        <f t="shared" si="4"/>
        <v>13194</v>
      </c>
      <c r="G117" s="2" t="s">
        <v>234</v>
      </c>
      <c r="H117" s="2"/>
    </row>
    <row r="118" spans="1:9" x14ac:dyDescent="0.25">
      <c r="A118" s="8">
        <v>45769</v>
      </c>
      <c r="B118" s="2">
        <v>2</v>
      </c>
      <c r="C118" s="2" t="s">
        <v>225</v>
      </c>
      <c r="D118" s="2" t="s">
        <v>72</v>
      </c>
      <c r="E118" s="3">
        <v>254.6</v>
      </c>
      <c r="F118" s="3">
        <f t="shared" si="4"/>
        <v>509.2</v>
      </c>
      <c r="G118" s="2" t="s">
        <v>8</v>
      </c>
      <c r="H118" s="2"/>
    </row>
    <row r="119" spans="1:9" x14ac:dyDescent="0.25">
      <c r="A119" s="8">
        <v>45769</v>
      </c>
      <c r="B119" s="2">
        <v>17</v>
      </c>
      <c r="C119" s="2" t="s">
        <v>86</v>
      </c>
      <c r="D119" s="2" t="s">
        <v>226</v>
      </c>
      <c r="E119" s="3">
        <v>98</v>
      </c>
      <c r="F119" s="3">
        <f t="shared" si="4"/>
        <v>1666</v>
      </c>
      <c r="G119" s="2" t="s">
        <v>8</v>
      </c>
      <c r="H119" s="2"/>
    </row>
    <row r="120" spans="1:9" x14ac:dyDescent="0.25">
      <c r="A120" s="8">
        <v>45769</v>
      </c>
      <c r="B120" s="2">
        <v>1</v>
      </c>
      <c r="C120" s="2" t="s">
        <v>227</v>
      </c>
      <c r="D120" s="2" t="s">
        <v>124</v>
      </c>
      <c r="E120" s="3">
        <v>2588</v>
      </c>
      <c r="F120" s="3">
        <f t="shared" si="4"/>
        <v>2588</v>
      </c>
      <c r="G120" s="2" t="s">
        <v>8</v>
      </c>
      <c r="H120" s="2" t="s">
        <v>229</v>
      </c>
    </row>
    <row r="121" spans="1:9" x14ac:dyDescent="0.25">
      <c r="A121" s="8">
        <v>45769</v>
      </c>
      <c r="B121" s="2">
        <v>1</v>
      </c>
      <c r="C121" s="2" t="s">
        <v>228</v>
      </c>
      <c r="D121" s="2" t="s">
        <v>124</v>
      </c>
      <c r="E121" s="3">
        <v>3518</v>
      </c>
      <c r="F121" s="3">
        <f t="shared" si="4"/>
        <v>3518</v>
      </c>
      <c r="G121" s="2" t="s">
        <v>8</v>
      </c>
      <c r="H121" s="2" t="s">
        <v>229</v>
      </c>
    </row>
    <row r="122" spans="1:9" x14ac:dyDescent="0.25">
      <c r="A122" s="17">
        <v>45769</v>
      </c>
      <c r="B122" s="18">
        <v>1</v>
      </c>
      <c r="C122" s="18" t="s">
        <v>113</v>
      </c>
      <c r="D122" s="18" t="s">
        <v>230</v>
      </c>
      <c r="E122" s="19">
        <v>2197</v>
      </c>
      <c r="F122" s="19">
        <f t="shared" si="4"/>
        <v>2197</v>
      </c>
      <c r="G122" s="18" t="s">
        <v>231</v>
      </c>
      <c r="H122" s="18" t="s">
        <v>308</v>
      </c>
    </row>
    <row r="123" spans="1:9" x14ac:dyDescent="0.25">
      <c r="A123" s="17">
        <v>45769</v>
      </c>
      <c r="B123" s="18">
        <v>1</v>
      </c>
      <c r="C123" s="18" t="s">
        <v>158</v>
      </c>
      <c r="D123" s="18" t="s">
        <v>230</v>
      </c>
      <c r="E123" s="19">
        <v>2549</v>
      </c>
      <c r="F123" s="19">
        <f t="shared" si="4"/>
        <v>2549</v>
      </c>
      <c r="G123" s="18" t="s">
        <v>102</v>
      </c>
      <c r="H123" s="18" t="s">
        <v>308</v>
      </c>
    </row>
    <row r="124" spans="1:9" x14ac:dyDescent="0.25">
      <c r="A124" s="8">
        <v>45769</v>
      </c>
      <c r="B124" s="2">
        <v>1</v>
      </c>
      <c r="C124" s="2" t="s">
        <v>158</v>
      </c>
      <c r="D124" s="2" t="s">
        <v>232</v>
      </c>
      <c r="E124" s="3">
        <v>2549</v>
      </c>
      <c r="F124" s="3">
        <f t="shared" si="4"/>
        <v>2549</v>
      </c>
      <c r="G124" s="2" t="s">
        <v>8</v>
      </c>
      <c r="H124" s="2"/>
    </row>
    <row r="125" spans="1:9" x14ac:dyDescent="0.25">
      <c r="A125" s="8">
        <v>45769</v>
      </c>
      <c r="B125" s="2">
        <v>3</v>
      </c>
      <c r="C125" s="2" t="s">
        <v>113</v>
      </c>
      <c r="D125" s="2" t="s">
        <v>232</v>
      </c>
      <c r="E125" s="3">
        <v>2197</v>
      </c>
      <c r="F125" s="3">
        <f t="shared" si="4"/>
        <v>6591</v>
      </c>
      <c r="G125" s="2" t="s">
        <v>8</v>
      </c>
      <c r="H125" s="2"/>
    </row>
    <row r="126" spans="1:9" x14ac:dyDescent="0.25">
      <c r="A126" s="8">
        <v>45769</v>
      </c>
      <c r="B126" s="2">
        <v>3</v>
      </c>
      <c r="C126" s="2" t="s">
        <v>225</v>
      </c>
      <c r="D126" s="2" t="s">
        <v>28</v>
      </c>
      <c r="E126" s="3">
        <v>254.6</v>
      </c>
      <c r="F126" s="3">
        <f t="shared" si="4"/>
        <v>763.8</v>
      </c>
      <c r="G126" s="2" t="s">
        <v>8</v>
      </c>
      <c r="H126" s="2"/>
    </row>
    <row r="127" spans="1:9" x14ac:dyDescent="0.25">
      <c r="A127" s="8">
        <v>45769</v>
      </c>
      <c r="B127" s="2">
        <v>1</v>
      </c>
      <c r="C127" s="2" t="s">
        <v>86</v>
      </c>
      <c r="D127" s="2" t="s">
        <v>28</v>
      </c>
      <c r="E127" s="3">
        <v>98</v>
      </c>
      <c r="F127" s="3">
        <f t="shared" si="4"/>
        <v>98</v>
      </c>
      <c r="G127" s="2" t="s">
        <v>8</v>
      </c>
      <c r="H127" s="2"/>
    </row>
    <row r="128" spans="1:9" x14ac:dyDescent="0.25">
      <c r="A128" s="8">
        <v>45771</v>
      </c>
      <c r="B128" s="2">
        <v>4</v>
      </c>
      <c r="C128" s="2" t="s">
        <v>235</v>
      </c>
      <c r="D128" s="2" t="s">
        <v>114</v>
      </c>
      <c r="E128" s="3">
        <v>2530</v>
      </c>
      <c r="F128" s="3">
        <f t="shared" si="4"/>
        <v>10120</v>
      </c>
      <c r="G128" s="2" t="s">
        <v>8</v>
      </c>
      <c r="H128" s="2" t="s">
        <v>229</v>
      </c>
    </row>
    <row r="129" spans="1:8" x14ac:dyDescent="0.25">
      <c r="A129" s="8">
        <v>45771</v>
      </c>
      <c r="B129" s="2">
        <v>4</v>
      </c>
      <c r="C129" s="2" t="s">
        <v>236</v>
      </c>
      <c r="D129" s="2" t="s">
        <v>114</v>
      </c>
      <c r="E129" s="3">
        <v>3450</v>
      </c>
      <c r="F129" s="3">
        <f t="shared" si="4"/>
        <v>13800</v>
      </c>
      <c r="G129" s="2" t="s">
        <v>8</v>
      </c>
      <c r="H129" s="2" t="s">
        <v>229</v>
      </c>
    </row>
    <row r="130" spans="1:8" x14ac:dyDescent="0.25">
      <c r="A130" s="8">
        <v>45771</v>
      </c>
      <c r="B130" s="2">
        <v>3</v>
      </c>
      <c r="C130" s="2" t="s">
        <v>237</v>
      </c>
      <c r="D130" s="2" t="s">
        <v>114</v>
      </c>
      <c r="E130" s="3">
        <v>521</v>
      </c>
      <c r="F130" s="3">
        <f t="shared" si="4"/>
        <v>1563</v>
      </c>
      <c r="G130" s="2" t="s">
        <v>8</v>
      </c>
      <c r="H130" s="2"/>
    </row>
    <row r="131" spans="1:8" x14ac:dyDescent="0.25">
      <c r="A131" s="8">
        <v>45771</v>
      </c>
      <c r="B131" s="2">
        <v>12</v>
      </c>
      <c r="C131" s="2" t="s">
        <v>238</v>
      </c>
      <c r="D131" s="2" t="s">
        <v>114</v>
      </c>
      <c r="E131" s="3">
        <v>14.5</v>
      </c>
      <c r="F131" s="3">
        <f t="shared" si="4"/>
        <v>174</v>
      </c>
      <c r="G131" s="2" t="s">
        <v>8</v>
      </c>
      <c r="H131" s="2"/>
    </row>
    <row r="132" spans="1:8" x14ac:dyDescent="0.25">
      <c r="A132" s="8">
        <v>45771</v>
      </c>
      <c r="B132" s="2">
        <v>15</v>
      </c>
      <c r="C132" s="2" t="s">
        <v>239</v>
      </c>
      <c r="D132" s="2" t="s">
        <v>114</v>
      </c>
      <c r="E132" s="3">
        <v>26.5</v>
      </c>
      <c r="F132" s="3">
        <f t="shared" si="4"/>
        <v>397.5</v>
      </c>
      <c r="G132" s="2" t="s">
        <v>8</v>
      </c>
      <c r="H132" s="2"/>
    </row>
    <row r="133" spans="1:8" x14ac:dyDescent="0.25">
      <c r="A133" s="8">
        <v>45771</v>
      </c>
      <c r="B133" s="2">
        <v>23</v>
      </c>
      <c r="C133" s="2" t="s">
        <v>240</v>
      </c>
      <c r="D133" s="2" t="s">
        <v>114</v>
      </c>
      <c r="E133" s="3">
        <v>12</v>
      </c>
      <c r="F133" s="3">
        <f t="shared" si="4"/>
        <v>276</v>
      </c>
      <c r="G133" s="2" t="s">
        <v>8</v>
      </c>
      <c r="H133" s="2"/>
    </row>
    <row r="134" spans="1:8" x14ac:dyDescent="0.25">
      <c r="A134" s="8">
        <v>45771</v>
      </c>
      <c r="B134" s="2">
        <v>3</v>
      </c>
      <c r="C134" s="2" t="s">
        <v>241</v>
      </c>
      <c r="D134" s="2" t="s">
        <v>114</v>
      </c>
      <c r="E134" s="3">
        <v>18</v>
      </c>
      <c r="F134" s="3">
        <f t="shared" si="4"/>
        <v>54</v>
      </c>
      <c r="G134" s="2" t="s">
        <v>8</v>
      </c>
      <c r="H134" s="2"/>
    </row>
    <row r="135" spans="1:8" x14ac:dyDescent="0.25">
      <c r="A135" s="8">
        <v>45771</v>
      </c>
      <c r="B135" s="2">
        <v>3</v>
      </c>
      <c r="C135" s="2" t="s">
        <v>242</v>
      </c>
      <c r="D135" s="2" t="s">
        <v>114</v>
      </c>
      <c r="E135" s="3">
        <v>18</v>
      </c>
      <c r="F135" s="3">
        <f t="shared" si="4"/>
        <v>54</v>
      </c>
      <c r="G135" s="2" t="s">
        <v>8</v>
      </c>
      <c r="H135" s="2"/>
    </row>
    <row r="136" spans="1:8" x14ac:dyDescent="0.25">
      <c r="A136" s="8">
        <v>45771</v>
      </c>
      <c r="B136" s="2">
        <v>2</v>
      </c>
      <c r="C136" s="2" t="s">
        <v>243</v>
      </c>
      <c r="D136" s="2" t="s">
        <v>114</v>
      </c>
      <c r="E136" s="3">
        <v>18</v>
      </c>
      <c r="F136" s="3">
        <f t="shared" si="4"/>
        <v>36</v>
      </c>
      <c r="G136" s="2" t="s">
        <v>8</v>
      </c>
      <c r="H136" s="2"/>
    </row>
    <row r="137" spans="1:8" x14ac:dyDescent="0.25">
      <c r="A137" s="8">
        <v>45771</v>
      </c>
      <c r="B137" s="2">
        <v>2</v>
      </c>
      <c r="C137" s="2" t="s">
        <v>244</v>
      </c>
      <c r="D137" s="2" t="s">
        <v>114</v>
      </c>
      <c r="E137" s="3">
        <v>18</v>
      </c>
      <c r="F137" s="3">
        <f t="shared" si="4"/>
        <v>36</v>
      </c>
      <c r="G137" s="2" t="s">
        <v>8</v>
      </c>
      <c r="H137" s="2"/>
    </row>
    <row r="138" spans="1:8" x14ac:dyDescent="0.25">
      <c r="A138" s="8">
        <v>45771</v>
      </c>
      <c r="B138" s="2">
        <v>2</v>
      </c>
      <c r="C138" s="2" t="s">
        <v>245</v>
      </c>
      <c r="D138" s="2" t="s">
        <v>114</v>
      </c>
      <c r="E138" s="3">
        <v>18</v>
      </c>
      <c r="F138" s="3">
        <f t="shared" si="4"/>
        <v>36</v>
      </c>
      <c r="G138" s="2" t="s">
        <v>8</v>
      </c>
      <c r="H138" s="2"/>
    </row>
    <row r="139" spans="1:8" x14ac:dyDescent="0.25">
      <c r="A139" s="8">
        <v>45771</v>
      </c>
      <c r="B139" s="2">
        <v>1</v>
      </c>
      <c r="C139" s="2" t="s">
        <v>246</v>
      </c>
      <c r="D139" s="2" t="s">
        <v>114</v>
      </c>
      <c r="E139" s="3">
        <v>136</v>
      </c>
      <c r="F139" s="3">
        <f t="shared" si="4"/>
        <v>136</v>
      </c>
      <c r="G139" s="2" t="s">
        <v>8</v>
      </c>
      <c r="H139" s="2"/>
    </row>
    <row r="140" spans="1:8" x14ac:dyDescent="0.25">
      <c r="A140" s="8">
        <v>45771</v>
      </c>
      <c r="B140" s="2">
        <v>2</v>
      </c>
      <c r="C140" s="2" t="s">
        <v>247</v>
      </c>
      <c r="D140" s="2" t="s">
        <v>114</v>
      </c>
      <c r="E140" s="3">
        <v>191</v>
      </c>
      <c r="F140" s="3">
        <f t="shared" si="4"/>
        <v>382</v>
      </c>
      <c r="G140" s="2" t="s">
        <v>8</v>
      </c>
      <c r="H140" s="2"/>
    </row>
    <row r="141" spans="1:8" x14ac:dyDescent="0.25">
      <c r="A141" s="8">
        <v>45771</v>
      </c>
      <c r="B141" s="2">
        <v>4</v>
      </c>
      <c r="C141" s="2" t="s">
        <v>197</v>
      </c>
      <c r="D141" s="2" t="s">
        <v>114</v>
      </c>
      <c r="E141" s="3">
        <v>184</v>
      </c>
      <c r="F141" s="3">
        <f t="shared" si="4"/>
        <v>736</v>
      </c>
      <c r="G141" s="2" t="s">
        <v>8</v>
      </c>
      <c r="H141" s="2"/>
    </row>
    <row r="142" spans="1:8" x14ac:dyDescent="0.25">
      <c r="A142" s="8">
        <v>45771</v>
      </c>
      <c r="B142" s="2">
        <v>4</v>
      </c>
      <c r="C142" s="2" t="s">
        <v>248</v>
      </c>
      <c r="D142" s="2" t="s">
        <v>114</v>
      </c>
      <c r="E142" s="3">
        <v>238</v>
      </c>
      <c r="F142" s="3">
        <f t="shared" si="4"/>
        <v>952</v>
      </c>
      <c r="G142" s="2" t="s">
        <v>8</v>
      </c>
      <c r="H142" s="2"/>
    </row>
    <row r="143" spans="1:8" x14ac:dyDescent="0.25">
      <c r="A143" s="8">
        <v>45771</v>
      </c>
      <c r="B143" s="2">
        <v>3</v>
      </c>
      <c r="C143" s="2" t="s">
        <v>237</v>
      </c>
      <c r="D143" s="2" t="s">
        <v>137</v>
      </c>
      <c r="E143" s="3">
        <v>510</v>
      </c>
      <c r="F143" s="3">
        <f t="shared" si="4"/>
        <v>1530</v>
      </c>
      <c r="G143" s="2" t="s">
        <v>8</v>
      </c>
      <c r="H143" s="2"/>
    </row>
    <row r="144" spans="1:8" x14ac:dyDescent="0.25">
      <c r="A144" s="8">
        <v>45771</v>
      </c>
      <c r="B144" s="2">
        <v>2</v>
      </c>
      <c r="C144" s="2" t="s">
        <v>236</v>
      </c>
      <c r="D144" s="2" t="s">
        <v>137</v>
      </c>
      <c r="E144" s="3">
        <v>3500</v>
      </c>
      <c r="F144" s="3">
        <f t="shared" si="4"/>
        <v>7000</v>
      </c>
      <c r="G144" s="2" t="s">
        <v>8</v>
      </c>
      <c r="H144" s="2" t="s">
        <v>229</v>
      </c>
    </row>
    <row r="145" spans="1:10" x14ac:dyDescent="0.25">
      <c r="A145" s="8">
        <v>45771</v>
      </c>
      <c r="B145" s="2">
        <v>2</v>
      </c>
      <c r="C145" s="2" t="s">
        <v>113</v>
      </c>
      <c r="D145" s="2" t="s">
        <v>249</v>
      </c>
      <c r="E145" s="3">
        <v>2149</v>
      </c>
      <c r="F145" s="3">
        <f t="shared" si="4"/>
        <v>4298</v>
      </c>
      <c r="G145" s="2" t="s">
        <v>8</v>
      </c>
      <c r="H145" s="2"/>
    </row>
    <row r="146" spans="1:10" x14ac:dyDescent="0.25">
      <c r="A146" s="8">
        <v>45773</v>
      </c>
      <c r="B146" s="2">
        <v>3</v>
      </c>
      <c r="C146" s="2" t="s">
        <v>237</v>
      </c>
      <c r="D146" s="2" t="s">
        <v>118</v>
      </c>
      <c r="E146" s="3">
        <v>520</v>
      </c>
      <c r="F146" s="3">
        <f t="shared" si="4"/>
        <v>1560</v>
      </c>
      <c r="G146" s="2" t="s">
        <v>8</v>
      </c>
      <c r="H146" s="2"/>
    </row>
    <row r="147" spans="1:10" x14ac:dyDescent="0.25">
      <c r="A147" s="8">
        <v>45774</v>
      </c>
      <c r="B147" s="2">
        <v>2</v>
      </c>
      <c r="C147" s="2" t="s">
        <v>236</v>
      </c>
      <c r="D147" s="2" t="s">
        <v>138</v>
      </c>
      <c r="E147" s="3">
        <v>3420</v>
      </c>
      <c r="F147" s="3">
        <f t="shared" si="4"/>
        <v>6840</v>
      </c>
      <c r="G147" s="2" t="s">
        <v>8</v>
      </c>
      <c r="H147" s="2" t="s">
        <v>229</v>
      </c>
    </row>
    <row r="148" spans="1:10" x14ac:dyDescent="0.25">
      <c r="A148" s="8">
        <v>45774</v>
      </c>
      <c r="B148" s="2">
        <v>1</v>
      </c>
      <c r="C148" s="2" t="s">
        <v>273</v>
      </c>
      <c r="D148" s="2" t="s">
        <v>138</v>
      </c>
      <c r="E148" s="3">
        <v>2515</v>
      </c>
      <c r="F148" s="3">
        <f t="shared" si="4"/>
        <v>2515</v>
      </c>
      <c r="G148" s="2" t="s">
        <v>8</v>
      </c>
      <c r="H148" s="2" t="s">
        <v>229</v>
      </c>
    </row>
    <row r="149" spans="1:10" x14ac:dyDescent="0.25">
      <c r="A149" s="8">
        <v>45774</v>
      </c>
      <c r="B149" s="2">
        <v>2</v>
      </c>
      <c r="C149" s="2" t="s">
        <v>236</v>
      </c>
      <c r="D149" s="2" t="s">
        <v>272</v>
      </c>
      <c r="E149" s="3">
        <v>3500</v>
      </c>
      <c r="F149" s="3">
        <f t="shared" si="4"/>
        <v>7000</v>
      </c>
      <c r="G149" s="2" t="s">
        <v>8</v>
      </c>
      <c r="H149" s="2" t="s">
        <v>229</v>
      </c>
    </row>
    <row r="150" spans="1:10" x14ac:dyDescent="0.25">
      <c r="A150" s="8">
        <v>45774</v>
      </c>
      <c r="B150" s="2">
        <v>2</v>
      </c>
      <c r="C150" s="2" t="s">
        <v>273</v>
      </c>
      <c r="D150" s="2" t="s">
        <v>272</v>
      </c>
      <c r="E150" s="3">
        <v>2580</v>
      </c>
      <c r="F150" s="3">
        <f t="shared" si="4"/>
        <v>5160</v>
      </c>
      <c r="G150" s="2" t="s">
        <v>8</v>
      </c>
      <c r="H150" s="2" t="s">
        <v>229</v>
      </c>
    </row>
    <row r="151" spans="1:10" x14ac:dyDescent="0.25">
      <c r="A151" s="8">
        <v>45774</v>
      </c>
      <c r="B151" s="2">
        <v>1</v>
      </c>
      <c r="C151" s="2" t="s">
        <v>237</v>
      </c>
      <c r="D151" s="2" t="s">
        <v>272</v>
      </c>
      <c r="E151" s="3">
        <v>520</v>
      </c>
      <c r="F151" s="3">
        <f t="shared" si="4"/>
        <v>520</v>
      </c>
      <c r="G151" s="2" t="s">
        <v>8</v>
      </c>
      <c r="H151" s="2"/>
      <c r="J151" t="s">
        <v>277</v>
      </c>
    </row>
    <row r="152" spans="1:10" x14ac:dyDescent="0.25">
      <c r="A152" s="8">
        <v>45775</v>
      </c>
      <c r="B152" s="2">
        <v>2</v>
      </c>
      <c r="C152" s="2" t="s">
        <v>237</v>
      </c>
      <c r="D152" s="2" t="s">
        <v>279</v>
      </c>
      <c r="E152" s="3">
        <v>539</v>
      </c>
      <c r="F152" s="3">
        <f t="shared" si="4"/>
        <v>1078</v>
      </c>
      <c r="G152" s="2" t="s">
        <v>8</v>
      </c>
      <c r="H152" s="2"/>
    </row>
    <row r="153" spans="1:10" x14ac:dyDescent="0.25">
      <c r="A153" s="2"/>
      <c r="B153" s="2"/>
      <c r="C153" s="2"/>
      <c r="D153" s="2"/>
      <c r="E153" s="2"/>
      <c r="F153" s="2"/>
      <c r="G153" s="2"/>
      <c r="H153" s="2"/>
    </row>
    <row r="154" spans="1:10" x14ac:dyDescent="0.25">
      <c r="A154" s="2"/>
      <c r="B154" s="2"/>
      <c r="C154" s="2"/>
      <c r="D154" s="2"/>
      <c r="E154" s="2"/>
      <c r="F154" s="2"/>
      <c r="G154" s="2"/>
      <c r="H154" s="2"/>
    </row>
    <row r="155" spans="1:10" x14ac:dyDescent="0.25">
      <c r="A155" s="2"/>
      <c r="B155" s="2"/>
      <c r="C155" s="2"/>
      <c r="D155" s="2"/>
      <c r="E155" s="2"/>
      <c r="F155" s="2"/>
      <c r="G155" s="2"/>
      <c r="H155" s="2"/>
      <c r="J155">
        <v>5000</v>
      </c>
    </row>
    <row r="156" spans="1:10" x14ac:dyDescent="0.25">
      <c r="A156" s="2"/>
      <c r="B156" s="2"/>
      <c r="C156" s="2"/>
      <c r="D156" s="2"/>
      <c r="E156" s="2"/>
      <c r="F156" s="2"/>
      <c r="G156" s="2"/>
      <c r="H156" s="2"/>
      <c r="J156">
        <v>11872</v>
      </c>
    </row>
    <row r="157" spans="1:10" x14ac:dyDescent="0.25">
      <c r="A157" s="2"/>
      <c r="B157" s="2"/>
      <c r="C157" s="2"/>
      <c r="D157" s="2"/>
      <c r="E157" s="2"/>
      <c r="F157" s="2"/>
      <c r="G157" s="2"/>
      <c r="H157" s="2"/>
      <c r="J157">
        <v>22500</v>
      </c>
    </row>
    <row r="158" spans="1:10" x14ac:dyDescent="0.25">
      <c r="A158" s="2"/>
      <c r="B158" s="2"/>
      <c r="C158" s="2"/>
      <c r="D158" s="2"/>
      <c r="E158" s="2"/>
      <c r="F158" s="2"/>
      <c r="G158" s="2"/>
      <c r="H158" s="2"/>
      <c r="J158">
        <v>16500</v>
      </c>
    </row>
    <row r="159" spans="1:10" x14ac:dyDescent="0.25">
      <c r="A159" s="2"/>
      <c r="B159" s="2"/>
      <c r="C159" s="2"/>
      <c r="D159" s="2"/>
      <c r="E159" s="2"/>
      <c r="F159" s="2"/>
      <c r="G159" s="2"/>
      <c r="H159" s="2"/>
    </row>
    <row r="160" spans="1:10" x14ac:dyDescent="0.25">
      <c r="A160" s="2"/>
      <c r="B160" s="2"/>
      <c r="C160" s="2"/>
      <c r="D160" s="2"/>
      <c r="E160" s="2"/>
      <c r="F160" s="2"/>
      <c r="G160" s="2"/>
      <c r="H160" s="2"/>
    </row>
    <row r="161" spans="1:8" x14ac:dyDescent="0.25">
      <c r="A161" s="2"/>
      <c r="B161" s="2"/>
      <c r="C161" s="2"/>
      <c r="D161" s="2"/>
      <c r="E161" s="2"/>
      <c r="F161" s="2"/>
      <c r="G161" s="2"/>
      <c r="H161" s="2"/>
    </row>
    <row r="162" spans="1:8" x14ac:dyDescent="0.25">
      <c r="A162" s="2"/>
      <c r="B162" s="2"/>
      <c r="C162" s="2"/>
      <c r="D162" s="2"/>
      <c r="E162" s="2"/>
      <c r="F162" s="2"/>
      <c r="G162" s="2"/>
      <c r="H162" s="2"/>
    </row>
    <row r="163" spans="1:8" x14ac:dyDescent="0.25">
      <c r="A163" s="2"/>
      <c r="B163" s="2"/>
      <c r="C163" s="2"/>
      <c r="D163" s="2"/>
      <c r="E163" s="2"/>
      <c r="F163" s="2"/>
      <c r="G163" s="2"/>
      <c r="H163" s="2"/>
    </row>
    <row r="164" spans="1:8" x14ac:dyDescent="0.25">
      <c r="A164" s="2"/>
      <c r="B164" s="2"/>
      <c r="C164" s="2"/>
      <c r="D164" s="2"/>
      <c r="E164" s="2"/>
      <c r="F164" s="2"/>
      <c r="G164" s="2"/>
      <c r="H164" s="2"/>
    </row>
    <row r="165" spans="1:8" x14ac:dyDescent="0.25">
      <c r="A165" s="2"/>
      <c r="B165" s="2"/>
      <c r="C165" s="2"/>
      <c r="D165" s="2"/>
      <c r="E165" s="2"/>
      <c r="F165" s="2"/>
      <c r="G165" s="2"/>
      <c r="H165" s="2"/>
    </row>
    <row r="166" spans="1:8" x14ac:dyDescent="0.25">
      <c r="A166" s="2"/>
      <c r="B166" s="2"/>
      <c r="C166" s="2"/>
      <c r="D166" s="2"/>
      <c r="E166" s="2"/>
      <c r="F166" s="2"/>
      <c r="G166" s="2"/>
      <c r="H166" s="2"/>
    </row>
    <row r="167" spans="1:8" x14ac:dyDescent="0.25">
      <c r="A167" s="2"/>
      <c r="B167" s="2"/>
      <c r="C167" s="2"/>
      <c r="D167" s="2"/>
      <c r="E167" s="2"/>
      <c r="F167" s="2"/>
      <c r="G167" s="2"/>
      <c r="H167" s="2"/>
    </row>
    <row r="168" spans="1:8" x14ac:dyDescent="0.25">
      <c r="A168" s="2"/>
      <c r="B168" s="2"/>
      <c r="C168" s="2"/>
      <c r="D168" s="2"/>
      <c r="E168" s="2"/>
      <c r="F168" s="2"/>
      <c r="G168" s="2"/>
      <c r="H168" s="2"/>
    </row>
    <row r="169" spans="1:8" x14ac:dyDescent="0.25">
      <c r="A169" s="2"/>
      <c r="B169" s="2"/>
      <c r="C169" s="2"/>
      <c r="D169" s="2"/>
      <c r="E169" s="2"/>
      <c r="F169" s="2"/>
      <c r="G169" s="2"/>
      <c r="H169" s="2"/>
    </row>
    <row r="170" spans="1:8" x14ac:dyDescent="0.25">
      <c r="A170" s="2"/>
      <c r="B170" s="2"/>
      <c r="C170" s="2"/>
      <c r="D170" s="2"/>
      <c r="E170" s="2"/>
      <c r="F170" s="2"/>
      <c r="G170" s="2"/>
      <c r="H170" s="2"/>
    </row>
    <row r="171" spans="1:8" x14ac:dyDescent="0.25">
      <c r="A171" s="2"/>
      <c r="B171" s="2"/>
      <c r="C171" s="2"/>
      <c r="D171" s="2"/>
      <c r="E171" s="2"/>
      <c r="F171" s="2"/>
      <c r="G171" s="2"/>
      <c r="H171" s="2"/>
    </row>
    <row r="172" spans="1:8" x14ac:dyDescent="0.25">
      <c r="A172" s="2"/>
      <c r="B172" s="2"/>
      <c r="C172" s="2"/>
      <c r="D172" s="2"/>
      <c r="E172" s="2"/>
      <c r="F172" s="2"/>
      <c r="G172" s="2"/>
      <c r="H172" s="2"/>
    </row>
    <row r="173" spans="1:8" x14ac:dyDescent="0.25">
      <c r="A173" s="2"/>
      <c r="B173" s="2"/>
      <c r="C173" s="2"/>
      <c r="D173" s="2"/>
      <c r="E173" s="2"/>
      <c r="F173" s="2"/>
      <c r="G173" s="2"/>
      <c r="H173" s="2"/>
    </row>
    <row r="174" spans="1:8" x14ac:dyDescent="0.25">
      <c r="A174" s="2"/>
      <c r="B174" s="2"/>
      <c r="C174" s="2"/>
      <c r="D174" s="2"/>
      <c r="E174" s="2"/>
      <c r="F174" s="2"/>
      <c r="G174" s="2"/>
      <c r="H174" s="2"/>
    </row>
    <row r="175" spans="1:8" x14ac:dyDescent="0.25">
      <c r="A175" s="2"/>
      <c r="B175" s="2"/>
      <c r="C175" s="2"/>
      <c r="D175" s="2"/>
      <c r="E175" s="2"/>
      <c r="F175" s="2"/>
      <c r="G175" s="2"/>
      <c r="H175" s="2"/>
    </row>
    <row r="176" spans="1:8" x14ac:dyDescent="0.25">
      <c r="A176" s="2"/>
      <c r="B176" s="2"/>
      <c r="C176" s="2"/>
      <c r="D176" s="2"/>
      <c r="E176" s="2"/>
      <c r="F176" s="2"/>
      <c r="G176" s="2"/>
      <c r="H176" s="2"/>
    </row>
    <row r="177" spans="1:8" x14ac:dyDescent="0.25">
      <c r="A177" s="2"/>
      <c r="B177" s="2"/>
      <c r="C177" s="2"/>
      <c r="D177" s="2"/>
      <c r="E177" s="2"/>
      <c r="F177" s="2"/>
      <c r="G177" s="2"/>
      <c r="H177" s="2"/>
    </row>
    <row r="178" spans="1:8" x14ac:dyDescent="0.25">
      <c r="A178" s="2"/>
      <c r="B178" s="2"/>
      <c r="C178" s="2"/>
      <c r="D178" s="2"/>
      <c r="E178" s="2"/>
      <c r="F178" s="2"/>
      <c r="G178" s="2"/>
      <c r="H178" s="2"/>
    </row>
    <row r="179" spans="1:8" x14ac:dyDescent="0.25">
      <c r="A179" s="2"/>
      <c r="B179" s="2"/>
      <c r="C179" s="2"/>
      <c r="D179" s="2"/>
      <c r="E179" s="2"/>
      <c r="F179" s="2"/>
      <c r="G179" s="2"/>
      <c r="H179" s="2"/>
    </row>
    <row r="180" spans="1:8" x14ac:dyDescent="0.25">
      <c r="A180" s="2"/>
      <c r="B180" s="2"/>
      <c r="C180" s="2"/>
      <c r="D180" s="2"/>
      <c r="E180" s="2"/>
      <c r="F180" s="2"/>
      <c r="G180" s="2"/>
      <c r="H180" s="2"/>
    </row>
    <row r="181" spans="1:8" x14ac:dyDescent="0.25">
      <c r="A181" s="2"/>
      <c r="B181" s="2"/>
      <c r="C181" s="2"/>
      <c r="D181" s="2"/>
      <c r="E181" s="2"/>
      <c r="F181" s="2"/>
      <c r="G181" s="2"/>
      <c r="H181" s="2"/>
    </row>
    <row r="182" spans="1:8" x14ac:dyDescent="0.25">
      <c r="A182" s="2"/>
      <c r="B182" s="2"/>
      <c r="C182" s="2"/>
      <c r="D182" s="2"/>
      <c r="E182" s="2"/>
      <c r="F182" s="2"/>
      <c r="G182" s="2"/>
      <c r="H182" s="2"/>
    </row>
    <row r="183" spans="1:8" x14ac:dyDescent="0.25">
      <c r="A183" s="2"/>
      <c r="B183" s="2"/>
      <c r="C183" s="2"/>
      <c r="D183" s="2"/>
      <c r="E183" s="2"/>
      <c r="F183" s="2"/>
      <c r="G183" s="2"/>
      <c r="H183" s="2"/>
    </row>
    <row r="184" spans="1:8" x14ac:dyDescent="0.25">
      <c r="A184" s="2"/>
      <c r="B184" s="2"/>
      <c r="C184" s="2"/>
      <c r="D184" s="2"/>
      <c r="E184" s="2"/>
      <c r="F184" s="2"/>
      <c r="G184" s="2"/>
      <c r="H184" s="2"/>
    </row>
    <row r="185" spans="1:8" x14ac:dyDescent="0.25">
      <c r="A185" s="2"/>
      <c r="B185" s="2"/>
      <c r="C185" s="2"/>
      <c r="D185" s="2"/>
      <c r="E185" s="2"/>
      <c r="F185" s="2"/>
      <c r="G185" s="2"/>
      <c r="H185" s="2"/>
    </row>
    <row r="186" spans="1:8" x14ac:dyDescent="0.25">
      <c r="A186" s="2"/>
      <c r="B186" s="2"/>
      <c r="C186" s="2"/>
      <c r="D186" s="2"/>
      <c r="E186" s="2"/>
      <c r="F186" s="2"/>
      <c r="G186" s="2"/>
      <c r="H186" s="2"/>
    </row>
    <row r="187" spans="1:8" x14ac:dyDescent="0.25">
      <c r="A187" s="2"/>
      <c r="B187" s="2"/>
      <c r="C187" s="2"/>
      <c r="D187" s="2"/>
      <c r="E187" s="2"/>
      <c r="F187" s="2"/>
      <c r="G187" s="2"/>
      <c r="H187" s="2"/>
    </row>
    <row r="188" spans="1:8" x14ac:dyDescent="0.25">
      <c r="A188" s="2"/>
      <c r="B188" s="2"/>
      <c r="C188" s="2"/>
      <c r="D188" s="2"/>
      <c r="E188" s="2"/>
      <c r="F188" s="2"/>
      <c r="G188" s="2"/>
      <c r="H188" s="2"/>
    </row>
    <row r="189" spans="1:8" x14ac:dyDescent="0.25">
      <c r="A189" s="2"/>
      <c r="B189" s="2"/>
      <c r="C189" s="2"/>
      <c r="D189" s="2"/>
      <c r="E189" s="2"/>
      <c r="F189" s="2"/>
      <c r="G189" s="2"/>
      <c r="H189" s="2"/>
    </row>
    <row r="190" spans="1:8" x14ac:dyDescent="0.25">
      <c r="A190" s="2"/>
      <c r="B190" s="2"/>
      <c r="C190" s="2"/>
      <c r="D190" s="2"/>
      <c r="E190" s="2"/>
      <c r="F190" s="2"/>
      <c r="G190" s="2"/>
      <c r="H190" s="2"/>
    </row>
  </sheetData>
  <autoFilter ref="A1:H152" xr:uid="{59636CEA-D1B9-4BE4-8046-94F5B918FE6C}"/>
  <phoneticPr fontId="3" type="noConversion"/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C9494-4CD3-42D3-9A85-66AB1F6BD735}">
  <dimension ref="A1:O27"/>
  <sheetViews>
    <sheetView topLeftCell="A3" workbookViewId="0">
      <selection activeCell="L18" sqref="L18"/>
    </sheetView>
  </sheetViews>
  <sheetFormatPr defaultRowHeight="15" x14ac:dyDescent="0.25"/>
  <cols>
    <col min="1" max="1" width="10.5703125" bestFit="1" customWidth="1"/>
    <col min="3" max="3" width="27.7109375" bestFit="1" customWidth="1"/>
    <col min="4" max="4" width="23.7109375" bestFit="1" customWidth="1"/>
    <col min="5" max="5" width="9" bestFit="1" customWidth="1"/>
    <col min="6" max="6" width="10" bestFit="1" customWidth="1"/>
    <col min="7" max="7" width="16.140625" bestFit="1" customWidth="1"/>
    <col min="8" max="8" width="19.140625" bestFit="1" customWidth="1"/>
    <col min="14" max="14" width="10.57031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</row>
    <row r="2" spans="1:15" x14ac:dyDescent="0.25">
      <c r="A2" s="8">
        <v>45778</v>
      </c>
      <c r="B2" s="2">
        <v>2</v>
      </c>
      <c r="C2" s="25" t="s">
        <v>282</v>
      </c>
      <c r="D2" s="2" t="s">
        <v>283</v>
      </c>
      <c r="E2" s="3">
        <v>489</v>
      </c>
      <c r="F2" s="3">
        <f>(B2*E2)</f>
        <v>978</v>
      </c>
      <c r="G2" s="2" t="s">
        <v>8</v>
      </c>
      <c r="H2" s="8">
        <v>45778</v>
      </c>
    </row>
    <row r="3" spans="1:15" x14ac:dyDescent="0.25">
      <c r="A3" s="8">
        <v>45778</v>
      </c>
      <c r="B3" s="2">
        <v>2</v>
      </c>
      <c r="C3" s="25" t="s">
        <v>284</v>
      </c>
      <c r="D3" s="2" t="s">
        <v>283</v>
      </c>
      <c r="E3" s="3">
        <v>539</v>
      </c>
      <c r="F3" s="3">
        <f t="shared" ref="F3:F27" si="0">(B3*E3)</f>
        <v>1078</v>
      </c>
      <c r="G3" s="2" t="s">
        <v>8</v>
      </c>
      <c r="H3" s="8">
        <v>45778</v>
      </c>
      <c r="N3">
        <v>3729</v>
      </c>
    </row>
    <row r="4" spans="1:15" x14ac:dyDescent="0.25">
      <c r="A4" s="8">
        <v>45778</v>
      </c>
      <c r="B4" s="2">
        <v>2</v>
      </c>
      <c r="C4" s="25" t="s">
        <v>282</v>
      </c>
      <c r="D4" s="2" t="s">
        <v>223</v>
      </c>
      <c r="E4" s="3">
        <v>489</v>
      </c>
      <c r="F4" s="3">
        <f t="shared" si="0"/>
        <v>978</v>
      </c>
      <c r="G4" s="2" t="s">
        <v>8</v>
      </c>
      <c r="H4" s="8">
        <v>45778</v>
      </c>
    </row>
    <row r="5" spans="1:15" x14ac:dyDescent="0.25">
      <c r="A5" s="8">
        <v>45778</v>
      </c>
      <c r="B5" s="2">
        <v>3</v>
      </c>
      <c r="C5" s="25" t="s">
        <v>285</v>
      </c>
      <c r="D5" s="2" t="s">
        <v>286</v>
      </c>
      <c r="E5" s="3">
        <v>449</v>
      </c>
      <c r="F5" s="3">
        <f t="shared" si="0"/>
        <v>1347</v>
      </c>
      <c r="G5" s="2" t="s">
        <v>8</v>
      </c>
      <c r="H5" s="8">
        <v>45778</v>
      </c>
    </row>
    <row r="6" spans="1:15" x14ac:dyDescent="0.25">
      <c r="A6" s="8">
        <v>45780</v>
      </c>
      <c r="B6" s="2">
        <v>3</v>
      </c>
      <c r="C6" s="25" t="s">
        <v>284</v>
      </c>
      <c r="D6" s="2" t="s">
        <v>289</v>
      </c>
      <c r="E6" s="3">
        <v>539</v>
      </c>
      <c r="F6" s="3">
        <f t="shared" si="0"/>
        <v>1617</v>
      </c>
      <c r="G6" s="2" t="s">
        <v>8</v>
      </c>
      <c r="H6" s="8">
        <v>45780</v>
      </c>
    </row>
    <row r="7" spans="1:15" x14ac:dyDescent="0.25">
      <c r="A7" s="2"/>
      <c r="B7" s="2">
        <v>2</v>
      </c>
      <c r="C7" s="25" t="s">
        <v>284</v>
      </c>
      <c r="D7" s="2" t="s">
        <v>306</v>
      </c>
      <c r="E7" s="3">
        <v>520</v>
      </c>
      <c r="F7" s="3">
        <f t="shared" si="0"/>
        <v>1040</v>
      </c>
      <c r="G7" s="2" t="s">
        <v>8</v>
      </c>
      <c r="H7" s="2"/>
    </row>
    <row r="8" spans="1:15" x14ac:dyDescent="0.25">
      <c r="A8" s="8">
        <v>45790</v>
      </c>
      <c r="B8" s="2">
        <v>4</v>
      </c>
      <c r="C8" s="25" t="s">
        <v>284</v>
      </c>
      <c r="D8" s="2" t="s">
        <v>305</v>
      </c>
      <c r="E8" s="3">
        <v>539</v>
      </c>
      <c r="F8" s="3">
        <f t="shared" si="0"/>
        <v>2156</v>
      </c>
      <c r="G8" s="2" t="s">
        <v>8</v>
      </c>
      <c r="H8" s="2"/>
    </row>
    <row r="9" spans="1:15" x14ac:dyDescent="0.25">
      <c r="A9" s="8">
        <v>45785</v>
      </c>
      <c r="B9" s="2">
        <v>22</v>
      </c>
      <c r="C9" s="2" t="s">
        <v>310</v>
      </c>
      <c r="D9" s="2" t="s">
        <v>309</v>
      </c>
      <c r="E9" s="3">
        <v>539</v>
      </c>
      <c r="F9" s="3">
        <f t="shared" si="0"/>
        <v>11858</v>
      </c>
      <c r="G9" s="2" t="s">
        <v>8</v>
      </c>
      <c r="H9" s="2"/>
    </row>
    <row r="10" spans="1:15" x14ac:dyDescent="0.25">
      <c r="A10" s="8">
        <v>45793</v>
      </c>
      <c r="B10" s="2">
        <v>2</v>
      </c>
      <c r="C10" s="2" t="s">
        <v>314</v>
      </c>
      <c r="D10" s="2" t="s">
        <v>315</v>
      </c>
      <c r="E10" s="3">
        <v>699</v>
      </c>
      <c r="F10" s="3">
        <f t="shared" si="0"/>
        <v>1398</v>
      </c>
      <c r="G10" s="2" t="s">
        <v>8</v>
      </c>
      <c r="H10" s="2"/>
    </row>
    <row r="11" spans="1:15" x14ac:dyDescent="0.25">
      <c r="A11" s="8">
        <v>45794</v>
      </c>
      <c r="B11" s="2">
        <v>3</v>
      </c>
      <c r="C11" s="2" t="s">
        <v>317</v>
      </c>
      <c r="D11" s="2" t="s">
        <v>318</v>
      </c>
      <c r="E11" s="3">
        <v>355</v>
      </c>
      <c r="F11" s="3">
        <f t="shared" si="0"/>
        <v>1065</v>
      </c>
      <c r="G11" s="2" t="s">
        <v>8</v>
      </c>
      <c r="H11" s="2"/>
    </row>
    <row r="12" spans="1:15" x14ac:dyDescent="0.25">
      <c r="A12" s="8">
        <v>45794</v>
      </c>
      <c r="B12" s="2">
        <v>3</v>
      </c>
      <c r="C12" s="2" t="s">
        <v>317</v>
      </c>
      <c r="D12" s="2" t="s">
        <v>286</v>
      </c>
      <c r="E12" s="3">
        <v>351</v>
      </c>
      <c r="F12" s="3">
        <f t="shared" si="0"/>
        <v>1053</v>
      </c>
      <c r="G12" s="2" t="s">
        <v>8</v>
      </c>
      <c r="H12" s="2"/>
    </row>
    <row r="13" spans="1:15" x14ac:dyDescent="0.25">
      <c r="A13" s="8">
        <v>45794</v>
      </c>
      <c r="B13" s="2">
        <v>3</v>
      </c>
      <c r="C13" s="2" t="s">
        <v>319</v>
      </c>
      <c r="D13" s="2" t="s">
        <v>283</v>
      </c>
      <c r="E13" s="3">
        <v>539</v>
      </c>
      <c r="F13" s="3">
        <f t="shared" si="0"/>
        <v>1617</v>
      </c>
      <c r="G13" s="2" t="s">
        <v>8</v>
      </c>
      <c r="H13" s="2"/>
      <c r="N13" s="6">
        <v>45782</v>
      </c>
      <c r="O13">
        <v>1200</v>
      </c>
    </row>
    <row r="14" spans="1:15" x14ac:dyDescent="0.25">
      <c r="A14" s="8">
        <v>45794</v>
      </c>
      <c r="B14" s="2">
        <v>2</v>
      </c>
      <c r="C14" s="2" t="s">
        <v>320</v>
      </c>
      <c r="D14" s="2" t="s">
        <v>283</v>
      </c>
      <c r="E14" s="3">
        <v>117</v>
      </c>
      <c r="F14" s="3">
        <f t="shared" si="0"/>
        <v>234</v>
      </c>
      <c r="G14" s="2" t="s">
        <v>62</v>
      </c>
      <c r="H14" s="2" t="s">
        <v>348</v>
      </c>
      <c r="O14">
        <v>10000</v>
      </c>
    </row>
    <row r="15" spans="1:15" x14ac:dyDescent="0.25">
      <c r="A15" s="8">
        <v>45794</v>
      </c>
      <c r="B15" s="2">
        <v>1</v>
      </c>
      <c r="C15" s="2" t="s">
        <v>317</v>
      </c>
      <c r="D15" s="2" t="s">
        <v>286</v>
      </c>
      <c r="E15" s="3">
        <v>377</v>
      </c>
      <c r="F15" s="3">
        <f t="shared" si="0"/>
        <v>377</v>
      </c>
      <c r="G15" s="2" t="s">
        <v>8</v>
      </c>
      <c r="H15" s="2"/>
      <c r="N15" s="6">
        <v>45793</v>
      </c>
      <c r="O15">
        <v>20000</v>
      </c>
    </row>
    <row r="16" spans="1:15" x14ac:dyDescent="0.25">
      <c r="A16" s="8">
        <v>45793</v>
      </c>
      <c r="B16" s="2">
        <v>4</v>
      </c>
      <c r="C16" s="2" t="s">
        <v>323</v>
      </c>
      <c r="D16" s="2" t="s">
        <v>324</v>
      </c>
      <c r="E16" s="3">
        <v>679</v>
      </c>
      <c r="F16" s="3">
        <f t="shared" si="0"/>
        <v>2716</v>
      </c>
      <c r="G16" s="2" t="s">
        <v>8</v>
      </c>
      <c r="H16" s="2"/>
      <c r="I16" s="162" t="s">
        <v>330</v>
      </c>
      <c r="O16">
        <v>6250</v>
      </c>
    </row>
    <row r="17" spans="1:15" x14ac:dyDescent="0.25">
      <c r="A17" s="8">
        <v>45793</v>
      </c>
      <c r="B17" s="2">
        <v>1</v>
      </c>
      <c r="C17" s="2" t="s">
        <v>325</v>
      </c>
      <c r="D17" s="2" t="s">
        <v>324</v>
      </c>
      <c r="E17" s="3">
        <v>3748</v>
      </c>
      <c r="F17" s="3">
        <f t="shared" si="0"/>
        <v>3748</v>
      </c>
      <c r="G17" s="2" t="s">
        <v>8</v>
      </c>
      <c r="H17" s="2"/>
      <c r="I17" s="162"/>
      <c r="O17">
        <v>9000</v>
      </c>
    </row>
    <row r="18" spans="1:15" x14ac:dyDescent="0.25">
      <c r="A18" s="8">
        <v>45793</v>
      </c>
      <c r="B18" s="2">
        <v>22</v>
      </c>
      <c r="C18" s="2" t="s">
        <v>236</v>
      </c>
      <c r="D18" s="2" t="s">
        <v>324</v>
      </c>
      <c r="E18" s="3">
        <v>3478</v>
      </c>
      <c r="F18" s="3">
        <f t="shared" si="0"/>
        <v>76516</v>
      </c>
      <c r="G18" s="2" t="s">
        <v>326</v>
      </c>
      <c r="H18" s="2" t="s">
        <v>327</v>
      </c>
      <c r="I18" s="162"/>
      <c r="O18">
        <v>9000</v>
      </c>
    </row>
    <row r="19" spans="1:15" x14ac:dyDescent="0.25">
      <c r="A19" s="8">
        <v>45793</v>
      </c>
      <c r="B19" s="2">
        <v>20</v>
      </c>
      <c r="C19" s="2" t="s">
        <v>273</v>
      </c>
      <c r="D19" s="2" t="s">
        <v>324</v>
      </c>
      <c r="E19" s="3">
        <v>2558</v>
      </c>
      <c r="F19" s="3">
        <f t="shared" si="0"/>
        <v>51160</v>
      </c>
      <c r="G19" s="2" t="s">
        <v>328</v>
      </c>
      <c r="H19" s="2" t="s">
        <v>327</v>
      </c>
      <c r="I19" s="162"/>
      <c r="O19">
        <v>9000</v>
      </c>
    </row>
    <row r="20" spans="1:15" x14ac:dyDescent="0.25">
      <c r="A20" s="8">
        <v>45793</v>
      </c>
      <c r="B20" s="2">
        <v>3</v>
      </c>
      <c r="C20" s="2" t="s">
        <v>329</v>
      </c>
      <c r="D20" s="2" t="s">
        <v>70</v>
      </c>
      <c r="E20" s="3">
        <v>98</v>
      </c>
      <c r="F20" s="3">
        <f t="shared" si="0"/>
        <v>294</v>
      </c>
      <c r="G20" s="2" t="s">
        <v>8</v>
      </c>
      <c r="H20" s="2"/>
      <c r="O20">
        <v>9000</v>
      </c>
    </row>
    <row r="21" spans="1:15" x14ac:dyDescent="0.25">
      <c r="A21" s="8">
        <v>45794</v>
      </c>
      <c r="B21" s="2">
        <v>4</v>
      </c>
      <c r="C21" s="2" t="s">
        <v>323</v>
      </c>
      <c r="D21" s="2" t="s">
        <v>336</v>
      </c>
      <c r="E21" s="3">
        <v>615</v>
      </c>
      <c r="F21" s="3">
        <f t="shared" si="0"/>
        <v>2460</v>
      </c>
      <c r="G21" s="2" t="s">
        <v>24</v>
      </c>
      <c r="H21" s="2" t="s">
        <v>365</v>
      </c>
      <c r="O21">
        <v>9000</v>
      </c>
    </row>
    <row r="22" spans="1:15" x14ac:dyDescent="0.25">
      <c r="A22" s="8">
        <v>45794</v>
      </c>
      <c r="B22" s="2">
        <v>2</v>
      </c>
      <c r="C22" s="2" t="s">
        <v>317</v>
      </c>
      <c r="D22" s="2" t="s">
        <v>336</v>
      </c>
      <c r="E22" s="3">
        <v>351</v>
      </c>
      <c r="F22" s="3">
        <f t="shared" si="0"/>
        <v>702</v>
      </c>
      <c r="G22" s="2" t="s">
        <v>8</v>
      </c>
      <c r="H22" s="2"/>
      <c r="O22">
        <v>9000</v>
      </c>
    </row>
    <row r="23" spans="1:15" x14ac:dyDescent="0.25">
      <c r="A23" s="49">
        <v>45795</v>
      </c>
      <c r="B23" s="10">
        <v>2</v>
      </c>
      <c r="C23" s="10" t="s">
        <v>317</v>
      </c>
      <c r="D23" s="10" t="s">
        <v>331</v>
      </c>
      <c r="E23" s="50">
        <v>351</v>
      </c>
      <c r="F23" s="50">
        <f t="shared" si="0"/>
        <v>702</v>
      </c>
      <c r="G23" s="10" t="s">
        <v>332</v>
      </c>
      <c r="H23" s="10"/>
      <c r="O23">
        <v>1000</v>
      </c>
    </row>
    <row r="24" spans="1:15" x14ac:dyDescent="0.25">
      <c r="A24" s="8">
        <v>45795</v>
      </c>
      <c r="B24" s="2">
        <v>50</v>
      </c>
      <c r="C24" s="2" t="s">
        <v>317</v>
      </c>
      <c r="D24" s="2" t="s">
        <v>333</v>
      </c>
      <c r="E24" s="3">
        <v>359</v>
      </c>
      <c r="F24" s="3">
        <f t="shared" si="0"/>
        <v>17950</v>
      </c>
      <c r="G24" s="2" t="s">
        <v>8</v>
      </c>
      <c r="H24" s="2"/>
      <c r="N24" t="s">
        <v>316</v>
      </c>
      <c r="O24">
        <v>92450</v>
      </c>
    </row>
    <row r="25" spans="1:15" x14ac:dyDescent="0.25">
      <c r="A25" s="8">
        <v>45795</v>
      </c>
      <c r="B25" s="2">
        <v>5</v>
      </c>
      <c r="C25" s="2" t="s">
        <v>334</v>
      </c>
      <c r="D25" s="2" t="s">
        <v>333</v>
      </c>
      <c r="E25" s="3">
        <v>1050</v>
      </c>
      <c r="F25" s="3">
        <f t="shared" si="0"/>
        <v>5250</v>
      </c>
      <c r="G25" s="2" t="s">
        <v>8</v>
      </c>
      <c r="H25" s="2"/>
    </row>
    <row r="26" spans="1:15" x14ac:dyDescent="0.25">
      <c r="A26" s="8">
        <v>45795</v>
      </c>
      <c r="B26" s="2">
        <v>5</v>
      </c>
      <c r="C26" s="2" t="s">
        <v>334</v>
      </c>
      <c r="D26" s="2" t="s">
        <v>335</v>
      </c>
      <c r="E26" s="3">
        <v>1030</v>
      </c>
      <c r="F26" s="3">
        <f t="shared" si="0"/>
        <v>5150</v>
      </c>
      <c r="G26" s="2" t="s">
        <v>8</v>
      </c>
      <c r="H26" s="2"/>
    </row>
    <row r="27" spans="1:15" x14ac:dyDescent="0.25">
      <c r="A27" s="8">
        <v>45795</v>
      </c>
      <c r="B27" s="2">
        <v>30</v>
      </c>
      <c r="C27" s="2" t="s">
        <v>317</v>
      </c>
      <c r="D27" s="2" t="s">
        <v>335</v>
      </c>
      <c r="E27" s="3">
        <v>340</v>
      </c>
      <c r="F27" s="3">
        <f t="shared" si="0"/>
        <v>10200</v>
      </c>
      <c r="G27" s="2" t="s">
        <v>24</v>
      </c>
      <c r="H27" s="2" t="s">
        <v>348</v>
      </c>
    </row>
  </sheetData>
  <autoFilter ref="A1:O27" xr:uid="{BAFC9494-4CD3-42D3-9A85-66AB1F6BD735}"/>
  <mergeCells count="1">
    <mergeCell ref="I16:I19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1D62A-9B1B-4DE7-A86F-EAC8A25EA44A}">
  <dimension ref="A1:B12"/>
  <sheetViews>
    <sheetView workbookViewId="0">
      <selection activeCell="D23" sqref="D23"/>
    </sheetView>
  </sheetViews>
  <sheetFormatPr defaultRowHeight="15" x14ac:dyDescent="0.25"/>
  <cols>
    <col min="1" max="1" width="19.7109375" bestFit="1" customWidth="1"/>
    <col min="2" max="2" width="10.42578125" bestFit="1" customWidth="1"/>
  </cols>
  <sheetData>
    <row r="1" spans="1:2" x14ac:dyDescent="0.25">
      <c r="A1" s="52" t="s">
        <v>367</v>
      </c>
      <c r="B1" s="52" t="s">
        <v>0</v>
      </c>
    </row>
    <row r="2" spans="1:2" x14ac:dyDescent="0.25">
      <c r="A2" s="14" t="s">
        <v>323</v>
      </c>
      <c r="B2">
        <v>13</v>
      </c>
    </row>
    <row r="3" spans="1:2" x14ac:dyDescent="0.25">
      <c r="A3" s="14" t="s">
        <v>317</v>
      </c>
      <c r="B3">
        <v>73</v>
      </c>
    </row>
    <row r="4" spans="1:2" x14ac:dyDescent="0.25">
      <c r="A4" s="14" t="s">
        <v>353</v>
      </c>
      <c r="B4">
        <v>6</v>
      </c>
    </row>
    <row r="5" spans="1:2" x14ac:dyDescent="0.25">
      <c r="A5" s="14" t="s">
        <v>354</v>
      </c>
      <c r="B5">
        <v>6</v>
      </c>
    </row>
    <row r="6" spans="1:2" x14ac:dyDescent="0.25">
      <c r="A6" s="14" t="s">
        <v>351</v>
      </c>
      <c r="B6">
        <v>11</v>
      </c>
    </row>
    <row r="7" spans="1:2" x14ac:dyDescent="0.25">
      <c r="A7" s="14" t="s">
        <v>352</v>
      </c>
      <c r="B7">
        <v>8</v>
      </c>
    </row>
    <row r="8" spans="1:2" x14ac:dyDescent="0.25">
      <c r="A8" s="14" t="s">
        <v>350</v>
      </c>
      <c r="B8">
        <v>3</v>
      </c>
    </row>
    <row r="9" spans="1:2" x14ac:dyDescent="0.25">
      <c r="A9" s="14" t="s">
        <v>334</v>
      </c>
      <c r="B9">
        <v>6</v>
      </c>
    </row>
    <row r="10" spans="1:2" x14ac:dyDescent="0.25">
      <c r="A10" s="14" t="s">
        <v>356</v>
      </c>
      <c r="B10">
        <v>38</v>
      </c>
    </row>
    <row r="11" spans="1:2" x14ac:dyDescent="0.25">
      <c r="A11" s="14" t="s">
        <v>357</v>
      </c>
      <c r="B11">
        <v>1</v>
      </c>
    </row>
    <row r="12" spans="1:2" x14ac:dyDescent="0.25">
      <c r="A12" s="53" t="s">
        <v>80</v>
      </c>
      <c r="B12" s="54">
        <v>132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73A8C-0794-4CA2-8789-B041BEEEFC66}">
  <dimension ref="A1:M34"/>
  <sheetViews>
    <sheetView workbookViewId="0">
      <selection sqref="A1:B12"/>
    </sheetView>
  </sheetViews>
  <sheetFormatPr defaultRowHeight="15" x14ac:dyDescent="0.25"/>
  <cols>
    <col min="1" max="1" width="17.85546875" bestFit="1" customWidth="1"/>
  </cols>
  <sheetData>
    <row r="1" spans="1:13" x14ac:dyDescent="0.25">
      <c r="A1" s="2" t="s">
        <v>1</v>
      </c>
      <c r="B1" s="2" t="s">
        <v>0</v>
      </c>
      <c r="M1">
        <v>3</v>
      </c>
    </row>
    <row r="2" spans="1:13" x14ac:dyDescent="0.25">
      <c r="A2" s="2" t="s">
        <v>337</v>
      </c>
      <c r="B2" s="18">
        <v>13</v>
      </c>
      <c r="C2">
        <v>2</v>
      </c>
      <c r="D2">
        <v>3</v>
      </c>
      <c r="E2">
        <v>2</v>
      </c>
      <c r="F2">
        <v>1</v>
      </c>
      <c r="G2">
        <v>2</v>
      </c>
      <c r="M2">
        <v>4</v>
      </c>
    </row>
    <row r="3" spans="1:13" x14ac:dyDescent="0.25">
      <c r="A3" s="2" t="s">
        <v>338</v>
      </c>
      <c r="B3" s="2">
        <v>10</v>
      </c>
      <c r="C3">
        <v>2</v>
      </c>
      <c r="D3">
        <v>2</v>
      </c>
      <c r="E3">
        <v>2</v>
      </c>
      <c r="F3">
        <v>2</v>
      </c>
      <c r="M3">
        <v>2</v>
      </c>
    </row>
    <row r="4" spans="1:13" x14ac:dyDescent="0.25">
      <c r="A4" s="2" t="s">
        <v>339</v>
      </c>
      <c r="B4" s="18">
        <v>8</v>
      </c>
      <c r="C4">
        <v>4</v>
      </c>
      <c r="M4">
        <v>2</v>
      </c>
    </row>
    <row r="5" spans="1:13" x14ac:dyDescent="0.25">
      <c r="A5" s="2" t="s">
        <v>340</v>
      </c>
      <c r="B5" s="2">
        <v>61</v>
      </c>
      <c r="C5">
        <v>8</v>
      </c>
      <c r="D5">
        <v>3</v>
      </c>
      <c r="E5">
        <v>2</v>
      </c>
      <c r="F5">
        <v>11</v>
      </c>
      <c r="G5">
        <v>14</v>
      </c>
      <c r="H5">
        <v>12</v>
      </c>
      <c r="I5">
        <v>3</v>
      </c>
      <c r="M5">
        <v>8</v>
      </c>
    </row>
    <row r="6" spans="1:13" x14ac:dyDescent="0.25">
      <c r="A6" s="2" t="s">
        <v>341</v>
      </c>
      <c r="B6" s="2">
        <v>1</v>
      </c>
      <c r="M6">
        <v>1</v>
      </c>
    </row>
    <row r="7" spans="1:13" x14ac:dyDescent="0.25">
      <c r="A7" s="2" t="s">
        <v>342</v>
      </c>
      <c r="B7" s="2">
        <v>10</v>
      </c>
      <c r="C7">
        <v>4</v>
      </c>
      <c r="D7">
        <v>2</v>
      </c>
      <c r="M7">
        <v>2</v>
      </c>
    </row>
    <row r="8" spans="1:13" x14ac:dyDescent="0.25">
      <c r="A8" s="2" t="s">
        <v>344</v>
      </c>
      <c r="B8" s="2">
        <v>10</v>
      </c>
      <c r="C8">
        <v>4</v>
      </c>
      <c r="D8">
        <v>2</v>
      </c>
      <c r="M8">
        <v>4</v>
      </c>
    </row>
    <row r="9" spans="1:13" x14ac:dyDescent="0.25">
      <c r="A9" s="2" t="s">
        <v>343</v>
      </c>
      <c r="B9" s="2">
        <v>4</v>
      </c>
      <c r="M9">
        <v>2</v>
      </c>
    </row>
    <row r="10" spans="1:13" x14ac:dyDescent="0.25">
      <c r="A10" s="2" t="s">
        <v>345</v>
      </c>
      <c r="B10" s="2">
        <v>48</v>
      </c>
      <c r="C10">
        <v>20</v>
      </c>
      <c r="M10">
        <v>2</v>
      </c>
    </row>
    <row r="11" spans="1:13" x14ac:dyDescent="0.25">
      <c r="A11" s="2" t="s">
        <v>165</v>
      </c>
      <c r="B11" s="2">
        <v>3</v>
      </c>
      <c r="C11">
        <v>1</v>
      </c>
      <c r="M11">
        <v>8</v>
      </c>
    </row>
    <row r="12" spans="1:13" x14ac:dyDescent="0.25">
      <c r="A12" s="2" t="s">
        <v>183</v>
      </c>
      <c r="B12" s="2">
        <v>26</v>
      </c>
      <c r="M12">
        <v>2</v>
      </c>
    </row>
    <row r="13" spans="1:13" x14ac:dyDescent="0.25">
      <c r="M13">
        <v>3</v>
      </c>
    </row>
    <row r="14" spans="1:13" x14ac:dyDescent="0.25">
      <c r="M14">
        <v>4</v>
      </c>
    </row>
    <row r="15" spans="1:13" x14ac:dyDescent="0.25">
      <c r="M15">
        <v>1</v>
      </c>
    </row>
    <row r="16" spans="1:13" x14ac:dyDescent="0.25">
      <c r="M16">
        <v>4</v>
      </c>
    </row>
    <row r="17" spans="1:13" x14ac:dyDescent="0.25">
      <c r="M17">
        <v>2</v>
      </c>
    </row>
    <row r="18" spans="1:13" x14ac:dyDescent="0.25">
      <c r="M18">
        <v>4</v>
      </c>
    </row>
    <row r="19" spans="1:13" x14ac:dyDescent="0.25">
      <c r="A19" t="s">
        <v>183</v>
      </c>
      <c r="B19">
        <v>26</v>
      </c>
      <c r="M19">
        <v>2</v>
      </c>
    </row>
    <row r="20" spans="1:13" x14ac:dyDescent="0.25">
      <c r="A20" t="s">
        <v>346</v>
      </c>
      <c r="B20">
        <v>14</v>
      </c>
      <c r="M20">
        <v>2</v>
      </c>
    </row>
    <row r="21" spans="1:13" x14ac:dyDescent="0.25">
      <c r="A21" t="s">
        <v>347</v>
      </c>
      <c r="B21">
        <v>154</v>
      </c>
      <c r="M21">
        <v>2</v>
      </c>
    </row>
    <row r="22" spans="1:13" x14ac:dyDescent="0.25">
      <c r="M22">
        <v>11</v>
      </c>
    </row>
    <row r="23" spans="1:13" x14ac:dyDescent="0.25">
      <c r="M23">
        <v>14</v>
      </c>
    </row>
    <row r="24" spans="1:13" x14ac:dyDescent="0.25">
      <c r="M24">
        <v>2</v>
      </c>
    </row>
    <row r="25" spans="1:13" x14ac:dyDescent="0.25">
      <c r="M25">
        <v>28</v>
      </c>
    </row>
    <row r="26" spans="1:13" x14ac:dyDescent="0.25">
      <c r="M26">
        <v>20</v>
      </c>
    </row>
    <row r="27" spans="1:13" x14ac:dyDescent="0.25">
      <c r="M27">
        <v>2</v>
      </c>
    </row>
    <row r="28" spans="1:13" x14ac:dyDescent="0.25">
      <c r="M28">
        <v>4</v>
      </c>
    </row>
    <row r="29" spans="1:13" x14ac:dyDescent="0.25">
      <c r="M29">
        <v>12</v>
      </c>
    </row>
    <row r="30" spans="1:13" x14ac:dyDescent="0.25">
      <c r="M30">
        <v>4</v>
      </c>
    </row>
    <row r="31" spans="1:13" x14ac:dyDescent="0.25">
      <c r="M31">
        <v>3</v>
      </c>
    </row>
    <row r="32" spans="1:13" x14ac:dyDescent="0.25">
      <c r="M32">
        <v>1</v>
      </c>
    </row>
    <row r="33" spans="13:13" x14ac:dyDescent="0.25">
      <c r="M33">
        <v>26</v>
      </c>
    </row>
    <row r="34" spans="13:13" x14ac:dyDescent="0.25">
      <c r="M34">
        <v>165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396DB-CEA1-4F1A-834F-9ABE2B4B1DF7}">
  <dimension ref="A1:L19"/>
  <sheetViews>
    <sheetView workbookViewId="0">
      <selection activeCell="G23" sqref="G23"/>
    </sheetView>
  </sheetViews>
  <sheetFormatPr defaultRowHeight="15" x14ac:dyDescent="0.25"/>
  <cols>
    <col min="1" max="1" width="10.5703125" bestFit="1" customWidth="1"/>
    <col min="3" max="3" width="32" bestFit="1" customWidth="1"/>
    <col min="5" max="5" width="31.5703125" bestFit="1" customWidth="1"/>
    <col min="6" max="6" width="10" bestFit="1" customWidth="1"/>
    <col min="7" max="7" width="18.85546875" bestFit="1" customWidth="1"/>
    <col min="8" max="8" width="10.28515625" bestFit="1" customWidth="1"/>
  </cols>
  <sheetData>
    <row r="1" spans="1:12" x14ac:dyDescent="0.25">
      <c r="C1" s="2" t="s">
        <v>65</v>
      </c>
      <c r="D1" s="2" t="s">
        <v>0</v>
      </c>
      <c r="E1" s="2" t="s">
        <v>252</v>
      </c>
      <c r="F1" s="2" t="s">
        <v>251</v>
      </c>
      <c r="G1" s="2" t="s">
        <v>4</v>
      </c>
      <c r="H1" s="2" t="s">
        <v>255</v>
      </c>
    </row>
    <row r="2" spans="1:12" x14ac:dyDescent="0.25">
      <c r="C2" s="8">
        <v>45759</v>
      </c>
      <c r="D2" s="2">
        <v>30</v>
      </c>
      <c r="E2" s="2" t="s">
        <v>253</v>
      </c>
      <c r="F2" s="2">
        <v>2299</v>
      </c>
      <c r="G2" s="2">
        <f>(D2*F2)</f>
        <v>68970</v>
      </c>
      <c r="H2" s="163">
        <v>95960</v>
      </c>
    </row>
    <row r="3" spans="1:12" x14ac:dyDescent="0.25">
      <c r="B3">
        <v>95960</v>
      </c>
      <c r="C3" s="8">
        <v>45759</v>
      </c>
      <c r="D3" s="2">
        <v>10</v>
      </c>
      <c r="E3" s="2" t="s">
        <v>254</v>
      </c>
      <c r="F3" s="2">
        <v>2699</v>
      </c>
      <c r="G3" s="2">
        <f>(D3*F3)</f>
        <v>26990</v>
      </c>
      <c r="H3" s="163"/>
    </row>
    <row r="4" spans="1:12" x14ac:dyDescent="0.25">
      <c r="B4">
        <v>87231</v>
      </c>
      <c r="C4" s="8">
        <v>45759</v>
      </c>
      <c r="D4" s="2"/>
      <c r="E4" s="2" t="s">
        <v>256</v>
      </c>
      <c r="F4" s="2"/>
      <c r="G4" s="2"/>
      <c r="H4" s="2">
        <v>3000</v>
      </c>
      <c r="L4">
        <v>78865</v>
      </c>
    </row>
    <row r="5" spans="1:12" x14ac:dyDescent="0.25">
      <c r="B5">
        <v>9596</v>
      </c>
      <c r="C5" s="8">
        <v>45759</v>
      </c>
      <c r="D5" s="2"/>
      <c r="E5" s="2" t="s">
        <v>256</v>
      </c>
      <c r="F5" s="2"/>
      <c r="G5" s="2"/>
      <c r="H5" s="2">
        <v>2100</v>
      </c>
    </row>
    <row r="6" spans="1:12" x14ac:dyDescent="0.25">
      <c r="B6">
        <v>890</v>
      </c>
      <c r="C6" s="8">
        <v>45773</v>
      </c>
      <c r="D6" s="2"/>
      <c r="E6" s="2" t="s">
        <v>257</v>
      </c>
      <c r="F6" s="2"/>
      <c r="G6" s="2"/>
      <c r="H6" s="2">
        <v>82131</v>
      </c>
    </row>
    <row r="7" spans="1:12" x14ac:dyDescent="0.25">
      <c r="C7" s="8">
        <v>45759</v>
      </c>
      <c r="D7" s="2"/>
      <c r="E7" s="2" t="s">
        <v>258</v>
      </c>
      <c r="F7" s="2"/>
      <c r="G7" s="2"/>
      <c r="H7" s="2">
        <v>9596</v>
      </c>
    </row>
    <row r="8" spans="1:12" x14ac:dyDescent="0.25">
      <c r="C8" s="8">
        <v>45652</v>
      </c>
      <c r="D8" s="2"/>
      <c r="E8" s="2" t="s">
        <v>259</v>
      </c>
      <c r="F8" s="2"/>
      <c r="G8" s="2"/>
      <c r="H8" s="2">
        <v>890</v>
      </c>
    </row>
    <row r="9" spans="1:12" x14ac:dyDescent="0.25">
      <c r="C9" s="2"/>
      <c r="D9" s="2"/>
      <c r="E9" s="2" t="s">
        <v>260</v>
      </c>
      <c r="F9" s="2"/>
      <c r="G9" s="2"/>
      <c r="H9" s="18">
        <v>157</v>
      </c>
    </row>
    <row r="10" spans="1:12" x14ac:dyDescent="0.25">
      <c r="E10" s="22" t="s">
        <v>290</v>
      </c>
      <c r="F10">
        <v>520</v>
      </c>
      <c r="G10">
        <v>1560</v>
      </c>
      <c r="H10" s="22">
        <v>1560</v>
      </c>
    </row>
    <row r="11" spans="1:12" x14ac:dyDescent="0.25">
      <c r="E11" t="s">
        <v>288</v>
      </c>
    </row>
    <row r="15" spans="1:12" x14ac:dyDescent="0.25">
      <c r="A15" s="8">
        <v>45759</v>
      </c>
      <c r="B15" s="2">
        <v>15</v>
      </c>
      <c r="C15" s="2" t="s">
        <v>113</v>
      </c>
      <c r="D15" s="2" t="s">
        <v>118</v>
      </c>
      <c r="E15" s="3">
        <v>2299</v>
      </c>
      <c r="F15" s="3">
        <f t="shared" ref="F15:F19" si="0">B15*E15</f>
        <v>34485</v>
      </c>
      <c r="G15" s="10" t="s">
        <v>274</v>
      </c>
    </row>
    <row r="16" spans="1:12" x14ac:dyDescent="0.25">
      <c r="A16" s="8">
        <v>45759</v>
      </c>
      <c r="B16" s="2">
        <v>10</v>
      </c>
      <c r="C16" s="2" t="s">
        <v>112</v>
      </c>
      <c r="D16" s="2" t="s">
        <v>118</v>
      </c>
      <c r="E16" s="3">
        <v>2299</v>
      </c>
      <c r="F16" s="3">
        <f t="shared" si="0"/>
        <v>22990</v>
      </c>
      <c r="G16" s="10" t="s">
        <v>24</v>
      </c>
    </row>
    <row r="17" spans="1:7" x14ac:dyDescent="0.25">
      <c r="A17" s="8">
        <v>45759</v>
      </c>
      <c r="B17" s="2">
        <v>5</v>
      </c>
      <c r="C17" s="2" t="s">
        <v>119</v>
      </c>
      <c r="D17" s="2" t="s">
        <v>118</v>
      </c>
      <c r="E17" s="3">
        <v>2299</v>
      </c>
      <c r="F17" s="3">
        <f t="shared" si="0"/>
        <v>11495</v>
      </c>
      <c r="G17" s="10" t="s">
        <v>274</v>
      </c>
    </row>
    <row r="18" spans="1:7" x14ac:dyDescent="0.25">
      <c r="A18" s="8">
        <v>45759</v>
      </c>
      <c r="B18" s="2">
        <v>5</v>
      </c>
      <c r="C18" s="2" t="s">
        <v>121</v>
      </c>
      <c r="D18" s="2" t="s">
        <v>118</v>
      </c>
      <c r="E18" s="3">
        <v>2699</v>
      </c>
      <c r="F18" s="3">
        <f t="shared" si="0"/>
        <v>13495</v>
      </c>
      <c r="G18" s="10" t="s">
        <v>274</v>
      </c>
    </row>
    <row r="19" spans="1:7" x14ac:dyDescent="0.25">
      <c r="A19" s="8">
        <v>45759</v>
      </c>
      <c r="B19" s="2">
        <v>5</v>
      </c>
      <c r="C19" s="2" t="s">
        <v>158</v>
      </c>
      <c r="D19" s="2" t="s">
        <v>118</v>
      </c>
      <c r="E19" s="3">
        <v>2699</v>
      </c>
      <c r="F19" s="3">
        <f t="shared" si="0"/>
        <v>13495</v>
      </c>
      <c r="G19" s="10" t="s">
        <v>275</v>
      </c>
    </row>
  </sheetData>
  <mergeCells count="1">
    <mergeCell ref="H2:H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EA03F0-F7B2-4D3F-BA2B-165AC3C50A32}">
  <dimension ref="A1:M21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20" bestFit="1" customWidth="1"/>
    <col min="4" max="4" width="22.7109375" bestFit="1" customWidth="1"/>
    <col min="6" max="6" width="10" bestFit="1" customWidth="1"/>
    <col min="7" max="7" width="16.140625" bestFit="1" customWidth="1"/>
    <col min="8" max="8" width="13.7109375" bestFit="1" customWidth="1"/>
    <col min="12" max="12" width="24.140625" bestFit="1" customWidth="1"/>
    <col min="13" max="13" width="11.5703125" bestFit="1" customWidth="1"/>
  </cols>
  <sheetData>
    <row r="1" spans="1:13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L1" s="13" t="s">
        <v>78</v>
      </c>
      <c r="M1" t="s">
        <v>650</v>
      </c>
    </row>
    <row r="2" spans="1:13" x14ac:dyDescent="0.25">
      <c r="A2" s="34">
        <v>45830</v>
      </c>
      <c r="B2" s="35">
        <v>6</v>
      </c>
      <c r="C2" s="35" t="s">
        <v>352</v>
      </c>
      <c r="D2" s="35" t="s">
        <v>118</v>
      </c>
      <c r="E2" s="36">
        <v>3750</v>
      </c>
      <c r="F2" s="36">
        <f t="shared" ref="F2:F4" si="0">(B2*E2)</f>
        <v>22500</v>
      </c>
      <c r="G2" s="35" t="s">
        <v>8</v>
      </c>
      <c r="H2" s="34">
        <v>45834</v>
      </c>
      <c r="I2" t="s">
        <v>415</v>
      </c>
      <c r="L2" s="14">
        <v>3</v>
      </c>
      <c r="M2">
        <v>2885</v>
      </c>
    </row>
    <row r="3" spans="1:13" x14ac:dyDescent="0.25">
      <c r="A3" s="34">
        <v>45830</v>
      </c>
      <c r="B3" s="35">
        <v>8</v>
      </c>
      <c r="C3" s="35" t="s">
        <v>351</v>
      </c>
      <c r="D3" s="35" t="s">
        <v>118</v>
      </c>
      <c r="E3" s="36">
        <v>2885</v>
      </c>
      <c r="F3" s="36">
        <f t="shared" si="0"/>
        <v>23080</v>
      </c>
      <c r="G3" s="35" t="s">
        <v>8</v>
      </c>
      <c r="H3" s="34">
        <v>45834</v>
      </c>
      <c r="I3" t="s">
        <v>415</v>
      </c>
      <c r="L3" s="74" t="s">
        <v>351</v>
      </c>
      <c r="M3">
        <v>2885</v>
      </c>
    </row>
    <row r="4" spans="1:13" x14ac:dyDescent="0.25">
      <c r="A4" s="34">
        <v>45860</v>
      </c>
      <c r="B4" s="35">
        <v>3</v>
      </c>
      <c r="C4" s="35" t="s">
        <v>351</v>
      </c>
      <c r="D4" s="35" t="s">
        <v>118</v>
      </c>
      <c r="E4" s="36">
        <v>2885</v>
      </c>
      <c r="F4" s="36">
        <f t="shared" si="0"/>
        <v>8655</v>
      </c>
      <c r="G4" s="35" t="s">
        <v>8</v>
      </c>
      <c r="L4" s="14">
        <v>5</v>
      </c>
      <c r="M4">
        <v>274</v>
      </c>
    </row>
    <row r="5" spans="1:13" x14ac:dyDescent="0.25">
      <c r="A5" s="8">
        <v>45885</v>
      </c>
      <c r="B5" s="2">
        <v>5</v>
      </c>
      <c r="C5" s="2" t="s">
        <v>295</v>
      </c>
      <c r="D5" s="2" t="s">
        <v>118</v>
      </c>
      <c r="E5" s="3">
        <v>274</v>
      </c>
      <c r="F5" s="3">
        <f>B5*E5</f>
        <v>1370</v>
      </c>
      <c r="G5" s="2" t="s">
        <v>24</v>
      </c>
      <c r="H5" s="2"/>
      <c r="L5" s="74" t="s">
        <v>295</v>
      </c>
      <c r="M5">
        <v>274</v>
      </c>
    </row>
    <row r="6" spans="1:13" x14ac:dyDescent="0.25">
      <c r="A6" s="8">
        <v>45885</v>
      </c>
      <c r="B6" s="35">
        <v>8</v>
      </c>
      <c r="C6" s="35" t="s">
        <v>508</v>
      </c>
      <c r="D6" s="35" t="s">
        <v>118</v>
      </c>
      <c r="E6" s="36">
        <v>3750</v>
      </c>
      <c r="F6" s="36">
        <f>B6*E6</f>
        <v>30000</v>
      </c>
      <c r="G6" s="35" t="s">
        <v>8</v>
      </c>
      <c r="H6" s="2" t="s">
        <v>517</v>
      </c>
      <c r="L6" s="14">
        <v>6</v>
      </c>
      <c r="M6">
        <v>3750</v>
      </c>
    </row>
    <row r="7" spans="1:13" x14ac:dyDescent="0.25">
      <c r="L7" s="74" t="s">
        <v>352</v>
      </c>
      <c r="M7">
        <v>3750</v>
      </c>
    </row>
    <row r="8" spans="1:13" x14ac:dyDescent="0.25">
      <c r="L8" s="14">
        <v>8</v>
      </c>
      <c r="M8">
        <v>6635</v>
      </c>
    </row>
    <row r="9" spans="1:13" x14ac:dyDescent="0.25">
      <c r="L9" s="74" t="s">
        <v>508</v>
      </c>
      <c r="M9">
        <v>3750</v>
      </c>
    </row>
    <row r="10" spans="1:13" x14ac:dyDescent="0.25">
      <c r="L10" s="74" t="s">
        <v>351</v>
      </c>
      <c r="M10">
        <v>2885</v>
      </c>
    </row>
    <row r="11" spans="1:13" x14ac:dyDescent="0.25">
      <c r="L11" s="14" t="s">
        <v>80</v>
      </c>
      <c r="M11">
        <v>13544</v>
      </c>
    </row>
    <row r="16" spans="1:13" x14ac:dyDescent="0.25">
      <c r="F16">
        <v>84235</v>
      </c>
    </row>
    <row r="17" spans="6:6" x14ac:dyDescent="0.25">
      <c r="F17">
        <f>F16*10%</f>
        <v>8423.5</v>
      </c>
    </row>
    <row r="18" spans="6:6" x14ac:dyDescent="0.25">
      <c r="F18">
        <v>9000</v>
      </c>
    </row>
    <row r="19" spans="6:6" x14ac:dyDescent="0.25">
      <c r="F19">
        <f>F17+F18</f>
        <v>17423.5</v>
      </c>
    </row>
    <row r="20" spans="6:6" x14ac:dyDescent="0.25">
      <c r="F20">
        <v>6000</v>
      </c>
    </row>
    <row r="21" spans="6:6" x14ac:dyDescent="0.25">
      <c r="F21">
        <f>F19+F20</f>
        <v>23423.5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8D018-7B12-4043-8BEC-1C9924762218}">
  <dimension ref="B1:G11"/>
  <sheetViews>
    <sheetView workbookViewId="0">
      <selection activeCell="B1" sqref="B1:C10"/>
    </sheetView>
  </sheetViews>
  <sheetFormatPr defaultRowHeight="15" x14ac:dyDescent="0.25"/>
  <cols>
    <col min="2" max="2" width="32.7109375" bestFit="1" customWidth="1"/>
  </cols>
  <sheetData>
    <row r="1" spans="2:7" x14ac:dyDescent="0.25">
      <c r="B1" s="44" t="s">
        <v>662</v>
      </c>
      <c r="C1" s="44" t="s">
        <v>0</v>
      </c>
    </row>
    <row r="2" spans="2:7" x14ac:dyDescent="0.25">
      <c r="B2" s="2" t="s">
        <v>658</v>
      </c>
      <c r="C2" s="2">
        <v>5</v>
      </c>
      <c r="D2">
        <v>4400</v>
      </c>
      <c r="E2">
        <f>C2*D2</f>
        <v>22000</v>
      </c>
      <c r="F2">
        <v>3000</v>
      </c>
      <c r="G2">
        <f>F2*C2</f>
        <v>15000</v>
      </c>
    </row>
    <row r="3" spans="2:7" x14ac:dyDescent="0.25">
      <c r="B3" s="2" t="s">
        <v>659</v>
      </c>
      <c r="C3" s="2">
        <v>13</v>
      </c>
      <c r="D3">
        <v>3370</v>
      </c>
      <c r="E3">
        <f t="shared" ref="E3:E10" si="0">C3*D3</f>
        <v>43810</v>
      </c>
      <c r="F3">
        <v>1000</v>
      </c>
      <c r="G3">
        <f t="shared" ref="G3:G10" si="1">F3*C3</f>
        <v>13000</v>
      </c>
    </row>
    <row r="4" spans="2:7" x14ac:dyDescent="0.25">
      <c r="B4" s="2" t="s">
        <v>660</v>
      </c>
      <c r="C4" s="2">
        <v>13</v>
      </c>
      <c r="D4">
        <v>1400</v>
      </c>
      <c r="E4">
        <f t="shared" si="0"/>
        <v>18200</v>
      </c>
      <c r="F4">
        <v>350</v>
      </c>
      <c r="G4">
        <f t="shared" si="1"/>
        <v>4550</v>
      </c>
    </row>
    <row r="5" spans="2:7" x14ac:dyDescent="0.25">
      <c r="B5" s="2" t="s">
        <v>661</v>
      </c>
      <c r="C5" s="2">
        <v>10</v>
      </c>
      <c r="D5">
        <v>410</v>
      </c>
      <c r="E5">
        <f t="shared" si="0"/>
        <v>4100</v>
      </c>
      <c r="F5">
        <v>100</v>
      </c>
      <c r="G5">
        <f t="shared" si="1"/>
        <v>1000</v>
      </c>
    </row>
    <row r="6" spans="2:7" x14ac:dyDescent="0.25">
      <c r="B6" s="2" t="s">
        <v>651</v>
      </c>
      <c r="C6" s="2">
        <v>24</v>
      </c>
      <c r="D6">
        <v>150</v>
      </c>
      <c r="E6">
        <f t="shared" si="0"/>
        <v>3600</v>
      </c>
      <c r="F6">
        <v>10</v>
      </c>
      <c r="G6">
        <f t="shared" si="1"/>
        <v>240</v>
      </c>
    </row>
    <row r="7" spans="2:7" x14ac:dyDescent="0.25">
      <c r="B7" s="2" t="s">
        <v>652</v>
      </c>
      <c r="C7" s="2">
        <v>2</v>
      </c>
      <c r="D7">
        <v>88</v>
      </c>
      <c r="E7">
        <f t="shared" si="0"/>
        <v>176</v>
      </c>
      <c r="F7">
        <v>10</v>
      </c>
      <c r="G7">
        <f t="shared" si="1"/>
        <v>20</v>
      </c>
    </row>
    <row r="8" spans="2:7" x14ac:dyDescent="0.25">
      <c r="B8" s="2" t="s">
        <v>587</v>
      </c>
      <c r="C8" s="10">
        <v>25</v>
      </c>
      <c r="D8">
        <v>1063</v>
      </c>
      <c r="E8">
        <f t="shared" si="0"/>
        <v>26575</v>
      </c>
      <c r="F8">
        <v>300</v>
      </c>
      <c r="G8">
        <f t="shared" si="1"/>
        <v>7500</v>
      </c>
    </row>
    <row r="9" spans="2:7" x14ac:dyDescent="0.25">
      <c r="B9" s="2" t="s">
        <v>646</v>
      </c>
      <c r="C9" s="2">
        <v>5</v>
      </c>
      <c r="D9">
        <v>840</v>
      </c>
      <c r="E9">
        <f t="shared" si="0"/>
        <v>4200</v>
      </c>
      <c r="F9">
        <v>50</v>
      </c>
      <c r="G9">
        <f t="shared" si="1"/>
        <v>250</v>
      </c>
    </row>
    <row r="10" spans="2:7" x14ac:dyDescent="0.25">
      <c r="B10" s="2" t="s">
        <v>657</v>
      </c>
      <c r="C10" s="2">
        <v>1</v>
      </c>
      <c r="D10">
        <v>2885</v>
      </c>
      <c r="E10">
        <f t="shared" si="0"/>
        <v>2885</v>
      </c>
      <c r="F10">
        <v>700</v>
      </c>
      <c r="G10">
        <f t="shared" si="1"/>
        <v>700</v>
      </c>
    </row>
    <row r="11" spans="2:7" x14ac:dyDescent="0.25">
      <c r="E11">
        <f>SUM(E2:E10)</f>
        <v>125546</v>
      </c>
      <c r="G11">
        <f>SUM(G2:G10)</f>
        <v>42260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2AF591-BE75-4ECD-9580-82F76D615CAC}">
  <dimension ref="A1:F44"/>
  <sheetViews>
    <sheetView topLeftCell="A19" workbookViewId="0">
      <selection activeCell="E37" sqref="E37"/>
    </sheetView>
  </sheetViews>
  <sheetFormatPr defaultRowHeight="15" x14ac:dyDescent="0.25"/>
  <cols>
    <col min="1" max="1" width="20" bestFit="1" customWidth="1"/>
    <col min="2" max="2" width="25.7109375" bestFit="1" customWidth="1"/>
    <col min="5" max="5" width="24.7109375" bestFit="1" customWidth="1"/>
    <col min="6" max="6" width="10.42578125" bestFit="1" customWidth="1"/>
  </cols>
  <sheetData>
    <row r="1" spans="1:6" x14ac:dyDescent="0.25">
      <c r="A1" t="s">
        <v>0</v>
      </c>
      <c r="B1" t="s">
        <v>159</v>
      </c>
      <c r="E1" s="13" t="s">
        <v>1</v>
      </c>
      <c r="F1" t="s">
        <v>81</v>
      </c>
    </row>
    <row r="2" spans="1:6" x14ac:dyDescent="0.25">
      <c r="A2">
        <v>4</v>
      </c>
      <c r="B2" t="s">
        <v>160</v>
      </c>
      <c r="C2">
        <v>1</v>
      </c>
      <c r="E2" s="14" t="s">
        <v>168</v>
      </c>
      <c r="F2">
        <v>40</v>
      </c>
    </row>
    <row r="3" spans="1:6" x14ac:dyDescent="0.25">
      <c r="A3">
        <v>2</v>
      </c>
      <c r="B3" t="s">
        <v>161</v>
      </c>
      <c r="C3">
        <v>1</v>
      </c>
      <c r="E3" s="14" t="s">
        <v>164</v>
      </c>
      <c r="F3">
        <v>4</v>
      </c>
    </row>
    <row r="4" spans="1:6" x14ac:dyDescent="0.25">
      <c r="A4">
        <v>4</v>
      </c>
      <c r="B4" t="s">
        <v>162</v>
      </c>
      <c r="C4">
        <v>1</v>
      </c>
      <c r="E4" s="14" t="s">
        <v>178</v>
      </c>
      <c r="F4">
        <v>1</v>
      </c>
    </row>
    <row r="5" spans="1:6" x14ac:dyDescent="0.25">
      <c r="A5">
        <v>2</v>
      </c>
      <c r="B5" t="s">
        <v>161</v>
      </c>
      <c r="C5">
        <v>2</v>
      </c>
      <c r="E5" s="14" t="s">
        <v>167</v>
      </c>
      <c r="F5">
        <v>7</v>
      </c>
    </row>
    <row r="6" spans="1:6" x14ac:dyDescent="0.25">
      <c r="A6">
        <v>2</v>
      </c>
      <c r="B6" t="s">
        <v>163</v>
      </c>
      <c r="C6">
        <v>2</v>
      </c>
      <c r="E6" s="14" t="s">
        <v>162</v>
      </c>
      <c r="F6">
        <v>6</v>
      </c>
    </row>
    <row r="7" spans="1:6" x14ac:dyDescent="0.25">
      <c r="A7">
        <v>2</v>
      </c>
      <c r="B7" t="s">
        <v>164</v>
      </c>
      <c r="C7">
        <v>2</v>
      </c>
      <c r="E7" s="14" t="s">
        <v>170</v>
      </c>
      <c r="F7">
        <v>8</v>
      </c>
    </row>
    <row r="8" spans="1:6" x14ac:dyDescent="0.25">
      <c r="A8">
        <v>9</v>
      </c>
      <c r="B8" t="s">
        <v>165</v>
      </c>
      <c r="C8">
        <v>2</v>
      </c>
      <c r="E8" s="14" t="s">
        <v>180</v>
      </c>
      <c r="F8">
        <v>1</v>
      </c>
    </row>
    <row r="9" spans="1:6" x14ac:dyDescent="0.25">
      <c r="A9">
        <v>2</v>
      </c>
      <c r="B9" t="s">
        <v>166</v>
      </c>
      <c r="C9">
        <v>2</v>
      </c>
      <c r="E9" s="14" t="s">
        <v>160</v>
      </c>
      <c r="F9">
        <v>11</v>
      </c>
    </row>
    <row r="10" spans="1:6" x14ac:dyDescent="0.25">
      <c r="A10">
        <v>2</v>
      </c>
      <c r="B10" t="s">
        <v>162</v>
      </c>
      <c r="C10">
        <v>2</v>
      </c>
      <c r="E10" s="14" t="s">
        <v>161</v>
      </c>
      <c r="F10">
        <v>5</v>
      </c>
    </row>
    <row r="11" spans="1:6" x14ac:dyDescent="0.25">
      <c r="A11">
        <v>7</v>
      </c>
      <c r="B11" t="s">
        <v>168</v>
      </c>
      <c r="C11">
        <v>3</v>
      </c>
      <c r="E11" s="14" t="s">
        <v>179</v>
      </c>
      <c r="F11">
        <v>1</v>
      </c>
    </row>
    <row r="12" spans="1:6" x14ac:dyDescent="0.25">
      <c r="A12">
        <v>27</v>
      </c>
      <c r="B12" t="s">
        <v>169</v>
      </c>
      <c r="C12">
        <v>3</v>
      </c>
      <c r="E12" s="14" t="s">
        <v>172</v>
      </c>
      <c r="F12">
        <v>3</v>
      </c>
    </row>
    <row r="13" spans="1:6" x14ac:dyDescent="0.25">
      <c r="A13">
        <v>2</v>
      </c>
      <c r="B13" t="s">
        <v>167</v>
      </c>
      <c r="C13">
        <v>4</v>
      </c>
      <c r="E13" s="14" t="s">
        <v>176</v>
      </c>
      <c r="F13">
        <v>2</v>
      </c>
    </row>
    <row r="14" spans="1:6" x14ac:dyDescent="0.25">
      <c r="A14">
        <v>8</v>
      </c>
      <c r="B14" t="s">
        <v>170</v>
      </c>
      <c r="C14">
        <v>4</v>
      </c>
      <c r="E14" s="14" t="s">
        <v>174</v>
      </c>
      <c r="F14">
        <v>5</v>
      </c>
    </row>
    <row r="15" spans="1:6" x14ac:dyDescent="0.25">
      <c r="A15">
        <v>7</v>
      </c>
      <c r="B15" t="s">
        <v>165</v>
      </c>
      <c r="C15">
        <v>4</v>
      </c>
      <c r="E15" s="14" t="s">
        <v>182</v>
      </c>
      <c r="F15">
        <v>6</v>
      </c>
    </row>
    <row r="16" spans="1:6" x14ac:dyDescent="0.25">
      <c r="A16">
        <v>4</v>
      </c>
      <c r="B16" t="s">
        <v>169</v>
      </c>
      <c r="C16">
        <v>4</v>
      </c>
      <c r="E16" s="14" t="s">
        <v>187</v>
      </c>
      <c r="F16">
        <v>5</v>
      </c>
    </row>
    <row r="17" spans="1:6" x14ac:dyDescent="0.25">
      <c r="A17">
        <v>1</v>
      </c>
      <c r="B17" t="s">
        <v>168</v>
      </c>
      <c r="C17">
        <v>4</v>
      </c>
      <c r="E17" s="14" t="s">
        <v>177</v>
      </c>
      <c r="F17">
        <v>1</v>
      </c>
    </row>
    <row r="18" spans="1:6" x14ac:dyDescent="0.25">
      <c r="A18">
        <v>5</v>
      </c>
      <c r="B18" t="s">
        <v>187</v>
      </c>
      <c r="C18">
        <v>5</v>
      </c>
      <c r="E18" s="14" t="s">
        <v>165</v>
      </c>
      <c r="F18">
        <v>16</v>
      </c>
    </row>
    <row r="19" spans="1:6" x14ac:dyDescent="0.25">
      <c r="A19">
        <v>2</v>
      </c>
      <c r="B19" t="s">
        <v>164</v>
      </c>
      <c r="C19">
        <v>5</v>
      </c>
      <c r="E19" s="14" t="s">
        <v>166</v>
      </c>
      <c r="F19">
        <v>5</v>
      </c>
    </row>
    <row r="20" spans="1:6" x14ac:dyDescent="0.25">
      <c r="A20">
        <v>4</v>
      </c>
      <c r="B20" t="s">
        <v>171</v>
      </c>
      <c r="C20">
        <v>5</v>
      </c>
      <c r="E20" s="14" t="s">
        <v>173</v>
      </c>
      <c r="F20">
        <v>1</v>
      </c>
    </row>
    <row r="21" spans="1:6" x14ac:dyDescent="0.25">
      <c r="A21">
        <v>30</v>
      </c>
      <c r="B21" t="s">
        <v>168</v>
      </c>
      <c r="C21">
        <v>5</v>
      </c>
      <c r="E21" s="14" t="s">
        <v>169</v>
      </c>
      <c r="F21">
        <v>31</v>
      </c>
    </row>
    <row r="22" spans="1:6" x14ac:dyDescent="0.25">
      <c r="A22">
        <v>2</v>
      </c>
      <c r="B22" t="s">
        <v>186</v>
      </c>
      <c r="C22">
        <v>5</v>
      </c>
      <c r="E22" s="14" t="s">
        <v>175</v>
      </c>
      <c r="F22">
        <v>1</v>
      </c>
    </row>
    <row r="23" spans="1:6" x14ac:dyDescent="0.25">
      <c r="A23">
        <v>2</v>
      </c>
      <c r="B23" t="s">
        <v>172</v>
      </c>
      <c r="C23">
        <v>6</v>
      </c>
      <c r="E23" s="14" t="s">
        <v>163</v>
      </c>
      <c r="F23">
        <v>2</v>
      </c>
    </row>
    <row r="24" spans="1:6" x14ac:dyDescent="0.25">
      <c r="A24">
        <v>1</v>
      </c>
      <c r="B24" t="s">
        <v>161</v>
      </c>
      <c r="C24">
        <v>6</v>
      </c>
      <c r="E24" s="14" t="s">
        <v>183</v>
      </c>
      <c r="F24">
        <v>57</v>
      </c>
    </row>
    <row r="25" spans="1:6" x14ac:dyDescent="0.25">
      <c r="A25">
        <v>1</v>
      </c>
      <c r="B25" t="s">
        <v>166</v>
      </c>
      <c r="C25">
        <v>6</v>
      </c>
      <c r="E25" s="14" t="s">
        <v>80</v>
      </c>
      <c r="F25">
        <v>219</v>
      </c>
    </row>
    <row r="26" spans="1:6" x14ac:dyDescent="0.25">
      <c r="A26">
        <v>1</v>
      </c>
      <c r="B26" t="s">
        <v>171</v>
      </c>
      <c r="C26">
        <v>6</v>
      </c>
    </row>
    <row r="27" spans="1:6" x14ac:dyDescent="0.25">
      <c r="A27">
        <v>1</v>
      </c>
      <c r="B27" t="s">
        <v>173</v>
      </c>
      <c r="C27">
        <v>6</v>
      </c>
    </row>
    <row r="28" spans="1:6" x14ac:dyDescent="0.25">
      <c r="A28">
        <v>2</v>
      </c>
      <c r="B28" t="s">
        <v>174</v>
      </c>
      <c r="C28">
        <v>7</v>
      </c>
    </row>
    <row r="29" spans="1:6" x14ac:dyDescent="0.25">
      <c r="A29">
        <v>1</v>
      </c>
      <c r="B29" t="s">
        <v>175</v>
      </c>
      <c r="C29">
        <v>7</v>
      </c>
    </row>
    <row r="30" spans="1:6" x14ac:dyDescent="0.25">
      <c r="A30">
        <v>2</v>
      </c>
      <c r="B30" t="s">
        <v>176</v>
      </c>
      <c r="C30">
        <v>8</v>
      </c>
    </row>
    <row r="31" spans="1:6" x14ac:dyDescent="0.25">
      <c r="A31">
        <v>3</v>
      </c>
      <c r="B31" t="s">
        <v>174</v>
      </c>
      <c r="C31">
        <v>8</v>
      </c>
    </row>
    <row r="32" spans="1:6" x14ac:dyDescent="0.25">
      <c r="A32">
        <v>1</v>
      </c>
      <c r="B32" t="s">
        <v>177</v>
      </c>
      <c r="C32">
        <v>8</v>
      </c>
    </row>
    <row r="33" spans="1:3" x14ac:dyDescent="0.25">
      <c r="A33">
        <v>2</v>
      </c>
      <c r="B33" t="s">
        <v>168</v>
      </c>
      <c r="C33">
        <v>8</v>
      </c>
    </row>
    <row r="34" spans="1:3" x14ac:dyDescent="0.25">
      <c r="A34">
        <v>5</v>
      </c>
      <c r="B34" t="s">
        <v>160</v>
      </c>
      <c r="C34">
        <v>9</v>
      </c>
    </row>
    <row r="35" spans="1:3" x14ac:dyDescent="0.25">
      <c r="A35">
        <v>1</v>
      </c>
      <c r="B35" t="s">
        <v>178</v>
      </c>
      <c r="C35">
        <v>9</v>
      </c>
    </row>
    <row r="36" spans="1:3" x14ac:dyDescent="0.25">
      <c r="A36">
        <v>1</v>
      </c>
      <c r="B36" t="s">
        <v>179</v>
      </c>
      <c r="C36">
        <v>10</v>
      </c>
    </row>
    <row r="37" spans="1:3" x14ac:dyDescent="0.25">
      <c r="A37">
        <v>1</v>
      </c>
      <c r="B37" t="s">
        <v>172</v>
      </c>
      <c r="C37">
        <v>10</v>
      </c>
    </row>
    <row r="38" spans="1:3" x14ac:dyDescent="0.25">
      <c r="A38">
        <v>1</v>
      </c>
      <c r="B38" t="s">
        <v>180</v>
      </c>
      <c r="C38">
        <v>10</v>
      </c>
    </row>
    <row r="39" spans="1:3" x14ac:dyDescent="0.25">
      <c r="A39">
        <v>2</v>
      </c>
      <c r="B39" t="s">
        <v>160</v>
      </c>
      <c r="C39" t="s">
        <v>181</v>
      </c>
    </row>
    <row r="40" spans="1:3" x14ac:dyDescent="0.25">
      <c r="A40">
        <v>6</v>
      </c>
      <c r="B40" t="s">
        <v>182</v>
      </c>
      <c r="C40">
        <v>11</v>
      </c>
    </row>
    <row r="41" spans="1:3" x14ac:dyDescent="0.25">
      <c r="A41">
        <v>33</v>
      </c>
      <c r="B41" t="s">
        <v>183</v>
      </c>
      <c r="C41" t="s">
        <v>185</v>
      </c>
    </row>
    <row r="42" spans="1:3" x14ac:dyDescent="0.25">
      <c r="A42">
        <v>6</v>
      </c>
      <c r="B42" t="s">
        <v>183</v>
      </c>
      <c r="C42" t="s">
        <v>184</v>
      </c>
    </row>
    <row r="43" spans="1:3" x14ac:dyDescent="0.25">
      <c r="A43">
        <v>8</v>
      </c>
      <c r="B43" t="s">
        <v>183</v>
      </c>
    </row>
    <row r="44" spans="1:3" x14ac:dyDescent="0.25">
      <c r="A44">
        <v>10</v>
      </c>
      <c r="B44" t="s">
        <v>183</v>
      </c>
    </row>
  </sheetData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DCF8A-1783-48C5-B2D0-3C476830C2F6}">
  <dimension ref="A1:N39"/>
  <sheetViews>
    <sheetView topLeftCell="A19" zoomScale="102" workbookViewId="0">
      <selection activeCell="E24" sqref="E24"/>
    </sheetView>
  </sheetViews>
  <sheetFormatPr defaultRowHeight="15" x14ac:dyDescent="0.25"/>
  <cols>
    <col min="2" max="2" width="24.7109375" bestFit="1" customWidth="1"/>
    <col min="8" max="8" width="24.7109375" bestFit="1" customWidth="1"/>
    <col min="9" max="9" width="10" bestFit="1" customWidth="1"/>
    <col min="10" max="10" width="10" customWidth="1"/>
  </cols>
  <sheetData>
    <row r="1" spans="1:14" x14ac:dyDescent="0.25">
      <c r="A1" t="s">
        <v>0</v>
      </c>
      <c r="B1" t="s">
        <v>159</v>
      </c>
      <c r="C1" t="s">
        <v>261</v>
      </c>
      <c r="H1" s="27" t="s">
        <v>78</v>
      </c>
      <c r="I1" s="28" t="s">
        <v>81</v>
      </c>
    </row>
    <row r="2" spans="1:14" x14ac:dyDescent="0.25">
      <c r="A2">
        <v>7</v>
      </c>
      <c r="B2" t="s">
        <v>160</v>
      </c>
      <c r="C2">
        <v>1</v>
      </c>
      <c r="H2" s="29" t="s">
        <v>225</v>
      </c>
      <c r="I2" s="28">
        <v>5</v>
      </c>
      <c r="J2" s="28">
        <v>5</v>
      </c>
      <c r="K2">
        <v>255</v>
      </c>
      <c r="L2">
        <f>(J2*K2)</f>
        <v>1275</v>
      </c>
      <c r="M2">
        <v>20</v>
      </c>
      <c r="N2">
        <f>(M2*J2)</f>
        <v>100</v>
      </c>
    </row>
    <row r="3" spans="1:14" x14ac:dyDescent="0.25">
      <c r="A3">
        <v>12</v>
      </c>
      <c r="B3" t="s">
        <v>168</v>
      </c>
      <c r="C3">
        <v>1</v>
      </c>
      <c r="H3" s="30" t="s">
        <v>267</v>
      </c>
      <c r="I3" s="31">
        <v>18</v>
      </c>
      <c r="J3" s="31">
        <v>18</v>
      </c>
      <c r="K3">
        <v>98</v>
      </c>
      <c r="L3">
        <f t="shared" ref="L3:L23" si="0">(J3*K3)</f>
        <v>1764</v>
      </c>
      <c r="M3">
        <v>40</v>
      </c>
      <c r="N3">
        <f t="shared" ref="N3:N23" si="1">(M3*J3)</f>
        <v>720</v>
      </c>
    </row>
    <row r="4" spans="1:14" x14ac:dyDescent="0.25">
      <c r="A4">
        <v>7</v>
      </c>
      <c r="B4" t="s">
        <v>160</v>
      </c>
      <c r="C4">
        <v>2</v>
      </c>
      <c r="H4" s="30" t="s">
        <v>168</v>
      </c>
      <c r="I4" s="31">
        <v>30</v>
      </c>
      <c r="J4" s="31">
        <v>30</v>
      </c>
      <c r="K4">
        <v>60</v>
      </c>
      <c r="L4">
        <f t="shared" si="0"/>
        <v>1800</v>
      </c>
      <c r="M4">
        <v>30</v>
      </c>
      <c r="N4">
        <f t="shared" si="1"/>
        <v>900</v>
      </c>
    </row>
    <row r="5" spans="1:14" x14ac:dyDescent="0.25">
      <c r="A5">
        <v>1</v>
      </c>
      <c r="B5" t="s">
        <v>262</v>
      </c>
      <c r="C5">
        <v>2</v>
      </c>
      <c r="H5" s="30" t="s">
        <v>265</v>
      </c>
      <c r="I5" s="31">
        <v>15</v>
      </c>
      <c r="J5" s="31">
        <v>15</v>
      </c>
      <c r="K5">
        <v>2560</v>
      </c>
      <c r="L5">
        <f t="shared" si="0"/>
        <v>38400</v>
      </c>
      <c r="M5">
        <v>1500</v>
      </c>
      <c r="N5">
        <f t="shared" si="1"/>
        <v>22500</v>
      </c>
    </row>
    <row r="6" spans="1:14" x14ac:dyDescent="0.25">
      <c r="A6">
        <v>6</v>
      </c>
      <c r="B6" t="s">
        <v>160</v>
      </c>
      <c r="C6">
        <v>3</v>
      </c>
      <c r="H6" s="30" t="s">
        <v>264</v>
      </c>
      <c r="I6" s="31">
        <v>11</v>
      </c>
      <c r="J6" s="31">
        <v>11</v>
      </c>
      <c r="K6">
        <v>3650</v>
      </c>
      <c r="L6">
        <f t="shared" si="0"/>
        <v>40150</v>
      </c>
      <c r="M6">
        <v>1775</v>
      </c>
      <c r="N6">
        <f t="shared" si="1"/>
        <v>19525</v>
      </c>
    </row>
    <row r="7" spans="1:14" x14ac:dyDescent="0.25">
      <c r="A7">
        <v>2</v>
      </c>
      <c r="B7" t="s">
        <v>262</v>
      </c>
      <c r="C7">
        <v>3</v>
      </c>
      <c r="H7" s="30" t="s">
        <v>263</v>
      </c>
      <c r="I7" s="31">
        <v>6</v>
      </c>
      <c r="J7" s="31">
        <v>6</v>
      </c>
      <c r="K7">
        <v>230</v>
      </c>
      <c r="L7">
        <f t="shared" si="0"/>
        <v>1380</v>
      </c>
      <c r="M7">
        <v>80</v>
      </c>
      <c r="N7">
        <f t="shared" si="1"/>
        <v>480</v>
      </c>
    </row>
    <row r="8" spans="1:14" x14ac:dyDescent="0.25">
      <c r="A8">
        <v>2</v>
      </c>
      <c r="B8" t="s">
        <v>263</v>
      </c>
      <c r="C8">
        <v>3</v>
      </c>
      <c r="H8" s="30" t="s">
        <v>271</v>
      </c>
      <c r="I8" s="31"/>
      <c r="J8" s="31"/>
      <c r="L8">
        <f t="shared" si="0"/>
        <v>0</v>
      </c>
      <c r="N8">
        <f t="shared" si="1"/>
        <v>0</v>
      </c>
    </row>
    <row r="9" spans="1:14" x14ac:dyDescent="0.25">
      <c r="A9">
        <v>6</v>
      </c>
      <c r="B9" t="s">
        <v>160</v>
      </c>
      <c r="C9">
        <v>4</v>
      </c>
      <c r="H9" s="30" t="s">
        <v>170</v>
      </c>
      <c r="I9" s="31">
        <v>2</v>
      </c>
      <c r="J9" s="31">
        <v>2</v>
      </c>
      <c r="K9">
        <v>400</v>
      </c>
      <c r="L9">
        <f t="shared" si="0"/>
        <v>800</v>
      </c>
      <c r="M9">
        <v>80</v>
      </c>
      <c r="N9">
        <f t="shared" si="1"/>
        <v>160</v>
      </c>
    </row>
    <row r="10" spans="1:14" x14ac:dyDescent="0.25">
      <c r="A10">
        <v>3</v>
      </c>
      <c r="B10" t="s">
        <v>264</v>
      </c>
      <c r="C10">
        <v>4</v>
      </c>
      <c r="H10" s="30" t="s">
        <v>160</v>
      </c>
      <c r="I10" s="31">
        <v>39</v>
      </c>
      <c r="J10" s="31">
        <v>39</v>
      </c>
      <c r="K10">
        <v>2299</v>
      </c>
      <c r="L10">
        <f t="shared" si="0"/>
        <v>89661</v>
      </c>
      <c r="M10">
        <v>428</v>
      </c>
      <c r="N10">
        <f t="shared" si="1"/>
        <v>16692</v>
      </c>
    </row>
    <row r="11" spans="1:14" x14ac:dyDescent="0.25">
      <c r="A11">
        <v>9</v>
      </c>
      <c r="B11" t="s">
        <v>160</v>
      </c>
      <c r="C11">
        <v>5</v>
      </c>
      <c r="H11" s="30" t="s">
        <v>161</v>
      </c>
      <c r="I11" s="31">
        <v>15</v>
      </c>
      <c r="J11" s="31">
        <v>15</v>
      </c>
      <c r="K11">
        <v>2699</v>
      </c>
      <c r="L11">
        <f t="shared" si="0"/>
        <v>40485</v>
      </c>
      <c r="M11">
        <v>372</v>
      </c>
      <c r="N11">
        <f t="shared" si="1"/>
        <v>5580</v>
      </c>
    </row>
    <row r="12" spans="1:14" x14ac:dyDescent="0.25">
      <c r="A12">
        <v>2</v>
      </c>
      <c r="B12" t="s">
        <v>264</v>
      </c>
      <c r="C12">
        <v>5</v>
      </c>
      <c r="H12" s="30" t="s">
        <v>268</v>
      </c>
      <c r="I12" s="31">
        <v>53</v>
      </c>
      <c r="J12" s="31">
        <v>53</v>
      </c>
      <c r="K12">
        <v>539</v>
      </c>
      <c r="L12">
        <f t="shared" si="0"/>
        <v>28567</v>
      </c>
      <c r="M12">
        <v>300</v>
      </c>
      <c r="N12">
        <f t="shared" si="1"/>
        <v>15900</v>
      </c>
    </row>
    <row r="13" spans="1:14" x14ac:dyDescent="0.25">
      <c r="A13">
        <v>4</v>
      </c>
      <c r="B13" t="s">
        <v>265</v>
      </c>
      <c r="C13">
        <v>6</v>
      </c>
      <c r="H13" s="30" t="s">
        <v>269</v>
      </c>
      <c r="I13" s="31">
        <v>1</v>
      </c>
      <c r="J13" s="31">
        <v>1</v>
      </c>
      <c r="K13">
        <v>200</v>
      </c>
      <c r="L13">
        <f t="shared" si="0"/>
        <v>200</v>
      </c>
      <c r="M13">
        <v>80</v>
      </c>
      <c r="N13">
        <f t="shared" si="1"/>
        <v>80</v>
      </c>
    </row>
    <row r="14" spans="1:14" x14ac:dyDescent="0.25">
      <c r="A14">
        <v>1</v>
      </c>
      <c r="B14" t="s">
        <v>160</v>
      </c>
      <c r="C14">
        <v>6</v>
      </c>
      <c r="H14" s="30" t="s">
        <v>266</v>
      </c>
      <c r="I14" s="31">
        <v>5</v>
      </c>
      <c r="J14" s="31">
        <v>5</v>
      </c>
      <c r="K14">
        <v>185</v>
      </c>
      <c r="L14">
        <f t="shared" si="0"/>
        <v>925</v>
      </c>
      <c r="M14">
        <v>20</v>
      </c>
      <c r="N14">
        <f t="shared" si="1"/>
        <v>100</v>
      </c>
    </row>
    <row r="15" spans="1:14" x14ac:dyDescent="0.25">
      <c r="A15">
        <v>5</v>
      </c>
      <c r="B15" t="s">
        <v>266</v>
      </c>
      <c r="C15">
        <v>6</v>
      </c>
      <c r="H15" s="30" t="s">
        <v>262</v>
      </c>
      <c r="I15" s="31">
        <v>3</v>
      </c>
      <c r="J15" s="31">
        <v>3</v>
      </c>
      <c r="K15">
        <v>328</v>
      </c>
      <c r="L15">
        <f t="shared" si="0"/>
        <v>984</v>
      </c>
      <c r="M15">
        <v>30</v>
      </c>
      <c r="N15">
        <f t="shared" si="1"/>
        <v>90</v>
      </c>
    </row>
    <row r="16" spans="1:14" x14ac:dyDescent="0.25">
      <c r="A16">
        <v>18</v>
      </c>
      <c r="B16" t="s">
        <v>168</v>
      </c>
      <c r="C16">
        <v>6</v>
      </c>
      <c r="H16" s="32" t="s">
        <v>80</v>
      </c>
      <c r="I16" s="33">
        <v>203</v>
      </c>
      <c r="L16">
        <f t="shared" si="0"/>
        <v>0</v>
      </c>
      <c r="N16">
        <f t="shared" si="1"/>
        <v>0</v>
      </c>
    </row>
    <row r="17" spans="1:14" x14ac:dyDescent="0.25">
      <c r="A17">
        <v>2</v>
      </c>
      <c r="B17" t="s">
        <v>264</v>
      </c>
      <c r="C17">
        <v>8</v>
      </c>
      <c r="J17">
        <v>26</v>
      </c>
      <c r="K17">
        <v>724</v>
      </c>
      <c r="L17">
        <f t="shared" si="0"/>
        <v>18824</v>
      </c>
      <c r="M17">
        <v>200</v>
      </c>
      <c r="N17">
        <f t="shared" si="1"/>
        <v>5200</v>
      </c>
    </row>
    <row r="18" spans="1:14" x14ac:dyDescent="0.25">
      <c r="A18">
        <v>2</v>
      </c>
      <c r="B18" t="s">
        <v>265</v>
      </c>
      <c r="C18">
        <v>8</v>
      </c>
      <c r="J18">
        <v>4</v>
      </c>
      <c r="K18">
        <v>2299</v>
      </c>
      <c r="L18">
        <f t="shared" si="0"/>
        <v>9196</v>
      </c>
      <c r="M18">
        <v>428</v>
      </c>
      <c r="N18">
        <f t="shared" si="1"/>
        <v>1712</v>
      </c>
    </row>
    <row r="19" spans="1:14" x14ac:dyDescent="0.25">
      <c r="A19">
        <v>3</v>
      </c>
      <c r="B19" t="s">
        <v>263</v>
      </c>
      <c r="C19">
        <v>8</v>
      </c>
      <c r="J19">
        <v>10</v>
      </c>
      <c r="K19">
        <v>2699</v>
      </c>
      <c r="L19">
        <f t="shared" si="0"/>
        <v>26990</v>
      </c>
      <c r="M19">
        <v>372</v>
      </c>
      <c r="N19">
        <f t="shared" si="1"/>
        <v>3720</v>
      </c>
    </row>
    <row r="20" spans="1:14" x14ac:dyDescent="0.25">
      <c r="A20">
        <v>18</v>
      </c>
      <c r="B20" t="s">
        <v>267</v>
      </c>
      <c r="C20">
        <v>7</v>
      </c>
      <c r="J20">
        <v>100</v>
      </c>
      <c r="K20">
        <v>539</v>
      </c>
      <c r="L20">
        <f t="shared" si="0"/>
        <v>53900</v>
      </c>
      <c r="M20">
        <v>300</v>
      </c>
      <c r="N20">
        <f t="shared" si="1"/>
        <v>30000</v>
      </c>
    </row>
    <row r="21" spans="1:14" x14ac:dyDescent="0.25">
      <c r="A21">
        <v>4</v>
      </c>
      <c r="B21" t="s">
        <v>265</v>
      </c>
      <c r="C21">
        <v>7</v>
      </c>
      <c r="I21" t="s">
        <v>287</v>
      </c>
      <c r="J21" s="11">
        <v>300</v>
      </c>
      <c r="K21" s="11">
        <v>329</v>
      </c>
      <c r="L21" s="11">
        <f t="shared" si="0"/>
        <v>98700</v>
      </c>
      <c r="M21" s="11">
        <v>80</v>
      </c>
      <c r="N21" s="11">
        <f t="shared" si="1"/>
        <v>24000</v>
      </c>
    </row>
    <row r="22" spans="1:14" x14ac:dyDescent="0.25">
      <c r="A22">
        <v>48</v>
      </c>
      <c r="B22" t="s">
        <v>268</v>
      </c>
      <c r="C22" t="s">
        <v>270</v>
      </c>
      <c r="J22" s="11">
        <v>250</v>
      </c>
      <c r="K22" s="11">
        <v>149</v>
      </c>
      <c r="L22" s="11">
        <f t="shared" si="0"/>
        <v>37250</v>
      </c>
      <c r="M22" s="11">
        <v>20</v>
      </c>
      <c r="N22" s="11">
        <f t="shared" si="1"/>
        <v>5000</v>
      </c>
    </row>
    <row r="23" spans="1:14" x14ac:dyDescent="0.25">
      <c r="A23">
        <v>2</v>
      </c>
      <c r="B23" t="s">
        <v>160</v>
      </c>
      <c r="C23">
        <v>9</v>
      </c>
      <c r="J23" s="11">
        <v>10</v>
      </c>
      <c r="K23" s="11">
        <v>755</v>
      </c>
      <c r="L23" s="11">
        <f t="shared" si="0"/>
        <v>7550</v>
      </c>
      <c r="M23" s="11">
        <v>1000</v>
      </c>
      <c r="N23" s="11">
        <f t="shared" si="1"/>
        <v>10000</v>
      </c>
    </row>
    <row r="24" spans="1:14" x14ac:dyDescent="0.25">
      <c r="A24">
        <v>2</v>
      </c>
      <c r="B24" t="s">
        <v>264</v>
      </c>
      <c r="C24">
        <v>9</v>
      </c>
    </row>
    <row r="25" spans="1:14" x14ac:dyDescent="0.25">
      <c r="A25">
        <v>2</v>
      </c>
      <c r="B25" t="s">
        <v>264</v>
      </c>
      <c r="C25">
        <v>10</v>
      </c>
    </row>
    <row r="26" spans="1:14" x14ac:dyDescent="0.25">
      <c r="A26">
        <v>1</v>
      </c>
      <c r="B26" t="s">
        <v>160</v>
      </c>
      <c r="C26">
        <v>10</v>
      </c>
    </row>
    <row r="27" spans="1:14" x14ac:dyDescent="0.25">
      <c r="A27">
        <v>1</v>
      </c>
      <c r="B27" t="s">
        <v>161</v>
      </c>
      <c r="C27">
        <v>10</v>
      </c>
    </row>
    <row r="28" spans="1:14" x14ac:dyDescent="0.25">
      <c r="A28">
        <v>5</v>
      </c>
      <c r="B28" t="s">
        <v>161</v>
      </c>
      <c r="C28">
        <v>11</v>
      </c>
    </row>
    <row r="29" spans="1:14" x14ac:dyDescent="0.25">
      <c r="A29">
        <v>4</v>
      </c>
      <c r="B29" t="s">
        <v>265</v>
      </c>
      <c r="C29">
        <v>11</v>
      </c>
    </row>
    <row r="30" spans="1:14" x14ac:dyDescent="0.25">
      <c r="A30">
        <v>5</v>
      </c>
      <c r="B30" t="s">
        <v>225</v>
      </c>
      <c r="C30">
        <v>11</v>
      </c>
    </row>
    <row r="31" spans="1:14" x14ac:dyDescent="0.25">
      <c r="A31">
        <v>1</v>
      </c>
      <c r="B31" t="s">
        <v>263</v>
      </c>
      <c r="C31">
        <v>11</v>
      </c>
    </row>
    <row r="32" spans="1:14" x14ac:dyDescent="0.25">
      <c r="A32">
        <v>2</v>
      </c>
      <c r="B32" t="s">
        <v>170</v>
      </c>
      <c r="C32">
        <v>11</v>
      </c>
    </row>
    <row r="33" spans="1:3" x14ac:dyDescent="0.25">
      <c r="A33">
        <v>1</v>
      </c>
      <c r="B33" t="s">
        <v>269</v>
      </c>
      <c r="C33">
        <v>11</v>
      </c>
    </row>
    <row r="34" spans="1:3" x14ac:dyDescent="0.25">
      <c r="A34">
        <v>2</v>
      </c>
      <c r="B34" t="s">
        <v>161</v>
      </c>
      <c r="C34">
        <v>12</v>
      </c>
    </row>
    <row r="35" spans="1:3" x14ac:dyDescent="0.25">
      <c r="A35">
        <v>1</v>
      </c>
      <c r="B35" t="s">
        <v>265</v>
      </c>
      <c r="C35">
        <v>13</v>
      </c>
    </row>
    <row r="36" spans="1:3" x14ac:dyDescent="0.25">
      <c r="A36">
        <v>2</v>
      </c>
      <c r="B36" t="s">
        <v>161</v>
      </c>
      <c r="C36">
        <v>13</v>
      </c>
    </row>
    <row r="37" spans="1:3" x14ac:dyDescent="0.25">
      <c r="A37">
        <v>5</v>
      </c>
      <c r="B37" t="s">
        <v>268</v>
      </c>
      <c r="C37">
        <v>13</v>
      </c>
    </row>
    <row r="38" spans="1:3" x14ac:dyDescent="0.25">
      <c r="A38">
        <v>5</v>
      </c>
      <c r="B38" t="s">
        <v>161</v>
      </c>
      <c r="C38">
        <v>14</v>
      </c>
    </row>
    <row r="39" spans="1:3" x14ac:dyDescent="0.25">
      <c r="B39" t="s">
        <v>271</v>
      </c>
      <c r="C39">
        <v>15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B4A41E-00E7-42BD-91C7-161F6EC4D8C7}">
  <dimension ref="A1:Q22"/>
  <sheetViews>
    <sheetView zoomScale="108" workbookViewId="0">
      <selection activeCell="J22" sqref="J22"/>
    </sheetView>
  </sheetViews>
  <sheetFormatPr defaultRowHeight="15" x14ac:dyDescent="0.25"/>
  <cols>
    <col min="1" max="1" width="10.7109375" bestFit="1" customWidth="1"/>
    <col min="3" max="3" width="26.7109375" bestFit="1" customWidth="1"/>
    <col min="4" max="4" width="22.7109375" bestFit="1" customWidth="1"/>
    <col min="5" max="5" width="9" bestFit="1" customWidth="1"/>
    <col min="6" max="6" width="11" bestFit="1" customWidth="1"/>
    <col min="7" max="7" width="12.7109375" bestFit="1" customWidth="1"/>
    <col min="8" max="8" width="13.7109375" bestFit="1" customWidth="1"/>
    <col min="10" max="10" width="10.28515625" bestFit="1" customWidth="1"/>
    <col min="11" max="11" width="0" hidden="1" customWidth="1"/>
    <col min="12" max="12" width="10" hidden="1" customWidth="1"/>
    <col min="13" max="17" width="0" hidden="1" customWidth="1"/>
  </cols>
  <sheetData>
    <row r="1" spans="1:17" x14ac:dyDescent="0.25">
      <c r="A1" s="164" t="s">
        <v>299</v>
      </c>
      <c r="B1" s="164"/>
      <c r="C1" s="164"/>
      <c r="D1" s="164"/>
      <c r="E1" s="164"/>
      <c r="F1" s="164"/>
      <c r="G1" s="164"/>
      <c r="H1" s="164"/>
      <c r="I1" s="2"/>
      <c r="J1" s="2"/>
    </row>
    <row r="2" spans="1:17" x14ac:dyDescent="0.25">
      <c r="A2" s="44" t="s">
        <v>65</v>
      </c>
      <c r="B2" s="4" t="s">
        <v>0</v>
      </c>
      <c r="C2" s="5" t="s">
        <v>252</v>
      </c>
      <c r="D2" s="4" t="s">
        <v>2</v>
      </c>
      <c r="E2" s="9" t="s">
        <v>3</v>
      </c>
      <c r="F2" s="9" t="s">
        <v>4</v>
      </c>
      <c r="G2" s="4" t="s">
        <v>5</v>
      </c>
      <c r="H2" s="4" t="s">
        <v>293</v>
      </c>
      <c r="I2" s="4" t="s">
        <v>303</v>
      </c>
      <c r="J2" s="4" t="s">
        <v>304</v>
      </c>
      <c r="K2" s="48" t="s">
        <v>311</v>
      </c>
      <c r="L2" s="48" t="s">
        <v>312</v>
      </c>
      <c r="M2" s="48" t="s">
        <v>313</v>
      </c>
    </row>
    <row r="3" spans="1:17" x14ac:dyDescent="0.25">
      <c r="A3" s="46">
        <v>45785</v>
      </c>
      <c r="B3" s="4">
        <v>5</v>
      </c>
      <c r="C3" s="5" t="s">
        <v>300</v>
      </c>
      <c r="D3" s="4" t="s">
        <v>302</v>
      </c>
      <c r="E3" s="9">
        <v>755</v>
      </c>
      <c r="F3" s="43">
        <f t="shared" ref="F3:F5" si="0">(E3*B3)</f>
        <v>3775</v>
      </c>
      <c r="G3" s="2" t="s">
        <v>292</v>
      </c>
      <c r="H3" s="5">
        <v>45789</v>
      </c>
      <c r="I3" s="3">
        <f t="shared" ref="I3:I5" si="1">(E3*13.04%)</f>
        <v>98.451999999999984</v>
      </c>
      <c r="J3" s="3">
        <f t="shared" ref="J3:J5" si="2">E3-I3</f>
        <v>656.548</v>
      </c>
      <c r="K3" s="47">
        <f>J3*2.13</f>
        <v>1398.44724</v>
      </c>
      <c r="L3" s="47">
        <f>(K3*B3)</f>
        <v>6992.2361999999994</v>
      </c>
      <c r="M3">
        <v>2480</v>
      </c>
      <c r="N3">
        <f>(M3*B3)</f>
        <v>12400</v>
      </c>
      <c r="P3">
        <v>10459</v>
      </c>
      <c r="Q3">
        <f>(P3*2.13)</f>
        <v>22277.67</v>
      </c>
    </row>
    <row r="4" spans="1:17" x14ac:dyDescent="0.25">
      <c r="A4" s="46">
        <v>45785</v>
      </c>
      <c r="B4" s="4">
        <v>5</v>
      </c>
      <c r="C4" s="5" t="s">
        <v>196</v>
      </c>
      <c r="D4" s="2" t="s">
        <v>291</v>
      </c>
      <c r="E4" s="9">
        <v>965</v>
      </c>
      <c r="F4" s="43">
        <f t="shared" si="0"/>
        <v>4825</v>
      </c>
      <c r="G4" s="2" t="s">
        <v>292</v>
      </c>
      <c r="H4" s="5">
        <v>45789</v>
      </c>
      <c r="I4" s="3">
        <f t="shared" si="1"/>
        <v>125.83599999999998</v>
      </c>
      <c r="J4" s="3">
        <f t="shared" si="2"/>
        <v>839.16399999999999</v>
      </c>
      <c r="K4" s="47">
        <f t="shared" ref="K4:K19" si="3">J4*2.13</f>
        <v>1787.41932</v>
      </c>
      <c r="L4" s="47">
        <f t="shared" ref="L4:L16" si="4">(K4*B4)</f>
        <v>8937.0966000000008</v>
      </c>
      <c r="M4">
        <v>1850</v>
      </c>
      <c r="N4">
        <f t="shared" ref="N4:N17" si="5">(M4*B4)</f>
        <v>9250</v>
      </c>
    </row>
    <row r="5" spans="1:17" x14ac:dyDescent="0.25">
      <c r="A5" s="46">
        <v>45785</v>
      </c>
      <c r="B5" s="4">
        <v>5</v>
      </c>
      <c r="C5" s="5" t="s">
        <v>301</v>
      </c>
      <c r="D5" s="2" t="s">
        <v>291</v>
      </c>
      <c r="E5" s="9">
        <v>1205</v>
      </c>
      <c r="F5" s="43">
        <f t="shared" si="0"/>
        <v>6025</v>
      </c>
      <c r="G5" s="2" t="s">
        <v>292</v>
      </c>
      <c r="H5" s="5">
        <v>45789</v>
      </c>
      <c r="I5" s="3">
        <f t="shared" si="1"/>
        <v>157.13199999999998</v>
      </c>
      <c r="J5" s="3">
        <f t="shared" si="2"/>
        <v>1047.8679999999999</v>
      </c>
      <c r="K5" s="47">
        <f t="shared" si="3"/>
        <v>2231.9588399999998</v>
      </c>
      <c r="L5" s="47">
        <f t="shared" si="4"/>
        <v>11159.794199999998</v>
      </c>
      <c r="M5">
        <v>2450</v>
      </c>
      <c r="N5">
        <f t="shared" si="5"/>
        <v>12250</v>
      </c>
    </row>
    <row r="6" spans="1:17" x14ac:dyDescent="0.25">
      <c r="A6" s="8">
        <v>45784</v>
      </c>
      <c r="B6" s="45">
        <v>147</v>
      </c>
      <c r="C6" s="2" t="s">
        <v>295</v>
      </c>
      <c r="D6" s="2" t="s">
        <v>291</v>
      </c>
      <c r="E6" s="3">
        <v>520</v>
      </c>
      <c r="F6" s="43">
        <f>(E6*B6)</f>
        <v>76440</v>
      </c>
      <c r="G6" s="2" t="s">
        <v>292</v>
      </c>
      <c r="H6" s="5">
        <v>45789</v>
      </c>
      <c r="I6" s="3">
        <f>(E6*13.04%)</f>
        <v>67.807999999999993</v>
      </c>
      <c r="J6" s="3">
        <f>E6-I6</f>
        <v>452.19200000000001</v>
      </c>
      <c r="K6" s="47">
        <f t="shared" si="3"/>
        <v>963.16895999999997</v>
      </c>
      <c r="L6" s="47">
        <f t="shared" si="4"/>
        <v>141585.83711999998</v>
      </c>
      <c r="M6">
        <v>1145</v>
      </c>
      <c r="N6">
        <f t="shared" si="5"/>
        <v>168315</v>
      </c>
    </row>
    <row r="7" spans="1:17" x14ac:dyDescent="0.25">
      <c r="A7" s="8">
        <v>45784</v>
      </c>
      <c r="B7" s="45">
        <v>500</v>
      </c>
      <c r="C7" s="2" t="s">
        <v>294</v>
      </c>
      <c r="D7" s="2" t="s">
        <v>291</v>
      </c>
      <c r="E7" s="3">
        <v>28.99</v>
      </c>
      <c r="F7" s="43">
        <f>(E7*B7)</f>
        <v>14495</v>
      </c>
      <c r="G7" s="2" t="s">
        <v>292</v>
      </c>
      <c r="H7" s="5">
        <v>45789</v>
      </c>
      <c r="I7" s="3">
        <f t="shared" ref="I7:I19" si="6">(E7*13.04%)</f>
        <v>3.7802959999999994</v>
      </c>
      <c r="J7" s="3">
        <f t="shared" ref="J7:J19" si="7">E7-I7</f>
        <v>25.209703999999999</v>
      </c>
      <c r="K7" s="47">
        <f t="shared" si="3"/>
        <v>53.696669519999993</v>
      </c>
      <c r="L7" s="47">
        <f t="shared" si="4"/>
        <v>26848.334759999998</v>
      </c>
      <c r="M7">
        <v>68</v>
      </c>
      <c r="N7">
        <f t="shared" si="5"/>
        <v>34000</v>
      </c>
    </row>
    <row r="8" spans="1:17" x14ac:dyDescent="0.25">
      <c r="A8" s="8">
        <v>45784</v>
      </c>
      <c r="B8" s="45">
        <v>200</v>
      </c>
      <c r="C8" s="2" t="s">
        <v>162</v>
      </c>
      <c r="D8" s="2" t="s">
        <v>291</v>
      </c>
      <c r="E8" s="3">
        <v>328.99</v>
      </c>
      <c r="F8" s="43">
        <f t="shared" ref="F8:F22" si="8">(E8*B8)</f>
        <v>65798</v>
      </c>
      <c r="G8" s="2" t="s">
        <v>292</v>
      </c>
      <c r="H8" s="5">
        <v>45789</v>
      </c>
      <c r="I8" s="3">
        <f t="shared" si="6"/>
        <v>42.900295999999997</v>
      </c>
      <c r="J8" s="3">
        <f t="shared" si="7"/>
        <v>286.08970399999998</v>
      </c>
      <c r="K8" s="47">
        <f t="shared" si="3"/>
        <v>609.37106951999988</v>
      </c>
      <c r="L8" s="47">
        <f t="shared" si="4"/>
        <v>121874.21390399997</v>
      </c>
      <c r="M8">
        <v>705</v>
      </c>
      <c r="N8">
        <f t="shared" si="5"/>
        <v>141000</v>
      </c>
    </row>
    <row r="9" spans="1:17" x14ac:dyDescent="0.25">
      <c r="A9" s="8">
        <v>45784</v>
      </c>
      <c r="B9" s="45">
        <v>10</v>
      </c>
      <c r="C9" s="2" t="s">
        <v>297</v>
      </c>
      <c r="D9" s="2" t="s">
        <v>291</v>
      </c>
      <c r="E9" s="3">
        <v>759</v>
      </c>
      <c r="F9" s="43">
        <f t="shared" si="8"/>
        <v>7590</v>
      </c>
      <c r="G9" s="2" t="s">
        <v>292</v>
      </c>
      <c r="H9" s="5">
        <v>45789</v>
      </c>
      <c r="I9" s="3">
        <f t="shared" si="6"/>
        <v>98.97359999999999</v>
      </c>
      <c r="J9" s="3">
        <f t="shared" si="7"/>
        <v>660.02639999999997</v>
      </c>
      <c r="K9" s="47">
        <f t="shared" si="3"/>
        <v>1405.8562319999999</v>
      </c>
      <c r="L9" s="47">
        <f t="shared" si="4"/>
        <v>14058.562319999999</v>
      </c>
      <c r="M9">
        <v>1700</v>
      </c>
      <c r="N9">
        <f t="shared" si="5"/>
        <v>17000</v>
      </c>
    </row>
    <row r="10" spans="1:17" x14ac:dyDescent="0.25">
      <c r="A10" s="8">
        <v>45784</v>
      </c>
      <c r="B10" s="45">
        <v>10</v>
      </c>
      <c r="C10" s="2" t="s">
        <v>297</v>
      </c>
      <c r="D10" s="2" t="s">
        <v>291</v>
      </c>
      <c r="E10" s="3">
        <v>759</v>
      </c>
      <c r="F10" s="43">
        <f t="shared" si="8"/>
        <v>7590</v>
      </c>
      <c r="G10" s="2" t="s">
        <v>292</v>
      </c>
      <c r="H10" s="5">
        <v>45789</v>
      </c>
      <c r="I10" s="3">
        <f t="shared" si="6"/>
        <v>98.97359999999999</v>
      </c>
      <c r="J10" s="3">
        <f t="shared" si="7"/>
        <v>660.02639999999997</v>
      </c>
      <c r="K10" s="47">
        <f t="shared" si="3"/>
        <v>1405.8562319999999</v>
      </c>
      <c r="L10" s="47">
        <f t="shared" si="4"/>
        <v>14058.562319999999</v>
      </c>
      <c r="M10">
        <v>1700</v>
      </c>
      <c r="N10">
        <f t="shared" si="5"/>
        <v>17000</v>
      </c>
    </row>
    <row r="11" spans="1:17" x14ac:dyDescent="0.25">
      <c r="A11" s="8">
        <v>45784</v>
      </c>
      <c r="B11" s="45">
        <v>2</v>
      </c>
      <c r="C11" s="2" t="s">
        <v>297</v>
      </c>
      <c r="D11" s="2" t="s">
        <v>291</v>
      </c>
      <c r="E11" s="3">
        <v>759</v>
      </c>
      <c r="F11" s="43">
        <f t="shared" si="8"/>
        <v>1518</v>
      </c>
      <c r="G11" s="2" t="s">
        <v>292</v>
      </c>
      <c r="H11" s="5">
        <v>45789</v>
      </c>
      <c r="I11" s="3">
        <f t="shared" si="6"/>
        <v>98.97359999999999</v>
      </c>
      <c r="J11" s="3">
        <f t="shared" si="7"/>
        <v>660.02639999999997</v>
      </c>
      <c r="K11" s="47">
        <f t="shared" si="3"/>
        <v>1405.8562319999999</v>
      </c>
      <c r="L11" s="47">
        <f t="shared" si="4"/>
        <v>2811.7124639999997</v>
      </c>
      <c r="M11">
        <v>1700</v>
      </c>
      <c r="N11">
        <f t="shared" si="5"/>
        <v>3400</v>
      </c>
    </row>
    <row r="12" spans="1:17" x14ac:dyDescent="0.25">
      <c r="A12" s="8">
        <v>45784</v>
      </c>
      <c r="B12" s="45">
        <v>2</v>
      </c>
      <c r="C12" s="2" t="s">
        <v>297</v>
      </c>
      <c r="D12" s="2" t="s">
        <v>291</v>
      </c>
      <c r="E12" s="3">
        <v>759</v>
      </c>
      <c r="F12" s="43">
        <f t="shared" si="8"/>
        <v>1518</v>
      </c>
      <c r="G12" s="2" t="s">
        <v>292</v>
      </c>
      <c r="H12" s="5">
        <v>45789</v>
      </c>
      <c r="I12" s="3">
        <f t="shared" si="6"/>
        <v>98.97359999999999</v>
      </c>
      <c r="J12" s="3">
        <f t="shared" si="7"/>
        <v>660.02639999999997</v>
      </c>
      <c r="K12" s="47">
        <f t="shared" si="3"/>
        <v>1405.8562319999999</v>
      </c>
      <c r="L12" s="47">
        <f t="shared" si="4"/>
        <v>2811.7124639999997</v>
      </c>
      <c r="M12">
        <v>1700</v>
      </c>
      <c r="N12">
        <f t="shared" si="5"/>
        <v>3400</v>
      </c>
    </row>
    <row r="13" spans="1:17" x14ac:dyDescent="0.25">
      <c r="A13" s="8">
        <v>45784</v>
      </c>
      <c r="B13" s="45">
        <v>10</v>
      </c>
      <c r="C13" s="2" t="s">
        <v>297</v>
      </c>
      <c r="D13" s="2" t="s">
        <v>291</v>
      </c>
      <c r="E13" s="3">
        <v>759</v>
      </c>
      <c r="F13" s="43">
        <f t="shared" si="8"/>
        <v>7590</v>
      </c>
      <c r="G13" s="2" t="s">
        <v>292</v>
      </c>
      <c r="H13" s="5">
        <v>45789</v>
      </c>
      <c r="I13" s="3">
        <f t="shared" si="6"/>
        <v>98.97359999999999</v>
      </c>
      <c r="J13" s="3">
        <f t="shared" si="7"/>
        <v>660.02639999999997</v>
      </c>
      <c r="K13" s="47">
        <f t="shared" si="3"/>
        <v>1405.8562319999999</v>
      </c>
      <c r="L13" s="47">
        <f t="shared" si="4"/>
        <v>14058.562319999999</v>
      </c>
      <c r="M13">
        <v>1700</v>
      </c>
      <c r="N13">
        <f t="shared" si="5"/>
        <v>17000</v>
      </c>
    </row>
    <row r="14" spans="1:17" x14ac:dyDescent="0.25">
      <c r="A14" s="8">
        <v>45784</v>
      </c>
      <c r="B14" s="45">
        <v>250</v>
      </c>
      <c r="C14" s="2" t="s">
        <v>298</v>
      </c>
      <c r="D14" s="2" t="s">
        <v>291</v>
      </c>
      <c r="E14" s="3">
        <v>149</v>
      </c>
      <c r="F14" s="43">
        <f t="shared" si="8"/>
        <v>37250</v>
      </c>
      <c r="G14" s="2" t="s">
        <v>292</v>
      </c>
      <c r="H14" s="5">
        <v>45789</v>
      </c>
      <c r="I14" s="3">
        <f t="shared" si="6"/>
        <v>19.429599999999997</v>
      </c>
      <c r="J14" s="3">
        <f t="shared" si="7"/>
        <v>129.57040000000001</v>
      </c>
      <c r="K14" s="47">
        <f t="shared" si="3"/>
        <v>275.98495200000002</v>
      </c>
      <c r="L14" s="47">
        <f t="shared" si="4"/>
        <v>68996.238000000012</v>
      </c>
      <c r="M14">
        <v>305</v>
      </c>
      <c r="N14">
        <f t="shared" si="5"/>
        <v>76250</v>
      </c>
    </row>
    <row r="15" spans="1:17" x14ac:dyDescent="0.25">
      <c r="A15" s="8">
        <v>45784</v>
      </c>
      <c r="B15" s="45">
        <v>200</v>
      </c>
      <c r="C15" s="2" t="s">
        <v>294</v>
      </c>
      <c r="D15" s="2" t="s">
        <v>291</v>
      </c>
      <c r="E15" s="3">
        <v>28.99</v>
      </c>
      <c r="F15" s="43">
        <f t="shared" si="8"/>
        <v>5798</v>
      </c>
      <c r="G15" s="2" t="s">
        <v>292</v>
      </c>
      <c r="H15" s="5">
        <v>45789</v>
      </c>
      <c r="I15" s="3">
        <f t="shared" si="6"/>
        <v>3.7802959999999994</v>
      </c>
      <c r="J15" s="3">
        <f t="shared" si="7"/>
        <v>25.209703999999999</v>
      </c>
      <c r="K15" s="47">
        <f t="shared" si="3"/>
        <v>53.696669519999993</v>
      </c>
      <c r="L15" s="47">
        <f t="shared" si="4"/>
        <v>10739.333903999999</v>
      </c>
      <c r="M15">
        <v>68</v>
      </c>
      <c r="N15">
        <f t="shared" si="5"/>
        <v>13600</v>
      </c>
    </row>
    <row r="16" spans="1:17" x14ac:dyDescent="0.25">
      <c r="A16" s="8">
        <v>45784</v>
      </c>
      <c r="B16" s="45">
        <v>2</v>
      </c>
      <c r="C16" s="2" t="s">
        <v>296</v>
      </c>
      <c r="D16" s="2" t="s">
        <v>291</v>
      </c>
      <c r="E16" s="3">
        <v>89</v>
      </c>
      <c r="F16" s="43">
        <f t="shared" si="8"/>
        <v>178</v>
      </c>
      <c r="G16" s="2" t="s">
        <v>292</v>
      </c>
      <c r="H16" s="5">
        <v>45789</v>
      </c>
      <c r="I16" s="3">
        <f t="shared" si="6"/>
        <v>11.605599999999999</v>
      </c>
      <c r="J16" s="3">
        <f t="shared" si="7"/>
        <v>77.394400000000005</v>
      </c>
      <c r="K16" s="47">
        <f t="shared" si="3"/>
        <v>164.85007200000001</v>
      </c>
      <c r="L16" s="47">
        <f t="shared" si="4"/>
        <v>329.70014400000002</v>
      </c>
      <c r="N16">
        <f t="shared" si="5"/>
        <v>0</v>
      </c>
    </row>
    <row r="17" spans="1:15" x14ac:dyDescent="0.25">
      <c r="A17" s="8">
        <v>45790</v>
      </c>
      <c r="B17" s="2">
        <v>300</v>
      </c>
      <c r="C17" s="2" t="s">
        <v>295</v>
      </c>
      <c r="D17" s="2" t="s">
        <v>291</v>
      </c>
      <c r="E17" s="2">
        <v>492</v>
      </c>
      <c r="F17" s="3">
        <f t="shared" si="8"/>
        <v>147600</v>
      </c>
      <c r="G17" s="2" t="s">
        <v>292</v>
      </c>
      <c r="H17" s="2"/>
      <c r="I17" s="2">
        <f t="shared" si="6"/>
        <v>64.15679999999999</v>
      </c>
      <c r="J17" s="2">
        <f t="shared" si="7"/>
        <v>427.84320000000002</v>
      </c>
      <c r="K17" s="47">
        <f t="shared" si="3"/>
        <v>911.306016</v>
      </c>
      <c r="L17">
        <v>22277.67</v>
      </c>
      <c r="N17">
        <f t="shared" si="5"/>
        <v>0</v>
      </c>
    </row>
    <row r="18" spans="1:15" x14ac:dyDescent="0.25">
      <c r="A18" s="8">
        <v>45793</v>
      </c>
      <c r="B18" s="2">
        <v>200</v>
      </c>
      <c r="C18" s="2" t="s">
        <v>295</v>
      </c>
      <c r="D18" s="2" t="s">
        <v>291</v>
      </c>
      <c r="E18" s="2">
        <v>492</v>
      </c>
      <c r="F18" s="2">
        <f t="shared" si="8"/>
        <v>98400</v>
      </c>
      <c r="G18" s="2" t="s">
        <v>292</v>
      </c>
      <c r="H18" s="2"/>
      <c r="I18" s="3">
        <f t="shared" si="6"/>
        <v>64.15679999999999</v>
      </c>
      <c r="J18" s="3">
        <f t="shared" si="7"/>
        <v>427.84320000000002</v>
      </c>
      <c r="K18" s="47">
        <f t="shared" si="3"/>
        <v>911.306016</v>
      </c>
      <c r="L18" s="47">
        <f>SUM(L3:L17)</f>
        <v>467539.56672</v>
      </c>
      <c r="N18">
        <f>SUM(N3:N17)</f>
        <v>524865</v>
      </c>
      <c r="O18" s="47">
        <f>(N18-L18)</f>
        <v>57325.433279999997</v>
      </c>
    </row>
    <row r="19" spans="1:15" x14ac:dyDescent="0.25">
      <c r="A19" s="8">
        <v>45793</v>
      </c>
      <c r="B19" s="45">
        <v>20</v>
      </c>
      <c r="C19" s="2" t="s">
        <v>323</v>
      </c>
      <c r="D19" s="2" t="s">
        <v>302</v>
      </c>
      <c r="E19" s="3">
        <v>755</v>
      </c>
      <c r="F19" s="43">
        <f t="shared" si="8"/>
        <v>15100</v>
      </c>
      <c r="G19" s="2" t="s">
        <v>292</v>
      </c>
      <c r="H19" s="2"/>
      <c r="I19" s="3">
        <f t="shared" si="6"/>
        <v>98.451999999999984</v>
      </c>
      <c r="J19" s="3">
        <f t="shared" si="7"/>
        <v>656.548</v>
      </c>
      <c r="K19" s="47">
        <f t="shared" si="3"/>
        <v>1398.44724</v>
      </c>
      <c r="O19">
        <v>55000</v>
      </c>
    </row>
    <row r="20" spans="1:15" x14ac:dyDescent="0.25">
      <c r="F20" s="43">
        <f t="shared" si="8"/>
        <v>0</v>
      </c>
      <c r="O20">
        <v>120000</v>
      </c>
    </row>
    <row r="21" spans="1:15" x14ac:dyDescent="0.25">
      <c r="A21" s="6">
        <v>45831</v>
      </c>
      <c r="B21">
        <v>4</v>
      </c>
      <c r="C21" s="2" t="s">
        <v>323</v>
      </c>
      <c r="D21" t="s">
        <v>363</v>
      </c>
      <c r="E21" s="51">
        <v>775</v>
      </c>
      <c r="F21" s="43">
        <f t="shared" si="8"/>
        <v>3100</v>
      </c>
      <c r="G21" s="2" t="s">
        <v>292</v>
      </c>
      <c r="H21" t="s">
        <v>348</v>
      </c>
    </row>
    <row r="22" spans="1:15" x14ac:dyDescent="0.25">
      <c r="A22" s="6">
        <v>45836</v>
      </c>
      <c r="B22">
        <v>4</v>
      </c>
      <c r="C22" s="2" t="s">
        <v>323</v>
      </c>
      <c r="D22" t="s">
        <v>363</v>
      </c>
      <c r="E22" s="51">
        <v>775</v>
      </c>
      <c r="F22" s="43">
        <f t="shared" si="8"/>
        <v>3100</v>
      </c>
      <c r="G22" s="2" t="s">
        <v>292</v>
      </c>
      <c r="H22" t="s">
        <v>348</v>
      </c>
    </row>
  </sheetData>
  <mergeCells count="1">
    <mergeCell ref="A1:H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6CB92-836B-4A91-B149-F8D8E3EC3F6F}">
  <dimension ref="A1:J44"/>
  <sheetViews>
    <sheetView topLeftCell="A20" workbookViewId="0">
      <selection activeCell="A43" sqref="A43:G43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7109375" bestFit="1" customWidth="1"/>
    <col min="5" max="5" width="9" style="60" bestFit="1" customWidth="1"/>
    <col min="6" max="6" width="11" style="60" bestFit="1" customWidth="1"/>
    <col min="7" max="7" width="23.85546875" bestFit="1" customWidth="1"/>
    <col min="8" max="8" width="22.28515625" bestFit="1" customWidth="1"/>
    <col min="10" max="10" width="10.28515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293</v>
      </c>
      <c r="I1" s="4" t="s">
        <v>303</v>
      </c>
      <c r="J1" s="61" t="s">
        <v>304</v>
      </c>
    </row>
    <row r="2" spans="1:10" x14ac:dyDescent="0.25">
      <c r="A2" s="8">
        <v>45839</v>
      </c>
      <c r="B2" s="2">
        <v>5</v>
      </c>
      <c r="C2" s="2" t="s">
        <v>372</v>
      </c>
      <c r="D2" s="2" t="s">
        <v>373</v>
      </c>
      <c r="E2" s="3">
        <v>1380</v>
      </c>
      <c r="F2" s="3">
        <f>B2*E2</f>
        <v>6900</v>
      </c>
      <c r="G2" s="2" t="s">
        <v>8</v>
      </c>
      <c r="H2" s="2"/>
      <c r="I2" s="2"/>
    </row>
    <row r="3" spans="1:10" x14ac:dyDescent="0.25">
      <c r="A3" s="8">
        <v>45839</v>
      </c>
      <c r="B3" s="2">
        <v>1</v>
      </c>
      <c r="C3" s="2" t="s">
        <v>375</v>
      </c>
      <c r="D3" s="2" t="s">
        <v>373</v>
      </c>
      <c r="E3" s="3">
        <v>1295</v>
      </c>
      <c r="F3" s="3">
        <f t="shared" ref="F3:F8" si="0">B3*E3</f>
        <v>1295</v>
      </c>
      <c r="G3" s="2" t="s">
        <v>8</v>
      </c>
      <c r="H3" s="2"/>
      <c r="I3" s="2"/>
    </row>
    <row r="4" spans="1:10" x14ac:dyDescent="0.25">
      <c r="A4" s="8">
        <v>45839</v>
      </c>
      <c r="B4" s="2">
        <v>1</v>
      </c>
      <c r="C4" s="2" t="s">
        <v>374</v>
      </c>
      <c r="D4" s="2" t="s">
        <v>373</v>
      </c>
      <c r="E4" s="3">
        <v>1375</v>
      </c>
      <c r="F4" s="3">
        <f t="shared" si="0"/>
        <v>1375</v>
      </c>
      <c r="G4" s="2" t="s">
        <v>8</v>
      </c>
      <c r="H4" s="2"/>
      <c r="I4" s="2"/>
    </row>
    <row r="5" spans="1:10" x14ac:dyDescent="0.25">
      <c r="A5" s="8">
        <v>45839</v>
      </c>
      <c r="B5" s="2">
        <v>1</v>
      </c>
      <c r="C5" s="2" t="s">
        <v>376</v>
      </c>
      <c r="D5" s="2" t="s">
        <v>373</v>
      </c>
      <c r="E5" s="3">
        <v>852</v>
      </c>
      <c r="F5" s="3">
        <f t="shared" si="0"/>
        <v>852</v>
      </c>
      <c r="G5" s="2" t="s">
        <v>8</v>
      </c>
      <c r="H5" s="2"/>
      <c r="I5" s="2"/>
    </row>
    <row r="6" spans="1:10" x14ac:dyDescent="0.25">
      <c r="A6" s="8">
        <v>45839</v>
      </c>
      <c r="B6" s="2">
        <v>4</v>
      </c>
      <c r="C6" s="2" t="s">
        <v>378</v>
      </c>
      <c r="D6" s="2" t="s">
        <v>379</v>
      </c>
      <c r="E6" s="3">
        <v>679</v>
      </c>
      <c r="F6" s="3">
        <f t="shared" si="0"/>
        <v>2716</v>
      </c>
      <c r="G6" s="2" t="s">
        <v>348</v>
      </c>
      <c r="H6" s="2"/>
      <c r="I6" s="2"/>
    </row>
    <row r="7" spans="1:10" x14ac:dyDescent="0.25">
      <c r="A7" s="8">
        <v>45840</v>
      </c>
      <c r="B7" s="2">
        <v>2</v>
      </c>
      <c r="C7" s="2" t="s">
        <v>410</v>
      </c>
      <c r="D7" s="2" t="s">
        <v>382</v>
      </c>
      <c r="E7" s="3">
        <v>1229</v>
      </c>
      <c r="F7" s="3">
        <f t="shared" si="0"/>
        <v>2458</v>
      </c>
      <c r="G7" s="2" t="s">
        <v>428</v>
      </c>
      <c r="H7" s="2"/>
      <c r="I7" s="2"/>
    </row>
    <row r="8" spans="1:10" x14ac:dyDescent="0.25">
      <c r="A8" s="8">
        <v>45840</v>
      </c>
      <c r="B8" s="2">
        <v>1</v>
      </c>
      <c r="C8" s="2" t="s">
        <v>376</v>
      </c>
      <c r="D8" s="2" t="s">
        <v>382</v>
      </c>
      <c r="E8" s="3">
        <v>852</v>
      </c>
      <c r="F8" s="3">
        <f t="shared" si="0"/>
        <v>852</v>
      </c>
      <c r="G8" s="2" t="s">
        <v>428</v>
      </c>
      <c r="H8" s="2"/>
      <c r="I8" s="2"/>
    </row>
    <row r="9" spans="1:10" x14ac:dyDescent="0.25">
      <c r="A9" s="8">
        <v>45839</v>
      </c>
      <c r="B9" s="2">
        <v>3</v>
      </c>
      <c r="C9" s="2" t="s">
        <v>378</v>
      </c>
      <c r="D9" s="2" t="s">
        <v>383</v>
      </c>
      <c r="E9" s="3">
        <v>765.71</v>
      </c>
      <c r="F9" s="3">
        <f>B9*E9</f>
        <v>2297.13</v>
      </c>
      <c r="G9" s="2" t="s">
        <v>428</v>
      </c>
      <c r="H9" s="2"/>
      <c r="I9" s="2"/>
    </row>
    <row r="10" spans="1:10" x14ac:dyDescent="0.25">
      <c r="A10" s="8">
        <v>45839</v>
      </c>
      <c r="B10" s="2">
        <v>1</v>
      </c>
      <c r="C10" s="2" t="s">
        <v>406</v>
      </c>
      <c r="D10" s="2" t="s">
        <v>383</v>
      </c>
      <c r="E10" s="3">
        <v>1345</v>
      </c>
      <c r="F10" s="3">
        <f>B10*E10</f>
        <v>1345</v>
      </c>
      <c r="G10" s="2" t="s">
        <v>428</v>
      </c>
      <c r="H10" s="2"/>
      <c r="I10" s="2"/>
    </row>
    <row r="11" spans="1:10" x14ac:dyDescent="0.25">
      <c r="A11" s="8">
        <v>45839</v>
      </c>
      <c r="B11" s="2">
        <v>3</v>
      </c>
      <c r="C11" s="2" t="s">
        <v>378</v>
      </c>
      <c r="D11" s="2" t="s">
        <v>383</v>
      </c>
      <c r="E11" s="3">
        <v>738</v>
      </c>
      <c r="F11" s="3">
        <f t="shared" ref="F11:F23" si="1">B11*E11</f>
        <v>2214</v>
      </c>
      <c r="G11" s="2" t="s">
        <v>428</v>
      </c>
      <c r="H11" s="2"/>
      <c r="I11" s="2"/>
    </row>
    <row r="12" spans="1:10" x14ac:dyDescent="0.25">
      <c r="A12" s="8">
        <v>45839</v>
      </c>
      <c r="B12" s="2">
        <v>1</v>
      </c>
      <c r="C12" s="2" t="s">
        <v>376</v>
      </c>
      <c r="D12" s="2" t="s">
        <v>383</v>
      </c>
      <c r="E12" s="3">
        <v>852</v>
      </c>
      <c r="F12" s="3">
        <f t="shared" si="1"/>
        <v>852</v>
      </c>
      <c r="G12" s="2" t="s">
        <v>428</v>
      </c>
      <c r="H12" s="2"/>
      <c r="I12" s="2"/>
    </row>
    <row r="13" spans="1:10" x14ac:dyDescent="0.25">
      <c r="A13" s="8">
        <v>45840</v>
      </c>
      <c r="B13" s="2">
        <v>1</v>
      </c>
      <c r="C13" s="2" t="s">
        <v>388</v>
      </c>
      <c r="D13" s="2" t="s">
        <v>403</v>
      </c>
      <c r="E13" s="3">
        <v>775</v>
      </c>
      <c r="F13" s="3">
        <f t="shared" si="1"/>
        <v>775</v>
      </c>
      <c r="G13" s="2" t="s">
        <v>428</v>
      </c>
      <c r="H13" s="2"/>
      <c r="I13" s="2"/>
    </row>
    <row r="14" spans="1:10" x14ac:dyDescent="0.25">
      <c r="A14" s="8">
        <v>45840</v>
      </c>
      <c r="B14" s="2">
        <v>1</v>
      </c>
      <c r="C14" s="2" t="s">
        <v>404</v>
      </c>
      <c r="D14" s="2" t="s">
        <v>403</v>
      </c>
      <c r="E14" s="3">
        <v>1295</v>
      </c>
      <c r="F14" s="3">
        <f t="shared" si="1"/>
        <v>1295</v>
      </c>
      <c r="G14" s="2" t="s">
        <v>428</v>
      </c>
      <c r="H14" s="2"/>
      <c r="I14" s="2"/>
    </row>
    <row r="15" spans="1:10" x14ac:dyDescent="0.25">
      <c r="A15" s="8">
        <v>45840</v>
      </c>
      <c r="B15" s="2">
        <v>1</v>
      </c>
      <c r="C15" s="2" t="s">
        <v>405</v>
      </c>
      <c r="D15" s="2" t="s">
        <v>403</v>
      </c>
      <c r="E15" s="3">
        <v>1375</v>
      </c>
      <c r="F15" s="3">
        <f t="shared" si="1"/>
        <v>1375</v>
      </c>
      <c r="G15" s="2" t="s">
        <v>428</v>
      </c>
      <c r="H15" s="2"/>
      <c r="I15" s="2"/>
    </row>
    <row r="16" spans="1:10" x14ac:dyDescent="0.25">
      <c r="A16" s="8">
        <v>45840</v>
      </c>
      <c r="B16" s="2">
        <v>1</v>
      </c>
      <c r="C16" s="2" t="s">
        <v>376</v>
      </c>
      <c r="D16" s="2" t="s">
        <v>403</v>
      </c>
      <c r="E16" s="3">
        <v>852</v>
      </c>
      <c r="F16" s="3">
        <f t="shared" si="1"/>
        <v>852</v>
      </c>
      <c r="G16" s="2" t="s">
        <v>428</v>
      </c>
      <c r="H16" s="2"/>
      <c r="I16" s="2"/>
    </row>
    <row r="17" spans="1:9" x14ac:dyDescent="0.25">
      <c r="A17" s="49">
        <v>45840</v>
      </c>
      <c r="B17" s="10">
        <v>1</v>
      </c>
      <c r="C17" s="10" t="s">
        <v>404</v>
      </c>
      <c r="D17" s="10" t="s">
        <v>385</v>
      </c>
      <c r="E17" s="50">
        <v>1228</v>
      </c>
      <c r="F17" s="50">
        <f t="shared" si="1"/>
        <v>1228</v>
      </c>
      <c r="G17" s="10" t="s">
        <v>435</v>
      </c>
      <c r="H17" s="2"/>
      <c r="I17" s="2"/>
    </row>
    <row r="18" spans="1:9" x14ac:dyDescent="0.25">
      <c r="A18" s="49">
        <v>45840</v>
      </c>
      <c r="B18" s="10">
        <v>1</v>
      </c>
      <c r="C18" s="10" t="s">
        <v>388</v>
      </c>
      <c r="D18" s="10" t="s">
        <v>385</v>
      </c>
      <c r="E18" s="50">
        <v>750</v>
      </c>
      <c r="F18" s="50">
        <f t="shared" si="1"/>
        <v>750</v>
      </c>
      <c r="G18" s="10" t="s">
        <v>435</v>
      </c>
      <c r="H18" s="2"/>
      <c r="I18" s="2"/>
    </row>
    <row r="19" spans="1:9" x14ac:dyDescent="0.25">
      <c r="A19" s="8">
        <v>45841</v>
      </c>
      <c r="B19" s="2">
        <v>4</v>
      </c>
      <c r="C19" s="2" t="s">
        <v>404</v>
      </c>
      <c r="D19" s="2" t="s">
        <v>387</v>
      </c>
      <c r="E19" s="3">
        <v>1197</v>
      </c>
      <c r="F19" s="3">
        <f t="shared" si="1"/>
        <v>4788</v>
      </c>
      <c r="G19" s="2" t="s">
        <v>428</v>
      </c>
      <c r="H19" s="2"/>
      <c r="I19" s="2"/>
    </row>
    <row r="20" spans="1:9" x14ac:dyDescent="0.25">
      <c r="A20" s="8">
        <v>45841</v>
      </c>
      <c r="B20" s="2">
        <v>1</v>
      </c>
      <c r="C20" s="2" t="s">
        <v>376</v>
      </c>
      <c r="D20" s="2" t="s">
        <v>387</v>
      </c>
      <c r="E20" s="3">
        <v>852</v>
      </c>
      <c r="F20" s="3">
        <f t="shared" si="1"/>
        <v>852</v>
      </c>
      <c r="G20" s="2" t="s">
        <v>428</v>
      </c>
      <c r="H20" s="2"/>
      <c r="I20" s="2"/>
    </row>
    <row r="21" spans="1:9" x14ac:dyDescent="0.25">
      <c r="A21" s="17">
        <v>45841</v>
      </c>
      <c r="B21" s="18">
        <v>1</v>
      </c>
      <c r="C21" s="18" t="s">
        <v>411</v>
      </c>
      <c r="D21" s="18" t="s">
        <v>387</v>
      </c>
      <c r="E21" s="19">
        <v>338</v>
      </c>
      <c r="F21" s="19">
        <f t="shared" si="1"/>
        <v>338</v>
      </c>
      <c r="G21" s="18" t="s">
        <v>487</v>
      </c>
      <c r="H21" s="18" t="s">
        <v>488</v>
      </c>
      <c r="I21" s="2"/>
    </row>
    <row r="22" spans="1:9" x14ac:dyDescent="0.25">
      <c r="A22" s="8">
        <v>45840</v>
      </c>
      <c r="B22" s="2">
        <v>1</v>
      </c>
      <c r="C22" s="2" t="s">
        <v>409</v>
      </c>
      <c r="D22" s="2" t="s">
        <v>384</v>
      </c>
      <c r="E22" s="3">
        <v>1375</v>
      </c>
      <c r="F22" s="3">
        <f t="shared" si="1"/>
        <v>1375</v>
      </c>
      <c r="G22" s="2" t="s">
        <v>428</v>
      </c>
      <c r="H22" s="2"/>
      <c r="I22" s="2"/>
    </row>
    <row r="23" spans="1:9" x14ac:dyDescent="0.25">
      <c r="A23" s="8">
        <v>45840</v>
      </c>
      <c r="B23" s="2">
        <v>1</v>
      </c>
      <c r="C23" s="2" t="s">
        <v>378</v>
      </c>
      <c r="D23" s="2" t="s">
        <v>384</v>
      </c>
      <c r="E23" s="3">
        <v>775</v>
      </c>
      <c r="F23" s="3">
        <f t="shared" si="1"/>
        <v>775</v>
      </c>
      <c r="G23" s="2" t="s">
        <v>428</v>
      </c>
      <c r="H23" s="2"/>
      <c r="I23" s="2"/>
    </row>
    <row r="24" spans="1:9" x14ac:dyDescent="0.25">
      <c r="A24" s="49">
        <v>45841</v>
      </c>
      <c r="B24" s="10">
        <v>4</v>
      </c>
      <c r="C24" s="10" t="s">
        <v>388</v>
      </c>
      <c r="D24" s="10" t="s">
        <v>408</v>
      </c>
      <c r="E24" s="50">
        <v>766</v>
      </c>
      <c r="F24" s="50">
        <v>3064</v>
      </c>
      <c r="G24" s="10" t="s">
        <v>435</v>
      </c>
      <c r="H24" s="2"/>
      <c r="I24" s="2"/>
    </row>
    <row r="25" spans="1:9" x14ac:dyDescent="0.25">
      <c r="A25" s="8">
        <v>45844</v>
      </c>
      <c r="B25" s="2">
        <v>2</v>
      </c>
      <c r="C25" s="2" t="s">
        <v>391</v>
      </c>
      <c r="D25" s="2" t="s">
        <v>392</v>
      </c>
      <c r="E25" s="3">
        <v>89</v>
      </c>
      <c r="F25" s="3">
        <v>89</v>
      </c>
      <c r="G25" s="2"/>
      <c r="H25" s="2"/>
      <c r="I25" s="2"/>
    </row>
    <row r="26" spans="1:9" x14ac:dyDescent="0.25">
      <c r="A26" s="8">
        <v>45844</v>
      </c>
      <c r="B26" s="2">
        <v>150</v>
      </c>
      <c r="C26" s="2" t="s">
        <v>407</v>
      </c>
      <c r="D26" s="2" t="s">
        <v>390</v>
      </c>
      <c r="E26" s="3">
        <v>494</v>
      </c>
      <c r="F26" s="3">
        <v>74100</v>
      </c>
      <c r="G26" s="2" t="s">
        <v>428</v>
      </c>
      <c r="H26" s="2"/>
      <c r="I26" s="2"/>
    </row>
    <row r="27" spans="1:9" x14ac:dyDescent="0.25">
      <c r="A27" s="8">
        <v>45842</v>
      </c>
      <c r="B27" s="2"/>
      <c r="C27" s="2" t="s">
        <v>401</v>
      </c>
      <c r="D27" s="2" t="s">
        <v>390</v>
      </c>
      <c r="E27" s="3">
        <v>1900</v>
      </c>
      <c r="F27" s="3">
        <v>1900</v>
      </c>
      <c r="G27" s="2"/>
      <c r="H27" s="2"/>
      <c r="I27" s="2"/>
    </row>
    <row r="28" spans="1:9" x14ac:dyDescent="0.25">
      <c r="A28" s="8">
        <v>45846</v>
      </c>
      <c r="B28" s="2">
        <v>100</v>
      </c>
      <c r="C28" s="2" t="s">
        <v>395</v>
      </c>
      <c r="D28" s="2" t="s">
        <v>291</v>
      </c>
      <c r="E28" s="3">
        <v>494</v>
      </c>
      <c r="F28" s="3">
        <v>49400</v>
      </c>
      <c r="G28" s="2" t="s">
        <v>428</v>
      </c>
      <c r="H28" s="2"/>
      <c r="I28" s="2"/>
    </row>
    <row r="29" spans="1:9" x14ac:dyDescent="0.25">
      <c r="A29" s="8">
        <v>45848</v>
      </c>
      <c r="B29" s="2">
        <v>100</v>
      </c>
      <c r="C29" s="2" t="s">
        <v>396</v>
      </c>
      <c r="D29" s="2" t="s">
        <v>291</v>
      </c>
      <c r="E29" s="3">
        <v>229</v>
      </c>
      <c r="F29" s="3">
        <v>32900</v>
      </c>
      <c r="G29" s="2" t="s">
        <v>427</v>
      </c>
      <c r="H29" s="2"/>
      <c r="I29" s="2"/>
    </row>
    <row r="30" spans="1:9" x14ac:dyDescent="0.25">
      <c r="A30" s="8">
        <v>45854</v>
      </c>
      <c r="B30" s="2">
        <v>200</v>
      </c>
      <c r="C30" s="2" t="s">
        <v>356</v>
      </c>
      <c r="D30" s="2" t="s">
        <v>291</v>
      </c>
      <c r="E30" s="3">
        <v>728</v>
      </c>
      <c r="F30" s="3">
        <f>E30*B30</f>
        <v>145600</v>
      </c>
      <c r="G30" s="2" t="s">
        <v>429</v>
      </c>
      <c r="H30" s="2"/>
      <c r="I30" s="2"/>
    </row>
    <row r="31" spans="1:9" x14ac:dyDescent="0.25">
      <c r="A31" s="8">
        <v>45854</v>
      </c>
      <c r="B31" s="2">
        <v>80</v>
      </c>
      <c r="C31" s="2" t="s">
        <v>357</v>
      </c>
      <c r="D31" s="2" t="s">
        <v>291</v>
      </c>
      <c r="E31" s="3">
        <v>85</v>
      </c>
      <c r="F31" s="3">
        <f>B31*E31</f>
        <v>6800</v>
      </c>
      <c r="G31" s="2" t="s">
        <v>430</v>
      </c>
      <c r="H31" s="2"/>
      <c r="I31" s="2"/>
    </row>
    <row r="32" spans="1:9" x14ac:dyDescent="0.25">
      <c r="A32" s="8">
        <v>45857</v>
      </c>
      <c r="B32" s="2">
        <v>2</v>
      </c>
      <c r="C32" s="2" t="s">
        <v>296</v>
      </c>
      <c r="D32" s="2" t="s">
        <v>291</v>
      </c>
      <c r="E32" s="3">
        <v>89</v>
      </c>
      <c r="F32" s="3">
        <f>B32*E32</f>
        <v>178</v>
      </c>
      <c r="G32" s="2"/>
      <c r="H32" s="2"/>
      <c r="I32" s="2"/>
    </row>
    <row r="33" spans="1:9" x14ac:dyDescent="0.25">
      <c r="A33" s="49">
        <v>45861</v>
      </c>
      <c r="B33" s="10">
        <v>10</v>
      </c>
      <c r="C33" s="10" t="s">
        <v>447</v>
      </c>
      <c r="D33" s="10" t="s">
        <v>383</v>
      </c>
      <c r="E33" s="50">
        <v>1449</v>
      </c>
      <c r="F33" s="50">
        <f>B33*E33</f>
        <v>14490</v>
      </c>
      <c r="G33" s="10" t="s">
        <v>469</v>
      </c>
      <c r="H33" s="10" t="s">
        <v>472</v>
      </c>
      <c r="I33" s="2"/>
    </row>
    <row r="34" spans="1:9" x14ac:dyDescent="0.25">
      <c r="A34" s="49">
        <v>45862</v>
      </c>
      <c r="B34" s="10">
        <v>5</v>
      </c>
      <c r="C34" s="10" t="s">
        <v>448</v>
      </c>
      <c r="D34" s="10" t="s">
        <v>383</v>
      </c>
      <c r="E34" s="50">
        <v>1449</v>
      </c>
      <c r="F34" s="50">
        <f t="shared" ref="F34:F35" si="2">B34*E34</f>
        <v>7245</v>
      </c>
      <c r="G34" s="10" t="s">
        <v>469</v>
      </c>
      <c r="H34" s="10" t="s">
        <v>472</v>
      </c>
      <c r="I34" s="2"/>
    </row>
    <row r="35" spans="1:9" x14ac:dyDescent="0.25">
      <c r="A35" s="49">
        <v>45863</v>
      </c>
      <c r="B35" s="10">
        <v>2</v>
      </c>
      <c r="C35" s="10" t="s">
        <v>431</v>
      </c>
      <c r="D35" s="10" t="s">
        <v>383</v>
      </c>
      <c r="E35" s="50">
        <v>852</v>
      </c>
      <c r="F35" s="50">
        <f t="shared" si="2"/>
        <v>1704</v>
      </c>
      <c r="G35" s="10" t="s">
        <v>469</v>
      </c>
      <c r="H35" s="10" t="s">
        <v>472</v>
      </c>
      <c r="I35" s="2"/>
    </row>
    <row r="36" spans="1:9" x14ac:dyDescent="0.25">
      <c r="A36" s="49">
        <v>45863</v>
      </c>
      <c r="B36" s="10">
        <v>4</v>
      </c>
      <c r="C36" s="10" t="s">
        <v>378</v>
      </c>
      <c r="D36" s="10" t="s">
        <v>383</v>
      </c>
      <c r="E36" s="50">
        <v>738</v>
      </c>
      <c r="F36" s="50">
        <f>B36*E36</f>
        <v>2952</v>
      </c>
      <c r="G36" s="10" t="s">
        <v>432</v>
      </c>
      <c r="H36" s="10" t="s">
        <v>472</v>
      </c>
      <c r="I36" s="2"/>
    </row>
    <row r="37" spans="1:9" x14ac:dyDescent="0.25">
      <c r="A37" s="49">
        <v>45864</v>
      </c>
      <c r="B37" s="10">
        <v>6</v>
      </c>
      <c r="C37" s="10" t="s">
        <v>378</v>
      </c>
      <c r="D37" s="10" t="s">
        <v>383</v>
      </c>
      <c r="E37" s="50">
        <v>0</v>
      </c>
      <c r="F37" s="50">
        <f t="shared" ref="F37" si="3">B37*E37</f>
        <v>0</v>
      </c>
      <c r="G37" s="10" t="s">
        <v>470</v>
      </c>
      <c r="H37" s="16" t="s">
        <v>519</v>
      </c>
      <c r="I37" s="2"/>
    </row>
    <row r="38" spans="1:9" x14ac:dyDescent="0.25">
      <c r="A38" s="8">
        <v>45864</v>
      </c>
      <c r="B38" s="2">
        <v>10</v>
      </c>
      <c r="C38" s="2" t="s">
        <v>447</v>
      </c>
      <c r="D38" s="2" t="s">
        <v>433</v>
      </c>
      <c r="E38" s="3">
        <v>1348</v>
      </c>
      <c r="F38" s="50"/>
      <c r="G38" s="165" t="s">
        <v>471</v>
      </c>
      <c r="H38" s="10" t="s">
        <v>470</v>
      </c>
      <c r="I38" s="2"/>
    </row>
    <row r="39" spans="1:9" x14ac:dyDescent="0.25">
      <c r="A39" s="8">
        <v>45864</v>
      </c>
      <c r="B39" s="2">
        <v>10</v>
      </c>
      <c r="C39" s="2" t="s">
        <v>448</v>
      </c>
      <c r="D39" s="2" t="s">
        <v>433</v>
      </c>
      <c r="E39" s="3">
        <v>1348</v>
      </c>
      <c r="F39" s="50"/>
      <c r="G39" s="165"/>
      <c r="H39" s="10" t="s">
        <v>470</v>
      </c>
      <c r="I39" s="2"/>
    </row>
    <row r="40" spans="1:9" x14ac:dyDescent="0.25">
      <c r="A40" s="8">
        <v>45864</v>
      </c>
      <c r="B40" s="2">
        <v>4</v>
      </c>
      <c r="C40" s="2" t="s">
        <v>378</v>
      </c>
      <c r="D40" s="2" t="s">
        <v>433</v>
      </c>
      <c r="E40" s="3">
        <v>738</v>
      </c>
      <c r="F40" s="50"/>
      <c r="G40" s="165"/>
      <c r="H40" s="10" t="s">
        <v>470</v>
      </c>
      <c r="I40" s="2"/>
    </row>
    <row r="41" spans="1:9" x14ac:dyDescent="0.25">
      <c r="A41" s="8">
        <v>45864</v>
      </c>
      <c r="B41" s="2">
        <v>6</v>
      </c>
      <c r="C41" s="2" t="s">
        <v>378</v>
      </c>
      <c r="D41" s="2" t="s">
        <v>433</v>
      </c>
      <c r="E41" s="3">
        <v>738</v>
      </c>
      <c r="F41" s="50">
        <f t="shared" ref="F41" si="4">B41*E41</f>
        <v>4428</v>
      </c>
      <c r="G41" s="10" t="s">
        <v>469</v>
      </c>
      <c r="H41" s="2"/>
      <c r="I41" s="2"/>
    </row>
    <row r="42" spans="1:9" x14ac:dyDescent="0.25">
      <c r="A42" s="8">
        <v>45862</v>
      </c>
      <c r="B42" s="2">
        <v>1</v>
      </c>
      <c r="C42" s="2" t="s">
        <v>409</v>
      </c>
      <c r="D42" s="2" t="s">
        <v>385</v>
      </c>
      <c r="E42" s="3">
        <v>1359</v>
      </c>
      <c r="F42" s="3">
        <v>1359</v>
      </c>
      <c r="G42" s="2" t="s">
        <v>435</v>
      </c>
      <c r="H42" s="2"/>
      <c r="I42" s="2"/>
    </row>
    <row r="43" spans="1:9" x14ac:dyDescent="0.25">
      <c r="A43" s="8">
        <v>45865</v>
      </c>
      <c r="B43" s="2">
        <v>20</v>
      </c>
      <c r="C43" s="2" t="s">
        <v>378</v>
      </c>
      <c r="D43" s="2" t="s">
        <v>291</v>
      </c>
      <c r="E43" s="3">
        <v>720</v>
      </c>
      <c r="F43" s="3"/>
      <c r="G43" s="2" t="s">
        <v>436</v>
      </c>
      <c r="H43" s="2"/>
      <c r="I43" s="2"/>
    </row>
    <row r="44" spans="1:9" x14ac:dyDescent="0.25">
      <c r="A44" s="2" t="s">
        <v>449</v>
      </c>
      <c r="B44" s="2">
        <v>1</v>
      </c>
      <c r="C44" s="2" t="s">
        <v>448</v>
      </c>
      <c r="D44" s="2" t="s">
        <v>387</v>
      </c>
      <c r="E44" s="3">
        <v>1359</v>
      </c>
      <c r="F44" s="3">
        <v>1359</v>
      </c>
      <c r="G44" s="2" t="s">
        <v>435</v>
      </c>
      <c r="H44" s="2"/>
      <c r="I44" s="2"/>
    </row>
  </sheetData>
  <mergeCells count="1">
    <mergeCell ref="G38:G40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570A1-9445-4C5C-97D5-458973010FC8}">
  <dimension ref="A1:O24"/>
  <sheetViews>
    <sheetView workbookViewId="0">
      <selection activeCell="C27" sqref="C27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31.42578125" bestFit="1" customWidth="1"/>
    <col min="4" max="4" width="26.5703125" bestFit="1" customWidth="1"/>
    <col min="5" max="5" width="9" bestFit="1" customWidth="1"/>
    <col min="6" max="6" width="10" bestFit="1" customWidth="1"/>
    <col min="7" max="7" width="17.5703125" bestFit="1" customWidth="1"/>
    <col min="8" max="8" width="15" bestFit="1" customWidth="1"/>
    <col min="9" max="9" width="21.8554687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15" x14ac:dyDescent="0.25">
      <c r="A2" s="8">
        <v>45873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569</v>
      </c>
      <c r="H2" s="2" t="s">
        <v>463</v>
      </c>
      <c r="I2" s="2"/>
    </row>
    <row r="3" spans="1:15" x14ac:dyDescent="0.25">
      <c r="A3" s="8">
        <v>45874</v>
      </c>
      <c r="B3" s="2">
        <v>1</v>
      </c>
      <c r="C3" s="2" t="s">
        <v>459</v>
      </c>
      <c r="D3" s="2" t="s">
        <v>460</v>
      </c>
      <c r="E3" s="3">
        <v>1449</v>
      </c>
      <c r="F3" s="3">
        <f t="shared" ref="F3:F22" si="0">B3*E3</f>
        <v>1449</v>
      </c>
      <c r="G3" s="2" t="s">
        <v>348</v>
      </c>
      <c r="H3" s="2" t="s">
        <v>464</v>
      </c>
      <c r="I3" s="2" t="s">
        <v>474</v>
      </c>
    </row>
    <row r="4" spans="1:15" x14ac:dyDescent="0.25">
      <c r="A4" s="8">
        <v>45874</v>
      </c>
      <c r="B4" s="2">
        <v>1</v>
      </c>
      <c r="C4" s="2" t="s">
        <v>459</v>
      </c>
      <c r="D4" s="2" t="s">
        <v>461</v>
      </c>
      <c r="E4" s="3">
        <v>1449</v>
      </c>
      <c r="F4" s="3">
        <f t="shared" si="0"/>
        <v>1449</v>
      </c>
      <c r="G4" s="2" t="s">
        <v>348</v>
      </c>
      <c r="H4" s="2" t="s">
        <v>464</v>
      </c>
      <c r="I4" s="2" t="s">
        <v>473</v>
      </c>
    </row>
    <row r="5" spans="1:15" x14ac:dyDescent="0.25">
      <c r="A5" s="8">
        <v>45874</v>
      </c>
      <c r="B5" s="2">
        <v>2</v>
      </c>
      <c r="C5" s="2" t="s">
        <v>459</v>
      </c>
      <c r="D5" s="2" t="s">
        <v>466</v>
      </c>
      <c r="E5" s="3">
        <v>1449</v>
      </c>
      <c r="F5" s="3">
        <f t="shared" si="0"/>
        <v>2898</v>
      </c>
      <c r="G5" s="2" t="s">
        <v>348</v>
      </c>
      <c r="H5" s="2" t="s">
        <v>467</v>
      </c>
      <c r="I5" s="2" t="s">
        <v>473</v>
      </c>
    </row>
    <row r="6" spans="1:15" x14ac:dyDescent="0.25">
      <c r="A6" s="8">
        <v>45876</v>
      </c>
      <c r="B6" s="2">
        <v>4</v>
      </c>
      <c r="C6" s="2" t="s">
        <v>295</v>
      </c>
      <c r="D6" s="2" t="s">
        <v>475</v>
      </c>
      <c r="E6" s="2">
        <v>299</v>
      </c>
      <c r="F6" s="3">
        <f t="shared" si="0"/>
        <v>1196</v>
      </c>
      <c r="G6" s="2" t="s">
        <v>8</v>
      </c>
      <c r="H6" s="2"/>
      <c r="I6" s="2" t="s">
        <v>484</v>
      </c>
    </row>
    <row r="7" spans="1:15" x14ac:dyDescent="0.25">
      <c r="A7" s="8">
        <v>45876</v>
      </c>
      <c r="B7" s="2">
        <v>2</v>
      </c>
      <c r="C7" s="2" t="s">
        <v>295</v>
      </c>
      <c r="D7" s="2" t="s">
        <v>476</v>
      </c>
      <c r="E7" s="2">
        <v>299</v>
      </c>
      <c r="F7" s="3">
        <f t="shared" si="0"/>
        <v>598</v>
      </c>
      <c r="G7" s="2" t="s">
        <v>8</v>
      </c>
      <c r="H7" s="2"/>
      <c r="I7" s="2" t="s">
        <v>484</v>
      </c>
      <c r="O7">
        <v>26.88</v>
      </c>
    </row>
    <row r="8" spans="1:15" x14ac:dyDescent="0.25">
      <c r="A8" s="8">
        <v>45876</v>
      </c>
      <c r="B8" s="2">
        <v>2</v>
      </c>
      <c r="C8" s="2" t="s">
        <v>295</v>
      </c>
      <c r="D8" s="2" t="s">
        <v>477</v>
      </c>
      <c r="E8" s="2">
        <v>299</v>
      </c>
      <c r="F8" s="3">
        <f t="shared" si="0"/>
        <v>598</v>
      </c>
      <c r="G8" s="2" t="s">
        <v>8</v>
      </c>
      <c r="H8" s="2"/>
      <c r="I8" s="2" t="s">
        <v>484</v>
      </c>
      <c r="L8">
        <v>7844</v>
      </c>
      <c r="M8">
        <f>L8/299</f>
        <v>26.234113712374583</v>
      </c>
      <c r="O8">
        <v>2.33</v>
      </c>
    </row>
    <row r="9" spans="1:15" x14ac:dyDescent="0.25">
      <c r="A9" s="8">
        <v>45876</v>
      </c>
      <c r="B9" s="2">
        <v>7</v>
      </c>
      <c r="C9" s="2" t="s">
        <v>295</v>
      </c>
      <c r="D9" s="2" t="s">
        <v>478</v>
      </c>
      <c r="E9" s="2">
        <v>299</v>
      </c>
      <c r="F9" s="3">
        <f t="shared" si="0"/>
        <v>2093</v>
      </c>
      <c r="G9" s="2" t="s">
        <v>8</v>
      </c>
      <c r="H9" s="2"/>
      <c r="I9" s="2" t="s">
        <v>484</v>
      </c>
      <c r="L9">
        <v>6034.22</v>
      </c>
      <c r="M9">
        <f>L9/299</f>
        <v>20.18133779264214</v>
      </c>
      <c r="O9">
        <v>7.46</v>
      </c>
    </row>
    <row r="10" spans="1:15" x14ac:dyDescent="0.25">
      <c r="A10" s="8">
        <v>45876</v>
      </c>
      <c r="B10" s="2">
        <v>8</v>
      </c>
      <c r="C10" s="2" t="s">
        <v>295</v>
      </c>
      <c r="D10" s="2" t="s">
        <v>479</v>
      </c>
      <c r="E10" s="2">
        <v>299</v>
      </c>
      <c r="F10" s="3">
        <f t="shared" si="0"/>
        <v>2392</v>
      </c>
      <c r="G10" s="2" t="s">
        <v>8</v>
      </c>
      <c r="H10" s="2"/>
      <c r="I10" s="2" t="s">
        <v>484</v>
      </c>
      <c r="O10">
        <v>123.72</v>
      </c>
    </row>
    <row r="11" spans="1:15" x14ac:dyDescent="0.25">
      <c r="A11" s="8">
        <v>45876</v>
      </c>
      <c r="B11" s="2">
        <v>20</v>
      </c>
      <c r="C11" s="2" t="s">
        <v>295</v>
      </c>
      <c r="D11" s="2" t="s">
        <v>480</v>
      </c>
      <c r="E11" s="2">
        <v>299</v>
      </c>
      <c r="F11" s="3">
        <f t="shared" si="0"/>
        <v>5980</v>
      </c>
      <c r="G11" s="2" t="s">
        <v>8</v>
      </c>
      <c r="H11" s="2"/>
      <c r="I11" s="2" t="s">
        <v>484</v>
      </c>
      <c r="O11">
        <v>495.62</v>
      </c>
    </row>
    <row r="12" spans="1:15" x14ac:dyDescent="0.25">
      <c r="A12" s="8">
        <v>45876</v>
      </c>
      <c r="B12" s="2">
        <v>26</v>
      </c>
      <c r="C12" s="2" t="s">
        <v>295</v>
      </c>
      <c r="D12" s="2" t="s">
        <v>481</v>
      </c>
      <c r="E12" s="2">
        <v>299</v>
      </c>
      <c r="F12" s="3">
        <f t="shared" si="0"/>
        <v>7774</v>
      </c>
      <c r="G12" s="2" t="s">
        <v>8</v>
      </c>
      <c r="H12" s="2"/>
      <c r="I12" s="2" t="s">
        <v>484</v>
      </c>
      <c r="O12">
        <v>100</v>
      </c>
    </row>
    <row r="13" spans="1:15" x14ac:dyDescent="0.25">
      <c r="A13" s="8">
        <v>45876</v>
      </c>
      <c r="B13" s="2">
        <v>40</v>
      </c>
      <c r="C13" s="2" t="s">
        <v>295</v>
      </c>
      <c r="D13" s="2" t="s">
        <v>482</v>
      </c>
      <c r="E13" s="2">
        <v>299</v>
      </c>
      <c r="F13" s="3">
        <f t="shared" si="0"/>
        <v>11960</v>
      </c>
      <c r="G13" s="2" t="s">
        <v>8</v>
      </c>
      <c r="H13" s="2"/>
      <c r="I13" s="2" t="s">
        <v>484</v>
      </c>
      <c r="O13">
        <v>52.68</v>
      </c>
    </row>
    <row r="14" spans="1:15" x14ac:dyDescent="0.25">
      <c r="A14" s="8">
        <v>45877</v>
      </c>
      <c r="B14" s="2">
        <v>2</v>
      </c>
      <c r="C14" s="2" t="s">
        <v>295</v>
      </c>
      <c r="D14" s="2" t="s">
        <v>483</v>
      </c>
      <c r="E14" s="2">
        <v>299</v>
      </c>
      <c r="F14" s="3">
        <f t="shared" si="0"/>
        <v>598</v>
      </c>
      <c r="G14" s="2" t="s">
        <v>8</v>
      </c>
      <c r="H14" s="2"/>
      <c r="I14" s="2" t="s">
        <v>484</v>
      </c>
      <c r="O14">
        <v>24.6</v>
      </c>
    </row>
    <row r="15" spans="1:15" x14ac:dyDescent="0.25">
      <c r="A15" s="8">
        <v>45877</v>
      </c>
      <c r="B15" s="2">
        <v>1</v>
      </c>
      <c r="C15" s="2" t="s">
        <v>485</v>
      </c>
      <c r="D15" s="2" t="s">
        <v>486</v>
      </c>
      <c r="E15" s="2">
        <v>1600</v>
      </c>
      <c r="F15" s="3">
        <f t="shared" si="0"/>
        <v>1600</v>
      </c>
      <c r="G15" s="2"/>
      <c r="H15" s="2"/>
      <c r="I15" s="2"/>
      <c r="O15">
        <v>2.33</v>
      </c>
    </row>
    <row r="16" spans="1:15" x14ac:dyDescent="0.25">
      <c r="A16" s="8">
        <v>45889</v>
      </c>
      <c r="B16" s="2">
        <v>5</v>
      </c>
      <c r="C16" s="2" t="s">
        <v>323</v>
      </c>
      <c r="D16" s="2" t="s">
        <v>518</v>
      </c>
      <c r="E16" s="2">
        <v>779.9</v>
      </c>
      <c r="F16" s="3">
        <f t="shared" si="0"/>
        <v>3899.5</v>
      </c>
      <c r="G16" s="2" t="s">
        <v>24</v>
      </c>
      <c r="H16" s="2"/>
      <c r="I16" s="2"/>
      <c r="O16">
        <v>3.66</v>
      </c>
    </row>
    <row r="17" spans="1:15" x14ac:dyDescent="0.25">
      <c r="A17" s="8">
        <v>45889</v>
      </c>
      <c r="B17" s="2">
        <v>1</v>
      </c>
      <c r="C17" s="2" t="s">
        <v>323</v>
      </c>
      <c r="D17" s="2" t="s">
        <v>466</v>
      </c>
      <c r="E17" s="2">
        <v>779.9</v>
      </c>
      <c r="F17" s="3">
        <f t="shared" si="0"/>
        <v>779.9</v>
      </c>
      <c r="G17" s="2" t="s">
        <v>520</v>
      </c>
      <c r="H17" s="2" t="s">
        <v>467</v>
      </c>
      <c r="I17" s="2" t="s">
        <v>521</v>
      </c>
      <c r="M17">
        <v>156</v>
      </c>
      <c r="O17">
        <v>3.66</v>
      </c>
    </row>
    <row r="18" spans="1:15" x14ac:dyDescent="0.25">
      <c r="A18" s="8">
        <v>45889</v>
      </c>
      <c r="B18" s="2">
        <v>1</v>
      </c>
      <c r="C18" s="2" t="s">
        <v>323</v>
      </c>
      <c r="D18" s="2" t="s">
        <v>461</v>
      </c>
      <c r="E18" s="2">
        <v>775</v>
      </c>
      <c r="F18" s="3">
        <f t="shared" si="0"/>
        <v>775</v>
      </c>
      <c r="G18" s="2" t="s">
        <v>520</v>
      </c>
      <c r="H18" s="2" t="s">
        <v>464</v>
      </c>
      <c r="I18" s="2" t="s">
        <v>521</v>
      </c>
      <c r="M18">
        <v>113</v>
      </c>
      <c r="O18">
        <v>6.27</v>
      </c>
    </row>
    <row r="19" spans="1:15" x14ac:dyDescent="0.25">
      <c r="A19" s="8">
        <v>45889</v>
      </c>
      <c r="B19" s="2">
        <v>4</v>
      </c>
      <c r="C19" s="2" t="s">
        <v>323</v>
      </c>
      <c r="D19" s="2" t="s">
        <v>522</v>
      </c>
      <c r="E19" s="2">
        <v>750</v>
      </c>
      <c r="F19" s="3">
        <f t="shared" si="0"/>
        <v>3000</v>
      </c>
      <c r="G19" s="2" t="s">
        <v>520</v>
      </c>
      <c r="H19" s="2" t="s">
        <v>464</v>
      </c>
      <c r="I19" s="2" t="s">
        <v>521</v>
      </c>
      <c r="M19">
        <f>SUM(M17:M18)</f>
        <v>269</v>
      </c>
      <c r="O19">
        <v>13.05</v>
      </c>
    </row>
    <row r="20" spans="1:15" x14ac:dyDescent="0.25">
      <c r="A20" s="8">
        <v>45895</v>
      </c>
      <c r="B20" s="2">
        <v>50</v>
      </c>
      <c r="C20" s="2" t="s">
        <v>458</v>
      </c>
      <c r="D20" s="2" t="s">
        <v>291</v>
      </c>
      <c r="E20" s="2">
        <v>329</v>
      </c>
      <c r="F20" s="3">
        <f t="shared" si="0"/>
        <v>16450</v>
      </c>
      <c r="G20" s="2" t="s">
        <v>520</v>
      </c>
      <c r="H20" s="2" t="s">
        <v>463</v>
      </c>
      <c r="I20" s="2"/>
      <c r="M20">
        <v>269000</v>
      </c>
      <c r="O20">
        <v>10.61</v>
      </c>
    </row>
    <row r="21" spans="1:15" x14ac:dyDescent="0.25">
      <c r="A21" s="8">
        <v>45895</v>
      </c>
      <c r="B21" s="2">
        <v>50</v>
      </c>
      <c r="C21" s="2" t="s">
        <v>523</v>
      </c>
      <c r="D21" s="2" t="s">
        <v>291</v>
      </c>
      <c r="E21" s="2">
        <v>329</v>
      </c>
      <c r="F21" s="3">
        <f t="shared" si="0"/>
        <v>16450</v>
      </c>
      <c r="G21" s="2" t="s">
        <v>520</v>
      </c>
      <c r="H21" s="2" t="s">
        <v>463</v>
      </c>
      <c r="I21" s="2"/>
      <c r="M21">
        <f>M20*13.04%</f>
        <v>35077.599999999999</v>
      </c>
      <c r="O21">
        <v>588</v>
      </c>
    </row>
    <row r="22" spans="1:15" x14ac:dyDescent="0.25">
      <c r="A22" s="8">
        <v>45895</v>
      </c>
      <c r="B22" s="2">
        <v>1</v>
      </c>
      <c r="C22" s="2" t="s">
        <v>524</v>
      </c>
      <c r="D22" s="2" t="s">
        <v>291</v>
      </c>
      <c r="E22" s="2">
        <v>89</v>
      </c>
      <c r="F22" s="3">
        <f t="shared" si="0"/>
        <v>89</v>
      </c>
      <c r="G22" s="2"/>
      <c r="H22" s="2"/>
      <c r="I22" s="2"/>
      <c r="O22">
        <v>25</v>
      </c>
    </row>
    <row r="23" spans="1:15" x14ac:dyDescent="0.25">
      <c r="A23" s="8">
        <v>45891</v>
      </c>
      <c r="B23" s="2">
        <v>10</v>
      </c>
      <c r="C23" s="2" t="s">
        <v>323</v>
      </c>
      <c r="D23" s="2" t="s">
        <v>433</v>
      </c>
      <c r="E23" s="2">
        <v>738</v>
      </c>
      <c r="F23" s="3">
        <v>0</v>
      </c>
      <c r="G23" s="2" t="s">
        <v>541</v>
      </c>
      <c r="H23" s="2" t="s">
        <v>433</v>
      </c>
      <c r="I23" s="2" t="s">
        <v>540</v>
      </c>
    </row>
    <row r="24" spans="1:15" x14ac:dyDescent="0.25">
      <c r="A24" s="8">
        <v>45898</v>
      </c>
      <c r="B24" s="2"/>
      <c r="C24" s="2" t="s">
        <v>542</v>
      </c>
      <c r="D24" s="2" t="s">
        <v>543</v>
      </c>
      <c r="E24" s="2">
        <v>1</v>
      </c>
      <c r="F24" s="21">
        <v>15000</v>
      </c>
      <c r="G24" s="2" t="s">
        <v>92</v>
      </c>
      <c r="H24" s="2"/>
      <c r="I24" s="2"/>
    </row>
  </sheetData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EFF02-F460-4855-8211-31AD166EA921}">
  <dimension ref="A1:I12"/>
  <sheetViews>
    <sheetView workbookViewId="0">
      <selection activeCell="C18" sqref="C18"/>
    </sheetView>
  </sheetViews>
  <sheetFormatPr defaultRowHeight="15" x14ac:dyDescent="0.25"/>
  <cols>
    <col min="1" max="1" width="10.5703125" bestFit="1" customWidth="1"/>
    <col min="2" max="2" width="4" bestFit="1" customWidth="1"/>
    <col min="3" max="3" width="18.7109375" bestFit="1" customWidth="1"/>
    <col min="4" max="4" width="15.28515625" bestFit="1" customWidth="1"/>
    <col min="5" max="5" width="9" bestFit="1" customWidth="1"/>
    <col min="6" max="6" width="11" bestFit="1" customWidth="1"/>
    <col min="7" max="7" width="18.710937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8">
        <v>45909</v>
      </c>
      <c r="B2" s="2">
        <v>50</v>
      </c>
      <c r="C2" s="2" t="s">
        <v>458</v>
      </c>
      <c r="D2" s="2" t="s">
        <v>291</v>
      </c>
      <c r="E2" s="3">
        <v>329</v>
      </c>
      <c r="F2" s="3">
        <f>B2*E2</f>
        <v>16450</v>
      </c>
      <c r="G2" s="2" t="s">
        <v>578</v>
      </c>
      <c r="H2" s="2" t="s">
        <v>463</v>
      </c>
      <c r="I2" s="2"/>
    </row>
    <row r="3" spans="1:9" x14ac:dyDescent="0.25">
      <c r="A3" s="8">
        <v>45909</v>
      </c>
      <c r="B3" s="2">
        <v>400</v>
      </c>
      <c r="C3" s="2" t="s">
        <v>295</v>
      </c>
      <c r="D3" s="2" t="s">
        <v>291</v>
      </c>
      <c r="E3" s="3">
        <v>299</v>
      </c>
      <c r="F3" s="3">
        <f t="shared" ref="F3:F11" si="0">B3*E3</f>
        <v>119600</v>
      </c>
      <c r="G3" s="2" t="s">
        <v>569</v>
      </c>
      <c r="H3" s="2" t="s">
        <v>463</v>
      </c>
      <c r="I3" s="8">
        <v>45909</v>
      </c>
    </row>
    <row r="4" spans="1:9" x14ac:dyDescent="0.25">
      <c r="A4" s="8">
        <v>45909</v>
      </c>
      <c r="B4" s="2">
        <v>3</v>
      </c>
      <c r="C4" s="2" t="s">
        <v>391</v>
      </c>
      <c r="D4" s="2" t="s">
        <v>291</v>
      </c>
      <c r="E4" s="3">
        <v>89</v>
      </c>
      <c r="F4" s="3">
        <f t="shared" si="0"/>
        <v>267</v>
      </c>
      <c r="G4" s="2" t="s">
        <v>569</v>
      </c>
      <c r="H4" s="2"/>
      <c r="I4" s="2"/>
    </row>
    <row r="5" spans="1:9" x14ac:dyDescent="0.25">
      <c r="A5" s="8">
        <v>45925</v>
      </c>
      <c r="B5" s="2">
        <v>2</v>
      </c>
      <c r="C5" s="2" t="s">
        <v>580</v>
      </c>
      <c r="D5" s="2" t="s">
        <v>460</v>
      </c>
      <c r="E5" s="3">
        <v>1449</v>
      </c>
      <c r="F5" s="3">
        <f t="shared" si="0"/>
        <v>2898</v>
      </c>
      <c r="G5" s="2" t="s">
        <v>579</v>
      </c>
      <c r="H5" s="2"/>
      <c r="I5" s="2"/>
    </row>
    <row r="6" spans="1:9" x14ac:dyDescent="0.25">
      <c r="A6" s="8">
        <v>45926</v>
      </c>
      <c r="B6" s="2">
        <v>4</v>
      </c>
      <c r="C6" s="2" t="s">
        <v>580</v>
      </c>
      <c r="D6" s="2" t="s">
        <v>581</v>
      </c>
      <c r="E6" s="3">
        <v>1348</v>
      </c>
      <c r="F6" s="3">
        <f t="shared" si="0"/>
        <v>5392</v>
      </c>
      <c r="G6" s="2" t="s">
        <v>579</v>
      </c>
      <c r="H6" s="2"/>
      <c r="I6" s="2"/>
    </row>
    <row r="7" spans="1:9" x14ac:dyDescent="0.25">
      <c r="A7" s="8">
        <v>45926</v>
      </c>
      <c r="B7" s="2">
        <v>1</v>
      </c>
      <c r="C7" s="2" t="s">
        <v>582</v>
      </c>
      <c r="D7" s="2" t="s">
        <v>581</v>
      </c>
      <c r="E7" s="3">
        <v>1348</v>
      </c>
      <c r="F7" s="3">
        <f t="shared" si="0"/>
        <v>1348</v>
      </c>
      <c r="G7" s="2" t="s">
        <v>579</v>
      </c>
      <c r="H7" s="2"/>
      <c r="I7" s="2"/>
    </row>
    <row r="8" spans="1:9" x14ac:dyDescent="0.25">
      <c r="A8" s="8">
        <v>45926</v>
      </c>
      <c r="B8" s="2">
        <v>4</v>
      </c>
      <c r="C8" s="2" t="s">
        <v>378</v>
      </c>
      <c r="D8" s="2" t="s">
        <v>581</v>
      </c>
      <c r="E8" s="3">
        <v>738</v>
      </c>
      <c r="F8" s="3">
        <f t="shared" si="0"/>
        <v>2952</v>
      </c>
      <c r="G8" s="2" t="s">
        <v>579</v>
      </c>
      <c r="H8" s="2"/>
      <c r="I8" s="2"/>
    </row>
    <row r="9" spans="1:9" x14ac:dyDescent="0.25">
      <c r="A9" s="8">
        <v>45926</v>
      </c>
      <c r="B9" s="2">
        <v>5</v>
      </c>
      <c r="C9" s="2" t="s">
        <v>580</v>
      </c>
      <c r="D9" s="2" t="s">
        <v>383</v>
      </c>
      <c r="E9" s="3">
        <v>1449</v>
      </c>
      <c r="F9" s="3">
        <f t="shared" ref="F9" si="1">B9*E9</f>
        <v>7245</v>
      </c>
      <c r="G9" s="2" t="s">
        <v>579</v>
      </c>
      <c r="H9" s="2"/>
      <c r="I9" s="2"/>
    </row>
    <row r="10" spans="1:9" x14ac:dyDescent="0.25">
      <c r="A10" s="2"/>
      <c r="B10" s="2"/>
      <c r="C10" s="2"/>
      <c r="D10" s="2"/>
      <c r="E10" s="3"/>
      <c r="F10" s="3">
        <f t="shared" si="0"/>
        <v>0</v>
      </c>
      <c r="G10" s="2"/>
      <c r="H10" s="2"/>
      <c r="I10" s="2"/>
    </row>
    <row r="11" spans="1:9" x14ac:dyDescent="0.25">
      <c r="A11" s="2"/>
      <c r="B11" s="2"/>
      <c r="C11" s="2"/>
      <c r="D11" s="2"/>
      <c r="E11" s="3"/>
      <c r="F11" s="3">
        <f t="shared" si="0"/>
        <v>0</v>
      </c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99298-5C54-4CDB-BEF8-098854693744}">
  <dimension ref="A1:E16"/>
  <sheetViews>
    <sheetView workbookViewId="0">
      <selection activeCell="H27" sqref="H27"/>
    </sheetView>
  </sheetViews>
  <sheetFormatPr defaultRowHeight="15" x14ac:dyDescent="0.25"/>
  <cols>
    <col min="1" max="1" width="7.28515625" bestFit="1" customWidth="1"/>
    <col min="2" max="3" width="28.42578125" customWidth="1"/>
    <col min="4" max="4" width="11.7109375" customWidth="1"/>
    <col min="5" max="5" width="6" bestFit="1" customWidth="1"/>
  </cols>
  <sheetData>
    <row r="1" spans="1:5" x14ac:dyDescent="0.25">
      <c r="A1" s="2" t="s">
        <v>65</v>
      </c>
      <c r="B1" s="2" t="s">
        <v>159</v>
      </c>
      <c r="C1" s="2" t="s">
        <v>1233</v>
      </c>
      <c r="D1" s="2" t="s">
        <v>773</v>
      </c>
      <c r="E1" s="2" t="s">
        <v>787</v>
      </c>
    </row>
    <row r="2" spans="1:5" x14ac:dyDescent="0.25">
      <c r="A2" s="129">
        <v>46142</v>
      </c>
      <c r="B2" s="130" t="s">
        <v>1231</v>
      </c>
      <c r="C2" s="130" t="s">
        <v>777</v>
      </c>
      <c r="D2" s="130">
        <v>5000</v>
      </c>
      <c r="E2" s="130"/>
    </row>
    <row r="3" spans="1:5" x14ac:dyDescent="0.25">
      <c r="A3" s="129">
        <v>46148</v>
      </c>
      <c r="B3" s="130" t="s">
        <v>1234</v>
      </c>
      <c r="C3" s="130" t="s">
        <v>1232</v>
      </c>
      <c r="D3" s="130">
        <v>850</v>
      </c>
      <c r="E3" s="130"/>
    </row>
    <row r="4" spans="1:5" x14ac:dyDescent="0.25">
      <c r="A4" s="129">
        <v>46153</v>
      </c>
      <c r="B4" s="130" t="s">
        <v>1252</v>
      </c>
      <c r="C4" s="130" t="s">
        <v>777</v>
      </c>
      <c r="D4" s="130">
        <v>1000</v>
      </c>
      <c r="E4" s="130"/>
    </row>
    <row r="5" spans="1:5" x14ac:dyDescent="0.25">
      <c r="A5" s="130"/>
      <c r="B5" s="130" t="s">
        <v>1175</v>
      </c>
      <c r="C5" s="130" t="s">
        <v>1272</v>
      </c>
      <c r="D5" s="130">
        <v>450</v>
      </c>
      <c r="E5" s="130"/>
    </row>
    <row r="6" spans="1:5" x14ac:dyDescent="0.25">
      <c r="A6" s="2"/>
      <c r="B6" s="2"/>
      <c r="C6" s="2"/>
      <c r="D6" s="2"/>
      <c r="E6" s="2"/>
    </row>
    <row r="7" spans="1:5" x14ac:dyDescent="0.25">
      <c r="A7" s="2"/>
      <c r="B7" s="2"/>
      <c r="C7" s="2"/>
      <c r="D7" s="2"/>
      <c r="E7" s="2"/>
    </row>
    <row r="8" spans="1:5" x14ac:dyDescent="0.25">
      <c r="A8" s="2"/>
      <c r="B8" s="2"/>
      <c r="C8" s="2"/>
      <c r="D8" s="2"/>
      <c r="E8" s="2"/>
    </row>
    <row r="9" spans="1:5" x14ac:dyDescent="0.25">
      <c r="A9" s="2"/>
      <c r="B9" s="2"/>
      <c r="C9" s="2"/>
      <c r="D9" s="2"/>
      <c r="E9" s="2"/>
    </row>
    <row r="10" spans="1:5" x14ac:dyDescent="0.25">
      <c r="A10" s="2"/>
      <c r="B10" s="2"/>
      <c r="C10" s="2"/>
      <c r="D10" s="2"/>
      <c r="E10" s="2"/>
    </row>
    <row r="11" spans="1:5" x14ac:dyDescent="0.25">
      <c r="A11" s="2"/>
      <c r="B11" s="2"/>
      <c r="C11" s="2"/>
      <c r="D11" s="2"/>
      <c r="E11" s="2"/>
    </row>
    <row r="12" spans="1:5" x14ac:dyDescent="0.25">
      <c r="A12" s="2"/>
      <c r="B12" s="2"/>
      <c r="C12" s="2"/>
      <c r="D12" s="2"/>
      <c r="E12" s="2"/>
    </row>
    <row r="13" spans="1:5" x14ac:dyDescent="0.25">
      <c r="A13" s="2"/>
      <c r="B13" s="2"/>
      <c r="C13" s="2"/>
      <c r="D13" s="2"/>
      <c r="E13" s="2"/>
    </row>
    <row r="14" spans="1:5" x14ac:dyDescent="0.25">
      <c r="A14" s="2"/>
      <c r="B14" s="2"/>
      <c r="C14" s="2"/>
      <c r="D14" s="2"/>
      <c r="E14" s="2"/>
    </row>
    <row r="15" spans="1:5" x14ac:dyDescent="0.25">
      <c r="A15" s="2"/>
      <c r="B15" s="2"/>
      <c r="C15" s="2"/>
      <c r="D15" s="2"/>
      <c r="E15" s="2"/>
    </row>
    <row r="16" spans="1:5" x14ac:dyDescent="0.25">
      <c r="A16" s="2"/>
      <c r="B16" s="2"/>
      <c r="C16" s="2"/>
      <c r="D16" s="2"/>
      <c r="E16" s="2"/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57062-552F-4B11-AEB6-C2C085C5AB59}">
  <dimension ref="A1:P70"/>
  <sheetViews>
    <sheetView topLeftCell="A5" workbookViewId="0">
      <selection activeCell="A11" sqref="A11:I12"/>
    </sheetView>
  </sheetViews>
  <sheetFormatPr defaultRowHeight="15" x14ac:dyDescent="0.25"/>
  <cols>
    <col min="1" max="1" width="10.5703125" bestFit="1" customWidth="1"/>
    <col min="3" max="3" width="19.7109375" bestFit="1" customWidth="1"/>
    <col min="4" max="4" width="23.7109375" bestFit="1" customWidth="1"/>
    <col min="6" max="6" width="10" bestFit="1" customWidth="1"/>
    <col min="7" max="7" width="28.28515625" bestFit="1" customWidth="1"/>
    <col min="8" max="8" width="27.140625" bestFit="1" customWidth="1"/>
    <col min="9" max="9" width="19.140625" bestFit="1" customWidth="1"/>
  </cols>
  <sheetData>
    <row r="1" spans="1:15" x14ac:dyDescent="0.25">
      <c r="A1" s="2" t="s">
        <v>65</v>
      </c>
      <c r="B1" s="4" t="s">
        <v>0</v>
      </c>
      <c r="C1" s="5" t="s">
        <v>1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66</v>
      </c>
      <c r="M1">
        <v>7437</v>
      </c>
      <c r="O1">
        <v>7380</v>
      </c>
    </row>
    <row r="2" spans="1:15" x14ac:dyDescent="0.25">
      <c r="A2" s="8">
        <v>45830</v>
      </c>
      <c r="B2" s="2">
        <v>3</v>
      </c>
      <c r="C2" s="25" t="s">
        <v>334</v>
      </c>
      <c r="D2" s="2" t="s">
        <v>349</v>
      </c>
      <c r="E2" s="3">
        <v>1129</v>
      </c>
      <c r="F2" s="3">
        <f>(B2*E2)</f>
        <v>3387</v>
      </c>
      <c r="G2" s="2" t="s">
        <v>8</v>
      </c>
      <c r="H2" s="8">
        <v>45834</v>
      </c>
      <c r="M2">
        <v>9000</v>
      </c>
      <c r="O2">
        <v>8500</v>
      </c>
    </row>
    <row r="3" spans="1:15" x14ac:dyDescent="0.25">
      <c r="A3" s="8">
        <v>45830</v>
      </c>
      <c r="B3" s="2">
        <v>3</v>
      </c>
      <c r="C3" s="25" t="s">
        <v>334</v>
      </c>
      <c r="D3" s="2" t="s">
        <v>349</v>
      </c>
      <c r="E3" s="3">
        <v>1033</v>
      </c>
      <c r="F3" s="3">
        <f>(B3*E3)</f>
        <v>3099</v>
      </c>
      <c r="G3" s="2" t="s">
        <v>8</v>
      </c>
      <c r="H3" s="8"/>
    </row>
    <row r="4" spans="1:15" x14ac:dyDescent="0.25">
      <c r="A4" s="8">
        <v>45830</v>
      </c>
      <c r="B4" s="2">
        <v>3</v>
      </c>
      <c r="C4" s="25" t="s">
        <v>350</v>
      </c>
      <c r="D4" s="2" t="s">
        <v>349</v>
      </c>
      <c r="E4" s="3">
        <v>751</v>
      </c>
      <c r="F4" s="3">
        <f t="shared" ref="F4:F25" si="0">(B4*E4)</f>
        <v>2253</v>
      </c>
      <c r="G4" s="2" t="s">
        <v>8</v>
      </c>
      <c r="H4" s="8">
        <v>45834</v>
      </c>
      <c r="M4">
        <v>4430</v>
      </c>
      <c r="O4">
        <v>9900</v>
      </c>
    </row>
    <row r="5" spans="1:15" x14ac:dyDescent="0.25">
      <c r="A5" s="8">
        <v>45830</v>
      </c>
      <c r="B5" s="10">
        <v>5</v>
      </c>
      <c r="C5" s="2" t="s">
        <v>323</v>
      </c>
      <c r="D5" s="2" t="s">
        <v>349</v>
      </c>
      <c r="E5" s="3">
        <v>679</v>
      </c>
      <c r="F5" s="3">
        <f t="shared" si="0"/>
        <v>3395</v>
      </c>
      <c r="G5" s="2" t="s">
        <v>8</v>
      </c>
      <c r="H5" s="8">
        <v>45834</v>
      </c>
      <c r="I5">
        <v>4</v>
      </c>
      <c r="M5">
        <v>9000</v>
      </c>
      <c r="O5">
        <v>9900</v>
      </c>
    </row>
    <row r="6" spans="1:15" x14ac:dyDescent="0.25">
      <c r="A6" s="8">
        <v>45830</v>
      </c>
      <c r="B6" s="2">
        <v>3</v>
      </c>
      <c r="C6" s="2" t="s">
        <v>317</v>
      </c>
      <c r="D6" s="2" t="s">
        <v>349</v>
      </c>
      <c r="E6" s="3">
        <v>348</v>
      </c>
      <c r="F6" s="3">
        <f t="shared" si="0"/>
        <v>1044</v>
      </c>
      <c r="G6" s="2" t="s">
        <v>8</v>
      </c>
      <c r="H6" s="8">
        <v>45834</v>
      </c>
      <c r="M6">
        <v>1654</v>
      </c>
      <c r="O6">
        <v>9900</v>
      </c>
    </row>
    <row r="7" spans="1:15" x14ac:dyDescent="0.25">
      <c r="A7" s="8">
        <v>45830</v>
      </c>
      <c r="B7" s="10">
        <v>3</v>
      </c>
      <c r="C7" s="2" t="s">
        <v>351</v>
      </c>
      <c r="D7" s="2" t="s">
        <v>349</v>
      </c>
      <c r="E7" s="3">
        <v>2834</v>
      </c>
      <c r="F7" s="3">
        <f t="shared" si="0"/>
        <v>8502</v>
      </c>
      <c r="G7" s="2" t="s">
        <v>8</v>
      </c>
      <c r="H7" s="8">
        <v>45834</v>
      </c>
      <c r="I7">
        <v>1</v>
      </c>
      <c r="M7">
        <v>3420</v>
      </c>
    </row>
    <row r="8" spans="1:15" x14ac:dyDescent="0.25">
      <c r="A8" s="8">
        <v>45830</v>
      </c>
      <c r="B8" s="2">
        <v>2</v>
      </c>
      <c r="C8" s="2" t="s">
        <v>352</v>
      </c>
      <c r="D8" s="2" t="s">
        <v>349</v>
      </c>
      <c r="E8" s="3">
        <v>3694</v>
      </c>
      <c r="F8" s="3">
        <f t="shared" si="0"/>
        <v>7388</v>
      </c>
      <c r="G8" s="2" t="s">
        <v>8</v>
      </c>
      <c r="H8" s="8">
        <v>45834</v>
      </c>
    </row>
    <row r="9" spans="1:15" x14ac:dyDescent="0.25">
      <c r="A9" s="8">
        <v>45830</v>
      </c>
      <c r="B9" s="2">
        <v>6</v>
      </c>
      <c r="C9" s="2" t="s">
        <v>353</v>
      </c>
      <c r="D9" s="2" t="s">
        <v>349</v>
      </c>
      <c r="E9" s="3">
        <v>2558</v>
      </c>
      <c r="F9" s="3">
        <f t="shared" si="0"/>
        <v>15348</v>
      </c>
      <c r="G9" s="2" t="s">
        <v>8</v>
      </c>
      <c r="H9" s="8">
        <v>45834</v>
      </c>
    </row>
    <row r="10" spans="1:15" x14ac:dyDescent="0.25">
      <c r="A10" s="8">
        <v>45830</v>
      </c>
      <c r="B10" s="2">
        <v>6</v>
      </c>
      <c r="C10" s="2" t="s">
        <v>354</v>
      </c>
      <c r="D10" s="2" t="s">
        <v>349</v>
      </c>
      <c r="E10" s="3">
        <v>3478</v>
      </c>
      <c r="F10" s="3">
        <f t="shared" si="0"/>
        <v>20868</v>
      </c>
      <c r="G10" s="2" t="s">
        <v>8</v>
      </c>
      <c r="H10" s="8">
        <v>45834</v>
      </c>
    </row>
    <row r="11" spans="1:15" x14ac:dyDescent="0.25">
      <c r="A11" s="34">
        <v>45830</v>
      </c>
      <c r="B11" s="35">
        <v>6</v>
      </c>
      <c r="C11" s="35" t="s">
        <v>352</v>
      </c>
      <c r="D11" s="35" t="s">
        <v>118</v>
      </c>
      <c r="E11" s="36">
        <v>3750</v>
      </c>
      <c r="F11" s="36">
        <f t="shared" si="0"/>
        <v>22500</v>
      </c>
      <c r="G11" s="35" t="s">
        <v>8</v>
      </c>
      <c r="H11" s="34">
        <v>45834</v>
      </c>
      <c r="I11" t="s">
        <v>415</v>
      </c>
    </row>
    <row r="12" spans="1:15" x14ac:dyDescent="0.25">
      <c r="A12" s="34">
        <v>45830</v>
      </c>
      <c r="B12" s="35">
        <v>8</v>
      </c>
      <c r="C12" s="35" t="s">
        <v>351</v>
      </c>
      <c r="D12" s="35" t="s">
        <v>118</v>
      </c>
      <c r="E12" s="36">
        <v>2885</v>
      </c>
      <c r="F12" s="36">
        <f t="shared" si="0"/>
        <v>23080</v>
      </c>
      <c r="G12" s="35" t="s">
        <v>8</v>
      </c>
      <c r="H12" s="34">
        <v>45834</v>
      </c>
      <c r="I12" t="s">
        <v>415</v>
      </c>
    </row>
    <row r="13" spans="1:15" x14ac:dyDescent="0.25">
      <c r="A13" s="8">
        <v>45826</v>
      </c>
      <c r="B13" s="2">
        <v>32</v>
      </c>
      <c r="C13" s="2" t="s">
        <v>356</v>
      </c>
      <c r="D13" s="2" t="s">
        <v>355</v>
      </c>
      <c r="E13" s="3">
        <v>629</v>
      </c>
      <c r="F13" s="3">
        <f t="shared" si="0"/>
        <v>20128</v>
      </c>
      <c r="G13" s="2" t="s">
        <v>348</v>
      </c>
      <c r="H13" s="2"/>
    </row>
    <row r="14" spans="1:15" x14ac:dyDescent="0.25">
      <c r="A14" s="8">
        <v>45826</v>
      </c>
      <c r="B14" s="2">
        <v>1</v>
      </c>
      <c r="C14" s="2" t="s">
        <v>357</v>
      </c>
      <c r="D14" s="2" t="s">
        <v>355</v>
      </c>
      <c r="E14" s="3">
        <v>75</v>
      </c>
      <c r="F14" s="3">
        <f t="shared" si="0"/>
        <v>75</v>
      </c>
      <c r="G14" s="2" t="s">
        <v>8</v>
      </c>
      <c r="H14" s="2"/>
    </row>
    <row r="15" spans="1:15" x14ac:dyDescent="0.25">
      <c r="A15" s="8">
        <v>45826</v>
      </c>
      <c r="B15" s="2">
        <v>1</v>
      </c>
      <c r="C15" s="2" t="s">
        <v>356</v>
      </c>
      <c r="D15" s="2" t="s">
        <v>361</v>
      </c>
      <c r="E15" s="3">
        <v>615</v>
      </c>
      <c r="F15" s="3">
        <f t="shared" si="0"/>
        <v>615</v>
      </c>
      <c r="G15" s="2" t="s">
        <v>393</v>
      </c>
      <c r="H15" s="2"/>
    </row>
    <row r="16" spans="1:15" x14ac:dyDescent="0.25">
      <c r="A16" s="8">
        <v>45826</v>
      </c>
      <c r="B16" s="2">
        <v>2</v>
      </c>
      <c r="C16" s="2" t="s">
        <v>356</v>
      </c>
      <c r="D16" s="2" t="s">
        <v>364</v>
      </c>
      <c r="E16" s="3">
        <v>629</v>
      </c>
      <c r="F16" s="3">
        <f t="shared" si="0"/>
        <v>1258</v>
      </c>
      <c r="G16" s="2" t="s">
        <v>8</v>
      </c>
      <c r="H16" s="2"/>
    </row>
    <row r="17" spans="1:16" x14ac:dyDescent="0.25">
      <c r="A17" s="8">
        <v>45826</v>
      </c>
      <c r="B17" s="2">
        <v>1</v>
      </c>
      <c r="C17" s="2" t="s">
        <v>356</v>
      </c>
      <c r="D17" s="2" t="s">
        <v>360</v>
      </c>
      <c r="E17" s="3">
        <v>615</v>
      </c>
      <c r="F17" s="3">
        <f t="shared" si="0"/>
        <v>615</v>
      </c>
      <c r="G17" s="2" t="s">
        <v>8</v>
      </c>
      <c r="H17" s="2"/>
    </row>
    <row r="18" spans="1:16" x14ac:dyDescent="0.25">
      <c r="A18" s="8">
        <v>45826</v>
      </c>
      <c r="B18" s="2">
        <v>4</v>
      </c>
      <c r="C18" s="2" t="s">
        <v>323</v>
      </c>
      <c r="D18" s="2" t="s">
        <v>358</v>
      </c>
      <c r="E18" s="3">
        <v>648</v>
      </c>
      <c r="F18" s="3">
        <f t="shared" si="0"/>
        <v>2592</v>
      </c>
      <c r="G18" s="2" t="s">
        <v>8</v>
      </c>
      <c r="H18" s="2"/>
      <c r="P18">
        <v>120</v>
      </c>
    </row>
    <row r="19" spans="1:16" x14ac:dyDescent="0.25">
      <c r="A19" s="8">
        <v>45826</v>
      </c>
      <c r="B19" s="2">
        <v>1</v>
      </c>
      <c r="C19" s="2" t="s">
        <v>359</v>
      </c>
      <c r="D19" s="2" t="s">
        <v>358</v>
      </c>
      <c r="E19" s="3">
        <v>2799</v>
      </c>
      <c r="F19" s="3">
        <f t="shared" si="0"/>
        <v>2799</v>
      </c>
      <c r="G19" s="2" t="s">
        <v>368</v>
      </c>
      <c r="H19" s="2"/>
      <c r="P19">
        <v>140</v>
      </c>
    </row>
    <row r="20" spans="1:16" x14ac:dyDescent="0.25">
      <c r="A20" s="8">
        <v>45832</v>
      </c>
      <c r="B20" s="2">
        <v>2</v>
      </c>
      <c r="C20" s="2" t="s">
        <v>356</v>
      </c>
      <c r="D20" s="2" t="s">
        <v>360</v>
      </c>
      <c r="E20" s="3">
        <v>615</v>
      </c>
      <c r="F20" s="3">
        <f t="shared" si="0"/>
        <v>1230</v>
      </c>
      <c r="G20" s="2" t="s">
        <v>8</v>
      </c>
      <c r="H20" s="2"/>
      <c r="P20">
        <v>140</v>
      </c>
    </row>
    <row r="21" spans="1:16" x14ac:dyDescent="0.25">
      <c r="A21" s="8">
        <v>45832</v>
      </c>
      <c r="B21" s="2">
        <v>2</v>
      </c>
      <c r="C21" s="2" t="s">
        <v>356</v>
      </c>
      <c r="D21" s="2" t="s">
        <v>362</v>
      </c>
      <c r="E21" s="3">
        <v>615</v>
      </c>
      <c r="F21" s="3">
        <f t="shared" si="0"/>
        <v>1230</v>
      </c>
      <c r="G21" s="2" t="s">
        <v>8</v>
      </c>
      <c r="H21" s="2"/>
      <c r="P21">
        <v>190</v>
      </c>
    </row>
    <row r="22" spans="1:16" x14ac:dyDescent="0.25">
      <c r="A22" s="8">
        <v>45832</v>
      </c>
      <c r="B22" s="2">
        <v>2</v>
      </c>
      <c r="C22" s="2" t="s">
        <v>356</v>
      </c>
      <c r="D22" s="2" t="s">
        <v>101</v>
      </c>
      <c r="E22" s="3">
        <v>629</v>
      </c>
      <c r="F22" s="3">
        <f t="shared" si="0"/>
        <v>1258</v>
      </c>
      <c r="G22" s="2" t="s">
        <v>393</v>
      </c>
      <c r="H22" s="2"/>
      <c r="P22">
        <v>190</v>
      </c>
    </row>
    <row r="23" spans="1:16" x14ac:dyDescent="0.25">
      <c r="A23" s="49">
        <v>45832</v>
      </c>
      <c r="B23" s="10">
        <v>4</v>
      </c>
      <c r="C23" s="10" t="s">
        <v>323</v>
      </c>
      <c r="D23" s="10" t="s">
        <v>358</v>
      </c>
      <c r="E23" s="50">
        <v>648</v>
      </c>
      <c r="F23" s="50">
        <f t="shared" si="0"/>
        <v>2592</v>
      </c>
      <c r="G23" s="10" t="s">
        <v>412</v>
      </c>
      <c r="H23" s="64" t="s">
        <v>552</v>
      </c>
      <c r="P23">
        <v>190</v>
      </c>
    </row>
    <row r="24" spans="1:16" x14ac:dyDescent="0.25">
      <c r="A24" s="8">
        <v>45833</v>
      </c>
      <c r="B24" s="2">
        <v>40</v>
      </c>
      <c r="C24" s="2" t="s">
        <v>317</v>
      </c>
      <c r="D24" s="2" t="s">
        <v>366</v>
      </c>
      <c r="E24" s="3">
        <v>340</v>
      </c>
      <c r="F24" s="3">
        <f t="shared" si="0"/>
        <v>13600</v>
      </c>
      <c r="G24" s="2" t="s">
        <v>8</v>
      </c>
      <c r="H24" s="2"/>
      <c r="P24">
        <v>652</v>
      </c>
    </row>
    <row r="25" spans="1:16" x14ac:dyDescent="0.25">
      <c r="A25" s="62">
        <v>45810</v>
      </c>
      <c r="B25" s="16">
        <v>200</v>
      </c>
      <c r="C25" s="16" t="s">
        <v>317</v>
      </c>
      <c r="D25" s="16" t="s">
        <v>335</v>
      </c>
      <c r="E25" s="63">
        <v>330</v>
      </c>
      <c r="F25" s="63">
        <f t="shared" si="0"/>
        <v>66000</v>
      </c>
      <c r="G25" s="16" t="s">
        <v>62</v>
      </c>
      <c r="H25" s="16" t="s">
        <v>414</v>
      </c>
      <c r="P25">
        <v>474.5</v>
      </c>
    </row>
    <row r="26" spans="1:16" x14ac:dyDescent="0.25">
      <c r="A26" s="49">
        <v>45837</v>
      </c>
      <c r="B26" s="10">
        <v>4</v>
      </c>
      <c r="C26" s="10" t="s">
        <v>323</v>
      </c>
      <c r="D26" s="10" t="s">
        <v>358</v>
      </c>
      <c r="E26" s="10">
        <v>699</v>
      </c>
      <c r="F26" s="10">
        <v>0</v>
      </c>
      <c r="G26" s="10" t="s">
        <v>24</v>
      </c>
      <c r="H26" s="10" t="s">
        <v>369</v>
      </c>
      <c r="P26">
        <v>3461</v>
      </c>
    </row>
    <row r="27" spans="1:16" x14ac:dyDescent="0.25">
      <c r="A27" s="49">
        <v>45837</v>
      </c>
      <c r="B27" s="10">
        <v>2</v>
      </c>
      <c r="C27" s="10" t="s">
        <v>323</v>
      </c>
      <c r="D27" s="10" t="s">
        <v>358</v>
      </c>
      <c r="E27" s="10">
        <v>699</v>
      </c>
      <c r="F27" s="10">
        <v>0</v>
      </c>
      <c r="G27" s="10" t="s">
        <v>24</v>
      </c>
      <c r="H27" s="10" t="s">
        <v>370</v>
      </c>
      <c r="I27" s="71" t="s">
        <v>625</v>
      </c>
    </row>
    <row r="28" spans="1:16" x14ac:dyDescent="0.25">
      <c r="A28" s="8">
        <v>45837</v>
      </c>
      <c r="B28" s="2">
        <v>2</v>
      </c>
      <c r="C28" s="2" t="s">
        <v>323</v>
      </c>
      <c r="D28" s="2" t="s">
        <v>371</v>
      </c>
      <c r="E28" s="2">
        <v>707</v>
      </c>
      <c r="F28" s="2">
        <v>1412.75</v>
      </c>
      <c r="G28" s="2" t="s">
        <v>413</v>
      </c>
      <c r="H28" s="2"/>
    </row>
    <row r="29" spans="1:16" x14ac:dyDescent="0.25">
      <c r="A29" s="2"/>
      <c r="B29" s="2"/>
      <c r="C29" s="2"/>
      <c r="D29" s="2"/>
      <c r="E29" s="2"/>
      <c r="F29" s="2"/>
      <c r="G29" s="2"/>
      <c r="H29" s="2"/>
    </row>
    <row r="30" spans="1:16" x14ac:dyDescent="0.25">
      <c r="A30" s="2"/>
      <c r="B30" s="2"/>
      <c r="C30" s="2"/>
      <c r="D30" s="2"/>
      <c r="E30" s="2"/>
      <c r="F30" s="2"/>
      <c r="G30" s="2"/>
      <c r="H30" s="2"/>
    </row>
    <row r="31" spans="1:16" x14ac:dyDescent="0.25">
      <c r="A31" s="2"/>
      <c r="B31" s="2"/>
      <c r="C31" s="2"/>
      <c r="D31" s="2"/>
      <c r="E31" s="2"/>
      <c r="F31" s="2"/>
      <c r="G31" s="2"/>
      <c r="H31" s="2"/>
    </row>
    <row r="32" spans="1:16" x14ac:dyDescent="0.25">
      <c r="A32" s="2"/>
      <c r="B32" s="2"/>
      <c r="C32" s="2"/>
      <c r="D32" s="2"/>
      <c r="E32" s="2"/>
      <c r="F32" s="2"/>
      <c r="G32" s="2"/>
      <c r="H32" s="2"/>
    </row>
    <row r="33" spans="1:8" x14ac:dyDescent="0.25">
      <c r="A33" s="2"/>
      <c r="B33" s="2"/>
      <c r="C33" s="2"/>
      <c r="D33" s="2"/>
      <c r="E33" s="2"/>
      <c r="F33" s="2"/>
      <c r="G33" s="2"/>
      <c r="H33" s="2"/>
    </row>
    <row r="34" spans="1:8" x14ac:dyDescent="0.25">
      <c r="A34" s="2"/>
      <c r="B34" s="2"/>
      <c r="C34" s="2"/>
      <c r="D34" s="2"/>
      <c r="E34" s="2"/>
      <c r="F34" s="2"/>
      <c r="G34" s="2"/>
      <c r="H34" s="2"/>
    </row>
    <row r="35" spans="1:8" x14ac:dyDescent="0.25">
      <c r="A35" s="2"/>
      <c r="B35" s="2"/>
      <c r="C35" s="2"/>
      <c r="D35" s="2"/>
      <c r="E35" s="2"/>
      <c r="F35" s="2"/>
      <c r="G35" s="2"/>
      <c r="H35" s="2"/>
    </row>
    <row r="36" spans="1:8" x14ac:dyDescent="0.25">
      <c r="A36" s="2"/>
      <c r="B36" s="2"/>
      <c r="C36" s="2"/>
      <c r="D36" s="2"/>
      <c r="E36" s="2"/>
      <c r="F36" s="2"/>
      <c r="G36" s="2"/>
      <c r="H36" s="2"/>
    </row>
    <row r="37" spans="1:8" x14ac:dyDescent="0.25">
      <c r="A37" s="2"/>
      <c r="B37" s="2"/>
      <c r="C37" s="2"/>
      <c r="D37" s="2"/>
      <c r="E37" s="2"/>
      <c r="F37" s="2"/>
      <c r="G37" s="2"/>
      <c r="H37" s="2"/>
    </row>
    <row r="38" spans="1:8" x14ac:dyDescent="0.25">
      <c r="A38" s="2"/>
      <c r="B38" s="2"/>
      <c r="C38" s="2"/>
      <c r="D38" s="2"/>
      <c r="E38" s="2"/>
      <c r="F38" s="2"/>
      <c r="G38" s="2"/>
      <c r="H38" s="2"/>
    </row>
    <row r="39" spans="1:8" x14ac:dyDescent="0.25">
      <c r="A39" s="2"/>
      <c r="B39" s="2"/>
      <c r="C39" s="2"/>
      <c r="D39" s="2"/>
      <c r="E39" s="2"/>
      <c r="F39" s="2"/>
      <c r="G39" s="2"/>
      <c r="H39" s="2"/>
    </row>
    <row r="40" spans="1:8" x14ac:dyDescent="0.25">
      <c r="A40" s="2"/>
      <c r="B40" s="2"/>
      <c r="C40" s="2"/>
      <c r="D40" s="2"/>
      <c r="E40" s="2"/>
      <c r="F40" s="2"/>
      <c r="G40" s="2"/>
      <c r="H40" s="2"/>
    </row>
    <row r="41" spans="1:8" x14ac:dyDescent="0.25">
      <c r="A41" s="2"/>
      <c r="B41" s="2"/>
      <c r="C41" s="2"/>
      <c r="D41" s="2"/>
      <c r="E41" s="2"/>
      <c r="F41" s="2"/>
      <c r="G41" s="2"/>
      <c r="H41" s="2"/>
    </row>
    <row r="42" spans="1:8" x14ac:dyDescent="0.25">
      <c r="A42" s="2"/>
      <c r="B42" s="2"/>
      <c r="C42" s="2"/>
      <c r="D42" s="2"/>
      <c r="E42" s="2"/>
      <c r="F42" s="2"/>
      <c r="G42" s="2"/>
      <c r="H42" s="2"/>
    </row>
    <row r="43" spans="1:8" x14ac:dyDescent="0.25">
      <c r="A43" s="2"/>
      <c r="B43" s="2"/>
      <c r="C43" s="2"/>
      <c r="D43" s="2"/>
      <c r="E43" s="2"/>
      <c r="F43" s="2"/>
      <c r="G43" s="2"/>
      <c r="H43" s="2"/>
    </row>
    <row r="44" spans="1:8" x14ac:dyDescent="0.25">
      <c r="A44" s="2"/>
      <c r="B44" s="2"/>
      <c r="C44" s="2"/>
      <c r="D44" s="2"/>
      <c r="E44" s="2"/>
      <c r="F44" s="2"/>
      <c r="G44" s="2"/>
      <c r="H44" s="2"/>
    </row>
    <row r="45" spans="1:8" x14ac:dyDescent="0.25">
      <c r="A45" s="2"/>
      <c r="B45" s="2"/>
      <c r="C45" s="2"/>
      <c r="D45" s="2"/>
      <c r="E45" s="2"/>
      <c r="F45" s="2"/>
      <c r="G45" s="2"/>
      <c r="H45" s="2"/>
    </row>
    <row r="46" spans="1:8" x14ac:dyDescent="0.25">
      <c r="A46" s="2"/>
      <c r="B46" s="2"/>
      <c r="C46" s="2"/>
      <c r="D46" s="2"/>
      <c r="E46" s="2"/>
      <c r="F46" s="2"/>
      <c r="G46" s="2"/>
      <c r="H46" s="2"/>
    </row>
    <row r="47" spans="1:8" x14ac:dyDescent="0.25">
      <c r="A47" s="2"/>
      <c r="B47" s="2"/>
      <c r="C47" s="2"/>
      <c r="D47" s="2"/>
      <c r="E47" s="2"/>
      <c r="F47" s="2"/>
      <c r="G47" s="2"/>
      <c r="H47" s="2"/>
    </row>
    <row r="48" spans="1:8" x14ac:dyDescent="0.25">
      <c r="A48" s="2"/>
      <c r="B48" s="2"/>
      <c r="C48" s="2"/>
      <c r="D48" s="2"/>
      <c r="E48" s="2"/>
      <c r="F48" s="2"/>
      <c r="G48" s="2"/>
      <c r="H48" s="2"/>
    </row>
    <row r="49" spans="1:8" x14ac:dyDescent="0.25">
      <c r="A49" s="2"/>
      <c r="B49" s="2"/>
      <c r="C49" s="2"/>
      <c r="D49" s="2"/>
      <c r="E49" s="2"/>
      <c r="F49" s="2"/>
      <c r="G49" s="2"/>
      <c r="H49" s="2"/>
    </row>
    <row r="50" spans="1:8" x14ac:dyDescent="0.25">
      <c r="A50" s="2"/>
      <c r="B50" s="2"/>
      <c r="C50" s="2"/>
      <c r="D50" s="2"/>
      <c r="E50" s="2"/>
      <c r="F50" s="2"/>
      <c r="G50" s="2"/>
      <c r="H50" s="2"/>
    </row>
    <row r="51" spans="1:8" x14ac:dyDescent="0.25">
      <c r="A51" s="2"/>
      <c r="B51" s="2"/>
      <c r="C51" s="2"/>
      <c r="D51" s="2"/>
      <c r="E51" s="2"/>
      <c r="F51" s="2"/>
      <c r="G51" s="2"/>
      <c r="H51" s="2"/>
    </row>
    <row r="52" spans="1:8" x14ac:dyDescent="0.25">
      <c r="A52" s="2"/>
      <c r="B52" s="2"/>
      <c r="C52" s="2"/>
      <c r="D52" s="2"/>
      <c r="E52" s="2"/>
      <c r="F52" s="2"/>
      <c r="G52" s="2"/>
      <c r="H52" s="2"/>
    </row>
    <row r="53" spans="1:8" x14ac:dyDescent="0.25">
      <c r="A53" s="2"/>
      <c r="B53" s="2"/>
      <c r="C53" s="2"/>
      <c r="D53" s="2"/>
      <c r="E53" s="2"/>
      <c r="F53" s="2"/>
      <c r="G53" s="2"/>
      <c r="H53" s="2"/>
    </row>
    <row r="54" spans="1:8" x14ac:dyDescent="0.25">
      <c r="A54" s="2"/>
      <c r="B54" s="2"/>
      <c r="C54" s="2"/>
      <c r="D54" s="2"/>
      <c r="E54" s="2"/>
      <c r="F54" s="2"/>
      <c r="G54" s="2"/>
      <c r="H54" s="2"/>
    </row>
    <row r="55" spans="1:8" x14ac:dyDescent="0.25">
      <c r="A55" s="2"/>
      <c r="B55" s="2"/>
      <c r="C55" s="2"/>
      <c r="D55" s="2"/>
      <c r="E55" s="2"/>
      <c r="F55" s="2"/>
      <c r="G55" s="2"/>
      <c r="H55" s="2"/>
    </row>
    <row r="56" spans="1:8" x14ac:dyDescent="0.25">
      <c r="A56" s="2"/>
      <c r="B56" s="2"/>
      <c r="C56" s="2"/>
      <c r="D56" s="2"/>
      <c r="E56" s="2"/>
      <c r="F56" s="2"/>
      <c r="G56" s="2"/>
      <c r="H56" s="2"/>
    </row>
    <row r="57" spans="1:8" x14ac:dyDescent="0.25">
      <c r="A57" s="2"/>
      <c r="B57" s="2"/>
      <c r="C57" s="2"/>
      <c r="D57" s="2"/>
      <c r="E57" s="2"/>
      <c r="F57" s="2"/>
      <c r="G57" s="2"/>
      <c r="H57" s="2"/>
    </row>
    <row r="58" spans="1:8" x14ac:dyDescent="0.25">
      <c r="A58" s="2"/>
      <c r="B58" s="2"/>
      <c r="C58" s="2"/>
      <c r="D58" s="2"/>
      <c r="E58" s="2"/>
      <c r="F58" s="2"/>
      <c r="G58" s="2"/>
      <c r="H58" s="2"/>
    </row>
    <row r="59" spans="1:8" x14ac:dyDescent="0.25">
      <c r="A59" s="2"/>
      <c r="B59" s="2"/>
      <c r="C59" s="2"/>
      <c r="D59" s="2"/>
      <c r="E59" s="2"/>
      <c r="F59" s="2"/>
      <c r="G59" s="2"/>
      <c r="H59" s="2"/>
    </row>
    <row r="60" spans="1:8" x14ac:dyDescent="0.25">
      <c r="A60" s="2"/>
      <c r="B60" s="2"/>
      <c r="C60" s="2"/>
      <c r="D60" s="2"/>
      <c r="E60" s="2"/>
      <c r="F60" s="2"/>
      <c r="G60" s="2"/>
      <c r="H60" s="2"/>
    </row>
    <row r="61" spans="1:8" x14ac:dyDescent="0.25">
      <c r="A61" s="2"/>
      <c r="B61" s="2"/>
      <c r="C61" s="2"/>
      <c r="D61" s="2"/>
      <c r="E61" s="2"/>
      <c r="F61" s="2"/>
      <c r="G61" s="2"/>
      <c r="H61" s="2"/>
    </row>
    <row r="62" spans="1:8" x14ac:dyDescent="0.25">
      <c r="A62" s="2"/>
      <c r="B62" s="2"/>
      <c r="C62" s="2"/>
      <c r="D62" s="2"/>
      <c r="E62" s="2"/>
      <c r="F62" s="2"/>
      <c r="G62" s="2"/>
      <c r="H62" s="2"/>
    </row>
    <row r="63" spans="1:8" x14ac:dyDescent="0.25">
      <c r="A63" s="2"/>
      <c r="B63" s="2"/>
      <c r="C63" s="2"/>
      <c r="D63" s="2"/>
      <c r="E63" s="2"/>
      <c r="F63" s="2"/>
      <c r="G63" s="2"/>
      <c r="H63" s="2"/>
    </row>
    <row r="64" spans="1:8" x14ac:dyDescent="0.25">
      <c r="A64" s="2"/>
      <c r="B64" s="2"/>
      <c r="C64" s="2"/>
      <c r="D64" s="2"/>
      <c r="E64" s="2"/>
      <c r="F64" s="2"/>
      <c r="G64" s="2"/>
      <c r="H64" s="2"/>
    </row>
    <row r="65" spans="1:8" x14ac:dyDescent="0.25">
      <c r="A65" s="2"/>
      <c r="B65" s="2"/>
      <c r="C65" s="2"/>
      <c r="D65" s="2"/>
      <c r="E65" s="2"/>
      <c r="F65" s="2"/>
      <c r="G65" s="2"/>
      <c r="H65" s="2"/>
    </row>
    <row r="66" spans="1:8" x14ac:dyDescent="0.25">
      <c r="A66" s="2"/>
      <c r="B66" s="2"/>
      <c r="C66" s="2"/>
      <c r="D66" s="2"/>
      <c r="E66" s="2"/>
      <c r="F66" s="2"/>
      <c r="G66" s="2"/>
      <c r="H66" s="2"/>
    </row>
    <row r="67" spans="1:8" x14ac:dyDescent="0.25">
      <c r="A67" s="2"/>
      <c r="B67" s="2"/>
      <c r="C67" s="2"/>
      <c r="D67" s="2"/>
      <c r="E67" s="2"/>
      <c r="F67" s="2"/>
      <c r="G67" s="2"/>
      <c r="H67" s="2"/>
    </row>
    <row r="68" spans="1:8" x14ac:dyDescent="0.25">
      <c r="A68" s="2"/>
      <c r="B68" s="2"/>
      <c r="C68" s="2"/>
      <c r="D68" s="2"/>
      <c r="E68" s="2"/>
      <c r="F68" s="2"/>
      <c r="G68" s="2"/>
      <c r="H68" s="2"/>
    </row>
    <row r="69" spans="1:8" x14ac:dyDescent="0.25">
      <c r="A69" s="2"/>
      <c r="B69" s="2"/>
      <c r="C69" s="2"/>
      <c r="D69" s="2"/>
      <c r="E69" s="2"/>
      <c r="F69" s="2"/>
      <c r="G69" s="2"/>
      <c r="H69" s="2"/>
    </row>
    <row r="70" spans="1:8" x14ac:dyDescent="0.25">
      <c r="A70" s="2"/>
      <c r="B70" s="2"/>
      <c r="C70" s="2"/>
      <c r="D70" s="2"/>
      <c r="E70" s="2"/>
      <c r="F70" s="2"/>
      <c r="G70" s="2"/>
      <c r="H70" s="2"/>
    </row>
  </sheetData>
  <autoFilter ref="A1:P70" xr:uid="{08457062-552F-4B11-AEB6-C2C085C5AB59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B8CDA-1945-474E-B42E-BED211C1449D}">
  <dimension ref="A1:N45"/>
  <sheetViews>
    <sheetView topLeftCell="A22" workbookViewId="0">
      <selection activeCell="D49" sqref="D49"/>
    </sheetView>
  </sheetViews>
  <sheetFormatPr defaultRowHeight="15" x14ac:dyDescent="0.25"/>
  <cols>
    <col min="1" max="1" width="11.5703125" bestFit="1" customWidth="1"/>
    <col min="2" max="2" width="12" bestFit="1" customWidth="1"/>
    <col min="3" max="3" width="26.42578125" bestFit="1" customWidth="1"/>
    <col min="4" max="4" width="30.7109375" bestFit="1" customWidth="1"/>
    <col min="5" max="5" width="8.85546875" style="60"/>
    <col min="6" max="6" width="15.85546875" style="60" bestFit="1" customWidth="1"/>
    <col min="7" max="7" width="33.28515625" bestFit="1" customWidth="1"/>
    <col min="8" max="8" width="20.7109375" bestFit="1" customWidth="1"/>
  </cols>
  <sheetData>
    <row r="1" spans="1: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</row>
    <row r="2" spans="1:8" x14ac:dyDescent="0.25">
      <c r="A2" s="8">
        <v>45873</v>
      </c>
      <c r="B2" s="2">
        <v>1</v>
      </c>
      <c r="C2" s="2" t="s">
        <v>468</v>
      </c>
      <c r="D2" s="2" t="s">
        <v>28</v>
      </c>
      <c r="E2" s="3">
        <v>285</v>
      </c>
      <c r="F2" s="3">
        <f>B2*E2</f>
        <v>285</v>
      </c>
      <c r="G2" s="2" t="s">
        <v>8</v>
      </c>
      <c r="H2" s="2"/>
    </row>
    <row r="3" spans="1:8" x14ac:dyDescent="0.25">
      <c r="A3" s="8">
        <v>45873</v>
      </c>
      <c r="B3" s="2">
        <v>2</v>
      </c>
      <c r="C3" s="2" t="s">
        <v>468</v>
      </c>
      <c r="D3" s="2" t="s">
        <v>28</v>
      </c>
      <c r="E3" s="3">
        <v>285</v>
      </c>
      <c r="F3" s="3">
        <f>B3*E3</f>
        <v>570</v>
      </c>
      <c r="G3" s="2" t="s">
        <v>348</v>
      </c>
      <c r="H3" s="2"/>
    </row>
    <row r="4" spans="1:8" x14ac:dyDescent="0.25">
      <c r="A4" s="8">
        <v>45875</v>
      </c>
      <c r="B4" s="2">
        <v>1</v>
      </c>
      <c r="C4" s="2" t="s">
        <v>295</v>
      </c>
      <c r="D4" s="2" t="s">
        <v>70</v>
      </c>
      <c r="E4" s="3">
        <v>274</v>
      </c>
      <c r="F4" s="3">
        <v>274</v>
      </c>
      <c r="G4" s="2" t="s">
        <v>8</v>
      </c>
      <c r="H4" s="2"/>
    </row>
    <row r="5" spans="1:8" x14ac:dyDescent="0.25">
      <c r="A5" s="8">
        <v>45876</v>
      </c>
      <c r="B5" s="2">
        <v>30</v>
      </c>
      <c r="C5" s="2" t="s">
        <v>295</v>
      </c>
      <c r="D5" s="2" t="s">
        <v>506</v>
      </c>
      <c r="E5" s="3">
        <v>274</v>
      </c>
      <c r="F5" s="3">
        <f t="shared" ref="F5:F8" si="0">B5*E5</f>
        <v>8220</v>
      </c>
      <c r="G5" s="2" t="s">
        <v>538</v>
      </c>
      <c r="H5" s="2" t="s">
        <v>535</v>
      </c>
    </row>
    <row r="6" spans="1:8" x14ac:dyDescent="0.25">
      <c r="A6" s="8">
        <v>45880</v>
      </c>
      <c r="B6" s="2">
        <v>4</v>
      </c>
      <c r="C6" s="2" t="s">
        <v>295</v>
      </c>
      <c r="D6" s="2" t="s">
        <v>489</v>
      </c>
      <c r="E6" s="3">
        <v>274</v>
      </c>
      <c r="F6" s="3">
        <f t="shared" si="0"/>
        <v>1096</v>
      </c>
      <c r="G6" s="2" t="s">
        <v>8</v>
      </c>
      <c r="H6" s="2"/>
    </row>
    <row r="7" spans="1:8" x14ac:dyDescent="0.25">
      <c r="A7" s="8">
        <v>45880</v>
      </c>
      <c r="B7" s="2">
        <v>4</v>
      </c>
      <c r="C7" s="2" t="s">
        <v>295</v>
      </c>
      <c r="D7" s="2" t="s">
        <v>490</v>
      </c>
      <c r="E7" s="3">
        <v>274</v>
      </c>
      <c r="F7" s="3">
        <f t="shared" si="0"/>
        <v>1096</v>
      </c>
      <c r="G7" s="2" t="s">
        <v>8</v>
      </c>
      <c r="H7" s="2"/>
    </row>
    <row r="8" spans="1:8" x14ac:dyDescent="0.25">
      <c r="A8" s="8">
        <v>45880</v>
      </c>
      <c r="B8" s="2">
        <v>2</v>
      </c>
      <c r="C8" s="2" t="s">
        <v>295</v>
      </c>
      <c r="D8" s="2" t="s">
        <v>491</v>
      </c>
      <c r="E8" s="3">
        <v>274</v>
      </c>
      <c r="F8" s="3">
        <f t="shared" si="0"/>
        <v>548</v>
      </c>
      <c r="G8" s="2" t="s">
        <v>8</v>
      </c>
      <c r="H8" s="2"/>
    </row>
    <row r="9" spans="1:8" x14ac:dyDescent="0.25">
      <c r="A9" s="8">
        <v>45881</v>
      </c>
      <c r="B9" s="2">
        <f>F9/E9</f>
        <v>4</v>
      </c>
      <c r="C9" s="2" t="s">
        <v>295</v>
      </c>
      <c r="D9" s="2" t="s">
        <v>492</v>
      </c>
      <c r="E9" s="3">
        <v>274</v>
      </c>
      <c r="F9" s="3">
        <v>1096</v>
      </c>
      <c r="G9" s="2" t="s">
        <v>8</v>
      </c>
      <c r="H9" s="2"/>
    </row>
    <row r="10" spans="1:8" x14ac:dyDescent="0.25">
      <c r="A10" s="8">
        <v>45881</v>
      </c>
      <c r="B10" s="2">
        <f t="shared" ref="B10:B28" si="1">F10/E10</f>
        <v>8</v>
      </c>
      <c r="C10" s="2" t="s">
        <v>295</v>
      </c>
      <c r="D10" s="2" t="s">
        <v>492</v>
      </c>
      <c r="E10" s="3">
        <v>274</v>
      </c>
      <c r="F10" s="3">
        <v>2192</v>
      </c>
      <c r="G10" s="2" t="s">
        <v>8</v>
      </c>
      <c r="H10" s="2"/>
    </row>
    <row r="11" spans="1:8" x14ac:dyDescent="0.25">
      <c r="A11" s="8">
        <v>45881</v>
      </c>
      <c r="B11" s="2">
        <f t="shared" si="1"/>
        <v>4</v>
      </c>
      <c r="C11" s="2" t="s">
        <v>295</v>
      </c>
      <c r="D11" s="2" t="s">
        <v>493</v>
      </c>
      <c r="E11" s="3">
        <v>274</v>
      </c>
      <c r="F11" s="3">
        <v>1096</v>
      </c>
      <c r="G11" s="2" t="s">
        <v>8</v>
      </c>
      <c r="H11" s="2"/>
    </row>
    <row r="12" spans="1:8" x14ac:dyDescent="0.25">
      <c r="A12" s="8">
        <v>45881</v>
      </c>
      <c r="B12" s="2">
        <f t="shared" si="1"/>
        <v>4</v>
      </c>
      <c r="C12" s="2" t="s">
        <v>295</v>
      </c>
      <c r="D12" s="2" t="s">
        <v>494</v>
      </c>
      <c r="E12" s="3">
        <v>274</v>
      </c>
      <c r="F12" s="3">
        <v>1096</v>
      </c>
      <c r="G12" s="2" t="s">
        <v>8</v>
      </c>
      <c r="H12" s="2"/>
    </row>
    <row r="13" spans="1:8" x14ac:dyDescent="0.25">
      <c r="A13" s="8">
        <v>45881</v>
      </c>
      <c r="B13" s="2">
        <v>12</v>
      </c>
      <c r="C13" s="2" t="s">
        <v>295</v>
      </c>
      <c r="D13" s="2" t="s">
        <v>494</v>
      </c>
      <c r="E13" s="3">
        <v>274</v>
      </c>
      <c r="F13" s="3">
        <v>3291</v>
      </c>
      <c r="G13" s="2" t="s">
        <v>8</v>
      </c>
      <c r="H13" s="2"/>
    </row>
    <row r="14" spans="1:8" x14ac:dyDescent="0.25">
      <c r="A14" s="8">
        <v>45881</v>
      </c>
      <c r="B14" s="2">
        <f t="shared" si="1"/>
        <v>4</v>
      </c>
      <c r="C14" s="2" t="s">
        <v>295</v>
      </c>
      <c r="D14" s="2" t="s">
        <v>490</v>
      </c>
      <c r="E14" s="3">
        <v>274</v>
      </c>
      <c r="F14" s="3">
        <v>1096</v>
      </c>
      <c r="G14" s="2" t="s">
        <v>8</v>
      </c>
      <c r="H14" s="2"/>
    </row>
    <row r="15" spans="1:8" x14ac:dyDescent="0.25">
      <c r="A15" s="8">
        <v>45882</v>
      </c>
      <c r="B15" s="2">
        <f t="shared" si="1"/>
        <v>2</v>
      </c>
      <c r="C15" s="2" t="s">
        <v>295</v>
      </c>
      <c r="D15" s="2" t="s">
        <v>490</v>
      </c>
      <c r="E15" s="3">
        <v>274</v>
      </c>
      <c r="F15" s="3">
        <v>548</v>
      </c>
      <c r="G15" s="2" t="s">
        <v>8</v>
      </c>
      <c r="H15" s="2"/>
    </row>
    <row r="16" spans="1:8" x14ac:dyDescent="0.25">
      <c r="A16" s="8">
        <v>45882</v>
      </c>
      <c r="B16" s="2">
        <f t="shared" si="1"/>
        <v>2</v>
      </c>
      <c r="C16" s="2" t="s">
        <v>295</v>
      </c>
      <c r="D16" s="2" t="s">
        <v>490</v>
      </c>
      <c r="E16" s="3">
        <v>274</v>
      </c>
      <c r="F16" s="3">
        <v>548</v>
      </c>
      <c r="G16" s="2" t="s">
        <v>8</v>
      </c>
      <c r="H16" s="2"/>
    </row>
    <row r="17" spans="1:14" x14ac:dyDescent="0.25">
      <c r="A17" s="8">
        <v>45882</v>
      </c>
      <c r="B17" s="2">
        <f t="shared" si="1"/>
        <v>2</v>
      </c>
      <c r="C17" s="2" t="s">
        <v>295</v>
      </c>
      <c r="D17" s="2" t="s">
        <v>495</v>
      </c>
      <c r="E17" s="3">
        <v>274</v>
      </c>
      <c r="F17" s="3">
        <v>548</v>
      </c>
      <c r="G17" s="2" t="s">
        <v>8</v>
      </c>
      <c r="H17" s="2"/>
    </row>
    <row r="18" spans="1:14" x14ac:dyDescent="0.25">
      <c r="A18" s="8">
        <v>45882</v>
      </c>
      <c r="B18" s="2">
        <f t="shared" si="1"/>
        <v>4</v>
      </c>
      <c r="C18" s="2" t="s">
        <v>295</v>
      </c>
      <c r="D18" s="2" t="s">
        <v>496</v>
      </c>
      <c r="E18" s="3">
        <v>274</v>
      </c>
      <c r="F18" s="3">
        <v>1096</v>
      </c>
      <c r="G18" s="2" t="s">
        <v>8</v>
      </c>
      <c r="H18" s="2"/>
    </row>
    <row r="19" spans="1:14" x14ac:dyDescent="0.25">
      <c r="A19" s="8">
        <v>45882</v>
      </c>
      <c r="B19" s="2">
        <f t="shared" si="1"/>
        <v>6</v>
      </c>
      <c r="C19" s="2" t="s">
        <v>295</v>
      </c>
      <c r="D19" s="2" t="s">
        <v>497</v>
      </c>
      <c r="E19" s="3">
        <v>274</v>
      </c>
      <c r="F19" s="3">
        <v>1644</v>
      </c>
      <c r="G19" s="2" t="s">
        <v>8</v>
      </c>
      <c r="H19" s="2"/>
    </row>
    <row r="20" spans="1:14" x14ac:dyDescent="0.25">
      <c r="A20" s="8">
        <v>45882</v>
      </c>
      <c r="B20" s="2">
        <f t="shared" si="1"/>
        <v>2</v>
      </c>
      <c r="C20" s="2" t="s">
        <v>295</v>
      </c>
      <c r="D20" s="2" t="s">
        <v>498</v>
      </c>
      <c r="E20" s="3">
        <v>274</v>
      </c>
      <c r="F20" s="3">
        <v>548</v>
      </c>
      <c r="G20" s="2" t="s">
        <v>8</v>
      </c>
      <c r="H20" s="2"/>
    </row>
    <row r="21" spans="1:14" x14ac:dyDescent="0.25">
      <c r="A21" s="8">
        <v>45882</v>
      </c>
      <c r="B21" s="2">
        <f t="shared" si="1"/>
        <v>4</v>
      </c>
      <c r="C21" s="2" t="s">
        <v>295</v>
      </c>
      <c r="D21" s="2" t="s">
        <v>499</v>
      </c>
      <c r="E21" s="3">
        <v>274</v>
      </c>
      <c r="F21" s="3">
        <v>1096</v>
      </c>
      <c r="G21" s="2" t="s">
        <v>8</v>
      </c>
      <c r="H21" s="2"/>
    </row>
    <row r="22" spans="1:14" x14ac:dyDescent="0.25">
      <c r="A22" s="8">
        <v>45882</v>
      </c>
      <c r="B22" s="2">
        <f t="shared" si="1"/>
        <v>6</v>
      </c>
      <c r="C22" s="2" t="s">
        <v>295</v>
      </c>
      <c r="D22" s="2" t="s">
        <v>500</v>
      </c>
      <c r="E22" s="3">
        <v>274</v>
      </c>
      <c r="F22" s="3">
        <v>1644</v>
      </c>
      <c r="G22" s="2" t="s">
        <v>8</v>
      </c>
      <c r="H22" s="2"/>
    </row>
    <row r="23" spans="1:14" x14ac:dyDescent="0.25">
      <c r="A23" s="8">
        <v>45882</v>
      </c>
      <c r="B23" s="2">
        <f t="shared" si="1"/>
        <v>2</v>
      </c>
      <c r="C23" s="2" t="s">
        <v>295</v>
      </c>
      <c r="D23" s="2" t="s">
        <v>500</v>
      </c>
      <c r="E23" s="3">
        <v>274</v>
      </c>
      <c r="F23" s="3">
        <v>548</v>
      </c>
      <c r="G23" s="2" t="s">
        <v>8</v>
      </c>
      <c r="H23" s="2"/>
      <c r="K23">
        <v>12435</v>
      </c>
      <c r="M23">
        <v>9948</v>
      </c>
      <c r="N23" t="s">
        <v>516</v>
      </c>
    </row>
    <row r="24" spans="1:14" x14ac:dyDescent="0.25">
      <c r="A24" s="8">
        <v>45882</v>
      </c>
      <c r="B24" s="2">
        <f t="shared" si="1"/>
        <v>7</v>
      </c>
      <c r="C24" s="2" t="s">
        <v>295</v>
      </c>
      <c r="D24" s="2" t="s">
        <v>501</v>
      </c>
      <c r="E24" s="3">
        <v>274</v>
      </c>
      <c r="F24" s="3">
        <v>1918</v>
      </c>
      <c r="G24" s="2" t="s">
        <v>8</v>
      </c>
      <c r="H24" s="2"/>
      <c r="K24">
        <v>21087</v>
      </c>
      <c r="M24">
        <v>869</v>
      </c>
    </row>
    <row r="25" spans="1:14" x14ac:dyDescent="0.25">
      <c r="A25" s="8">
        <v>45883</v>
      </c>
      <c r="B25" s="2">
        <f t="shared" si="1"/>
        <v>8</v>
      </c>
      <c r="C25" s="2" t="s">
        <v>295</v>
      </c>
      <c r="D25" s="2" t="s">
        <v>502</v>
      </c>
      <c r="E25" s="3">
        <v>274</v>
      </c>
      <c r="F25" s="3">
        <v>2192</v>
      </c>
      <c r="G25" s="2" t="s">
        <v>8</v>
      </c>
      <c r="H25" s="2"/>
      <c r="M25">
        <v>9998</v>
      </c>
    </row>
    <row r="26" spans="1:14" x14ac:dyDescent="0.25">
      <c r="A26" s="8">
        <v>45883</v>
      </c>
      <c r="B26" s="2">
        <v>56</v>
      </c>
      <c r="C26" s="2" t="s">
        <v>295</v>
      </c>
      <c r="D26" s="2" t="s">
        <v>492</v>
      </c>
      <c r="E26" s="3">
        <v>274</v>
      </c>
      <c r="F26" s="3">
        <f>B26*274</f>
        <v>15344</v>
      </c>
      <c r="G26" s="2" t="s">
        <v>533</v>
      </c>
      <c r="H26" s="2" t="s">
        <v>525</v>
      </c>
      <c r="M26">
        <v>9699</v>
      </c>
    </row>
    <row r="27" spans="1:14" x14ac:dyDescent="0.25">
      <c r="A27" s="8">
        <v>45883</v>
      </c>
      <c r="B27" s="2">
        <v>56</v>
      </c>
      <c r="C27" s="2" t="s">
        <v>295</v>
      </c>
      <c r="D27" s="2" t="s">
        <v>492</v>
      </c>
      <c r="E27" s="3">
        <v>274</v>
      </c>
      <c r="F27" s="3">
        <f>B27*274</f>
        <v>15344</v>
      </c>
      <c r="G27" s="2" t="s">
        <v>533</v>
      </c>
      <c r="H27" s="2" t="s">
        <v>532</v>
      </c>
      <c r="K27">
        <v>33522</v>
      </c>
      <c r="M27">
        <v>573</v>
      </c>
    </row>
    <row r="28" spans="1:14" x14ac:dyDescent="0.25">
      <c r="A28" s="8">
        <v>45883</v>
      </c>
      <c r="B28" s="2">
        <f t="shared" si="1"/>
        <v>24</v>
      </c>
      <c r="C28" s="2" t="s">
        <v>295</v>
      </c>
      <c r="D28" s="2" t="s">
        <v>503</v>
      </c>
      <c r="E28" s="3">
        <v>274</v>
      </c>
      <c r="F28" s="3">
        <v>6576</v>
      </c>
      <c r="G28" s="2" t="s">
        <v>528</v>
      </c>
      <c r="H28" s="2"/>
      <c r="M28">
        <v>573</v>
      </c>
    </row>
    <row r="29" spans="1:14" x14ac:dyDescent="0.25">
      <c r="A29" s="8">
        <v>45883</v>
      </c>
      <c r="B29" s="2">
        <v>20</v>
      </c>
      <c r="C29" s="2" t="s">
        <v>295</v>
      </c>
      <c r="D29" s="2" t="s">
        <v>504</v>
      </c>
      <c r="E29" s="3">
        <v>274</v>
      </c>
      <c r="F29" s="3">
        <v>5530</v>
      </c>
      <c r="G29" s="2" t="s">
        <v>528</v>
      </c>
      <c r="H29" s="18" t="s">
        <v>604</v>
      </c>
      <c r="M29">
        <v>713</v>
      </c>
    </row>
    <row r="30" spans="1:14" x14ac:dyDescent="0.25">
      <c r="A30" s="17">
        <v>45883</v>
      </c>
      <c r="B30" s="18">
        <v>20</v>
      </c>
      <c r="C30" s="18" t="s">
        <v>295</v>
      </c>
      <c r="D30" s="18" t="s">
        <v>505</v>
      </c>
      <c r="E30" s="19">
        <v>274</v>
      </c>
      <c r="F30" s="19">
        <v>5530</v>
      </c>
      <c r="G30" s="18" t="s">
        <v>507</v>
      </c>
      <c r="H30" s="2"/>
      <c r="M30">
        <v>2448</v>
      </c>
    </row>
    <row r="31" spans="1:14" x14ac:dyDescent="0.25">
      <c r="A31" s="8">
        <v>45885</v>
      </c>
      <c r="B31" s="2">
        <v>5</v>
      </c>
      <c r="C31" s="2" t="s">
        <v>295</v>
      </c>
      <c r="D31" s="2" t="s">
        <v>118</v>
      </c>
      <c r="E31" s="3">
        <v>274</v>
      </c>
      <c r="F31" s="3">
        <f>B31*E31</f>
        <v>1370</v>
      </c>
      <c r="G31" s="2" t="s">
        <v>24</v>
      </c>
      <c r="H31" s="2"/>
    </row>
    <row r="32" spans="1:14" x14ac:dyDescent="0.25">
      <c r="A32" s="8">
        <v>45885</v>
      </c>
      <c r="B32" s="35">
        <v>8</v>
      </c>
      <c r="C32" s="35" t="s">
        <v>508</v>
      </c>
      <c r="D32" s="35" t="s">
        <v>118</v>
      </c>
      <c r="E32" s="36">
        <v>3750</v>
      </c>
      <c r="F32" s="36">
        <f>B32*E32</f>
        <v>30000</v>
      </c>
      <c r="G32" s="35" t="s">
        <v>8</v>
      </c>
      <c r="H32" s="2" t="s">
        <v>517</v>
      </c>
      <c r="M32">
        <v>34821</v>
      </c>
    </row>
    <row r="33" spans="1:13" x14ac:dyDescent="0.25">
      <c r="A33" s="8">
        <v>45885</v>
      </c>
      <c r="B33" s="2">
        <v>2</v>
      </c>
      <c r="C33" s="2" t="s">
        <v>419</v>
      </c>
      <c r="D33" s="2" t="s">
        <v>349</v>
      </c>
      <c r="E33" s="3">
        <v>655</v>
      </c>
      <c r="F33" s="3">
        <f t="shared" ref="F33:F41" si="2">B33*E33</f>
        <v>1310</v>
      </c>
      <c r="G33" s="2" t="s">
        <v>8</v>
      </c>
      <c r="H33" s="2" t="s">
        <v>517</v>
      </c>
    </row>
    <row r="34" spans="1:13" x14ac:dyDescent="0.25">
      <c r="A34" s="8">
        <v>45885</v>
      </c>
      <c r="B34" s="2">
        <v>5</v>
      </c>
      <c r="C34" s="2" t="s">
        <v>512</v>
      </c>
      <c r="D34" s="2" t="s">
        <v>349</v>
      </c>
      <c r="E34" s="3">
        <v>433</v>
      </c>
      <c r="F34" s="3">
        <f t="shared" si="2"/>
        <v>2165</v>
      </c>
      <c r="G34" s="2" t="s">
        <v>8</v>
      </c>
      <c r="H34" s="2" t="s">
        <v>517</v>
      </c>
    </row>
    <row r="35" spans="1:13" x14ac:dyDescent="0.25">
      <c r="A35" s="8">
        <v>45885</v>
      </c>
      <c r="B35" s="2">
        <v>2</v>
      </c>
      <c r="C35" s="2" t="s">
        <v>513</v>
      </c>
      <c r="D35" s="2" t="s">
        <v>349</v>
      </c>
      <c r="E35" s="3">
        <v>573</v>
      </c>
      <c r="F35" s="3">
        <f t="shared" si="2"/>
        <v>1146</v>
      </c>
      <c r="G35" s="2" t="s">
        <v>8</v>
      </c>
      <c r="H35" s="2"/>
      <c r="M35">
        <f>M32-K27</f>
        <v>1299</v>
      </c>
    </row>
    <row r="36" spans="1:13" x14ac:dyDescent="0.25">
      <c r="A36" s="8">
        <v>45885</v>
      </c>
      <c r="B36" s="2">
        <v>15</v>
      </c>
      <c r="C36" s="2" t="s">
        <v>514</v>
      </c>
      <c r="D36" s="2" t="s">
        <v>349</v>
      </c>
      <c r="E36" s="3">
        <v>560</v>
      </c>
      <c r="F36" s="3">
        <f t="shared" si="2"/>
        <v>8400</v>
      </c>
      <c r="G36" s="2" t="s">
        <v>8</v>
      </c>
      <c r="H36" s="2"/>
    </row>
    <row r="37" spans="1:13" x14ac:dyDescent="0.25">
      <c r="A37" s="8">
        <v>45885</v>
      </c>
      <c r="B37" s="2">
        <v>1</v>
      </c>
      <c r="C37" s="2" t="s">
        <v>515</v>
      </c>
      <c r="D37" s="2" t="s">
        <v>349</v>
      </c>
      <c r="E37" s="3">
        <v>713</v>
      </c>
      <c r="F37" s="3">
        <f t="shared" si="2"/>
        <v>713</v>
      </c>
      <c r="G37" s="2" t="s">
        <v>8</v>
      </c>
      <c r="H37" s="2"/>
    </row>
    <row r="38" spans="1:13" x14ac:dyDescent="0.25">
      <c r="A38" s="8">
        <v>45889</v>
      </c>
      <c r="B38" s="2">
        <v>5</v>
      </c>
      <c r="C38" s="2" t="s">
        <v>323</v>
      </c>
      <c r="D38" s="2" t="s">
        <v>364</v>
      </c>
      <c r="E38" s="3">
        <v>690</v>
      </c>
      <c r="F38" s="3">
        <f t="shared" si="2"/>
        <v>3450</v>
      </c>
      <c r="G38" s="2" t="s">
        <v>8</v>
      </c>
      <c r="H38" s="2"/>
    </row>
    <row r="39" spans="1:13" x14ac:dyDescent="0.25">
      <c r="A39" s="8">
        <v>45891</v>
      </c>
      <c r="B39" s="2">
        <v>400</v>
      </c>
      <c r="C39" s="2" t="s">
        <v>295</v>
      </c>
      <c r="D39" s="2" t="s">
        <v>526</v>
      </c>
      <c r="E39" s="3">
        <v>274</v>
      </c>
      <c r="F39" s="3">
        <f t="shared" si="2"/>
        <v>109600</v>
      </c>
      <c r="G39" s="2" t="s">
        <v>528</v>
      </c>
      <c r="H39" s="2" t="s">
        <v>527</v>
      </c>
    </row>
    <row r="40" spans="1:13" x14ac:dyDescent="0.25">
      <c r="A40" s="8">
        <v>45895</v>
      </c>
      <c r="B40" s="2">
        <v>60</v>
      </c>
      <c r="C40" s="2" t="s">
        <v>295</v>
      </c>
      <c r="D40" s="2" t="s">
        <v>506</v>
      </c>
      <c r="E40" s="3">
        <v>274</v>
      </c>
      <c r="F40" s="3">
        <f t="shared" si="2"/>
        <v>16440</v>
      </c>
      <c r="G40" s="2" t="s">
        <v>534</v>
      </c>
      <c r="H40" s="2" t="s">
        <v>535</v>
      </c>
    </row>
    <row r="41" spans="1:13" x14ac:dyDescent="0.25">
      <c r="A41" s="8">
        <v>45891</v>
      </c>
      <c r="B41" s="2">
        <v>57</v>
      </c>
      <c r="C41" s="2" t="s">
        <v>295</v>
      </c>
      <c r="D41" s="2" t="s">
        <v>530</v>
      </c>
      <c r="E41" s="3">
        <v>300</v>
      </c>
      <c r="F41" s="3">
        <f t="shared" si="2"/>
        <v>17100</v>
      </c>
      <c r="G41" s="2" t="s">
        <v>348</v>
      </c>
      <c r="H41" s="2" t="s">
        <v>529</v>
      </c>
    </row>
    <row r="42" spans="1:13" x14ac:dyDescent="0.25">
      <c r="A42" s="8">
        <v>45891</v>
      </c>
      <c r="B42" s="2">
        <v>1</v>
      </c>
      <c r="C42" s="2" t="s">
        <v>536</v>
      </c>
      <c r="D42" s="2" t="s">
        <v>531</v>
      </c>
      <c r="E42" s="3">
        <v>0</v>
      </c>
      <c r="F42" s="3">
        <v>6046.73</v>
      </c>
      <c r="G42" s="2" t="s">
        <v>537</v>
      </c>
      <c r="H42" s="2"/>
    </row>
    <row r="43" spans="1:13" x14ac:dyDescent="0.25">
      <c r="A43" s="8">
        <v>45897</v>
      </c>
      <c r="B43" s="2">
        <v>10</v>
      </c>
      <c r="C43" s="2" t="s">
        <v>539</v>
      </c>
      <c r="D43" s="2" t="s">
        <v>335</v>
      </c>
      <c r="E43" s="3">
        <v>2600</v>
      </c>
      <c r="F43" s="3">
        <f>B43*E43</f>
        <v>26000</v>
      </c>
      <c r="G43" s="2" t="s">
        <v>551</v>
      </c>
      <c r="H43" s="2"/>
    </row>
    <row r="44" spans="1:13" x14ac:dyDescent="0.25">
      <c r="A44" s="8">
        <v>45898</v>
      </c>
      <c r="B44" s="2">
        <v>30</v>
      </c>
      <c r="C44" s="2" t="s">
        <v>295</v>
      </c>
      <c r="D44" s="2" t="s">
        <v>545</v>
      </c>
      <c r="E44" s="3">
        <v>274</v>
      </c>
      <c r="F44" s="3">
        <f>B44*E44</f>
        <v>8220</v>
      </c>
      <c r="G44" s="2" t="s">
        <v>8</v>
      </c>
      <c r="H44" s="2"/>
    </row>
    <row r="45" spans="1:13" x14ac:dyDescent="0.25">
      <c r="A45" s="49">
        <v>45899</v>
      </c>
      <c r="B45" s="10">
        <v>20</v>
      </c>
      <c r="C45" s="10" t="s">
        <v>546</v>
      </c>
      <c r="D45" s="10" t="s">
        <v>349</v>
      </c>
      <c r="E45" s="50">
        <v>560</v>
      </c>
      <c r="F45" s="50">
        <v>0</v>
      </c>
      <c r="G45" s="10" t="s">
        <v>547</v>
      </c>
      <c r="H45" s="10" t="s">
        <v>563</v>
      </c>
    </row>
  </sheetData>
  <autoFilter ref="A1:N37" xr:uid="{4C4B8CDA-1945-474E-B42E-BED211C1449D}"/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7D4C6-F42C-4BA1-AF11-E3361F8A40B4}">
  <dimension ref="A1:M43"/>
  <sheetViews>
    <sheetView topLeftCell="A18" zoomScaleNormal="100" workbookViewId="0">
      <selection activeCell="D49" sqref="D49"/>
    </sheetView>
  </sheetViews>
  <sheetFormatPr defaultRowHeight="15" x14ac:dyDescent="0.25"/>
  <cols>
    <col min="1" max="1" width="10.5703125" bestFit="1" customWidth="1"/>
    <col min="3" max="3" width="26.7109375" bestFit="1" customWidth="1"/>
    <col min="4" max="4" width="29.7109375" bestFit="1" customWidth="1"/>
    <col min="5" max="5" width="10" style="60" bestFit="1" customWidth="1"/>
    <col min="6" max="6" width="10" bestFit="1" customWidth="1"/>
    <col min="7" max="7" width="26.140625" bestFit="1" customWidth="1"/>
    <col min="8" max="8" width="13.5703125" bestFit="1" customWidth="1"/>
    <col min="10" max="10" width="10.28515625" bestFit="1" customWidth="1"/>
    <col min="11" max="11" width="19.140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/>
      <c r="I1" s="61" t="s">
        <v>303</v>
      </c>
      <c r="J1" s="4" t="s">
        <v>304</v>
      </c>
    </row>
    <row r="2" spans="1:13" x14ac:dyDescent="0.25">
      <c r="A2" s="8">
        <v>45848</v>
      </c>
      <c r="B2" s="2">
        <v>1</v>
      </c>
      <c r="C2" s="2" t="s">
        <v>402</v>
      </c>
      <c r="D2" s="2"/>
      <c r="E2" s="3">
        <v>10000</v>
      </c>
      <c r="F2" s="2">
        <v>10000</v>
      </c>
      <c r="G2" s="2"/>
      <c r="H2" s="2"/>
    </row>
    <row r="3" spans="1:13" x14ac:dyDescent="0.25">
      <c r="A3" s="34">
        <v>45860</v>
      </c>
      <c r="B3" s="35">
        <v>3</v>
      </c>
      <c r="C3" s="35" t="s">
        <v>351</v>
      </c>
      <c r="D3" s="35" t="s">
        <v>118</v>
      </c>
      <c r="E3" s="36">
        <v>2885</v>
      </c>
      <c r="F3" s="36">
        <f t="shared" ref="F3:F40" si="0">(B3*E3)</f>
        <v>8655</v>
      </c>
      <c r="G3" s="35" t="s">
        <v>8</v>
      </c>
      <c r="H3" s="2"/>
      <c r="K3" t="s">
        <v>415</v>
      </c>
    </row>
    <row r="4" spans="1:13" x14ac:dyDescent="0.25">
      <c r="A4" s="8">
        <v>45860</v>
      </c>
      <c r="B4" s="2">
        <v>10</v>
      </c>
      <c r="C4" s="2" t="s">
        <v>423</v>
      </c>
      <c r="D4" s="2" t="s">
        <v>349</v>
      </c>
      <c r="E4" s="3">
        <v>2288</v>
      </c>
      <c r="F4" s="3">
        <f t="shared" si="0"/>
        <v>22880</v>
      </c>
      <c r="G4" s="2" t="s">
        <v>8</v>
      </c>
      <c r="H4" s="2"/>
    </row>
    <row r="5" spans="1:13" x14ac:dyDescent="0.25">
      <c r="A5" s="8">
        <v>45860</v>
      </c>
      <c r="B5" s="2">
        <v>30</v>
      </c>
      <c r="C5" s="2" t="s">
        <v>416</v>
      </c>
      <c r="D5" s="2" t="s">
        <v>349</v>
      </c>
      <c r="E5" s="3">
        <v>560</v>
      </c>
      <c r="F5" s="3">
        <f t="shared" si="0"/>
        <v>16800</v>
      </c>
      <c r="G5" s="2" t="s">
        <v>8</v>
      </c>
      <c r="H5" s="2"/>
    </row>
    <row r="6" spans="1:13" x14ac:dyDescent="0.25">
      <c r="A6" s="8">
        <v>45860</v>
      </c>
      <c r="B6" s="2">
        <v>28</v>
      </c>
      <c r="C6" s="2" t="s">
        <v>417</v>
      </c>
      <c r="D6" s="2" t="s">
        <v>349</v>
      </c>
      <c r="E6" s="3">
        <v>1063</v>
      </c>
      <c r="F6" s="3">
        <f t="shared" si="0"/>
        <v>29764</v>
      </c>
      <c r="G6" s="2" t="s">
        <v>8</v>
      </c>
      <c r="H6" s="2"/>
    </row>
    <row r="7" spans="1:13" x14ac:dyDescent="0.25">
      <c r="A7" s="8">
        <v>45860</v>
      </c>
      <c r="B7" s="2">
        <v>1</v>
      </c>
      <c r="C7" s="2" t="s">
        <v>418</v>
      </c>
      <c r="D7" s="2" t="s">
        <v>349</v>
      </c>
      <c r="E7" s="3">
        <v>433</v>
      </c>
      <c r="F7" s="3">
        <f t="shared" si="0"/>
        <v>433</v>
      </c>
      <c r="G7" s="2" t="s">
        <v>8</v>
      </c>
      <c r="H7" s="2"/>
    </row>
    <row r="8" spans="1:13" x14ac:dyDescent="0.25">
      <c r="A8" s="8">
        <v>45860</v>
      </c>
      <c r="B8" s="2">
        <v>6</v>
      </c>
      <c r="C8" s="2" t="s">
        <v>419</v>
      </c>
      <c r="D8" s="2" t="s">
        <v>349</v>
      </c>
      <c r="E8" s="3">
        <v>655</v>
      </c>
      <c r="F8" s="3">
        <f t="shared" si="0"/>
        <v>3930</v>
      </c>
      <c r="G8" s="2" t="s">
        <v>8</v>
      </c>
      <c r="H8" s="2"/>
    </row>
    <row r="9" spans="1:13" x14ac:dyDescent="0.25">
      <c r="A9" s="8">
        <v>45860</v>
      </c>
      <c r="B9" s="2">
        <v>5</v>
      </c>
      <c r="C9" s="2" t="s">
        <v>422</v>
      </c>
      <c r="D9" s="2" t="s">
        <v>349</v>
      </c>
      <c r="E9" s="3">
        <v>751</v>
      </c>
      <c r="F9" s="3">
        <f t="shared" si="0"/>
        <v>3755</v>
      </c>
      <c r="G9" s="2" t="s">
        <v>509</v>
      </c>
      <c r="H9" s="2"/>
    </row>
    <row r="10" spans="1:13" x14ac:dyDescent="0.25">
      <c r="A10" s="8">
        <v>45860</v>
      </c>
      <c r="B10" s="2">
        <v>2</v>
      </c>
      <c r="C10" s="2" t="s">
        <v>423</v>
      </c>
      <c r="D10" s="2" t="s">
        <v>349</v>
      </c>
      <c r="E10" s="3">
        <v>2288</v>
      </c>
      <c r="F10" s="3">
        <f t="shared" si="0"/>
        <v>4576</v>
      </c>
      <c r="G10" s="2" t="s">
        <v>510</v>
      </c>
      <c r="H10" s="2"/>
    </row>
    <row r="11" spans="1:13" x14ac:dyDescent="0.25">
      <c r="A11" s="8">
        <v>45860</v>
      </c>
      <c r="B11" s="2">
        <v>12</v>
      </c>
      <c r="C11" s="2" t="s">
        <v>417</v>
      </c>
      <c r="D11" s="2" t="s">
        <v>349</v>
      </c>
      <c r="E11" s="3">
        <v>1063</v>
      </c>
      <c r="F11" s="3">
        <f t="shared" si="0"/>
        <v>12756</v>
      </c>
      <c r="G11" s="2" t="s">
        <v>511</v>
      </c>
      <c r="H11" s="2"/>
    </row>
    <row r="12" spans="1:13" x14ac:dyDescent="0.25">
      <c r="A12" s="49">
        <v>45860</v>
      </c>
      <c r="B12" s="10">
        <v>4</v>
      </c>
      <c r="C12" s="10" t="s">
        <v>419</v>
      </c>
      <c r="D12" s="10" t="s">
        <v>424</v>
      </c>
      <c r="E12" s="166">
        <v>400</v>
      </c>
      <c r="F12" s="50">
        <v>400</v>
      </c>
      <c r="G12" s="10" t="s">
        <v>565</v>
      </c>
      <c r="H12" s="2"/>
    </row>
    <row r="13" spans="1:13" x14ac:dyDescent="0.25">
      <c r="A13" s="49">
        <v>45860</v>
      </c>
      <c r="B13" s="10">
        <v>4</v>
      </c>
      <c r="C13" s="10" t="s">
        <v>425</v>
      </c>
      <c r="D13" s="10" t="s">
        <v>424</v>
      </c>
      <c r="E13" s="166"/>
      <c r="F13" s="50">
        <f t="shared" si="0"/>
        <v>0</v>
      </c>
      <c r="G13" s="10" t="s">
        <v>565</v>
      </c>
      <c r="H13" s="2"/>
    </row>
    <row r="14" spans="1:13" x14ac:dyDescent="0.25">
      <c r="A14" s="8">
        <v>45860</v>
      </c>
      <c r="B14" s="2">
        <v>3</v>
      </c>
      <c r="C14" s="2" t="s">
        <v>419</v>
      </c>
      <c r="D14" s="2" t="s">
        <v>420</v>
      </c>
      <c r="E14" s="3">
        <v>679</v>
      </c>
      <c r="F14" s="3">
        <f t="shared" si="0"/>
        <v>2037</v>
      </c>
      <c r="G14" s="2" t="s">
        <v>426</v>
      </c>
      <c r="H14" s="2"/>
      <c r="K14">
        <v>30</v>
      </c>
      <c r="L14">
        <v>2885</v>
      </c>
      <c r="M14">
        <f>K14*L14</f>
        <v>86550</v>
      </c>
    </row>
    <row r="15" spans="1:13" x14ac:dyDescent="0.25">
      <c r="A15" s="8">
        <v>45860</v>
      </c>
      <c r="B15" s="2">
        <v>1</v>
      </c>
      <c r="C15" s="2" t="s">
        <v>421</v>
      </c>
      <c r="D15" s="2" t="s">
        <v>420</v>
      </c>
      <c r="E15" s="3">
        <v>1069</v>
      </c>
      <c r="F15" s="3">
        <f t="shared" si="0"/>
        <v>1069</v>
      </c>
      <c r="G15" s="2" t="s">
        <v>426</v>
      </c>
      <c r="H15" s="2"/>
      <c r="K15">
        <v>30</v>
      </c>
      <c r="L15">
        <v>3750</v>
      </c>
      <c r="M15">
        <f>K15*L15</f>
        <v>112500</v>
      </c>
    </row>
    <row r="16" spans="1:13" x14ac:dyDescent="0.25">
      <c r="A16" s="8">
        <v>45862</v>
      </c>
      <c r="B16" s="2">
        <v>2</v>
      </c>
      <c r="C16" s="2" t="s">
        <v>419</v>
      </c>
      <c r="D16" s="2" t="s">
        <v>434</v>
      </c>
      <c r="E16" s="3">
        <v>679</v>
      </c>
      <c r="F16" s="3">
        <f t="shared" si="0"/>
        <v>1358</v>
      </c>
      <c r="G16" s="2" t="s">
        <v>8</v>
      </c>
      <c r="H16" s="2"/>
    </row>
    <row r="17" spans="1:8" x14ac:dyDescent="0.25">
      <c r="A17" s="8">
        <v>45862</v>
      </c>
      <c r="B17" s="2">
        <v>1</v>
      </c>
      <c r="C17" s="2" t="s">
        <v>416</v>
      </c>
      <c r="D17" s="2" t="s">
        <v>434</v>
      </c>
      <c r="E17" s="3">
        <v>645</v>
      </c>
      <c r="F17" s="3">
        <f t="shared" si="0"/>
        <v>645</v>
      </c>
      <c r="G17" s="2" t="s">
        <v>8</v>
      </c>
      <c r="H17" s="2"/>
    </row>
    <row r="18" spans="1:8" x14ac:dyDescent="0.25">
      <c r="A18" s="8">
        <v>45866</v>
      </c>
      <c r="B18" s="2">
        <v>1</v>
      </c>
      <c r="C18" s="2" t="s">
        <v>438</v>
      </c>
      <c r="D18" s="2" t="s">
        <v>361</v>
      </c>
      <c r="E18" s="3">
        <v>549</v>
      </c>
      <c r="F18" s="3">
        <f t="shared" si="0"/>
        <v>549</v>
      </c>
      <c r="G18" s="2" t="s">
        <v>8</v>
      </c>
      <c r="H18" s="2"/>
    </row>
    <row r="19" spans="1:8" x14ac:dyDescent="0.25">
      <c r="A19" s="8">
        <v>45866</v>
      </c>
      <c r="B19" s="2">
        <v>1</v>
      </c>
      <c r="C19" s="2" t="s">
        <v>437</v>
      </c>
      <c r="D19" s="2" t="s">
        <v>360</v>
      </c>
      <c r="E19" s="3">
        <v>684</v>
      </c>
      <c r="F19" s="3">
        <f t="shared" si="0"/>
        <v>684</v>
      </c>
      <c r="G19" s="2" t="s">
        <v>8</v>
      </c>
      <c r="H19" s="2"/>
    </row>
    <row r="20" spans="1:8" x14ac:dyDescent="0.25">
      <c r="A20" s="8">
        <v>45866</v>
      </c>
      <c r="B20" s="2">
        <v>2</v>
      </c>
      <c r="C20" s="2" t="s">
        <v>439</v>
      </c>
      <c r="D20" s="2" t="s">
        <v>318</v>
      </c>
      <c r="E20" s="3">
        <v>80</v>
      </c>
      <c r="F20" s="3">
        <f t="shared" si="0"/>
        <v>160</v>
      </c>
      <c r="G20" s="2" t="s">
        <v>8</v>
      </c>
      <c r="H20" s="2"/>
    </row>
    <row r="21" spans="1:8" x14ac:dyDescent="0.25">
      <c r="A21" s="8">
        <v>45866</v>
      </c>
      <c r="B21" s="2">
        <v>1</v>
      </c>
      <c r="C21" s="2" t="s">
        <v>437</v>
      </c>
      <c r="D21" s="2" t="s">
        <v>318</v>
      </c>
      <c r="E21" s="3">
        <v>714</v>
      </c>
      <c r="F21" s="3">
        <f t="shared" si="0"/>
        <v>714</v>
      </c>
      <c r="G21" s="2" t="s">
        <v>8</v>
      </c>
      <c r="H21" s="2"/>
    </row>
    <row r="22" spans="1:8" x14ac:dyDescent="0.25">
      <c r="A22" s="8">
        <v>45866</v>
      </c>
      <c r="B22" s="2">
        <v>1</v>
      </c>
      <c r="C22" s="2" t="s">
        <v>437</v>
      </c>
      <c r="D22" s="2" t="s">
        <v>364</v>
      </c>
      <c r="E22" s="3">
        <v>714</v>
      </c>
      <c r="F22" s="3">
        <f t="shared" si="0"/>
        <v>714</v>
      </c>
      <c r="G22" s="2" t="s">
        <v>8</v>
      </c>
      <c r="H22" s="2"/>
    </row>
    <row r="23" spans="1:8" x14ac:dyDescent="0.25">
      <c r="A23" s="8">
        <v>45866</v>
      </c>
      <c r="B23" s="2">
        <v>2</v>
      </c>
      <c r="C23" s="2" t="s">
        <v>438</v>
      </c>
      <c r="D23" s="2" t="s">
        <v>364</v>
      </c>
      <c r="E23" s="3">
        <v>574</v>
      </c>
      <c r="F23" s="3">
        <f t="shared" si="0"/>
        <v>1148</v>
      </c>
      <c r="G23" s="2" t="s">
        <v>453</v>
      </c>
      <c r="H23" s="2"/>
    </row>
    <row r="24" spans="1:8" x14ac:dyDescent="0.25">
      <c r="A24" s="8">
        <v>45867</v>
      </c>
      <c r="B24" s="2">
        <v>2</v>
      </c>
      <c r="C24" s="2" t="s">
        <v>438</v>
      </c>
      <c r="D24" s="2" t="s">
        <v>440</v>
      </c>
      <c r="E24" s="3">
        <v>574</v>
      </c>
      <c r="F24" s="3">
        <f t="shared" si="0"/>
        <v>1148</v>
      </c>
      <c r="G24" s="2" t="s">
        <v>8</v>
      </c>
      <c r="H24" s="2"/>
    </row>
    <row r="25" spans="1:8" x14ac:dyDescent="0.25">
      <c r="A25" s="8">
        <v>45867</v>
      </c>
      <c r="B25" s="2">
        <v>2</v>
      </c>
      <c r="C25" s="2" t="s">
        <v>438</v>
      </c>
      <c r="D25" s="2" t="s">
        <v>441</v>
      </c>
      <c r="E25" s="3">
        <v>549</v>
      </c>
      <c r="F25" s="3">
        <f t="shared" si="0"/>
        <v>1098</v>
      </c>
      <c r="G25" s="2" t="s">
        <v>8</v>
      </c>
      <c r="H25" s="2"/>
    </row>
    <row r="26" spans="1:8" x14ac:dyDescent="0.25">
      <c r="A26" s="49">
        <v>45867</v>
      </c>
      <c r="B26" s="10">
        <v>1</v>
      </c>
      <c r="C26" s="10" t="s">
        <v>438</v>
      </c>
      <c r="D26" s="10" t="s">
        <v>442</v>
      </c>
      <c r="E26" s="50">
        <v>549</v>
      </c>
      <c r="F26" s="50">
        <f t="shared" si="0"/>
        <v>549</v>
      </c>
      <c r="G26" s="10" t="s">
        <v>558</v>
      </c>
      <c r="H26" s="2"/>
    </row>
    <row r="27" spans="1:8" x14ac:dyDescent="0.25">
      <c r="A27" s="8">
        <v>45867</v>
      </c>
      <c r="B27" s="2">
        <v>1</v>
      </c>
      <c r="C27" s="2" t="s">
        <v>438</v>
      </c>
      <c r="D27" s="2" t="s">
        <v>361</v>
      </c>
      <c r="E27" s="3">
        <v>549</v>
      </c>
      <c r="F27" s="3">
        <f t="shared" si="0"/>
        <v>549</v>
      </c>
      <c r="G27" s="2" t="s">
        <v>544</v>
      </c>
      <c r="H27" s="2"/>
    </row>
    <row r="28" spans="1:8" x14ac:dyDescent="0.25">
      <c r="A28" s="8">
        <v>45867</v>
      </c>
      <c r="B28" s="2">
        <v>1</v>
      </c>
      <c r="C28" s="2" t="s">
        <v>438</v>
      </c>
      <c r="D28" s="2" t="s">
        <v>443</v>
      </c>
      <c r="E28" s="3">
        <v>549</v>
      </c>
      <c r="F28" s="3">
        <f t="shared" si="0"/>
        <v>549</v>
      </c>
      <c r="G28" s="2" t="s">
        <v>8</v>
      </c>
      <c r="H28" s="2"/>
    </row>
    <row r="29" spans="1:8" x14ac:dyDescent="0.25">
      <c r="A29" s="8">
        <v>45867</v>
      </c>
      <c r="B29" s="2">
        <v>2</v>
      </c>
      <c r="C29" s="2" t="s">
        <v>438</v>
      </c>
      <c r="D29" s="2" t="s">
        <v>230</v>
      </c>
      <c r="E29" s="3">
        <v>574</v>
      </c>
      <c r="F29" s="3">
        <f t="shared" si="0"/>
        <v>1148</v>
      </c>
      <c r="G29" s="2" t="s">
        <v>8</v>
      </c>
      <c r="H29" s="2"/>
    </row>
    <row r="30" spans="1:8" x14ac:dyDescent="0.25">
      <c r="A30" s="8">
        <v>45867</v>
      </c>
      <c r="B30" s="2">
        <v>2</v>
      </c>
      <c r="C30" s="2" t="s">
        <v>438</v>
      </c>
      <c r="D30" s="2" t="s">
        <v>444</v>
      </c>
      <c r="E30" s="3">
        <v>574</v>
      </c>
      <c r="F30" s="3">
        <f t="shared" si="0"/>
        <v>1148</v>
      </c>
      <c r="G30" s="2" t="s">
        <v>8</v>
      </c>
      <c r="H30" s="2"/>
    </row>
    <row r="31" spans="1:8" x14ac:dyDescent="0.25">
      <c r="A31" s="17">
        <v>45867</v>
      </c>
      <c r="B31" s="18">
        <v>2</v>
      </c>
      <c r="C31" s="18" t="s">
        <v>438</v>
      </c>
      <c r="D31" s="18" t="s">
        <v>445</v>
      </c>
      <c r="E31" s="19">
        <v>574</v>
      </c>
      <c r="F31" s="19">
        <f t="shared" si="0"/>
        <v>1148</v>
      </c>
      <c r="G31" s="18" t="s">
        <v>308</v>
      </c>
      <c r="H31" s="18" t="s">
        <v>308</v>
      </c>
    </row>
    <row r="32" spans="1:8" x14ac:dyDescent="0.25">
      <c r="A32" s="8">
        <v>45867</v>
      </c>
      <c r="B32" s="2">
        <v>2</v>
      </c>
      <c r="C32" s="2" t="s">
        <v>438</v>
      </c>
      <c r="D32" s="2" t="s">
        <v>446</v>
      </c>
      <c r="E32" s="3">
        <v>574</v>
      </c>
      <c r="F32" s="3">
        <f t="shared" si="0"/>
        <v>1148</v>
      </c>
      <c r="G32" s="2" t="s">
        <v>8</v>
      </c>
      <c r="H32" s="2"/>
    </row>
    <row r="33" spans="1:8" x14ac:dyDescent="0.25">
      <c r="A33" s="8">
        <v>45869</v>
      </c>
      <c r="B33" s="2">
        <v>4</v>
      </c>
      <c r="C33" s="2" t="s">
        <v>438</v>
      </c>
      <c r="D33" s="2" t="s">
        <v>450</v>
      </c>
      <c r="E33" s="3">
        <v>574</v>
      </c>
      <c r="F33" s="3">
        <f t="shared" si="0"/>
        <v>2296</v>
      </c>
      <c r="G33" s="2" t="s">
        <v>8</v>
      </c>
      <c r="H33" s="2"/>
    </row>
    <row r="34" spans="1:8" x14ac:dyDescent="0.25">
      <c r="A34" s="8">
        <v>45869</v>
      </c>
      <c r="B34" s="2">
        <v>2</v>
      </c>
      <c r="C34" s="2" t="s">
        <v>378</v>
      </c>
      <c r="D34" s="2" t="s">
        <v>450</v>
      </c>
      <c r="E34" s="3">
        <v>640</v>
      </c>
      <c r="F34" s="3">
        <f t="shared" si="0"/>
        <v>1280</v>
      </c>
      <c r="G34" s="2" t="s">
        <v>62</v>
      </c>
      <c r="H34" s="2"/>
    </row>
    <row r="35" spans="1:8" x14ac:dyDescent="0.25">
      <c r="A35" s="8">
        <v>45869</v>
      </c>
      <c r="B35" s="2">
        <v>2</v>
      </c>
      <c r="C35" s="2" t="s">
        <v>437</v>
      </c>
      <c r="D35" s="2" t="s">
        <v>451</v>
      </c>
      <c r="E35" s="3">
        <v>714</v>
      </c>
      <c r="F35" s="3">
        <f t="shared" si="0"/>
        <v>1428</v>
      </c>
      <c r="G35" s="2" t="s">
        <v>8</v>
      </c>
      <c r="H35" s="2"/>
    </row>
    <row r="36" spans="1:8" x14ac:dyDescent="0.25">
      <c r="A36" s="8">
        <v>45869</v>
      </c>
      <c r="B36" s="2">
        <v>2</v>
      </c>
      <c r="C36" s="2" t="s">
        <v>438</v>
      </c>
      <c r="D36" s="2" t="s">
        <v>452</v>
      </c>
      <c r="E36" s="3">
        <v>574</v>
      </c>
      <c r="F36" s="3">
        <f t="shared" si="0"/>
        <v>1148</v>
      </c>
      <c r="G36" s="2" t="s">
        <v>8</v>
      </c>
      <c r="H36" s="2"/>
    </row>
    <row r="37" spans="1:8" x14ac:dyDescent="0.25">
      <c r="A37" s="8">
        <v>45869</v>
      </c>
      <c r="B37" s="2">
        <v>2</v>
      </c>
      <c r="C37" s="2" t="s">
        <v>438</v>
      </c>
      <c r="D37" s="2" t="s">
        <v>360</v>
      </c>
      <c r="E37" s="3">
        <v>549</v>
      </c>
      <c r="F37" s="3">
        <f t="shared" si="0"/>
        <v>1098</v>
      </c>
      <c r="G37" s="2" t="s">
        <v>348</v>
      </c>
      <c r="H37" s="2"/>
    </row>
    <row r="38" spans="1:8" x14ac:dyDescent="0.25">
      <c r="A38" s="8">
        <v>45862</v>
      </c>
      <c r="B38" s="2">
        <v>6</v>
      </c>
      <c r="C38" s="2" t="s">
        <v>455</v>
      </c>
      <c r="D38" s="2" t="s">
        <v>454</v>
      </c>
      <c r="E38" s="3">
        <v>87</v>
      </c>
      <c r="F38" s="3">
        <f t="shared" si="0"/>
        <v>522</v>
      </c>
      <c r="G38" s="2" t="s">
        <v>8</v>
      </c>
      <c r="H38" s="2"/>
    </row>
    <row r="39" spans="1:8" x14ac:dyDescent="0.25">
      <c r="A39" s="8">
        <v>45862</v>
      </c>
      <c r="B39" s="2">
        <v>4</v>
      </c>
      <c r="C39" s="2" t="s">
        <v>456</v>
      </c>
      <c r="D39" s="2" t="s">
        <v>454</v>
      </c>
      <c r="E39" s="3">
        <v>51</v>
      </c>
      <c r="F39" s="3">
        <f t="shared" si="0"/>
        <v>204</v>
      </c>
      <c r="G39" s="2" t="s">
        <v>8</v>
      </c>
      <c r="H39" s="2"/>
    </row>
    <row r="40" spans="1:8" x14ac:dyDescent="0.25">
      <c r="A40" s="8">
        <v>45862</v>
      </c>
      <c r="B40" s="2">
        <v>7</v>
      </c>
      <c r="C40" s="2" t="s">
        <v>457</v>
      </c>
      <c r="D40" s="2" t="s">
        <v>454</v>
      </c>
      <c r="E40" s="3">
        <v>19</v>
      </c>
      <c r="F40" s="3">
        <f t="shared" si="0"/>
        <v>133</v>
      </c>
      <c r="G40" s="2" t="s">
        <v>8</v>
      </c>
      <c r="H40" s="2"/>
    </row>
    <row r="42" spans="1:8" x14ac:dyDescent="0.25">
      <c r="C42" s="2"/>
      <c r="D42" s="2"/>
    </row>
    <row r="43" spans="1:8" x14ac:dyDescent="0.25">
      <c r="C43" s="2"/>
      <c r="D43" s="2"/>
    </row>
  </sheetData>
  <autoFilter ref="A1:K40" xr:uid="{3E67D4C6-F42C-4BA1-AF11-E3361F8A40B4}"/>
  <mergeCells count="1">
    <mergeCell ref="E12:E13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C65F-F8F3-4199-AB9B-9BCCD679FD60}">
  <dimension ref="A1:M36"/>
  <sheetViews>
    <sheetView topLeftCell="A13" workbookViewId="0">
      <selection activeCell="D49" sqref="D49"/>
    </sheetView>
  </sheetViews>
  <sheetFormatPr defaultRowHeight="15" x14ac:dyDescent="0.25"/>
  <cols>
    <col min="1" max="2" width="10.5703125" bestFit="1" customWidth="1"/>
    <col min="3" max="3" width="33" bestFit="1" customWidth="1"/>
    <col min="4" max="4" width="31.140625" bestFit="1" customWidth="1"/>
    <col min="5" max="5" width="7.5703125" customWidth="1"/>
    <col min="6" max="6" width="10" customWidth="1"/>
    <col min="7" max="7" width="34" bestFit="1" customWidth="1"/>
    <col min="8" max="8" width="10.5703125" customWidth="1"/>
    <col min="9" max="9" width="18.28515625" bestFit="1" customWidth="1"/>
  </cols>
  <sheetData>
    <row r="1" spans="1:1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13" x14ac:dyDescent="0.25">
      <c r="A2" s="8">
        <v>45909</v>
      </c>
      <c r="B2" s="2">
        <v>10</v>
      </c>
      <c r="C2" s="2" t="s">
        <v>549</v>
      </c>
      <c r="D2" s="2" t="s">
        <v>548</v>
      </c>
      <c r="E2" s="3">
        <v>397</v>
      </c>
      <c r="F2" s="3">
        <f>B2*E2</f>
        <v>3970</v>
      </c>
      <c r="G2" s="2" t="s">
        <v>557</v>
      </c>
      <c r="H2" s="8">
        <v>45912</v>
      </c>
      <c r="I2" s="2"/>
      <c r="M2">
        <v>139000</v>
      </c>
    </row>
    <row r="3" spans="1:13" x14ac:dyDescent="0.25">
      <c r="A3" s="8">
        <v>45909</v>
      </c>
      <c r="B3" s="2">
        <v>10</v>
      </c>
      <c r="C3" s="2" t="s">
        <v>550</v>
      </c>
      <c r="D3" s="2" t="s">
        <v>548</v>
      </c>
      <c r="E3" s="65">
        <v>353</v>
      </c>
      <c r="F3" s="65">
        <f>B3*E3</f>
        <v>3530</v>
      </c>
      <c r="G3" s="2" t="s">
        <v>557</v>
      </c>
      <c r="H3" s="8">
        <v>45912</v>
      </c>
      <c r="I3" s="2"/>
      <c r="M3">
        <v>314000</v>
      </c>
    </row>
    <row r="4" spans="1:13" x14ac:dyDescent="0.25">
      <c r="A4" s="8">
        <v>45910</v>
      </c>
      <c r="B4" s="2">
        <v>5</v>
      </c>
      <c r="C4" s="2" t="s">
        <v>553</v>
      </c>
      <c r="D4" s="2" t="s">
        <v>335</v>
      </c>
      <c r="E4" s="65">
        <v>999</v>
      </c>
      <c r="F4" s="65">
        <f t="shared" ref="F4:F16" si="0">B4*E4</f>
        <v>4995</v>
      </c>
      <c r="G4" s="2" t="s">
        <v>558</v>
      </c>
      <c r="H4" s="8">
        <v>45912</v>
      </c>
      <c r="I4" s="2"/>
      <c r="M4">
        <v>202800</v>
      </c>
    </row>
    <row r="5" spans="1:13" x14ac:dyDescent="0.25">
      <c r="A5" s="8">
        <v>45910</v>
      </c>
      <c r="B5" s="2">
        <v>15</v>
      </c>
      <c r="C5" s="2" t="s">
        <v>555</v>
      </c>
      <c r="D5" s="2" t="s">
        <v>335</v>
      </c>
      <c r="E5" s="65">
        <v>1150</v>
      </c>
      <c r="F5" s="65">
        <f t="shared" si="0"/>
        <v>17250</v>
      </c>
      <c r="G5" s="2" t="s">
        <v>558</v>
      </c>
      <c r="H5" s="8">
        <v>45912</v>
      </c>
      <c r="I5" s="2"/>
    </row>
    <row r="6" spans="1:13" x14ac:dyDescent="0.25">
      <c r="A6" s="8">
        <v>45910</v>
      </c>
      <c r="B6" s="2">
        <v>10</v>
      </c>
      <c r="C6" s="2" t="s">
        <v>556</v>
      </c>
      <c r="D6" s="2" t="s">
        <v>335</v>
      </c>
      <c r="E6" s="65">
        <v>1260</v>
      </c>
      <c r="F6" s="65">
        <f t="shared" si="0"/>
        <v>12600</v>
      </c>
      <c r="G6" s="2" t="s">
        <v>558</v>
      </c>
      <c r="H6" s="8">
        <v>45912</v>
      </c>
      <c r="I6" s="2"/>
    </row>
    <row r="7" spans="1:13" x14ac:dyDescent="0.25">
      <c r="A7" s="8">
        <v>45910</v>
      </c>
      <c r="B7" s="2">
        <v>5</v>
      </c>
      <c r="C7" s="2" t="s">
        <v>554</v>
      </c>
      <c r="D7" s="2" t="s">
        <v>335</v>
      </c>
      <c r="E7" s="65">
        <v>3300</v>
      </c>
      <c r="F7" s="65">
        <f t="shared" si="0"/>
        <v>16500</v>
      </c>
      <c r="G7" s="2" t="s">
        <v>558</v>
      </c>
      <c r="H7" s="8">
        <v>45912</v>
      </c>
      <c r="I7" s="2"/>
    </row>
    <row r="8" spans="1:13" x14ac:dyDescent="0.25">
      <c r="A8" s="8">
        <v>45910</v>
      </c>
      <c r="B8" s="2">
        <v>9</v>
      </c>
      <c r="C8" s="2" t="s">
        <v>553</v>
      </c>
      <c r="D8" s="2" t="s">
        <v>349</v>
      </c>
      <c r="E8" s="65">
        <v>1063</v>
      </c>
      <c r="F8" s="65">
        <f t="shared" si="0"/>
        <v>9567</v>
      </c>
      <c r="G8" s="2" t="s">
        <v>557</v>
      </c>
      <c r="H8" s="8">
        <v>45912</v>
      </c>
      <c r="I8" s="2"/>
    </row>
    <row r="9" spans="1:13" x14ac:dyDescent="0.25">
      <c r="A9" s="8">
        <v>45910</v>
      </c>
      <c r="B9" s="2">
        <v>9</v>
      </c>
      <c r="C9" s="2" t="s">
        <v>560</v>
      </c>
      <c r="D9" s="2" t="s">
        <v>349</v>
      </c>
      <c r="E9" s="65">
        <v>433</v>
      </c>
      <c r="F9" s="65">
        <f t="shared" si="0"/>
        <v>3897</v>
      </c>
      <c r="G9" s="2" t="s">
        <v>557</v>
      </c>
      <c r="H9" s="8">
        <v>45912</v>
      </c>
      <c r="I9" s="2"/>
    </row>
    <row r="10" spans="1:13" x14ac:dyDescent="0.25">
      <c r="A10" s="8">
        <v>45910</v>
      </c>
      <c r="B10" s="2">
        <v>1</v>
      </c>
      <c r="C10" s="2" t="s">
        <v>323</v>
      </c>
      <c r="D10" s="2" t="s">
        <v>349</v>
      </c>
      <c r="E10" s="65">
        <v>655</v>
      </c>
      <c r="F10" s="65">
        <f t="shared" si="0"/>
        <v>655</v>
      </c>
      <c r="G10" s="2" t="s">
        <v>557</v>
      </c>
      <c r="H10" s="8">
        <v>45912</v>
      </c>
      <c r="I10" s="2"/>
    </row>
    <row r="11" spans="1:13" x14ac:dyDescent="0.25">
      <c r="A11" s="8">
        <v>45910</v>
      </c>
      <c r="B11" s="2">
        <v>5</v>
      </c>
      <c r="C11" s="2" t="s">
        <v>196</v>
      </c>
      <c r="D11" s="2" t="s">
        <v>349</v>
      </c>
      <c r="E11" s="65">
        <v>751</v>
      </c>
      <c r="F11" s="65">
        <f t="shared" si="0"/>
        <v>3755</v>
      </c>
      <c r="G11" s="2" t="s">
        <v>557</v>
      </c>
      <c r="H11" s="8">
        <v>45912</v>
      </c>
      <c r="I11" s="2" t="s">
        <v>115</v>
      </c>
    </row>
    <row r="12" spans="1:13" x14ac:dyDescent="0.25">
      <c r="A12" s="8">
        <v>45910</v>
      </c>
      <c r="B12" s="2">
        <v>2</v>
      </c>
      <c r="C12" s="2" t="s">
        <v>561</v>
      </c>
      <c r="D12" s="2" t="s">
        <v>349</v>
      </c>
      <c r="E12" s="65">
        <v>2800</v>
      </c>
      <c r="F12" s="65">
        <f t="shared" si="0"/>
        <v>5600</v>
      </c>
      <c r="G12" s="2" t="s">
        <v>557</v>
      </c>
      <c r="H12" s="8">
        <v>45912</v>
      </c>
      <c r="I12" s="2" t="s">
        <v>115</v>
      </c>
    </row>
    <row r="13" spans="1:13" x14ac:dyDescent="0.25">
      <c r="A13" s="8">
        <v>45910</v>
      </c>
      <c r="B13" s="2">
        <v>20</v>
      </c>
      <c r="C13" s="2" t="s">
        <v>562</v>
      </c>
      <c r="D13" s="2" t="s">
        <v>349</v>
      </c>
      <c r="E13" s="65">
        <v>560</v>
      </c>
      <c r="F13" s="65">
        <f t="shared" si="0"/>
        <v>11200</v>
      </c>
      <c r="G13" s="2" t="s">
        <v>557</v>
      </c>
      <c r="H13" s="8">
        <v>45912</v>
      </c>
      <c r="I13" s="2" t="s">
        <v>115</v>
      </c>
    </row>
    <row r="14" spans="1:13" x14ac:dyDescent="0.25">
      <c r="A14" s="8">
        <v>45910</v>
      </c>
      <c r="B14" s="2">
        <v>1</v>
      </c>
      <c r="C14" s="2" t="s">
        <v>554</v>
      </c>
      <c r="D14" s="2" t="s">
        <v>349</v>
      </c>
      <c r="E14" s="65">
        <v>3690</v>
      </c>
      <c r="F14" s="65">
        <f t="shared" si="0"/>
        <v>3690</v>
      </c>
      <c r="G14" s="2" t="s">
        <v>557</v>
      </c>
      <c r="H14" s="8">
        <v>45912</v>
      </c>
      <c r="I14" s="2" t="s">
        <v>115</v>
      </c>
    </row>
    <row r="15" spans="1:13" x14ac:dyDescent="0.25">
      <c r="A15" s="8">
        <v>45910</v>
      </c>
      <c r="B15" s="2">
        <v>50</v>
      </c>
      <c r="C15" s="2" t="s">
        <v>559</v>
      </c>
      <c r="D15" s="2" t="s">
        <v>349</v>
      </c>
      <c r="E15" s="65">
        <v>49</v>
      </c>
      <c r="F15" s="65">
        <f t="shared" si="0"/>
        <v>2450</v>
      </c>
      <c r="G15" s="2" t="s">
        <v>557</v>
      </c>
      <c r="H15" s="8">
        <v>45912</v>
      </c>
      <c r="I15" s="2"/>
    </row>
    <row r="16" spans="1:13" x14ac:dyDescent="0.25">
      <c r="A16" s="8">
        <v>45910</v>
      </c>
      <c r="B16" s="10">
        <v>4</v>
      </c>
      <c r="C16" s="10" t="s">
        <v>419</v>
      </c>
      <c r="D16" s="10" t="s">
        <v>424</v>
      </c>
      <c r="E16" s="67">
        <v>679</v>
      </c>
      <c r="F16" s="66">
        <f t="shared" si="0"/>
        <v>2716</v>
      </c>
      <c r="G16" s="10" t="s">
        <v>566</v>
      </c>
      <c r="H16" s="8">
        <v>45912</v>
      </c>
      <c r="I16" s="2" t="s">
        <v>567</v>
      </c>
    </row>
    <row r="17" spans="1:12" x14ac:dyDescent="0.25">
      <c r="A17" s="17">
        <v>45910</v>
      </c>
      <c r="B17" s="16">
        <v>4</v>
      </c>
      <c r="C17" s="16" t="s">
        <v>425</v>
      </c>
      <c r="D17" s="16" t="s">
        <v>424</v>
      </c>
      <c r="E17" s="69"/>
      <c r="F17" s="70">
        <v>200</v>
      </c>
      <c r="G17" s="16" t="s">
        <v>568</v>
      </c>
      <c r="H17" s="18" t="s">
        <v>47</v>
      </c>
      <c r="I17" s="18" t="s">
        <v>623</v>
      </c>
    </row>
    <row r="18" spans="1:12" x14ac:dyDescent="0.25">
      <c r="A18" s="8">
        <v>45912</v>
      </c>
      <c r="B18" s="2">
        <v>6</v>
      </c>
      <c r="C18" s="2" t="s">
        <v>571</v>
      </c>
      <c r="D18" s="2" t="s">
        <v>570</v>
      </c>
      <c r="E18" s="65">
        <v>2599</v>
      </c>
      <c r="F18" s="65">
        <f>E18*B18</f>
        <v>15594</v>
      </c>
      <c r="G18" s="2" t="s">
        <v>577</v>
      </c>
      <c r="H18" s="8">
        <v>45919</v>
      </c>
      <c r="I18" s="2"/>
    </row>
    <row r="19" spans="1:12" x14ac:dyDescent="0.25">
      <c r="A19" s="8">
        <v>45912</v>
      </c>
      <c r="B19" s="2">
        <v>28</v>
      </c>
      <c r="C19" s="2" t="s">
        <v>573</v>
      </c>
      <c r="D19" s="2" t="s">
        <v>572</v>
      </c>
      <c r="E19" s="65">
        <v>2199</v>
      </c>
      <c r="F19" s="65">
        <f>E19*B19</f>
        <v>61572</v>
      </c>
      <c r="G19" s="2" t="s">
        <v>577</v>
      </c>
      <c r="H19" s="8">
        <v>45919</v>
      </c>
      <c r="I19" s="2"/>
    </row>
    <row r="20" spans="1:12" x14ac:dyDescent="0.25">
      <c r="A20" s="8">
        <v>45912</v>
      </c>
      <c r="B20" s="2">
        <v>6</v>
      </c>
      <c r="C20" s="2" t="s">
        <v>573</v>
      </c>
      <c r="D20" s="2" t="s">
        <v>574</v>
      </c>
      <c r="E20" s="65">
        <v>2199</v>
      </c>
      <c r="F20" s="65">
        <f t="shared" ref="F20:F21" si="1">E20*B20</f>
        <v>13194</v>
      </c>
      <c r="G20" s="18" t="s">
        <v>600</v>
      </c>
      <c r="H20" s="2"/>
      <c r="I20" s="2"/>
    </row>
    <row r="21" spans="1:12" x14ac:dyDescent="0.25">
      <c r="A21" s="8">
        <v>45912</v>
      </c>
      <c r="B21" s="2">
        <v>4</v>
      </c>
      <c r="C21" s="2" t="s">
        <v>573</v>
      </c>
      <c r="D21" s="2" t="s">
        <v>574</v>
      </c>
      <c r="E21" s="65">
        <v>2199</v>
      </c>
      <c r="F21" s="65">
        <f t="shared" si="1"/>
        <v>8796</v>
      </c>
      <c r="G21" s="18" t="s">
        <v>599</v>
      </c>
      <c r="H21" s="8">
        <v>45919</v>
      </c>
      <c r="I21" s="2"/>
    </row>
    <row r="22" spans="1:12" x14ac:dyDescent="0.25">
      <c r="A22" s="8">
        <v>45912</v>
      </c>
      <c r="B22" s="2">
        <v>1</v>
      </c>
      <c r="C22" s="2" t="s">
        <v>575</v>
      </c>
      <c r="D22" s="2" t="s">
        <v>576</v>
      </c>
      <c r="E22" s="65">
        <v>350</v>
      </c>
      <c r="F22" s="65">
        <v>350</v>
      </c>
      <c r="G22" s="2"/>
      <c r="H22" s="2"/>
      <c r="I22" s="2"/>
    </row>
    <row r="23" spans="1:12" x14ac:dyDescent="0.25">
      <c r="A23" s="8">
        <v>45925</v>
      </c>
      <c r="B23" s="2">
        <v>5</v>
      </c>
      <c r="C23" s="2" t="s">
        <v>583</v>
      </c>
      <c r="D23" s="2" t="s">
        <v>335</v>
      </c>
      <c r="E23" s="65">
        <v>1449</v>
      </c>
      <c r="F23" s="65">
        <f>B23*E23</f>
        <v>7245</v>
      </c>
      <c r="G23" s="2" t="s">
        <v>584</v>
      </c>
      <c r="H23" s="2"/>
      <c r="I23" s="2"/>
    </row>
    <row r="24" spans="1:12" x14ac:dyDescent="0.25">
      <c r="A24" s="8">
        <v>45925</v>
      </c>
      <c r="B24" s="2">
        <v>5</v>
      </c>
      <c r="C24" s="2" t="s">
        <v>585</v>
      </c>
      <c r="D24" s="2" t="s">
        <v>335</v>
      </c>
      <c r="E24" s="65">
        <v>4400</v>
      </c>
      <c r="F24" s="65">
        <f t="shared" ref="F24:F34" si="2">B24*E24</f>
        <v>22000</v>
      </c>
      <c r="G24" s="2" t="s">
        <v>589</v>
      </c>
      <c r="H24" s="2"/>
      <c r="I24" s="2"/>
    </row>
    <row r="25" spans="1:12" x14ac:dyDescent="0.25">
      <c r="A25" s="8">
        <v>45925</v>
      </c>
      <c r="B25" s="2">
        <v>5</v>
      </c>
      <c r="C25" s="2" t="s">
        <v>196</v>
      </c>
      <c r="D25" s="2" t="s">
        <v>335</v>
      </c>
      <c r="E25" s="65">
        <v>645</v>
      </c>
      <c r="F25" s="65">
        <f t="shared" si="2"/>
        <v>3225</v>
      </c>
      <c r="G25" s="2" t="s">
        <v>584</v>
      </c>
      <c r="H25" s="2"/>
      <c r="I25" s="2"/>
    </row>
    <row r="26" spans="1:12" x14ac:dyDescent="0.25">
      <c r="A26" s="8">
        <v>45925</v>
      </c>
      <c r="B26" s="2">
        <v>5</v>
      </c>
      <c r="C26" s="2" t="s">
        <v>586</v>
      </c>
      <c r="D26" s="2" t="s">
        <v>335</v>
      </c>
      <c r="E26" s="65">
        <v>860</v>
      </c>
      <c r="F26" s="65">
        <f t="shared" si="2"/>
        <v>4300</v>
      </c>
      <c r="G26" s="2" t="s">
        <v>584</v>
      </c>
      <c r="H26" s="2"/>
      <c r="I26" s="2"/>
    </row>
    <row r="27" spans="1:12" x14ac:dyDescent="0.25">
      <c r="A27" s="8">
        <v>45925</v>
      </c>
      <c r="B27" s="2">
        <v>5</v>
      </c>
      <c r="C27" s="2" t="s">
        <v>587</v>
      </c>
      <c r="D27" s="2" t="s">
        <v>335</v>
      </c>
      <c r="E27" s="65">
        <v>999</v>
      </c>
      <c r="F27" s="65">
        <f t="shared" si="2"/>
        <v>4995</v>
      </c>
      <c r="G27" s="2" t="s">
        <v>584</v>
      </c>
      <c r="H27" s="2"/>
      <c r="I27" s="2"/>
    </row>
    <row r="28" spans="1:12" x14ac:dyDescent="0.25">
      <c r="A28" s="8">
        <v>45925</v>
      </c>
      <c r="B28" s="2">
        <v>5</v>
      </c>
      <c r="C28" s="2" t="s">
        <v>588</v>
      </c>
      <c r="D28" s="2" t="s">
        <v>335</v>
      </c>
      <c r="E28" s="65">
        <v>1150</v>
      </c>
      <c r="F28" s="65">
        <f t="shared" si="2"/>
        <v>5750</v>
      </c>
      <c r="G28" s="2" t="s">
        <v>584</v>
      </c>
      <c r="H28" s="2"/>
      <c r="I28" s="2"/>
      <c r="L28" t="s">
        <v>590</v>
      </c>
    </row>
    <row r="29" spans="1:12" x14ac:dyDescent="0.25">
      <c r="A29" s="8">
        <v>45926</v>
      </c>
      <c r="B29" s="2">
        <v>23</v>
      </c>
      <c r="C29" s="2" t="s">
        <v>593</v>
      </c>
      <c r="D29" s="2" t="s">
        <v>594</v>
      </c>
      <c r="E29" s="65">
        <v>2199</v>
      </c>
      <c r="F29" s="65">
        <f t="shared" si="2"/>
        <v>50577</v>
      </c>
      <c r="G29" s="2" t="s">
        <v>595</v>
      </c>
      <c r="H29" s="8">
        <v>45926</v>
      </c>
      <c r="I29" s="2"/>
      <c r="L29" t="s">
        <v>591</v>
      </c>
    </row>
    <row r="30" spans="1:12" x14ac:dyDescent="0.25">
      <c r="A30" s="8">
        <v>45926</v>
      </c>
      <c r="B30" s="2">
        <v>2</v>
      </c>
      <c r="C30" s="2" t="s">
        <v>593</v>
      </c>
      <c r="D30" s="2" t="s">
        <v>594</v>
      </c>
      <c r="E30" s="65">
        <v>2199</v>
      </c>
      <c r="F30" s="65">
        <f t="shared" si="2"/>
        <v>4398</v>
      </c>
      <c r="G30" s="18" t="s">
        <v>598</v>
      </c>
      <c r="H30" s="8">
        <v>45926</v>
      </c>
      <c r="I30" s="2"/>
      <c r="L30" t="s">
        <v>592</v>
      </c>
    </row>
    <row r="31" spans="1:12" x14ac:dyDescent="0.25">
      <c r="A31" s="49">
        <v>45926</v>
      </c>
      <c r="B31" s="10">
        <v>2</v>
      </c>
      <c r="C31" s="10" t="s">
        <v>596</v>
      </c>
      <c r="D31" s="10" t="s">
        <v>601</v>
      </c>
      <c r="E31" s="66">
        <v>2199</v>
      </c>
      <c r="F31" s="66">
        <f t="shared" si="2"/>
        <v>4398</v>
      </c>
      <c r="G31" s="10" t="s">
        <v>598</v>
      </c>
      <c r="H31" s="8"/>
      <c r="I31" s="2"/>
    </row>
    <row r="32" spans="1:12" x14ac:dyDescent="0.25">
      <c r="A32" s="8">
        <v>45926</v>
      </c>
      <c r="B32" s="2">
        <v>2</v>
      </c>
      <c r="C32" s="2" t="s">
        <v>597</v>
      </c>
      <c r="D32" s="2" t="s">
        <v>602</v>
      </c>
      <c r="E32" s="65">
        <v>1999</v>
      </c>
      <c r="F32" s="65">
        <f t="shared" si="2"/>
        <v>3998</v>
      </c>
      <c r="G32" s="2" t="s">
        <v>8</v>
      </c>
      <c r="H32" s="8">
        <v>45929</v>
      </c>
      <c r="I32" s="2"/>
    </row>
    <row r="33" spans="1:9" x14ac:dyDescent="0.25">
      <c r="A33" s="8">
        <v>45917</v>
      </c>
      <c r="B33" s="2">
        <v>30</v>
      </c>
      <c r="C33" s="2" t="s">
        <v>587</v>
      </c>
      <c r="D33" s="2" t="s">
        <v>349</v>
      </c>
      <c r="E33" s="21">
        <v>1063</v>
      </c>
      <c r="F33" s="65"/>
      <c r="G33" s="2" t="s">
        <v>603</v>
      </c>
      <c r="H33" s="2"/>
      <c r="I33" s="2"/>
    </row>
    <row r="34" spans="1:9" x14ac:dyDescent="0.25">
      <c r="A34" s="8">
        <v>45928</v>
      </c>
      <c r="B34" s="22">
        <v>9</v>
      </c>
      <c r="C34" s="2" t="s">
        <v>606</v>
      </c>
      <c r="D34" s="2" t="s">
        <v>607</v>
      </c>
      <c r="E34" s="21">
        <v>539</v>
      </c>
      <c r="F34" s="65">
        <f t="shared" si="2"/>
        <v>4851</v>
      </c>
      <c r="G34" s="2" t="s">
        <v>624</v>
      </c>
      <c r="H34" s="2"/>
      <c r="I34" s="2"/>
    </row>
    <row r="35" spans="1:9" x14ac:dyDescent="0.25">
      <c r="A35" s="2"/>
      <c r="B35" s="2"/>
      <c r="C35" s="2"/>
      <c r="D35" s="2"/>
      <c r="E35" s="2"/>
      <c r="F35" s="2"/>
      <c r="G35" s="2"/>
      <c r="H35" s="2"/>
      <c r="I35" s="2"/>
    </row>
    <row r="36" spans="1:9" x14ac:dyDescent="0.25">
      <c r="A36" s="2"/>
      <c r="B36" s="2"/>
      <c r="C36" s="2"/>
      <c r="D36" s="2"/>
      <c r="E36" s="2"/>
      <c r="F36" s="2"/>
      <c r="G36" s="2"/>
      <c r="H36" s="2"/>
      <c r="I36" s="2"/>
    </row>
  </sheetData>
  <autoFilter ref="A1:M32" xr:uid="{AEBDC65F-F8F3-4199-AB9B-9BCCD679FD60}"/>
  <phoneticPr fontId="3" type="noConversion"/>
  <hyperlinks>
    <hyperlink ref="C27" r:id="rId1" display="https://www.harveynorman.com.au/dji-mini-4-pro-rc-2.html" xr:uid="{FCDD0906-2199-4A11-97F6-205E9D128C2D}"/>
    <hyperlink ref="C33" r:id="rId2" display="https://www.harveynorman.com.au/dji-mini-4-pro-rc-2.html" xr:uid="{3E11E993-7455-4BE6-B274-DF1308A287A4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FE7A0-DEA8-4BEF-9E79-261D0A739160}">
  <dimension ref="A1:I29"/>
  <sheetViews>
    <sheetView workbookViewId="0">
      <selection activeCell="D48" sqref="D48"/>
    </sheetView>
  </sheetViews>
  <sheetFormatPr defaultRowHeight="15" x14ac:dyDescent="0.25"/>
  <cols>
    <col min="1" max="1" width="10.5703125" bestFit="1" customWidth="1"/>
    <col min="2" max="2" width="8.42578125" bestFit="1" customWidth="1"/>
    <col min="3" max="3" width="32.7109375" bestFit="1" customWidth="1"/>
    <col min="4" max="4" width="29" bestFit="1" customWidth="1"/>
    <col min="5" max="5" width="9" bestFit="1" customWidth="1"/>
    <col min="6" max="6" width="10" bestFit="1" customWidth="1"/>
    <col min="7" max="7" width="19.140625" bestFit="1" customWidth="1"/>
    <col min="8" max="8" width="15.140625" bestFit="1" customWidth="1"/>
    <col min="9" max="9" width="17.5703125" bestFit="1" customWidth="1"/>
  </cols>
  <sheetData>
    <row r="1" spans="1:9" x14ac:dyDescent="0.25">
      <c r="A1" s="44" t="e" cm="1">
        <f t="array" ref="A1">A1:G28Date</f>
        <v>#NAME?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2" t="s">
        <v>626</v>
      </c>
      <c r="I1" s="2" t="s">
        <v>632</v>
      </c>
    </row>
    <row r="2" spans="1:9" x14ac:dyDescent="0.25">
      <c r="A2" s="8">
        <v>45946</v>
      </c>
      <c r="B2" s="2">
        <v>100</v>
      </c>
      <c r="C2" s="2" t="s">
        <v>295</v>
      </c>
      <c r="D2" s="2" t="s">
        <v>608</v>
      </c>
      <c r="E2" s="3">
        <v>274</v>
      </c>
      <c r="F2" s="3">
        <f>E2*B2</f>
        <v>27400</v>
      </c>
      <c r="G2" s="2" t="s">
        <v>609</v>
      </c>
      <c r="H2" s="2"/>
      <c r="I2" s="2"/>
    </row>
    <row r="3" spans="1:9" x14ac:dyDescent="0.25">
      <c r="A3" s="8">
        <v>45946</v>
      </c>
      <c r="B3" s="2">
        <v>1</v>
      </c>
      <c r="C3" s="2" t="s">
        <v>295</v>
      </c>
      <c r="D3" s="2" t="s">
        <v>296</v>
      </c>
      <c r="E3" s="3">
        <v>120</v>
      </c>
      <c r="F3" s="3">
        <f t="shared" ref="F3:F28" si="0">E3*B3</f>
        <v>120</v>
      </c>
      <c r="G3" s="2"/>
      <c r="H3" s="2"/>
      <c r="I3" s="2"/>
    </row>
    <row r="4" spans="1:9" x14ac:dyDescent="0.25">
      <c r="A4" s="8">
        <v>45950</v>
      </c>
      <c r="B4" s="2">
        <v>2</v>
      </c>
      <c r="C4" s="2" t="s">
        <v>378</v>
      </c>
      <c r="D4" s="2" t="s">
        <v>610</v>
      </c>
      <c r="E4" s="3">
        <v>699</v>
      </c>
      <c r="F4" s="3">
        <f t="shared" si="0"/>
        <v>1398</v>
      </c>
      <c r="G4" s="2" t="s">
        <v>620</v>
      </c>
      <c r="H4" s="8">
        <v>45837</v>
      </c>
      <c r="I4" s="2"/>
    </row>
    <row r="5" spans="1:9" x14ac:dyDescent="0.25">
      <c r="A5" s="8">
        <v>45950</v>
      </c>
      <c r="B5" s="2">
        <v>4</v>
      </c>
      <c r="C5" s="2" t="s">
        <v>611</v>
      </c>
      <c r="D5" s="2" t="s">
        <v>628</v>
      </c>
      <c r="E5" s="3">
        <v>1239</v>
      </c>
      <c r="F5" s="3">
        <f t="shared" si="0"/>
        <v>4956</v>
      </c>
      <c r="G5" s="2" t="s">
        <v>620</v>
      </c>
      <c r="H5" s="8">
        <v>45910</v>
      </c>
      <c r="I5" s="2" t="s">
        <v>633</v>
      </c>
    </row>
    <row r="6" spans="1:9" x14ac:dyDescent="0.25">
      <c r="A6" s="68">
        <v>45948</v>
      </c>
      <c r="B6" s="2">
        <v>2</v>
      </c>
      <c r="C6" s="2" t="s">
        <v>612</v>
      </c>
      <c r="D6" s="2" t="s">
        <v>615</v>
      </c>
      <c r="E6" s="3">
        <v>2999</v>
      </c>
      <c r="F6" s="3">
        <f t="shared" si="0"/>
        <v>5998</v>
      </c>
      <c r="G6" s="2" t="s">
        <v>630</v>
      </c>
      <c r="H6" s="2"/>
      <c r="I6" s="2" t="s">
        <v>633</v>
      </c>
    </row>
    <row r="7" spans="1:9" x14ac:dyDescent="0.25">
      <c r="A7" s="68">
        <v>45948</v>
      </c>
      <c r="B7" s="2">
        <v>2</v>
      </c>
      <c r="C7" s="2" t="s">
        <v>612</v>
      </c>
      <c r="D7" s="2" t="s">
        <v>615</v>
      </c>
      <c r="E7" s="3">
        <v>2999</v>
      </c>
      <c r="F7" s="3">
        <f t="shared" si="0"/>
        <v>5998</v>
      </c>
      <c r="G7" s="2" t="s">
        <v>630</v>
      </c>
      <c r="H7" s="2"/>
      <c r="I7" s="2" t="s">
        <v>633</v>
      </c>
    </row>
    <row r="8" spans="1:9" x14ac:dyDescent="0.25">
      <c r="A8" s="68">
        <v>45948</v>
      </c>
      <c r="B8" s="2">
        <v>1</v>
      </c>
      <c r="C8" s="2" t="s">
        <v>612</v>
      </c>
      <c r="D8" s="2" t="s">
        <v>615</v>
      </c>
      <c r="E8" s="3">
        <v>2999</v>
      </c>
      <c r="F8" s="3">
        <f t="shared" si="0"/>
        <v>2999</v>
      </c>
      <c r="G8" s="2" t="s">
        <v>630</v>
      </c>
      <c r="H8" s="2"/>
      <c r="I8" s="2" t="s">
        <v>633</v>
      </c>
    </row>
    <row r="9" spans="1:9" x14ac:dyDescent="0.25">
      <c r="A9" s="68">
        <v>45949</v>
      </c>
      <c r="B9" s="2">
        <v>2</v>
      </c>
      <c r="C9" s="18" t="s">
        <v>614</v>
      </c>
      <c r="D9" s="2" t="s">
        <v>615</v>
      </c>
      <c r="E9" s="3">
        <v>2199</v>
      </c>
      <c r="F9" s="3">
        <f t="shared" si="0"/>
        <v>4398</v>
      </c>
      <c r="G9" s="18" t="s">
        <v>629</v>
      </c>
      <c r="H9" s="18" t="s">
        <v>640</v>
      </c>
      <c r="I9" s="2"/>
    </row>
    <row r="10" spans="1:9" x14ac:dyDescent="0.25">
      <c r="A10" s="68">
        <v>45950</v>
      </c>
      <c r="B10" s="2">
        <v>2</v>
      </c>
      <c r="C10" s="18" t="s">
        <v>614</v>
      </c>
      <c r="D10" s="2" t="s">
        <v>615</v>
      </c>
      <c r="E10" s="3">
        <v>2199</v>
      </c>
      <c r="F10" s="3">
        <f t="shared" si="0"/>
        <v>4398</v>
      </c>
      <c r="G10" s="18" t="s">
        <v>629</v>
      </c>
      <c r="H10" s="18" t="s">
        <v>634</v>
      </c>
      <c r="I10" s="2"/>
    </row>
    <row r="11" spans="1:9" x14ac:dyDescent="0.25">
      <c r="A11" s="68">
        <v>45950</v>
      </c>
      <c r="B11" s="2">
        <v>2</v>
      </c>
      <c r="C11" s="18" t="s">
        <v>614</v>
      </c>
      <c r="D11" s="2" t="s">
        <v>615</v>
      </c>
      <c r="E11" s="3">
        <v>2199</v>
      </c>
      <c r="F11" s="3">
        <f t="shared" si="0"/>
        <v>4398</v>
      </c>
      <c r="G11" s="18" t="s">
        <v>629</v>
      </c>
      <c r="H11" s="18" t="s">
        <v>634</v>
      </c>
      <c r="I11" s="2"/>
    </row>
    <row r="12" spans="1:9" x14ac:dyDescent="0.25">
      <c r="A12" s="68">
        <v>45950</v>
      </c>
      <c r="B12" s="2">
        <v>2</v>
      </c>
      <c r="C12" s="2" t="s">
        <v>612</v>
      </c>
      <c r="D12" s="2" t="s">
        <v>616</v>
      </c>
      <c r="E12" s="3">
        <v>2999</v>
      </c>
      <c r="F12" s="3">
        <f t="shared" si="0"/>
        <v>5998</v>
      </c>
      <c r="G12" s="2" t="s">
        <v>619</v>
      </c>
      <c r="H12" s="18"/>
      <c r="I12" s="2" t="s">
        <v>633</v>
      </c>
    </row>
    <row r="13" spans="1:9" x14ac:dyDescent="0.25">
      <c r="A13" s="68">
        <v>45950</v>
      </c>
      <c r="B13" s="2">
        <v>2</v>
      </c>
      <c r="C13" s="18" t="s">
        <v>613</v>
      </c>
      <c r="D13" s="2" t="s">
        <v>615</v>
      </c>
      <c r="E13" s="3">
        <v>2599</v>
      </c>
      <c r="F13" s="3">
        <f t="shared" si="0"/>
        <v>5198</v>
      </c>
      <c r="G13" s="18" t="s">
        <v>629</v>
      </c>
      <c r="H13" s="18" t="s">
        <v>640</v>
      </c>
      <c r="I13" s="2"/>
    </row>
    <row r="14" spans="1:9" x14ac:dyDescent="0.25">
      <c r="A14" s="68">
        <v>45950</v>
      </c>
      <c r="B14" s="2">
        <v>2</v>
      </c>
      <c r="C14" s="2" t="s">
        <v>612</v>
      </c>
      <c r="D14" s="2" t="s">
        <v>616</v>
      </c>
      <c r="E14" s="3">
        <v>2999</v>
      </c>
      <c r="F14" s="3">
        <f t="shared" si="0"/>
        <v>5998</v>
      </c>
      <c r="G14" s="2" t="s">
        <v>619</v>
      </c>
      <c r="H14" s="2"/>
      <c r="I14" s="2" t="s">
        <v>633</v>
      </c>
    </row>
    <row r="15" spans="1:9" x14ac:dyDescent="0.25">
      <c r="A15" s="68">
        <v>45950</v>
      </c>
      <c r="B15" s="2">
        <v>2</v>
      </c>
      <c r="C15" s="2" t="s">
        <v>612</v>
      </c>
      <c r="D15" s="2" t="s">
        <v>616</v>
      </c>
      <c r="E15" s="3">
        <v>2999</v>
      </c>
      <c r="F15" s="3">
        <f t="shared" si="0"/>
        <v>5998</v>
      </c>
      <c r="G15" s="2" t="s">
        <v>619</v>
      </c>
      <c r="H15" s="2"/>
      <c r="I15" s="2" t="s">
        <v>633</v>
      </c>
    </row>
    <row r="16" spans="1:9" x14ac:dyDescent="0.25">
      <c r="A16" s="68">
        <v>45950</v>
      </c>
      <c r="B16" s="2">
        <v>2</v>
      </c>
      <c r="C16" s="2" t="s">
        <v>612</v>
      </c>
      <c r="D16" s="2" t="s">
        <v>616</v>
      </c>
      <c r="E16" s="3">
        <v>2999</v>
      </c>
      <c r="F16" s="3">
        <f t="shared" si="0"/>
        <v>5998</v>
      </c>
      <c r="G16" s="2" t="s">
        <v>619</v>
      </c>
      <c r="H16" s="2"/>
      <c r="I16" s="2" t="s">
        <v>633</v>
      </c>
    </row>
    <row r="17" spans="1:9" x14ac:dyDescent="0.25">
      <c r="A17" s="68">
        <v>45950</v>
      </c>
      <c r="B17" s="2">
        <v>2</v>
      </c>
      <c r="C17" s="2" t="s">
        <v>612</v>
      </c>
      <c r="D17" s="2" t="s">
        <v>616</v>
      </c>
      <c r="E17" s="3">
        <v>2999</v>
      </c>
      <c r="F17" s="3">
        <f t="shared" si="0"/>
        <v>5998</v>
      </c>
      <c r="G17" s="2" t="s">
        <v>619</v>
      </c>
      <c r="H17" s="2"/>
      <c r="I17" s="2" t="s">
        <v>633</v>
      </c>
    </row>
    <row r="18" spans="1:9" x14ac:dyDescent="0.25">
      <c r="A18" s="68">
        <v>45950</v>
      </c>
      <c r="B18" s="2">
        <v>2</v>
      </c>
      <c r="C18" s="2" t="s">
        <v>612</v>
      </c>
      <c r="D18" s="2" t="s">
        <v>616</v>
      </c>
      <c r="E18" s="3">
        <v>2999</v>
      </c>
      <c r="F18" s="3">
        <f t="shared" si="0"/>
        <v>5998</v>
      </c>
      <c r="G18" s="2" t="s">
        <v>619</v>
      </c>
      <c r="H18" s="2"/>
      <c r="I18" s="2" t="s">
        <v>633</v>
      </c>
    </row>
    <row r="19" spans="1:9" x14ac:dyDescent="0.25">
      <c r="A19" s="68">
        <v>45950</v>
      </c>
      <c r="B19" s="2">
        <v>2</v>
      </c>
      <c r="C19" s="2" t="s">
        <v>612</v>
      </c>
      <c r="D19" s="2" t="s">
        <v>617</v>
      </c>
      <c r="E19" s="3">
        <v>2999</v>
      </c>
      <c r="F19" s="3">
        <f t="shared" si="0"/>
        <v>5998</v>
      </c>
      <c r="G19" s="2" t="s">
        <v>630</v>
      </c>
      <c r="H19" s="2"/>
      <c r="I19" s="2" t="s">
        <v>633</v>
      </c>
    </row>
    <row r="20" spans="1:9" x14ac:dyDescent="0.25">
      <c r="A20" s="68">
        <v>45951</v>
      </c>
      <c r="B20" s="2">
        <v>2</v>
      </c>
      <c r="C20" s="2" t="s">
        <v>612</v>
      </c>
      <c r="D20" s="2" t="s">
        <v>617</v>
      </c>
      <c r="E20" s="3">
        <v>2999</v>
      </c>
      <c r="F20" s="3">
        <f t="shared" si="0"/>
        <v>5998</v>
      </c>
      <c r="G20" s="2" t="s">
        <v>630</v>
      </c>
      <c r="H20" s="2"/>
      <c r="I20" s="2" t="s">
        <v>633</v>
      </c>
    </row>
    <row r="21" spans="1:9" x14ac:dyDescent="0.25">
      <c r="A21" s="68">
        <v>45950</v>
      </c>
      <c r="B21" s="2">
        <v>1</v>
      </c>
      <c r="C21" s="2" t="s">
        <v>612</v>
      </c>
      <c r="D21" s="2" t="s">
        <v>618</v>
      </c>
      <c r="E21" s="3">
        <v>3006</v>
      </c>
      <c r="F21" s="3">
        <f t="shared" si="0"/>
        <v>3006</v>
      </c>
      <c r="G21" s="2" t="s">
        <v>631</v>
      </c>
      <c r="H21" s="2"/>
      <c r="I21" s="2" t="s">
        <v>633</v>
      </c>
    </row>
    <row r="22" spans="1:9" x14ac:dyDescent="0.25">
      <c r="A22" s="68">
        <v>45952</v>
      </c>
      <c r="B22" s="2">
        <v>1</v>
      </c>
      <c r="C22" s="2" t="s">
        <v>621</v>
      </c>
      <c r="D22" s="2" t="s">
        <v>627</v>
      </c>
      <c r="E22" s="3">
        <v>9442.8799999999992</v>
      </c>
      <c r="F22" s="3">
        <f t="shared" si="0"/>
        <v>9442.8799999999992</v>
      </c>
      <c r="G22" s="2" t="s">
        <v>622</v>
      </c>
      <c r="H22" s="2"/>
      <c r="I22" s="2"/>
    </row>
    <row r="23" spans="1:9" x14ac:dyDescent="0.25">
      <c r="A23" s="68">
        <v>45953</v>
      </c>
      <c r="B23" s="2">
        <v>8</v>
      </c>
      <c r="C23" s="2" t="s">
        <v>612</v>
      </c>
      <c r="D23" s="2" t="s">
        <v>615</v>
      </c>
      <c r="E23" s="3">
        <v>2199</v>
      </c>
      <c r="F23" s="3">
        <f t="shared" si="0"/>
        <v>17592</v>
      </c>
      <c r="G23" s="2" t="s">
        <v>630</v>
      </c>
      <c r="H23" s="2"/>
      <c r="I23" s="2" t="s">
        <v>633</v>
      </c>
    </row>
    <row r="24" spans="1:9" x14ac:dyDescent="0.25">
      <c r="A24" s="68">
        <v>45953</v>
      </c>
      <c r="B24" s="2">
        <v>4</v>
      </c>
      <c r="C24" s="2" t="s">
        <v>612</v>
      </c>
      <c r="D24" s="2" t="s">
        <v>44</v>
      </c>
      <c r="E24" s="3">
        <v>2199</v>
      </c>
      <c r="F24" s="3">
        <f t="shared" si="0"/>
        <v>8796</v>
      </c>
      <c r="G24" s="2" t="s">
        <v>630</v>
      </c>
      <c r="H24" s="2"/>
      <c r="I24" s="2" t="s">
        <v>633</v>
      </c>
    </row>
    <row r="25" spans="1:9" x14ac:dyDescent="0.25">
      <c r="A25" s="68">
        <v>45960</v>
      </c>
      <c r="B25" s="2">
        <v>5</v>
      </c>
      <c r="C25" s="2" t="s">
        <v>642</v>
      </c>
      <c r="D25" s="2" t="s">
        <v>641</v>
      </c>
      <c r="E25" s="65">
        <v>150</v>
      </c>
      <c r="F25" s="65">
        <f t="shared" si="0"/>
        <v>750</v>
      </c>
      <c r="G25" s="2" t="s">
        <v>644</v>
      </c>
      <c r="H25" s="2"/>
      <c r="I25" s="2" t="s">
        <v>690</v>
      </c>
    </row>
    <row r="26" spans="1:9" x14ac:dyDescent="0.25">
      <c r="A26" s="68">
        <v>45960</v>
      </c>
      <c r="B26" s="2">
        <v>4</v>
      </c>
      <c r="C26" s="2" t="s">
        <v>643</v>
      </c>
      <c r="D26" s="2" t="s">
        <v>641</v>
      </c>
      <c r="E26" s="65">
        <v>150</v>
      </c>
      <c r="F26" s="65">
        <f t="shared" si="0"/>
        <v>600</v>
      </c>
      <c r="G26" s="2" t="s">
        <v>644</v>
      </c>
      <c r="H26" s="2"/>
      <c r="I26" s="2" t="s">
        <v>690</v>
      </c>
    </row>
    <row r="27" spans="1:9" x14ac:dyDescent="0.25">
      <c r="A27" s="68">
        <v>45961</v>
      </c>
      <c r="B27" s="2">
        <v>10</v>
      </c>
      <c r="C27" s="2" t="s">
        <v>645</v>
      </c>
      <c r="D27" s="2" t="s">
        <v>335</v>
      </c>
      <c r="E27" s="65">
        <v>1400</v>
      </c>
      <c r="F27" s="65">
        <f t="shared" si="0"/>
        <v>14000</v>
      </c>
      <c r="G27" s="2" t="s">
        <v>648</v>
      </c>
      <c r="H27" s="2"/>
      <c r="I27" s="2" t="s">
        <v>690</v>
      </c>
    </row>
    <row r="28" spans="1:9" x14ac:dyDescent="0.25">
      <c r="A28" s="68">
        <v>45961</v>
      </c>
      <c r="B28" s="2">
        <v>5</v>
      </c>
      <c r="C28" s="2" t="s">
        <v>646</v>
      </c>
      <c r="D28" s="2" t="s">
        <v>335</v>
      </c>
      <c r="E28" s="65">
        <v>840</v>
      </c>
      <c r="F28" s="65">
        <f t="shared" si="0"/>
        <v>4200</v>
      </c>
      <c r="G28" s="2" t="s">
        <v>648</v>
      </c>
      <c r="H28" s="2"/>
      <c r="I28" s="2" t="s">
        <v>690</v>
      </c>
    </row>
    <row r="29" spans="1:9" x14ac:dyDescent="0.25">
      <c r="A29" s="68"/>
      <c r="B29" s="2"/>
      <c r="C29" s="2"/>
      <c r="D29" s="2"/>
      <c r="E29" s="65"/>
      <c r="F29" s="65"/>
      <c r="G29" s="2"/>
      <c r="H29" s="2"/>
      <c r="I29" s="2"/>
    </row>
  </sheetData>
  <autoFilter ref="A1:I28" xr:uid="{77EFE7A0-DEA8-4BEF-9E79-261D0A739160}"/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3712B-5933-404F-B2E1-AD38379E5E9E}">
  <dimension ref="A1:W135"/>
  <sheetViews>
    <sheetView topLeftCell="A121" workbookViewId="0">
      <selection activeCell="G18" sqref="G18"/>
    </sheetView>
  </sheetViews>
  <sheetFormatPr defaultRowHeight="15" x14ac:dyDescent="0.25"/>
  <cols>
    <col min="1" max="1" width="7" bestFit="1" customWidth="1"/>
    <col min="2" max="2" width="8.42578125" bestFit="1" customWidth="1"/>
    <col min="3" max="3" width="32.7109375" bestFit="1" customWidth="1"/>
    <col min="4" max="4" width="23.7109375" bestFit="1" customWidth="1"/>
    <col min="5" max="6" width="10" style="60" bestFit="1" customWidth="1"/>
    <col min="7" max="7" width="31.5703125" bestFit="1" customWidth="1"/>
    <col min="8" max="8" width="12.28515625" bestFit="1" customWidth="1"/>
    <col min="9" max="9" width="22.28515625" bestFit="1" customWidth="1"/>
    <col min="10" max="10" width="13.5703125" bestFit="1" customWidth="1"/>
    <col min="12" max="12" width="22.42578125" hidden="1" customWidth="1"/>
    <col min="13" max="13" width="12.7109375" hidden="1" customWidth="1"/>
    <col min="14" max="15" width="0" hidden="1" customWidth="1"/>
    <col min="16" max="16" width="30" bestFit="1" customWidth="1"/>
    <col min="17" max="17" width="10.42578125" bestFit="1" customWidth="1"/>
    <col min="19" max="19" width="21.42578125" bestFit="1" customWidth="1"/>
    <col min="20" max="20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P1" s="13" t="s">
        <v>78</v>
      </c>
      <c r="Q1" t="s">
        <v>81</v>
      </c>
      <c r="S1" s="13" t="s">
        <v>78</v>
      </c>
      <c r="T1" t="s">
        <v>81</v>
      </c>
    </row>
    <row r="2" spans="1:23" x14ac:dyDescent="0.25">
      <c r="A2" s="68">
        <v>45964</v>
      </c>
      <c r="B2" s="2">
        <v>10</v>
      </c>
      <c r="C2" s="2" t="s">
        <v>647</v>
      </c>
      <c r="D2" s="2" t="s">
        <v>335</v>
      </c>
      <c r="E2" s="3">
        <v>410</v>
      </c>
      <c r="F2" s="3">
        <f>E2*B2</f>
        <v>4100</v>
      </c>
      <c r="G2" s="2" t="s">
        <v>648</v>
      </c>
      <c r="H2" s="68">
        <v>45966</v>
      </c>
      <c r="I2" s="2" t="s">
        <v>824</v>
      </c>
      <c r="L2" s="76" t="s">
        <v>692</v>
      </c>
      <c r="M2" s="77">
        <v>45979</v>
      </c>
      <c r="P2" s="14" t="s">
        <v>768</v>
      </c>
      <c r="Q2">
        <v>8</v>
      </c>
      <c r="S2" s="14" t="s">
        <v>686</v>
      </c>
      <c r="T2">
        <v>37</v>
      </c>
      <c r="W2">
        <v>299</v>
      </c>
    </row>
    <row r="3" spans="1:23" x14ac:dyDescent="0.25">
      <c r="A3" s="68">
        <v>45964</v>
      </c>
      <c r="B3" s="2">
        <v>7</v>
      </c>
      <c r="C3" s="2" t="s">
        <v>723</v>
      </c>
      <c r="D3" s="2" t="s">
        <v>59</v>
      </c>
      <c r="E3" s="3">
        <v>150</v>
      </c>
      <c r="F3" s="3">
        <f>E3*B3</f>
        <v>1050</v>
      </c>
      <c r="G3" s="2" t="s">
        <v>648</v>
      </c>
      <c r="H3" s="68">
        <v>45966</v>
      </c>
      <c r="I3" s="2" t="s">
        <v>824</v>
      </c>
      <c r="L3" s="44"/>
      <c r="M3" s="44"/>
      <c r="P3" s="74" t="s">
        <v>722</v>
      </c>
      <c r="Q3">
        <v>8</v>
      </c>
      <c r="S3" s="74" t="s">
        <v>707</v>
      </c>
      <c r="T3">
        <v>5</v>
      </c>
      <c r="W3">
        <v>821</v>
      </c>
    </row>
    <row r="4" spans="1:23" x14ac:dyDescent="0.25">
      <c r="A4" s="68">
        <v>45963</v>
      </c>
      <c r="B4" s="2">
        <v>4</v>
      </c>
      <c r="C4" s="2" t="s">
        <v>697</v>
      </c>
      <c r="D4" s="2" t="s">
        <v>30</v>
      </c>
      <c r="E4" s="3">
        <v>150</v>
      </c>
      <c r="F4" s="3">
        <f t="shared" ref="F4:F68" si="0">E4*B4</f>
        <v>600</v>
      </c>
      <c r="G4" s="2" t="s">
        <v>649</v>
      </c>
      <c r="H4" s="68">
        <v>45966</v>
      </c>
      <c r="I4" s="2" t="s">
        <v>824</v>
      </c>
      <c r="L4" s="44" t="s">
        <v>1</v>
      </c>
      <c r="M4" s="44" t="s">
        <v>81</v>
      </c>
      <c r="P4" s="14" t="s">
        <v>766</v>
      </c>
      <c r="Q4">
        <v>23</v>
      </c>
      <c r="S4" s="74" t="s">
        <v>183</v>
      </c>
      <c r="T4">
        <v>2</v>
      </c>
      <c r="W4">
        <v>2394</v>
      </c>
    </row>
    <row r="5" spans="1:23" x14ac:dyDescent="0.25">
      <c r="A5" s="68">
        <v>45963</v>
      </c>
      <c r="B5" s="2">
        <v>4</v>
      </c>
      <c r="C5" s="2" t="s">
        <v>723</v>
      </c>
      <c r="D5" s="2" t="s">
        <v>30</v>
      </c>
      <c r="E5" s="3">
        <v>150</v>
      </c>
      <c r="F5" s="3">
        <f t="shared" si="0"/>
        <v>600</v>
      </c>
      <c r="G5" s="2" t="s">
        <v>649</v>
      </c>
      <c r="H5" s="68">
        <v>45966</v>
      </c>
      <c r="I5" s="2" t="s">
        <v>824</v>
      </c>
      <c r="L5" s="2" t="s">
        <v>681</v>
      </c>
      <c r="M5" s="2">
        <v>10</v>
      </c>
      <c r="N5">
        <v>3300</v>
      </c>
      <c r="O5">
        <f>M5*N5</f>
        <v>33000</v>
      </c>
      <c r="P5" s="74" t="s">
        <v>697</v>
      </c>
      <c r="Q5">
        <v>23</v>
      </c>
      <c r="S5" s="74" t="s">
        <v>716</v>
      </c>
      <c r="T5">
        <v>2</v>
      </c>
      <c r="W5">
        <v>958</v>
      </c>
    </row>
    <row r="6" spans="1:23" x14ac:dyDescent="0.25">
      <c r="A6" s="68">
        <v>45965</v>
      </c>
      <c r="B6" s="2">
        <v>20</v>
      </c>
      <c r="C6" s="2" t="s">
        <v>876</v>
      </c>
      <c r="D6" s="2" t="s">
        <v>349</v>
      </c>
      <c r="E6" s="3">
        <v>1063</v>
      </c>
      <c r="F6" s="3">
        <f t="shared" si="0"/>
        <v>21260</v>
      </c>
      <c r="G6" s="2" t="s">
        <v>656</v>
      </c>
      <c r="H6" s="68">
        <v>45966</v>
      </c>
      <c r="I6" s="2" t="s">
        <v>654</v>
      </c>
      <c r="L6" s="2" t="s">
        <v>680</v>
      </c>
      <c r="M6" s="2">
        <v>5</v>
      </c>
      <c r="N6">
        <v>2500</v>
      </c>
      <c r="O6">
        <f t="shared" ref="O6:O11" si="1">M6*N6</f>
        <v>12500</v>
      </c>
      <c r="P6" s="14" t="s">
        <v>783</v>
      </c>
      <c r="Q6">
        <v>7</v>
      </c>
      <c r="S6" s="74" t="s">
        <v>786</v>
      </c>
      <c r="T6">
        <v>1</v>
      </c>
      <c r="W6">
        <v>505</v>
      </c>
    </row>
    <row r="7" spans="1:23" x14ac:dyDescent="0.25">
      <c r="A7" s="68">
        <v>45965</v>
      </c>
      <c r="B7" s="2">
        <v>12</v>
      </c>
      <c r="C7" s="2" t="s">
        <v>653</v>
      </c>
      <c r="D7" s="2" t="s">
        <v>118</v>
      </c>
      <c r="E7" s="3">
        <v>3375</v>
      </c>
      <c r="F7" s="3">
        <f t="shared" si="0"/>
        <v>40500</v>
      </c>
      <c r="G7" s="2" t="s">
        <v>656</v>
      </c>
      <c r="H7" s="68">
        <v>45966</v>
      </c>
      <c r="I7" s="2" t="s">
        <v>824</v>
      </c>
      <c r="L7" s="2" t="s">
        <v>691</v>
      </c>
      <c r="M7" s="2">
        <v>62</v>
      </c>
      <c r="N7">
        <v>410</v>
      </c>
      <c r="O7">
        <f t="shared" si="1"/>
        <v>25420</v>
      </c>
      <c r="P7" s="74" t="s">
        <v>716</v>
      </c>
      <c r="Q7">
        <v>7</v>
      </c>
      <c r="S7" s="74" t="s">
        <v>785</v>
      </c>
      <c r="T7">
        <v>1</v>
      </c>
      <c r="W7">
        <v>1680</v>
      </c>
    </row>
    <row r="8" spans="1:23" x14ac:dyDescent="0.25">
      <c r="A8" s="68">
        <v>45965</v>
      </c>
      <c r="B8" s="2">
        <v>2</v>
      </c>
      <c r="C8" s="2" t="s">
        <v>663</v>
      </c>
      <c r="D8" s="2" t="s">
        <v>118</v>
      </c>
      <c r="E8" s="3">
        <v>88</v>
      </c>
      <c r="F8" s="3">
        <f t="shared" si="0"/>
        <v>176</v>
      </c>
      <c r="G8" s="2" t="s">
        <v>656</v>
      </c>
      <c r="H8" s="68">
        <v>45966</v>
      </c>
      <c r="I8" s="2" t="s">
        <v>655</v>
      </c>
      <c r="L8" s="2" t="s">
        <v>645</v>
      </c>
      <c r="M8" s="2">
        <v>5</v>
      </c>
      <c r="N8">
        <v>1400</v>
      </c>
      <c r="O8">
        <f t="shared" si="1"/>
        <v>7000</v>
      </c>
      <c r="P8" s="14" t="s">
        <v>686</v>
      </c>
      <c r="Q8">
        <v>138</v>
      </c>
      <c r="S8" s="74" t="s">
        <v>664</v>
      </c>
      <c r="T8">
        <v>26</v>
      </c>
      <c r="W8">
        <v>500</v>
      </c>
    </row>
    <row r="9" spans="1:23" x14ac:dyDescent="0.25">
      <c r="A9" s="68">
        <v>45966</v>
      </c>
      <c r="B9" s="2">
        <v>30</v>
      </c>
      <c r="C9" s="2" t="s">
        <v>691</v>
      </c>
      <c r="D9" s="2" t="s">
        <v>335</v>
      </c>
      <c r="E9" s="3">
        <v>410</v>
      </c>
      <c r="F9" s="3">
        <f t="shared" si="0"/>
        <v>12300</v>
      </c>
      <c r="G9" s="2" t="s">
        <v>679</v>
      </c>
      <c r="H9" s="68">
        <v>45979</v>
      </c>
      <c r="I9" s="2" t="s">
        <v>824</v>
      </c>
      <c r="L9" s="2" t="s">
        <v>672</v>
      </c>
      <c r="M9" s="2">
        <v>1</v>
      </c>
      <c r="N9">
        <v>1257</v>
      </c>
      <c r="O9">
        <f t="shared" si="1"/>
        <v>1257</v>
      </c>
      <c r="P9" s="74" t="s">
        <v>691</v>
      </c>
      <c r="Q9">
        <v>1</v>
      </c>
      <c r="S9" s="14" t="s">
        <v>80</v>
      </c>
      <c r="T9">
        <v>37</v>
      </c>
      <c r="W9">
        <v>625</v>
      </c>
    </row>
    <row r="10" spans="1:23" x14ac:dyDescent="0.25">
      <c r="A10" s="68">
        <v>45969</v>
      </c>
      <c r="B10" s="2">
        <v>1</v>
      </c>
      <c r="C10" s="2" t="s">
        <v>664</v>
      </c>
      <c r="D10" s="2" t="s">
        <v>496</v>
      </c>
      <c r="E10" s="3">
        <v>450</v>
      </c>
      <c r="F10" s="3">
        <f t="shared" si="0"/>
        <v>450</v>
      </c>
      <c r="G10" s="2" t="s">
        <v>365</v>
      </c>
      <c r="H10" s="68">
        <v>45979</v>
      </c>
      <c r="I10" s="2" t="s">
        <v>824</v>
      </c>
      <c r="L10" s="2" t="s">
        <v>673</v>
      </c>
      <c r="M10" s="2">
        <v>7</v>
      </c>
      <c r="N10">
        <v>1357</v>
      </c>
      <c r="O10">
        <f t="shared" si="1"/>
        <v>9499</v>
      </c>
      <c r="P10" s="74" t="s">
        <v>697</v>
      </c>
      <c r="Q10">
        <v>16</v>
      </c>
      <c r="W10">
        <v>625</v>
      </c>
    </row>
    <row r="11" spans="1:23" x14ac:dyDescent="0.25">
      <c r="A11" s="68">
        <v>45969</v>
      </c>
      <c r="B11" s="2">
        <v>1</v>
      </c>
      <c r="C11" s="2" t="s">
        <v>664</v>
      </c>
      <c r="D11" s="2" t="s">
        <v>492</v>
      </c>
      <c r="E11" s="3">
        <v>450</v>
      </c>
      <c r="F11" s="3">
        <f t="shared" si="0"/>
        <v>450</v>
      </c>
      <c r="G11" s="2" t="s">
        <v>365</v>
      </c>
      <c r="H11" s="68">
        <v>45979</v>
      </c>
      <c r="I11" s="2" t="s">
        <v>824</v>
      </c>
      <c r="L11" s="2" t="s">
        <v>664</v>
      </c>
      <c r="M11" s="2">
        <v>36</v>
      </c>
      <c r="N11">
        <v>449</v>
      </c>
      <c r="O11">
        <f t="shared" si="1"/>
        <v>16164</v>
      </c>
      <c r="P11" s="74" t="s">
        <v>687</v>
      </c>
      <c r="Q11">
        <v>10</v>
      </c>
      <c r="W11">
        <v>598</v>
      </c>
    </row>
    <row r="12" spans="1:23" x14ac:dyDescent="0.25">
      <c r="A12" s="68">
        <v>45969</v>
      </c>
      <c r="B12" s="2">
        <v>4</v>
      </c>
      <c r="C12" s="2" t="s">
        <v>664</v>
      </c>
      <c r="D12" s="2" t="s">
        <v>493</v>
      </c>
      <c r="E12" s="3">
        <v>450</v>
      </c>
      <c r="F12" s="3">
        <f t="shared" si="0"/>
        <v>1800</v>
      </c>
      <c r="G12" s="2" t="s">
        <v>365</v>
      </c>
      <c r="H12" s="68">
        <v>45979</v>
      </c>
      <c r="I12" s="2" t="s">
        <v>824</v>
      </c>
      <c r="L12" s="2" t="s">
        <v>80</v>
      </c>
      <c r="M12" s="2">
        <v>128</v>
      </c>
      <c r="O12">
        <f>SUM(O5:O11)</f>
        <v>104840</v>
      </c>
      <c r="P12" s="74" t="s">
        <v>762</v>
      </c>
      <c r="Q12">
        <v>1</v>
      </c>
    </row>
    <row r="13" spans="1:23" x14ac:dyDescent="0.25">
      <c r="A13" s="68">
        <v>45969</v>
      </c>
      <c r="B13" s="2">
        <v>5</v>
      </c>
      <c r="C13" s="2" t="s">
        <v>664</v>
      </c>
      <c r="D13" s="2" t="s">
        <v>665</v>
      </c>
      <c r="E13" s="3">
        <v>450</v>
      </c>
      <c r="F13" s="3">
        <f t="shared" si="0"/>
        <v>2250</v>
      </c>
      <c r="G13" s="2" t="s">
        <v>365</v>
      </c>
      <c r="H13" s="68">
        <v>45979</v>
      </c>
      <c r="I13" s="2" t="s">
        <v>824</v>
      </c>
      <c r="P13" s="74" t="s">
        <v>647</v>
      </c>
      <c r="Q13">
        <v>19</v>
      </c>
    </row>
    <row r="14" spans="1:23" x14ac:dyDescent="0.25">
      <c r="A14" s="68">
        <v>45969</v>
      </c>
      <c r="B14" s="2">
        <v>11</v>
      </c>
      <c r="C14" s="2" t="s">
        <v>664</v>
      </c>
      <c r="D14" s="2" t="s">
        <v>494</v>
      </c>
      <c r="E14" s="3">
        <v>450</v>
      </c>
      <c r="F14" s="3">
        <f t="shared" si="0"/>
        <v>4950</v>
      </c>
      <c r="G14" s="2" t="s">
        <v>365</v>
      </c>
      <c r="H14" s="68">
        <v>45979</v>
      </c>
      <c r="I14" s="2" t="s">
        <v>824</v>
      </c>
      <c r="P14" s="74" t="s">
        <v>746</v>
      </c>
      <c r="Q14">
        <v>3</v>
      </c>
    </row>
    <row r="15" spans="1:23" x14ac:dyDescent="0.25">
      <c r="A15" s="68">
        <v>45970</v>
      </c>
      <c r="B15" s="2">
        <v>10</v>
      </c>
      <c r="C15" s="2" t="s">
        <v>664</v>
      </c>
      <c r="D15" s="2" t="s">
        <v>501</v>
      </c>
      <c r="E15" s="3">
        <v>450</v>
      </c>
      <c r="F15" s="3">
        <f t="shared" si="0"/>
        <v>4500</v>
      </c>
      <c r="G15" s="2" t="s">
        <v>365</v>
      </c>
      <c r="H15" s="68">
        <v>45979</v>
      </c>
      <c r="I15" s="2" t="s">
        <v>824</v>
      </c>
      <c r="P15" s="74" t="s">
        <v>716</v>
      </c>
      <c r="Q15">
        <v>9</v>
      </c>
      <c r="W15">
        <v>800</v>
      </c>
    </row>
    <row r="16" spans="1:23" x14ac:dyDescent="0.25">
      <c r="A16" s="68">
        <v>45970</v>
      </c>
      <c r="B16" s="2">
        <v>1</v>
      </c>
      <c r="C16" s="2" t="s">
        <v>725</v>
      </c>
      <c r="D16" s="2" t="s">
        <v>120</v>
      </c>
      <c r="E16" s="3">
        <v>1358</v>
      </c>
      <c r="F16" s="3">
        <f t="shared" si="0"/>
        <v>1358</v>
      </c>
      <c r="G16" s="2" t="s">
        <v>365</v>
      </c>
      <c r="H16" s="68">
        <v>45979</v>
      </c>
      <c r="I16" s="2" t="s">
        <v>115</v>
      </c>
      <c r="P16" s="74" t="s">
        <v>711</v>
      </c>
      <c r="Q16">
        <v>3</v>
      </c>
      <c r="W16">
        <v>796</v>
      </c>
    </row>
    <row r="17" spans="1:23" x14ac:dyDescent="0.25">
      <c r="A17" s="68">
        <v>45970</v>
      </c>
      <c r="B17" s="2">
        <v>2</v>
      </c>
      <c r="C17" s="2" t="s">
        <v>726</v>
      </c>
      <c r="D17" s="2" t="s">
        <v>674</v>
      </c>
      <c r="E17" s="3">
        <v>1403</v>
      </c>
      <c r="F17" s="3">
        <f t="shared" si="0"/>
        <v>2806</v>
      </c>
      <c r="G17" s="2" t="s">
        <v>365</v>
      </c>
      <c r="H17" s="68">
        <v>45979</v>
      </c>
      <c r="I17" s="2" t="s">
        <v>824</v>
      </c>
      <c r="P17" s="74" t="s">
        <v>747</v>
      </c>
      <c r="Q17">
        <v>7</v>
      </c>
      <c r="W17">
        <v>499</v>
      </c>
    </row>
    <row r="18" spans="1:23" x14ac:dyDescent="0.25">
      <c r="A18" s="68">
        <v>45970</v>
      </c>
      <c r="B18" s="2">
        <v>1</v>
      </c>
      <c r="C18" s="2" t="s">
        <v>664</v>
      </c>
      <c r="D18" s="2" t="s">
        <v>674</v>
      </c>
      <c r="E18" s="3">
        <v>474</v>
      </c>
      <c r="F18" s="3">
        <f t="shared" si="0"/>
        <v>474</v>
      </c>
      <c r="G18" s="2" t="s">
        <v>365</v>
      </c>
      <c r="H18" s="68">
        <v>45979</v>
      </c>
      <c r="I18" s="2" t="s">
        <v>824</v>
      </c>
      <c r="P18" s="74" t="s">
        <v>664</v>
      </c>
      <c r="Q18">
        <v>69</v>
      </c>
      <c r="W18">
        <v>598</v>
      </c>
    </row>
    <row r="19" spans="1:23" x14ac:dyDescent="0.25">
      <c r="A19" s="68">
        <v>45970</v>
      </c>
      <c r="B19" s="2">
        <v>1</v>
      </c>
      <c r="C19" s="2" t="s">
        <v>726</v>
      </c>
      <c r="D19" s="2" t="s">
        <v>19</v>
      </c>
      <c r="E19" s="3">
        <v>1403</v>
      </c>
      <c r="F19" s="3">
        <f t="shared" si="0"/>
        <v>1403</v>
      </c>
      <c r="G19" s="2" t="s">
        <v>8</v>
      </c>
      <c r="H19" s="68">
        <v>45979</v>
      </c>
      <c r="I19" s="2" t="s">
        <v>824</v>
      </c>
      <c r="P19" s="14" t="s">
        <v>80</v>
      </c>
      <c r="Q19">
        <v>176</v>
      </c>
      <c r="W19">
        <v>958</v>
      </c>
    </row>
    <row r="20" spans="1:23" x14ac:dyDescent="0.25">
      <c r="A20" s="68">
        <v>45970</v>
      </c>
      <c r="B20" s="2">
        <v>1</v>
      </c>
      <c r="C20" s="2" t="s">
        <v>726</v>
      </c>
      <c r="D20" s="2" t="s">
        <v>19</v>
      </c>
      <c r="E20" s="3">
        <v>1403</v>
      </c>
      <c r="F20" s="3">
        <f t="shared" si="0"/>
        <v>1403</v>
      </c>
      <c r="G20" s="2" t="s">
        <v>683</v>
      </c>
      <c r="H20" s="68">
        <v>45979</v>
      </c>
      <c r="I20" s="2" t="s">
        <v>824</v>
      </c>
    </row>
    <row r="21" spans="1:23" x14ac:dyDescent="0.25">
      <c r="A21" s="68">
        <v>45970</v>
      </c>
      <c r="B21" s="2">
        <v>2</v>
      </c>
      <c r="C21" s="2" t="s">
        <v>664</v>
      </c>
      <c r="D21" s="2" t="s">
        <v>496</v>
      </c>
      <c r="E21" s="3">
        <v>450</v>
      </c>
      <c r="F21" s="3">
        <f t="shared" si="0"/>
        <v>900</v>
      </c>
      <c r="G21" s="2" t="s">
        <v>8</v>
      </c>
      <c r="H21" s="68">
        <v>45979</v>
      </c>
      <c r="I21" s="2" t="s">
        <v>824</v>
      </c>
    </row>
    <row r="22" spans="1:23" x14ac:dyDescent="0.25">
      <c r="A22" s="68">
        <v>45970</v>
      </c>
      <c r="B22" s="2">
        <v>1</v>
      </c>
      <c r="C22" s="2" t="s">
        <v>726</v>
      </c>
      <c r="D22" s="2" t="s">
        <v>675</v>
      </c>
      <c r="E22" s="3">
        <v>1403</v>
      </c>
      <c r="F22" s="3">
        <f t="shared" si="0"/>
        <v>1403</v>
      </c>
      <c r="G22" s="2" t="s">
        <v>8</v>
      </c>
      <c r="H22" s="68">
        <v>45979</v>
      </c>
      <c r="I22" s="2" t="s">
        <v>824</v>
      </c>
    </row>
    <row r="23" spans="1:23" x14ac:dyDescent="0.25">
      <c r="A23" s="68">
        <v>45970</v>
      </c>
      <c r="B23" s="2">
        <v>1</v>
      </c>
      <c r="C23" s="2" t="s">
        <v>726</v>
      </c>
      <c r="D23" s="2" t="s">
        <v>676</v>
      </c>
      <c r="E23" s="3">
        <v>1403</v>
      </c>
      <c r="F23" s="3">
        <f t="shared" si="0"/>
        <v>1403</v>
      </c>
      <c r="G23" s="2" t="s">
        <v>8</v>
      </c>
      <c r="H23" s="68">
        <v>45979</v>
      </c>
      <c r="I23" s="2" t="s">
        <v>824</v>
      </c>
    </row>
    <row r="24" spans="1:23" x14ac:dyDescent="0.25">
      <c r="A24" s="68">
        <v>45970</v>
      </c>
      <c r="B24" s="2">
        <v>1</v>
      </c>
      <c r="C24" s="2" t="s">
        <v>726</v>
      </c>
      <c r="D24" s="2" t="s">
        <v>676</v>
      </c>
      <c r="E24" s="3">
        <v>1403</v>
      </c>
      <c r="F24" s="3">
        <f t="shared" si="0"/>
        <v>1403</v>
      </c>
      <c r="G24" s="2" t="s">
        <v>8</v>
      </c>
      <c r="H24" s="68">
        <v>45979</v>
      </c>
      <c r="I24" s="2" t="s">
        <v>824</v>
      </c>
    </row>
    <row r="25" spans="1:23" x14ac:dyDescent="0.25">
      <c r="A25" s="68">
        <v>45970</v>
      </c>
      <c r="B25" s="2">
        <v>5</v>
      </c>
      <c r="C25" s="2" t="s">
        <v>664</v>
      </c>
      <c r="D25" s="2" t="s">
        <v>495</v>
      </c>
      <c r="E25" s="3">
        <v>450</v>
      </c>
      <c r="F25" s="3">
        <f t="shared" si="0"/>
        <v>2250</v>
      </c>
      <c r="G25" s="2" t="s">
        <v>8</v>
      </c>
      <c r="H25" s="68">
        <v>45982</v>
      </c>
      <c r="I25" s="2" t="s">
        <v>824</v>
      </c>
    </row>
    <row r="26" spans="1:23" x14ac:dyDescent="0.25">
      <c r="A26" s="68">
        <v>45970</v>
      </c>
      <c r="B26" s="2">
        <v>3</v>
      </c>
      <c r="C26" s="2" t="s">
        <v>725</v>
      </c>
      <c r="D26" s="2" t="s">
        <v>677</v>
      </c>
      <c r="E26" s="3">
        <v>1358</v>
      </c>
      <c r="F26" s="3">
        <f t="shared" si="0"/>
        <v>4074</v>
      </c>
      <c r="G26" s="2" t="s">
        <v>715</v>
      </c>
      <c r="H26" s="68">
        <v>45982</v>
      </c>
      <c r="I26" s="2" t="s">
        <v>115</v>
      </c>
    </row>
    <row r="27" spans="1:23" x14ac:dyDescent="0.25">
      <c r="A27" s="68">
        <v>45970</v>
      </c>
      <c r="B27" s="2">
        <v>3</v>
      </c>
      <c r="C27" s="2" t="s">
        <v>726</v>
      </c>
      <c r="D27" s="2" t="s">
        <v>677</v>
      </c>
      <c r="E27" s="3">
        <v>1477</v>
      </c>
      <c r="F27" s="3">
        <f t="shared" si="0"/>
        <v>4431</v>
      </c>
      <c r="G27" s="2" t="s">
        <v>715</v>
      </c>
      <c r="H27" s="68">
        <v>45982</v>
      </c>
      <c r="I27" s="2" t="s">
        <v>115</v>
      </c>
    </row>
    <row r="28" spans="1:23" x14ac:dyDescent="0.25">
      <c r="A28" s="68">
        <v>45970</v>
      </c>
      <c r="B28" s="2">
        <v>5</v>
      </c>
      <c r="C28" s="2" t="s">
        <v>691</v>
      </c>
      <c r="D28" s="2" t="s">
        <v>335</v>
      </c>
      <c r="E28" s="3">
        <v>410</v>
      </c>
      <c r="F28" s="3">
        <f t="shared" si="0"/>
        <v>2050</v>
      </c>
      <c r="G28" s="2" t="s">
        <v>689</v>
      </c>
      <c r="H28" s="68">
        <v>45979</v>
      </c>
      <c r="I28" s="2" t="s">
        <v>824</v>
      </c>
    </row>
    <row r="29" spans="1:23" x14ac:dyDescent="0.25">
      <c r="A29" s="68">
        <v>45972</v>
      </c>
      <c r="B29" s="2">
        <v>30</v>
      </c>
      <c r="C29" s="2" t="s">
        <v>691</v>
      </c>
      <c r="D29" s="2" t="s">
        <v>335</v>
      </c>
      <c r="E29" s="3">
        <v>410</v>
      </c>
      <c r="F29" s="3">
        <f t="shared" si="0"/>
        <v>12300</v>
      </c>
      <c r="G29" s="2" t="s">
        <v>682</v>
      </c>
      <c r="H29" s="68">
        <v>45979</v>
      </c>
      <c r="I29" s="2" t="s">
        <v>824</v>
      </c>
    </row>
    <row r="30" spans="1:23" x14ac:dyDescent="0.25">
      <c r="A30" s="68">
        <v>45972</v>
      </c>
      <c r="B30" s="2">
        <v>5</v>
      </c>
      <c r="C30" s="2" t="s">
        <v>645</v>
      </c>
      <c r="D30" s="2" t="s">
        <v>335</v>
      </c>
      <c r="E30" s="3">
        <v>1400</v>
      </c>
      <c r="F30" s="3">
        <f t="shared" si="0"/>
        <v>7000</v>
      </c>
      <c r="G30" s="2" t="s">
        <v>682</v>
      </c>
      <c r="H30" s="68">
        <v>45979</v>
      </c>
      <c r="I30" s="2" t="s">
        <v>824</v>
      </c>
    </row>
    <row r="31" spans="1:23" x14ac:dyDescent="0.25">
      <c r="A31" s="68">
        <v>45972</v>
      </c>
      <c r="B31" s="2">
        <v>5</v>
      </c>
      <c r="C31" s="2" t="s">
        <v>680</v>
      </c>
      <c r="D31" s="2" t="s">
        <v>335</v>
      </c>
      <c r="E31" s="3">
        <v>2500</v>
      </c>
      <c r="F31" s="3">
        <f t="shared" si="0"/>
        <v>12500</v>
      </c>
      <c r="G31" s="2" t="s">
        <v>682</v>
      </c>
      <c r="H31" s="68">
        <v>45979</v>
      </c>
      <c r="I31" s="2" t="s">
        <v>824</v>
      </c>
    </row>
    <row r="32" spans="1:23" x14ac:dyDescent="0.25">
      <c r="A32" s="68">
        <v>45972</v>
      </c>
      <c r="B32" s="2">
        <v>10</v>
      </c>
      <c r="C32" s="2" t="s">
        <v>681</v>
      </c>
      <c r="D32" s="2" t="s">
        <v>335</v>
      </c>
      <c r="E32" s="3">
        <v>3300</v>
      </c>
      <c r="F32" s="3">
        <f t="shared" si="0"/>
        <v>33000</v>
      </c>
      <c r="G32" s="2" t="s">
        <v>682</v>
      </c>
      <c r="H32" s="68">
        <v>45979</v>
      </c>
      <c r="I32" s="2" t="s">
        <v>824</v>
      </c>
    </row>
    <row r="33" spans="1:9" x14ac:dyDescent="0.25">
      <c r="A33" s="68">
        <v>45978</v>
      </c>
      <c r="B33" s="2">
        <v>9</v>
      </c>
      <c r="C33" s="2" t="s">
        <v>727</v>
      </c>
      <c r="D33" s="2" t="s">
        <v>677</v>
      </c>
      <c r="E33" s="3">
        <v>625</v>
      </c>
      <c r="F33" s="3">
        <f t="shared" si="0"/>
        <v>5625</v>
      </c>
      <c r="G33" s="2" t="s">
        <v>728</v>
      </c>
      <c r="H33" s="68">
        <v>45982</v>
      </c>
      <c r="I33" s="2" t="s">
        <v>115</v>
      </c>
    </row>
    <row r="34" spans="1:9" x14ac:dyDescent="0.25">
      <c r="A34" s="68">
        <v>45978</v>
      </c>
      <c r="B34" s="2">
        <v>1</v>
      </c>
      <c r="C34" s="2" t="s">
        <v>685</v>
      </c>
      <c r="D34" s="2" t="s">
        <v>684</v>
      </c>
      <c r="E34" s="3">
        <v>329</v>
      </c>
      <c r="F34" s="3">
        <f t="shared" si="0"/>
        <v>329</v>
      </c>
      <c r="G34" s="2"/>
      <c r="H34" s="2"/>
      <c r="I34" s="2" t="s">
        <v>85</v>
      </c>
    </row>
    <row r="35" spans="1:9" x14ac:dyDescent="0.25">
      <c r="A35" s="68">
        <v>45978</v>
      </c>
      <c r="B35" s="2">
        <v>1</v>
      </c>
      <c r="C35" s="2" t="s">
        <v>542</v>
      </c>
      <c r="D35" s="2" t="s">
        <v>686</v>
      </c>
      <c r="E35" s="3">
        <v>5000</v>
      </c>
      <c r="F35" s="3">
        <f t="shared" si="0"/>
        <v>5000</v>
      </c>
      <c r="G35" s="2"/>
      <c r="H35" s="2"/>
      <c r="I35" s="2" t="s">
        <v>85</v>
      </c>
    </row>
    <row r="36" spans="1:9" x14ac:dyDescent="0.25">
      <c r="A36" s="68">
        <v>45979</v>
      </c>
      <c r="B36" s="2">
        <v>2</v>
      </c>
      <c r="C36" s="2" t="s">
        <v>687</v>
      </c>
      <c r="D36" s="2" t="s">
        <v>101</v>
      </c>
      <c r="E36" s="3">
        <v>454</v>
      </c>
      <c r="F36" s="3">
        <f t="shared" si="0"/>
        <v>908</v>
      </c>
      <c r="G36" s="2" t="s">
        <v>700</v>
      </c>
      <c r="H36" s="68">
        <v>45982</v>
      </c>
      <c r="I36" s="2" t="s">
        <v>824</v>
      </c>
    </row>
    <row r="37" spans="1:9" x14ac:dyDescent="0.25">
      <c r="A37" s="68">
        <v>45979</v>
      </c>
      <c r="B37" s="2">
        <v>2</v>
      </c>
      <c r="C37" s="2" t="s">
        <v>687</v>
      </c>
      <c r="D37" s="2" t="s">
        <v>101</v>
      </c>
      <c r="E37" s="3">
        <v>454</v>
      </c>
      <c r="F37" s="3">
        <f t="shared" si="0"/>
        <v>908</v>
      </c>
      <c r="G37" s="2" t="s">
        <v>700</v>
      </c>
      <c r="H37" s="68">
        <v>45982</v>
      </c>
      <c r="I37" s="2" t="s">
        <v>824</v>
      </c>
    </row>
    <row r="38" spans="1:9" x14ac:dyDescent="0.25">
      <c r="A38" s="68">
        <v>45979</v>
      </c>
      <c r="B38" s="2">
        <v>2</v>
      </c>
      <c r="C38" s="2" t="s">
        <v>687</v>
      </c>
      <c r="D38" s="2" t="s">
        <v>688</v>
      </c>
      <c r="E38" s="3">
        <v>454</v>
      </c>
      <c r="F38" s="3">
        <f t="shared" si="0"/>
        <v>908</v>
      </c>
      <c r="G38" s="2" t="s">
        <v>719</v>
      </c>
      <c r="H38" s="2"/>
      <c r="I38" s="2" t="s">
        <v>824</v>
      </c>
    </row>
    <row r="39" spans="1:9" x14ac:dyDescent="0.25">
      <c r="A39" s="68">
        <v>45979</v>
      </c>
      <c r="B39" s="2">
        <v>2</v>
      </c>
      <c r="C39" s="2" t="s">
        <v>687</v>
      </c>
      <c r="D39" s="2" t="s">
        <v>688</v>
      </c>
      <c r="E39" s="3">
        <v>454</v>
      </c>
      <c r="F39" s="3">
        <f t="shared" si="0"/>
        <v>908</v>
      </c>
      <c r="G39" s="2" t="s">
        <v>719</v>
      </c>
      <c r="H39" s="2"/>
      <c r="I39" s="2" t="s">
        <v>824</v>
      </c>
    </row>
    <row r="40" spans="1:9" x14ac:dyDescent="0.25">
      <c r="A40" s="68">
        <v>45979</v>
      </c>
      <c r="B40" s="2">
        <v>2</v>
      </c>
      <c r="C40" s="2" t="s">
        <v>687</v>
      </c>
      <c r="D40" s="2" t="s">
        <v>688</v>
      </c>
      <c r="E40" s="3">
        <v>454</v>
      </c>
      <c r="F40" s="3">
        <f t="shared" si="0"/>
        <v>908</v>
      </c>
      <c r="G40" s="2" t="s">
        <v>729</v>
      </c>
      <c r="H40" s="2"/>
      <c r="I40" s="2" t="s">
        <v>824</v>
      </c>
    </row>
    <row r="41" spans="1:9" x14ac:dyDescent="0.25">
      <c r="A41" s="68">
        <v>45979</v>
      </c>
      <c r="B41" s="2">
        <v>3</v>
      </c>
      <c r="C41" s="2" t="s">
        <v>723</v>
      </c>
      <c r="D41" s="2" t="s">
        <v>688</v>
      </c>
      <c r="E41" s="3">
        <v>130</v>
      </c>
      <c r="F41" s="3">
        <f t="shared" si="0"/>
        <v>390</v>
      </c>
      <c r="G41" s="2" t="s">
        <v>8</v>
      </c>
      <c r="H41" s="68">
        <v>45982</v>
      </c>
      <c r="I41" s="2" t="s">
        <v>824</v>
      </c>
    </row>
    <row r="42" spans="1:9" x14ac:dyDescent="0.25">
      <c r="A42" s="68">
        <v>45980</v>
      </c>
      <c r="B42" s="2">
        <v>6</v>
      </c>
      <c r="C42" s="2" t="s">
        <v>723</v>
      </c>
      <c r="D42" s="2" t="s">
        <v>688</v>
      </c>
      <c r="E42" s="3">
        <v>130</v>
      </c>
      <c r="F42" s="3">
        <f t="shared" si="0"/>
        <v>780</v>
      </c>
      <c r="G42" s="2" t="s">
        <v>8</v>
      </c>
      <c r="H42" s="68">
        <v>45982</v>
      </c>
      <c r="I42" s="2" t="s">
        <v>824</v>
      </c>
    </row>
    <row r="43" spans="1:9" x14ac:dyDescent="0.25">
      <c r="A43" s="68">
        <v>45980</v>
      </c>
      <c r="B43" s="2">
        <v>10</v>
      </c>
      <c r="C43" s="2" t="s">
        <v>559</v>
      </c>
      <c r="D43" s="2" t="s">
        <v>688</v>
      </c>
      <c r="E43" s="3">
        <v>39</v>
      </c>
      <c r="F43" s="3">
        <f t="shared" si="0"/>
        <v>390</v>
      </c>
      <c r="G43" s="2" t="s">
        <v>8</v>
      </c>
      <c r="H43" s="68">
        <v>45982</v>
      </c>
      <c r="I43" s="2" t="s">
        <v>824</v>
      </c>
    </row>
    <row r="44" spans="1:9" x14ac:dyDescent="0.25">
      <c r="A44" s="68">
        <v>45980</v>
      </c>
      <c r="B44" s="2">
        <v>6</v>
      </c>
      <c r="C44" s="2" t="s">
        <v>696</v>
      </c>
      <c r="D44" s="2" t="s">
        <v>688</v>
      </c>
      <c r="E44" s="3">
        <v>779</v>
      </c>
      <c r="F44" s="3">
        <f t="shared" si="0"/>
        <v>4674</v>
      </c>
      <c r="G44" s="2" t="s">
        <v>8</v>
      </c>
      <c r="H44" s="68">
        <v>45982</v>
      </c>
      <c r="I44" s="2" t="s">
        <v>824</v>
      </c>
    </row>
    <row r="45" spans="1:9" x14ac:dyDescent="0.25">
      <c r="A45" s="68">
        <v>45980</v>
      </c>
      <c r="B45" s="2">
        <v>6</v>
      </c>
      <c r="C45" s="2" t="s">
        <v>693</v>
      </c>
      <c r="D45" s="2" t="s">
        <v>688</v>
      </c>
      <c r="E45" s="3">
        <v>594</v>
      </c>
      <c r="F45" s="3">
        <f t="shared" si="0"/>
        <v>3564</v>
      </c>
      <c r="G45" s="2" t="s">
        <v>8</v>
      </c>
      <c r="H45" s="68">
        <v>45982</v>
      </c>
      <c r="I45" s="2" t="s">
        <v>824</v>
      </c>
    </row>
    <row r="46" spans="1:9" x14ac:dyDescent="0.25">
      <c r="A46" s="68">
        <v>45980</v>
      </c>
      <c r="B46" s="2">
        <v>3</v>
      </c>
      <c r="C46" s="2" t="s">
        <v>693</v>
      </c>
      <c r="D46" s="2" t="s">
        <v>688</v>
      </c>
      <c r="E46" s="3">
        <v>594</v>
      </c>
      <c r="F46" s="3">
        <f t="shared" si="0"/>
        <v>1782</v>
      </c>
      <c r="G46" s="2" t="s">
        <v>694</v>
      </c>
      <c r="H46" s="68">
        <v>45982</v>
      </c>
      <c r="I46" s="2" t="s">
        <v>824</v>
      </c>
    </row>
    <row r="47" spans="1:9" x14ac:dyDescent="0.25">
      <c r="A47" s="68">
        <v>45980</v>
      </c>
      <c r="B47" s="2">
        <v>4</v>
      </c>
      <c r="C47" s="2" t="s">
        <v>687</v>
      </c>
      <c r="D47" s="2" t="s">
        <v>688</v>
      </c>
      <c r="E47" s="3">
        <v>454</v>
      </c>
      <c r="F47" s="3">
        <f t="shared" si="0"/>
        <v>1816</v>
      </c>
      <c r="G47" s="2" t="s">
        <v>729</v>
      </c>
      <c r="H47" s="2"/>
      <c r="I47" s="2" t="s">
        <v>824</v>
      </c>
    </row>
    <row r="48" spans="1:9" x14ac:dyDescent="0.25">
      <c r="A48" s="68">
        <v>45980</v>
      </c>
      <c r="B48" s="2">
        <v>10</v>
      </c>
      <c r="C48" s="2" t="s">
        <v>695</v>
      </c>
      <c r="D48" s="2" t="s">
        <v>335</v>
      </c>
      <c r="E48" s="3">
        <v>777</v>
      </c>
      <c r="F48" s="3">
        <f t="shared" si="0"/>
        <v>7770</v>
      </c>
      <c r="G48" s="2" t="s">
        <v>742</v>
      </c>
      <c r="H48" s="68"/>
      <c r="I48" s="2" t="s">
        <v>824</v>
      </c>
    </row>
    <row r="49" spans="1:10" x14ac:dyDescent="0.25">
      <c r="A49" s="68">
        <v>45980</v>
      </c>
      <c r="B49" s="2">
        <v>10</v>
      </c>
      <c r="C49" s="2" t="s">
        <v>645</v>
      </c>
      <c r="D49" s="2" t="s">
        <v>335</v>
      </c>
      <c r="E49" s="3">
        <v>1400</v>
      </c>
      <c r="F49" s="3">
        <f t="shared" si="0"/>
        <v>14000</v>
      </c>
      <c r="G49" s="2" t="s">
        <v>742</v>
      </c>
      <c r="H49" s="2"/>
      <c r="I49" s="2" t="s">
        <v>824</v>
      </c>
    </row>
    <row r="50" spans="1:10" x14ac:dyDescent="0.25">
      <c r="A50" s="68">
        <v>45980</v>
      </c>
      <c r="B50" s="2">
        <v>7</v>
      </c>
      <c r="C50" s="2" t="s">
        <v>693</v>
      </c>
      <c r="D50" s="2" t="s">
        <v>101</v>
      </c>
      <c r="E50" s="3">
        <v>559</v>
      </c>
      <c r="F50" s="3">
        <f t="shared" si="0"/>
        <v>3913</v>
      </c>
      <c r="G50" s="2" t="s">
        <v>8</v>
      </c>
      <c r="H50" s="68">
        <v>45982</v>
      </c>
      <c r="I50" s="2" t="s">
        <v>824</v>
      </c>
    </row>
    <row r="51" spans="1:10" x14ac:dyDescent="0.25">
      <c r="A51" s="68">
        <v>45980</v>
      </c>
      <c r="B51" s="2">
        <v>6</v>
      </c>
      <c r="C51" s="2" t="s">
        <v>724</v>
      </c>
      <c r="D51" s="2" t="s">
        <v>101</v>
      </c>
      <c r="E51" s="3">
        <v>779</v>
      </c>
      <c r="F51" s="3">
        <f t="shared" si="0"/>
        <v>4674</v>
      </c>
      <c r="G51" s="2" t="s">
        <v>8</v>
      </c>
      <c r="H51" s="68">
        <v>45982</v>
      </c>
      <c r="I51" s="2" t="s">
        <v>824</v>
      </c>
    </row>
    <row r="52" spans="1:10" x14ac:dyDescent="0.25">
      <c r="A52" s="68">
        <v>45980</v>
      </c>
      <c r="B52" s="2">
        <v>4</v>
      </c>
      <c r="C52" s="2" t="s">
        <v>697</v>
      </c>
      <c r="D52" s="2" t="s">
        <v>101</v>
      </c>
      <c r="E52" s="3">
        <v>125</v>
      </c>
      <c r="F52" s="3">
        <f t="shared" si="0"/>
        <v>500</v>
      </c>
      <c r="G52" s="2" t="s">
        <v>8</v>
      </c>
      <c r="H52" s="68">
        <v>45982</v>
      </c>
      <c r="I52" s="2" t="s">
        <v>824</v>
      </c>
    </row>
    <row r="53" spans="1:10" x14ac:dyDescent="0.25">
      <c r="A53" s="68">
        <v>45980</v>
      </c>
      <c r="B53" s="2">
        <v>1</v>
      </c>
      <c r="C53" s="2" t="s">
        <v>698</v>
      </c>
      <c r="D53" s="2" t="s">
        <v>703</v>
      </c>
      <c r="E53" s="3">
        <v>699</v>
      </c>
      <c r="F53" s="3">
        <f t="shared" si="0"/>
        <v>699</v>
      </c>
      <c r="G53" s="2" t="s">
        <v>699</v>
      </c>
      <c r="H53" s="68">
        <v>45982</v>
      </c>
      <c r="I53" s="2" t="s">
        <v>824</v>
      </c>
    </row>
    <row r="54" spans="1:10" x14ac:dyDescent="0.25">
      <c r="A54" s="68">
        <v>45980</v>
      </c>
      <c r="B54" s="2">
        <v>15</v>
      </c>
      <c r="C54" s="2" t="s">
        <v>697</v>
      </c>
      <c r="D54" s="2" t="s">
        <v>30</v>
      </c>
      <c r="E54" s="3">
        <v>125</v>
      </c>
      <c r="F54" s="3">
        <f t="shared" si="0"/>
        <v>1875</v>
      </c>
      <c r="G54" s="2" t="s">
        <v>791</v>
      </c>
      <c r="H54" s="2"/>
      <c r="I54" s="2" t="s">
        <v>824</v>
      </c>
    </row>
    <row r="55" spans="1:10" x14ac:dyDescent="0.25">
      <c r="A55" s="68">
        <v>45981</v>
      </c>
      <c r="B55" s="2">
        <v>12</v>
      </c>
      <c r="C55" s="2" t="s">
        <v>697</v>
      </c>
      <c r="D55" s="2" t="s">
        <v>767</v>
      </c>
      <c r="E55" s="3">
        <v>125</v>
      </c>
      <c r="F55" s="3">
        <f t="shared" si="0"/>
        <v>1500</v>
      </c>
      <c r="G55" s="2" t="s">
        <v>781</v>
      </c>
      <c r="H55" s="2"/>
      <c r="I55" s="2" t="s">
        <v>824</v>
      </c>
    </row>
    <row r="56" spans="1:10" x14ac:dyDescent="0.25">
      <c r="A56" s="80">
        <v>45981</v>
      </c>
      <c r="B56" s="10">
        <v>23</v>
      </c>
      <c r="C56" s="10" t="s">
        <v>697</v>
      </c>
      <c r="D56" s="10" t="s">
        <v>702</v>
      </c>
      <c r="E56" s="50">
        <v>125</v>
      </c>
      <c r="F56" s="50">
        <f t="shared" si="0"/>
        <v>2875</v>
      </c>
      <c r="G56" s="10" t="s">
        <v>765</v>
      </c>
      <c r="H56" s="10"/>
      <c r="I56" s="10" t="s">
        <v>766</v>
      </c>
      <c r="J56" t="s">
        <v>1107</v>
      </c>
    </row>
    <row r="57" spans="1:10" x14ac:dyDescent="0.25">
      <c r="A57" s="68">
        <v>45981</v>
      </c>
      <c r="B57" s="2">
        <v>1</v>
      </c>
      <c r="C57" s="2" t="s">
        <v>698</v>
      </c>
      <c r="D57" s="2" t="s">
        <v>703</v>
      </c>
      <c r="E57" s="3">
        <v>699</v>
      </c>
      <c r="F57" s="3">
        <f t="shared" si="0"/>
        <v>699</v>
      </c>
      <c r="G57" s="2" t="s">
        <v>699</v>
      </c>
      <c r="H57" s="68">
        <v>45982</v>
      </c>
      <c r="I57" s="2" t="s">
        <v>824</v>
      </c>
    </row>
    <row r="58" spans="1:10" x14ac:dyDescent="0.25">
      <c r="A58" s="68">
        <v>45981</v>
      </c>
      <c r="B58" s="2">
        <v>2</v>
      </c>
      <c r="C58" s="2" t="s">
        <v>704</v>
      </c>
      <c r="D58" s="2" t="s">
        <v>364</v>
      </c>
      <c r="E58" s="3">
        <v>2100</v>
      </c>
      <c r="F58" s="3">
        <f t="shared" si="0"/>
        <v>4200</v>
      </c>
      <c r="G58" s="2" t="s">
        <v>8</v>
      </c>
      <c r="H58" s="68">
        <v>45982</v>
      </c>
      <c r="I58" s="2" t="s">
        <v>824</v>
      </c>
    </row>
    <row r="59" spans="1:10" x14ac:dyDescent="0.25">
      <c r="A59" s="68">
        <v>45981</v>
      </c>
      <c r="B59" s="2">
        <v>3</v>
      </c>
      <c r="C59" s="2" t="s">
        <v>705</v>
      </c>
      <c r="D59" s="2" t="s">
        <v>364</v>
      </c>
      <c r="E59" s="3">
        <v>2100</v>
      </c>
      <c r="F59" s="3">
        <f t="shared" si="0"/>
        <v>6300</v>
      </c>
      <c r="G59" s="2" t="s">
        <v>8</v>
      </c>
      <c r="H59" s="68">
        <v>45982</v>
      </c>
      <c r="I59" s="2" t="s">
        <v>824</v>
      </c>
    </row>
    <row r="60" spans="1:10" x14ac:dyDescent="0.25">
      <c r="A60" s="68">
        <v>45981</v>
      </c>
      <c r="B60" s="2">
        <v>2</v>
      </c>
      <c r="C60" s="2" t="s">
        <v>705</v>
      </c>
      <c r="D60" s="2" t="s">
        <v>318</v>
      </c>
      <c r="E60" s="3">
        <v>2100</v>
      </c>
      <c r="F60" s="3">
        <f t="shared" si="0"/>
        <v>4200</v>
      </c>
      <c r="G60" s="2" t="s">
        <v>709</v>
      </c>
      <c r="H60" s="68">
        <v>45982</v>
      </c>
      <c r="I60" s="2" t="s">
        <v>824</v>
      </c>
    </row>
    <row r="61" spans="1:10" x14ac:dyDescent="0.25">
      <c r="A61" s="68">
        <v>45981</v>
      </c>
      <c r="B61" s="2">
        <v>5</v>
      </c>
      <c r="C61" s="2" t="s">
        <v>706</v>
      </c>
      <c r="D61" s="2" t="s">
        <v>364</v>
      </c>
      <c r="E61" s="3">
        <v>574</v>
      </c>
      <c r="F61" s="3">
        <f t="shared" si="0"/>
        <v>2870</v>
      </c>
      <c r="G61" s="2" t="s">
        <v>8</v>
      </c>
      <c r="H61" s="68">
        <v>45982</v>
      </c>
      <c r="I61" s="2" t="s">
        <v>824</v>
      </c>
    </row>
    <row r="62" spans="1:10" x14ac:dyDescent="0.25">
      <c r="A62" s="68">
        <v>45981</v>
      </c>
      <c r="B62" s="2">
        <v>10</v>
      </c>
      <c r="C62" s="2" t="s">
        <v>707</v>
      </c>
      <c r="D62" s="2" t="s">
        <v>364</v>
      </c>
      <c r="E62" s="3">
        <v>103</v>
      </c>
      <c r="F62" s="3">
        <f t="shared" si="0"/>
        <v>1030</v>
      </c>
      <c r="G62" s="2" t="s">
        <v>8</v>
      </c>
      <c r="H62" s="68">
        <v>45982</v>
      </c>
      <c r="I62" s="2" t="s">
        <v>824</v>
      </c>
    </row>
    <row r="63" spans="1:10" x14ac:dyDescent="0.25">
      <c r="A63" s="68">
        <v>45981</v>
      </c>
      <c r="B63" s="2">
        <v>3</v>
      </c>
      <c r="C63" s="2" t="s">
        <v>697</v>
      </c>
      <c r="D63" s="2" t="s">
        <v>364</v>
      </c>
      <c r="E63" s="3">
        <v>125</v>
      </c>
      <c r="F63" s="3">
        <f t="shared" si="0"/>
        <v>375</v>
      </c>
      <c r="G63" s="2" t="s">
        <v>8</v>
      </c>
      <c r="H63" s="68">
        <v>45982</v>
      </c>
      <c r="I63" s="2" t="s">
        <v>824</v>
      </c>
    </row>
    <row r="64" spans="1:10" x14ac:dyDescent="0.25">
      <c r="A64" s="68">
        <v>45981</v>
      </c>
      <c r="B64" s="2">
        <v>3</v>
      </c>
      <c r="C64" s="2" t="s">
        <v>704</v>
      </c>
      <c r="D64" s="2" t="s">
        <v>364</v>
      </c>
      <c r="E64" s="3">
        <v>2100</v>
      </c>
      <c r="F64" s="3">
        <f t="shared" si="0"/>
        <v>6300</v>
      </c>
      <c r="G64" s="2" t="s">
        <v>8</v>
      </c>
      <c r="H64" s="68">
        <v>45982</v>
      </c>
      <c r="I64" s="2" t="s">
        <v>824</v>
      </c>
    </row>
    <row r="65" spans="1:10" x14ac:dyDescent="0.25">
      <c r="A65" s="68">
        <v>45981</v>
      </c>
      <c r="B65" s="2">
        <v>3</v>
      </c>
      <c r="C65" s="2" t="s">
        <v>705</v>
      </c>
      <c r="D65" s="2" t="s">
        <v>364</v>
      </c>
      <c r="E65" s="3">
        <v>2100</v>
      </c>
      <c r="F65" s="3">
        <f t="shared" si="0"/>
        <v>6300</v>
      </c>
      <c r="G65" s="2" t="s">
        <v>8</v>
      </c>
      <c r="H65" s="68">
        <v>45982</v>
      </c>
      <c r="I65" s="2" t="s">
        <v>824</v>
      </c>
    </row>
    <row r="66" spans="1:10" x14ac:dyDescent="0.25">
      <c r="A66" s="68">
        <v>45981</v>
      </c>
      <c r="B66" s="2">
        <v>12</v>
      </c>
      <c r="C66" s="2" t="s">
        <v>664</v>
      </c>
      <c r="D66" s="2" t="s">
        <v>708</v>
      </c>
      <c r="E66" s="3">
        <v>449</v>
      </c>
      <c r="F66" s="3">
        <f t="shared" si="0"/>
        <v>5388</v>
      </c>
      <c r="G66" s="2" t="s">
        <v>8</v>
      </c>
      <c r="H66" s="68">
        <v>45982</v>
      </c>
      <c r="I66" s="2" t="s">
        <v>824</v>
      </c>
    </row>
    <row r="67" spans="1:10" x14ac:dyDescent="0.25">
      <c r="A67" s="68">
        <v>45982</v>
      </c>
      <c r="B67" s="2">
        <v>4</v>
      </c>
      <c r="C67" s="2" t="s">
        <v>704</v>
      </c>
      <c r="D67" s="2" t="s">
        <v>364</v>
      </c>
      <c r="E67" s="3">
        <v>2100</v>
      </c>
      <c r="F67" s="3">
        <f t="shared" si="0"/>
        <v>8400</v>
      </c>
      <c r="G67" s="2" t="s">
        <v>8</v>
      </c>
      <c r="H67" s="68">
        <v>45982</v>
      </c>
      <c r="I67" s="2" t="s">
        <v>824</v>
      </c>
    </row>
    <row r="68" spans="1:10" x14ac:dyDescent="0.25">
      <c r="A68" s="68">
        <v>45982</v>
      </c>
      <c r="B68" s="2">
        <v>6</v>
      </c>
      <c r="C68" s="2" t="s">
        <v>704</v>
      </c>
      <c r="D68" s="2" t="s">
        <v>710</v>
      </c>
      <c r="E68" s="3">
        <v>2100</v>
      </c>
      <c r="F68" s="3">
        <f t="shared" si="0"/>
        <v>12600</v>
      </c>
      <c r="G68" s="2" t="s">
        <v>8</v>
      </c>
      <c r="H68" s="68">
        <v>45982</v>
      </c>
      <c r="I68" s="2" t="s">
        <v>824</v>
      </c>
    </row>
    <row r="69" spans="1:10" x14ac:dyDescent="0.25">
      <c r="A69" s="68">
        <v>45982</v>
      </c>
      <c r="B69" s="2">
        <v>6</v>
      </c>
      <c r="C69" s="2" t="s">
        <v>705</v>
      </c>
      <c r="D69" s="2" t="s">
        <v>710</v>
      </c>
      <c r="E69" s="3">
        <v>2100</v>
      </c>
      <c r="F69" s="3">
        <f t="shared" ref="F69:F135" si="2">E69*B69</f>
        <v>12600</v>
      </c>
      <c r="G69" s="2" t="s">
        <v>8</v>
      </c>
      <c r="H69" s="68">
        <v>45982</v>
      </c>
      <c r="I69" s="2" t="s">
        <v>824</v>
      </c>
    </row>
    <row r="70" spans="1:10" x14ac:dyDescent="0.25">
      <c r="A70" s="68">
        <v>45982</v>
      </c>
      <c r="B70" s="2">
        <v>16</v>
      </c>
      <c r="C70" s="2" t="s">
        <v>664</v>
      </c>
      <c r="D70" s="2" t="s">
        <v>686</v>
      </c>
      <c r="E70" s="3" t="s">
        <v>720</v>
      </c>
      <c r="F70" s="3">
        <v>0</v>
      </c>
      <c r="G70" s="2" t="s">
        <v>8</v>
      </c>
      <c r="H70" s="68">
        <v>45982</v>
      </c>
      <c r="I70" s="2" t="s">
        <v>824</v>
      </c>
    </row>
    <row r="71" spans="1:10" x14ac:dyDescent="0.25">
      <c r="A71" s="68">
        <v>45982</v>
      </c>
      <c r="B71" s="2">
        <v>5</v>
      </c>
      <c r="C71" s="2" t="s">
        <v>664</v>
      </c>
      <c r="D71" s="2" t="s">
        <v>686</v>
      </c>
      <c r="E71" s="3">
        <v>0</v>
      </c>
      <c r="F71" s="3">
        <v>0</v>
      </c>
      <c r="G71" s="2" t="s">
        <v>8</v>
      </c>
      <c r="H71" s="68">
        <v>45982</v>
      </c>
      <c r="I71" s="2" t="s">
        <v>736</v>
      </c>
    </row>
    <row r="72" spans="1:10" x14ac:dyDescent="0.25">
      <c r="A72" s="68">
        <v>45982</v>
      </c>
      <c r="B72" s="2">
        <v>20</v>
      </c>
      <c r="C72" s="2" t="s">
        <v>664</v>
      </c>
      <c r="D72" s="2" t="s">
        <v>490</v>
      </c>
      <c r="E72" s="3">
        <v>399</v>
      </c>
      <c r="F72" s="3">
        <f t="shared" si="2"/>
        <v>7980</v>
      </c>
      <c r="G72" s="2" t="s">
        <v>8</v>
      </c>
      <c r="H72" s="68">
        <v>45985</v>
      </c>
      <c r="I72" s="2" t="s">
        <v>824</v>
      </c>
    </row>
    <row r="73" spans="1:10" x14ac:dyDescent="0.25">
      <c r="A73" s="68">
        <v>45982</v>
      </c>
      <c r="B73" s="2">
        <v>9</v>
      </c>
      <c r="C73" s="2" t="s">
        <v>664</v>
      </c>
      <c r="D73" s="2" t="s">
        <v>494</v>
      </c>
      <c r="E73" s="3">
        <v>399</v>
      </c>
      <c r="F73" s="3">
        <f t="shared" si="2"/>
        <v>3591</v>
      </c>
      <c r="G73" s="2" t="s">
        <v>8</v>
      </c>
      <c r="H73" s="68">
        <v>45985</v>
      </c>
      <c r="I73" s="2" t="s">
        <v>824</v>
      </c>
    </row>
    <row r="74" spans="1:10" x14ac:dyDescent="0.25">
      <c r="A74" s="68">
        <v>45982</v>
      </c>
      <c r="B74" s="2">
        <v>3</v>
      </c>
      <c r="C74" s="2" t="s">
        <v>711</v>
      </c>
      <c r="D74" s="2" t="s">
        <v>712</v>
      </c>
      <c r="E74" s="3">
        <v>609.95000000000005</v>
      </c>
      <c r="F74" s="3">
        <f t="shared" si="2"/>
        <v>1829.8500000000001</v>
      </c>
      <c r="G74" s="2" t="s">
        <v>730</v>
      </c>
      <c r="H74" s="2"/>
      <c r="I74" s="2" t="s">
        <v>824</v>
      </c>
    </row>
    <row r="75" spans="1:10" x14ac:dyDescent="0.25">
      <c r="A75" s="68">
        <v>45982</v>
      </c>
      <c r="B75" s="2">
        <v>1</v>
      </c>
      <c r="C75" s="2" t="s">
        <v>711</v>
      </c>
      <c r="D75" s="2" t="s">
        <v>712</v>
      </c>
      <c r="E75" s="3">
        <v>598</v>
      </c>
      <c r="F75" s="3">
        <f t="shared" si="2"/>
        <v>598</v>
      </c>
      <c r="G75" s="2" t="s">
        <v>825</v>
      </c>
      <c r="H75" s="2"/>
      <c r="I75" s="2" t="s">
        <v>824</v>
      </c>
    </row>
    <row r="76" spans="1:10" x14ac:dyDescent="0.25">
      <c r="A76" s="68">
        <v>45982</v>
      </c>
      <c r="B76" s="2">
        <v>1</v>
      </c>
      <c r="C76" s="2" t="s">
        <v>713</v>
      </c>
      <c r="D76" s="2" t="s">
        <v>714</v>
      </c>
      <c r="E76" s="3">
        <v>598</v>
      </c>
      <c r="F76" s="3">
        <f t="shared" si="2"/>
        <v>598</v>
      </c>
      <c r="G76" s="2" t="s">
        <v>715</v>
      </c>
      <c r="H76" s="68">
        <v>45982</v>
      </c>
      <c r="I76" s="2" t="s">
        <v>824</v>
      </c>
    </row>
    <row r="77" spans="1:10" x14ac:dyDescent="0.25">
      <c r="A77" s="68">
        <v>45982</v>
      </c>
      <c r="B77" s="2">
        <v>5</v>
      </c>
      <c r="C77" s="2" t="s">
        <v>716</v>
      </c>
      <c r="D77" s="2" t="s">
        <v>87</v>
      </c>
      <c r="E77" s="3">
        <v>509</v>
      </c>
      <c r="F77" s="3">
        <f t="shared" si="2"/>
        <v>2545</v>
      </c>
      <c r="G77" s="2" t="s">
        <v>791</v>
      </c>
      <c r="H77" s="2"/>
      <c r="I77" s="2" t="s">
        <v>824</v>
      </c>
    </row>
    <row r="78" spans="1:10" x14ac:dyDescent="0.25">
      <c r="A78" s="68">
        <v>45982</v>
      </c>
      <c r="B78" s="2">
        <v>6</v>
      </c>
      <c r="C78" s="2" t="s">
        <v>717</v>
      </c>
      <c r="D78" s="2" t="s">
        <v>87</v>
      </c>
      <c r="E78" s="3">
        <v>659</v>
      </c>
      <c r="F78" s="3">
        <f t="shared" si="2"/>
        <v>3954</v>
      </c>
      <c r="G78" s="2" t="s">
        <v>791</v>
      </c>
      <c r="H78" s="2"/>
      <c r="I78" s="2" t="s">
        <v>824</v>
      </c>
    </row>
    <row r="79" spans="1:10" x14ac:dyDescent="0.25">
      <c r="A79" s="68">
        <v>45982</v>
      </c>
      <c r="B79" s="2">
        <v>3</v>
      </c>
      <c r="C79" s="2" t="s">
        <v>717</v>
      </c>
      <c r="D79" s="2" t="s">
        <v>87</v>
      </c>
      <c r="E79" s="3">
        <v>659</v>
      </c>
      <c r="F79" s="3">
        <f t="shared" si="2"/>
        <v>1977</v>
      </c>
      <c r="G79" s="2" t="s">
        <v>781</v>
      </c>
      <c r="H79" s="2"/>
      <c r="I79" s="2" t="s">
        <v>824</v>
      </c>
    </row>
    <row r="80" spans="1:10" x14ac:dyDescent="0.25">
      <c r="A80" s="68">
        <v>45982</v>
      </c>
      <c r="B80" s="2">
        <v>7</v>
      </c>
      <c r="C80" s="2" t="s">
        <v>716</v>
      </c>
      <c r="D80" s="2" t="s">
        <v>87</v>
      </c>
      <c r="E80" s="3">
        <v>509</v>
      </c>
      <c r="F80" s="3">
        <f t="shared" si="2"/>
        <v>3563</v>
      </c>
      <c r="G80" s="2" t="s">
        <v>782</v>
      </c>
      <c r="H80" s="2"/>
      <c r="I80" s="2" t="s">
        <v>783</v>
      </c>
      <c r="J80" t="s">
        <v>1108</v>
      </c>
    </row>
    <row r="81" spans="1:11" x14ac:dyDescent="0.25">
      <c r="A81" s="68">
        <v>45982</v>
      </c>
      <c r="B81" s="2">
        <v>5</v>
      </c>
      <c r="C81" s="2" t="s">
        <v>721</v>
      </c>
      <c r="D81" s="2" t="s">
        <v>87</v>
      </c>
      <c r="E81" s="3">
        <v>659</v>
      </c>
      <c r="F81" s="3">
        <f t="shared" si="2"/>
        <v>3295</v>
      </c>
      <c r="G81" s="2" t="s">
        <v>770</v>
      </c>
      <c r="H81" s="2"/>
      <c r="I81" s="2" t="s">
        <v>824</v>
      </c>
    </row>
    <row r="82" spans="1:11" x14ac:dyDescent="0.25">
      <c r="A82" s="68">
        <v>45982</v>
      </c>
      <c r="B82" s="2">
        <v>9</v>
      </c>
      <c r="C82" s="2" t="s">
        <v>722</v>
      </c>
      <c r="D82" s="2" t="s">
        <v>87</v>
      </c>
      <c r="E82" s="3">
        <v>509</v>
      </c>
      <c r="F82" s="3">
        <f t="shared" si="2"/>
        <v>4581</v>
      </c>
      <c r="G82" s="2" t="s">
        <v>770</v>
      </c>
      <c r="H82" s="2"/>
      <c r="I82" s="2" t="s">
        <v>824</v>
      </c>
    </row>
    <row r="83" spans="1:11" x14ac:dyDescent="0.25">
      <c r="A83" s="68">
        <v>45982</v>
      </c>
      <c r="B83" s="2">
        <v>8</v>
      </c>
      <c r="C83" s="2" t="s">
        <v>722</v>
      </c>
      <c r="D83" s="2" t="s">
        <v>87</v>
      </c>
      <c r="E83" s="3">
        <v>509</v>
      </c>
      <c r="F83" s="3">
        <f t="shared" si="2"/>
        <v>4072</v>
      </c>
      <c r="G83" s="2" t="s">
        <v>769</v>
      </c>
      <c r="H83" s="2"/>
      <c r="I83" s="2" t="s">
        <v>768</v>
      </c>
    </row>
    <row r="84" spans="1:11" x14ac:dyDescent="0.25">
      <c r="A84" s="68">
        <v>45984</v>
      </c>
      <c r="B84" s="2">
        <v>14</v>
      </c>
      <c r="C84" s="2" t="s">
        <v>664</v>
      </c>
      <c r="D84" s="2" t="s">
        <v>731</v>
      </c>
      <c r="E84" s="3">
        <v>398</v>
      </c>
      <c r="F84" s="3">
        <f t="shared" si="2"/>
        <v>5572</v>
      </c>
      <c r="G84" s="2" t="s">
        <v>8</v>
      </c>
      <c r="H84" s="68">
        <v>45985</v>
      </c>
      <c r="I84" s="2" t="s">
        <v>824</v>
      </c>
    </row>
    <row r="85" spans="1:11" x14ac:dyDescent="0.25">
      <c r="A85" s="68">
        <v>45984</v>
      </c>
      <c r="B85" s="2">
        <v>5</v>
      </c>
      <c r="C85" s="2" t="s">
        <v>664</v>
      </c>
      <c r="D85" s="2" t="s">
        <v>496</v>
      </c>
      <c r="E85" s="3">
        <v>398</v>
      </c>
      <c r="F85" s="3">
        <f t="shared" si="2"/>
        <v>1990</v>
      </c>
      <c r="G85" s="2" t="s">
        <v>8</v>
      </c>
      <c r="H85" s="68">
        <v>45985</v>
      </c>
      <c r="I85" s="2" t="s">
        <v>824</v>
      </c>
      <c r="K85" t="s">
        <v>739</v>
      </c>
    </row>
    <row r="86" spans="1:11" x14ac:dyDescent="0.25">
      <c r="A86" s="68">
        <v>45984</v>
      </c>
      <c r="B86" s="2">
        <v>27</v>
      </c>
      <c r="C86" s="2" t="s">
        <v>664</v>
      </c>
      <c r="D86" s="2" t="s">
        <v>492</v>
      </c>
      <c r="E86" s="3">
        <v>398</v>
      </c>
      <c r="F86" s="3">
        <f t="shared" si="2"/>
        <v>10746</v>
      </c>
      <c r="G86" s="2" t="s">
        <v>8</v>
      </c>
      <c r="H86" s="68">
        <v>45985</v>
      </c>
      <c r="I86" s="2" t="s">
        <v>824</v>
      </c>
    </row>
    <row r="87" spans="1:11" x14ac:dyDescent="0.25">
      <c r="A87" s="68">
        <v>45984</v>
      </c>
      <c r="B87" s="2">
        <v>20</v>
      </c>
      <c r="C87" s="2" t="s">
        <v>664</v>
      </c>
      <c r="D87" s="2" t="s">
        <v>498</v>
      </c>
      <c r="E87" s="3">
        <v>398</v>
      </c>
      <c r="F87" s="3">
        <f t="shared" si="2"/>
        <v>7960</v>
      </c>
      <c r="G87" s="2" t="s">
        <v>8</v>
      </c>
      <c r="H87" s="68">
        <v>45985</v>
      </c>
      <c r="I87" s="2" t="s">
        <v>824</v>
      </c>
    </row>
    <row r="88" spans="1:11" x14ac:dyDescent="0.25">
      <c r="A88" s="68">
        <v>45984</v>
      </c>
      <c r="B88" s="2">
        <v>12</v>
      </c>
      <c r="C88" s="2" t="s">
        <v>664</v>
      </c>
      <c r="D88" s="2" t="s">
        <v>497</v>
      </c>
      <c r="E88" s="3">
        <v>398</v>
      </c>
      <c r="F88" s="3">
        <f t="shared" si="2"/>
        <v>4776</v>
      </c>
      <c r="G88" s="2" t="s">
        <v>8</v>
      </c>
      <c r="H88" s="68">
        <v>45985</v>
      </c>
      <c r="I88" s="2" t="s">
        <v>824</v>
      </c>
    </row>
    <row r="89" spans="1:11" x14ac:dyDescent="0.25">
      <c r="A89" s="68">
        <v>45984</v>
      </c>
      <c r="B89" s="2">
        <v>19</v>
      </c>
      <c r="C89" s="2" t="s">
        <v>664</v>
      </c>
      <c r="D89" s="2" t="s">
        <v>733</v>
      </c>
      <c r="E89" s="3">
        <v>398</v>
      </c>
      <c r="F89" s="3">
        <f t="shared" si="2"/>
        <v>7562</v>
      </c>
      <c r="G89" s="2" t="s">
        <v>8</v>
      </c>
      <c r="H89" s="68">
        <v>45985</v>
      </c>
      <c r="I89" s="2" t="s">
        <v>824</v>
      </c>
    </row>
    <row r="90" spans="1:11" x14ac:dyDescent="0.25">
      <c r="A90" s="68">
        <v>45984</v>
      </c>
      <c r="B90" s="2">
        <v>10</v>
      </c>
      <c r="C90" s="2" t="s">
        <v>664</v>
      </c>
      <c r="D90" s="2" t="s">
        <v>734</v>
      </c>
      <c r="E90" s="3">
        <v>398</v>
      </c>
      <c r="F90" s="3">
        <f t="shared" si="2"/>
        <v>3980</v>
      </c>
      <c r="G90" s="2" t="s">
        <v>8</v>
      </c>
      <c r="H90" s="68">
        <v>45985</v>
      </c>
      <c r="I90" s="2" t="s">
        <v>824</v>
      </c>
    </row>
    <row r="91" spans="1:11" x14ac:dyDescent="0.25">
      <c r="A91" s="68">
        <v>45984</v>
      </c>
      <c r="B91" s="2">
        <v>17</v>
      </c>
      <c r="C91" s="2" t="s">
        <v>664</v>
      </c>
      <c r="D91" s="2" t="s">
        <v>735</v>
      </c>
      <c r="E91" s="3">
        <v>398</v>
      </c>
      <c r="F91" s="3">
        <f t="shared" si="2"/>
        <v>6766</v>
      </c>
      <c r="G91" s="2" t="s">
        <v>8</v>
      </c>
      <c r="H91" s="68">
        <v>45985</v>
      </c>
      <c r="I91" s="2" t="s">
        <v>824</v>
      </c>
    </row>
    <row r="92" spans="1:11" x14ac:dyDescent="0.25">
      <c r="A92" s="68">
        <v>45985</v>
      </c>
      <c r="B92" s="2">
        <v>27</v>
      </c>
      <c r="C92" s="2" t="s">
        <v>664</v>
      </c>
      <c r="D92" s="2" t="s">
        <v>732</v>
      </c>
      <c r="E92" s="3">
        <v>398</v>
      </c>
      <c r="F92" s="3">
        <f t="shared" si="2"/>
        <v>10746</v>
      </c>
      <c r="G92" s="2" t="s">
        <v>8</v>
      </c>
      <c r="H92" s="68">
        <v>45985</v>
      </c>
      <c r="I92" s="2" t="s">
        <v>824</v>
      </c>
    </row>
    <row r="93" spans="1:11" x14ac:dyDescent="0.25">
      <c r="A93" s="68">
        <v>45985</v>
      </c>
      <c r="B93" s="2">
        <v>11</v>
      </c>
      <c r="C93" s="2" t="s">
        <v>664</v>
      </c>
      <c r="D93" s="2" t="s">
        <v>732</v>
      </c>
      <c r="E93" s="3">
        <v>398</v>
      </c>
      <c r="F93" s="3">
        <f t="shared" si="2"/>
        <v>4378</v>
      </c>
      <c r="G93" s="2" t="s">
        <v>8</v>
      </c>
      <c r="H93" s="2"/>
      <c r="I93" s="2" t="s">
        <v>824</v>
      </c>
    </row>
    <row r="94" spans="1:11" x14ac:dyDescent="0.25">
      <c r="A94" s="68">
        <v>45985</v>
      </c>
      <c r="B94" s="2">
        <v>1</v>
      </c>
      <c r="C94" s="2" t="s">
        <v>737</v>
      </c>
      <c r="D94" s="2" t="s">
        <v>738</v>
      </c>
      <c r="E94" s="3">
        <v>105</v>
      </c>
      <c r="F94" s="3">
        <f t="shared" si="2"/>
        <v>105</v>
      </c>
      <c r="G94" s="2"/>
      <c r="H94" s="2"/>
      <c r="I94" s="2" t="s">
        <v>85</v>
      </c>
    </row>
    <row r="95" spans="1:11" x14ac:dyDescent="0.25">
      <c r="A95" s="68">
        <v>45985</v>
      </c>
      <c r="B95" s="2">
        <v>2</v>
      </c>
      <c r="C95" s="2" t="s">
        <v>323</v>
      </c>
      <c r="D95" s="2" t="s">
        <v>358</v>
      </c>
      <c r="E95" s="3">
        <v>679</v>
      </c>
      <c r="F95" s="3">
        <f t="shared" si="2"/>
        <v>1358</v>
      </c>
      <c r="G95" s="2" t="s">
        <v>365</v>
      </c>
      <c r="H95" s="2"/>
      <c r="I95" s="2" t="s">
        <v>654</v>
      </c>
    </row>
    <row r="96" spans="1:11" x14ac:dyDescent="0.25">
      <c r="A96" s="68">
        <v>45988</v>
      </c>
      <c r="B96" s="2">
        <v>50</v>
      </c>
      <c r="C96" s="2" t="s">
        <v>664</v>
      </c>
      <c r="D96" s="2" t="s">
        <v>740</v>
      </c>
      <c r="E96" s="3">
        <v>398</v>
      </c>
      <c r="F96" s="3">
        <f t="shared" si="2"/>
        <v>19900</v>
      </c>
      <c r="G96" s="2" t="s">
        <v>751</v>
      </c>
      <c r="H96" s="2"/>
      <c r="I96" s="2" t="s">
        <v>824</v>
      </c>
    </row>
    <row r="97" spans="1:9" x14ac:dyDescent="0.25">
      <c r="A97" s="68">
        <v>45988</v>
      </c>
      <c r="B97" s="2">
        <v>1</v>
      </c>
      <c r="C97" s="2" t="s">
        <v>741</v>
      </c>
      <c r="D97" s="2" t="s">
        <v>740</v>
      </c>
      <c r="E97" s="3">
        <v>200</v>
      </c>
      <c r="F97" s="3">
        <f t="shared" si="2"/>
        <v>200</v>
      </c>
      <c r="G97" s="2"/>
      <c r="H97" s="2"/>
      <c r="I97" s="2" t="s">
        <v>85</v>
      </c>
    </row>
    <row r="98" spans="1:9" x14ac:dyDescent="0.25">
      <c r="A98" s="68">
        <v>45988</v>
      </c>
      <c r="B98" s="2">
        <v>10</v>
      </c>
      <c r="C98" s="2" t="s">
        <v>647</v>
      </c>
      <c r="D98" s="2" t="s">
        <v>335</v>
      </c>
      <c r="E98" s="3">
        <v>410</v>
      </c>
      <c r="F98" s="3">
        <f t="shared" si="2"/>
        <v>4100</v>
      </c>
      <c r="G98" s="2" t="s">
        <v>742</v>
      </c>
      <c r="H98" s="2"/>
      <c r="I98" s="2" t="s">
        <v>824</v>
      </c>
    </row>
    <row r="99" spans="1:9" x14ac:dyDescent="0.25">
      <c r="A99" s="68">
        <v>45989</v>
      </c>
      <c r="B99" s="2">
        <v>6</v>
      </c>
      <c r="C99" s="2" t="s">
        <v>647</v>
      </c>
      <c r="D99" s="2" t="s">
        <v>364</v>
      </c>
      <c r="E99" s="3">
        <v>419</v>
      </c>
      <c r="F99" s="3">
        <f t="shared" si="2"/>
        <v>2514</v>
      </c>
      <c r="G99" s="2" t="s">
        <v>771</v>
      </c>
      <c r="H99" s="2"/>
      <c r="I99" s="2" t="s">
        <v>824</v>
      </c>
    </row>
    <row r="100" spans="1:9" x14ac:dyDescent="0.25">
      <c r="A100" s="68">
        <v>45989</v>
      </c>
      <c r="B100" s="2">
        <v>10</v>
      </c>
      <c r="C100" s="2" t="s">
        <v>744</v>
      </c>
      <c r="D100" s="2" t="s">
        <v>364</v>
      </c>
      <c r="E100" s="3">
        <v>125</v>
      </c>
      <c r="F100" s="3">
        <f t="shared" si="2"/>
        <v>1250</v>
      </c>
      <c r="G100" s="2" t="s">
        <v>873</v>
      </c>
      <c r="H100" s="2"/>
      <c r="I100" s="2"/>
    </row>
    <row r="101" spans="1:9" x14ac:dyDescent="0.25">
      <c r="A101" s="68">
        <v>45989</v>
      </c>
      <c r="B101" s="2">
        <v>3</v>
      </c>
      <c r="C101" s="2" t="s">
        <v>647</v>
      </c>
      <c r="D101" s="2" t="s">
        <v>364</v>
      </c>
      <c r="E101" s="3">
        <v>419</v>
      </c>
      <c r="F101" s="3">
        <f t="shared" si="2"/>
        <v>1257</v>
      </c>
      <c r="G101" s="2" t="s">
        <v>873</v>
      </c>
      <c r="H101" s="2"/>
      <c r="I101" s="2"/>
    </row>
    <row r="102" spans="1:9" x14ac:dyDescent="0.25">
      <c r="A102" s="68">
        <v>45989</v>
      </c>
      <c r="B102" s="2">
        <v>2</v>
      </c>
      <c r="C102" s="2" t="s">
        <v>647</v>
      </c>
      <c r="D102" s="2" t="s">
        <v>364</v>
      </c>
      <c r="E102" s="3">
        <v>419</v>
      </c>
      <c r="F102" s="3">
        <f t="shared" si="2"/>
        <v>838</v>
      </c>
      <c r="G102" s="2" t="s">
        <v>901</v>
      </c>
      <c r="H102" s="2"/>
      <c r="I102" s="2"/>
    </row>
    <row r="103" spans="1:9" x14ac:dyDescent="0.25">
      <c r="A103" s="68">
        <v>45990</v>
      </c>
      <c r="B103" s="2">
        <v>1</v>
      </c>
      <c r="C103" s="2" t="s">
        <v>716</v>
      </c>
      <c r="D103" s="2" t="s">
        <v>745</v>
      </c>
      <c r="E103" s="3">
        <v>467</v>
      </c>
      <c r="F103" s="3">
        <f t="shared" si="2"/>
        <v>467</v>
      </c>
      <c r="G103" s="2" t="s">
        <v>8</v>
      </c>
      <c r="H103" s="2"/>
      <c r="I103" s="2" t="s">
        <v>824</v>
      </c>
    </row>
    <row r="104" spans="1:9" x14ac:dyDescent="0.25">
      <c r="A104" s="68">
        <v>45990</v>
      </c>
      <c r="B104" s="2">
        <v>2</v>
      </c>
      <c r="C104" s="2" t="s">
        <v>716</v>
      </c>
      <c r="D104" s="2" t="s">
        <v>331</v>
      </c>
      <c r="E104" s="3">
        <v>479</v>
      </c>
      <c r="F104" s="3">
        <f t="shared" si="2"/>
        <v>958</v>
      </c>
      <c r="G104" s="2" t="s">
        <v>8</v>
      </c>
      <c r="H104" s="2"/>
      <c r="I104" s="2" t="s">
        <v>824</v>
      </c>
    </row>
    <row r="105" spans="1:9" x14ac:dyDescent="0.25">
      <c r="A105" s="68">
        <v>45990</v>
      </c>
      <c r="B105" s="2">
        <v>2</v>
      </c>
      <c r="C105" s="2" t="s">
        <v>664</v>
      </c>
      <c r="D105" s="2" t="s">
        <v>331</v>
      </c>
      <c r="E105" s="3">
        <v>399</v>
      </c>
      <c r="F105" s="3">
        <f t="shared" si="2"/>
        <v>798</v>
      </c>
      <c r="G105" s="2" t="s">
        <v>8</v>
      </c>
      <c r="H105" s="2"/>
      <c r="I105" s="2" t="s">
        <v>824</v>
      </c>
    </row>
    <row r="106" spans="1:9" x14ac:dyDescent="0.25">
      <c r="A106" s="68">
        <v>45990</v>
      </c>
      <c r="B106" s="2">
        <v>3</v>
      </c>
      <c r="C106" s="2" t="s">
        <v>647</v>
      </c>
      <c r="D106" s="2" t="s">
        <v>230</v>
      </c>
      <c r="E106" s="3">
        <v>419</v>
      </c>
      <c r="F106" s="3">
        <f t="shared" si="2"/>
        <v>1257</v>
      </c>
      <c r="G106" s="2" t="s">
        <v>8</v>
      </c>
      <c r="H106" s="2"/>
      <c r="I106" s="2" t="s">
        <v>824</v>
      </c>
    </row>
    <row r="107" spans="1:9" x14ac:dyDescent="0.25">
      <c r="A107" s="68">
        <v>45990</v>
      </c>
      <c r="B107" s="2">
        <v>2</v>
      </c>
      <c r="C107" s="2" t="s">
        <v>716</v>
      </c>
      <c r="D107" s="2" t="s">
        <v>230</v>
      </c>
      <c r="E107" s="3">
        <v>479</v>
      </c>
      <c r="F107" s="3">
        <f t="shared" si="2"/>
        <v>958</v>
      </c>
      <c r="G107" s="2" t="s">
        <v>8</v>
      </c>
      <c r="H107" s="2"/>
      <c r="I107" s="2" t="s">
        <v>824</v>
      </c>
    </row>
    <row r="108" spans="1:9" x14ac:dyDescent="0.25">
      <c r="A108" s="68">
        <v>45990</v>
      </c>
      <c r="B108" s="2">
        <v>3</v>
      </c>
      <c r="C108" s="2" t="s">
        <v>746</v>
      </c>
      <c r="D108" s="2" t="s">
        <v>230</v>
      </c>
      <c r="E108" s="3">
        <v>105</v>
      </c>
      <c r="F108" s="3">
        <f t="shared" si="2"/>
        <v>315</v>
      </c>
      <c r="G108" s="2" t="s">
        <v>8</v>
      </c>
      <c r="H108" s="2"/>
      <c r="I108" s="2" t="s">
        <v>824</v>
      </c>
    </row>
    <row r="109" spans="1:9" x14ac:dyDescent="0.25">
      <c r="A109" s="68">
        <v>45990</v>
      </c>
      <c r="B109" s="2">
        <v>2</v>
      </c>
      <c r="C109" s="2" t="s">
        <v>664</v>
      </c>
      <c r="D109" s="2" t="s">
        <v>230</v>
      </c>
      <c r="E109" s="3">
        <v>299</v>
      </c>
      <c r="F109" s="3">
        <f t="shared" si="2"/>
        <v>598</v>
      </c>
      <c r="G109" s="2" t="s">
        <v>8</v>
      </c>
      <c r="H109" s="2"/>
      <c r="I109" s="2" t="s">
        <v>824</v>
      </c>
    </row>
    <row r="110" spans="1:9" x14ac:dyDescent="0.25">
      <c r="A110" s="68">
        <v>45990</v>
      </c>
      <c r="B110" s="2">
        <v>1</v>
      </c>
      <c r="C110" s="2" t="s">
        <v>747</v>
      </c>
      <c r="D110" s="2" t="s">
        <v>230</v>
      </c>
      <c r="E110" s="3">
        <v>399</v>
      </c>
      <c r="F110" s="3">
        <f t="shared" si="2"/>
        <v>399</v>
      </c>
      <c r="G110" s="2" t="s">
        <v>873</v>
      </c>
      <c r="H110" s="2"/>
      <c r="I110" s="2"/>
    </row>
    <row r="111" spans="1:9" x14ac:dyDescent="0.25">
      <c r="A111" s="68">
        <v>45990</v>
      </c>
      <c r="B111" s="2">
        <v>4</v>
      </c>
      <c r="C111" s="2" t="s">
        <v>664</v>
      </c>
      <c r="D111" s="2" t="s">
        <v>748</v>
      </c>
      <c r="E111" s="3">
        <v>398</v>
      </c>
      <c r="F111" s="3">
        <f t="shared" si="2"/>
        <v>1592</v>
      </c>
      <c r="G111" s="2" t="s">
        <v>8</v>
      </c>
      <c r="H111" s="2"/>
      <c r="I111" s="2" t="s">
        <v>824</v>
      </c>
    </row>
    <row r="112" spans="1:9" x14ac:dyDescent="0.25">
      <c r="A112" s="68">
        <v>45990</v>
      </c>
      <c r="B112" s="2">
        <v>2</v>
      </c>
      <c r="C112" s="2" t="s">
        <v>664</v>
      </c>
      <c r="D112" s="2" t="s">
        <v>748</v>
      </c>
      <c r="E112" s="3">
        <v>398</v>
      </c>
      <c r="F112" s="3">
        <f t="shared" si="2"/>
        <v>796</v>
      </c>
      <c r="G112" s="2" t="s">
        <v>792</v>
      </c>
      <c r="H112" s="2"/>
      <c r="I112" s="2" t="s">
        <v>824</v>
      </c>
    </row>
    <row r="113" spans="1:9" x14ac:dyDescent="0.25">
      <c r="A113" s="68">
        <v>45990</v>
      </c>
      <c r="B113" s="2">
        <v>4</v>
      </c>
      <c r="C113" s="2" t="s">
        <v>664</v>
      </c>
      <c r="D113" s="2" t="s">
        <v>495</v>
      </c>
      <c r="E113" s="3">
        <v>398</v>
      </c>
      <c r="F113" s="3">
        <f t="shared" si="2"/>
        <v>1592</v>
      </c>
      <c r="G113" s="2" t="s">
        <v>8</v>
      </c>
      <c r="H113" s="2"/>
      <c r="I113" s="2" t="s">
        <v>824</v>
      </c>
    </row>
    <row r="114" spans="1:9" x14ac:dyDescent="0.25">
      <c r="A114" s="68">
        <v>45990</v>
      </c>
      <c r="B114" s="2">
        <v>3</v>
      </c>
      <c r="C114" s="2" t="s">
        <v>664</v>
      </c>
      <c r="D114" s="2" t="s">
        <v>749</v>
      </c>
      <c r="E114" s="3">
        <v>398</v>
      </c>
      <c r="F114" s="3">
        <f t="shared" si="2"/>
        <v>1194</v>
      </c>
      <c r="G114" s="2" t="s">
        <v>8</v>
      </c>
      <c r="H114" s="2"/>
      <c r="I114" s="2" t="s">
        <v>824</v>
      </c>
    </row>
    <row r="115" spans="1:9" x14ac:dyDescent="0.25">
      <c r="A115" s="80">
        <v>45990</v>
      </c>
      <c r="B115" s="10">
        <v>5</v>
      </c>
      <c r="C115" s="10" t="s">
        <v>664</v>
      </c>
      <c r="D115" s="10" t="s">
        <v>677</v>
      </c>
      <c r="E115" s="50">
        <v>398</v>
      </c>
      <c r="F115" s="50">
        <f t="shared" si="2"/>
        <v>1990</v>
      </c>
      <c r="G115" s="10" t="s">
        <v>62</v>
      </c>
      <c r="H115" s="10"/>
      <c r="I115" s="10" t="s">
        <v>823</v>
      </c>
    </row>
    <row r="116" spans="1:9" x14ac:dyDescent="0.25">
      <c r="A116" s="80">
        <v>45990</v>
      </c>
      <c r="B116" s="10">
        <v>35</v>
      </c>
      <c r="C116" s="10" t="s">
        <v>664</v>
      </c>
      <c r="D116" s="10" t="s">
        <v>677</v>
      </c>
      <c r="E116" s="50">
        <v>0</v>
      </c>
      <c r="F116" s="50">
        <f t="shared" si="2"/>
        <v>0</v>
      </c>
      <c r="G116" s="10" t="s">
        <v>758</v>
      </c>
      <c r="H116" s="10"/>
      <c r="I116" s="10" t="s">
        <v>823</v>
      </c>
    </row>
    <row r="117" spans="1:9" x14ac:dyDescent="0.25">
      <c r="A117" s="68">
        <v>45991</v>
      </c>
      <c r="B117" s="2">
        <v>18</v>
      </c>
      <c r="C117" s="2" t="s">
        <v>664</v>
      </c>
      <c r="D117" s="2" t="s">
        <v>759</v>
      </c>
      <c r="E117" s="3">
        <v>398</v>
      </c>
      <c r="F117" s="3">
        <f t="shared" si="2"/>
        <v>7164</v>
      </c>
      <c r="G117" s="2" t="s">
        <v>8</v>
      </c>
      <c r="H117" s="2"/>
      <c r="I117" s="2" t="s">
        <v>824</v>
      </c>
    </row>
    <row r="118" spans="1:9" x14ac:dyDescent="0.25">
      <c r="A118" s="68">
        <v>45991</v>
      </c>
      <c r="B118" s="2">
        <v>9</v>
      </c>
      <c r="C118" s="2" t="s">
        <v>664</v>
      </c>
      <c r="D118" s="2" t="s">
        <v>760</v>
      </c>
      <c r="E118" s="3">
        <v>398</v>
      </c>
      <c r="F118" s="3">
        <f t="shared" si="2"/>
        <v>3582</v>
      </c>
      <c r="G118" s="2" t="s">
        <v>8</v>
      </c>
      <c r="H118" s="2"/>
      <c r="I118" s="2" t="s">
        <v>824</v>
      </c>
    </row>
    <row r="119" spans="1:9" x14ac:dyDescent="0.25">
      <c r="A119" s="68">
        <v>45991</v>
      </c>
      <c r="B119" s="2">
        <v>1</v>
      </c>
      <c r="C119" s="2" t="s">
        <v>664</v>
      </c>
      <c r="D119" s="2" t="s">
        <v>761</v>
      </c>
      <c r="E119" s="3">
        <v>299</v>
      </c>
      <c r="F119" s="3">
        <f t="shared" si="2"/>
        <v>299</v>
      </c>
      <c r="G119" s="2" t="s">
        <v>8</v>
      </c>
      <c r="H119" s="2"/>
      <c r="I119" s="2" t="s">
        <v>824</v>
      </c>
    </row>
    <row r="120" spans="1:9" x14ac:dyDescent="0.25">
      <c r="A120" s="68">
        <v>45991</v>
      </c>
      <c r="B120" s="2">
        <v>2</v>
      </c>
      <c r="C120" s="2" t="s">
        <v>716</v>
      </c>
      <c r="D120" s="2" t="s">
        <v>761</v>
      </c>
      <c r="E120" s="3">
        <v>479</v>
      </c>
      <c r="F120" s="3">
        <f t="shared" si="2"/>
        <v>958</v>
      </c>
      <c r="G120" s="2" t="s">
        <v>8</v>
      </c>
      <c r="H120" s="2"/>
      <c r="I120" s="2" t="s">
        <v>824</v>
      </c>
    </row>
    <row r="121" spans="1:9" x14ac:dyDescent="0.25">
      <c r="A121" s="68">
        <v>45991</v>
      </c>
      <c r="B121" s="2">
        <v>8</v>
      </c>
      <c r="C121" s="2" t="s">
        <v>697</v>
      </c>
      <c r="D121" s="2" t="s">
        <v>761</v>
      </c>
      <c r="E121" s="3">
        <v>125</v>
      </c>
      <c r="F121" s="3">
        <f t="shared" si="2"/>
        <v>1000</v>
      </c>
      <c r="G121" s="2" t="s">
        <v>8</v>
      </c>
      <c r="H121" s="2"/>
      <c r="I121" s="2" t="s">
        <v>824</v>
      </c>
    </row>
    <row r="122" spans="1:9" x14ac:dyDescent="0.25">
      <c r="A122" s="68">
        <v>45991</v>
      </c>
      <c r="B122" s="2">
        <v>1</v>
      </c>
      <c r="C122" s="2" t="s">
        <v>762</v>
      </c>
      <c r="D122" s="2" t="s">
        <v>761</v>
      </c>
      <c r="E122" s="3">
        <v>380</v>
      </c>
      <c r="F122" s="3">
        <f t="shared" si="2"/>
        <v>380</v>
      </c>
      <c r="G122" s="2" t="s">
        <v>8</v>
      </c>
      <c r="H122" s="2"/>
      <c r="I122" s="2" t="s">
        <v>824</v>
      </c>
    </row>
    <row r="123" spans="1:9" x14ac:dyDescent="0.25">
      <c r="A123" s="68">
        <v>45991</v>
      </c>
      <c r="B123" s="2">
        <v>1</v>
      </c>
      <c r="C123" s="2" t="s">
        <v>691</v>
      </c>
      <c r="D123" s="2" t="s">
        <v>761</v>
      </c>
      <c r="E123" s="3">
        <v>419</v>
      </c>
      <c r="F123" s="3">
        <f t="shared" si="2"/>
        <v>419</v>
      </c>
      <c r="G123" s="2" t="s">
        <v>8</v>
      </c>
      <c r="H123" s="2"/>
      <c r="I123" s="2" t="s">
        <v>824</v>
      </c>
    </row>
    <row r="124" spans="1:9" x14ac:dyDescent="0.25">
      <c r="A124" s="68">
        <v>45991</v>
      </c>
      <c r="B124" s="2">
        <v>2</v>
      </c>
      <c r="C124" s="2" t="s">
        <v>664</v>
      </c>
      <c r="D124" s="2" t="s">
        <v>763</v>
      </c>
      <c r="E124" s="3">
        <v>398</v>
      </c>
      <c r="F124" s="3">
        <f t="shared" si="2"/>
        <v>796</v>
      </c>
      <c r="G124" s="2" t="s">
        <v>8</v>
      </c>
      <c r="H124" s="2"/>
      <c r="I124" s="2" t="s">
        <v>824</v>
      </c>
    </row>
    <row r="125" spans="1:9" x14ac:dyDescent="0.25">
      <c r="A125" s="68">
        <v>45991</v>
      </c>
      <c r="B125" s="2">
        <v>2</v>
      </c>
      <c r="C125" s="2" t="s">
        <v>664</v>
      </c>
      <c r="D125" s="2" t="s">
        <v>763</v>
      </c>
      <c r="E125" s="3">
        <v>398</v>
      </c>
      <c r="F125" s="3">
        <f t="shared" si="2"/>
        <v>796</v>
      </c>
      <c r="G125" s="2" t="s">
        <v>781</v>
      </c>
      <c r="H125" s="2"/>
      <c r="I125" s="2" t="s">
        <v>824</v>
      </c>
    </row>
    <row r="126" spans="1:9" x14ac:dyDescent="0.25">
      <c r="A126" s="68">
        <v>45991</v>
      </c>
      <c r="B126" s="2">
        <v>4</v>
      </c>
      <c r="C126" s="2" t="s">
        <v>664</v>
      </c>
      <c r="D126" s="2" t="s">
        <v>764</v>
      </c>
      <c r="E126" s="3">
        <v>398</v>
      </c>
      <c r="F126" s="3">
        <f t="shared" si="2"/>
        <v>1592</v>
      </c>
      <c r="G126" s="2" t="s">
        <v>781</v>
      </c>
      <c r="H126" s="2"/>
      <c r="I126" s="2" t="s">
        <v>824</v>
      </c>
    </row>
    <row r="127" spans="1:9" x14ac:dyDescent="0.25">
      <c r="A127" s="68">
        <v>45991</v>
      </c>
      <c r="B127" s="2">
        <v>2</v>
      </c>
      <c r="C127" s="2" t="s">
        <v>664</v>
      </c>
      <c r="D127" s="2" t="s">
        <v>764</v>
      </c>
      <c r="E127" s="3">
        <v>398</v>
      </c>
      <c r="F127" s="3">
        <f t="shared" si="2"/>
        <v>796</v>
      </c>
      <c r="G127" s="2" t="s">
        <v>8</v>
      </c>
      <c r="H127" s="2"/>
      <c r="I127" s="2" t="s">
        <v>824</v>
      </c>
    </row>
    <row r="128" spans="1:9" x14ac:dyDescent="0.25">
      <c r="A128" s="68">
        <v>45991</v>
      </c>
      <c r="B128" s="2">
        <v>3</v>
      </c>
      <c r="C128" s="2" t="s">
        <v>664</v>
      </c>
      <c r="D128" s="2" t="s">
        <v>364</v>
      </c>
      <c r="E128" s="3">
        <v>299</v>
      </c>
      <c r="F128" s="3">
        <f t="shared" si="2"/>
        <v>897</v>
      </c>
      <c r="G128" s="2" t="s">
        <v>8</v>
      </c>
      <c r="H128" s="2"/>
      <c r="I128" s="2" t="s">
        <v>824</v>
      </c>
    </row>
    <row r="129" spans="1:9" x14ac:dyDescent="0.25">
      <c r="A129" s="68">
        <v>45991</v>
      </c>
      <c r="B129" s="2">
        <v>2</v>
      </c>
      <c r="C129" s="2" t="s">
        <v>716</v>
      </c>
      <c r="D129" s="2" t="s">
        <v>364</v>
      </c>
      <c r="E129" s="3">
        <v>479</v>
      </c>
      <c r="F129" s="3">
        <f t="shared" si="2"/>
        <v>958</v>
      </c>
      <c r="G129" s="2" t="s">
        <v>8</v>
      </c>
      <c r="H129" s="2"/>
      <c r="I129" s="2" t="s">
        <v>824</v>
      </c>
    </row>
    <row r="130" spans="1:9" x14ac:dyDescent="0.25">
      <c r="A130" s="68">
        <v>45991</v>
      </c>
      <c r="B130" s="2">
        <v>8</v>
      </c>
      <c r="C130" s="2" t="s">
        <v>697</v>
      </c>
      <c r="D130" s="2" t="s">
        <v>364</v>
      </c>
      <c r="E130" s="3">
        <v>125</v>
      </c>
      <c r="F130" s="3">
        <f t="shared" si="2"/>
        <v>1000</v>
      </c>
      <c r="G130" s="2" t="s">
        <v>8</v>
      </c>
      <c r="H130" s="2"/>
      <c r="I130" s="2" t="s">
        <v>824</v>
      </c>
    </row>
    <row r="131" spans="1:9" x14ac:dyDescent="0.25">
      <c r="A131" s="68">
        <v>45991</v>
      </c>
      <c r="B131" s="2">
        <v>7</v>
      </c>
      <c r="C131" s="2" t="s">
        <v>747</v>
      </c>
      <c r="D131" s="2" t="s">
        <v>364</v>
      </c>
      <c r="E131" s="3">
        <v>380</v>
      </c>
      <c r="F131" s="3">
        <f t="shared" si="2"/>
        <v>2660</v>
      </c>
      <c r="G131" s="2" t="s">
        <v>8</v>
      </c>
      <c r="H131" s="2"/>
      <c r="I131" s="2" t="s">
        <v>824</v>
      </c>
    </row>
    <row r="132" spans="1:9" x14ac:dyDescent="0.25">
      <c r="A132" s="68">
        <v>45991</v>
      </c>
      <c r="B132" s="2">
        <v>3</v>
      </c>
      <c r="C132" s="2" t="s">
        <v>691</v>
      </c>
      <c r="D132" s="2" t="s">
        <v>364</v>
      </c>
      <c r="E132" s="3">
        <v>410</v>
      </c>
      <c r="F132" s="3">
        <f t="shared" si="2"/>
        <v>1230</v>
      </c>
      <c r="G132" s="2" t="s">
        <v>826</v>
      </c>
      <c r="H132" s="2"/>
      <c r="I132" s="2" t="s">
        <v>824</v>
      </c>
    </row>
    <row r="133" spans="1:9" x14ac:dyDescent="0.25">
      <c r="A133" s="68">
        <v>45991</v>
      </c>
      <c r="B133" s="2">
        <v>47</v>
      </c>
      <c r="C133" s="2" t="s">
        <v>664</v>
      </c>
      <c r="D133" s="2" t="s">
        <v>775</v>
      </c>
      <c r="E133" s="3">
        <v>398</v>
      </c>
      <c r="F133" s="3">
        <f t="shared" si="2"/>
        <v>18706</v>
      </c>
      <c r="G133" s="2" t="s">
        <v>774</v>
      </c>
      <c r="H133" s="2"/>
      <c r="I133" s="2" t="s">
        <v>824</v>
      </c>
    </row>
    <row r="134" spans="1:9" x14ac:dyDescent="0.25">
      <c r="A134" s="68">
        <v>45991</v>
      </c>
      <c r="B134" s="2">
        <v>1</v>
      </c>
      <c r="C134" s="2" t="s">
        <v>776</v>
      </c>
      <c r="D134" s="2" t="s">
        <v>777</v>
      </c>
      <c r="E134" s="3">
        <v>470</v>
      </c>
      <c r="F134" s="3">
        <f t="shared" si="2"/>
        <v>470</v>
      </c>
      <c r="G134" s="2" t="s">
        <v>778</v>
      </c>
      <c r="H134" s="2"/>
      <c r="I134" s="2" t="s">
        <v>85</v>
      </c>
    </row>
    <row r="135" spans="1:9" x14ac:dyDescent="0.25">
      <c r="A135" s="68">
        <v>45991</v>
      </c>
      <c r="B135" s="2">
        <v>1</v>
      </c>
      <c r="C135" s="2" t="s">
        <v>542</v>
      </c>
      <c r="D135" s="2" t="s">
        <v>686</v>
      </c>
      <c r="E135" s="3">
        <v>10122.66</v>
      </c>
      <c r="F135" s="3">
        <f t="shared" si="2"/>
        <v>10122.66</v>
      </c>
      <c r="G135" s="2" t="s">
        <v>779</v>
      </c>
      <c r="H135" s="2"/>
      <c r="I135" s="2" t="s">
        <v>85</v>
      </c>
    </row>
  </sheetData>
  <autoFilter ref="A1:I135" xr:uid="{F843712B-5933-404F-B2E1-AD38379E5E9E}"/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2FB64-39E0-4CD5-A2A8-B4DACC1E3C5C}">
  <sheetPr filterMode="1"/>
  <dimension ref="A1:V1029"/>
  <sheetViews>
    <sheetView workbookViewId="0">
      <selection activeCell="A234" sqref="A234:I234"/>
    </sheetView>
  </sheetViews>
  <sheetFormatPr defaultRowHeight="15" x14ac:dyDescent="0.25"/>
  <cols>
    <col min="3" max="3" width="26.140625" bestFit="1" customWidth="1"/>
    <col min="4" max="4" width="28.28515625" bestFit="1" customWidth="1"/>
    <col min="7" max="7" width="30.7109375" bestFit="1" customWidth="1"/>
    <col min="8" max="8" width="7.85546875" bestFit="1" customWidth="1"/>
    <col min="9" max="9" width="27.42578125" bestFit="1" customWidth="1"/>
    <col min="10" max="11" width="24.5703125" bestFit="1" customWidth="1"/>
    <col min="14" max="14" width="16.7109375" bestFit="1" customWidth="1"/>
    <col min="18" max="18" width="30.28515625" hidden="1" customWidth="1"/>
    <col min="19" max="19" width="10.42578125" hidden="1" customWidth="1"/>
    <col min="20" max="22" width="0" hidden="1" customWidth="1"/>
  </cols>
  <sheetData>
    <row r="1" spans="1:2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</row>
    <row r="2" spans="1:22" hidden="1" x14ac:dyDescent="0.25">
      <c r="A2" s="68">
        <v>45992</v>
      </c>
      <c r="B2" s="2">
        <v>2</v>
      </c>
      <c r="C2" s="2" t="s">
        <v>664</v>
      </c>
      <c r="D2" s="2" t="s">
        <v>780</v>
      </c>
      <c r="E2" s="65">
        <v>399</v>
      </c>
      <c r="F2" s="65">
        <f t="shared" ref="F2:F15" si="0">E2*B2</f>
        <v>798</v>
      </c>
      <c r="G2" s="2" t="s">
        <v>792</v>
      </c>
      <c r="H2" s="2"/>
      <c r="I2" s="2" t="s">
        <v>824</v>
      </c>
      <c r="R2" t="s">
        <v>78</v>
      </c>
      <c r="S2" t="s">
        <v>81</v>
      </c>
    </row>
    <row r="3" spans="1:22" hidden="1" x14ac:dyDescent="0.25">
      <c r="A3" s="68">
        <v>45992</v>
      </c>
      <c r="B3" s="2">
        <v>2</v>
      </c>
      <c r="C3" s="2" t="s">
        <v>664</v>
      </c>
      <c r="D3" s="2" t="s">
        <v>794</v>
      </c>
      <c r="E3" s="65">
        <v>398</v>
      </c>
      <c r="F3" s="65">
        <f t="shared" si="0"/>
        <v>796</v>
      </c>
      <c r="G3" s="2" t="s">
        <v>8</v>
      </c>
      <c r="H3" s="2"/>
      <c r="I3" s="2" t="s">
        <v>824</v>
      </c>
      <c r="L3">
        <v>2</v>
      </c>
      <c r="M3" t="s">
        <v>789</v>
      </c>
      <c r="N3" t="s">
        <v>39</v>
      </c>
      <c r="O3" t="s">
        <v>790</v>
      </c>
      <c r="R3" t="s">
        <v>866</v>
      </c>
      <c r="S3">
        <v>10</v>
      </c>
      <c r="U3">
        <v>200</v>
      </c>
      <c r="V3">
        <f>S3*U3</f>
        <v>2000</v>
      </c>
    </row>
    <row r="4" spans="1:22" x14ac:dyDescent="0.25">
      <c r="A4" s="68">
        <v>45992</v>
      </c>
      <c r="B4" s="2">
        <v>2</v>
      </c>
      <c r="C4" s="2" t="s">
        <v>784</v>
      </c>
      <c r="D4" s="2" t="s">
        <v>364</v>
      </c>
      <c r="E4" s="65">
        <v>479</v>
      </c>
      <c r="F4" s="65">
        <f t="shared" si="0"/>
        <v>958</v>
      </c>
      <c r="G4" s="2" t="s">
        <v>830</v>
      </c>
      <c r="H4" s="2"/>
      <c r="I4" s="2"/>
      <c r="R4" t="s">
        <v>803</v>
      </c>
      <c r="S4">
        <v>1</v>
      </c>
      <c r="V4">
        <f t="shared" ref="V4:V32" si="1">S4*U4</f>
        <v>0</v>
      </c>
    </row>
    <row r="5" spans="1:22" x14ac:dyDescent="0.25">
      <c r="A5" s="68">
        <v>45992</v>
      </c>
      <c r="B5" s="2">
        <v>2</v>
      </c>
      <c r="C5" s="2" t="s">
        <v>664</v>
      </c>
      <c r="D5" s="2" t="s">
        <v>364</v>
      </c>
      <c r="E5" s="65">
        <v>299</v>
      </c>
      <c r="F5" s="65">
        <f t="shared" si="0"/>
        <v>598</v>
      </c>
      <c r="G5" s="2" t="s">
        <v>830</v>
      </c>
      <c r="H5" s="2"/>
      <c r="I5" s="2"/>
      <c r="R5" t="s">
        <v>907</v>
      </c>
      <c r="S5">
        <v>27</v>
      </c>
      <c r="U5">
        <v>125</v>
      </c>
      <c r="V5">
        <f t="shared" si="1"/>
        <v>3375</v>
      </c>
    </row>
    <row r="6" spans="1:22" x14ac:dyDescent="0.25">
      <c r="A6" s="68">
        <v>45992</v>
      </c>
      <c r="B6" s="2">
        <v>3</v>
      </c>
      <c r="C6" s="2" t="s">
        <v>661</v>
      </c>
      <c r="D6" s="2" t="s">
        <v>364</v>
      </c>
      <c r="E6" s="65">
        <v>419</v>
      </c>
      <c r="F6" s="65">
        <f t="shared" si="0"/>
        <v>1257</v>
      </c>
      <c r="G6" s="2" t="s">
        <v>830</v>
      </c>
      <c r="H6" s="2"/>
      <c r="I6" s="2"/>
      <c r="R6" t="s">
        <v>323</v>
      </c>
      <c r="S6">
        <v>1</v>
      </c>
      <c r="U6">
        <v>400</v>
      </c>
      <c r="V6">
        <f t="shared" si="1"/>
        <v>400</v>
      </c>
    </row>
    <row r="7" spans="1:22" x14ac:dyDescent="0.25">
      <c r="A7" s="68">
        <v>45992</v>
      </c>
      <c r="B7" s="2">
        <v>10</v>
      </c>
      <c r="C7" s="2" t="s">
        <v>697</v>
      </c>
      <c r="D7" s="2" t="s">
        <v>364</v>
      </c>
      <c r="E7" s="65">
        <v>125</v>
      </c>
      <c r="F7" s="65">
        <f t="shared" si="0"/>
        <v>1250</v>
      </c>
      <c r="G7" s="2" t="s">
        <v>830</v>
      </c>
      <c r="H7" s="2"/>
      <c r="I7" s="2"/>
      <c r="R7" t="s">
        <v>874</v>
      </c>
      <c r="S7">
        <v>3</v>
      </c>
      <c r="U7">
        <v>990</v>
      </c>
      <c r="V7">
        <f t="shared" si="1"/>
        <v>2970</v>
      </c>
    </row>
    <row r="8" spans="1:22" x14ac:dyDescent="0.25">
      <c r="A8" s="68">
        <v>45992</v>
      </c>
      <c r="B8" s="2">
        <v>2</v>
      </c>
      <c r="C8" s="2" t="s">
        <v>784</v>
      </c>
      <c r="D8" s="2" t="s">
        <v>364</v>
      </c>
      <c r="E8" s="65">
        <v>479</v>
      </c>
      <c r="F8" s="65">
        <f t="shared" si="0"/>
        <v>958</v>
      </c>
      <c r="G8" s="2" t="s">
        <v>800</v>
      </c>
      <c r="H8" s="2"/>
      <c r="I8" s="2"/>
      <c r="R8" t="s">
        <v>863</v>
      </c>
      <c r="S8">
        <v>3</v>
      </c>
      <c r="U8">
        <v>700</v>
      </c>
      <c r="V8">
        <f t="shared" si="1"/>
        <v>2100</v>
      </c>
    </row>
    <row r="9" spans="1:22" x14ac:dyDescent="0.25">
      <c r="A9" s="68">
        <v>45992</v>
      </c>
      <c r="B9" s="2">
        <v>1</v>
      </c>
      <c r="C9" s="2" t="s">
        <v>664</v>
      </c>
      <c r="D9" s="2" t="s">
        <v>364</v>
      </c>
      <c r="E9" s="65">
        <v>299</v>
      </c>
      <c r="F9" s="65">
        <f t="shared" si="0"/>
        <v>299</v>
      </c>
      <c r="G9" s="2" t="s">
        <v>800</v>
      </c>
      <c r="H9" s="2"/>
      <c r="I9" s="2"/>
      <c r="R9" t="s">
        <v>661</v>
      </c>
      <c r="S9">
        <v>11</v>
      </c>
      <c r="U9">
        <v>100</v>
      </c>
      <c r="V9">
        <f t="shared" si="1"/>
        <v>1100</v>
      </c>
    </row>
    <row r="10" spans="1:22" x14ac:dyDescent="0.25">
      <c r="A10" s="82">
        <v>45992</v>
      </c>
      <c r="B10" s="24">
        <v>3</v>
      </c>
      <c r="C10" s="24" t="s">
        <v>661</v>
      </c>
      <c r="D10" s="24" t="s">
        <v>364</v>
      </c>
      <c r="E10" s="83">
        <v>419</v>
      </c>
      <c r="F10" s="83">
        <f t="shared" si="0"/>
        <v>1257</v>
      </c>
      <c r="G10" s="24" t="s">
        <v>800</v>
      </c>
      <c r="H10" s="24"/>
      <c r="I10" s="24"/>
      <c r="K10">
        <v>173</v>
      </c>
      <c r="R10" t="s">
        <v>707</v>
      </c>
      <c r="S10">
        <v>11</v>
      </c>
      <c r="U10">
        <v>50</v>
      </c>
      <c r="V10">
        <f t="shared" si="1"/>
        <v>550</v>
      </c>
    </row>
    <row r="11" spans="1:22" hidden="1" x14ac:dyDescent="0.25">
      <c r="A11" s="68">
        <v>45992</v>
      </c>
      <c r="B11" s="2">
        <v>1</v>
      </c>
      <c r="C11" s="2" t="s">
        <v>785</v>
      </c>
      <c r="D11" s="2" t="s">
        <v>30</v>
      </c>
      <c r="E11" s="65">
        <v>659</v>
      </c>
      <c r="F11" s="65">
        <f t="shared" si="0"/>
        <v>659</v>
      </c>
      <c r="G11" s="2" t="s">
        <v>791</v>
      </c>
      <c r="H11" s="2"/>
      <c r="I11" s="2" t="s">
        <v>824</v>
      </c>
      <c r="K11">
        <v>525</v>
      </c>
      <c r="R11" t="s">
        <v>837</v>
      </c>
      <c r="S11">
        <v>27</v>
      </c>
      <c r="U11">
        <v>500</v>
      </c>
      <c r="V11">
        <f t="shared" si="1"/>
        <v>13500</v>
      </c>
    </row>
    <row r="12" spans="1:22" hidden="1" x14ac:dyDescent="0.25">
      <c r="A12" s="68">
        <v>45992</v>
      </c>
      <c r="B12" s="2">
        <v>1</v>
      </c>
      <c r="C12" s="2" t="s">
        <v>786</v>
      </c>
      <c r="D12" s="2" t="s">
        <v>30</v>
      </c>
      <c r="E12" s="65">
        <v>509</v>
      </c>
      <c r="F12" s="65">
        <f t="shared" si="0"/>
        <v>509</v>
      </c>
      <c r="G12" s="2" t="s">
        <v>791</v>
      </c>
      <c r="H12" s="2"/>
      <c r="I12" s="2" t="s">
        <v>824</v>
      </c>
      <c r="K12">
        <v>760</v>
      </c>
      <c r="M12">
        <v>30000</v>
      </c>
      <c r="N12">
        <v>185000</v>
      </c>
      <c r="R12" t="s">
        <v>639</v>
      </c>
      <c r="S12">
        <v>3</v>
      </c>
      <c r="U12">
        <v>1300</v>
      </c>
      <c r="V12">
        <f t="shared" si="1"/>
        <v>3900</v>
      </c>
    </row>
    <row r="13" spans="1:22" hidden="1" x14ac:dyDescent="0.25">
      <c r="A13" s="68">
        <v>45992</v>
      </c>
      <c r="B13" s="2">
        <v>12</v>
      </c>
      <c r="C13" s="2" t="s">
        <v>664</v>
      </c>
      <c r="D13" s="2" t="s">
        <v>788</v>
      </c>
      <c r="E13" s="65">
        <v>398</v>
      </c>
      <c r="F13" s="65">
        <f t="shared" si="0"/>
        <v>4776</v>
      </c>
      <c r="G13" s="2" t="s">
        <v>428</v>
      </c>
      <c r="H13" s="2"/>
      <c r="I13" s="2" t="s">
        <v>824</v>
      </c>
      <c r="M13">
        <v>85000</v>
      </c>
      <c r="R13" t="s">
        <v>832</v>
      </c>
      <c r="S13">
        <v>4</v>
      </c>
      <c r="U13">
        <v>350</v>
      </c>
      <c r="V13">
        <f t="shared" si="1"/>
        <v>1400</v>
      </c>
    </row>
    <row r="14" spans="1:22" hidden="1" x14ac:dyDescent="0.25">
      <c r="A14" s="68">
        <v>45993</v>
      </c>
      <c r="B14" s="2">
        <v>2</v>
      </c>
      <c r="C14" s="2" t="s">
        <v>664</v>
      </c>
      <c r="D14" s="2" t="s">
        <v>28</v>
      </c>
      <c r="E14" s="65">
        <v>398</v>
      </c>
      <c r="F14" s="65">
        <f t="shared" si="0"/>
        <v>796</v>
      </c>
      <c r="G14" s="2" t="s">
        <v>8</v>
      </c>
      <c r="H14" s="2"/>
      <c r="I14" s="2" t="s">
        <v>824</v>
      </c>
      <c r="M14">
        <v>45000</v>
      </c>
      <c r="R14" t="s">
        <v>697</v>
      </c>
      <c r="S14">
        <v>160</v>
      </c>
      <c r="U14">
        <v>50</v>
      </c>
      <c r="V14">
        <f t="shared" si="1"/>
        <v>8000</v>
      </c>
    </row>
    <row r="15" spans="1:22" hidden="1" x14ac:dyDescent="0.25">
      <c r="A15" s="68">
        <v>45993</v>
      </c>
      <c r="B15" s="2">
        <v>2</v>
      </c>
      <c r="C15" s="2" t="s">
        <v>664</v>
      </c>
      <c r="D15" s="2" t="s">
        <v>793</v>
      </c>
      <c r="E15" s="65">
        <v>398</v>
      </c>
      <c r="F15" s="65">
        <f t="shared" si="0"/>
        <v>796</v>
      </c>
      <c r="G15" s="2" t="s">
        <v>8</v>
      </c>
      <c r="H15" s="2"/>
      <c r="I15" s="2" t="s">
        <v>824</v>
      </c>
      <c r="R15" t="s">
        <v>409</v>
      </c>
      <c r="S15">
        <v>3</v>
      </c>
      <c r="U15">
        <v>1300</v>
      </c>
      <c r="V15">
        <f t="shared" si="1"/>
        <v>3900</v>
      </c>
    </row>
    <row r="16" spans="1:22" hidden="1" x14ac:dyDescent="0.25">
      <c r="A16" s="68">
        <v>45993</v>
      </c>
      <c r="B16" s="2">
        <v>1</v>
      </c>
      <c r="C16" s="2" t="s">
        <v>664</v>
      </c>
      <c r="D16" s="2" t="s">
        <v>788</v>
      </c>
      <c r="E16" s="65">
        <v>398</v>
      </c>
      <c r="F16" s="65">
        <f t="shared" ref="F16:F119" si="2">E16*B16</f>
        <v>398</v>
      </c>
      <c r="G16" s="2" t="s">
        <v>428</v>
      </c>
      <c r="H16" s="2"/>
      <c r="I16" s="2" t="s">
        <v>824</v>
      </c>
      <c r="R16" t="s">
        <v>899</v>
      </c>
      <c r="S16">
        <v>3</v>
      </c>
      <c r="U16">
        <v>990</v>
      </c>
      <c r="V16">
        <f t="shared" si="1"/>
        <v>2970</v>
      </c>
    </row>
    <row r="17" spans="1:22" hidden="1" x14ac:dyDescent="0.25">
      <c r="A17" s="68">
        <v>45993</v>
      </c>
      <c r="B17" s="2">
        <v>1</v>
      </c>
      <c r="C17" s="2" t="s">
        <v>776</v>
      </c>
      <c r="D17" s="2" t="s">
        <v>777</v>
      </c>
      <c r="E17" s="65">
        <v>130</v>
      </c>
      <c r="F17" s="65">
        <f t="shared" si="2"/>
        <v>130</v>
      </c>
      <c r="G17" s="2" t="s">
        <v>778</v>
      </c>
      <c r="H17" s="2"/>
      <c r="I17" s="2"/>
      <c r="R17" t="s">
        <v>898</v>
      </c>
      <c r="S17">
        <v>2</v>
      </c>
      <c r="U17">
        <v>700</v>
      </c>
      <c r="V17">
        <f t="shared" si="1"/>
        <v>1400</v>
      </c>
    </row>
    <row r="18" spans="1:22" x14ac:dyDescent="0.25">
      <c r="A18" s="68">
        <v>45993</v>
      </c>
      <c r="B18" s="2">
        <v>5</v>
      </c>
      <c r="C18" s="2" t="s">
        <v>707</v>
      </c>
      <c r="D18" s="2" t="s">
        <v>795</v>
      </c>
      <c r="E18" s="65">
        <v>105</v>
      </c>
      <c r="F18" s="65">
        <f t="shared" si="2"/>
        <v>525</v>
      </c>
      <c r="G18" s="2" t="s">
        <v>796</v>
      </c>
      <c r="H18" s="2"/>
      <c r="I18" s="2" t="s">
        <v>824</v>
      </c>
      <c r="K18">
        <v>129808</v>
      </c>
      <c r="R18" t="s">
        <v>804</v>
      </c>
      <c r="S18">
        <v>24</v>
      </c>
      <c r="U18">
        <v>100</v>
      </c>
      <c r="V18">
        <f t="shared" si="1"/>
        <v>2400</v>
      </c>
    </row>
    <row r="19" spans="1:22" x14ac:dyDescent="0.25">
      <c r="A19" s="68">
        <v>45993</v>
      </c>
      <c r="B19" s="2">
        <v>2</v>
      </c>
      <c r="C19" s="2" t="s">
        <v>664</v>
      </c>
      <c r="D19" s="2" t="s">
        <v>795</v>
      </c>
      <c r="E19" s="65">
        <v>299</v>
      </c>
      <c r="F19" s="65">
        <f t="shared" si="2"/>
        <v>598</v>
      </c>
      <c r="G19" s="2" t="s">
        <v>796</v>
      </c>
      <c r="H19" s="2"/>
      <c r="I19" s="2" t="s">
        <v>824</v>
      </c>
      <c r="K19">
        <v>30000</v>
      </c>
      <c r="R19" t="s">
        <v>746</v>
      </c>
      <c r="S19">
        <v>4</v>
      </c>
      <c r="U19">
        <v>50</v>
      </c>
      <c r="V19">
        <f t="shared" si="1"/>
        <v>200</v>
      </c>
    </row>
    <row r="20" spans="1:22" x14ac:dyDescent="0.25">
      <c r="A20" s="68">
        <v>45993</v>
      </c>
      <c r="B20" s="2">
        <v>4</v>
      </c>
      <c r="C20" s="2" t="s">
        <v>697</v>
      </c>
      <c r="D20" s="2" t="s">
        <v>795</v>
      </c>
      <c r="E20" s="65">
        <v>125</v>
      </c>
      <c r="F20" s="65">
        <f t="shared" si="2"/>
        <v>500</v>
      </c>
      <c r="G20" s="2" t="s">
        <v>796</v>
      </c>
      <c r="H20" s="2"/>
      <c r="I20" s="2" t="s">
        <v>824</v>
      </c>
      <c r="K20">
        <v>159808</v>
      </c>
      <c r="R20" t="s">
        <v>897</v>
      </c>
      <c r="S20">
        <v>20</v>
      </c>
      <c r="U20">
        <v>20</v>
      </c>
      <c r="V20">
        <f t="shared" si="1"/>
        <v>400</v>
      </c>
    </row>
    <row r="21" spans="1:22" x14ac:dyDescent="0.25">
      <c r="A21" s="68">
        <v>45993</v>
      </c>
      <c r="B21" s="2">
        <v>2</v>
      </c>
      <c r="C21" s="2" t="s">
        <v>716</v>
      </c>
      <c r="D21" s="2" t="s">
        <v>795</v>
      </c>
      <c r="E21" s="65">
        <v>479</v>
      </c>
      <c r="F21" s="65">
        <f t="shared" si="2"/>
        <v>958</v>
      </c>
      <c r="G21" s="2" t="s">
        <v>796</v>
      </c>
      <c r="H21" s="2"/>
      <c r="I21" s="2" t="s">
        <v>824</v>
      </c>
      <c r="R21" t="s">
        <v>716</v>
      </c>
      <c r="S21">
        <v>13</v>
      </c>
      <c r="U21">
        <v>200</v>
      </c>
      <c r="V21">
        <f t="shared" si="1"/>
        <v>2600</v>
      </c>
    </row>
    <row r="22" spans="1:22" hidden="1" x14ac:dyDescent="0.25">
      <c r="A22" s="68">
        <v>45993</v>
      </c>
      <c r="B22" s="2">
        <v>1</v>
      </c>
      <c r="C22" s="2" t="s">
        <v>664</v>
      </c>
      <c r="D22" s="2" t="s">
        <v>797</v>
      </c>
      <c r="E22" s="65">
        <v>299</v>
      </c>
      <c r="F22" s="65">
        <f t="shared" si="2"/>
        <v>299</v>
      </c>
      <c r="G22" s="2" t="s">
        <v>796</v>
      </c>
      <c r="H22" s="2"/>
      <c r="I22" s="2" t="s">
        <v>824</v>
      </c>
      <c r="R22" t="s">
        <v>801</v>
      </c>
      <c r="S22">
        <v>5</v>
      </c>
      <c r="U22">
        <v>200</v>
      </c>
      <c r="V22">
        <f t="shared" si="1"/>
        <v>1000</v>
      </c>
    </row>
    <row r="23" spans="1:22" hidden="1" x14ac:dyDescent="0.25">
      <c r="A23" s="68">
        <v>45993</v>
      </c>
      <c r="B23" s="2">
        <v>2</v>
      </c>
      <c r="C23" s="2" t="s">
        <v>716</v>
      </c>
      <c r="D23" s="2" t="s">
        <v>797</v>
      </c>
      <c r="E23" s="65">
        <v>478</v>
      </c>
      <c r="F23" s="65">
        <f t="shared" si="2"/>
        <v>956</v>
      </c>
      <c r="G23" s="2" t="s">
        <v>796</v>
      </c>
      <c r="H23" s="2"/>
      <c r="I23" s="2" t="s">
        <v>824</v>
      </c>
      <c r="R23" t="s">
        <v>784</v>
      </c>
      <c r="S23">
        <v>4</v>
      </c>
      <c r="U23">
        <v>200</v>
      </c>
      <c r="V23">
        <f t="shared" si="1"/>
        <v>800</v>
      </c>
    </row>
    <row r="24" spans="1:22" hidden="1" x14ac:dyDescent="0.25">
      <c r="A24" s="68">
        <v>45993</v>
      </c>
      <c r="B24" s="2">
        <v>3</v>
      </c>
      <c r="C24" s="2" t="s">
        <v>664</v>
      </c>
      <c r="D24" s="2" t="s">
        <v>798</v>
      </c>
      <c r="E24" s="65">
        <v>399</v>
      </c>
      <c r="F24" s="65">
        <f t="shared" si="2"/>
        <v>1197</v>
      </c>
      <c r="G24" s="2" t="s">
        <v>796</v>
      </c>
      <c r="H24" s="2"/>
      <c r="I24" s="2" t="s">
        <v>824</v>
      </c>
      <c r="R24" t="s">
        <v>786</v>
      </c>
      <c r="S24">
        <v>1</v>
      </c>
      <c r="U24">
        <v>200</v>
      </c>
      <c r="V24">
        <f t="shared" si="1"/>
        <v>200</v>
      </c>
    </row>
    <row r="25" spans="1:22" hidden="1" x14ac:dyDescent="0.25">
      <c r="A25" s="68">
        <v>45994</v>
      </c>
      <c r="B25" s="2">
        <v>12</v>
      </c>
      <c r="C25" s="2" t="s">
        <v>664</v>
      </c>
      <c r="D25" s="2" t="s">
        <v>799</v>
      </c>
      <c r="E25" s="65">
        <v>398</v>
      </c>
      <c r="F25" s="65">
        <f t="shared" si="2"/>
        <v>4776</v>
      </c>
      <c r="G25" s="2" t="s">
        <v>365</v>
      </c>
      <c r="H25" s="2"/>
      <c r="I25" s="2" t="s">
        <v>824</v>
      </c>
      <c r="R25" t="s">
        <v>896</v>
      </c>
      <c r="S25">
        <v>75</v>
      </c>
      <c r="U25">
        <v>300</v>
      </c>
      <c r="V25">
        <f t="shared" si="1"/>
        <v>22500</v>
      </c>
    </row>
    <row r="26" spans="1:22" hidden="1" x14ac:dyDescent="0.25">
      <c r="A26" s="68">
        <v>45994</v>
      </c>
      <c r="B26" s="2">
        <v>1</v>
      </c>
      <c r="C26" s="2" t="s">
        <v>801</v>
      </c>
      <c r="D26" s="2" t="s">
        <v>442</v>
      </c>
      <c r="E26" s="65">
        <v>598</v>
      </c>
      <c r="F26" s="65">
        <f t="shared" si="2"/>
        <v>598</v>
      </c>
      <c r="G26" s="2" t="s">
        <v>365</v>
      </c>
      <c r="H26" s="2"/>
      <c r="I26" s="2"/>
      <c r="J26" t="s">
        <v>812</v>
      </c>
      <c r="R26" t="s">
        <v>785</v>
      </c>
      <c r="S26">
        <v>1</v>
      </c>
      <c r="U26">
        <v>300</v>
      </c>
      <c r="V26">
        <f t="shared" si="1"/>
        <v>300</v>
      </c>
    </row>
    <row r="27" spans="1:22" hidden="1" x14ac:dyDescent="0.25">
      <c r="A27" s="68">
        <v>45994</v>
      </c>
      <c r="B27" s="2">
        <v>6</v>
      </c>
      <c r="C27" s="2" t="s">
        <v>707</v>
      </c>
      <c r="D27" s="2" t="s">
        <v>688</v>
      </c>
      <c r="E27" s="65">
        <v>103</v>
      </c>
      <c r="F27" s="65">
        <f t="shared" si="2"/>
        <v>618</v>
      </c>
      <c r="G27" s="2" t="s">
        <v>365</v>
      </c>
      <c r="H27" s="2"/>
      <c r="I27" s="2"/>
      <c r="R27" t="s">
        <v>892</v>
      </c>
      <c r="S27">
        <v>8</v>
      </c>
      <c r="U27">
        <v>200</v>
      </c>
      <c r="V27">
        <f t="shared" si="1"/>
        <v>1600</v>
      </c>
    </row>
    <row r="28" spans="1:22" hidden="1" x14ac:dyDescent="0.25">
      <c r="A28" s="68">
        <v>45994</v>
      </c>
      <c r="B28" s="2">
        <v>2</v>
      </c>
      <c r="C28" s="2" t="s">
        <v>717</v>
      </c>
      <c r="D28" s="2" t="s">
        <v>688</v>
      </c>
      <c r="E28" s="65">
        <v>629</v>
      </c>
      <c r="F28" s="65">
        <f t="shared" si="2"/>
        <v>1258</v>
      </c>
      <c r="G28" s="2" t="s">
        <v>365</v>
      </c>
      <c r="H28" s="2"/>
      <c r="I28" s="2"/>
      <c r="R28" t="s">
        <v>883</v>
      </c>
      <c r="S28">
        <v>19</v>
      </c>
      <c r="U28">
        <v>300</v>
      </c>
      <c r="V28">
        <f t="shared" si="1"/>
        <v>5700</v>
      </c>
    </row>
    <row r="29" spans="1:22" hidden="1" x14ac:dyDescent="0.25">
      <c r="A29" s="68">
        <v>45994</v>
      </c>
      <c r="B29" s="2">
        <v>1</v>
      </c>
      <c r="C29" s="2" t="s">
        <v>802</v>
      </c>
      <c r="D29" s="2" t="s">
        <v>688</v>
      </c>
      <c r="E29" s="65">
        <v>69</v>
      </c>
      <c r="F29" s="65">
        <f t="shared" si="2"/>
        <v>69</v>
      </c>
      <c r="G29" s="2" t="s">
        <v>365</v>
      </c>
      <c r="H29" s="2"/>
      <c r="I29" s="2"/>
      <c r="J29" t="s">
        <v>812</v>
      </c>
      <c r="R29" t="s">
        <v>895</v>
      </c>
      <c r="S29">
        <v>42</v>
      </c>
      <c r="U29">
        <v>280</v>
      </c>
      <c r="V29">
        <f t="shared" si="1"/>
        <v>11760</v>
      </c>
    </row>
    <row r="30" spans="1:22" hidden="1" x14ac:dyDescent="0.25">
      <c r="A30" s="68">
        <v>45994</v>
      </c>
      <c r="B30" s="2">
        <v>1</v>
      </c>
      <c r="C30" s="2" t="s">
        <v>803</v>
      </c>
      <c r="D30" s="2" t="s">
        <v>688</v>
      </c>
      <c r="E30" s="65">
        <v>44</v>
      </c>
      <c r="F30" s="65">
        <f t="shared" si="2"/>
        <v>44</v>
      </c>
      <c r="G30" s="2" t="s">
        <v>365</v>
      </c>
      <c r="H30" s="2"/>
      <c r="I30" s="2"/>
      <c r="J30" t="s">
        <v>812</v>
      </c>
      <c r="R30" t="s">
        <v>909</v>
      </c>
      <c r="S30">
        <v>4</v>
      </c>
      <c r="U30">
        <v>200</v>
      </c>
      <c r="V30">
        <f t="shared" si="1"/>
        <v>800</v>
      </c>
    </row>
    <row r="31" spans="1:22" hidden="1" x14ac:dyDescent="0.25">
      <c r="A31" s="68">
        <v>45994</v>
      </c>
      <c r="B31" s="2">
        <v>2</v>
      </c>
      <c r="C31" s="2" t="s">
        <v>664</v>
      </c>
      <c r="D31" s="2" t="s">
        <v>688</v>
      </c>
      <c r="E31" s="65">
        <v>299</v>
      </c>
      <c r="F31" s="65">
        <f t="shared" si="2"/>
        <v>598</v>
      </c>
      <c r="G31" s="2" t="s">
        <v>365</v>
      </c>
      <c r="H31" s="2"/>
      <c r="I31" s="2"/>
      <c r="R31" t="s">
        <v>664</v>
      </c>
      <c r="S31">
        <v>730</v>
      </c>
      <c r="U31">
        <v>350</v>
      </c>
      <c r="V31">
        <f t="shared" si="1"/>
        <v>255500</v>
      </c>
    </row>
    <row r="32" spans="1:22" hidden="1" x14ac:dyDescent="0.25">
      <c r="A32" s="68">
        <v>45994</v>
      </c>
      <c r="B32" s="2">
        <v>14</v>
      </c>
      <c r="C32" s="2" t="s">
        <v>697</v>
      </c>
      <c r="D32" s="2" t="s">
        <v>688</v>
      </c>
      <c r="E32" s="65">
        <v>125</v>
      </c>
      <c r="F32" s="65">
        <f t="shared" si="2"/>
        <v>1750</v>
      </c>
      <c r="G32" s="2" t="s">
        <v>365</v>
      </c>
      <c r="H32" s="2"/>
      <c r="I32" s="2"/>
      <c r="R32" t="s">
        <v>378</v>
      </c>
      <c r="S32">
        <v>4</v>
      </c>
      <c r="U32">
        <v>400</v>
      </c>
      <c r="V32">
        <f t="shared" si="1"/>
        <v>1600</v>
      </c>
    </row>
    <row r="33" spans="1:22" hidden="1" x14ac:dyDescent="0.25">
      <c r="A33" s="68">
        <v>45994</v>
      </c>
      <c r="B33" s="2">
        <v>1</v>
      </c>
      <c r="C33" s="2" t="s">
        <v>661</v>
      </c>
      <c r="D33" s="2" t="s">
        <v>688</v>
      </c>
      <c r="E33" s="65">
        <v>419</v>
      </c>
      <c r="F33" s="65">
        <f t="shared" si="2"/>
        <v>419</v>
      </c>
      <c r="G33" s="2" t="s">
        <v>365</v>
      </c>
      <c r="H33" s="2"/>
      <c r="I33" s="2"/>
      <c r="R33" t="s">
        <v>80</v>
      </c>
      <c r="S33">
        <v>1223</v>
      </c>
      <c r="V33">
        <f>SUM(V3:V32)</f>
        <v>354925</v>
      </c>
    </row>
    <row r="34" spans="1:22" hidden="1" x14ac:dyDescent="0.25">
      <c r="A34" s="104">
        <v>45994</v>
      </c>
      <c r="B34" s="64">
        <v>5</v>
      </c>
      <c r="C34" s="64" t="s">
        <v>804</v>
      </c>
      <c r="D34" s="64" t="s">
        <v>688</v>
      </c>
      <c r="E34" s="105">
        <v>419</v>
      </c>
      <c r="F34" s="105">
        <f t="shared" si="2"/>
        <v>2095</v>
      </c>
      <c r="G34" s="64" t="s">
        <v>1149</v>
      </c>
      <c r="H34" s="2"/>
      <c r="I34" s="2"/>
    </row>
    <row r="35" spans="1:22" hidden="1" x14ac:dyDescent="0.25">
      <c r="A35" s="104">
        <v>45994</v>
      </c>
      <c r="B35" s="64">
        <v>1</v>
      </c>
      <c r="C35" s="64" t="s">
        <v>664</v>
      </c>
      <c r="D35" s="64" t="s">
        <v>688</v>
      </c>
      <c r="E35" s="105">
        <v>299</v>
      </c>
      <c r="F35" s="105">
        <f t="shared" si="2"/>
        <v>299</v>
      </c>
      <c r="G35" s="64" t="s">
        <v>1149</v>
      </c>
      <c r="H35" s="2"/>
      <c r="I35" s="2"/>
    </row>
    <row r="36" spans="1:22" hidden="1" x14ac:dyDescent="0.25">
      <c r="A36" s="68">
        <v>45994</v>
      </c>
      <c r="B36" s="2">
        <v>2</v>
      </c>
      <c r="C36" s="2" t="s">
        <v>664</v>
      </c>
      <c r="D36" s="2" t="s">
        <v>688</v>
      </c>
      <c r="E36" s="65">
        <v>299</v>
      </c>
      <c r="F36" s="65">
        <f t="shared" si="2"/>
        <v>598</v>
      </c>
      <c r="G36" s="2" t="s">
        <v>365</v>
      </c>
      <c r="H36" s="2"/>
      <c r="I36" s="2"/>
    </row>
    <row r="37" spans="1:22" hidden="1" x14ac:dyDescent="0.25">
      <c r="A37" s="68">
        <v>45994</v>
      </c>
      <c r="B37" s="2">
        <v>1</v>
      </c>
      <c r="C37" s="2" t="s">
        <v>664</v>
      </c>
      <c r="D37" s="2" t="s">
        <v>688</v>
      </c>
      <c r="E37" s="65">
        <v>299</v>
      </c>
      <c r="F37" s="65">
        <f t="shared" si="2"/>
        <v>299</v>
      </c>
      <c r="G37" s="2" t="s">
        <v>365</v>
      </c>
      <c r="H37" s="2"/>
      <c r="I37" s="2"/>
    </row>
    <row r="38" spans="1:22" hidden="1" x14ac:dyDescent="0.25">
      <c r="A38" s="68">
        <v>45994</v>
      </c>
      <c r="B38" s="2">
        <v>2</v>
      </c>
      <c r="C38" s="2" t="s">
        <v>716</v>
      </c>
      <c r="D38" s="2" t="s">
        <v>688</v>
      </c>
      <c r="E38" s="65">
        <v>479</v>
      </c>
      <c r="F38" s="65">
        <f t="shared" si="2"/>
        <v>958</v>
      </c>
      <c r="G38" s="2" t="s">
        <v>365</v>
      </c>
      <c r="H38" s="2"/>
      <c r="I38" s="2"/>
    </row>
    <row r="39" spans="1:22" hidden="1" x14ac:dyDescent="0.25">
      <c r="A39" s="68">
        <v>45994</v>
      </c>
      <c r="B39" s="2">
        <v>2</v>
      </c>
      <c r="C39" s="2" t="s">
        <v>716</v>
      </c>
      <c r="D39" s="2" t="s">
        <v>710</v>
      </c>
      <c r="E39" s="65">
        <v>479</v>
      </c>
      <c r="F39" s="65">
        <f t="shared" si="2"/>
        <v>958</v>
      </c>
      <c r="G39" s="2" t="s">
        <v>8</v>
      </c>
      <c r="H39" s="2"/>
      <c r="I39" s="2"/>
    </row>
    <row r="40" spans="1:22" hidden="1" x14ac:dyDescent="0.25">
      <c r="A40" s="68">
        <v>45994</v>
      </c>
      <c r="B40" s="2">
        <v>1</v>
      </c>
      <c r="C40" s="2" t="s">
        <v>716</v>
      </c>
      <c r="D40" s="2" t="s">
        <v>805</v>
      </c>
      <c r="E40" s="65">
        <v>499</v>
      </c>
      <c r="F40" s="65">
        <v>499</v>
      </c>
      <c r="G40" s="2" t="s">
        <v>8</v>
      </c>
      <c r="H40" s="2"/>
      <c r="I40" s="2"/>
      <c r="J40" t="s">
        <v>806</v>
      </c>
    </row>
    <row r="41" spans="1:22" hidden="1" x14ac:dyDescent="0.25">
      <c r="A41" s="68">
        <v>45994</v>
      </c>
      <c r="B41" s="2">
        <v>4</v>
      </c>
      <c r="C41" s="2" t="s">
        <v>664</v>
      </c>
      <c r="D41" s="2" t="s">
        <v>807</v>
      </c>
      <c r="E41" s="65">
        <v>398</v>
      </c>
      <c r="F41" s="65">
        <f t="shared" si="2"/>
        <v>1592</v>
      </c>
      <c r="G41" s="2" t="s">
        <v>8</v>
      </c>
      <c r="H41" s="2"/>
      <c r="I41" s="2"/>
    </row>
    <row r="42" spans="1:22" hidden="1" x14ac:dyDescent="0.25">
      <c r="A42" s="68">
        <v>45995</v>
      </c>
      <c r="B42" s="2">
        <v>1</v>
      </c>
      <c r="C42" s="2" t="s">
        <v>664</v>
      </c>
      <c r="D42" s="2" t="s">
        <v>688</v>
      </c>
      <c r="E42" s="65">
        <v>299</v>
      </c>
      <c r="F42" s="65">
        <f t="shared" si="2"/>
        <v>299</v>
      </c>
      <c r="G42" s="2" t="s">
        <v>8</v>
      </c>
      <c r="H42" s="2"/>
      <c r="I42" s="2"/>
    </row>
    <row r="43" spans="1:22" hidden="1" x14ac:dyDescent="0.25">
      <c r="A43" s="68">
        <v>45995</v>
      </c>
      <c r="B43" s="2">
        <v>2</v>
      </c>
      <c r="C43" s="2" t="s">
        <v>664</v>
      </c>
      <c r="D43" s="2" t="s">
        <v>793</v>
      </c>
      <c r="E43" s="65">
        <v>399</v>
      </c>
      <c r="F43" s="65">
        <f t="shared" si="2"/>
        <v>798</v>
      </c>
      <c r="G43" s="2" t="s">
        <v>8</v>
      </c>
      <c r="H43" s="2"/>
      <c r="I43" s="2"/>
    </row>
    <row r="44" spans="1:22" hidden="1" x14ac:dyDescent="0.25">
      <c r="A44" s="68">
        <v>45995</v>
      </c>
      <c r="B44" s="2">
        <v>3</v>
      </c>
      <c r="C44" s="2" t="s">
        <v>804</v>
      </c>
      <c r="D44" s="2" t="s">
        <v>840</v>
      </c>
      <c r="E44" s="65">
        <v>419</v>
      </c>
      <c r="F44" s="65">
        <f t="shared" si="2"/>
        <v>1257</v>
      </c>
      <c r="G44" s="2" t="s">
        <v>8</v>
      </c>
      <c r="H44" s="2"/>
      <c r="I44" s="2"/>
    </row>
    <row r="45" spans="1:22" hidden="1" x14ac:dyDescent="0.25">
      <c r="A45" s="68">
        <v>45995</v>
      </c>
      <c r="B45" s="2">
        <v>2</v>
      </c>
      <c r="C45" s="2" t="s">
        <v>664</v>
      </c>
      <c r="D45" s="2" t="s">
        <v>491</v>
      </c>
      <c r="E45" s="65">
        <v>299</v>
      </c>
      <c r="F45" s="65">
        <f t="shared" si="2"/>
        <v>598</v>
      </c>
      <c r="G45" s="2" t="s">
        <v>8</v>
      </c>
      <c r="H45" s="2"/>
      <c r="I45" s="2"/>
    </row>
    <row r="46" spans="1:22" hidden="1" x14ac:dyDescent="0.25">
      <c r="A46" s="68">
        <v>45995</v>
      </c>
      <c r="B46" s="2">
        <v>1</v>
      </c>
      <c r="C46" s="2" t="s">
        <v>829</v>
      </c>
      <c r="D46" s="2" t="s">
        <v>738</v>
      </c>
      <c r="E46" s="65">
        <v>221</v>
      </c>
      <c r="F46" s="65">
        <f t="shared" si="2"/>
        <v>221</v>
      </c>
      <c r="G46" s="2"/>
      <c r="H46" s="2"/>
      <c r="I46" s="2" t="s">
        <v>85</v>
      </c>
    </row>
    <row r="47" spans="1:22" hidden="1" x14ac:dyDescent="0.25">
      <c r="A47" s="68">
        <v>45995</v>
      </c>
      <c r="B47" s="2">
        <v>2</v>
      </c>
      <c r="C47" s="2" t="s">
        <v>664</v>
      </c>
      <c r="D47" s="2" t="s">
        <v>72</v>
      </c>
      <c r="E47" s="65">
        <v>398</v>
      </c>
      <c r="F47" s="65">
        <f t="shared" si="2"/>
        <v>796</v>
      </c>
      <c r="G47" s="2" t="s">
        <v>8</v>
      </c>
      <c r="H47" s="2"/>
      <c r="I47" s="2"/>
    </row>
    <row r="48" spans="1:22" hidden="1" x14ac:dyDescent="0.25">
      <c r="A48" s="68">
        <v>45995</v>
      </c>
      <c r="B48" s="2">
        <v>2</v>
      </c>
      <c r="C48" s="2" t="s">
        <v>664</v>
      </c>
      <c r="D48" s="2" t="s">
        <v>21</v>
      </c>
      <c r="E48" s="65">
        <v>398</v>
      </c>
      <c r="F48" s="65">
        <f t="shared" si="2"/>
        <v>796</v>
      </c>
      <c r="G48" s="2" t="s">
        <v>8</v>
      </c>
      <c r="H48" s="2"/>
      <c r="I48" s="2"/>
    </row>
    <row r="49" spans="1:13" hidden="1" x14ac:dyDescent="0.25">
      <c r="A49" s="68">
        <v>45995</v>
      </c>
      <c r="B49" s="2">
        <v>2</v>
      </c>
      <c r="C49" s="2" t="s">
        <v>664</v>
      </c>
      <c r="D49" s="2" t="s">
        <v>21</v>
      </c>
      <c r="E49" s="65">
        <v>398</v>
      </c>
      <c r="F49" s="65">
        <f t="shared" si="2"/>
        <v>796</v>
      </c>
      <c r="G49" s="2" t="s">
        <v>8</v>
      </c>
      <c r="H49" s="2"/>
      <c r="I49" s="2"/>
    </row>
    <row r="50" spans="1:13" hidden="1" x14ac:dyDescent="0.25">
      <c r="A50" s="68">
        <v>45995</v>
      </c>
      <c r="B50" s="2">
        <v>1</v>
      </c>
      <c r="C50" s="2" t="s">
        <v>664</v>
      </c>
      <c r="D50" s="2" t="s">
        <v>808</v>
      </c>
      <c r="E50" s="65">
        <v>399</v>
      </c>
      <c r="F50" s="65">
        <f t="shared" si="2"/>
        <v>399</v>
      </c>
      <c r="G50" s="2" t="s">
        <v>8</v>
      </c>
      <c r="H50" s="2"/>
      <c r="I50" s="2"/>
    </row>
    <row r="51" spans="1:13" hidden="1" x14ac:dyDescent="0.25">
      <c r="A51" s="68">
        <v>45995</v>
      </c>
      <c r="B51" s="2">
        <v>1</v>
      </c>
      <c r="C51" s="2" t="s">
        <v>664</v>
      </c>
      <c r="D51" s="2" t="s">
        <v>101</v>
      </c>
      <c r="E51" s="65">
        <v>299</v>
      </c>
      <c r="F51" s="65">
        <f t="shared" si="2"/>
        <v>299</v>
      </c>
      <c r="G51" s="2" t="s">
        <v>844</v>
      </c>
      <c r="H51" s="2"/>
      <c r="I51" s="2"/>
      <c r="J51">
        <v>924</v>
      </c>
    </row>
    <row r="52" spans="1:13" hidden="1" x14ac:dyDescent="0.25">
      <c r="A52" s="68">
        <v>45995</v>
      </c>
      <c r="B52" s="2">
        <v>5</v>
      </c>
      <c r="C52" s="2" t="s">
        <v>697</v>
      </c>
      <c r="D52" s="2" t="s">
        <v>101</v>
      </c>
      <c r="E52" s="65">
        <v>125</v>
      </c>
      <c r="F52" s="65">
        <f t="shared" si="2"/>
        <v>625</v>
      </c>
      <c r="G52" s="2" t="s">
        <v>365</v>
      </c>
      <c r="H52" s="2"/>
      <c r="I52" s="2"/>
    </row>
    <row r="53" spans="1:13" hidden="1" x14ac:dyDescent="0.25">
      <c r="A53" s="68">
        <v>45995</v>
      </c>
      <c r="B53" s="2">
        <v>1</v>
      </c>
      <c r="C53" s="2" t="s">
        <v>664</v>
      </c>
      <c r="D53" s="2" t="s">
        <v>101</v>
      </c>
      <c r="E53" s="65">
        <v>299</v>
      </c>
      <c r="F53" s="65">
        <f t="shared" si="2"/>
        <v>299</v>
      </c>
      <c r="G53" s="2" t="s">
        <v>913</v>
      </c>
      <c r="H53" s="2"/>
      <c r="I53" s="2"/>
    </row>
    <row r="54" spans="1:13" hidden="1" x14ac:dyDescent="0.25">
      <c r="A54" s="68">
        <v>45995</v>
      </c>
      <c r="B54" s="2">
        <v>4</v>
      </c>
      <c r="C54" s="2" t="s">
        <v>661</v>
      </c>
      <c r="D54" s="2" t="s">
        <v>101</v>
      </c>
      <c r="E54" s="65">
        <v>419</v>
      </c>
      <c r="F54" s="65">
        <f t="shared" si="2"/>
        <v>1676</v>
      </c>
      <c r="G54" s="2" t="s">
        <v>8</v>
      </c>
      <c r="H54" s="2"/>
      <c r="I54" s="2"/>
    </row>
    <row r="55" spans="1:13" hidden="1" x14ac:dyDescent="0.25">
      <c r="A55" s="68">
        <v>45995</v>
      </c>
      <c r="B55" s="2">
        <v>1</v>
      </c>
      <c r="C55" s="2" t="s">
        <v>664</v>
      </c>
      <c r="D55" s="2" t="s">
        <v>101</v>
      </c>
      <c r="E55" s="65">
        <v>299</v>
      </c>
      <c r="F55" s="65">
        <f t="shared" si="2"/>
        <v>299</v>
      </c>
      <c r="G55" s="2" t="s">
        <v>8</v>
      </c>
      <c r="H55" s="2"/>
      <c r="I55" s="2"/>
    </row>
    <row r="56" spans="1:13" hidden="1" x14ac:dyDescent="0.25">
      <c r="A56" s="68">
        <v>45995</v>
      </c>
      <c r="B56" s="2">
        <v>2</v>
      </c>
      <c r="C56" s="2" t="s">
        <v>843</v>
      </c>
      <c r="D56" s="2" t="s">
        <v>101</v>
      </c>
      <c r="E56" s="65">
        <v>479</v>
      </c>
      <c r="F56" s="65">
        <f t="shared" si="2"/>
        <v>958</v>
      </c>
      <c r="G56" s="2" t="s">
        <v>11</v>
      </c>
      <c r="H56" s="2"/>
      <c r="I56" s="2" t="s">
        <v>902</v>
      </c>
    </row>
    <row r="57" spans="1:13" hidden="1" x14ac:dyDescent="0.25">
      <c r="A57" s="68">
        <v>45996</v>
      </c>
      <c r="B57" s="2">
        <v>2</v>
      </c>
      <c r="C57" s="2" t="s">
        <v>697</v>
      </c>
      <c r="D57" s="2" t="s">
        <v>101</v>
      </c>
      <c r="E57" s="65">
        <v>125</v>
      </c>
      <c r="F57" s="65">
        <f t="shared" si="2"/>
        <v>250</v>
      </c>
      <c r="G57" s="2" t="s">
        <v>8</v>
      </c>
      <c r="H57" s="2"/>
      <c r="I57" s="2"/>
      <c r="J57">
        <v>3183</v>
      </c>
    </row>
    <row r="58" spans="1:13" hidden="1" x14ac:dyDescent="0.25">
      <c r="A58" s="68">
        <v>45996</v>
      </c>
      <c r="B58" s="2">
        <v>3</v>
      </c>
      <c r="C58" s="2" t="s">
        <v>664</v>
      </c>
      <c r="D58" s="2" t="s">
        <v>230</v>
      </c>
      <c r="E58" s="65">
        <v>329</v>
      </c>
      <c r="F58" s="65">
        <f t="shared" si="2"/>
        <v>987</v>
      </c>
      <c r="G58" s="2" t="s">
        <v>8</v>
      </c>
      <c r="H58" s="2"/>
      <c r="I58" s="2"/>
    </row>
    <row r="59" spans="1:13" hidden="1" x14ac:dyDescent="0.25">
      <c r="A59" s="68">
        <v>45996</v>
      </c>
      <c r="B59" s="2">
        <v>1</v>
      </c>
      <c r="C59" s="2" t="s">
        <v>804</v>
      </c>
      <c r="D59" s="2" t="s">
        <v>230</v>
      </c>
      <c r="E59" s="65">
        <v>429</v>
      </c>
      <c r="F59" s="65">
        <f t="shared" si="2"/>
        <v>429</v>
      </c>
      <c r="G59" s="2" t="s">
        <v>8</v>
      </c>
      <c r="H59" s="2"/>
      <c r="I59" s="2"/>
    </row>
    <row r="60" spans="1:13" hidden="1" x14ac:dyDescent="0.25">
      <c r="A60" s="68">
        <v>45996</v>
      </c>
      <c r="B60" s="2">
        <v>2</v>
      </c>
      <c r="C60" s="2" t="s">
        <v>717</v>
      </c>
      <c r="D60" s="2" t="s">
        <v>230</v>
      </c>
      <c r="E60" s="65">
        <v>629</v>
      </c>
      <c r="F60" s="65">
        <f t="shared" si="2"/>
        <v>1258</v>
      </c>
      <c r="G60" s="2" t="s">
        <v>8</v>
      </c>
      <c r="H60" s="2"/>
      <c r="I60" s="2"/>
    </row>
    <row r="61" spans="1:13" hidden="1" x14ac:dyDescent="0.25">
      <c r="A61" s="68">
        <v>45996</v>
      </c>
      <c r="B61" s="2">
        <v>2</v>
      </c>
      <c r="C61" s="2" t="s">
        <v>664</v>
      </c>
      <c r="D61" s="2" t="s">
        <v>19</v>
      </c>
      <c r="E61" s="65">
        <v>398</v>
      </c>
      <c r="F61" s="65">
        <f t="shared" si="2"/>
        <v>796</v>
      </c>
      <c r="G61" s="2" t="s">
        <v>8</v>
      </c>
      <c r="H61" s="2"/>
      <c r="I61" s="2"/>
      <c r="M61">
        <v>67</v>
      </c>
    </row>
    <row r="62" spans="1:13" hidden="1" x14ac:dyDescent="0.25">
      <c r="A62" s="68">
        <v>45996</v>
      </c>
      <c r="B62" s="2">
        <v>4</v>
      </c>
      <c r="C62" s="2" t="s">
        <v>664</v>
      </c>
      <c r="D62" s="2" t="s">
        <v>675</v>
      </c>
      <c r="E62" s="65">
        <v>398</v>
      </c>
      <c r="F62" s="65">
        <f t="shared" si="2"/>
        <v>1592</v>
      </c>
      <c r="G62" s="2" t="s">
        <v>8</v>
      </c>
      <c r="H62" s="2"/>
      <c r="I62" s="2"/>
      <c r="M62">
        <v>67</v>
      </c>
    </row>
    <row r="63" spans="1:13" hidden="1" x14ac:dyDescent="0.25">
      <c r="A63" s="68">
        <v>45996</v>
      </c>
      <c r="B63" s="2">
        <v>2</v>
      </c>
      <c r="C63" s="2" t="s">
        <v>664</v>
      </c>
      <c r="D63" s="2" t="s">
        <v>813</v>
      </c>
      <c r="E63" s="65">
        <v>398</v>
      </c>
      <c r="F63" s="65">
        <f t="shared" si="2"/>
        <v>796</v>
      </c>
      <c r="G63" s="2" t="s">
        <v>854</v>
      </c>
      <c r="H63" s="2"/>
      <c r="I63" s="2"/>
      <c r="M63">
        <v>20</v>
      </c>
    </row>
    <row r="64" spans="1:13" hidden="1" x14ac:dyDescent="0.25">
      <c r="A64" s="68">
        <v>45997</v>
      </c>
      <c r="B64" s="2">
        <v>20</v>
      </c>
      <c r="C64" s="2" t="s">
        <v>664</v>
      </c>
      <c r="D64" s="2" t="s">
        <v>118</v>
      </c>
      <c r="E64" s="65">
        <v>380</v>
      </c>
      <c r="F64" s="65">
        <f t="shared" si="2"/>
        <v>7600</v>
      </c>
      <c r="G64" s="2" t="s">
        <v>830</v>
      </c>
      <c r="H64" s="2"/>
      <c r="I64" s="2"/>
    </row>
    <row r="65" spans="1:9" hidden="1" x14ac:dyDescent="0.25">
      <c r="A65" s="68">
        <v>45998</v>
      </c>
      <c r="B65" s="2">
        <v>4</v>
      </c>
      <c r="C65" s="2" t="s">
        <v>664</v>
      </c>
      <c r="D65" s="2" t="s">
        <v>834</v>
      </c>
      <c r="E65" s="65">
        <v>398</v>
      </c>
      <c r="F65" s="65">
        <f t="shared" si="2"/>
        <v>1592</v>
      </c>
      <c r="G65" s="2" t="s">
        <v>8</v>
      </c>
      <c r="H65" s="2"/>
      <c r="I65" s="2"/>
    </row>
    <row r="66" spans="1:9" hidden="1" x14ac:dyDescent="0.25">
      <c r="A66" s="68">
        <v>45998</v>
      </c>
      <c r="B66" s="2">
        <v>2</v>
      </c>
      <c r="C66" s="2" t="s">
        <v>664</v>
      </c>
      <c r="D66" s="2" t="s">
        <v>835</v>
      </c>
      <c r="E66" s="65">
        <v>398</v>
      </c>
      <c r="F66" s="65">
        <f t="shared" si="2"/>
        <v>796</v>
      </c>
      <c r="G66" s="2" t="s">
        <v>8</v>
      </c>
      <c r="H66" s="2"/>
      <c r="I66" s="2"/>
    </row>
    <row r="67" spans="1:9" hidden="1" x14ac:dyDescent="0.25">
      <c r="A67" s="68">
        <v>45998</v>
      </c>
      <c r="B67" s="2">
        <v>2</v>
      </c>
      <c r="C67" s="2" t="s">
        <v>664</v>
      </c>
      <c r="D67" s="2" t="s">
        <v>819</v>
      </c>
      <c r="E67" s="65">
        <v>398</v>
      </c>
      <c r="F67" s="65">
        <f t="shared" si="2"/>
        <v>796</v>
      </c>
      <c r="G67" s="2" t="s">
        <v>8</v>
      </c>
      <c r="H67" s="2"/>
      <c r="I67" s="2"/>
    </row>
    <row r="68" spans="1:9" hidden="1" x14ac:dyDescent="0.25">
      <c r="A68" s="68">
        <v>45998</v>
      </c>
      <c r="B68" s="2">
        <v>2</v>
      </c>
      <c r="C68" s="2" t="s">
        <v>664</v>
      </c>
      <c r="D68" s="2" t="s">
        <v>819</v>
      </c>
      <c r="E68" s="65">
        <v>398</v>
      </c>
      <c r="F68" s="65">
        <f t="shared" si="2"/>
        <v>796</v>
      </c>
      <c r="G68" s="2" t="s">
        <v>836</v>
      </c>
      <c r="H68" s="2"/>
      <c r="I68" s="2"/>
    </row>
    <row r="69" spans="1:9" hidden="1" x14ac:dyDescent="0.25">
      <c r="A69" s="68">
        <v>45998</v>
      </c>
      <c r="B69" s="2">
        <v>3</v>
      </c>
      <c r="C69" s="2" t="s">
        <v>837</v>
      </c>
      <c r="D69" s="2" t="s">
        <v>838</v>
      </c>
      <c r="E69" s="65">
        <v>1400</v>
      </c>
      <c r="F69" s="65">
        <f t="shared" si="2"/>
        <v>4200</v>
      </c>
      <c r="G69" s="2" t="s">
        <v>8</v>
      </c>
      <c r="H69" s="2"/>
      <c r="I69" s="2"/>
    </row>
    <row r="70" spans="1:9" hidden="1" x14ac:dyDescent="0.25">
      <c r="A70" s="68">
        <v>45998</v>
      </c>
      <c r="B70" s="2">
        <v>1</v>
      </c>
      <c r="C70" s="2" t="s">
        <v>664</v>
      </c>
      <c r="D70" s="2" t="s">
        <v>491</v>
      </c>
      <c r="E70" s="65">
        <v>399</v>
      </c>
      <c r="F70" s="65">
        <f t="shared" si="2"/>
        <v>399</v>
      </c>
      <c r="G70" s="2" t="s">
        <v>8</v>
      </c>
      <c r="H70" s="2"/>
      <c r="I70" s="2"/>
    </row>
    <row r="71" spans="1:9" hidden="1" x14ac:dyDescent="0.25">
      <c r="A71" s="68">
        <v>45998</v>
      </c>
      <c r="B71" s="2">
        <v>7</v>
      </c>
      <c r="C71" s="2" t="s">
        <v>664</v>
      </c>
      <c r="D71" s="2" t="s">
        <v>839</v>
      </c>
      <c r="E71" s="65">
        <v>398</v>
      </c>
      <c r="F71" s="65">
        <f t="shared" si="2"/>
        <v>2786</v>
      </c>
      <c r="G71" s="2" t="s">
        <v>8</v>
      </c>
      <c r="H71" s="2"/>
      <c r="I71" s="2"/>
    </row>
    <row r="72" spans="1:9" hidden="1" x14ac:dyDescent="0.25">
      <c r="A72" s="68">
        <v>45998</v>
      </c>
      <c r="B72" s="2">
        <v>2</v>
      </c>
      <c r="C72" s="2" t="s">
        <v>664</v>
      </c>
      <c r="D72" s="2" t="s">
        <v>841</v>
      </c>
      <c r="E72" s="65">
        <v>379</v>
      </c>
      <c r="F72" s="65">
        <f t="shared" si="2"/>
        <v>758</v>
      </c>
      <c r="G72" s="2" t="s">
        <v>842</v>
      </c>
      <c r="H72" s="2"/>
      <c r="I72" s="2"/>
    </row>
    <row r="73" spans="1:9" hidden="1" x14ac:dyDescent="0.25">
      <c r="A73" s="68">
        <v>45998</v>
      </c>
      <c r="B73" s="2">
        <v>30</v>
      </c>
      <c r="C73" s="2" t="s">
        <v>664</v>
      </c>
      <c r="D73" s="2" t="s">
        <v>855</v>
      </c>
      <c r="E73" s="65">
        <v>399</v>
      </c>
      <c r="F73" s="65">
        <f t="shared" ref="F73:F75" si="3">E73*B73</f>
        <v>11970</v>
      </c>
      <c r="G73" s="2" t="s">
        <v>856</v>
      </c>
      <c r="H73" s="2"/>
      <c r="I73" s="2" t="s">
        <v>824</v>
      </c>
    </row>
    <row r="74" spans="1:9" hidden="1" x14ac:dyDescent="0.25">
      <c r="A74" s="68">
        <v>45998</v>
      </c>
      <c r="B74" s="2">
        <v>26</v>
      </c>
      <c r="C74" s="2" t="s">
        <v>664</v>
      </c>
      <c r="D74" s="2" t="s">
        <v>855</v>
      </c>
      <c r="E74" s="65">
        <v>399</v>
      </c>
      <c r="F74" s="65">
        <f t="shared" si="3"/>
        <v>10374</v>
      </c>
      <c r="G74" s="2" t="s">
        <v>856</v>
      </c>
      <c r="H74" s="2"/>
      <c r="I74" s="2" t="s">
        <v>824</v>
      </c>
    </row>
    <row r="75" spans="1:9" hidden="1" x14ac:dyDescent="0.25">
      <c r="A75" s="68">
        <v>45998</v>
      </c>
      <c r="B75" s="2">
        <v>1</v>
      </c>
      <c r="C75" s="2" t="s">
        <v>776</v>
      </c>
      <c r="D75" s="2" t="s">
        <v>857</v>
      </c>
      <c r="E75" s="65">
        <v>1020</v>
      </c>
      <c r="F75" s="65">
        <f t="shared" si="3"/>
        <v>1020</v>
      </c>
      <c r="G75" s="2" t="s">
        <v>858</v>
      </c>
      <c r="H75" s="2"/>
      <c r="I75" s="2" t="s">
        <v>85</v>
      </c>
    </row>
    <row r="76" spans="1:9" hidden="1" x14ac:dyDescent="0.25">
      <c r="A76" s="68">
        <v>45999</v>
      </c>
      <c r="B76" s="2">
        <v>15</v>
      </c>
      <c r="C76" s="2" t="s">
        <v>697</v>
      </c>
      <c r="D76" s="2" t="s">
        <v>688</v>
      </c>
      <c r="E76" s="65">
        <v>125</v>
      </c>
      <c r="F76" s="65">
        <f t="shared" si="2"/>
        <v>1875</v>
      </c>
      <c r="G76" s="2" t="s">
        <v>8</v>
      </c>
      <c r="H76" s="2"/>
      <c r="I76" s="2"/>
    </row>
    <row r="77" spans="1:9" hidden="1" x14ac:dyDescent="0.25">
      <c r="A77" s="68">
        <v>45999</v>
      </c>
      <c r="B77" s="2">
        <v>1</v>
      </c>
      <c r="C77" s="2" t="s">
        <v>664</v>
      </c>
      <c r="D77" s="2" t="s">
        <v>688</v>
      </c>
      <c r="E77" s="65">
        <v>299</v>
      </c>
      <c r="F77" s="65">
        <f t="shared" si="2"/>
        <v>299</v>
      </c>
      <c r="G77" s="2" t="s">
        <v>8</v>
      </c>
      <c r="H77" s="2"/>
      <c r="I77" s="2"/>
    </row>
    <row r="78" spans="1:9" hidden="1" x14ac:dyDescent="0.25">
      <c r="A78" s="68">
        <v>45999</v>
      </c>
      <c r="B78" s="2">
        <v>2</v>
      </c>
      <c r="C78" s="2" t="s">
        <v>664</v>
      </c>
      <c r="D78" s="2" t="s">
        <v>688</v>
      </c>
      <c r="E78" s="65">
        <v>299</v>
      </c>
      <c r="F78" s="65">
        <f t="shared" si="2"/>
        <v>598</v>
      </c>
      <c r="G78" s="2" t="s">
        <v>868</v>
      </c>
      <c r="H78" s="2"/>
      <c r="I78" s="2"/>
    </row>
    <row r="79" spans="1:9" hidden="1" x14ac:dyDescent="0.25">
      <c r="A79" s="68">
        <v>45999</v>
      </c>
      <c r="B79" s="2">
        <v>2</v>
      </c>
      <c r="C79" s="2" t="s">
        <v>804</v>
      </c>
      <c r="D79" s="2" t="s">
        <v>688</v>
      </c>
      <c r="E79" s="65">
        <v>419</v>
      </c>
      <c r="F79" s="65">
        <f t="shared" si="2"/>
        <v>838</v>
      </c>
      <c r="G79" s="2" t="s">
        <v>8</v>
      </c>
      <c r="H79" s="2"/>
      <c r="I79" s="2"/>
    </row>
    <row r="80" spans="1:9" hidden="1" x14ac:dyDescent="0.25">
      <c r="A80" s="68">
        <v>45999</v>
      </c>
      <c r="B80" s="2">
        <v>18</v>
      </c>
      <c r="C80" s="2" t="s">
        <v>697</v>
      </c>
      <c r="D80" s="2" t="s">
        <v>101</v>
      </c>
      <c r="E80" s="65">
        <v>125</v>
      </c>
      <c r="F80" s="65">
        <f t="shared" si="2"/>
        <v>2250</v>
      </c>
      <c r="G80" s="2" t="s">
        <v>8</v>
      </c>
      <c r="H80" s="2"/>
      <c r="I80" s="2"/>
    </row>
    <row r="81" spans="1:9" hidden="1" x14ac:dyDescent="0.25">
      <c r="A81" s="68">
        <v>45999</v>
      </c>
      <c r="B81" s="2">
        <v>2</v>
      </c>
      <c r="C81" s="2" t="s">
        <v>832</v>
      </c>
      <c r="D81" s="2" t="s">
        <v>101</v>
      </c>
      <c r="E81" s="65">
        <v>2059</v>
      </c>
      <c r="F81" s="65">
        <f t="shared" si="2"/>
        <v>4118</v>
      </c>
      <c r="G81" s="2" t="s">
        <v>8</v>
      </c>
      <c r="H81" s="2"/>
      <c r="I81" s="2"/>
    </row>
    <row r="82" spans="1:9" hidden="1" x14ac:dyDescent="0.25">
      <c r="A82" s="68">
        <v>45999</v>
      </c>
      <c r="B82" s="2">
        <v>1</v>
      </c>
      <c r="C82" s="2" t="s">
        <v>664</v>
      </c>
      <c r="D82" s="2" t="s">
        <v>101</v>
      </c>
      <c r="E82" s="65">
        <v>299</v>
      </c>
      <c r="F82" s="65">
        <f t="shared" si="2"/>
        <v>299</v>
      </c>
      <c r="G82" s="2" t="s">
        <v>913</v>
      </c>
      <c r="H82" s="2"/>
      <c r="I82" s="2"/>
    </row>
    <row r="83" spans="1:9" hidden="1" x14ac:dyDescent="0.25">
      <c r="A83" s="68">
        <v>45999</v>
      </c>
      <c r="B83" s="2">
        <v>1</v>
      </c>
      <c r="C83" s="2" t="s">
        <v>664</v>
      </c>
      <c r="D83" s="2" t="s">
        <v>101</v>
      </c>
      <c r="E83" s="65">
        <v>299</v>
      </c>
      <c r="F83" s="65">
        <f t="shared" si="2"/>
        <v>299</v>
      </c>
      <c r="G83" s="2" t="s">
        <v>833</v>
      </c>
      <c r="H83" s="2"/>
      <c r="I83" s="2"/>
    </row>
    <row r="84" spans="1:9" hidden="1" x14ac:dyDescent="0.25">
      <c r="A84" s="68">
        <v>46000</v>
      </c>
      <c r="B84" s="2">
        <v>12</v>
      </c>
      <c r="C84" s="2" t="s">
        <v>664</v>
      </c>
      <c r="D84" s="2" t="s">
        <v>494</v>
      </c>
      <c r="E84" s="65">
        <v>398</v>
      </c>
      <c r="F84" s="65">
        <f t="shared" si="2"/>
        <v>4776</v>
      </c>
      <c r="G84" s="2" t="s">
        <v>8</v>
      </c>
      <c r="H84" s="2"/>
      <c r="I84" s="2"/>
    </row>
    <row r="85" spans="1:9" hidden="1" x14ac:dyDescent="0.25">
      <c r="A85" s="68">
        <v>46000</v>
      </c>
      <c r="B85" s="2">
        <v>40</v>
      </c>
      <c r="C85" s="2" t="s">
        <v>664</v>
      </c>
      <c r="D85" s="2" t="s">
        <v>827</v>
      </c>
      <c r="E85" s="65">
        <v>398</v>
      </c>
      <c r="F85" s="65">
        <f t="shared" si="2"/>
        <v>15920</v>
      </c>
      <c r="G85" s="2" t="s">
        <v>859</v>
      </c>
      <c r="H85" s="2"/>
      <c r="I85" s="2" t="s">
        <v>824</v>
      </c>
    </row>
    <row r="86" spans="1:9" hidden="1" x14ac:dyDescent="0.25">
      <c r="A86" s="68">
        <v>46000</v>
      </c>
      <c r="B86" s="2">
        <v>1</v>
      </c>
      <c r="C86" s="2" t="s">
        <v>296</v>
      </c>
      <c r="D86" s="2" t="s">
        <v>827</v>
      </c>
      <c r="E86" s="65">
        <v>110</v>
      </c>
      <c r="F86" s="65">
        <f t="shared" si="2"/>
        <v>110</v>
      </c>
      <c r="G86" s="2" t="s">
        <v>859</v>
      </c>
      <c r="H86" s="2"/>
      <c r="I86" s="2"/>
    </row>
    <row r="87" spans="1:9" hidden="1" x14ac:dyDescent="0.25">
      <c r="A87" s="68">
        <v>46000</v>
      </c>
      <c r="B87" s="2">
        <v>1</v>
      </c>
      <c r="C87" s="2" t="s">
        <v>664</v>
      </c>
      <c r="D87" s="2" t="s">
        <v>828</v>
      </c>
      <c r="E87" s="65">
        <v>398</v>
      </c>
      <c r="F87" s="65">
        <f t="shared" si="2"/>
        <v>398</v>
      </c>
      <c r="G87" s="2" t="s">
        <v>8</v>
      </c>
      <c r="H87" s="2"/>
      <c r="I87" s="2"/>
    </row>
    <row r="88" spans="1:9" hidden="1" x14ac:dyDescent="0.25">
      <c r="A88" s="68">
        <v>46000</v>
      </c>
      <c r="B88" s="2">
        <v>1</v>
      </c>
      <c r="C88" s="2" t="s">
        <v>829</v>
      </c>
      <c r="D88" s="2" t="s">
        <v>738</v>
      </c>
      <c r="E88" s="65">
        <v>90</v>
      </c>
      <c r="F88" s="65">
        <f t="shared" si="2"/>
        <v>90</v>
      </c>
      <c r="G88" s="2"/>
      <c r="H88" s="2"/>
      <c r="I88" s="2" t="s">
        <v>85</v>
      </c>
    </row>
    <row r="89" spans="1:9" hidden="1" x14ac:dyDescent="0.25">
      <c r="A89" s="68">
        <v>46000</v>
      </c>
      <c r="B89" s="2">
        <v>1</v>
      </c>
      <c r="C89" s="2" t="s">
        <v>664</v>
      </c>
      <c r="D89" s="2" t="s">
        <v>492</v>
      </c>
      <c r="E89" s="65">
        <v>0</v>
      </c>
      <c r="F89" s="65">
        <f t="shared" si="2"/>
        <v>0</v>
      </c>
      <c r="G89" s="2" t="s">
        <v>831</v>
      </c>
      <c r="H89" s="2"/>
      <c r="I89" s="2"/>
    </row>
    <row r="90" spans="1:9" hidden="1" x14ac:dyDescent="0.25">
      <c r="A90" s="68">
        <v>46001</v>
      </c>
      <c r="B90" s="2">
        <v>10</v>
      </c>
      <c r="C90" s="2" t="s">
        <v>664</v>
      </c>
      <c r="D90" s="2" t="s">
        <v>740</v>
      </c>
      <c r="E90" s="65">
        <v>398</v>
      </c>
      <c r="F90" s="65">
        <f t="shared" si="2"/>
        <v>3980</v>
      </c>
      <c r="G90" s="2" t="s">
        <v>859</v>
      </c>
      <c r="H90" s="2"/>
      <c r="I90" s="2" t="s">
        <v>824</v>
      </c>
    </row>
    <row r="91" spans="1:9" hidden="1" x14ac:dyDescent="0.25">
      <c r="A91" s="68">
        <v>46001</v>
      </c>
      <c r="B91" s="2">
        <v>2</v>
      </c>
      <c r="C91" s="2" t="s">
        <v>664</v>
      </c>
      <c r="D91" s="2" t="s">
        <v>809</v>
      </c>
      <c r="E91" s="65">
        <v>399</v>
      </c>
      <c r="F91" s="65">
        <f t="shared" si="2"/>
        <v>798</v>
      </c>
      <c r="G91" s="2" t="s">
        <v>873</v>
      </c>
      <c r="H91" s="2"/>
      <c r="I91" s="2"/>
    </row>
    <row r="92" spans="1:9" hidden="1" x14ac:dyDescent="0.25">
      <c r="A92" s="68">
        <v>46001</v>
      </c>
      <c r="B92" s="2">
        <v>2</v>
      </c>
      <c r="C92" s="2" t="s">
        <v>664</v>
      </c>
      <c r="D92" s="2" t="s">
        <v>819</v>
      </c>
      <c r="E92" s="65">
        <v>398</v>
      </c>
      <c r="F92" s="65">
        <f t="shared" si="2"/>
        <v>796</v>
      </c>
      <c r="G92" s="2" t="s">
        <v>859</v>
      </c>
      <c r="H92" s="2"/>
      <c r="I92" s="2"/>
    </row>
    <row r="93" spans="1:9" hidden="1" x14ac:dyDescent="0.25">
      <c r="A93" s="68">
        <v>46001</v>
      </c>
      <c r="B93" s="2">
        <v>1</v>
      </c>
      <c r="C93" s="2" t="s">
        <v>664</v>
      </c>
      <c r="D93" s="2" t="s">
        <v>819</v>
      </c>
      <c r="E93" s="65">
        <v>398</v>
      </c>
      <c r="F93" s="65">
        <f t="shared" si="2"/>
        <v>398</v>
      </c>
      <c r="G93" s="2" t="s">
        <v>8</v>
      </c>
      <c r="H93" s="2"/>
      <c r="I93" s="2"/>
    </row>
    <row r="94" spans="1:9" x14ac:dyDescent="0.25">
      <c r="A94" s="68">
        <v>46002</v>
      </c>
      <c r="B94" s="2">
        <v>2</v>
      </c>
      <c r="C94" s="2" t="s">
        <v>804</v>
      </c>
      <c r="D94" s="2" t="s">
        <v>364</v>
      </c>
      <c r="E94" s="65">
        <v>419</v>
      </c>
      <c r="F94" s="65">
        <f t="shared" si="2"/>
        <v>838</v>
      </c>
      <c r="G94" s="2" t="s">
        <v>8</v>
      </c>
      <c r="H94" s="2"/>
      <c r="I94" s="2"/>
    </row>
    <row r="95" spans="1:9" x14ac:dyDescent="0.25">
      <c r="A95" s="80">
        <v>46002</v>
      </c>
      <c r="B95" s="10">
        <v>3</v>
      </c>
      <c r="C95" s="10" t="s">
        <v>664</v>
      </c>
      <c r="D95" s="10" t="s">
        <v>364</v>
      </c>
      <c r="E95" s="66">
        <v>340</v>
      </c>
      <c r="F95" s="66">
        <f t="shared" si="2"/>
        <v>1020</v>
      </c>
      <c r="G95" s="10" t="s">
        <v>1063</v>
      </c>
      <c r="H95" s="10"/>
      <c r="I95" s="10"/>
    </row>
    <row r="96" spans="1:9" x14ac:dyDescent="0.25">
      <c r="A96" s="68">
        <v>46002</v>
      </c>
      <c r="B96" s="2">
        <v>4</v>
      </c>
      <c r="C96" s="2" t="s">
        <v>746</v>
      </c>
      <c r="D96" s="2" t="s">
        <v>364</v>
      </c>
      <c r="E96" s="65">
        <v>105</v>
      </c>
      <c r="F96" s="65">
        <f t="shared" si="2"/>
        <v>420</v>
      </c>
      <c r="G96" s="2" t="s">
        <v>8</v>
      </c>
      <c r="H96" s="2"/>
      <c r="I96" s="2"/>
    </row>
    <row r="97" spans="1:9" x14ac:dyDescent="0.25">
      <c r="A97" s="68">
        <v>46002</v>
      </c>
      <c r="B97" s="2">
        <v>1</v>
      </c>
      <c r="C97" s="2" t="s">
        <v>323</v>
      </c>
      <c r="D97" s="2" t="s">
        <v>364</v>
      </c>
      <c r="E97" s="65">
        <v>573</v>
      </c>
      <c r="F97" s="65">
        <f t="shared" si="2"/>
        <v>573</v>
      </c>
      <c r="G97" s="2" t="s">
        <v>8</v>
      </c>
      <c r="H97" s="2"/>
      <c r="I97" s="2"/>
    </row>
    <row r="98" spans="1:9" x14ac:dyDescent="0.25">
      <c r="A98" s="68">
        <v>46002</v>
      </c>
      <c r="B98" s="2">
        <v>10</v>
      </c>
      <c r="C98" s="2" t="s">
        <v>697</v>
      </c>
      <c r="D98" s="2" t="s">
        <v>364</v>
      </c>
      <c r="E98" s="65">
        <v>130</v>
      </c>
      <c r="F98" s="65">
        <f t="shared" si="2"/>
        <v>1300</v>
      </c>
      <c r="G98" s="2" t="s">
        <v>8</v>
      </c>
      <c r="H98" s="2"/>
      <c r="I98" s="2"/>
    </row>
    <row r="99" spans="1:9" x14ac:dyDescent="0.25">
      <c r="A99" s="68">
        <v>46002</v>
      </c>
      <c r="B99" s="2">
        <v>3</v>
      </c>
      <c r="C99" s="2" t="s">
        <v>378</v>
      </c>
      <c r="D99" s="2" t="s">
        <v>364</v>
      </c>
      <c r="E99" s="65">
        <v>573</v>
      </c>
      <c r="F99" s="65">
        <f t="shared" si="2"/>
        <v>1719</v>
      </c>
      <c r="G99" s="2" t="s">
        <v>873</v>
      </c>
      <c r="H99" s="2"/>
      <c r="I99" s="2"/>
    </row>
    <row r="100" spans="1:9" x14ac:dyDescent="0.25">
      <c r="A100" s="68">
        <v>46002</v>
      </c>
      <c r="B100" s="2">
        <v>3</v>
      </c>
      <c r="C100" s="2" t="s">
        <v>639</v>
      </c>
      <c r="D100" s="2" t="s">
        <v>364</v>
      </c>
      <c r="E100" s="65">
        <v>1095</v>
      </c>
      <c r="F100" s="65">
        <f t="shared" si="2"/>
        <v>3285</v>
      </c>
      <c r="G100" s="2" t="s">
        <v>873</v>
      </c>
      <c r="H100" s="2"/>
      <c r="I100" s="2"/>
    </row>
    <row r="101" spans="1:9" hidden="1" x14ac:dyDescent="0.25">
      <c r="A101" s="68">
        <v>46002</v>
      </c>
      <c r="B101" s="2">
        <v>2</v>
      </c>
      <c r="C101" s="2" t="s">
        <v>837</v>
      </c>
      <c r="D101" s="2" t="s">
        <v>101</v>
      </c>
      <c r="E101" s="65">
        <v>1400</v>
      </c>
      <c r="F101" s="65">
        <f t="shared" si="2"/>
        <v>2800</v>
      </c>
      <c r="G101" s="2" t="s">
        <v>862</v>
      </c>
      <c r="H101" s="2"/>
      <c r="I101" s="2"/>
    </row>
    <row r="102" spans="1:9" hidden="1" x14ac:dyDescent="0.25">
      <c r="A102" s="68">
        <v>46002</v>
      </c>
      <c r="B102" s="2">
        <v>2</v>
      </c>
      <c r="C102" s="2" t="s">
        <v>664</v>
      </c>
      <c r="D102" s="2" t="s">
        <v>101</v>
      </c>
      <c r="E102" s="65">
        <v>399</v>
      </c>
      <c r="F102" s="65">
        <f t="shared" si="2"/>
        <v>798</v>
      </c>
      <c r="G102" s="2" t="s">
        <v>862</v>
      </c>
      <c r="H102" s="2"/>
      <c r="I102" s="2"/>
    </row>
    <row r="103" spans="1:9" hidden="1" x14ac:dyDescent="0.25">
      <c r="A103" s="68">
        <v>46002</v>
      </c>
      <c r="B103" s="2">
        <v>10</v>
      </c>
      <c r="C103" s="2" t="s">
        <v>697</v>
      </c>
      <c r="D103" s="2" t="s">
        <v>101</v>
      </c>
      <c r="E103" s="65">
        <v>125</v>
      </c>
      <c r="F103" s="65">
        <f t="shared" si="2"/>
        <v>1250</v>
      </c>
      <c r="G103" s="2" t="s">
        <v>862</v>
      </c>
      <c r="H103" s="2"/>
      <c r="I103" s="2"/>
    </row>
    <row r="104" spans="1:9" hidden="1" x14ac:dyDescent="0.25">
      <c r="A104" s="68">
        <v>46002</v>
      </c>
      <c r="B104" s="2">
        <v>2</v>
      </c>
      <c r="C104" s="2" t="s">
        <v>837</v>
      </c>
      <c r="D104" s="2" t="s">
        <v>101</v>
      </c>
      <c r="E104" s="65">
        <v>1400</v>
      </c>
      <c r="F104" s="65">
        <f t="shared" si="2"/>
        <v>2800</v>
      </c>
      <c r="G104" s="2" t="s">
        <v>365</v>
      </c>
      <c r="H104" s="2"/>
      <c r="I104" s="2"/>
    </row>
    <row r="105" spans="1:9" hidden="1" x14ac:dyDescent="0.25">
      <c r="A105" s="68">
        <v>46003</v>
      </c>
      <c r="B105" s="97">
        <v>20</v>
      </c>
      <c r="C105" s="2" t="s">
        <v>664</v>
      </c>
      <c r="D105" s="2" t="s">
        <v>740</v>
      </c>
      <c r="E105" s="65">
        <v>398</v>
      </c>
      <c r="F105" s="65">
        <f t="shared" si="2"/>
        <v>7960</v>
      </c>
      <c r="G105" s="2" t="s">
        <v>903</v>
      </c>
      <c r="H105" s="2"/>
      <c r="I105" s="2"/>
    </row>
    <row r="106" spans="1:9" hidden="1" x14ac:dyDescent="0.25">
      <c r="A106" s="68">
        <v>46003</v>
      </c>
      <c r="B106" s="2">
        <v>10</v>
      </c>
      <c r="C106" s="2" t="s">
        <v>837</v>
      </c>
      <c r="D106" s="2" t="s">
        <v>864</v>
      </c>
      <c r="E106" s="65">
        <v>1400</v>
      </c>
      <c r="F106" s="65">
        <f t="shared" si="2"/>
        <v>14000</v>
      </c>
      <c r="G106" s="2" t="s">
        <v>867</v>
      </c>
      <c r="H106" s="2"/>
      <c r="I106" s="2"/>
    </row>
    <row r="107" spans="1:9" hidden="1" x14ac:dyDescent="0.25">
      <c r="A107" s="68">
        <v>46003</v>
      </c>
      <c r="B107" s="2">
        <v>3</v>
      </c>
      <c r="C107" s="2" t="s">
        <v>863</v>
      </c>
      <c r="D107" s="2" t="s">
        <v>864</v>
      </c>
      <c r="E107" s="65">
        <v>2490</v>
      </c>
      <c r="F107" s="65">
        <f t="shared" si="2"/>
        <v>7470</v>
      </c>
      <c r="G107" s="2" t="s">
        <v>867</v>
      </c>
      <c r="H107" s="2"/>
      <c r="I107" s="2"/>
    </row>
    <row r="108" spans="1:9" hidden="1" x14ac:dyDescent="0.25">
      <c r="A108" s="68">
        <v>46002</v>
      </c>
      <c r="B108" s="2">
        <v>100</v>
      </c>
      <c r="C108" s="2" t="s">
        <v>664</v>
      </c>
      <c r="D108" s="2" t="s">
        <v>865</v>
      </c>
      <c r="E108" s="65">
        <v>274</v>
      </c>
      <c r="F108" s="65">
        <f t="shared" si="2"/>
        <v>27400</v>
      </c>
      <c r="G108" s="2" t="s">
        <v>875</v>
      </c>
      <c r="H108" s="2"/>
      <c r="I108" s="2"/>
    </row>
    <row r="109" spans="1:9" hidden="1" x14ac:dyDescent="0.25">
      <c r="A109" s="68">
        <v>46002</v>
      </c>
      <c r="B109" s="2">
        <v>1</v>
      </c>
      <c r="C109" s="2" t="s">
        <v>296</v>
      </c>
      <c r="D109" s="2" t="s">
        <v>865</v>
      </c>
      <c r="E109" s="65">
        <v>110</v>
      </c>
      <c r="F109" s="65">
        <f t="shared" si="2"/>
        <v>110</v>
      </c>
      <c r="G109" s="2" t="s">
        <v>875</v>
      </c>
      <c r="H109" s="2"/>
      <c r="I109" s="2"/>
    </row>
    <row r="110" spans="1:9" hidden="1" x14ac:dyDescent="0.25">
      <c r="A110" s="68">
        <v>46003</v>
      </c>
      <c r="B110" s="2">
        <v>70</v>
      </c>
      <c r="C110" s="2" t="s">
        <v>697</v>
      </c>
      <c r="D110" s="2" t="s">
        <v>30</v>
      </c>
      <c r="E110" s="65">
        <v>132</v>
      </c>
      <c r="F110" s="65">
        <f t="shared" si="2"/>
        <v>9240</v>
      </c>
      <c r="G110" s="2" t="s">
        <v>952</v>
      </c>
      <c r="H110" s="2"/>
      <c r="I110" s="2"/>
    </row>
    <row r="111" spans="1:9" hidden="1" x14ac:dyDescent="0.25">
      <c r="A111" s="68">
        <v>46004</v>
      </c>
      <c r="B111" s="2">
        <v>10</v>
      </c>
      <c r="C111" s="10" t="s">
        <v>866</v>
      </c>
      <c r="D111" s="2" t="s">
        <v>677</v>
      </c>
      <c r="E111" s="65">
        <v>960</v>
      </c>
      <c r="F111" s="65">
        <f t="shared" si="2"/>
        <v>9600</v>
      </c>
      <c r="G111" s="2" t="s">
        <v>952</v>
      </c>
      <c r="H111" s="2"/>
      <c r="I111" s="2" t="s">
        <v>115</v>
      </c>
    </row>
    <row r="112" spans="1:9" hidden="1" x14ac:dyDescent="0.25">
      <c r="A112" s="68">
        <v>46005</v>
      </c>
      <c r="B112" s="2">
        <v>3</v>
      </c>
      <c r="C112" s="10" t="s">
        <v>874</v>
      </c>
      <c r="D112" s="2" t="s">
        <v>864</v>
      </c>
      <c r="E112" s="65">
        <v>3300</v>
      </c>
      <c r="F112" s="65">
        <f t="shared" si="2"/>
        <v>9900</v>
      </c>
      <c r="G112" s="2" t="s">
        <v>8</v>
      </c>
      <c r="H112" s="2"/>
      <c r="I112" s="2"/>
    </row>
    <row r="113" spans="1:9" hidden="1" x14ac:dyDescent="0.25">
      <c r="A113" s="68">
        <v>46005</v>
      </c>
      <c r="B113" s="2">
        <v>23</v>
      </c>
      <c r="C113" s="2" t="s">
        <v>664</v>
      </c>
      <c r="D113" s="2" t="s">
        <v>855</v>
      </c>
      <c r="E113" s="65">
        <v>399</v>
      </c>
      <c r="F113" s="65">
        <f t="shared" si="2"/>
        <v>9177</v>
      </c>
      <c r="G113" s="2" t="s">
        <v>869</v>
      </c>
      <c r="H113" s="2"/>
      <c r="I113" s="2"/>
    </row>
    <row r="114" spans="1:9" hidden="1" x14ac:dyDescent="0.25">
      <c r="A114" s="68">
        <v>46006</v>
      </c>
      <c r="B114" s="2">
        <v>12</v>
      </c>
      <c r="C114" s="2" t="s">
        <v>664</v>
      </c>
      <c r="D114" s="2" t="s">
        <v>497</v>
      </c>
      <c r="E114" s="65">
        <v>398</v>
      </c>
      <c r="F114" s="65">
        <f t="shared" si="2"/>
        <v>4776</v>
      </c>
      <c r="G114" s="2" t="s">
        <v>8</v>
      </c>
      <c r="H114" s="2"/>
      <c r="I114" s="2"/>
    </row>
    <row r="115" spans="1:9" hidden="1" x14ac:dyDescent="0.25">
      <c r="A115" s="68">
        <v>46006</v>
      </c>
      <c r="B115" s="2">
        <v>12</v>
      </c>
      <c r="C115" s="2" t="s">
        <v>664</v>
      </c>
      <c r="D115" s="2" t="s">
        <v>870</v>
      </c>
      <c r="E115" s="65">
        <v>398</v>
      </c>
      <c r="F115" s="65">
        <f t="shared" si="2"/>
        <v>4776</v>
      </c>
      <c r="G115" s="2" t="s">
        <v>8</v>
      </c>
      <c r="H115" s="2"/>
      <c r="I115" s="2"/>
    </row>
    <row r="116" spans="1:9" hidden="1" x14ac:dyDescent="0.25">
      <c r="A116" s="68">
        <v>46006</v>
      </c>
      <c r="B116" s="97">
        <v>15</v>
      </c>
      <c r="C116" s="2" t="s">
        <v>664</v>
      </c>
      <c r="D116" s="2" t="s">
        <v>740</v>
      </c>
      <c r="E116" s="65">
        <v>398</v>
      </c>
      <c r="F116" s="65">
        <f t="shared" si="2"/>
        <v>5970</v>
      </c>
      <c r="G116" s="2" t="s">
        <v>903</v>
      </c>
      <c r="H116" s="2"/>
      <c r="I116" s="2"/>
    </row>
    <row r="117" spans="1:9" x14ac:dyDescent="0.25">
      <c r="A117" s="68">
        <v>46006</v>
      </c>
      <c r="B117" s="2">
        <v>3</v>
      </c>
      <c r="C117" s="10" t="s">
        <v>409</v>
      </c>
      <c r="D117" s="2" t="s">
        <v>364</v>
      </c>
      <c r="E117" s="65">
        <v>1059</v>
      </c>
      <c r="F117" s="65">
        <f t="shared" si="2"/>
        <v>3177</v>
      </c>
      <c r="G117" s="2" t="s">
        <v>8</v>
      </c>
      <c r="H117" s="2"/>
      <c r="I117" s="2"/>
    </row>
    <row r="118" spans="1:9" x14ac:dyDescent="0.25">
      <c r="A118" s="68">
        <v>46006</v>
      </c>
      <c r="B118" s="2">
        <v>1</v>
      </c>
      <c r="C118" s="10" t="s">
        <v>871</v>
      </c>
      <c r="D118" s="2" t="s">
        <v>364</v>
      </c>
      <c r="E118" s="65">
        <v>573</v>
      </c>
      <c r="F118" s="65">
        <f t="shared" si="2"/>
        <v>573</v>
      </c>
      <c r="G118" s="2" t="s">
        <v>8</v>
      </c>
      <c r="H118" s="2"/>
      <c r="I118" s="2"/>
    </row>
    <row r="119" spans="1:9" hidden="1" x14ac:dyDescent="0.25">
      <c r="A119" s="68">
        <v>46006</v>
      </c>
      <c r="B119" s="2">
        <v>1</v>
      </c>
      <c r="C119" s="2" t="s">
        <v>664</v>
      </c>
      <c r="D119" s="2" t="s">
        <v>502</v>
      </c>
      <c r="E119" s="2"/>
      <c r="F119" s="65">
        <f t="shared" si="2"/>
        <v>0</v>
      </c>
      <c r="G119" s="2" t="s">
        <v>891</v>
      </c>
      <c r="H119" s="2"/>
      <c r="I119" s="2"/>
    </row>
    <row r="120" spans="1:9" hidden="1" x14ac:dyDescent="0.25">
      <c r="A120" s="68">
        <v>46006</v>
      </c>
      <c r="B120" s="2">
        <v>7</v>
      </c>
      <c r="C120" s="2" t="s">
        <v>664</v>
      </c>
      <c r="D120" s="2" t="s">
        <v>855</v>
      </c>
      <c r="E120" s="65">
        <v>398</v>
      </c>
      <c r="F120" s="65">
        <f t="shared" ref="F120:F158" si="4">E120*B120</f>
        <v>2786</v>
      </c>
      <c r="G120" s="2" t="s">
        <v>873</v>
      </c>
      <c r="H120" s="2"/>
      <c r="I120" s="2"/>
    </row>
    <row r="121" spans="1:9" hidden="1" x14ac:dyDescent="0.25">
      <c r="A121" s="68">
        <v>46006</v>
      </c>
      <c r="B121" s="2">
        <v>2</v>
      </c>
      <c r="C121" s="2" t="s">
        <v>832</v>
      </c>
      <c r="D121" s="2" t="s">
        <v>811</v>
      </c>
      <c r="E121" s="65">
        <v>2099</v>
      </c>
      <c r="F121" s="65">
        <f t="shared" si="4"/>
        <v>4198</v>
      </c>
      <c r="G121" s="2" t="s">
        <v>873</v>
      </c>
      <c r="H121" s="2"/>
      <c r="I121" s="2"/>
    </row>
    <row r="122" spans="1:9" hidden="1" x14ac:dyDescent="0.25">
      <c r="A122" s="68">
        <v>46006</v>
      </c>
      <c r="B122" s="2">
        <v>23</v>
      </c>
      <c r="C122" s="2" t="s">
        <v>664</v>
      </c>
      <c r="D122" s="2" t="s">
        <v>855</v>
      </c>
      <c r="E122" s="65">
        <v>399</v>
      </c>
      <c r="F122" s="65">
        <f t="shared" si="4"/>
        <v>9177</v>
      </c>
      <c r="G122" s="2" t="s">
        <v>365</v>
      </c>
      <c r="H122" s="2"/>
      <c r="I122" s="2"/>
    </row>
    <row r="123" spans="1:9" hidden="1" x14ac:dyDescent="0.25">
      <c r="A123" s="68">
        <v>46006</v>
      </c>
      <c r="B123" s="2">
        <v>1</v>
      </c>
      <c r="C123" s="2" t="s">
        <v>900</v>
      </c>
      <c r="D123" s="2" t="s">
        <v>857</v>
      </c>
      <c r="E123" s="65">
        <v>450</v>
      </c>
      <c r="F123" s="65">
        <f t="shared" si="4"/>
        <v>450</v>
      </c>
      <c r="G123" s="2" t="s">
        <v>904</v>
      </c>
      <c r="H123" s="2"/>
      <c r="I123" s="2" t="s">
        <v>85</v>
      </c>
    </row>
    <row r="124" spans="1:9" hidden="1" x14ac:dyDescent="0.25">
      <c r="A124" s="68">
        <v>46007</v>
      </c>
      <c r="B124" s="97">
        <v>4</v>
      </c>
      <c r="C124" s="2" t="s">
        <v>664</v>
      </c>
      <c r="D124" s="2" t="s">
        <v>877</v>
      </c>
      <c r="E124" s="65">
        <v>398</v>
      </c>
      <c r="F124" s="65">
        <f t="shared" si="4"/>
        <v>1592</v>
      </c>
      <c r="G124" s="2" t="s">
        <v>8</v>
      </c>
      <c r="H124" s="2"/>
      <c r="I124" s="2"/>
    </row>
    <row r="125" spans="1:9" hidden="1" x14ac:dyDescent="0.25">
      <c r="A125" s="68">
        <v>46008</v>
      </c>
      <c r="B125" s="97">
        <v>44</v>
      </c>
      <c r="C125" s="2" t="s">
        <v>664</v>
      </c>
      <c r="D125" s="2" t="s">
        <v>878</v>
      </c>
      <c r="E125" s="65">
        <v>398</v>
      </c>
      <c r="F125" s="65">
        <f t="shared" si="4"/>
        <v>17512</v>
      </c>
      <c r="G125" s="2" t="s">
        <v>348</v>
      </c>
      <c r="H125" s="2"/>
      <c r="I125" s="2" t="s">
        <v>860</v>
      </c>
    </row>
    <row r="126" spans="1:9" hidden="1" x14ac:dyDescent="0.25">
      <c r="A126" s="68">
        <v>46008</v>
      </c>
      <c r="B126" s="2">
        <v>1</v>
      </c>
      <c r="C126" s="2" t="s">
        <v>296</v>
      </c>
      <c r="D126" s="2" t="s">
        <v>878</v>
      </c>
      <c r="E126" s="65">
        <v>110</v>
      </c>
      <c r="F126" s="65">
        <f t="shared" si="4"/>
        <v>110</v>
      </c>
      <c r="G126" s="2" t="s">
        <v>85</v>
      </c>
      <c r="H126" s="2"/>
      <c r="I126" s="2"/>
    </row>
    <row r="127" spans="1:9" hidden="1" x14ac:dyDescent="0.25">
      <c r="A127" s="68">
        <v>46008</v>
      </c>
      <c r="B127" s="2">
        <v>1</v>
      </c>
      <c r="C127" s="2" t="s">
        <v>664</v>
      </c>
      <c r="D127" s="2" t="s">
        <v>878</v>
      </c>
      <c r="E127" s="65"/>
      <c r="F127" s="65"/>
      <c r="G127" s="2" t="s">
        <v>882</v>
      </c>
      <c r="H127" s="2"/>
      <c r="I127" s="2"/>
    </row>
    <row r="128" spans="1:9" hidden="1" x14ac:dyDescent="0.25">
      <c r="A128" s="68">
        <v>46008</v>
      </c>
      <c r="B128" s="2">
        <v>20</v>
      </c>
      <c r="C128" s="2" t="s">
        <v>664</v>
      </c>
      <c r="D128" s="2" t="s">
        <v>879</v>
      </c>
      <c r="E128" s="65"/>
      <c r="F128" s="65">
        <f t="shared" si="4"/>
        <v>0</v>
      </c>
      <c r="G128" s="2" t="s">
        <v>880</v>
      </c>
      <c r="H128" s="2"/>
      <c r="I128" s="2"/>
    </row>
    <row r="129" spans="1:12" hidden="1" x14ac:dyDescent="0.25">
      <c r="A129" s="68">
        <v>46008</v>
      </c>
      <c r="B129" s="97">
        <v>159</v>
      </c>
      <c r="C129" s="2" t="s">
        <v>664</v>
      </c>
      <c r="D129" s="2" t="s">
        <v>881</v>
      </c>
      <c r="E129" s="65">
        <v>398</v>
      </c>
      <c r="F129" s="65">
        <f t="shared" si="4"/>
        <v>63282</v>
      </c>
      <c r="G129" s="2" t="s">
        <v>888</v>
      </c>
      <c r="H129" s="2"/>
      <c r="I129" s="2" t="s">
        <v>860</v>
      </c>
    </row>
    <row r="130" spans="1:12" hidden="1" x14ac:dyDescent="0.25">
      <c r="A130" s="68">
        <v>46009</v>
      </c>
      <c r="B130" s="97">
        <v>9</v>
      </c>
      <c r="C130" s="2" t="s">
        <v>664</v>
      </c>
      <c r="D130" s="2" t="s">
        <v>881</v>
      </c>
      <c r="E130" s="65">
        <v>398</v>
      </c>
      <c r="F130" s="65">
        <f t="shared" si="4"/>
        <v>3582</v>
      </c>
      <c r="G130" s="2" t="s">
        <v>888</v>
      </c>
      <c r="H130" s="2"/>
      <c r="I130" s="2" t="s">
        <v>860</v>
      </c>
    </row>
    <row r="131" spans="1:12" hidden="1" x14ac:dyDescent="0.25">
      <c r="A131" s="68">
        <v>46009</v>
      </c>
      <c r="B131" s="2"/>
      <c r="C131" s="2" t="s">
        <v>664</v>
      </c>
      <c r="D131" s="2" t="s">
        <v>890</v>
      </c>
      <c r="E131" s="65"/>
      <c r="F131" s="65">
        <f t="shared" si="4"/>
        <v>0</v>
      </c>
      <c r="G131" s="2" t="s">
        <v>889</v>
      </c>
      <c r="H131" s="2"/>
      <c r="I131" s="2"/>
    </row>
    <row r="132" spans="1:12" hidden="1" x14ac:dyDescent="0.25">
      <c r="A132" s="68">
        <v>46010</v>
      </c>
      <c r="B132" s="2">
        <v>2</v>
      </c>
      <c r="C132" s="2" t="s">
        <v>883</v>
      </c>
      <c r="D132" s="2" t="s">
        <v>103</v>
      </c>
      <c r="E132" s="65">
        <v>477</v>
      </c>
      <c r="F132" s="65">
        <f t="shared" si="4"/>
        <v>954</v>
      </c>
      <c r="G132" s="2" t="s">
        <v>905</v>
      </c>
      <c r="H132" s="2"/>
      <c r="I132" s="2" t="s">
        <v>886</v>
      </c>
    </row>
    <row r="133" spans="1:12" hidden="1" x14ac:dyDescent="0.25">
      <c r="A133" s="68">
        <v>46010</v>
      </c>
      <c r="B133" s="2">
        <v>2</v>
      </c>
      <c r="C133" s="2" t="s">
        <v>883</v>
      </c>
      <c r="D133" s="2" t="s">
        <v>103</v>
      </c>
      <c r="E133" s="65">
        <v>477</v>
      </c>
      <c r="F133" s="65">
        <f t="shared" si="4"/>
        <v>954</v>
      </c>
      <c r="G133" s="2" t="s">
        <v>905</v>
      </c>
      <c r="H133" s="2"/>
      <c r="I133" s="2"/>
      <c r="K133">
        <v>242</v>
      </c>
      <c r="L133">
        <v>350</v>
      </c>
    </row>
    <row r="134" spans="1:12" hidden="1" x14ac:dyDescent="0.25">
      <c r="A134" s="68">
        <v>46010</v>
      </c>
      <c r="B134" s="2">
        <v>2</v>
      </c>
      <c r="C134" s="2" t="s">
        <v>883</v>
      </c>
      <c r="D134" s="2" t="s">
        <v>884</v>
      </c>
      <c r="E134" s="65">
        <v>477</v>
      </c>
      <c r="F134" s="65">
        <f t="shared" ref="F134" si="5">E134*B134</f>
        <v>954</v>
      </c>
      <c r="G134" s="2" t="s">
        <v>905</v>
      </c>
      <c r="H134" s="2"/>
      <c r="I134" s="2" t="s">
        <v>886</v>
      </c>
      <c r="K134">
        <v>50</v>
      </c>
    </row>
    <row r="135" spans="1:12" hidden="1" x14ac:dyDescent="0.25">
      <c r="A135" s="68">
        <v>46010</v>
      </c>
      <c r="B135" s="2">
        <v>2</v>
      </c>
      <c r="C135" s="2" t="s">
        <v>883</v>
      </c>
      <c r="D135" s="2" t="s">
        <v>887</v>
      </c>
      <c r="E135" s="65">
        <v>477</v>
      </c>
      <c r="F135" s="65">
        <f t="shared" si="4"/>
        <v>954</v>
      </c>
      <c r="G135" s="18" t="s">
        <v>992</v>
      </c>
      <c r="H135" s="2"/>
      <c r="I135" s="2" t="s">
        <v>991</v>
      </c>
      <c r="J135">
        <v>8129</v>
      </c>
    </row>
    <row r="136" spans="1:12" hidden="1" x14ac:dyDescent="0.25">
      <c r="A136" s="68">
        <v>46010</v>
      </c>
      <c r="B136" s="2">
        <v>2</v>
      </c>
      <c r="C136" s="2" t="s">
        <v>892</v>
      </c>
      <c r="D136" s="2" t="s">
        <v>893</v>
      </c>
      <c r="E136" s="65">
        <v>480</v>
      </c>
      <c r="F136" s="65">
        <f t="shared" si="4"/>
        <v>960</v>
      </c>
      <c r="G136" s="2" t="s">
        <v>906</v>
      </c>
      <c r="H136" s="2"/>
      <c r="I136" s="2"/>
    </row>
    <row r="137" spans="1:12" hidden="1" x14ac:dyDescent="0.25">
      <c r="A137" s="68">
        <v>46010</v>
      </c>
      <c r="B137" s="2">
        <v>2</v>
      </c>
      <c r="C137" s="2" t="s">
        <v>892</v>
      </c>
      <c r="D137" s="2" t="s">
        <v>894</v>
      </c>
      <c r="E137" s="65">
        <v>480</v>
      </c>
      <c r="F137" s="65">
        <f t="shared" si="4"/>
        <v>960</v>
      </c>
      <c r="G137" s="2" t="s">
        <v>8</v>
      </c>
      <c r="H137" s="2"/>
      <c r="I137" s="2"/>
    </row>
    <row r="138" spans="1:12" hidden="1" x14ac:dyDescent="0.25">
      <c r="A138" s="68">
        <v>46010</v>
      </c>
      <c r="B138" s="2">
        <v>2</v>
      </c>
      <c r="C138" s="2" t="s">
        <v>892</v>
      </c>
      <c r="D138" s="2" t="s">
        <v>714</v>
      </c>
      <c r="E138" s="65">
        <v>480</v>
      </c>
      <c r="F138" s="65">
        <f t="shared" si="4"/>
        <v>960</v>
      </c>
      <c r="G138" s="2" t="s">
        <v>348</v>
      </c>
      <c r="H138" s="2"/>
      <c r="I138" s="2"/>
      <c r="K138">
        <v>387</v>
      </c>
      <c r="L138">
        <f>K138*L133</f>
        <v>135450</v>
      </c>
    </row>
    <row r="139" spans="1:12" hidden="1" x14ac:dyDescent="0.25">
      <c r="A139" s="68">
        <v>46010</v>
      </c>
      <c r="B139" s="2">
        <v>2</v>
      </c>
      <c r="C139" s="2" t="s">
        <v>892</v>
      </c>
      <c r="D139" s="2" t="s">
        <v>714</v>
      </c>
      <c r="E139" s="65">
        <v>480</v>
      </c>
      <c r="F139" s="65">
        <f t="shared" si="4"/>
        <v>960</v>
      </c>
      <c r="G139" s="2" t="s">
        <v>348</v>
      </c>
      <c r="H139" s="2"/>
      <c r="I139" s="2"/>
      <c r="L139">
        <v>66000</v>
      </c>
    </row>
    <row r="140" spans="1:12" hidden="1" x14ac:dyDescent="0.25">
      <c r="A140" s="68">
        <v>46010</v>
      </c>
      <c r="B140" s="2">
        <v>4</v>
      </c>
      <c r="C140" s="2" t="s">
        <v>883</v>
      </c>
      <c r="D140" s="2" t="s">
        <v>103</v>
      </c>
      <c r="E140" s="65">
        <v>477</v>
      </c>
      <c r="F140" s="65">
        <f t="shared" si="4"/>
        <v>1908</v>
      </c>
      <c r="G140" s="2" t="s">
        <v>8</v>
      </c>
      <c r="H140" s="2"/>
      <c r="I140" s="2"/>
    </row>
    <row r="141" spans="1:12" hidden="1" x14ac:dyDescent="0.25">
      <c r="A141" s="68">
        <v>46010</v>
      </c>
      <c r="B141" s="2">
        <v>4</v>
      </c>
      <c r="C141" s="2" t="s">
        <v>895</v>
      </c>
      <c r="D141" s="2" t="s">
        <v>103</v>
      </c>
      <c r="E141" s="65">
        <v>629</v>
      </c>
      <c r="F141" s="65">
        <f t="shared" si="4"/>
        <v>2516</v>
      </c>
      <c r="G141" s="2" t="s">
        <v>8</v>
      </c>
      <c r="H141" s="2"/>
      <c r="I141" s="2"/>
    </row>
    <row r="142" spans="1:12" hidden="1" x14ac:dyDescent="0.25">
      <c r="A142" s="68">
        <v>46010</v>
      </c>
      <c r="B142" s="2">
        <v>4</v>
      </c>
      <c r="C142" s="2" t="s">
        <v>883</v>
      </c>
      <c r="D142" s="2" t="s">
        <v>884</v>
      </c>
      <c r="E142" s="65">
        <v>477</v>
      </c>
      <c r="F142" s="65">
        <f t="shared" si="4"/>
        <v>1908</v>
      </c>
      <c r="G142" s="2" t="s">
        <v>8</v>
      </c>
      <c r="H142" s="2"/>
      <c r="I142" s="2"/>
    </row>
    <row r="143" spans="1:12" hidden="1" x14ac:dyDescent="0.25">
      <c r="A143" s="68">
        <v>46010</v>
      </c>
      <c r="B143" s="2">
        <v>4</v>
      </c>
      <c r="C143" s="2" t="s">
        <v>895</v>
      </c>
      <c r="D143" s="2" t="s">
        <v>884</v>
      </c>
      <c r="E143" s="65">
        <v>629</v>
      </c>
      <c r="F143" s="65">
        <f t="shared" si="4"/>
        <v>2516</v>
      </c>
      <c r="G143" s="2" t="s">
        <v>8</v>
      </c>
      <c r="H143" s="2"/>
      <c r="I143" s="2"/>
    </row>
    <row r="144" spans="1:12" hidden="1" x14ac:dyDescent="0.25">
      <c r="A144" s="68">
        <v>46010</v>
      </c>
      <c r="B144" s="2">
        <v>3</v>
      </c>
      <c r="C144" s="2" t="s">
        <v>883</v>
      </c>
      <c r="D144" s="2" t="s">
        <v>887</v>
      </c>
      <c r="E144" s="65">
        <v>477</v>
      </c>
      <c r="F144" s="65">
        <f t="shared" si="4"/>
        <v>1431</v>
      </c>
      <c r="G144" s="2" t="s">
        <v>8</v>
      </c>
      <c r="H144" s="2"/>
      <c r="I144" s="2"/>
    </row>
    <row r="145" spans="1:15" hidden="1" x14ac:dyDescent="0.25">
      <c r="A145" s="68">
        <v>46010</v>
      </c>
      <c r="B145" s="2">
        <v>3</v>
      </c>
      <c r="C145" s="2" t="s">
        <v>895</v>
      </c>
      <c r="D145" s="2" t="s">
        <v>887</v>
      </c>
      <c r="E145" s="65">
        <v>629</v>
      </c>
      <c r="F145" s="65">
        <f t="shared" si="4"/>
        <v>1887</v>
      </c>
      <c r="G145" s="2" t="s">
        <v>8</v>
      </c>
      <c r="H145" s="2"/>
      <c r="I145" s="2"/>
    </row>
    <row r="146" spans="1:15" hidden="1" x14ac:dyDescent="0.25">
      <c r="A146" s="68">
        <v>46010</v>
      </c>
      <c r="B146" s="2">
        <v>2</v>
      </c>
      <c r="C146" s="2" t="s">
        <v>896</v>
      </c>
      <c r="D146" s="2" t="s">
        <v>318</v>
      </c>
      <c r="E146" s="65">
        <v>479</v>
      </c>
      <c r="F146" s="65">
        <f t="shared" si="4"/>
        <v>958</v>
      </c>
      <c r="G146" s="2" t="s">
        <v>8</v>
      </c>
      <c r="H146" s="2"/>
      <c r="I146" s="2"/>
      <c r="O146">
        <v>3735</v>
      </c>
    </row>
    <row r="147" spans="1:15" hidden="1" x14ac:dyDescent="0.25">
      <c r="A147" s="68">
        <v>46010</v>
      </c>
      <c r="B147" s="2">
        <v>10</v>
      </c>
      <c r="C147" s="2" t="s">
        <v>837</v>
      </c>
      <c r="D147" s="2" t="s">
        <v>864</v>
      </c>
      <c r="E147" s="65">
        <v>1400</v>
      </c>
      <c r="F147" s="65">
        <f t="shared" ref="F147" si="6">E147*B147</f>
        <v>14000</v>
      </c>
      <c r="G147" s="2" t="s">
        <v>905</v>
      </c>
      <c r="H147" s="2"/>
      <c r="I147" s="2"/>
      <c r="O147">
        <v>2490</v>
      </c>
    </row>
    <row r="148" spans="1:15" hidden="1" x14ac:dyDescent="0.25">
      <c r="A148" s="68">
        <v>46010</v>
      </c>
      <c r="B148" s="2">
        <v>10</v>
      </c>
      <c r="C148" s="2" t="s">
        <v>804</v>
      </c>
      <c r="D148" s="2" t="s">
        <v>864</v>
      </c>
      <c r="E148" s="65">
        <v>415</v>
      </c>
      <c r="F148" s="65">
        <f t="shared" si="4"/>
        <v>4150</v>
      </c>
      <c r="G148" s="2" t="s">
        <v>905</v>
      </c>
      <c r="H148" s="2"/>
      <c r="I148" s="2"/>
      <c r="O148">
        <f>(O147-O146)</f>
        <v>-1245</v>
      </c>
    </row>
    <row r="149" spans="1:15" hidden="1" x14ac:dyDescent="0.25">
      <c r="A149" s="68">
        <v>46010</v>
      </c>
      <c r="B149" s="2">
        <v>20</v>
      </c>
      <c r="C149" s="2" t="s">
        <v>897</v>
      </c>
      <c r="D149" s="2" t="s">
        <v>864</v>
      </c>
      <c r="E149" s="65">
        <v>765</v>
      </c>
      <c r="F149" s="65">
        <f t="shared" si="4"/>
        <v>15300</v>
      </c>
      <c r="G149" s="2" t="s">
        <v>905</v>
      </c>
      <c r="H149" s="2"/>
      <c r="I149" s="2"/>
    </row>
    <row r="150" spans="1:15" hidden="1" x14ac:dyDescent="0.25">
      <c r="A150" s="68">
        <v>46010</v>
      </c>
      <c r="B150" s="2">
        <v>3</v>
      </c>
      <c r="C150" s="2" t="s">
        <v>899</v>
      </c>
      <c r="D150" s="2" t="s">
        <v>864</v>
      </c>
      <c r="E150" s="65">
        <v>3300</v>
      </c>
      <c r="F150" s="65">
        <f t="shared" si="4"/>
        <v>9900</v>
      </c>
      <c r="G150" s="2" t="s">
        <v>905</v>
      </c>
      <c r="H150" s="2"/>
      <c r="I150" s="2"/>
    </row>
    <row r="151" spans="1:15" hidden="1" x14ac:dyDescent="0.25">
      <c r="A151" s="68">
        <v>46010</v>
      </c>
      <c r="B151" s="2">
        <v>2</v>
      </c>
      <c r="C151" s="2" t="s">
        <v>898</v>
      </c>
      <c r="D151" s="2" t="s">
        <v>864</v>
      </c>
      <c r="E151" s="65">
        <v>2500</v>
      </c>
      <c r="F151" s="65">
        <f t="shared" si="4"/>
        <v>5000</v>
      </c>
      <c r="G151" s="2" t="s">
        <v>905</v>
      </c>
      <c r="H151" s="2"/>
      <c r="I151" s="2"/>
    </row>
    <row r="152" spans="1:15" hidden="1" x14ac:dyDescent="0.25">
      <c r="A152" s="68">
        <v>46011</v>
      </c>
      <c r="B152" s="2">
        <v>1</v>
      </c>
      <c r="C152" s="2" t="s">
        <v>804</v>
      </c>
      <c r="D152" s="2" t="s">
        <v>864</v>
      </c>
      <c r="E152" s="65">
        <v>415</v>
      </c>
      <c r="F152" s="65">
        <f t="shared" si="4"/>
        <v>415</v>
      </c>
      <c r="G152" s="2" t="s">
        <v>8</v>
      </c>
      <c r="H152" s="2"/>
      <c r="I152" s="2"/>
    </row>
    <row r="153" spans="1:15" hidden="1" x14ac:dyDescent="0.25">
      <c r="A153" s="68">
        <v>46011</v>
      </c>
      <c r="B153" s="2">
        <v>4</v>
      </c>
      <c r="C153" s="2" t="s">
        <v>664</v>
      </c>
      <c r="D153" s="2" t="s">
        <v>677</v>
      </c>
      <c r="E153" s="65">
        <v>398</v>
      </c>
      <c r="F153" s="65">
        <f t="shared" si="4"/>
        <v>1592</v>
      </c>
      <c r="G153" s="2" t="s">
        <v>952</v>
      </c>
      <c r="H153" s="2"/>
      <c r="I153" s="2"/>
    </row>
    <row r="154" spans="1:15" hidden="1" x14ac:dyDescent="0.25">
      <c r="A154" s="68">
        <v>46011</v>
      </c>
      <c r="B154" s="2">
        <v>5</v>
      </c>
      <c r="C154" s="2" t="s">
        <v>896</v>
      </c>
      <c r="D154" s="2" t="s">
        <v>887</v>
      </c>
      <c r="E154" s="65">
        <v>477</v>
      </c>
      <c r="F154" s="65">
        <f t="shared" si="4"/>
        <v>2385</v>
      </c>
      <c r="G154" s="2" t="s">
        <v>8</v>
      </c>
      <c r="H154" s="2"/>
      <c r="I154" s="2"/>
    </row>
    <row r="155" spans="1:15" hidden="1" x14ac:dyDescent="0.25">
      <c r="A155" s="68">
        <v>46011</v>
      </c>
      <c r="B155" s="2">
        <v>1</v>
      </c>
      <c r="C155" s="2" t="s">
        <v>907</v>
      </c>
      <c r="D155" s="2" t="s">
        <v>884</v>
      </c>
      <c r="E155" s="65">
        <v>549</v>
      </c>
      <c r="F155" s="65">
        <f t="shared" si="4"/>
        <v>549</v>
      </c>
      <c r="G155" s="2" t="s">
        <v>8</v>
      </c>
      <c r="H155" s="2"/>
      <c r="I155" s="2"/>
    </row>
    <row r="156" spans="1:15" hidden="1" x14ac:dyDescent="0.25">
      <c r="A156" s="68">
        <v>46011</v>
      </c>
      <c r="B156" s="2">
        <v>2</v>
      </c>
      <c r="C156" s="2" t="s">
        <v>896</v>
      </c>
      <c r="D156" s="2" t="s">
        <v>884</v>
      </c>
      <c r="E156" s="65">
        <v>477</v>
      </c>
      <c r="F156" s="65">
        <f t="shared" si="4"/>
        <v>954</v>
      </c>
      <c r="G156" s="2" t="s">
        <v>8</v>
      </c>
      <c r="H156" s="2"/>
      <c r="I156" s="2"/>
    </row>
    <row r="157" spans="1:15" hidden="1" x14ac:dyDescent="0.25">
      <c r="A157" s="68">
        <v>46011</v>
      </c>
      <c r="B157" s="18">
        <v>2</v>
      </c>
      <c r="C157" s="18" t="s">
        <v>716</v>
      </c>
      <c r="D157" s="18" t="s">
        <v>103</v>
      </c>
      <c r="E157" s="86">
        <v>477</v>
      </c>
      <c r="F157" s="86">
        <f t="shared" si="4"/>
        <v>954</v>
      </c>
      <c r="G157" s="18" t="s">
        <v>37</v>
      </c>
      <c r="H157" s="18"/>
      <c r="I157" s="18" t="s">
        <v>634</v>
      </c>
    </row>
    <row r="158" spans="1:15" hidden="1" x14ac:dyDescent="0.25">
      <c r="A158" s="68">
        <v>46011</v>
      </c>
      <c r="B158" s="18">
        <v>2</v>
      </c>
      <c r="C158" s="18" t="s">
        <v>907</v>
      </c>
      <c r="D158" s="18" t="s">
        <v>103</v>
      </c>
      <c r="E158" s="86">
        <v>549</v>
      </c>
      <c r="F158" s="86">
        <f t="shared" si="4"/>
        <v>1098</v>
      </c>
      <c r="G158" s="18" t="s">
        <v>37</v>
      </c>
      <c r="H158" s="18"/>
      <c r="I158" s="18" t="s">
        <v>634</v>
      </c>
    </row>
    <row r="159" spans="1:15" hidden="1" x14ac:dyDescent="0.25">
      <c r="A159" s="68">
        <v>46011</v>
      </c>
      <c r="B159" s="18">
        <v>2</v>
      </c>
      <c r="C159" s="18" t="s">
        <v>907</v>
      </c>
      <c r="D159" s="18" t="s">
        <v>444</v>
      </c>
      <c r="E159" s="86">
        <v>549</v>
      </c>
      <c r="F159" s="86">
        <f t="shared" ref="F159:F165" si="7">E159*B159</f>
        <v>1098</v>
      </c>
      <c r="G159" s="18" t="s">
        <v>914</v>
      </c>
      <c r="H159" s="18"/>
      <c r="I159" s="18" t="s">
        <v>634</v>
      </c>
    </row>
    <row r="160" spans="1:15" hidden="1" x14ac:dyDescent="0.25">
      <c r="A160" s="68">
        <v>46011</v>
      </c>
      <c r="B160" s="2">
        <v>2</v>
      </c>
      <c r="C160" s="2" t="s">
        <v>895</v>
      </c>
      <c r="D160" s="2" t="s">
        <v>444</v>
      </c>
      <c r="E160" s="65">
        <v>629</v>
      </c>
      <c r="F160" s="65">
        <f t="shared" si="7"/>
        <v>1258</v>
      </c>
      <c r="G160" s="2" t="s">
        <v>990</v>
      </c>
      <c r="H160" s="2"/>
      <c r="I160" s="2"/>
      <c r="J160">
        <v>4441</v>
      </c>
    </row>
    <row r="161" spans="1:12" hidden="1" x14ac:dyDescent="0.25">
      <c r="A161" s="68">
        <v>46011</v>
      </c>
      <c r="B161" s="2">
        <v>2</v>
      </c>
      <c r="C161" s="2" t="s">
        <v>896</v>
      </c>
      <c r="D161" s="2" t="s">
        <v>444</v>
      </c>
      <c r="E161" s="65">
        <v>477</v>
      </c>
      <c r="F161" s="65">
        <f t="shared" si="7"/>
        <v>954</v>
      </c>
      <c r="G161" s="2" t="s">
        <v>990</v>
      </c>
      <c r="H161" s="2"/>
      <c r="I161" s="2"/>
      <c r="J161">
        <v>4441</v>
      </c>
    </row>
    <row r="162" spans="1:12" hidden="1" x14ac:dyDescent="0.25">
      <c r="A162" s="68">
        <v>46011</v>
      </c>
      <c r="B162" s="18">
        <v>5</v>
      </c>
      <c r="C162" s="18" t="s">
        <v>907</v>
      </c>
      <c r="D162" s="18" t="s">
        <v>103</v>
      </c>
      <c r="E162" s="86">
        <v>549</v>
      </c>
      <c r="F162" s="86">
        <f t="shared" si="7"/>
        <v>2745</v>
      </c>
      <c r="G162" s="18" t="s">
        <v>914</v>
      </c>
      <c r="H162" s="18"/>
      <c r="I162" s="18" t="s">
        <v>634</v>
      </c>
    </row>
    <row r="163" spans="1:12" hidden="1" x14ac:dyDescent="0.25">
      <c r="A163" s="68">
        <v>46011</v>
      </c>
      <c r="B163" s="2">
        <v>2</v>
      </c>
      <c r="C163" s="2" t="s">
        <v>896</v>
      </c>
      <c r="D163" s="2" t="s">
        <v>908</v>
      </c>
      <c r="E163" s="65">
        <v>477</v>
      </c>
      <c r="F163" s="65">
        <f t="shared" si="7"/>
        <v>954</v>
      </c>
      <c r="G163" s="2" t="s">
        <v>1005</v>
      </c>
      <c r="H163" s="2"/>
      <c r="I163" s="2"/>
      <c r="J163">
        <v>9647</v>
      </c>
    </row>
    <row r="164" spans="1:12" hidden="1" x14ac:dyDescent="0.25">
      <c r="A164" s="68">
        <v>46011</v>
      </c>
      <c r="B164" s="2">
        <v>3</v>
      </c>
      <c r="C164" s="2" t="s">
        <v>907</v>
      </c>
      <c r="D164" s="2" t="s">
        <v>915</v>
      </c>
      <c r="E164" s="65">
        <v>549</v>
      </c>
      <c r="F164" s="65">
        <f t="shared" si="7"/>
        <v>1647</v>
      </c>
      <c r="G164" s="2" t="s">
        <v>913</v>
      </c>
      <c r="H164" s="2"/>
      <c r="I164" s="2"/>
      <c r="J164">
        <v>9670</v>
      </c>
    </row>
    <row r="165" spans="1:12" hidden="1" x14ac:dyDescent="0.25">
      <c r="A165" s="68">
        <v>46011</v>
      </c>
      <c r="B165" s="2">
        <v>2</v>
      </c>
      <c r="C165" s="2" t="s">
        <v>896</v>
      </c>
      <c r="D165" s="2" t="s">
        <v>915</v>
      </c>
      <c r="E165" s="65">
        <v>477</v>
      </c>
      <c r="F165" s="65">
        <f t="shared" si="7"/>
        <v>954</v>
      </c>
      <c r="G165" s="2" t="s">
        <v>913</v>
      </c>
      <c r="H165" s="2"/>
      <c r="I165" s="2"/>
      <c r="J165">
        <v>9670</v>
      </c>
    </row>
    <row r="166" spans="1:12" hidden="1" x14ac:dyDescent="0.25">
      <c r="A166" s="68">
        <v>46011</v>
      </c>
      <c r="B166" s="2">
        <v>3</v>
      </c>
      <c r="C166" s="2" t="s">
        <v>907</v>
      </c>
      <c r="D166" s="2" t="s">
        <v>103</v>
      </c>
      <c r="E166" s="65">
        <v>549</v>
      </c>
      <c r="F166" s="65">
        <f>B166*E166</f>
        <v>1647</v>
      </c>
      <c r="G166" s="2" t="s">
        <v>8</v>
      </c>
      <c r="H166" s="2"/>
      <c r="I166" s="2"/>
    </row>
    <row r="167" spans="1:12" hidden="1" x14ac:dyDescent="0.25">
      <c r="A167" s="68">
        <v>46011</v>
      </c>
      <c r="B167" s="2">
        <v>3</v>
      </c>
      <c r="C167" s="2" t="s">
        <v>896</v>
      </c>
      <c r="D167" s="2" t="s">
        <v>103</v>
      </c>
      <c r="E167" s="65">
        <v>477</v>
      </c>
      <c r="F167" s="65">
        <f t="shared" ref="F167:F168" si="8">B167*E167</f>
        <v>1431</v>
      </c>
      <c r="G167" s="2" t="s">
        <v>8</v>
      </c>
      <c r="H167" s="2"/>
      <c r="I167" s="2"/>
    </row>
    <row r="168" spans="1:12" hidden="1" x14ac:dyDescent="0.25">
      <c r="A168" s="68">
        <v>46011</v>
      </c>
      <c r="B168" s="2">
        <v>9</v>
      </c>
      <c r="C168" s="2" t="s">
        <v>895</v>
      </c>
      <c r="D168" s="2" t="s">
        <v>103</v>
      </c>
      <c r="E168" s="65">
        <v>629</v>
      </c>
      <c r="F168" s="65">
        <f t="shared" si="8"/>
        <v>5661</v>
      </c>
      <c r="G168" s="2" t="s">
        <v>8</v>
      </c>
      <c r="H168" s="2"/>
      <c r="I168" s="2"/>
      <c r="L168" s="2"/>
    </row>
    <row r="169" spans="1:12" hidden="1" x14ac:dyDescent="0.25">
      <c r="A169" s="68">
        <v>46011</v>
      </c>
      <c r="B169" s="2">
        <v>4</v>
      </c>
      <c r="C169" s="2" t="s">
        <v>907</v>
      </c>
      <c r="D169" s="2" t="s">
        <v>444</v>
      </c>
      <c r="E169" s="65">
        <v>549</v>
      </c>
      <c r="F169" s="65">
        <v>2196</v>
      </c>
      <c r="G169" s="2" t="s">
        <v>8</v>
      </c>
      <c r="H169" s="2"/>
      <c r="I169" s="2"/>
      <c r="L169" s="2"/>
    </row>
    <row r="170" spans="1:12" hidden="1" x14ac:dyDescent="0.25">
      <c r="A170" s="68">
        <v>46011</v>
      </c>
      <c r="B170" s="2">
        <v>2</v>
      </c>
      <c r="C170" s="2" t="s">
        <v>896</v>
      </c>
      <c r="D170" s="2" t="s">
        <v>444</v>
      </c>
      <c r="E170" s="65">
        <v>477</v>
      </c>
      <c r="F170" s="65">
        <v>954</v>
      </c>
      <c r="G170" s="2" t="s">
        <v>8</v>
      </c>
      <c r="H170" s="2"/>
      <c r="I170" s="2"/>
      <c r="L170" s="2"/>
    </row>
    <row r="171" spans="1:12" hidden="1" x14ac:dyDescent="0.25">
      <c r="A171" s="68">
        <v>46011</v>
      </c>
      <c r="B171" s="2">
        <v>2</v>
      </c>
      <c r="C171" s="2" t="s">
        <v>896</v>
      </c>
      <c r="D171" s="2" t="s">
        <v>230</v>
      </c>
      <c r="E171" s="65">
        <v>454</v>
      </c>
      <c r="F171" s="65">
        <f>B171*E171</f>
        <v>908</v>
      </c>
      <c r="G171" s="2" t="s">
        <v>8</v>
      </c>
      <c r="H171" s="2"/>
      <c r="I171" s="2"/>
    </row>
    <row r="172" spans="1:12" hidden="1" x14ac:dyDescent="0.25">
      <c r="A172" s="68">
        <v>46011</v>
      </c>
      <c r="B172" s="2">
        <v>2</v>
      </c>
      <c r="C172" s="2" t="s">
        <v>697</v>
      </c>
      <c r="D172" s="2" t="s">
        <v>230</v>
      </c>
      <c r="E172" s="65">
        <v>125</v>
      </c>
      <c r="F172" s="65">
        <f>B172*E172</f>
        <v>250</v>
      </c>
      <c r="G172" s="2" t="s">
        <v>8</v>
      </c>
      <c r="H172" s="2"/>
      <c r="I172" s="2"/>
    </row>
    <row r="173" spans="1:12" hidden="1" x14ac:dyDescent="0.25">
      <c r="A173" s="68">
        <v>46011</v>
      </c>
      <c r="B173" s="2">
        <v>7</v>
      </c>
      <c r="C173" s="2" t="s">
        <v>907</v>
      </c>
      <c r="D173" s="2" t="s">
        <v>908</v>
      </c>
      <c r="E173" s="65">
        <v>549</v>
      </c>
      <c r="F173" s="65">
        <f>B173*E173</f>
        <v>3843</v>
      </c>
      <c r="G173" s="2" t="s">
        <v>8</v>
      </c>
      <c r="H173" s="2"/>
      <c r="I173" s="2"/>
    </row>
    <row r="174" spans="1:12" hidden="1" x14ac:dyDescent="0.25">
      <c r="A174" s="68">
        <v>46011</v>
      </c>
      <c r="B174" s="2">
        <v>10</v>
      </c>
      <c r="C174" s="2" t="s">
        <v>896</v>
      </c>
      <c r="D174" s="2" t="s">
        <v>908</v>
      </c>
      <c r="E174" s="65">
        <v>477</v>
      </c>
      <c r="F174" s="65">
        <f t="shared" ref="F174:F182" si="9">B174*E174</f>
        <v>4770</v>
      </c>
      <c r="G174" s="2" t="s">
        <v>8</v>
      </c>
      <c r="H174" s="2"/>
      <c r="I174" s="2"/>
    </row>
    <row r="175" spans="1:12" hidden="1" x14ac:dyDescent="0.25">
      <c r="A175" s="68">
        <v>46011</v>
      </c>
      <c r="B175" s="2">
        <v>5</v>
      </c>
      <c r="C175" s="2" t="s">
        <v>895</v>
      </c>
      <c r="D175" s="2" t="s">
        <v>908</v>
      </c>
      <c r="E175" s="65">
        <v>629</v>
      </c>
      <c r="F175" s="65">
        <f t="shared" si="9"/>
        <v>3145</v>
      </c>
      <c r="G175" s="2" t="s">
        <v>8</v>
      </c>
      <c r="H175" s="2"/>
      <c r="I175" s="2"/>
    </row>
    <row r="176" spans="1:12" hidden="1" x14ac:dyDescent="0.25">
      <c r="A176" s="68">
        <v>46011</v>
      </c>
      <c r="B176" s="2">
        <v>2</v>
      </c>
      <c r="C176" s="2" t="s">
        <v>909</v>
      </c>
      <c r="D176" s="2" t="s">
        <v>908</v>
      </c>
      <c r="E176" s="65">
        <v>477</v>
      </c>
      <c r="F176" s="65">
        <f t="shared" si="9"/>
        <v>954</v>
      </c>
      <c r="G176" s="2" t="s">
        <v>8</v>
      </c>
      <c r="H176" s="2"/>
      <c r="I176" s="2"/>
    </row>
    <row r="177" spans="1:10" hidden="1" x14ac:dyDescent="0.25">
      <c r="A177" s="68">
        <v>46011</v>
      </c>
      <c r="B177" s="2">
        <v>4</v>
      </c>
      <c r="C177" s="2" t="s">
        <v>896</v>
      </c>
      <c r="D177" s="2" t="s">
        <v>491</v>
      </c>
      <c r="E177" s="65">
        <v>477</v>
      </c>
      <c r="F177" s="65">
        <f t="shared" si="9"/>
        <v>1908</v>
      </c>
      <c r="G177" s="2" t="s">
        <v>8</v>
      </c>
      <c r="H177" s="2"/>
      <c r="I177" s="2"/>
    </row>
    <row r="178" spans="1:10" hidden="1" x14ac:dyDescent="0.25">
      <c r="A178" s="68">
        <v>46011</v>
      </c>
      <c r="B178" s="2">
        <v>22</v>
      </c>
      <c r="C178" s="2" t="s">
        <v>664</v>
      </c>
      <c r="D178" s="2" t="s">
        <v>910</v>
      </c>
      <c r="E178" s="65">
        <v>399</v>
      </c>
      <c r="F178" s="65">
        <f t="shared" si="9"/>
        <v>8778</v>
      </c>
      <c r="G178" s="2" t="s">
        <v>911</v>
      </c>
      <c r="H178" s="2"/>
      <c r="I178" s="2"/>
    </row>
    <row r="179" spans="1:10" hidden="1" x14ac:dyDescent="0.25">
      <c r="A179" s="68">
        <v>46011</v>
      </c>
      <c r="B179" s="2">
        <v>3</v>
      </c>
      <c r="C179" s="2" t="s">
        <v>895</v>
      </c>
      <c r="D179" s="2" t="s">
        <v>910</v>
      </c>
      <c r="E179" s="65">
        <v>629</v>
      </c>
      <c r="F179" s="65">
        <f t="shared" si="9"/>
        <v>1887</v>
      </c>
      <c r="G179" s="2" t="s">
        <v>911</v>
      </c>
      <c r="H179" s="2"/>
      <c r="I179" s="2" t="s">
        <v>912</v>
      </c>
    </row>
    <row r="180" spans="1:10" hidden="1" x14ac:dyDescent="0.25">
      <c r="A180" s="68">
        <v>46011</v>
      </c>
      <c r="B180" s="2">
        <v>2</v>
      </c>
      <c r="C180" s="2" t="s">
        <v>896</v>
      </c>
      <c r="D180" s="2" t="s">
        <v>910</v>
      </c>
      <c r="E180" s="65">
        <v>477</v>
      </c>
      <c r="F180" s="65">
        <f t="shared" si="9"/>
        <v>954</v>
      </c>
      <c r="G180" s="2" t="s">
        <v>911</v>
      </c>
      <c r="H180" s="2"/>
      <c r="I180" s="2" t="s">
        <v>912</v>
      </c>
    </row>
    <row r="181" spans="1:10" hidden="1" x14ac:dyDescent="0.25">
      <c r="A181" s="85">
        <v>46012</v>
      </c>
      <c r="B181" s="18">
        <v>2</v>
      </c>
      <c r="C181" s="18" t="s">
        <v>896</v>
      </c>
      <c r="D181" s="18" t="s">
        <v>915</v>
      </c>
      <c r="E181" s="86">
        <v>477</v>
      </c>
      <c r="F181" s="86">
        <f t="shared" si="9"/>
        <v>954</v>
      </c>
      <c r="G181" s="18" t="s">
        <v>919</v>
      </c>
      <c r="H181" s="18"/>
      <c r="I181" s="18" t="s">
        <v>983</v>
      </c>
      <c r="J181">
        <v>35613</v>
      </c>
    </row>
    <row r="182" spans="1:10" hidden="1" x14ac:dyDescent="0.25">
      <c r="A182" s="68">
        <v>46012</v>
      </c>
      <c r="B182" s="2">
        <v>2</v>
      </c>
      <c r="C182" s="2" t="s">
        <v>895</v>
      </c>
      <c r="D182" s="2" t="s">
        <v>915</v>
      </c>
      <c r="E182" s="65">
        <v>629</v>
      </c>
      <c r="F182" s="65">
        <f t="shared" si="9"/>
        <v>1258</v>
      </c>
      <c r="G182" s="10" t="s">
        <v>913</v>
      </c>
      <c r="H182" s="2"/>
      <c r="I182" s="2"/>
      <c r="J182">
        <v>35613</v>
      </c>
    </row>
    <row r="183" spans="1:10" hidden="1" x14ac:dyDescent="0.25">
      <c r="A183" s="68">
        <v>46012</v>
      </c>
      <c r="B183" s="2">
        <v>2</v>
      </c>
      <c r="C183" s="2" t="s">
        <v>896</v>
      </c>
      <c r="D183" s="2" t="s">
        <v>884</v>
      </c>
      <c r="E183" s="65">
        <v>477</v>
      </c>
      <c r="F183" s="65">
        <f t="shared" ref="F183:F184" si="10">B183*E183</f>
        <v>954</v>
      </c>
      <c r="G183" s="2" t="s">
        <v>922</v>
      </c>
      <c r="H183" s="2"/>
      <c r="I183" s="2"/>
    </row>
    <row r="184" spans="1:10" hidden="1" x14ac:dyDescent="0.25">
      <c r="A184" s="68">
        <v>46012</v>
      </c>
      <c r="B184" s="2">
        <v>2</v>
      </c>
      <c r="C184" s="2" t="s">
        <v>896</v>
      </c>
      <c r="D184" s="2" t="s">
        <v>884</v>
      </c>
      <c r="E184" s="65">
        <v>629</v>
      </c>
      <c r="F184" s="65">
        <f t="shared" si="10"/>
        <v>1258</v>
      </c>
      <c r="G184" s="2" t="s">
        <v>922</v>
      </c>
      <c r="H184" s="2"/>
      <c r="I184" s="2"/>
    </row>
    <row r="185" spans="1:10" hidden="1" x14ac:dyDescent="0.25">
      <c r="A185" s="68">
        <v>46012</v>
      </c>
      <c r="B185" s="2">
        <v>2</v>
      </c>
      <c r="C185" s="2" t="s">
        <v>896</v>
      </c>
      <c r="D185" s="2" t="s">
        <v>887</v>
      </c>
      <c r="E185" s="65">
        <v>477</v>
      </c>
      <c r="F185" s="65">
        <v>954</v>
      </c>
      <c r="G185" s="18" t="s">
        <v>993</v>
      </c>
      <c r="H185" s="2"/>
      <c r="I185" s="2"/>
      <c r="J185">
        <v>5693</v>
      </c>
    </row>
    <row r="186" spans="1:10" hidden="1" x14ac:dyDescent="0.25">
      <c r="A186" s="87">
        <v>46012</v>
      </c>
      <c r="B186" s="88">
        <v>2</v>
      </c>
      <c r="C186" s="88" t="s">
        <v>896</v>
      </c>
      <c r="D186" s="88" t="s">
        <v>916</v>
      </c>
      <c r="E186" s="89">
        <v>477</v>
      </c>
      <c r="F186" s="89">
        <v>954</v>
      </c>
      <c r="G186" s="18" t="s">
        <v>993</v>
      </c>
      <c r="H186" s="88"/>
      <c r="I186" s="88"/>
    </row>
    <row r="187" spans="1:10" hidden="1" x14ac:dyDescent="0.25">
      <c r="A187" s="68">
        <v>46012</v>
      </c>
      <c r="B187" s="2">
        <v>2</v>
      </c>
      <c r="C187" s="2" t="s">
        <v>896</v>
      </c>
      <c r="D187" s="2" t="s">
        <v>916</v>
      </c>
      <c r="E187" s="65">
        <v>477</v>
      </c>
      <c r="F187" s="65">
        <v>954</v>
      </c>
      <c r="G187" s="18" t="s">
        <v>993</v>
      </c>
      <c r="H187" s="2"/>
      <c r="I187" s="2"/>
    </row>
    <row r="188" spans="1:10" hidden="1" x14ac:dyDescent="0.25">
      <c r="A188" s="68">
        <v>46012</v>
      </c>
      <c r="B188" s="2">
        <v>2</v>
      </c>
      <c r="C188" s="2" t="s">
        <v>896</v>
      </c>
      <c r="D188" s="2" t="s">
        <v>444</v>
      </c>
      <c r="E188" s="65">
        <v>477</v>
      </c>
      <c r="F188" s="65">
        <v>954</v>
      </c>
      <c r="G188" s="2" t="s">
        <v>990</v>
      </c>
      <c r="H188" s="2"/>
      <c r="I188" s="2"/>
      <c r="J188">
        <v>5757</v>
      </c>
    </row>
    <row r="189" spans="1:10" hidden="1" x14ac:dyDescent="0.25">
      <c r="A189" s="68">
        <v>46012</v>
      </c>
      <c r="B189" s="2">
        <v>2</v>
      </c>
      <c r="C189" s="2" t="s">
        <v>895</v>
      </c>
      <c r="D189" s="2" t="s">
        <v>444</v>
      </c>
      <c r="E189" s="65">
        <v>629</v>
      </c>
      <c r="F189" s="65">
        <v>1258</v>
      </c>
      <c r="G189" s="2" t="s">
        <v>990</v>
      </c>
      <c r="H189" s="2"/>
      <c r="I189" s="2"/>
      <c r="J189">
        <v>5767</v>
      </c>
    </row>
    <row r="190" spans="1:10" hidden="1" x14ac:dyDescent="0.25">
      <c r="A190" s="85">
        <v>46012</v>
      </c>
      <c r="B190" s="18">
        <v>2</v>
      </c>
      <c r="C190" s="2" t="s">
        <v>896</v>
      </c>
      <c r="D190" s="18" t="s">
        <v>915</v>
      </c>
      <c r="E190" s="86">
        <v>477</v>
      </c>
      <c r="F190" s="86">
        <v>954</v>
      </c>
      <c r="G190" s="18" t="s">
        <v>919</v>
      </c>
      <c r="H190" s="2"/>
      <c r="I190" s="18" t="s">
        <v>983</v>
      </c>
      <c r="J190">
        <v>35792</v>
      </c>
    </row>
    <row r="191" spans="1:10" hidden="1" x14ac:dyDescent="0.25">
      <c r="A191" s="68">
        <v>46012</v>
      </c>
      <c r="B191" s="2">
        <v>2</v>
      </c>
      <c r="C191" s="2" t="s">
        <v>896</v>
      </c>
      <c r="D191" s="2" t="s">
        <v>887</v>
      </c>
      <c r="E191" s="65">
        <v>477</v>
      </c>
      <c r="F191" s="65">
        <v>954</v>
      </c>
      <c r="G191" s="18" t="s">
        <v>993</v>
      </c>
      <c r="H191" s="2"/>
      <c r="I191" s="2"/>
      <c r="J191">
        <v>5816</v>
      </c>
    </row>
    <row r="192" spans="1:10" hidden="1" x14ac:dyDescent="0.25">
      <c r="A192" s="68">
        <v>46012</v>
      </c>
      <c r="B192" s="2">
        <v>2</v>
      </c>
      <c r="C192" s="2" t="s">
        <v>896</v>
      </c>
      <c r="D192" s="2" t="s">
        <v>917</v>
      </c>
      <c r="E192" s="65">
        <v>477</v>
      </c>
      <c r="F192" s="65">
        <v>954</v>
      </c>
      <c r="G192" s="2" t="s">
        <v>913</v>
      </c>
      <c r="H192" s="2"/>
      <c r="I192" s="2"/>
    </row>
    <row r="193" spans="1:9" hidden="1" x14ac:dyDescent="0.25">
      <c r="A193" s="68">
        <v>46012</v>
      </c>
      <c r="B193" s="2">
        <v>2</v>
      </c>
      <c r="C193" s="2" t="s">
        <v>896</v>
      </c>
      <c r="D193" s="2" t="s">
        <v>917</v>
      </c>
      <c r="E193" s="65">
        <v>477</v>
      </c>
      <c r="F193" s="65">
        <v>954</v>
      </c>
      <c r="G193" s="2" t="s">
        <v>913</v>
      </c>
      <c r="H193" s="2"/>
      <c r="I193" s="2"/>
    </row>
    <row r="194" spans="1:9" hidden="1" x14ac:dyDescent="0.25">
      <c r="A194" s="68">
        <v>46012</v>
      </c>
      <c r="B194" s="2">
        <v>2</v>
      </c>
      <c r="C194" s="2" t="s">
        <v>896</v>
      </c>
      <c r="D194" s="2" t="s">
        <v>918</v>
      </c>
      <c r="E194" s="65">
        <v>477</v>
      </c>
      <c r="F194" s="65">
        <v>954</v>
      </c>
      <c r="G194" s="2" t="s">
        <v>913</v>
      </c>
      <c r="H194" s="2"/>
      <c r="I194" s="2"/>
    </row>
    <row r="195" spans="1:9" hidden="1" x14ac:dyDescent="0.25">
      <c r="A195" s="68">
        <v>46012</v>
      </c>
      <c r="B195" s="2">
        <v>2</v>
      </c>
      <c r="C195" s="2" t="s">
        <v>896</v>
      </c>
      <c r="D195" s="2" t="s">
        <v>918</v>
      </c>
      <c r="E195" s="65">
        <v>477</v>
      </c>
      <c r="F195" s="65">
        <v>954</v>
      </c>
      <c r="G195" s="2" t="s">
        <v>913</v>
      </c>
      <c r="H195" s="2"/>
      <c r="I195" s="2"/>
    </row>
    <row r="196" spans="1:9" hidden="1" x14ac:dyDescent="0.25">
      <c r="A196" s="68">
        <v>46012</v>
      </c>
      <c r="B196" s="2">
        <v>2</v>
      </c>
      <c r="C196" s="2" t="s">
        <v>896</v>
      </c>
      <c r="D196" s="2" t="s">
        <v>917</v>
      </c>
      <c r="E196" s="65">
        <v>477</v>
      </c>
      <c r="F196" s="65">
        <v>954</v>
      </c>
      <c r="G196" s="2" t="s">
        <v>913</v>
      </c>
      <c r="H196" s="2"/>
      <c r="I196" s="2"/>
    </row>
    <row r="197" spans="1:9" hidden="1" x14ac:dyDescent="0.25">
      <c r="A197" s="68">
        <v>46012</v>
      </c>
      <c r="B197" s="2">
        <v>2</v>
      </c>
      <c r="C197" s="2" t="s">
        <v>896</v>
      </c>
      <c r="D197" s="2" t="s">
        <v>917</v>
      </c>
      <c r="E197" s="65">
        <v>477</v>
      </c>
      <c r="F197" s="65">
        <f>B197*E197</f>
        <v>954</v>
      </c>
      <c r="G197" s="2" t="s">
        <v>913</v>
      </c>
      <c r="H197" s="2"/>
      <c r="I197" s="2"/>
    </row>
    <row r="198" spans="1:9" hidden="1" x14ac:dyDescent="0.25">
      <c r="A198" s="68">
        <v>46012</v>
      </c>
      <c r="B198" s="2">
        <v>2</v>
      </c>
      <c r="C198" s="2" t="s">
        <v>895</v>
      </c>
      <c r="D198" s="2" t="s">
        <v>917</v>
      </c>
      <c r="E198" s="65">
        <v>629</v>
      </c>
      <c r="F198" s="65">
        <f>B198*E198</f>
        <v>1258</v>
      </c>
      <c r="G198" s="2" t="s">
        <v>913</v>
      </c>
      <c r="H198" s="2"/>
      <c r="I198" s="2"/>
    </row>
    <row r="199" spans="1:9" hidden="1" x14ac:dyDescent="0.25">
      <c r="A199" s="68">
        <v>46012</v>
      </c>
      <c r="B199" s="2">
        <v>2</v>
      </c>
      <c r="C199" s="2" t="s">
        <v>909</v>
      </c>
      <c r="D199" s="2" t="s">
        <v>917</v>
      </c>
      <c r="E199" s="65">
        <v>477</v>
      </c>
      <c r="F199" s="65">
        <f t="shared" ref="F199" si="11">B199*E199</f>
        <v>954</v>
      </c>
      <c r="G199" s="2" t="s">
        <v>913</v>
      </c>
      <c r="H199" s="2"/>
      <c r="I199" s="2"/>
    </row>
    <row r="200" spans="1:9" hidden="1" x14ac:dyDescent="0.25">
      <c r="A200" s="68">
        <v>46012</v>
      </c>
      <c r="B200" s="2">
        <v>4</v>
      </c>
      <c r="C200" s="2" t="s">
        <v>895</v>
      </c>
      <c r="D200" s="2" t="s">
        <v>915</v>
      </c>
      <c r="E200" s="65">
        <v>629</v>
      </c>
      <c r="F200" s="65">
        <v>2516</v>
      </c>
      <c r="G200" s="2" t="s">
        <v>913</v>
      </c>
      <c r="H200" s="2"/>
      <c r="I200" s="2"/>
    </row>
    <row r="201" spans="1:9" hidden="1" x14ac:dyDescent="0.25">
      <c r="A201" s="68">
        <v>46012</v>
      </c>
      <c r="B201" s="2">
        <v>2</v>
      </c>
      <c r="C201" s="2" t="s">
        <v>896</v>
      </c>
      <c r="D201" s="2" t="s">
        <v>920</v>
      </c>
      <c r="E201" s="65">
        <v>477</v>
      </c>
      <c r="F201" s="65">
        <v>954</v>
      </c>
      <c r="G201" s="2" t="s">
        <v>913</v>
      </c>
      <c r="H201" s="2"/>
      <c r="I201" s="2"/>
    </row>
    <row r="202" spans="1:9" hidden="1" x14ac:dyDescent="0.25">
      <c r="A202" s="68">
        <v>46012</v>
      </c>
      <c r="B202" s="2">
        <v>3</v>
      </c>
      <c r="C202" s="2" t="s">
        <v>896</v>
      </c>
      <c r="D202" s="2" t="s">
        <v>918</v>
      </c>
      <c r="E202" s="65">
        <v>477</v>
      </c>
      <c r="F202" s="65">
        <v>1431</v>
      </c>
      <c r="G202" s="2" t="s">
        <v>913</v>
      </c>
      <c r="H202" s="2"/>
      <c r="I202" s="2"/>
    </row>
    <row r="203" spans="1:9" hidden="1" x14ac:dyDescent="0.25">
      <c r="A203" s="68">
        <v>46012</v>
      </c>
      <c r="B203" s="2">
        <v>2</v>
      </c>
      <c r="C203" s="2" t="s">
        <v>895</v>
      </c>
      <c r="D203" s="2" t="s">
        <v>918</v>
      </c>
      <c r="E203" s="65">
        <v>629</v>
      </c>
      <c r="F203" s="65">
        <v>1258</v>
      </c>
      <c r="G203" s="2" t="s">
        <v>913</v>
      </c>
      <c r="H203" s="2"/>
      <c r="I203" s="2"/>
    </row>
    <row r="204" spans="1:9" hidden="1" x14ac:dyDescent="0.25">
      <c r="A204" s="68">
        <v>46012</v>
      </c>
      <c r="B204" s="2">
        <v>2</v>
      </c>
      <c r="C204" s="2" t="s">
        <v>896</v>
      </c>
      <c r="D204" s="2" t="s">
        <v>921</v>
      </c>
      <c r="E204" s="65">
        <v>477</v>
      </c>
      <c r="F204" s="65">
        <v>958</v>
      </c>
      <c r="G204" s="2" t="s">
        <v>913</v>
      </c>
      <c r="H204" s="2"/>
      <c r="I204" s="2"/>
    </row>
    <row r="205" spans="1:9" hidden="1" x14ac:dyDescent="0.25">
      <c r="A205" s="68">
        <v>46013</v>
      </c>
      <c r="B205" s="2">
        <v>1</v>
      </c>
      <c r="C205" s="2" t="s">
        <v>923</v>
      </c>
      <c r="D205" s="2" t="s">
        <v>924</v>
      </c>
      <c r="E205" s="65">
        <v>1500</v>
      </c>
      <c r="F205" s="65">
        <v>1500</v>
      </c>
      <c r="G205" s="2"/>
      <c r="H205" s="2"/>
      <c r="I205" s="2"/>
    </row>
    <row r="206" spans="1:9" hidden="1" x14ac:dyDescent="0.25">
      <c r="A206" s="68">
        <v>46013</v>
      </c>
      <c r="B206" s="2">
        <v>2</v>
      </c>
      <c r="C206" s="2" t="s">
        <v>896</v>
      </c>
      <c r="D206" s="2" t="s">
        <v>916</v>
      </c>
      <c r="E206" s="65">
        <v>477</v>
      </c>
      <c r="F206" s="65">
        <v>954</v>
      </c>
      <c r="G206" s="18" t="s">
        <v>993</v>
      </c>
      <c r="H206" s="2"/>
      <c r="I206" s="2"/>
    </row>
    <row r="207" spans="1:9" hidden="1" x14ac:dyDescent="0.25">
      <c r="A207" s="68">
        <v>46013</v>
      </c>
      <c r="B207" s="2">
        <v>2</v>
      </c>
      <c r="C207" s="2" t="s">
        <v>896</v>
      </c>
      <c r="D207" s="2" t="s">
        <v>926</v>
      </c>
      <c r="E207" s="65">
        <v>477</v>
      </c>
      <c r="F207" s="65">
        <v>954</v>
      </c>
      <c r="G207" s="18" t="s">
        <v>993</v>
      </c>
      <c r="H207" s="2"/>
      <c r="I207" s="2"/>
    </row>
    <row r="208" spans="1:9" hidden="1" x14ac:dyDescent="0.25">
      <c r="A208" s="68">
        <v>46013</v>
      </c>
      <c r="B208" s="2">
        <v>2</v>
      </c>
      <c r="C208" s="2" t="s">
        <v>896</v>
      </c>
      <c r="D208" s="2" t="s">
        <v>916</v>
      </c>
      <c r="E208" s="65">
        <v>477</v>
      </c>
      <c r="F208" s="65">
        <v>954</v>
      </c>
      <c r="G208" s="18" t="s">
        <v>993</v>
      </c>
      <c r="H208" s="2"/>
      <c r="I208" s="2"/>
    </row>
    <row r="209" spans="1:9" hidden="1" x14ac:dyDescent="0.25">
      <c r="A209" s="68">
        <v>46013</v>
      </c>
      <c r="B209" s="2">
        <v>2</v>
      </c>
      <c r="C209" s="2" t="s">
        <v>896</v>
      </c>
      <c r="D209" s="2" t="s">
        <v>916</v>
      </c>
      <c r="E209" s="65">
        <v>477</v>
      </c>
      <c r="F209" s="65">
        <v>954</v>
      </c>
      <c r="G209" s="18" t="s">
        <v>993</v>
      </c>
      <c r="H209" s="2"/>
      <c r="I209" s="2"/>
    </row>
    <row r="210" spans="1:9" hidden="1" x14ac:dyDescent="0.25">
      <c r="A210" s="68">
        <v>46013</v>
      </c>
      <c r="B210" s="2">
        <v>2</v>
      </c>
      <c r="C210" s="2" t="s">
        <v>896</v>
      </c>
      <c r="D210" s="2" t="s">
        <v>917</v>
      </c>
      <c r="E210" s="65">
        <v>477</v>
      </c>
      <c r="F210" s="65">
        <v>954</v>
      </c>
      <c r="G210" s="2" t="s">
        <v>982</v>
      </c>
      <c r="H210" s="2"/>
      <c r="I210" s="2"/>
    </row>
    <row r="211" spans="1:9" hidden="1" x14ac:dyDescent="0.25">
      <c r="A211" s="68">
        <v>46013</v>
      </c>
      <c r="B211" s="2">
        <v>2</v>
      </c>
      <c r="C211" s="2" t="s">
        <v>896</v>
      </c>
      <c r="D211" s="2" t="s">
        <v>917</v>
      </c>
      <c r="E211" s="65">
        <v>477</v>
      </c>
      <c r="F211" s="65">
        <v>954</v>
      </c>
      <c r="G211" s="2" t="s">
        <v>982</v>
      </c>
      <c r="H211" s="2"/>
      <c r="I211" s="2"/>
    </row>
    <row r="212" spans="1:9" hidden="1" x14ac:dyDescent="0.25">
      <c r="A212" s="68">
        <v>46013</v>
      </c>
      <c r="B212" s="2">
        <v>2</v>
      </c>
      <c r="C212" s="2" t="s">
        <v>947</v>
      </c>
      <c r="D212" s="2" t="s">
        <v>908</v>
      </c>
      <c r="E212" s="65">
        <v>629</v>
      </c>
      <c r="F212" s="65">
        <v>1258</v>
      </c>
      <c r="G212" s="2" t="s">
        <v>1005</v>
      </c>
      <c r="H212" s="2"/>
      <c r="I212" s="2"/>
    </row>
    <row r="213" spans="1:9" hidden="1" x14ac:dyDescent="0.25">
      <c r="A213" s="68">
        <v>46013</v>
      </c>
      <c r="B213" s="2">
        <v>2</v>
      </c>
      <c r="C213" s="2" t="s">
        <v>947</v>
      </c>
      <c r="D213" s="2" t="s">
        <v>908</v>
      </c>
      <c r="E213" s="65">
        <v>629</v>
      </c>
      <c r="F213" s="65">
        <v>1258</v>
      </c>
      <c r="G213" s="2" t="s">
        <v>1005</v>
      </c>
      <c r="H213" s="2"/>
      <c r="I213" s="2"/>
    </row>
    <row r="214" spans="1:9" hidden="1" x14ac:dyDescent="0.25">
      <c r="A214" s="68">
        <v>46013</v>
      </c>
      <c r="B214" s="2">
        <v>2</v>
      </c>
      <c r="C214" s="2" t="s">
        <v>896</v>
      </c>
      <c r="D214" s="2" t="s">
        <v>884</v>
      </c>
      <c r="E214" s="65">
        <v>477</v>
      </c>
      <c r="F214" s="65">
        <v>954</v>
      </c>
      <c r="G214" s="2" t="s">
        <v>927</v>
      </c>
      <c r="H214" s="2"/>
      <c r="I214" s="2"/>
    </row>
    <row r="215" spans="1:9" hidden="1" x14ac:dyDescent="0.25">
      <c r="A215" s="68">
        <v>46013</v>
      </c>
      <c r="B215" s="2">
        <v>2</v>
      </c>
      <c r="C215" s="2" t="s">
        <v>896</v>
      </c>
      <c r="D215" s="2" t="s">
        <v>884</v>
      </c>
      <c r="E215" s="65">
        <v>477</v>
      </c>
      <c r="F215" s="65">
        <v>954</v>
      </c>
      <c r="G215" s="2" t="s">
        <v>927</v>
      </c>
      <c r="H215" s="2"/>
      <c r="I215" s="2"/>
    </row>
    <row r="216" spans="1:9" hidden="1" x14ac:dyDescent="0.25">
      <c r="A216" s="68">
        <v>46013</v>
      </c>
      <c r="B216" s="2">
        <v>1</v>
      </c>
      <c r="C216" s="2" t="s">
        <v>925</v>
      </c>
      <c r="D216" s="2" t="s">
        <v>85</v>
      </c>
      <c r="E216" s="2"/>
      <c r="F216" s="65">
        <v>160</v>
      </c>
      <c r="G216" s="2"/>
      <c r="H216" s="2"/>
      <c r="I216" s="2"/>
    </row>
    <row r="217" spans="1:9" hidden="1" x14ac:dyDescent="0.25">
      <c r="A217" s="68">
        <v>46014</v>
      </c>
      <c r="B217" s="2">
        <v>20</v>
      </c>
      <c r="C217" s="2" t="s">
        <v>933</v>
      </c>
      <c r="D217" s="2" t="s">
        <v>492</v>
      </c>
      <c r="E217" s="65">
        <v>398</v>
      </c>
      <c r="F217" s="2">
        <v>7960</v>
      </c>
      <c r="G217" s="2" t="s">
        <v>927</v>
      </c>
      <c r="H217" s="2"/>
      <c r="I217" s="2"/>
    </row>
    <row r="218" spans="1:9" hidden="1" x14ac:dyDescent="0.25">
      <c r="A218" s="68">
        <v>46014</v>
      </c>
      <c r="B218" s="2">
        <v>40</v>
      </c>
      <c r="C218" s="2" t="s">
        <v>933</v>
      </c>
      <c r="D218" s="2" t="s">
        <v>934</v>
      </c>
      <c r="E218" s="2"/>
      <c r="F218" s="2"/>
      <c r="G218" s="2" t="s">
        <v>935</v>
      </c>
      <c r="H218" s="2"/>
      <c r="I218" s="2"/>
    </row>
    <row r="219" spans="1:9" hidden="1" x14ac:dyDescent="0.25">
      <c r="A219" s="68">
        <v>46014</v>
      </c>
      <c r="B219" s="2">
        <v>16</v>
      </c>
      <c r="C219" s="2" t="s">
        <v>933</v>
      </c>
      <c r="D219" s="2" t="s">
        <v>934</v>
      </c>
      <c r="E219" s="65">
        <v>398</v>
      </c>
      <c r="F219" s="91" t="s">
        <v>936</v>
      </c>
      <c r="G219" s="2" t="s">
        <v>927</v>
      </c>
      <c r="H219" s="2"/>
      <c r="I219" s="2"/>
    </row>
    <row r="220" spans="1:9" hidden="1" x14ac:dyDescent="0.25">
      <c r="A220" s="68">
        <v>46014</v>
      </c>
      <c r="B220" s="2">
        <v>1</v>
      </c>
      <c r="C220" s="2" t="s">
        <v>937</v>
      </c>
      <c r="D220" s="2" t="s">
        <v>938</v>
      </c>
      <c r="E220" s="91" t="s">
        <v>939</v>
      </c>
      <c r="F220" s="91" t="s">
        <v>939</v>
      </c>
      <c r="G220" s="2" t="s">
        <v>952</v>
      </c>
      <c r="H220" s="2"/>
      <c r="I220" s="2"/>
    </row>
    <row r="221" spans="1:9" hidden="1" x14ac:dyDescent="0.25">
      <c r="A221" s="68">
        <v>46014</v>
      </c>
      <c r="B221" s="2">
        <v>1</v>
      </c>
      <c r="C221" s="2" t="s">
        <v>937</v>
      </c>
      <c r="D221" s="2" t="s">
        <v>940</v>
      </c>
      <c r="E221" s="91" t="s">
        <v>939</v>
      </c>
      <c r="F221" s="91" t="s">
        <v>939</v>
      </c>
      <c r="G221" s="2" t="s">
        <v>952</v>
      </c>
      <c r="H221" s="2"/>
      <c r="I221" s="2"/>
    </row>
    <row r="222" spans="1:9" hidden="1" x14ac:dyDescent="0.25">
      <c r="A222" s="68">
        <v>46014</v>
      </c>
      <c r="B222" s="2">
        <v>20</v>
      </c>
      <c r="C222" s="2" t="s">
        <v>933</v>
      </c>
      <c r="D222" s="2" t="s">
        <v>941</v>
      </c>
      <c r="E222" s="91" t="s">
        <v>942</v>
      </c>
      <c r="F222" s="91" t="s">
        <v>943</v>
      </c>
      <c r="G222" s="2" t="s">
        <v>954</v>
      </c>
      <c r="H222" s="2"/>
      <c r="I222" s="2"/>
    </row>
    <row r="223" spans="1:9" hidden="1" x14ac:dyDescent="0.25">
      <c r="A223" s="68">
        <v>46014</v>
      </c>
      <c r="B223" s="2">
        <v>9</v>
      </c>
      <c r="C223" s="2" t="s">
        <v>896</v>
      </c>
      <c r="D223" s="2" t="s">
        <v>910</v>
      </c>
      <c r="E223" s="91" t="s">
        <v>944</v>
      </c>
      <c r="F223" s="91" t="s">
        <v>945</v>
      </c>
      <c r="G223" s="2" t="s">
        <v>946</v>
      </c>
      <c r="H223" s="2"/>
      <c r="I223" s="2"/>
    </row>
    <row r="224" spans="1:9" hidden="1" x14ac:dyDescent="0.25">
      <c r="A224" s="68">
        <v>46014</v>
      </c>
      <c r="B224" s="2">
        <v>11</v>
      </c>
      <c r="C224" s="2" t="s">
        <v>947</v>
      </c>
      <c r="D224" s="2" t="s">
        <v>910</v>
      </c>
      <c r="E224" s="91" t="s">
        <v>948</v>
      </c>
      <c r="F224" s="91" t="s">
        <v>949</v>
      </c>
      <c r="G224" s="2" t="s">
        <v>946</v>
      </c>
      <c r="H224" s="2"/>
      <c r="I224" s="2"/>
    </row>
    <row r="225" spans="1:13" hidden="1" x14ac:dyDescent="0.25">
      <c r="A225" s="68">
        <v>46014</v>
      </c>
      <c r="B225" s="2">
        <v>2</v>
      </c>
      <c r="C225" s="2" t="s">
        <v>950</v>
      </c>
      <c r="D225" s="2" t="s">
        <v>910</v>
      </c>
      <c r="E225" s="91" t="s">
        <v>948</v>
      </c>
      <c r="F225" s="91" t="s">
        <v>951</v>
      </c>
      <c r="G225" s="2" t="s">
        <v>946</v>
      </c>
      <c r="H225" s="2"/>
      <c r="I225" s="2"/>
    </row>
    <row r="226" spans="1:13" hidden="1" x14ac:dyDescent="0.25">
      <c r="A226" s="68">
        <v>46015</v>
      </c>
      <c r="B226" s="2">
        <v>6</v>
      </c>
      <c r="C226" s="2" t="s">
        <v>933</v>
      </c>
      <c r="D226" s="2" t="s">
        <v>665</v>
      </c>
      <c r="E226" s="65">
        <v>398</v>
      </c>
      <c r="F226" s="65">
        <f>B226*E226</f>
        <v>2388</v>
      </c>
      <c r="G226" s="2" t="s">
        <v>8</v>
      </c>
      <c r="H226" s="2"/>
      <c r="I226" s="2"/>
    </row>
    <row r="227" spans="1:13" hidden="1" x14ac:dyDescent="0.25">
      <c r="A227" s="68">
        <v>46015</v>
      </c>
      <c r="B227" s="2">
        <v>20</v>
      </c>
      <c r="C227" s="2" t="s">
        <v>933</v>
      </c>
      <c r="D227" s="2" t="s">
        <v>490</v>
      </c>
      <c r="E227" s="65">
        <v>398</v>
      </c>
      <c r="F227" s="65">
        <f t="shared" ref="F227:F285" si="12">B227*E227</f>
        <v>7960</v>
      </c>
      <c r="G227" s="2" t="s">
        <v>8</v>
      </c>
      <c r="H227" s="2"/>
      <c r="I227" s="2"/>
    </row>
    <row r="228" spans="1:13" hidden="1" x14ac:dyDescent="0.25">
      <c r="A228" s="106">
        <v>46015</v>
      </c>
      <c r="B228" s="16">
        <v>1</v>
      </c>
      <c r="C228" s="16" t="s">
        <v>933</v>
      </c>
      <c r="D228" s="16" t="s">
        <v>955</v>
      </c>
      <c r="E228" s="70"/>
      <c r="F228" s="70">
        <f t="shared" si="12"/>
        <v>0</v>
      </c>
      <c r="G228" s="16" t="s">
        <v>956</v>
      </c>
      <c r="H228" s="16"/>
      <c r="I228" s="16" t="s">
        <v>1154</v>
      </c>
    </row>
    <row r="229" spans="1:13" hidden="1" x14ac:dyDescent="0.25">
      <c r="A229" s="68">
        <v>46015</v>
      </c>
      <c r="B229" s="2"/>
      <c r="C229" s="2" t="s">
        <v>933</v>
      </c>
      <c r="D229" s="2" t="s">
        <v>865</v>
      </c>
      <c r="E229" s="65"/>
      <c r="F229" s="65">
        <f t="shared" si="12"/>
        <v>0</v>
      </c>
      <c r="G229" s="2" t="s">
        <v>957</v>
      </c>
      <c r="H229" s="2"/>
      <c r="I229" s="2"/>
    </row>
    <row r="230" spans="1:13" hidden="1" x14ac:dyDescent="0.25">
      <c r="A230" s="68">
        <v>46015</v>
      </c>
      <c r="B230" s="2"/>
      <c r="C230" s="2" t="s">
        <v>933</v>
      </c>
      <c r="D230" s="2" t="s">
        <v>959</v>
      </c>
      <c r="E230" s="65"/>
      <c r="F230" s="65">
        <f t="shared" si="12"/>
        <v>0</v>
      </c>
      <c r="G230" s="2" t="s">
        <v>958</v>
      </c>
      <c r="H230" s="2"/>
      <c r="I230" s="2"/>
    </row>
    <row r="231" spans="1:13" hidden="1" x14ac:dyDescent="0.25">
      <c r="A231" s="68">
        <v>46015</v>
      </c>
      <c r="B231" s="2"/>
      <c r="C231" s="2" t="s">
        <v>933</v>
      </c>
      <c r="D231" s="2" t="s">
        <v>959</v>
      </c>
      <c r="E231" s="65"/>
      <c r="F231" s="65">
        <f t="shared" si="12"/>
        <v>0</v>
      </c>
      <c r="G231" s="2" t="s">
        <v>958</v>
      </c>
      <c r="H231" s="2"/>
      <c r="I231" s="2"/>
    </row>
    <row r="232" spans="1:13" hidden="1" x14ac:dyDescent="0.25">
      <c r="A232" s="68">
        <v>46015</v>
      </c>
      <c r="B232" s="2">
        <v>1</v>
      </c>
      <c r="C232" s="2" t="s">
        <v>933</v>
      </c>
      <c r="D232" s="2" t="s">
        <v>124</v>
      </c>
      <c r="E232" s="65">
        <v>398</v>
      </c>
      <c r="F232" s="65">
        <f t="shared" si="12"/>
        <v>398</v>
      </c>
      <c r="G232" s="2" t="s">
        <v>8</v>
      </c>
      <c r="H232" s="2"/>
      <c r="I232" s="2"/>
    </row>
    <row r="233" spans="1:13" hidden="1" x14ac:dyDescent="0.25">
      <c r="A233" s="68">
        <v>46015</v>
      </c>
      <c r="B233" s="2">
        <v>12</v>
      </c>
      <c r="C233" s="2" t="s">
        <v>933</v>
      </c>
      <c r="D233" s="2" t="s">
        <v>960</v>
      </c>
      <c r="E233" s="65">
        <v>398</v>
      </c>
      <c r="F233" s="65">
        <f t="shared" si="12"/>
        <v>4776</v>
      </c>
      <c r="G233" s="2" t="s">
        <v>8</v>
      </c>
      <c r="H233" s="2"/>
      <c r="I233" s="2"/>
      <c r="K233" s="11">
        <v>7650</v>
      </c>
    </row>
    <row r="234" spans="1:13" hidden="1" x14ac:dyDescent="0.25">
      <c r="A234" s="85">
        <v>46015</v>
      </c>
      <c r="B234" s="18"/>
      <c r="C234" s="18" t="s">
        <v>933</v>
      </c>
      <c r="D234" s="18" t="s">
        <v>961</v>
      </c>
      <c r="E234" s="86"/>
      <c r="F234" s="86">
        <f t="shared" si="12"/>
        <v>0</v>
      </c>
      <c r="G234" s="18" t="s">
        <v>962</v>
      </c>
      <c r="H234" s="18"/>
      <c r="I234" s="18" t="s">
        <v>790</v>
      </c>
      <c r="K234" s="11">
        <v>19700</v>
      </c>
    </row>
    <row r="235" spans="1:13" hidden="1" x14ac:dyDescent="0.25">
      <c r="A235" s="68">
        <v>46017</v>
      </c>
      <c r="B235" s="2">
        <v>2</v>
      </c>
      <c r="C235" s="2" t="s">
        <v>832</v>
      </c>
      <c r="D235" s="2" t="s">
        <v>677</v>
      </c>
      <c r="E235" s="65">
        <v>2197</v>
      </c>
      <c r="F235" s="65">
        <f t="shared" si="12"/>
        <v>4394</v>
      </c>
      <c r="G235" s="2" t="s">
        <v>1009</v>
      </c>
      <c r="H235" s="2"/>
      <c r="I235" s="2" t="s">
        <v>115</v>
      </c>
      <c r="K235">
        <v>10900</v>
      </c>
    </row>
    <row r="236" spans="1:13" hidden="1" x14ac:dyDescent="0.25">
      <c r="A236" s="68">
        <v>46017</v>
      </c>
      <c r="B236" s="2">
        <v>3</v>
      </c>
      <c r="C236" s="2" t="s">
        <v>963</v>
      </c>
      <c r="D236" s="2" t="s">
        <v>864</v>
      </c>
      <c r="E236" s="65">
        <v>4400</v>
      </c>
      <c r="F236" s="65">
        <f>B236*E236</f>
        <v>13200</v>
      </c>
      <c r="G236" s="2" t="s">
        <v>1072</v>
      </c>
      <c r="H236" s="2"/>
      <c r="I236" s="2" t="s">
        <v>1073</v>
      </c>
    </row>
    <row r="237" spans="1:13" hidden="1" x14ac:dyDescent="0.25">
      <c r="A237" s="68">
        <v>46017</v>
      </c>
      <c r="B237" s="2">
        <v>2</v>
      </c>
      <c r="C237" s="2" t="s">
        <v>874</v>
      </c>
      <c r="D237" s="2" t="s">
        <v>864</v>
      </c>
      <c r="E237" s="65">
        <v>3250</v>
      </c>
      <c r="F237" s="65">
        <f t="shared" si="12"/>
        <v>6500</v>
      </c>
      <c r="G237" s="2" t="s">
        <v>1005</v>
      </c>
      <c r="H237" s="2"/>
      <c r="I237" s="2"/>
    </row>
    <row r="238" spans="1:13" hidden="1" x14ac:dyDescent="0.25">
      <c r="A238" s="68">
        <v>46017</v>
      </c>
      <c r="B238" s="2">
        <v>1</v>
      </c>
      <c r="C238" s="2" t="s">
        <v>963</v>
      </c>
      <c r="D238" s="2" t="s">
        <v>864</v>
      </c>
      <c r="E238" s="65">
        <v>4400</v>
      </c>
      <c r="F238" s="65">
        <f t="shared" si="12"/>
        <v>4400</v>
      </c>
      <c r="G238" s="2" t="s">
        <v>1074</v>
      </c>
      <c r="H238" s="2"/>
      <c r="I238" s="2"/>
      <c r="M238">
        <v>753000</v>
      </c>
    </row>
    <row r="239" spans="1:13" hidden="1" x14ac:dyDescent="0.25">
      <c r="A239" s="68">
        <v>46017</v>
      </c>
      <c r="B239" s="2">
        <v>1</v>
      </c>
      <c r="C239" s="2" t="s">
        <v>874</v>
      </c>
      <c r="D239" s="2" t="s">
        <v>864</v>
      </c>
      <c r="E239" s="65">
        <v>3250</v>
      </c>
      <c r="F239" s="65">
        <f t="shared" si="12"/>
        <v>3250</v>
      </c>
      <c r="G239" s="2" t="s">
        <v>1074</v>
      </c>
      <c r="H239" s="2"/>
      <c r="I239" s="2"/>
      <c r="M239">
        <v>524000</v>
      </c>
    </row>
    <row r="240" spans="1:13" hidden="1" x14ac:dyDescent="0.25">
      <c r="A240" s="68">
        <v>46017</v>
      </c>
      <c r="B240" s="2">
        <v>1</v>
      </c>
      <c r="C240" s="2" t="s">
        <v>963</v>
      </c>
      <c r="D240" s="2" t="s">
        <v>864</v>
      </c>
      <c r="E240" s="65">
        <v>4400</v>
      </c>
      <c r="F240" s="65">
        <f t="shared" si="12"/>
        <v>4400</v>
      </c>
      <c r="G240" s="2" t="s">
        <v>1074</v>
      </c>
      <c r="H240" s="2"/>
      <c r="I240" s="2"/>
      <c r="M240">
        <v>173000</v>
      </c>
    </row>
    <row r="241" spans="1:14" hidden="1" x14ac:dyDescent="0.25">
      <c r="A241" s="68">
        <v>46017</v>
      </c>
      <c r="B241" s="2">
        <v>2</v>
      </c>
      <c r="C241" s="2" t="s">
        <v>874</v>
      </c>
      <c r="D241" s="2" t="s">
        <v>864</v>
      </c>
      <c r="E241" s="65">
        <v>3250</v>
      </c>
      <c r="F241" s="65">
        <f t="shared" si="12"/>
        <v>6500</v>
      </c>
      <c r="G241" s="2" t="s">
        <v>1074</v>
      </c>
      <c r="H241" s="2"/>
      <c r="I241" s="2"/>
      <c r="M241">
        <v>270000</v>
      </c>
    </row>
    <row r="242" spans="1:14" hidden="1" x14ac:dyDescent="0.25">
      <c r="A242" s="68">
        <v>46017</v>
      </c>
      <c r="B242" s="2">
        <v>8</v>
      </c>
      <c r="C242" s="2" t="s">
        <v>933</v>
      </c>
      <c r="D242" s="2" t="s">
        <v>760</v>
      </c>
      <c r="E242" s="65">
        <v>398</v>
      </c>
      <c r="F242" s="65">
        <f t="shared" si="12"/>
        <v>3184</v>
      </c>
      <c r="G242" s="2" t="s">
        <v>8</v>
      </c>
      <c r="H242" s="2"/>
      <c r="I242" s="2"/>
      <c r="M242">
        <f>SUM(M238:M241)</f>
        <v>1720000</v>
      </c>
      <c r="N242">
        <f>M242*10%</f>
        <v>172000</v>
      </c>
    </row>
    <row r="243" spans="1:14" x14ac:dyDescent="0.25">
      <c r="A243" s="68">
        <v>46017</v>
      </c>
      <c r="B243" s="2">
        <v>3</v>
      </c>
      <c r="C243" s="2" t="s">
        <v>964</v>
      </c>
      <c r="D243" s="2" t="s">
        <v>364</v>
      </c>
      <c r="E243" s="65">
        <v>642</v>
      </c>
      <c r="F243" s="65">
        <f t="shared" si="12"/>
        <v>1926</v>
      </c>
      <c r="G243" s="26" t="s">
        <v>1001</v>
      </c>
      <c r="H243" s="2"/>
      <c r="I243" s="2"/>
    </row>
    <row r="244" spans="1:14" x14ac:dyDescent="0.25">
      <c r="A244" s="68">
        <v>46017</v>
      </c>
      <c r="B244" s="2">
        <v>3</v>
      </c>
      <c r="C244" s="2" t="s">
        <v>661</v>
      </c>
      <c r="D244" s="2" t="s">
        <v>364</v>
      </c>
      <c r="E244" s="65">
        <v>419</v>
      </c>
      <c r="F244" s="65">
        <f t="shared" si="12"/>
        <v>1257</v>
      </c>
      <c r="G244" s="2" t="s">
        <v>8</v>
      </c>
      <c r="H244" s="2"/>
      <c r="I244" s="2"/>
    </row>
    <row r="245" spans="1:14" x14ac:dyDescent="0.25">
      <c r="A245" s="68">
        <v>46017</v>
      </c>
      <c r="B245" s="2">
        <v>3</v>
      </c>
      <c r="C245" s="2" t="s">
        <v>746</v>
      </c>
      <c r="D245" s="2" t="s">
        <v>364</v>
      </c>
      <c r="E245" s="65">
        <v>105</v>
      </c>
      <c r="F245" s="65">
        <f t="shared" si="12"/>
        <v>315</v>
      </c>
      <c r="G245" s="2" t="s">
        <v>8</v>
      </c>
      <c r="H245" s="2"/>
      <c r="I245" s="2"/>
    </row>
    <row r="246" spans="1:14" x14ac:dyDescent="0.25">
      <c r="A246" s="68">
        <v>46017</v>
      </c>
      <c r="B246" s="2">
        <v>1</v>
      </c>
      <c r="C246" s="2" t="s">
        <v>965</v>
      </c>
      <c r="D246" s="2" t="s">
        <v>364</v>
      </c>
      <c r="E246" s="65">
        <v>218</v>
      </c>
      <c r="F246" s="65">
        <f t="shared" si="12"/>
        <v>218</v>
      </c>
      <c r="G246" s="2" t="s">
        <v>8</v>
      </c>
      <c r="H246" s="2" t="s">
        <v>812</v>
      </c>
      <c r="I246" s="2"/>
    </row>
    <row r="247" spans="1:14" x14ac:dyDescent="0.25">
      <c r="A247" s="68">
        <v>46017</v>
      </c>
      <c r="B247" s="2">
        <v>3</v>
      </c>
      <c r="C247" s="2" t="s">
        <v>586</v>
      </c>
      <c r="D247" s="2" t="s">
        <v>364</v>
      </c>
      <c r="E247" s="65">
        <v>779</v>
      </c>
      <c r="F247" s="65">
        <f t="shared" si="12"/>
        <v>2337</v>
      </c>
      <c r="G247" s="2" t="s">
        <v>8</v>
      </c>
      <c r="H247" s="2"/>
      <c r="I247" s="2"/>
    </row>
    <row r="248" spans="1:14" x14ac:dyDescent="0.25">
      <c r="A248" s="68">
        <v>46017</v>
      </c>
      <c r="B248" s="2">
        <v>3</v>
      </c>
      <c r="C248" s="2" t="s">
        <v>966</v>
      </c>
      <c r="D248" s="2" t="s">
        <v>364</v>
      </c>
      <c r="E248" s="65">
        <v>105</v>
      </c>
      <c r="F248" s="65">
        <f t="shared" si="12"/>
        <v>315</v>
      </c>
      <c r="G248" s="2" t="s">
        <v>8</v>
      </c>
      <c r="H248" s="2"/>
      <c r="I248" s="2"/>
    </row>
    <row r="249" spans="1:14" x14ac:dyDescent="0.25">
      <c r="A249" s="80">
        <v>46017</v>
      </c>
      <c r="B249" s="10">
        <v>3</v>
      </c>
      <c r="C249" s="10" t="s">
        <v>967</v>
      </c>
      <c r="D249" s="10" t="s">
        <v>364</v>
      </c>
      <c r="E249" s="66">
        <v>2597</v>
      </c>
      <c r="F249" s="66">
        <f t="shared" si="12"/>
        <v>7791</v>
      </c>
      <c r="G249" s="10" t="s">
        <v>8</v>
      </c>
      <c r="H249" s="10"/>
      <c r="I249" s="10" t="s">
        <v>115</v>
      </c>
    </row>
    <row r="250" spans="1:14" x14ac:dyDescent="0.25">
      <c r="A250" s="68">
        <v>46017</v>
      </c>
      <c r="B250" s="2">
        <v>1</v>
      </c>
      <c r="C250" s="2" t="s">
        <v>968</v>
      </c>
      <c r="D250" s="2" t="s">
        <v>364</v>
      </c>
      <c r="E250" s="65">
        <v>1789</v>
      </c>
      <c r="F250" s="65">
        <f t="shared" si="12"/>
        <v>1789</v>
      </c>
      <c r="G250" s="2" t="s">
        <v>8</v>
      </c>
      <c r="H250" s="2" t="s">
        <v>812</v>
      </c>
      <c r="I250" s="2"/>
    </row>
    <row r="251" spans="1:14" x14ac:dyDescent="0.25">
      <c r="A251" s="68">
        <v>46017</v>
      </c>
      <c r="B251" s="2">
        <v>6</v>
      </c>
      <c r="C251" s="2" t="s">
        <v>969</v>
      </c>
      <c r="D251" s="2" t="s">
        <v>364</v>
      </c>
      <c r="E251" s="65">
        <v>2197</v>
      </c>
      <c r="F251" s="65">
        <f t="shared" si="12"/>
        <v>13182</v>
      </c>
      <c r="G251" s="26" t="s">
        <v>1002</v>
      </c>
      <c r="H251" s="2"/>
      <c r="I251" s="2" t="s">
        <v>1028</v>
      </c>
      <c r="J251" t="s">
        <v>1035</v>
      </c>
      <c r="K251" t="s">
        <v>1098</v>
      </c>
    </row>
    <row r="252" spans="1:14" x14ac:dyDescent="0.25">
      <c r="A252" s="68">
        <v>46017</v>
      </c>
      <c r="B252" s="2">
        <v>9</v>
      </c>
      <c r="C252" s="2" t="s">
        <v>697</v>
      </c>
      <c r="D252" s="2" t="s">
        <v>364</v>
      </c>
      <c r="E252" s="65">
        <v>135</v>
      </c>
      <c r="F252" s="65">
        <f t="shared" si="12"/>
        <v>1215</v>
      </c>
      <c r="G252" s="26" t="s">
        <v>1003</v>
      </c>
      <c r="H252" s="2"/>
      <c r="I252" s="2" t="s">
        <v>1029</v>
      </c>
      <c r="M252">
        <v>8311</v>
      </c>
    </row>
    <row r="253" spans="1:14" x14ac:dyDescent="0.25">
      <c r="A253" s="68">
        <v>46017</v>
      </c>
      <c r="B253" s="2">
        <v>6</v>
      </c>
      <c r="C253" s="2" t="s">
        <v>970</v>
      </c>
      <c r="D253" s="2" t="s">
        <v>364</v>
      </c>
      <c r="E253" s="65">
        <v>407</v>
      </c>
      <c r="F253" s="65">
        <f t="shared" si="12"/>
        <v>2442</v>
      </c>
      <c r="G253" s="26" t="s">
        <v>1008</v>
      </c>
      <c r="H253" s="102" t="s">
        <v>812</v>
      </c>
      <c r="I253" s="2" t="s">
        <v>1041</v>
      </c>
      <c r="J253" s="103"/>
      <c r="M253">
        <v>9061</v>
      </c>
    </row>
    <row r="254" spans="1:14" x14ac:dyDescent="0.25">
      <c r="A254" s="68">
        <v>46017</v>
      </c>
      <c r="B254" s="2">
        <v>9</v>
      </c>
      <c r="C254" s="2" t="s">
        <v>971</v>
      </c>
      <c r="D254" s="2" t="s">
        <v>364</v>
      </c>
      <c r="E254" s="65">
        <v>629</v>
      </c>
      <c r="F254" s="65">
        <f t="shared" si="12"/>
        <v>5661</v>
      </c>
      <c r="G254" s="26" t="s">
        <v>1003</v>
      </c>
      <c r="H254" s="2"/>
      <c r="I254" s="2" t="s">
        <v>1030</v>
      </c>
    </row>
    <row r="255" spans="1:14" hidden="1" x14ac:dyDescent="0.25">
      <c r="A255" s="68">
        <v>46018</v>
      </c>
      <c r="B255" s="2">
        <v>6</v>
      </c>
      <c r="C255" s="2" t="s">
        <v>697</v>
      </c>
      <c r="D255" s="2" t="s">
        <v>101</v>
      </c>
      <c r="E255" s="65">
        <v>125</v>
      </c>
      <c r="F255" s="65">
        <f t="shared" si="12"/>
        <v>750</v>
      </c>
      <c r="G255" s="18" t="s">
        <v>993</v>
      </c>
      <c r="H255" s="2"/>
      <c r="I255" s="2"/>
    </row>
    <row r="256" spans="1:14" hidden="1" x14ac:dyDescent="0.25">
      <c r="A256" s="68">
        <v>46018</v>
      </c>
      <c r="B256" s="2">
        <v>3</v>
      </c>
      <c r="C256" s="2" t="s">
        <v>661</v>
      </c>
      <c r="D256" s="2" t="s">
        <v>101</v>
      </c>
      <c r="E256" s="65">
        <v>419</v>
      </c>
      <c r="F256" s="65">
        <f t="shared" si="12"/>
        <v>1257</v>
      </c>
      <c r="G256" s="18" t="s">
        <v>993</v>
      </c>
      <c r="H256" s="2"/>
      <c r="I256" s="2"/>
    </row>
    <row r="257" spans="1:13" hidden="1" x14ac:dyDescent="0.25">
      <c r="A257" s="68">
        <v>46018</v>
      </c>
      <c r="B257" s="2">
        <v>2</v>
      </c>
      <c r="C257" s="2" t="s">
        <v>971</v>
      </c>
      <c r="D257" s="2" t="s">
        <v>101</v>
      </c>
      <c r="E257" s="65">
        <v>629</v>
      </c>
      <c r="F257" s="65">
        <f t="shared" si="12"/>
        <v>1258</v>
      </c>
      <c r="G257" s="18" t="s">
        <v>993</v>
      </c>
      <c r="H257" s="2"/>
      <c r="I257" s="2"/>
    </row>
    <row r="258" spans="1:13" hidden="1" x14ac:dyDescent="0.25">
      <c r="A258" s="68">
        <v>46018</v>
      </c>
      <c r="B258" s="2">
        <v>2</v>
      </c>
      <c r="C258" s="2" t="s">
        <v>972</v>
      </c>
      <c r="D258" s="2" t="s">
        <v>101</v>
      </c>
      <c r="E258" s="65">
        <v>2599</v>
      </c>
      <c r="F258" s="65">
        <f t="shared" si="12"/>
        <v>5198</v>
      </c>
      <c r="G258" s="2" t="s">
        <v>973</v>
      </c>
      <c r="H258" s="2"/>
      <c r="I258" s="2" t="s">
        <v>115</v>
      </c>
    </row>
    <row r="259" spans="1:13" hidden="1" x14ac:dyDescent="0.25">
      <c r="A259" s="68">
        <v>46018</v>
      </c>
      <c r="B259" s="2">
        <v>1</v>
      </c>
      <c r="C259" s="2" t="s">
        <v>975</v>
      </c>
      <c r="D259" s="2" t="s">
        <v>101</v>
      </c>
      <c r="E259" s="65">
        <v>299</v>
      </c>
      <c r="F259" s="65">
        <f t="shared" si="12"/>
        <v>299</v>
      </c>
      <c r="G259" s="2" t="s">
        <v>974</v>
      </c>
      <c r="H259" s="2"/>
      <c r="I259" s="2" t="s">
        <v>634</v>
      </c>
    </row>
    <row r="260" spans="1:13" hidden="1" x14ac:dyDescent="0.25">
      <c r="A260" s="68">
        <v>46018</v>
      </c>
      <c r="B260" s="2">
        <v>2</v>
      </c>
      <c r="C260" s="2" t="s">
        <v>971</v>
      </c>
      <c r="D260" s="2" t="s">
        <v>101</v>
      </c>
      <c r="E260" s="65">
        <v>629</v>
      </c>
      <c r="F260" s="65">
        <f t="shared" si="12"/>
        <v>1258</v>
      </c>
      <c r="G260" s="2" t="s">
        <v>8</v>
      </c>
      <c r="H260" s="2"/>
      <c r="I260" s="2" t="s">
        <v>115</v>
      </c>
    </row>
    <row r="261" spans="1:13" hidden="1" x14ac:dyDescent="0.25">
      <c r="A261" s="68">
        <v>46018</v>
      </c>
      <c r="B261" s="2">
        <v>3</v>
      </c>
      <c r="C261" s="2" t="s">
        <v>804</v>
      </c>
      <c r="D261" s="2" t="s">
        <v>101</v>
      </c>
      <c r="E261" s="65">
        <v>419</v>
      </c>
      <c r="F261" s="65">
        <f t="shared" si="12"/>
        <v>1257</v>
      </c>
      <c r="G261" s="2" t="s">
        <v>8</v>
      </c>
      <c r="H261" s="2"/>
      <c r="I261" s="2"/>
    </row>
    <row r="262" spans="1:13" hidden="1" x14ac:dyDescent="0.25">
      <c r="A262" s="68">
        <v>46018</v>
      </c>
      <c r="B262" s="2">
        <v>2</v>
      </c>
      <c r="C262" s="2" t="s">
        <v>972</v>
      </c>
      <c r="D262" s="2" t="s">
        <v>101</v>
      </c>
      <c r="E262" s="65">
        <v>2599</v>
      </c>
      <c r="F262" s="65">
        <f t="shared" si="12"/>
        <v>5198</v>
      </c>
      <c r="G262" s="2" t="s">
        <v>973</v>
      </c>
      <c r="H262" s="2"/>
      <c r="I262" s="2" t="s">
        <v>115</v>
      </c>
    </row>
    <row r="263" spans="1:13" hidden="1" x14ac:dyDescent="0.25">
      <c r="A263" s="68">
        <v>46018</v>
      </c>
      <c r="B263" s="2">
        <v>2</v>
      </c>
      <c r="C263" s="2" t="s">
        <v>977</v>
      </c>
      <c r="D263" s="2" t="s">
        <v>101</v>
      </c>
      <c r="E263" s="65">
        <v>180</v>
      </c>
      <c r="F263" s="65">
        <f t="shared" si="12"/>
        <v>360</v>
      </c>
      <c r="G263" s="2" t="s">
        <v>8</v>
      </c>
      <c r="H263" s="2"/>
      <c r="I263" s="2"/>
    </row>
    <row r="264" spans="1:13" hidden="1" x14ac:dyDescent="0.25">
      <c r="A264" s="68">
        <v>46018</v>
      </c>
      <c r="B264" s="2">
        <v>1</v>
      </c>
      <c r="C264" s="2" t="s">
        <v>976</v>
      </c>
      <c r="D264" s="2" t="s">
        <v>101</v>
      </c>
      <c r="E264" s="65">
        <v>135</v>
      </c>
      <c r="F264" s="65">
        <f t="shared" si="12"/>
        <v>135</v>
      </c>
      <c r="G264" s="2" t="s">
        <v>8</v>
      </c>
      <c r="H264" s="2"/>
      <c r="I264" s="2"/>
    </row>
    <row r="265" spans="1:13" hidden="1" x14ac:dyDescent="0.25">
      <c r="A265" s="68">
        <v>46018</v>
      </c>
      <c r="B265" s="2">
        <v>1</v>
      </c>
      <c r="C265" s="2" t="s">
        <v>971</v>
      </c>
      <c r="D265" s="2" t="s">
        <v>101</v>
      </c>
      <c r="E265" s="65">
        <v>629</v>
      </c>
      <c r="F265" s="65">
        <f t="shared" si="12"/>
        <v>629</v>
      </c>
      <c r="G265" s="2" t="s">
        <v>8</v>
      </c>
      <c r="H265" s="2"/>
      <c r="I265" s="2"/>
      <c r="M265">
        <v>219.7</v>
      </c>
    </row>
    <row r="266" spans="1:13" hidden="1" x14ac:dyDescent="0.25">
      <c r="A266" s="68">
        <v>46018</v>
      </c>
      <c r="B266" s="2">
        <v>3</v>
      </c>
      <c r="C266" s="2" t="s">
        <v>972</v>
      </c>
      <c r="D266" s="2" t="s">
        <v>710</v>
      </c>
      <c r="E266" s="65">
        <v>2599</v>
      </c>
      <c r="F266" s="65">
        <f t="shared" si="12"/>
        <v>7797</v>
      </c>
      <c r="G266" s="2" t="s">
        <v>8</v>
      </c>
      <c r="H266" s="2"/>
      <c r="I266" s="2" t="s">
        <v>115</v>
      </c>
      <c r="M266">
        <v>439.4</v>
      </c>
    </row>
    <row r="267" spans="1:13" hidden="1" x14ac:dyDescent="0.25">
      <c r="A267" s="68">
        <v>46018</v>
      </c>
      <c r="B267" s="2">
        <v>3</v>
      </c>
      <c r="C267" s="2" t="s">
        <v>971</v>
      </c>
      <c r="D267" s="2" t="s">
        <v>710</v>
      </c>
      <c r="E267" s="65">
        <v>629</v>
      </c>
      <c r="F267" s="65">
        <f t="shared" si="12"/>
        <v>1887</v>
      </c>
      <c r="G267" s="2" t="s">
        <v>8</v>
      </c>
      <c r="H267" s="2"/>
      <c r="I267" s="2" t="s">
        <v>115</v>
      </c>
      <c r="M267">
        <v>439.4</v>
      </c>
    </row>
    <row r="268" spans="1:13" hidden="1" x14ac:dyDescent="0.25">
      <c r="A268" s="68">
        <v>46018</v>
      </c>
      <c r="B268" s="2">
        <v>7</v>
      </c>
      <c r="C268" s="2" t="s">
        <v>978</v>
      </c>
      <c r="D268" s="2" t="s">
        <v>677</v>
      </c>
      <c r="E268" s="65"/>
      <c r="F268" s="65">
        <f t="shared" si="12"/>
        <v>0</v>
      </c>
      <c r="G268" s="2" t="s">
        <v>1006</v>
      </c>
      <c r="H268" s="2"/>
      <c r="I268" s="2" t="s">
        <v>1043</v>
      </c>
      <c r="M268">
        <v>439.4</v>
      </c>
    </row>
    <row r="269" spans="1:13" hidden="1" x14ac:dyDescent="0.25">
      <c r="A269" s="68">
        <v>46018</v>
      </c>
      <c r="B269" s="2">
        <v>50</v>
      </c>
      <c r="C269" s="2" t="s">
        <v>979</v>
      </c>
      <c r="D269" s="2" t="s">
        <v>980</v>
      </c>
      <c r="E269" s="65">
        <v>477</v>
      </c>
      <c r="F269" s="65">
        <f t="shared" si="12"/>
        <v>23850</v>
      </c>
      <c r="G269" s="2" t="s">
        <v>981</v>
      </c>
      <c r="H269" s="2">
        <v>20</v>
      </c>
      <c r="I269" s="2"/>
      <c r="J269">
        <f>B269*H269</f>
        <v>1000</v>
      </c>
      <c r="M269">
        <f>SUM(M265:M268)</f>
        <v>1537.9</v>
      </c>
    </row>
    <row r="270" spans="1:13" hidden="1" x14ac:dyDescent="0.25">
      <c r="A270" s="68">
        <v>46018</v>
      </c>
      <c r="B270" s="2">
        <v>37</v>
      </c>
      <c r="C270" s="2" t="s">
        <v>971</v>
      </c>
      <c r="D270" s="2" t="s">
        <v>980</v>
      </c>
      <c r="E270" s="65">
        <v>629</v>
      </c>
      <c r="F270" s="65">
        <f t="shared" si="12"/>
        <v>23273</v>
      </c>
      <c r="G270" s="2" t="s">
        <v>981</v>
      </c>
      <c r="H270" s="2">
        <v>20</v>
      </c>
      <c r="I270" s="2"/>
      <c r="J270">
        <f t="shared" ref="J270:J271" si="13">B270*H270</f>
        <v>740</v>
      </c>
    </row>
    <row r="271" spans="1:13" hidden="1" x14ac:dyDescent="0.25">
      <c r="A271" s="68">
        <v>46018</v>
      </c>
      <c r="B271" s="2">
        <v>50</v>
      </c>
      <c r="C271" s="2" t="s">
        <v>933</v>
      </c>
      <c r="D271" s="2" t="s">
        <v>980</v>
      </c>
      <c r="E271" s="65">
        <v>398</v>
      </c>
      <c r="F271" s="65">
        <f t="shared" si="12"/>
        <v>19900</v>
      </c>
      <c r="G271" s="2" t="s">
        <v>981</v>
      </c>
      <c r="H271" s="2">
        <v>15</v>
      </c>
      <c r="I271" s="2"/>
      <c r="J271">
        <f t="shared" si="13"/>
        <v>750</v>
      </c>
    </row>
    <row r="272" spans="1:13" hidden="1" x14ac:dyDescent="0.25">
      <c r="A272" s="80">
        <v>46019</v>
      </c>
      <c r="B272" s="10">
        <v>40</v>
      </c>
      <c r="C272" s="10" t="s">
        <v>723</v>
      </c>
      <c r="D272" s="10" t="s">
        <v>677</v>
      </c>
      <c r="E272" s="101">
        <v>145</v>
      </c>
      <c r="F272" s="66">
        <f t="shared" si="12"/>
        <v>5800</v>
      </c>
      <c r="G272" s="10" t="s">
        <v>1065</v>
      </c>
      <c r="H272" s="10"/>
      <c r="I272" s="10" t="s">
        <v>115</v>
      </c>
      <c r="J272" t="s">
        <v>1109</v>
      </c>
    </row>
    <row r="273" spans="1:10" x14ac:dyDescent="0.25">
      <c r="A273" s="68">
        <v>46019</v>
      </c>
      <c r="B273" s="2">
        <v>2</v>
      </c>
      <c r="C273" s="2" t="s">
        <v>971</v>
      </c>
      <c r="D273" s="2" t="s">
        <v>364</v>
      </c>
      <c r="E273" s="21">
        <v>629</v>
      </c>
      <c r="F273" s="65">
        <f t="shared" si="12"/>
        <v>1258</v>
      </c>
      <c r="G273" s="2" t="s">
        <v>8</v>
      </c>
      <c r="H273" s="2"/>
      <c r="I273" s="2" t="s">
        <v>115</v>
      </c>
    </row>
    <row r="274" spans="1:10" x14ac:dyDescent="0.25">
      <c r="A274" s="68">
        <v>46019</v>
      </c>
      <c r="B274" s="2">
        <v>3</v>
      </c>
      <c r="C274" s="2" t="s">
        <v>976</v>
      </c>
      <c r="D274" s="2" t="s">
        <v>364</v>
      </c>
      <c r="E274" s="21">
        <v>149</v>
      </c>
      <c r="F274" s="65">
        <f t="shared" si="12"/>
        <v>447</v>
      </c>
      <c r="G274" s="2" t="s">
        <v>8</v>
      </c>
      <c r="H274" s="2"/>
      <c r="I274" s="2" t="s">
        <v>115</v>
      </c>
    </row>
    <row r="275" spans="1:10" x14ac:dyDescent="0.25">
      <c r="A275" s="68">
        <v>46019</v>
      </c>
      <c r="B275" s="2">
        <v>1</v>
      </c>
      <c r="C275" s="2" t="s">
        <v>984</v>
      </c>
      <c r="D275" s="2" t="s">
        <v>364</v>
      </c>
      <c r="E275" s="21">
        <v>159</v>
      </c>
      <c r="F275" s="65">
        <f t="shared" si="12"/>
        <v>159</v>
      </c>
      <c r="G275" s="2" t="s">
        <v>8</v>
      </c>
      <c r="H275" s="2"/>
      <c r="I275" s="2" t="s">
        <v>115</v>
      </c>
    </row>
    <row r="276" spans="1:10" x14ac:dyDescent="0.25">
      <c r="A276" s="68">
        <v>46019</v>
      </c>
      <c r="B276" s="2">
        <v>2</v>
      </c>
      <c r="C276" s="2" t="s">
        <v>985</v>
      </c>
      <c r="D276" s="2" t="s">
        <v>364</v>
      </c>
      <c r="E276" s="21">
        <v>199</v>
      </c>
      <c r="F276" s="65">
        <f t="shared" si="12"/>
        <v>398</v>
      </c>
      <c r="G276" s="2" t="s">
        <v>8</v>
      </c>
      <c r="H276" s="2"/>
      <c r="I276" s="2" t="s">
        <v>115</v>
      </c>
    </row>
    <row r="277" spans="1:10" x14ac:dyDescent="0.25">
      <c r="A277" s="68">
        <v>46019</v>
      </c>
      <c r="B277" s="2">
        <v>3</v>
      </c>
      <c r="C277" s="2" t="s">
        <v>986</v>
      </c>
      <c r="D277" s="2" t="s">
        <v>364</v>
      </c>
      <c r="E277" s="21">
        <v>109</v>
      </c>
      <c r="F277" s="65">
        <f t="shared" si="12"/>
        <v>327</v>
      </c>
      <c r="G277" s="2" t="s">
        <v>8</v>
      </c>
      <c r="H277" s="2"/>
      <c r="I277" s="2" t="s">
        <v>115</v>
      </c>
    </row>
    <row r="278" spans="1:10" x14ac:dyDescent="0.25">
      <c r="A278" s="68">
        <v>46019</v>
      </c>
      <c r="B278" s="2">
        <v>3</v>
      </c>
      <c r="C278" s="2" t="s">
        <v>987</v>
      </c>
      <c r="D278" s="2" t="s">
        <v>364</v>
      </c>
      <c r="E278" s="21">
        <v>189</v>
      </c>
      <c r="F278" s="65">
        <f t="shared" si="12"/>
        <v>567</v>
      </c>
      <c r="G278" s="2" t="s">
        <v>8</v>
      </c>
      <c r="H278" s="2"/>
      <c r="I278" s="2" t="s">
        <v>115</v>
      </c>
    </row>
    <row r="279" spans="1:10" x14ac:dyDescent="0.25">
      <c r="A279" s="68">
        <v>46019</v>
      </c>
      <c r="B279" s="2">
        <v>2</v>
      </c>
      <c r="C279" s="2" t="s">
        <v>988</v>
      </c>
      <c r="D279" s="2" t="s">
        <v>364</v>
      </c>
      <c r="E279" s="21">
        <v>488</v>
      </c>
      <c r="F279" s="65">
        <f t="shared" si="12"/>
        <v>976</v>
      </c>
      <c r="G279" s="2" t="s">
        <v>1007</v>
      </c>
      <c r="H279" s="2"/>
      <c r="I279" s="2" t="s">
        <v>115</v>
      </c>
    </row>
    <row r="280" spans="1:10" hidden="1" x14ac:dyDescent="0.25">
      <c r="A280" s="68">
        <v>46019</v>
      </c>
      <c r="B280" s="2">
        <v>2</v>
      </c>
      <c r="C280" s="2" t="s">
        <v>971</v>
      </c>
      <c r="D280" s="2" t="s">
        <v>688</v>
      </c>
      <c r="E280" s="21">
        <v>629</v>
      </c>
      <c r="F280" s="65">
        <f t="shared" si="12"/>
        <v>1258</v>
      </c>
      <c r="G280" s="2" t="s">
        <v>8</v>
      </c>
      <c r="H280" s="2"/>
      <c r="I280" s="2" t="s">
        <v>115</v>
      </c>
    </row>
    <row r="281" spans="1:10" hidden="1" x14ac:dyDescent="0.25">
      <c r="A281" s="68">
        <v>46019</v>
      </c>
      <c r="B281" s="2">
        <v>2</v>
      </c>
      <c r="C281" s="2" t="s">
        <v>967</v>
      </c>
      <c r="D281" s="2" t="s">
        <v>688</v>
      </c>
      <c r="E281" s="21">
        <v>2599</v>
      </c>
      <c r="F281" s="65">
        <f t="shared" si="12"/>
        <v>5198</v>
      </c>
      <c r="G281" s="2" t="s">
        <v>1010</v>
      </c>
      <c r="H281" s="2"/>
      <c r="I281" s="2" t="s">
        <v>115</v>
      </c>
    </row>
    <row r="282" spans="1:10" hidden="1" x14ac:dyDescent="0.25">
      <c r="A282" s="68">
        <v>46387</v>
      </c>
      <c r="B282" s="2">
        <v>8</v>
      </c>
      <c r="C282" s="2" t="s">
        <v>933</v>
      </c>
      <c r="D282" s="2" t="s">
        <v>496</v>
      </c>
      <c r="E282" s="65">
        <v>398</v>
      </c>
      <c r="F282" s="65">
        <f t="shared" si="12"/>
        <v>3184</v>
      </c>
      <c r="G282" s="2" t="s">
        <v>8</v>
      </c>
      <c r="H282" s="2"/>
      <c r="I282" s="2"/>
    </row>
    <row r="283" spans="1:10" hidden="1" x14ac:dyDescent="0.25">
      <c r="A283" s="68">
        <v>46387</v>
      </c>
      <c r="B283" s="2">
        <v>2</v>
      </c>
      <c r="C283" s="2" t="s">
        <v>979</v>
      </c>
      <c r="D283" s="2" t="s">
        <v>887</v>
      </c>
      <c r="E283" s="65">
        <v>477</v>
      </c>
      <c r="F283" s="65">
        <f t="shared" si="12"/>
        <v>954</v>
      </c>
      <c r="G283" s="2" t="s">
        <v>993</v>
      </c>
      <c r="H283" s="2"/>
      <c r="I283" s="2"/>
    </row>
    <row r="284" spans="1:10" hidden="1" x14ac:dyDescent="0.25">
      <c r="A284" s="68">
        <v>46384</v>
      </c>
      <c r="B284" s="2">
        <v>1</v>
      </c>
      <c r="C284" s="2" t="s">
        <v>971</v>
      </c>
      <c r="D284" s="2" t="s">
        <v>994</v>
      </c>
      <c r="E284" s="65">
        <v>628</v>
      </c>
      <c r="F284" s="65">
        <f t="shared" si="12"/>
        <v>628</v>
      </c>
      <c r="G284" s="2" t="s">
        <v>981</v>
      </c>
      <c r="H284" s="2">
        <v>40</v>
      </c>
      <c r="I284" s="2" t="s">
        <v>115</v>
      </c>
      <c r="J284">
        <f t="shared" ref="J284:J285" si="14">B284*H284</f>
        <v>40</v>
      </c>
    </row>
    <row r="285" spans="1:10" hidden="1" x14ac:dyDescent="0.25">
      <c r="A285" s="68">
        <v>46384</v>
      </c>
      <c r="B285" s="2">
        <v>3</v>
      </c>
      <c r="C285" s="2" t="s">
        <v>933</v>
      </c>
      <c r="D285" s="2" t="s">
        <v>994</v>
      </c>
      <c r="E285" s="65">
        <v>328</v>
      </c>
      <c r="F285" s="65">
        <f t="shared" si="12"/>
        <v>984</v>
      </c>
      <c r="G285" s="2" t="s">
        <v>981</v>
      </c>
      <c r="H285" s="2">
        <v>20</v>
      </c>
      <c r="I285" s="2" t="s">
        <v>115</v>
      </c>
      <c r="J285">
        <f t="shared" si="14"/>
        <v>60</v>
      </c>
    </row>
    <row r="286" spans="1:10" hidden="1" x14ac:dyDescent="0.25">
      <c r="A286" s="68">
        <v>46387</v>
      </c>
      <c r="B286" s="2">
        <v>1</v>
      </c>
      <c r="C286" s="2" t="s">
        <v>999</v>
      </c>
      <c r="D286" s="2" t="s">
        <v>857</v>
      </c>
      <c r="E286" s="65">
        <v>850</v>
      </c>
      <c r="F286" s="65">
        <v>850</v>
      </c>
      <c r="G286" s="2" t="s">
        <v>1000</v>
      </c>
      <c r="H286" s="2"/>
      <c r="I286" s="2" t="s">
        <v>85</v>
      </c>
    </row>
    <row r="287" spans="1:10" x14ac:dyDescent="0.25">
      <c r="A287" s="2"/>
      <c r="B287" s="2"/>
      <c r="C287" s="2"/>
      <c r="D287" s="2"/>
      <c r="E287" s="65"/>
      <c r="F287" s="65"/>
      <c r="G287" s="2"/>
      <c r="H287" s="2"/>
      <c r="I287" s="2"/>
    </row>
    <row r="288" spans="1:10" x14ac:dyDescent="0.25">
      <c r="A288" s="2"/>
      <c r="B288" s="2"/>
      <c r="C288" s="2"/>
      <c r="D288" s="2"/>
      <c r="E288" s="65"/>
      <c r="F288" s="65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18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  <row r="779" spans="1:9" x14ac:dyDescent="0.25">
      <c r="A779" s="2"/>
      <c r="B779" s="2"/>
      <c r="C779" s="2"/>
      <c r="D779" s="2"/>
      <c r="E779" s="2"/>
      <c r="F779" s="2"/>
      <c r="G779" s="2"/>
      <c r="H779" s="2"/>
      <c r="I779" s="2"/>
    </row>
    <row r="780" spans="1:9" x14ac:dyDescent="0.25">
      <c r="A780" s="2"/>
      <c r="B780" s="2"/>
      <c r="C780" s="2"/>
      <c r="D780" s="2"/>
      <c r="E780" s="2"/>
      <c r="F780" s="2"/>
      <c r="G780" s="2"/>
      <c r="H780" s="2"/>
      <c r="I780" s="2"/>
    </row>
    <row r="781" spans="1:9" x14ac:dyDescent="0.25">
      <c r="A781" s="2"/>
      <c r="B781" s="2"/>
      <c r="C781" s="2"/>
      <c r="D781" s="2"/>
      <c r="E781" s="2"/>
      <c r="F781" s="2"/>
      <c r="G781" s="2"/>
      <c r="H781" s="2"/>
      <c r="I781" s="2"/>
    </row>
    <row r="782" spans="1:9" x14ac:dyDescent="0.25">
      <c r="A782" s="2"/>
      <c r="B782" s="2"/>
      <c r="C782" s="2"/>
      <c r="D782" s="2"/>
      <c r="E782" s="2"/>
      <c r="F782" s="2"/>
      <c r="G782" s="2"/>
      <c r="H782" s="2"/>
      <c r="I782" s="2"/>
    </row>
    <row r="783" spans="1:9" x14ac:dyDescent="0.25">
      <c r="A783" s="2"/>
      <c r="B783" s="2"/>
      <c r="C783" s="2"/>
      <c r="D783" s="2"/>
      <c r="E783" s="2"/>
      <c r="F783" s="2"/>
      <c r="G783" s="2"/>
      <c r="H783" s="2"/>
      <c r="I783" s="2"/>
    </row>
    <row r="784" spans="1:9" x14ac:dyDescent="0.25">
      <c r="A784" s="2"/>
      <c r="B784" s="2"/>
      <c r="C784" s="2"/>
      <c r="D784" s="2"/>
      <c r="E784" s="2"/>
      <c r="F784" s="2"/>
      <c r="G784" s="2"/>
      <c r="H784" s="2"/>
      <c r="I784" s="2"/>
    </row>
    <row r="785" spans="1:9" x14ac:dyDescent="0.25">
      <c r="A785" s="2"/>
      <c r="B785" s="2"/>
      <c r="C785" s="2"/>
      <c r="D785" s="2"/>
      <c r="E785" s="2"/>
      <c r="F785" s="2"/>
      <c r="G785" s="2"/>
      <c r="H785" s="2"/>
      <c r="I785" s="2"/>
    </row>
    <row r="786" spans="1:9" x14ac:dyDescent="0.25">
      <c r="A786" s="2"/>
      <c r="B786" s="2"/>
      <c r="C786" s="2"/>
      <c r="D786" s="2"/>
      <c r="E786" s="2"/>
      <c r="F786" s="2"/>
      <c r="G786" s="2"/>
      <c r="H786" s="2"/>
      <c r="I786" s="2"/>
    </row>
    <row r="787" spans="1:9" x14ac:dyDescent="0.25">
      <c r="A787" s="2"/>
      <c r="B787" s="2"/>
      <c r="C787" s="2"/>
      <c r="D787" s="2"/>
      <c r="E787" s="2"/>
      <c r="F787" s="2"/>
      <c r="G787" s="2"/>
      <c r="H787" s="2"/>
      <c r="I787" s="2"/>
    </row>
    <row r="788" spans="1:9" x14ac:dyDescent="0.25">
      <c r="A788" s="2"/>
      <c r="B788" s="2"/>
      <c r="C788" s="2"/>
      <c r="D788" s="2"/>
      <c r="E788" s="2"/>
      <c r="F788" s="2"/>
      <c r="G788" s="2"/>
      <c r="H788" s="2"/>
      <c r="I788" s="2"/>
    </row>
    <row r="789" spans="1:9" x14ac:dyDescent="0.25">
      <c r="A789" s="2"/>
      <c r="B789" s="2"/>
      <c r="C789" s="2"/>
      <c r="D789" s="2"/>
      <c r="E789" s="2"/>
      <c r="F789" s="2"/>
      <c r="G789" s="2"/>
      <c r="H789" s="2"/>
      <c r="I789" s="2"/>
    </row>
    <row r="790" spans="1:9" x14ac:dyDescent="0.25">
      <c r="A790" s="2"/>
      <c r="B790" s="2"/>
      <c r="C790" s="2"/>
      <c r="D790" s="2"/>
      <c r="E790" s="2"/>
      <c r="F790" s="2"/>
      <c r="G790" s="2"/>
      <c r="H790" s="2"/>
      <c r="I790" s="2"/>
    </row>
    <row r="791" spans="1:9" x14ac:dyDescent="0.25">
      <c r="A791" s="2"/>
      <c r="B791" s="2"/>
      <c r="C791" s="2"/>
      <c r="D791" s="2"/>
      <c r="E791" s="2"/>
      <c r="F791" s="2"/>
      <c r="G791" s="2"/>
      <c r="H791" s="2"/>
      <c r="I791" s="2"/>
    </row>
    <row r="792" spans="1:9" x14ac:dyDescent="0.25">
      <c r="A792" s="2"/>
      <c r="B792" s="2"/>
      <c r="C792" s="2"/>
      <c r="D792" s="2"/>
      <c r="E792" s="2"/>
      <c r="F792" s="2"/>
      <c r="G792" s="2"/>
      <c r="H792" s="2"/>
      <c r="I792" s="2"/>
    </row>
    <row r="793" spans="1:9" x14ac:dyDescent="0.25">
      <c r="A793" s="2"/>
      <c r="B793" s="2"/>
      <c r="C793" s="2"/>
      <c r="D793" s="2"/>
      <c r="E793" s="2"/>
      <c r="F793" s="2"/>
      <c r="G793" s="2"/>
      <c r="H793" s="2"/>
      <c r="I793" s="2"/>
    </row>
    <row r="794" spans="1:9" x14ac:dyDescent="0.25">
      <c r="A794" s="2"/>
      <c r="B794" s="2"/>
      <c r="C794" s="2"/>
      <c r="D794" s="2"/>
      <c r="E794" s="2"/>
      <c r="F794" s="2"/>
      <c r="G794" s="2"/>
      <c r="H794" s="2"/>
      <c r="I794" s="2"/>
    </row>
    <row r="795" spans="1:9" x14ac:dyDescent="0.25">
      <c r="A795" s="2"/>
      <c r="B795" s="2"/>
      <c r="C795" s="2"/>
      <c r="D795" s="2"/>
      <c r="E795" s="2"/>
      <c r="F795" s="2"/>
      <c r="G795" s="2"/>
      <c r="H795" s="2"/>
      <c r="I795" s="2"/>
    </row>
    <row r="796" spans="1:9" x14ac:dyDescent="0.25">
      <c r="A796" s="2"/>
      <c r="B796" s="2"/>
      <c r="C796" s="2"/>
      <c r="D796" s="2"/>
      <c r="E796" s="2"/>
      <c r="F796" s="2"/>
      <c r="G796" s="2"/>
      <c r="H796" s="2"/>
      <c r="I796" s="2"/>
    </row>
    <row r="797" spans="1:9" x14ac:dyDescent="0.25">
      <c r="A797" s="2"/>
      <c r="B797" s="2"/>
      <c r="C797" s="2"/>
      <c r="D797" s="2"/>
      <c r="E797" s="2"/>
      <c r="F797" s="2"/>
      <c r="G797" s="2"/>
      <c r="H797" s="2"/>
      <c r="I797" s="2"/>
    </row>
    <row r="798" spans="1:9" x14ac:dyDescent="0.25">
      <c r="A798" s="2"/>
      <c r="B798" s="2"/>
      <c r="C798" s="2"/>
      <c r="D798" s="2"/>
      <c r="E798" s="2"/>
      <c r="F798" s="2"/>
      <c r="G798" s="2"/>
      <c r="H798" s="2"/>
      <c r="I798" s="2"/>
    </row>
    <row r="799" spans="1:9" x14ac:dyDescent="0.25">
      <c r="A799" s="2"/>
      <c r="B799" s="2"/>
      <c r="C799" s="2"/>
      <c r="D799" s="2"/>
      <c r="E799" s="2"/>
      <c r="F799" s="2"/>
      <c r="G799" s="2"/>
      <c r="H799" s="2"/>
      <c r="I799" s="2"/>
    </row>
    <row r="800" spans="1:9" x14ac:dyDescent="0.25">
      <c r="A800" s="2"/>
      <c r="B800" s="2"/>
      <c r="C800" s="2"/>
      <c r="D800" s="2"/>
      <c r="E800" s="2"/>
      <c r="F800" s="2"/>
      <c r="G800" s="2"/>
      <c r="H800" s="2"/>
      <c r="I800" s="2"/>
    </row>
    <row r="801" spans="1:9" x14ac:dyDescent="0.25">
      <c r="A801" s="2"/>
      <c r="B801" s="2"/>
      <c r="C801" s="2"/>
      <c r="D801" s="2"/>
      <c r="E801" s="2"/>
      <c r="F801" s="2"/>
      <c r="G801" s="2"/>
      <c r="H801" s="2"/>
      <c r="I801" s="2"/>
    </row>
    <row r="802" spans="1:9" x14ac:dyDescent="0.25">
      <c r="A802" s="2"/>
      <c r="B802" s="2"/>
      <c r="C802" s="2"/>
      <c r="D802" s="2"/>
      <c r="E802" s="2"/>
      <c r="F802" s="2"/>
      <c r="G802" s="2"/>
      <c r="H802" s="2"/>
      <c r="I802" s="2"/>
    </row>
    <row r="803" spans="1:9" x14ac:dyDescent="0.25">
      <c r="A803" s="2"/>
      <c r="B803" s="2"/>
      <c r="C803" s="2"/>
      <c r="D803" s="2"/>
      <c r="E803" s="2"/>
      <c r="F803" s="2"/>
      <c r="G803" s="2"/>
      <c r="H803" s="2"/>
      <c r="I803" s="2"/>
    </row>
    <row r="804" spans="1:9" x14ac:dyDescent="0.25">
      <c r="A804" s="2"/>
      <c r="B804" s="2"/>
      <c r="C804" s="2"/>
      <c r="D804" s="2"/>
      <c r="E804" s="2"/>
      <c r="F804" s="2"/>
      <c r="G804" s="2"/>
      <c r="H804" s="2"/>
      <c r="I804" s="2"/>
    </row>
    <row r="805" spans="1:9" x14ac:dyDescent="0.25">
      <c r="A805" s="2"/>
      <c r="B805" s="2"/>
      <c r="C805" s="2"/>
      <c r="D805" s="2"/>
      <c r="E805" s="2"/>
      <c r="F805" s="2"/>
      <c r="G805" s="2"/>
      <c r="H805" s="2"/>
      <c r="I805" s="2"/>
    </row>
    <row r="806" spans="1:9" x14ac:dyDescent="0.25">
      <c r="A806" s="2"/>
      <c r="B806" s="2"/>
      <c r="C806" s="2"/>
      <c r="D806" s="2"/>
      <c r="E806" s="2"/>
      <c r="F806" s="2"/>
      <c r="G806" s="2"/>
      <c r="H806" s="2"/>
      <c r="I806" s="2"/>
    </row>
    <row r="807" spans="1:9" x14ac:dyDescent="0.25">
      <c r="A807" s="2"/>
      <c r="B807" s="2"/>
      <c r="C807" s="2"/>
      <c r="D807" s="2"/>
      <c r="E807" s="2"/>
      <c r="F807" s="2"/>
      <c r="G807" s="2"/>
      <c r="H807" s="2"/>
      <c r="I807" s="2"/>
    </row>
    <row r="808" spans="1:9" x14ac:dyDescent="0.25">
      <c r="A808" s="2"/>
      <c r="B808" s="2"/>
      <c r="C808" s="2"/>
      <c r="D808" s="2"/>
      <c r="E808" s="2"/>
      <c r="F808" s="2"/>
      <c r="G808" s="2"/>
      <c r="H808" s="2"/>
      <c r="I808" s="2"/>
    </row>
    <row r="809" spans="1:9" x14ac:dyDescent="0.25">
      <c r="A809" s="2"/>
      <c r="B809" s="2"/>
      <c r="C809" s="2"/>
      <c r="D809" s="2"/>
      <c r="E809" s="2"/>
      <c r="F809" s="2"/>
      <c r="G809" s="2"/>
      <c r="H809" s="2"/>
      <c r="I809" s="2"/>
    </row>
    <row r="810" spans="1:9" x14ac:dyDescent="0.25">
      <c r="A810" s="2"/>
      <c r="B810" s="2"/>
      <c r="C810" s="2"/>
      <c r="D810" s="2"/>
      <c r="E810" s="2"/>
      <c r="F810" s="2"/>
      <c r="G810" s="2"/>
      <c r="H810" s="2"/>
      <c r="I810" s="2"/>
    </row>
    <row r="811" spans="1:9" x14ac:dyDescent="0.25">
      <c r="A811" s="2"/>
      <c r="B811" s="2"/>
      <c r="C811" s="2"/>
      <c r="D811" s="2"/>
      <c r="E811" s="2"/>
      <c r="F811" s="2"/>
      <c r="G811" s="2"/>
      <c r="H811" s="2"/>
      <c r="I811" s="2"/>
    </row>
    <row r="812" spans="1:9" x14ac:dyDescent="0.25">
      <c r="A812" s="2"/>
      <c r="B812" s="2"/>
      <c r="C812" s="2"/>
      <c r="D812" s="2"/>
      <c r="E812" s="2"/>
      <c r="F812" s="2"/>
      <c r="G812" s="2"/>
      <c r="H812" s="2"/>
      <c r="I812" s="2"/>
    </row>
    <row r="813" spans="1:9" x14ac:dyDescent="0.25">
      <c r="A813" s="2"/>
      <c r="B813" s="2"/>
      <c r="C813" s="2"/>
      <c r="D813" s="2"/>
      <c r="E813" s="2"/>
      <c r="F813" s="2"/>
      <c r="G813" s="2"/>
      <c r="H813" s="2"/>
      <c r="I813" s="2"/>
    </row>
    <row r="814" spans="1:9" x14ac:dyDescent="0.25">
      <c r="A814" s="2"/>
      <c r="B814" s="2"/>
      <c r="C814" s="2"/>
      <c r="D814" s="2"/>
      <c r="E814" s="2"/>
      <c r="F814" s="2"/>
      <c r="G814" s="2"/>
      <c r="H814" s="2"/>
      <c r="I814" s="2"/>
    </row>
    <row r="815" spans="1:9" x14ac:dyDescent="0.25">
      <c r="A815" s="2"/>
      <c r="B815" s="2"/>
      <c r="C815" s="2"/>
      <c r="D815" s="2"/>
      <c r="E815" s="2"/>
      <c r="F815" s="2"/>
      <c r="G815" s="2"/>
      <c r="H815" s="2"/>
      <c r="I815" s="2"/>
    </row>
    <row r="816" spans="1:9" x14ac:dyDescent="0.25">
      <c r="A816" s="2"/>
      <c r="B816" s="2"/>
      <c r="C816" s="2"/>
      <c r="D816" s="2"/>
      <c r="E816" s="2"/>
      <c r="F816" s="2"/>
      <c r="G816" s="2"/>
      <c r="H816" s="2"/>
      <c r="I816" s="2"/>
    </row>
    <row r="817" spans="1:9" x14ac:dyDescent="0.25">
      <c r="A817" s="2"/>
      <c r="B817" s="2"/>
      <c r="C817" s="2"/>
      <c r="D817" s="2"/>
      <c r="E817" s="2"/>
      <c r="F817" s="2"/>
      <c r="G817" s="2"/>
      <c r="H817" s="2"/>
      <c r="I817" s="2"/>
    </row>
    <row r="818" spans="1:9" x14ac:dyDescent="0.25">
      <c r="A818" s="2"/>
      <c r="B818" s="2"/>
      <c r="C818" s="2"/>
      <c r="D818" s="2"/>
      <c r="E818" s="2"/>
      <c r="F818" s="2"/>
      <c r="G818" s="2"/>
      <c r="H818" s="2"/>
      <c r="I818" s="2"/>
    </row>
    <row r="819" spans="1:9" x14ac:dyDescent="0.25">
      <c r="A819" s="2"/>
      <c r="B819" s="2"/>
      <c r="C819" s="2"/>
      <c r="D819" s="2"/>
      <c r="E819" s="2"/>
      <c r="F819" s="2"/>
      <c r="G819" s="2"/>
      <c r="H819" s="2"/>
      <c r="I819" s="2"/>
    </row>
    <row r="820" spans="1:9" x14ac:dyDescent="0.25">
      <c r="A820" s="2"/>
      <c r="B820" s="2"/>
      <c r="C820" s="2"/>
      <c r="D820" s="2"/>
      <c r="E820" s="2"/>
      <c r="F820" s="2"/>
      <c r="G820" s="2"/>
      <c r="H820" s="2"/>
      <c r="I820" s="2"/>
    </row>
    <row r="821" spans="1:9" x14ac:dyDescent="0.25">
      <c r="A821" s="2"/>
      <c r="B821" s="2"/>
      <c r="C821" s="2"/>
      <c r="D821" s="2"/>
      <c r="E821" s="2"/>
      <c r="F821" s="2"/>
      <c r="G821" s="2"/>
      <c r="H821" s="2"/>
      <c r="I821" s="2"/>
    </row>
    <row r="822" spans="1:9" x14ac:dyDescent="0.25">
      <c r="A822" s="2"/>
      <c r="B822" s="2"/>
      <c r="C822" s="2"/>
      <c r="D822" s="2"/>
      <c r="E822" s="2"/>
      <c r="F822" s="2"/>
      <c r="G822" s="2"/>
      <c r="H822" s="2"/>
      <c r="I822" s="2"/>
    </row>
    <row r="823" spans="1:9" x14ac:dyDescent="0.25">
      <c r="A823" s="2"/>
      <c r="B823" s="2"/>
      <c r="C823" s="2"/>
      <c r="D823" s="2"/>
      <c r="E823" s="2"/>
      <c r="F823" s="2"/>
      <c r="G823" s="2"/>
      <c r="H823" s="2"/>
      <c r="I823" s="2"/>
    </row>
    <row r="824" spans="1:9" x14ac:dyDescent="0.25">
      <c r="A824" s="2"/>
      <c r="B824" s="2"/>
      <c r="C824" s="2"/>
      <c r="D824" s="2"/>
      <c r="E824" s="2"/>
      <c r="F824" s="2"/>
      <c r="G824" s="2"/>
      <c r="H824" s="2"/>
      <c r="I824" s="2"/>
    </row>
    <row r="825" spans="1:9" x14ac:dyDescent="0.25">
      <c r="A825" s="2"/>
      <c r="B825" s="2"/>
      <c r="C825" s="2"/>
      <c r="D825" s="2"/>
      <c r="E825" s="2"/>
      <c r="F825" s="2"/>
      <c r="G825" s="2"/>
      <c r="H825" s="2"/>
      <c r="I825" s="2"/>
    </row>
    <row r="826" spans="1:9" x14ac:dyDescent="0.25">
      <c r="A826" s="2"/>
      <c r="B826" s="2"/>
      <c r="C826" s="2"/>
      <c r="D826" s="2"/>
      <c r="E826" s="2"/>
      <c r="F826" s="2"/>
      <c r="G826" s="2"/>
      <c r="H826" s="2"/>
      <c r="I826" s="2"/>
    </row>
    <row r="827" spans="1:9" x14ac:dyDescent="0.25">
      <c r="A827" s="2"/>
      <c r="B827" s="2"/>
      <c r="C827" s="2"/>
      <c r="D827" s="2"/>
      <c r="E827" s="2"/>
      <c r="F827" s="2"/>
      <c r="G827" s="2"/>
      <c r="H827" s="2"/>
      <c r="I827" s="2"/>
    </row>
    <row r="828" spans="1:9" x14ac:dyDescent="0.25">
      <c r="A828" s="2"/>
      <c r="B828" s="2"/>
      <c r="C828" s="2"/>
      <c r="D828" s="2"/>
      <c r="E828" s="2"/>
      <c r="F828" s="2"/>
      <c r="G828" s="2"/>
      <c r="H828" s="2"/>
      <c r="I828" s="2"/>
    </row>
    <row r="829" spans="1:9" x14ac:dyDescent="0.25">
      <c r="A829" s="2"/>
      <c r="B829" s="2"/>
      <c r="C829" s="2"/>
      <c r="D829" s="2"/>
      <c r="E829" s="2"/>
      <c r="F829" s="2"/>
      <c r="G829" s="2"/>
      <c r="H829" s="2"/>
      <c r="I829" s="2"/>
    </row>
    <row r="830" spans="1:9" x14ac:dyDescent="0.25">
      <c r="A830" s="2"/>
      <c r="B830" s="2"/>
      <c r="C830" s="2"/>
      <c r="D830" s="2"/>
      <c r="E830" s="2"/>
      <c r="F830" s="2"/>
      <c r="G830" s="2"/>
      <c r="H830" s="2"/>
      <c r="I830" s="2"/>
    </row>
    <row r="831" spans="1:9" x14ac:dyDescent="0.25">
      <c r="A831" s="2"/>
      <c r="B831" s="2"/>
      <c r="C831" s="2"/>
      <c r="D831" s="2"/>
      <c r="E831" s="2"/>
      <c r="F831" s="2"/>
      <c r="G831" s="2"/>
      <c r="H831" s="2"/>
      <c r="I831" s="2"/>
    </row>
    <row r="832" spans="1:9" x14ac:dyDescent="0.25">
      <c r="A832" s="2"/>
      <c r="B832" s="2"/>
      <c r="C832" s="2"/>
      <c r="D832" s="2"/>
      <c r="E832" s="2"/>
      <c r="F832" s="2"/>
      <c r="G832" s="2"/>
      <c r="H832" s="2"/>
      <c r="I832" s="2"/>
    </row>
    <row r="833" spans="1:9" x14ac:dyDescent="0.25">
      <c r="A833" s="2"/>
      <c r="B833" s="2"/>
      <c r="C833" s="2"/>
      <c r="D833" s="2"/>
      <c r="E833" s="2"/>
      <c r="F833" s="2"/>
      <c r="G833" s="2"/>
      <c r="H833" s="2"/>
      <c r="I833" s="2"/>
    </row>
    <row r="834" spans="1:9" x14ac:dyDescent="0.25">
      <c r="A834" s="2"/>
      <c r="B834" s="2"/>
      <c r="C834" s="2"/>
      <c r="D834" s="2"/>
      <c r="E834" s="2"/>
      <c r="F834" s="2"/>
      <c r="G834" s="2"/>
      <c r="H834" s="2"/>
      <c r="I834" s="2"/>
    </row>
    <row r="835" spans="1:9" x14ac:dyDescent="0.25">
      <c r="A835" s="2"/>
      <c r="B835" s="2"/>
      <c r="C835" s="2"/>
      <c r="D835" s="2"/>
      <c r="E835" s="2"/>
      <c r="F835" s="2"/>
      <c r="G835" s="2"/>
      <c r="H835" s="2"/>
      <c r="I835" s="2"/>
    </row>
    <row r="836" spans="1:9" x14ac:dyDescent="0.25">
      <c r="A836" s="2"/>
      <c r="B836" s="2"/>
      <c r="C836" s="2"/>
      <c r="D836" s="2"/>
      <c r="E836" s="2"/>
      <c r="F836" s="2"/>
      <c r="G836" s="2"/>
      <c r="H836" s="2"/>
      <c r="I836" s="2"/>
    </row>
    <row r="837" spans="1:9" x14ac:dyDescent="0.25">
      <c r="A837" s="2"/>
      <c r="B837" s="2"/>
      <c r="C837" s="2"/>
      <c r="D837" s="2"/>
      <c r="E837" s="2"/>
      <c r="F837" s="2"/>
      <c r="G837" s="2"/>
      <c r="H837" s="2"/>
      <c r="I837" s="2"/>
    </row>
    <row r="838" spans="1:9" x14ac:dyDescent="0.25">
      <c r="A838" s="2"/>
      <c r="B838" s="2"/>
      <c r="C838" s="2"/>
      <c r="D838" s="2"/>
      <c r="E838" s="2"/>
      <c r="F838" s="2"/>
      <c r="G838" s="2"/>
      <c r="H838" s="2"/>
      <c r="I838" s="2"/>
    </row>
    <row r="839" spans="1:9" x14ac:dyDescent="0.25">
      <c r="A839" s="2"/>
      <c r="B839" s="2"/>
      <c r="C839" s="2"/>
      <c r="D839" s="2"/>
      <c r="E839" s="2"/>
      <c r="F839" s="2"/>
      <c r="G839" s="2"/>
      <c r="H839" s="2"/>
      <c r="I839" s="2"/>
    </row>
    <row r="840" spans="1:9" x14ac:dyDescent="0.25">
      <c r="A840" s="2"/>
      <c r="B840" s="2"/>
      <c r="C840" s="2"/>
      <c r="D840" s="2"/>
      <c r="E840" s="2"/>
      <c r="F840" s="2"/>
      <c r="G840" s="2"/>
      <c r="H840" s="2"/>
      <c r="I840" s="2"/>
    </row>
    <row r="841" spans="1:9" x14ac:dyDescent="0.25">
      <c r="A841" s="2"/>
      <c r="B841" s="2"/>
      <c r="C841" s="2"/>
      <c r="D841" s="2"/>
      <c r="E841" s="2"/>
      <c r="F841" s="2"/>
      <c r="G841" s="2"/>
      <c r="H841" s="2"/>
      <c r="I841" s="2"/>
    </row>
    <row r="842" spans="1:9" x14ac:dyDescent="0.25">
      <c r="A842" s="2"/>
      <c r="B842" s="2"/>
      <c r="C842" s="2"/>
      <c r="D842" s="2"/>
      <c r="E842" s="2"/>
      <c r="F842" s="2"/>
      <c r="G842" s="2"/>
      <c r="H842" s="2"/>
      <c r="I842" s="2"/>
    </row>
    <row r="843" spans="1:9" x14ac:dyDescent="0.25">
      <c r="A843" s="2"/>
      <c r="B843" s="2"/>
      <c r="C843" s="2"/>
      <c r="D843" s="2"/>
      <c r="E843" s="2"/>
      <c r="F843" s="2"/>
      <c r="G843" s="2"/>
      <c r="H843" s="2"/>
      <c r="I843" s="2"/>
    </row>
    <row r="844" spans="1:9" x14ac:dyDescent="0.25">
      <c r="A844" s="2"/>
      <c r="B844" s="2"/>
      <c r="C844" s="2"/>
      <c r="D844" s="2"/>
      <c r="E844" s="2"/>
      <c r="F844" s="2"/>
      <c r="G844" s="2"/>
      <c r="H844" s="2"/>
      <c r="I844" s="2"/>
    </row>
    <row r="845" spans="1:9" x14ac:dyDescent="0.25">
      <c r="A845" s="2"/>
      <c r="B845" s="2"/>
      <c r="C845" s="2"/>
      <c r="D845" s="2"/>
      <c r="E845" s="2"/>
      <c r="F845" s="2"/>
      <c r="G845" s="2"/>
      <c r="H845" s="2"/>
      <c r="I845" s="2"/>
    </row>
    <row r="846" spans="1:9" x14ac:dyDescent="0.25">
      <c r="A846" s="2"/>
      <c r="B846" s="2"/>
      <c r="C846" s="2"/>
      <c r="D846" s="2"/>
      <c r="E846" s="2"/>
      <c r="F846" s="2"/>
      <c r="G846" s="2"/>
      <c r="H846" s="2"/>
      <c r="I846" s="2"/>
    </row>
    <row r="847" spans="1:9" x14ac:dyDescent="0.25">
      <c r="A847" s="2"/>
      <c r="B847" s="2"/>
      <c r="C847" s="2"/>
      <c r="D847" s="2"/>
      <c r="E847" s="2"/>
      <c r="F847" s="2"/>
      <c r="G847" s="2"/>
      <c r="H847" s="2"/>
      <c r="I847" s="2"/>
    </row>
    <row r="848" spans="1:9" x14ac:dyDescent="0.25">
      <c r="A848" s="2"/>
      <c r="B848" s="2"/>
      <c r="C848" s="2"/>
      <c r="D848" s="2"/>
      <c r="E848" s="2"/>
      <c r="F848" s="2"/>
      <c r="G848" s="2"/>
      <c r="H848" s="2"/>
      <c r="I848" s="2"/>
    </row>
    <row r="849" spans="1:9" x14ac:dyDescent="0.25">
      <c r="A849" s="2"/>
      <c r="B849" s="2"/>
      <c r="C849" s="2"/>
      <c r="D849" s="2"/>
      <c r="E849" s="2"/>
      <c r="F849" s="2"/>
      <c r="G849" s="2"/>
      <c r="H849" s="2"/>
      <c r="I849" s="2"/>
    </row>
    <row r="850" spans="1:9" x14ac:dyDescent="0.25">
      <c r="A850" s="2"/>
      <c r="B850" s="2"/>
      <c r="C850" s="2"/>
      <c r="D850" s="2"/>
      <c r="E850" s="2"/>
      <c r="F850" s="2"/>
      <c r="G850" s="2"/>
      <c r="H850" s="2"/>
      <c r="I850" s="2"/>
    </row>
    <row r="851" spans="1:9" x14ac:dyDescent="0.25">
      <c r="A851" s="2"/>
      <c r="B851" s="2"/>
      <c r="C851" s="2"/>
      <c r="D851" s="2"/>
      <c r="E851" s="2"/>
      <c r="F851" s="2"/>
      <c r="G851" s="2"/>
      <c r="H851" s="2"/>
      <c r="I851" s="2"/>
    </row>
    <row r="852" spans="1:9" x14ac:dyDescent="0.25">
      <c r="A852" s="2"/>
      <c r="B852" s="2"/>
      <c r="C852" s="2"/>
      <c r="D852" s="2"/>
      <c r="E852" s="2"/>
      <c r="F852" s="2"/>
      <c r="G852" s="2"/>
      <c r="H852" s="2"/>
      <c r="I852" s="2"/>
    </row>
    <row r="853" spans="1:9" x14ac:dyDescent="0.25">
      <c r="A853" s="2"/>
      <c r="B853" s="2"/>
      <c r="C853" s="2"/>
      <c r="D853" s="2"/>
      <c r="E853" s="2"/>
      <c r="F853" s="2"/>
      <c r="G853" s="2"/>
      <c r="H853" s="2"/>
      <c r="I853" s="2"/>
    </row>
    <row r="854" spans="1:9" x14ac:dyDescent="0.25">
      <c r="A854" s="2"/>
      <c r="B854" s="2"/>
      <c r="C854" s="2"/>
      <c r="D854" s="2"/>
      <c r="E854" s="2"/>
      <c r="F854" s="2"/>
      <c r="G854" s="2"/>
      <c r="H854" s="2"/>
      <c r="I854" s="2"/>
    </row>
    <row r="855" spans="1:9" x14ac:dyDescent="0.25">
      <c r="A855" s="2"/>
      <c r="B855" s="2"/>
      <c r="C855" s="2"/>
      <c r="D855" s="2"/>
      <c r="E855" s="2"/>
      <c r="F855" s="2"/>
      <c r="G855" s="2"/>
      <c r="H855" s="2"/>
      <c r="I855" s="2"/>
    </row>
    <row r="856" spans="1:9" x14ac:dyDescent="0.25">
      <c r="A856" s="2"/>
      <c r="B856" s="2"/>
      <c r="C856" s="2"/>
      <c r="D856" s="2"/>
      <c r="E856" s="2"/>
      <c r="F856" s="2"/>
      <c r="G856" s="2"/>
      <c r="H856" s="2"/>
      <c r="I856" s="2"/>
    </row>
    <row r="857" spans="1:9" x14ac:dyDescent="0.25">
      <c r="A857" s="2"/>
      <c r="B857" s="2"/>
      <c r="C857" s="2"/>
      <c r="D857" s="2"/>
      <c r="E857" s="2"/>
      <c r="F857" s="2"/>
      <c r="G857" s="2"/>
      <c r="H857" s="2"/>
      <c r="I857" s="2"/>
    </row>
    <row r="858" spans="1:9" x14ac:dyDescent="0.25">
      <c r="A858" s="2"/>
      <c r="B858" s="2"/>
      <c r="C858" s="2"/>
      <c r="D858" s="2"/>
      <c r="E858" s="2"/>
      <c r="F858" s="2"/>
      <c r="G858" s="2"/>
      <c r="H858" s="2"/>
      <c r="I858" s="2"/>
    </row>
    <row r="859" spans="1:9" x14ac:dyDescent="0.25">
      <c r="A859" s="2"/>
      <c r="B859" s="2"/>
      <c r="C859" s="2"/>
      <c r="D859" s="2"/>
      <c r="E859" s="2"/>
      <c r="F859" s="2"/>
      <c r="G859" s="2"/>
      <c r="H859" s="2"/>
      <c r="I859" s="2"/>
    </row>
    <row r="860" spans="1:9" x14ac:dyDescent="0.25">
      <c r="A860" s="2"/>
      <c r="B860" s="2"/>
      <c r="C860" s="2"/>
      <c r="D860" s="2"/>
      <c r="E860" s="2"/>
      <c r="F860" s="2"/>
      <c r="G860" s="2"/>
      <c r="H860" s="2"/>
      <c r="I860" s="2"/>
    </row>
    <row r="861" spans="1:9" x14ac:dyDescent="0.25">
      <c r="A861" s="2"/>
      <c r="B861" s="2"/>
      <c r="C861" s="2"/>
      <c r="D861" s="2"/>
      <c r="E861" s="2"/>
      <c r="F861" s="2"/>
      <c r="G861" s="2"/>
      <c r="H861" s="2"/>
      <c r="I861" s="2"/>
    </row>
    <row r="862" spans="1:9" x14ac:dyDescent="0.25">
      <c r="A862" s="2"/>
      <c r="B862" s="2"/>
      <c r="C862" s="2"/>
      <c r="D862" s="2"/>
      <c r="E862" s="2"/>
      <c r="F862" s="2"/>
      <c r="G862" s="2"/>
      <c r="H862" s="2"/>
      <c r="I862" s="2"/>
    </row>
    <row r="863" spans="1:9" x14ac:dyDescent="0.25">
      <c r="A863" s="2"/>
      <c r="B863" s="2"/>
      <c r="C863" s="2"/>
      <c r="D863" s="2"/>
      <c r="E863" s="2"/>
      <c r="F863" s="2"/>
      <c r="G863" s="2"/>
      <c r="H863" s="2"/>
      <c r="I863" s="2"/>
    </row>
    <row r="864" spans="1:9" x14ac:dyDescent="0.25">
      <c r="A864" s="2"/>
      <c r="B864" s="2"/>
      <c r="C864" s="2"/>
      <c r="D864" s="2"/>
      <c r="E864" s="2"/>
      <c r="F864" s="2"/>
      <c r="G864" s="2"/>
      <c r="H864" s="2"/>
      <c r="I864" s="2"/>
    </row>
    <row r="865" spans="1:9" x14ac:dyDescent="0.25">
      <c r="A865" s="2"/>
      <c r="B865" s="2"/>
      <c r="C865" s="2"/>
      <c r="D865" s="2"/>
      <c r="E865" s="2"/>
      <c r="F865" s="2"/>
      <c r="G865" s="2"/>
      <c r="H865" s="2"/>
      <c r="I865" s="2"/>
    </row>
    <row r="866" spans="1:9" x14ac:dyDescent="0.25">
      <c r="A866" s="2"/>
      <c r="B866" s="2"/>
      <c r="C866" s="2"/>
      <c r="D866" s="2"/>
      <c r="E866" s="2"/>
      <c r="F866" s="2"/>
      <c r="G866" s="2"/>
      <c r="H866" s="2"/>
      <c r="I866" s="2"/>
    </row>
    <row r="867" spans="1:9" x14ac:dyDescent="0.25">
      <c r="A867" s="2"/>
      <c r="B867" s="2"/>
      <c r="C867" s="2"/>
      <c r="D867" s="2"/>
      <c r="E867" s="2"/>
      <c r="F867" s="2"/>
      <c r="G867" s="2"/>
      <c r="H867" s="2"/>
      <c r="I867" s="2"/>
    </row>
    <row r="868" spans="1:9" x14ac:dyDescent="0.25">
      <c r="A868" s="2"/>
      <c r="B868" s="2"/>
      <c r="C868" s="2"/>
      <c r="D868" s="2"/>
      <c r="E868" s="2"/>
      <c r="F868" s="2"/>
      <c r="G868" s="2"/>
      <c r="H868" s="2"/>
      <c r="I868" s="2"/>
    </row>
    <row r="869" spans="1:9" x14ac:dyDescent="0.25">
      <c r="A869" s="2"/>
      <c r="B869" s="2"/>
      <c r="C869" s="2"/>
      <c r="D869" s="2"/>
      <c r="E869" s="2"/>
      <c r="F869" s="2"/>
      <c r="G869" s="2"/>
      <c r="H869" s="2"/>
      <c r="I869" s="2"/>
    </row>
    <row r="870" spans="1:9" x14ac:dyDescent="0.25">
      <c r="A870" s="2"/>
      <c r="B870" s="2"/>
      <c r="C870" s="2"/>
      <c r="D870" s="2"/>
      <c r="E870" s="2"/>
      <c r="F870" s="2"/>
      <c r="G870" s="2"/>
      <c r="H870" s="2"/>
      <c r="I870" s="2"/>
    </row>
    <row r="871" spans="1:9" x14ac:dyDescent="0.25">
      <c r="A871" s="2"/>
      <c r="B871" s="2"/>
      <c r="C871" s="2"/>
      <c r="D871" s="2"/>
      <c r="E871" s="2"/>
      <c r="F871" s="2"/>
      <c r="G871" s="2"/>
      <c r="H871" s="2"/>
      <c r="I871" s="2"/>
    </row>
    <row r="872" spans="1:9" x14ac:dyDescent="0.25">
      <c r="A872" s="2"/>
      <c r="B872" s="2"/>
      <c r="C872" s="2"/>
      <c r="D872" s="2"/>
      <c r="E872" s="2"/>
      <c r="F872" s="2"/>
      <c r="G872" s="2"/>
      <c r="H872" s="2"/>
      <c r="I872" s="2"/>
    </row>
    <row r="873" spans="1:9" x14ac:dyDescent="0.25">
      <c r="A873" s="2"/>
      <c r="B873" s="2"/>
      <c r="C873" s="2"/>
      <c r="D873" s="2"/>
      <c r="E873" s="2"/>
      <c r="F873" s="2"/>
      <c r="G873" s="2"/>
      <c r="H873" s="2"/>
      <c r="I873" s="2"/>
    </row>
    <row r="874" spans="1:9" x14ac:dyDescent="0.25">
      <c r="A874" s="2"/>
      <c r="B874" s="2"/>
      <c r="C874" s="2"/>
      <c r="D874" s="2"/>
      <c r="E874" s="2"/>
      <c r="F874" s="2"/>
      <c r="G874" s="2"/>
      <c r="H874" s="2"/>
      <c r="I874" s="2"/>
    </row>
    <row r="875" spans="1:9" x14ac:dyDescent="0.25">
      <c r="A875" s="2"/>
      <c r="B875" s="2"/>
      <c r="C875" s="2"/>
      <c r="D875" s="2"/>
      <c r="E875" s="2"/>
      <c r="F875" s="2"/>
      <c r="G875" s="2"/>
      <c r="H875" s="2"/>
      <c r="I875" s="2"/>
    </row>
    <row r="876" spans="1:9" x14ac:dyDescent="0.25">
      <c r="A876" s="2"/>
      <c r="B876" s="2"/>
      <c r="C876" s="2"/>
      <c r="D876" s="2"/>
      <c r="E876" s="2"/>
      <c r="F876" s="2"/>
      <c r="G876" s="2"/>
      <c r="H876" s="2"/>
      <c r="I876" s="2"/>
    </row>
    <row r="877" spans="1:9" x14ac:dyDescent="0.25">
      <c r="A877" s="2"/>
      <c r="B877" s="2"/>
      <c r="C877" s="2"/>
      <c r="D877" s="2"/>
      <c r="E877" s="2"/>
      <c r="F877" s="2"/>
      <c r="G877" s="2"/>
      <c r="H877" s="2"/>
      <c r="I877" s="2"/>
    </row>
    <row r="878" spans="1:9" x14ac:dyDescent="0.25">
      <c r="A878" s="2"/>
      <c r="B878" s="2"/>
      <c r="C878" s="2"/>
      <c r="D878" s="2"/>
      <c r="E878" s="2"/>
      <c r="F878" s="2"/>
      <c r="G878" s="2"/>
      <c r="H878" s="2"/>
      <c r="I878" s="2"/>
    </row>
    <row r="879" spans="1:9" x14ac:dyDescent="0.25">
      <c r="A879" s="2"/>
      <c r="B879" s="2"/>
      <c r="C879" s="2"/>
      <c r="D879" s="2"/>
      <c r="E879" s="2"/>
      <c r="F879" s="2"/>
      <c r="G879" s="2"/>
      <c r="H879" s="2"/>
      <c r="I879" s="2"/>
    </row>
    <row r="880" spans="1:9" x14ac:dyDescent="0.25">
      <c r="A880" s="2"/>
      <c r="B880" s="2"/>
      <c r="C880" s="2"/>
      <c r="D880" s="2"/>
      <c r="E880" s="2"/>
      <c r="F880" s="2"/>
      <c r="G880" s="2"/>
      <c r="H880" s="2"/>
      <c r="I880" s="2"/>
    </row>
    <row r="881" spans="1:9" x14ac:dyDescent="0.25">
      <c r="A881" s="2"/>
      <c r="B881" s="2"/>
      <c r="C881" s="2"/>
      <c r="D881" s="2"/>
      <c r="E881" s="2"/>
      <c r="F881" s="2"/>
      <c r="G881" s="2"/>
      <c r="H881" s="2"/>
      <c r="I881" s="2"/>
    </row>
    <row r="882" spans="1:9" x14ac:dyDescent="0.25">
      <c r="A882" s="2"/>
      <c r="B882" s="2"/>
      <c r="C882" s="2"/>
      <c r="D882" s="2"/>
      <c r="E882" s="2"/>
      <c r="F882" s="2"/>
      <c r="G882" s="2"/>
      <c r="H882" s="2"/>
      <c r="I882" s="2"/>
    </row>
    <row r="883" spans="1:9" x14ac:dyDescent="0.25">
      <c r="A883" s="2"/>
      <c r="B883" s="2"/>
      <c r="C883" s="2"/>
      <c r="D883" s="2"/>
      <c r="E883" s="2"/>
      <c r="F883" s="2"/>
      <c r="G883" s="2"/>
      <c r="H883" s="2"/>
      <c r="I883" s="2"/>
    </row>
    <row r="884" spans="1:9" x14ac:dyDescent="0.25">
      <c r="A884" s="2"/>
      <c r="B884" s="2"/>
      <c r="C884" s="2"/>
      <c r="D884" s="2"/>
      <c r="E884" s="2"/>
      <c r="F884" s="2"/>
      <c r="G884" s="2"/>
      <c r="H884" s="2"/>
      <c r="I884" s="2"/>
    </row>
    <row r="885" spans="1:9" x14ac:dyDescent="0.25">
      <c r="A885" s="2"/>
      <c r="B885" s="2"/>
      <c r="C885" s="2"/>
      <c r="D885" s="2"/>
      <c r="E885" s="2"/>
      <c r="F885" s="2"/>
      <c r="G885" s="2"/>
      <c r="H885" s="2"/>
      <c r="I885" s="2"/>
    </row>
    <row r="886" spans="1:9" x14ac:dyDescent="0.25">
      <c r="A886" s="2"/>
      <c r="B886" s="2"/>
      <c r="C886" s="2"/>
      <c r="D886" s="2"/>
      <c r="E886" s="2"/>
      <c r="F886" s="2"/>
      <c r="G886" s="2"/>
      <c r="H886" s="2"/>
      <c r="I886" s="2"/>
    </row>
    <row r="887" spans="1:9" x14ac:dyDescent="0.25">
      <c r="A887" s="2"/>
      <c r="B887" s="2"/>
      <c r="C887" s="2"/>
      <c r="D887" s="2"/>
      <c r="E887" s="2"/>
      <c r="F887" s="2"/>
      <c r="G887" s="2"/>
      <c r="H887" s="2"/>
      <c r="I887" s="2"/>
    </row>
    <row r="888" spans="1:9" x14ac:dyDescent="0.25">
      <c r="A888" s="2"/>
      <c r="B888" s="2"/>
      <c r="C888" s="2"/>
      <c r="D888" s="2"/>
      <c r="E888" s="2"/>
      <c r="F888" s="2"/>
      <c r="G888" s="2"/>
      <c r="H888" s="2"/>
      <c r="I888" s="2"/>
    </row>
    <row r="889" spans="1:9" x14ac:dyDescent="0.25">
      <c r="A889" s="2"/>
      <c r="B889" s="2"/>
      <c r="C889" s="2"/>
      <c r="D889" s="2"/>
      <c r="E889" s="2"/>
      <c r="F889" s="2"/>
      <c r="G889" s="2"/>
      <c r="H889" s="2"/>
      <c r="I889" s="2"/>
    </row>
    <row r="890" spans="1:9" x14ac:dyDescent="0.25">
      <c r="A890" s="2"/>
      <c r="B890" s="2"/>
      <c r="C890" s="2"/>
      <c r="D890" s="2"/>
      <c r="E890" s="2"/>
      <c r="F890" s="2"/>
      <c r="G890" s="2"/>
      <c r="H890" s="2"/>
      <c r="I890" s="2"/>
    </row>
    <row r="891" spans="1:9" x14ac:dyDescent="0.25">
      <c r="A891" s="2"/>
      <c r="B891" s="2"/>
      <c r="C891" s="2"/>
      <c r="D891" s="2"/>
      <c r="E891" s="2"/>
      <c r="F891" s="2"/>
      <c r="G891" s="2"/>
      <c r="H891" s="2"/>
      <c r="I891" s="2"/>
    </row>
    <row r="892" spans="1:9" x14ac:dyDescent="0.25">
      <c r="A892" s="2"/>
      <c r="B892" s="2"/>
      <c r="C892" s="2"/>
      <c r="D892" s="2"/>
      <c r="E892" s="2"/>
      <c r="F892" s="2"/>
      <c r="G892" s="2"/>
      <c r="H892" s="2"/>
      <c r="I892" s="2"/>
    </row>
    <row r="893" spans="1:9" x14ac:dyDescent="0.25">
      <c r="A893" s="2"/>
      <c r="B893" s="2"/>
      <c r="C893" s="2"/>
      <c r="D893" s="2"/>
      <c r="E893" s="2"/>
      <c r="F893" s="2"/>
      <c r="G893" s="2"/>
      <c r="H893" s="2"/>
      <c r="I893" s="2"/>
    </row>
    <row r="894" spans="1:9" x14ac:dyDescent="0.25">
      <c r="A894" s="2"/>
      <c r="B894" s="2"/>
      <c r="C894" s="2"/>
      <c r="D894" s="2"/>
      <c r="E894" s="2"/>
      <c r="F894" s="2"/>
      <c r="G894" s="2"/>
      <c r="H894" s="2"/>
      <c r="I894" s="2"/>
    </row>
    <row r="895" spans="1:9" x14ac:dyDescent="0.25">
      <c r="A895" s="2"/>
      <c r="B895" s="2"/>
      <c r="C895" s="2"/>
      <c r="D895" s="2"/>
      <c r="E895" s="2"/>
      <c r="F895" s="2"/>
      <c r="G895" s="2"/>
      <c r="H895" s="2"/>
      <c r="I895" s="2"/>
    </row>
    <row r="896" spans="1:9" x14ac:dyDescent="0.25">
      <c r="A896" s="2"/>
      <c r="B896" s="2"/>
      <c r="C896" s="2"/>
      <c r="D896" s="2"/>
      <c r="E896" s="2"/>
      <c r="F896" s="2"/>
      <c r="G896" s="2"/>
      <c r="H896" s="2"/>
      <c r="I896" s="2"/>
    </row>
    <row r="897" spans="1:9" x14ac:dyDescent="0.25">
      <c r="A897" s="2"/>
      <c r="B897" s="2"/>
      <c r="C897" s="2"/>
      <c r="D897" s="2"/>
      <c r="E897" s="2"/>
      <c r="F897" s="2"/>
      <c r="G897" s="2"/>
      <c r="H897" s="2"/>
      <c r="I897" s="2"/>
    </row>
    <row r="898" spans="1:9" x14ac:dyDescent="0.25">
      <c r="A898" s="2"/>
      <c r="B898" s="2"/>
      <c r="C898" s="2"/>
      <c r="D898" s="2"/>
      <c r="E898" s="2"/>
      <c r="F898" s="2"/>
      <c r="G898" s="2"/>
      <c r="H898" s="2"/>
      <c r="I898" s="2"/>
    </row>
    <row r="899" spans="1:9" x14ac:dyDescent="0.25">
      <c r="A899" s="2"/>
      <c r="B899" s="2"/>
      <c r="C899" s="2"/>
      <c r="D899" s="2"/>
      <c r="E899" s="2"/>
      <c r="F899" s="2"/>
      <c r="G899" s="2"/>
      <c r="H899" s="2"/>
      <c r="I899" s="2"/>
    </row>
    <row r="900" spans="1:9" x14ac:dyDescent="0.25">
      <c r="A900" s="2"/>
      <c r="B900" s="2"/>
      <c r="C900" s="2"/>
      <c r="D900" s="2"/>
      <c r="E900" s="2"/>
      <c r="F900" s="2"/>
      <c r="G900" s="2"/>
      <c r="H900" s="2"/>
      <c r="I900" s="2"/>
    </row>
    <row r="901" spans="1:9" x14ac:dyDescent="0.25">
      <c r="A901" s="2"/>
      <c r="B901" s="2"/>
      <c r="C901" s="2"/>
      <c r="D901" s="2"/>
      <c r="E901" s="2"/>
      <c r="F901" s="2"/>
      <c r="G901" s="2"/>
      <c r="H901" s="2"/>
      <c r="I901" s="2"/>
    </row>
    <row r="902" spans="1:9" x14ac:dyDescent="0.25">
      <c r="A902" s="2"/>
      <c r="B902" s="2"/>
      <c r="C902" s="2"/>
      <c r="D902" s="2"/>
      <c r="E902" s="2"/>
      <c r="F902" s="2"/>
      <c r="G902" s="2"/>
      <c r="H902" s="2"/>
      <c r="I902" s="2"/>
    </row>
    <row r="903" spans="1:9" x14ac:dyDescent="0.25">
      <c r="A903" s="2"/>
      <c r="B903" s="2"/>
      <c r="C903" s="2"/>
      <c r="D903" s="2"/>
      <c r="E903" s="2"/>
      <c r="F903" s="2"/>
      <c r="G903" s="2"/>
      <c r="H903" s="2"/>
      <c r="I903" s="2"/>
    </row>
    <row r="904" spans="1:9" x14ac:dyDescent="0.25">
      <c r="A904" s="2"/>
      <c r="B904" s="2"/>
      <c r="C904" s="2"/>
      <c r="D904" s="2"/>
      <c r="E904" s="2"/>
      <c r="F904" s="2"/>
      <c r="G904" s="2"/>
      <c r="H904" s="2"/>
      <c r="I904" s="2"/>
    </row>
    <row r="905" spans="1:9" x14ac:dyDescent="0.25">
      <c r="A905" s="2"/>
      <c r="B905" s="2"/>
      <c r="C905" s="2"/>
      <c r="D905" s="2"/>
      <c r="E905" s="2"/>
      <c r="F905" s="2"/>
      <c r="G905" s="2"/>
      <c r="H905" s="2"/>
      <c r="I905" s="2"/>
    </row>
    <row r="906" spans="1:9" x14ac:dyDescent="0.25">
      <c r="A906" s="2"/>
      <c r="B906" s="2"/>
      <c r="C906" s="2"/>
      <c r="D906" s="2"/>
      <c r="E906" s="2"/>
      <c r="F906" s="2"/>
      <c r="G906" s="2"/>
      <c r="H906" s="2"/>
      <c r="I906" s="2"/>
    </row>
    <row r="907" spans="1:9" x14ac:dyDescent="0.25">
      <c r="A907" s="2"/>
      <c r="B907" s="2"/>
      <c r="C907" s="2"/>
      <c r="D907" s="2"/>
      <c r="E907" s="2"/>
      <c r="F907" s="2"/>
      <c r="G907" s="2"/>
      <c r="H907" s="2"/>
      <c r="I907" s="2"/>
    </row>
    <row r="908" spans="1:9" x14ac:dyDescent="0.25">
      <c r="A908" s="2"/>
      <c r="B908" s="2"/>
      <c r="C908" s="2"/>
      <c r="D908" s="2"/>
      <c r="E908" s="2"/>
      <c r="F908" s="2"/>
      <c r="G908" s="2"/>
      <c r="H908" s="2"/>
      <c r="I908" s="2"/>
    </row>
    <row r="909" spans="1:9" x14ac:dyDescent="0.25">
      <c r="A909" s="2"/>
      <c r="B909" s="2"/>
      <c r="C909" s="2"/>
      <c r="D909" s="2"/>
      <c r="E909" s="2"/>
      <c r="F909" s="2"/>
      <c r="G909" s="2"/>
      <c r="H909" s="2"/>
      <c r="I909" s="2"/>
    </row>
    <row r="910" spans="1:9" x14ac:dyDescent="0.25">
      <c r="A910" s="2"/>
      <c r="B910" s="2"/>
      <c r="C910" s="2"/>
      <c r="D910" s="2"/>
      <c r="E910" s="2"/>
      <c r="F910" s="2"/>
      <c r="G910" s="2"/>
      <c r="H910" s="2"/>
      <c r="I910" s="2"/>
    </row>
    <row r="911" spans="1:9" x14ac:dyDescent="0.25">
      <c r="A911" s="2"/>
      <c r="B911" s="2"/>
      <c r="C911" s="2"/>
      <c r="D911" s="2"/>
      <c r="E911" s="2"/>
      <c r="F911" s="2"/>
      <c r="G911" s="2"/>
      <c r="H911" s="2"/>
      <c r="I911" s="2"/>
    </row>
    <row r="912" spans="1:9" x14ac:dyDescent="0.25">
      <c r="A912" s="2"/>
      <c r="B912" s="2"/>
      <c r="C912" s="2"/>
      <c r="D912" s="2"/>
      <c r="E912" s="2"/>
      <c r="F912" s="2"/>
      <c r="G912" s="2"/>
      <c r="H912" s="2"/>
      <c r="I912" s="2"/>
    </row>
    <row r="913" spans="1:9" x14ac:dyDescent="0.25">
      <c r="A913" s="2"/>
      <c r="B913" s="2"/>
      <c r="C913" s="2"/>
      <c r="D913" s="2"/>
      <c r="E913" s="2"/>
      <c r="F913" s="2"/>
      <c r="G913" s="2"/>
      <c r="H913" s="2"/>
      <c r="I913" s="2"/>
    </row>
    <row r="914" spans="1:9" x14ac:dyDescent="0.25">
      <c r="A914" s="2"/>
      <c r="B914" s="2"/>
      <c r="C914" s="2"/>
      <c r="D914" s="2"/>
      <c r="E914" s="2"/>
      <c r="F914" s="2"/>
      <c r="G914" s="2"/>
      <c r="H914" s="2"/>
      <c r="I914" s="2"/>
    </row>
    <row r="915" spans="1:9" x14ac:dyDescent="0.25">
      <c r="A915" s="2"/>
      <c r="B915" s="2"/>
      <c r="C915" s="2"/>
      <c r="D915" s="2"/>
      <c r="E915" s="2"/>
      <c r="F915" s="2"/>
      <c r="G915" s="2"/>
      <c r="H915" s="2"/>
      <c r="I915" s="2"/>
    </row>
    <row r="916" spans="1:9" x14ac:dyDescent="0.25">
      <c r="A916" s="2"/>
      <c r="B916" s="2"/>
      <c r="C916" s="2"/>
      <c r="D916" s="2"/>
      <c r="E916" s="2"/>
      <c r="F916" s="2"/>
      <c r="G916" s="2"/>
      <c r="H916" s="2"/>
      <c r="I916" s="2"/>
    </row>
    <row r="917" spans="1:9" x14ac:dyDescent="0.25">
      <c r="A917" s="2"/>
      <c r="B917" s="2"/>
      <c r="C917" s="2"/>
      <c r="D917" s="2"/>
      <c r="E917" s="2"/>
      <c r="F917" s="2"/>
      <c r="G917" s="2"/>
      <c r="H917" s="2"/>
      <c r="I917" s="2"/>
    </row>
    <row r="918" spans="1:9" x14ac:dyDescent="0.25">
      <c r="A918" s="2"/>
      <c r="B918" s="2"/>
      <c r="C918" s="2"/>
      <c r="D918" s="2"/>
      <c r="E918" s="2"/>
      <c r="F918" s="2"/>
      <c r="G918" s="2"/>
      <c r="H918" s="2"/>
      <c r="I918" s="2"/>
    </row>
    <row r="919" spans="1:9" x14ac:dyDescent="0.25">
      <c r="A919" s="2"/>
      <c r="B919" s="2"/>
      <c r="C919" s="2"/>
      <c r="D919" s="2"/>
      <c r="E919" s="2"/>
      <c r="F919" s="2"/>
      <c r="G919" s="2"/>
      <c r="H919" s="2"/>
      <c r="I919" s="2"/>
    </row>
    <row r="920" spans="1:9" x14ac:dyDescent="0.25">
      <c r="A920" s="2"/>
      <c r="B920" s="2"/>
      <c r="C920" s="2"/>
      <c r="D920" s="2"/>
      <c r="E920" s="2"/>
      <c r="F920" s="2"/>
      <c r="G920" s="2"/>
      <c r="H920" s="2"/>
      <c r="I920" s="2"/>
    </row>
    <row r="921" spans="1:9" x14ac:dyDescent="0.25">
      <c r="A921" s="2"/>
      <c r="B921" s="2"/>
      <c r="C921" s="2"/>
      <c r="D921" s="2"/>
      <c r="E921" s="2"/>
      <c r="F921" s="2"/>
      <c r="G921" s="2"/>
      <c r="H921" s="2"/>
      <c r="I921" s="2"/>
    </row>
    <row r="922" spans="1:9" x14ac:dyDescent="0.25">
      <c r="A922" s="2"/>
      <c r="B922" s="2"/>
      <c r="C922" s="2"/>
      <c r="D922" s="2"/>
      <c r="E922" s="2"/>
      <c r="F922" s="2"/>
      <c r="G922" s="2"/>
      <c r="H922" s="2"/>
      <c r="I922" s="2"/>
    </row>
    <row r="923" spans="1:9" x14ac:dyDescent="0.25">
      <c r="A923" s="2"/>
      <c r="B923" s="2"/>
      <c r="C923" s="2"/>
      <c r="D923" s="2"/>
      <c r="E923" s="2"/>
      <c r="F923" s="2"/>
      <c r="G923" s="2"/>
      <c r="H923" s="2"/>
      <c r="I923" s="2"/>
    </row>
    <row r="924" spans="1:9" x14ac:dyDescent="0.25">
      <c r="A924" s="2"/>
      <c r="B924" s="2"/>
      <c r="C924" s="2"/>
      <c r="D924" s="2"/>
      <c r="E924" s="2"/>
      <c r="F924" s="2"/>
      <c r="G924" s="2"/>
      <c r="H924" s="2"/>
      <c r="I924" s="2"/>
    </row>
    <row r="925" spans="1:9" x14ac:dyDescent="0.25">
      <c r="A925" s="2"/>
      <c r="B925" s="2"/>
      <c r="C925" s="2"/>
      <c r="D925" s="2"/>
      <c r="E925" s="2"/>
      <c r="F925" s="2"/>
      <c r="G925" s="2"/>
      <c r="H925" s="2"/>
      <c r="I925" s="2"/>
    </row>
    <row r="926" spans="1:9" x14ac:dyDescent="0.25">
      <c r="A926" s="2"/>
      <c r="B926" s="2"/>
      <c r="C926" s="2"/>
      <c r="D926" s="2"/>
      <c r="E926" s="2"/>
      <c r="F926" s="2"/>
      <c r="G926" s="2"/>
      <c r="H926" s="2"/>
      <c r="I926" s="2"/>
    </row>
    <row r="927" spans="1:9" x14ac:dyDescent="0.25">
      <c r="A927" s="2"/>
      <c r="B927" s="2"/>
      <c r="C927" s="2"/>
      <c r="D927" s="2"/>
      <c r="E927" s="2"/>
      <c r="F927" s="2"/>
      <c r="G927" s="2"/>
      <c r="H927" s="2"/>
      <c r="I927" s="2"/>
    </row>
    <row r="928" spans="1:9" x14ac:dyDescent="0.25">
      <c r="A928" s="2"/>
      <c r="B928" s="2"/>
      <c r="C928" s="2"/>
      <c r="D928" s="2"/>
      <c r="E928" s="2"/>
      <c r="F928" s="2"/>
      <c r="G928" s="2"/>
      <c r="H928" s="2"/>
      <c r="I928" s="2"/>
    </row>
    <row r="929" spans="1:9" x14ac:dyDescent="0.25">
      <c r="A929" s="2"/>
      <c r="B929" s="2"/>
      <c r="C929" s="2"/>
      <c r="D929" s="2"/>
      <c r="E929" s="2"/>
      <c r="F929" s="2"/>
      <c r="G929" s="2"/>
      <c r="H929" s="2"/>
      <c r="I929" s="2"/>
    </row>
    <row r="930" spans="1:9" x14ac:dyDescent="0.25">
      <c r="A930" s="2"/>
      <c r="B930" s="2"/>
      <c r="C930" s="2"/>
      <c r="D930" s="2"/>
      <c r="E930" s="2"/>
      <c r="F930" s="2"/>
      <c r="G930" s="2"/>
      <c r="H930" s="2"/>
      <c r="I930" s="2"/>
    </row>
    <row r="931" spans="1:9" x14ac:dyDescent="0.25">
      <c r="A931" s="2"/>
      <c r="B931" s="2"/>
      <c r="C931" s="2"/>
      <c r="D931" s="2"/>
      <c r="E931" s="2"/>
      <c r="F931" s="2"/>
      <c r="G931" s="2"/>
      <c r="H931" s="2"/>
      <c r="I931" s="2"/>
    </row>
    <row r="932" spans="1:9" x14ac:dyDescent="0.25">
      <c r="A932" s="2"/>
      <c r="B932" s="2"/>
      <c r="C932" s="2"/>
      <c r="D932" s="2"/>
      <c r="E932" s="2"/>
      <c r="F932" s="2"/>
      <c r="G932" s="2"/>
      <c r="H932" s="2"/>
      <c r="I932" s="2"/>
    </row>
    <row r="933" spans="1:9" x14ac:dyDescent="0.25">
      <c r="A933" s="2"/>
      <c r="B933" s="2"/>
      <c r="C933" s="2"/>
      <c r="D933" s="2"/>
      <c r="E933" s="2"/>
      <c r="F933" s="2"/>
      <c r="G933" s="2"/>
      <c r="H933" s="2"/>
      <c r="I933" s="2"/>
    </row>
    <row r="934" spans="1:9" x14ac:dyDescent="0.25">
      <c r="A934" s="2"/>
      <c r="B934" s="2"/>
      <c r="C934" s="2"/>
      <c r="D934" s="2"/>
      <c r="E934" s="2"/>
      <c r="F934" s="2"/>
      <c r="G934" s="2"/>
      <c r="H934" s="2"/>
      <c r="I934" s="2"/>
    </row>
    <row r="935" spans="1:9" x14ac:dyDescent="0.25">
      <c r="A935" s="2"/>
      <c r="B935" s="2"/>
      <c r="C935" s="2"/>
      <c r="D935" s="2"/>
      <c r="E935" s="2"/>
      <c r="F935" s="2"/>
      <c r="G935" s="2"/>
      <c r="H935" s="2"/>
      <c r="I935" s="2"/>
    </row>
    <row r="936" spans="1:9" x14ac:dyDescent="0.25">
      <c r="A936" s="2"/>
      <c r="B936" s="2"/>
      <c r="C936" s="2"/>
      <c r="D936" s="2"/>
      <c r="E936" s="2"/>
      <c r="F936" s="2"/>
      <c r="G936" s="2"/>
      <c r="H936" s="2"/>
      <c r="I936" s="2"/>
    </row>
    <row r="937" spans="1:9" x14ac:dyDescent="0.25">
      <c r="A937" s="2"/>
      <c r="B937" s="2"/>
      <c r="C937" s="2"/>
      <c r="D937" s="2"/>
      <c r="E937" s="2"/>
      <c r="F937" s="2"/>
      <c r="G937" s="2"/>
      <c r="H937" s="2"/>
      <c r="I937" s="2"/>
    </row>
    <row r="938" spans="1:9" x14ac:dyDescent="0.25">
      <c r="A938" s="2"/>
      <c r="B938" s="2"/>
      <c r="C938" s="2"/>
      <c r="D938" s="2"/>
      <c r="E938" s="2"/>
      <c r="F938" s="2"/>
      <c r="G938" s="2"/>
      <c r="H938" s="2"/>
      <c r="I938" s="2"/>
    </row>
    <row r="939" spans="1:9" x14ac:dyDescent="0.25">
      <c r="A939" s="2"/>
      <c r="B939" s="2"/>
      <c r="C939" s="2"/>
      <c r="D939" s="2"/>
      <c r="E939" s="2"/>
      <c r="F939" s="2"/>
      <c r="G939" s="2"/>
      <c r="H939" s="2"/>
      <c r="I939" s="2"/>
    </row>
    <row r="940" spans="1:9" x14ac:dyDescent="0.25">
      <c r="A940" s="2"/>
      <c r="B940" s="2"/>
      <c r="C940" s="2"/>
      <c r="D940" s="2"/>
      <c r="E940" s="2"/>
      <c r="F940" s="2"/>
      <c r="G940" s="2"/>
      <c r="H940" s="2"/>
      <c r="I940" s="2"/>
    </row>
    <row r="941" spans="1:9" x14ac:dyDescent="0.25">
      <c r="A941" s="2"/>
      <c r="B941" s="2"/>
      <c r="C941" s="2"/>
      <c r="D941" s="2"/>
      <c r="E941" s="2"/>
      <c r="F941" s="2"/>
      <c r="G941" s="2"/>
      <c r="H941" s="2"/>
      <c r="I941" s="2"/>
    </row>
    <row r="942" spans="1:9" x14ac:dyDescent="0.25">
      <c r="A942" s="2"/>
      <c r="B942" s="2"/>
      <c r="C942" s="2"/>
      <c r="D942" s="2"/>
      <c r="E942" s="2"/>
      <c r="F942" s="2"/>
      <c r="G942" s="2"/>
      <c r="H942" s="2"/>
      <c r="I942" s="2"/>
    </row>
    <row r="943" spans="1:9" x14ac:dyDescent="0.25">
      <c r="A943" s="2"/>
      <c r="B943" s="2"/>
      <c r="C943" s="2"/>
      <c r="D943" s="2"/>
      <c r="E943" s="2"/>
      <c r="F943" s="2"/>
      <c r="G943" s="2"/>
      <c r="H943" s="2"/>
      <c r="I943" s="2"/>
    </row>
    <row r="944" spans="1:9" x14ac:dyDescent="0.25">
      <c r="A944" s="2"/>
      <c r="B944" s="2"/>
      <c r="C944" s="2"/>
      <c r="D944" s="2"/>
      <c r="E944" s="2"/>
      <c r="F944" s="2"/>
      <c r="G944" s="2"/>
      <c r="H944" s="2"/>
      <c r="I944" s="2"/>
    </row>
    <row r="945" spans="1:9" x14ac:dyDescent="0.25">
      <c r="A945" s="2"/>
      <c r="B945" s="2"/>
      <c r="C945" s="2"/>
      <c r="D945" s="2"/>
      <c r="E945" s="2"/>
      <c r="F945" s="2"/>
      <c r="G945" s="2"/>
      <c r="H945" s="2"/>
      <c r="I945" s="2"/>
    </row>
    <row r="946" spans="1:9" x14ac:dyDescent="0.25">
      <c r="A946" s="2"/>
      <c r="B946" s="2"/>
      <c r="C946" s="2"/>
      <c r="D946" s="2"/>
      <c r="E946" s="2"/>
      <c r="F946" s="2"/>
      <c r="G946" s="2"/>
      <c r="H946" s="2"/>
      <c r="I946" s="2"/>
    </row>
    <row r="947" spans="1:9" x14ac:dyDescent="0.25">
      <c r="A947" s="2"/>
      <c r="B947" s="2"/>
      <c r="C947" s="2"/>
      <c r="D947" s="2"/>
      <c r="E947" s="2"/>
      <c r="F947" s="2"/>
      <c r="G947" s="2"/>
      <c r="H947" s="2"/>
      <c r="I947" s="2"/>
    </row>
    <row r="948" spans="1:9" x14ac:dyDescent="0.25">
      <c r="A948" s="2"/>
      <c r="B948" s="2"/>
      <c r="C948" s="2"/>
      <c r="D948" s="2"/>
      <c r="E948" s="2"/>
      <c r="F948" s="2"/>
      <c r="G948" s="2"/>
      <c r="H948" s="2"/>
      <c r="I948" s="2"/>
    </row>
    <row r="949" spans="1:9" x14ac:dyDescent="0.25">
      <c r="A949" s="2"/>
      <c r="B949" s="2"/>
      <c r="C949" s="2"/>
      <c r="D949" s="2"/>
      <c r="E949" s="2"/>
      <c r="F949" s="2"/>
      <c r="G949" s="2"/>
      <c r="H949" s="2"/>
      <c r="I949" s="2"/>
    </row>
    <row r="950" spans="1:9" x14ac:dyDescent="0.25">
      <c r="A950" s="2"/>
      <c r="B950" s="2"/>
      <c r="C950" s="2"/>
      <c r="D950" s="2"/>
      <c r="E950" s="2"/>
      <c r="F950" s="2"/>
      <c r="G950" s="2"/>
      <c r="H950" s="2"/>
      <c r="I950" s="2"/>
    </row>
    <row r="951" spans="1:9" x14ac:dyDescent="0.25">
      <c r="A951" s="2"/>
      <c r="B951" s="2"/>
      <c r="C951" s="2"/>
      <c r="D951" s="2"/>
      <c r="E951" s="2"/>
      <c r="F951" s="2"/>
      <c r="G951" s="2"/>
      <c r="H951" s="2"/>
      <c r="I951" s="2"/>
    </row>
    <row r="952" spans="1:9" x14ac:dyDescent="0.25">
      <c r="A952" s="2"/>
      <c r="B952" s="2"/>
      <c r="C952" s="2"/>
      <c r="D952" s="2"/>
      <c r="E952" s="2"/>
      <c r="F952" s="2"/>
      <c r="G952" s="2"/>
      <c r="H952" s="2"/>
      <c r="I952" s="2"/>
    </row>
    <row r="953" spans="1:9" x14ac:dyDescent="0.25">
      <c r="A953" s="2"/>
      <c r="B953" s="2"/>
      <c r="C953" s="2"/>
      <c r="D953" s="2"/>
      <c r="E953" s="2"/>
      <c r="F953" s="2"/>
      <c r="G953" s="2"/>
      <c r="H953" s="2"/>
      <c r="I953" s="2"/>
    </row>
    <row r="954" spans="1:9" x14ac:dyDescent="0.25">
      <c r="A954" s="2"/>
      <c r="B954" s="2"/>
      <c r="C954" s="2"/>
      <c r="D954" s="2"/>
      <c r="E954" s="2"/>
      <c r="F954" s="2"/>
      <c r="G954" s="2"/>
      <c r="H954" s="2"/>
      <c r="I954" s="2"/>
    </row>
    <row r="955" spans="1:9" x14ac:dyDescent="0.25">
      <c r="A955" s="2"/>
      <c r="B955" s="2"/>
      <c r="C955" s="2"/>
      <c r="D955" s="2"/>
      <c r="E955" s="2"/>
      <c r="F955" s="2"/>
      <c r="G955" s="2"/>
      <c r="H955" s="2"/>
      <c r="I955" s="2"/>
    </row>
    <row r="956" spans="1:9" x14ac:dyDescent="0.25">
      <c r="A956" s="2"/>
      <c r="B956" s="2"/>
      <c r="C956" s="2"/>
      <c r="D956" s="2"/>
      <c r="E956" s="2"/>
      <c r="F956" s="2"/>
      <c r="G956" s="2"/>
      <c r="H956" s="2"/>
      <c r="I956" s="2"/>
    </row>
    <row r="957" spans="1:9" x14ac:dyDescent="0.25">
      <c r="A957" s="2"/>
      <c r="B957" s="2"/>
      <c r="C957" s="2"/>
      <c r="D957" s="2"/>
      <c r="E957" s="2"/>
      <c r="F957" s="2"/>
      <c r="G957" s="2"/>
      <c r="H957" s="2"/>
      <c r="I957" s="2"/>
    </row>
    <row r="958" spans="1:9" x14ac:dyDescent="0.25">
      <c r="A958" s="2"/>
      <c r="B958" s="2"/>
      <c r="C958" s="2"/>
      <c r="D958" s="2"/>
      <c r="E958" s="2"/>
      <c r="F958" s="2"/>
      <c r="G958" s="2"/>
      <c r="H958" s="2"/>
      <c r="I958" s="2"/>
    </row>
    <row r="959" spans="1:9" x14ac:dyDescent="0.25">
      <c r="A959" s="2"/>
      <c r="B959" s="2"/>
      <c r="C959" s="2"/>
      <c r="D959" s="2"/>
      <c r="E959" s="2"/>
      <c r="F959" s="2"/>
      <c r="G959" s="2"/>
      <c r="H959" s="2"/>
      <c r="I959" s="2"/>
    </row>
    <row r="960" spans="1:9" x14ac:dyDescent="0.25">
      <c r="A960" s="2"/>
      <c r="B960" s="2"/>
      <c r="C960" s="2"/>
      <c r="D960" s="2"/>
      <c r="E960" s="2"/>
      <c r="F960" s="2"/>
      <c r="G960" s="2"/>
      <c r="H960" s="2"/>
      <c r="I960" s="2"/>
    </row>
    <row r="961" spans="1:9" x14ac:dyDescent="0.25">
      <c r="A961" s="2"/>
      <c r="B961" s="2"/>
      <c r="C961" s="2"/>
      <c r="D961" s="2"/>
      <c r="E961" s="2"/>
      <c r="F961" s="2"/>
      <c r="G961" s="2"/>
      <c r="H961" s="2"/>
      <c r="I961" s="2"/>
    </row>
    <row r="962" spans="1:9" x14ac:dyDescent="0.25">
      <c r="A962" s="2"/>
      <c r="B962" s="2"/>
      <c r="C962" s="2"/>
      <c r="D962" s="2"/>
      <c r="E962" s="2"/>
      <c r="F962" s="2"/>
      <c r="G962" s="2"/>
      <c r="H962" s="2"/>
      <c r="I962" s="2"/>
    </row>
    <row r="963" spans="1:9" x14ac:dyDescent="0.25">
      <c r="A963" s="2"/>
      <c r="B963" s="2"/>
      <c r="C963" s="2"/>
      <c r="D963" s="2"/>
      <c r="E963" s="2"/>
      <c r="F963" s="2"/>
      <c r="G963" s="2"/>
      <c r="H963" s="2"/>
      <c r="I963" s="2"/>
    </row>
    <row r="964" spans="1:9" x14ac:dyDescent="0.25">
      <c r="A964" s="2"/>
      <c r="B964" s="2"/>
      <c r="C964" s="2"/>
      <c r="D964" s="2"/>
      <c r="E964" s="2"/>
      <c r="F964" s="2"/>
      <c r="G964" s="2"/>
      <c r="H964" s="2"/>
      <c r="I964" s="2"/>
    </row>
    <row r="965" spans="1:9" x14ac:dyDescent="0.25">
      <c r="A965" s="2"/>
      <c r="B965" s="2"/>
      <c r="C965" s="2"/>
      <c r="D965" s="2"/>
      <c r="E965" s="2"/>
      <c r="F965" s="2"/>
      <c r="G965" s="2"/>
      <c r="H965" s="2"/>
      <c r="I965" s="2"/>
    </row>
    <row r="966" spans="1:9" x14ac:dyDescent="0.25">
      <c r="A966" s="2"/>
      <c r="B966" s="2"/>
      <c r="C966" s="2"/>
      <c r="D966" s="2"/>
      <c r="E966" s="2"/>
      <c r="F966" s="2"/>
      <c r="G966" s="2"/>
      <c r="H966" s="2"/>
      <c r="I966" s="2"/>
    </row>
    <row r="967" spans="1:9" x14ac:dyDescent="0.25">
      <c r="A967" s="2"/>
      <c r="B967" s="2"/>
      <c r="C967" s="2"/>
      <c r="D967" s="2"/>
      <c r="E967" s="2"/>
      <c r="F967" s="2"/>
      <c r="G967" s="2"/>
      <c r="H967" s="2"/>
      <c r="I967" s="2"/>
    </row>
    <row r="968" spans="1:9" x14ac:dyDescent="0.25">
      <c r="A968" s="2"/>
      <c r="B968" s="2"/>
      <c r="C968" s="2"/>
      <c r="D968" s="2"/>
      <c r="E968" s="2"/>
      <c r="F968" s="2"/>
      <c r="G968" s="2"/>
      <c r="H968" s="2"/>
      <c r="I968" s="2"/>
    </row>
    <row r="969" spans="1:9" x14ac:dyDescent="0.25">
      <c r="A969" s="2"/>
      <c r="B969" s="2"/>
      <c r="C969" s="2"/>
      <c r="D969" s="2"/>
      <c r="E969" s="2"/>
      <c r="F969" s="2"/>
      <c r="G969" s="2"/>
      <c r="H969" s="2"/>
      <c r="I969" s="2"/>
    </row>
    <row r="970" spans="1:9" x14ac:dyDescent="0.25">
      <c r="A970" s="2"/>
      <c r="B970" s="2"/>
      <c r="C970" s="2"/>
      <c r="D970" s="2"/>
      <c r="E970" s="2"/>
      <c r="F970" s="2"/>
      <c r="G970" s="2"/>
      <c r="H970" s="2"/>
      <c r="I970" s="2"/>
    </row>
    <row r="971" spans="1:9" x14ac:dyDescent="0.25">
      <c r="A971" s="2"/>
      <c r="B971" s="2"/>
      <c r="C971" s="2"/>
      <c r="D971" s="2"/>
      <c r="E971" s="2"/>
      <c r="F971" s="2"/>
      <c r="G971" s="2"/>
      <c r="H971" s="2"/>
      <c r="I971" s="2"/>
    </row>
    <row r="972" spans="1:9" x14ac:dyDescent="0.25">
      <c r="A972" s="2"/>
      <c r="B972" s="2"/>
      <c r="C972" s="2"/>
      <c r="D972" s="2"/>
      <c r="E972" s="2"/>
      <c r="F972" s="2"/>
      <c r="G972" s="2"/>
      <c r="H972" s="2"/>
      <c r="I972" s="2"/>
    </row>
    <row r="973" spans="1:9" x14ac:dyDescent="0.25">
      <c r="A973" s="2"/>
      <c r="B973" s="2"/>
      <c r="C973" s="2"/>
      <c r="D973" s="2"/>
      <c r="E973" s="2"/>
      <c r="F973" s="2"/>
      <c r="G973" s="2"/>
      <c r="H973" s="2"/>
      <c r="I973" s="2"/>
    </row>
    <row r="974" spans="1:9" x14ac:dyDescent="0.25">
      <c r="A974" s="2"/>
      <c r="B974" s="2"/>
      <c r="C974" s="2"/>
      <c r="D974" s="2"/>
      <c r="E974" s="2"/>
      <c r="F974" s="2"/>
      <c r="G974" s="2"/>
      <c r="H974" s="2"/>
      <c r="I974" s="2"/>
    </row>
    <row r="975" spans="1:9" x14ac:dyDescent="0.25">
      <c r="A975" s="2"/>
      <c r="B975" s="2"/>
      <c r="C975" s="2"/>
      <c r="D975" s="2"/>
      <c r="E975" s="2"/>
      <c r="F975" s="2"/>
      <c r="G975" s="2"/>
      <c r="H975" s="2"/>
      <c r="I975" s="2"/>
    </row>
    <row r="976" spans="1:9" x14ac:dyDescent="0.25">
      <c r="A976" s="2"/>
      <c r="B976" s="2"/>
      <c r="C976" s="2"/>
      <c r="D976" s="2"/>
      <c r="E976" s="2"/>
      <c r="F976" s="2"/>
      <c r="G976" s="2"/>
      <c r="H976" s="2"/>
      <c r="I976" s="2"/>
    </row>
    <row r="977" spans="1:9" x14ac:dyDescent="0.25">
      <c r="A977" s="2"/>
      <c r="B977" s="2"/>
      <c r="C977" s="2"/>
      <c r="D977" s="2"/>
      <c r="E977" s="2"/>
      <c r="F977" s="2"/>
      <c r="G977" s="2"/>
      <c r="H977" s="2"/>
      <c r="I977" s="2"/>
    </row>
    <row r="978" spans="1:9" x14ac:dyDescent="0.25">
      <c r="A978" s="2"/>
      <c r="B978" s="2"/>
      <c r="C978" s="2"/>
      <c r="D978" s="2"/>
      <c r="E978" s="2"/>
      <c r="F978" s="2"/>
      <c r="G978" s="2"/>
      <c r="H978" s="2"/>
      <c r="I978" s="2"/>
    </row>
    <row r="979" spans="1:9" x14ac:dyDescent="0.25">
      <c r="A979" s="2"/>
      <c r="B979" s="2"/>
      <c r="C979" s="2"/>
      <c r="D979" s="2"/>
      <c r="E979" s="2"/>
      <c r="F979" s="2"/>
      <c r="G979" s="2"/>
      <c r="H979" s="2"/>
      <c r="I979" s="2"/>
    </row>
    <row r="980" spans="1:9" x14ac:dyDescent="0.25">
      <c r="A980" s="2"/>
      <c r="B980" s="2"/>
      <c r="C980" s="2"/>
      <c r="D980" s="2"/>
      <c r="E980" s="2"/>
      <c r="F980" s="2"/>
      <c r="G980" s="2"/>
      <c r="H980" s="2"/>
      <c r="I980" s="2"/>
    </row>
    <row r="981" spans="1:9" x14ac:dyDescent="0.25">
      <c r="A981" s="2"/>
      <c r="B981" s="2"/>
      <c r="C981" s="2"/>
      <c r="D981" s="2"/>
      <c r="E981" s="2"/>
      <c r="F981" s="2"/>
      <c r="G981" s="2"/>
      <c r="H981" s="2"/>
      <c r="I981" s="2"/>
    </row>
    <row r="982" spans="1:9" x14ac:dyDescent="0.25">
      <c r="A982" s="2"/>
      <c r="B982" s="2"/>
      <c r="C982" s="2"/>
      <c r="D982" s="2"/>
      <c r="E982" s="2"/>
      <c r="F982" s="2"/>
      <c r="G982" s="2"/>
      <c r="H982" s="2"/>
      <c r="I982" s="2"/>
    </row>
    <row r="983" spans="1:9" x14ac:dyDescent="0.25">
      <c r="A983" s="2"/>
      <c r="B983" s="2"/>
      <c r="C983" s="2"/>
      <c r="D983" s="2"/>
      <c r="E983" s="2"/>
      <c r="F983" s="2"/>
      <c r="G983" s="2"/>
      <c r="H983" s="2"/>
      <c r="I983" s="2"/>
    </row>
    <row r="984" spans="1:9" x14ac:dyDescent="0.25">
      <c r="A984" s="2"/>
      <c r="B984" s="2"/>
      <c r="C984" s="2"/>
      <c r="D984" s="2"/>
      <c r="E984" s="2"/>
      <c r="F984" s="2"/>
      <c r="G984" s="2"/>
      <c r="H984" s="2"/>
      <c r="I984" s="2"/>
    </row>
    <row r="985" spans="1:9" x14ac:dyDescent="0.25">
      <c r="A985" s="2"/>
      <c r="B985" s="2"/>
      <c r="C985" s="2"/>
      <c r="D985" s="2"/>
      <c r="E985" s="2"/>
      <c r="F985" s="2"/>
      <c r="G985" s="2"/>
      <c r="H985" s="2"/>
      <c r="I985" s="2"/>
    </row>
    <row r="986" spans="1:9" x14ac:dyDescent="0.25">
      <c r="A986" s="2"/>
      <c r="B986" s="2"/>
      <c r="C986" s="2"/>
      <c r="D986" s="2"/>
      <c r="E986" s="2"/>
      <c r="F986" s="2"/>
      <c r="G986" s="2"/>
      <c r="H986" s="2"/>
      <c r="I986" s="2"/>
    </row>
    <row r="987" spans="1:9" x14ac:dyDescent="0.25">
      <c r="A987" s="2"/>
      <c r="B987" s="2"/>
      <c r="C987" s="2"/>
      <c r="D987" s="2"/>
      <c r="E987" s="2"/>
      <c r="F987" s="2"/>
      <c r="G987" s="2"/>
      <c r="H987" s="2"/>
      <c r="I987" s="2"/>
    </row>
    <row r="988" spans="1:9" x14ac:dyDescent="0.25">
      <c r="A988" s="2"/>
      <c r="B988" s="2"/>
      <c r="C988" s="2"/>
      <c r="D988" s="2"/>
      <c r="E988" s="2"/>
      <c r="F988" s="2"/>
      <c r="G988" s="2"/>
      <c r="H988" s="2"/>
      <c r="I988" s="2"/>
    </row>
    <row r="989" spans="1:9" x14ac:dyDescent="0.25">
      <c r="A989" s="2"/>
      <c r="B989" s="2"/>
      <c r="C989" s="2"/>
      <c r="D989" s="2"/>
      <c r="E989" s="2"/>
      <c r="F989" s="2"/>
      <c r="G989" s="2"/>
      <c r="H989" s="2"/>
      <c r="I989" s="2"/>
    </row>
    <row r="990" spans="1:9" x14ac:dyDescent="0.25">
      <c r="A990" s="2"/>
      <c r="B990" s="2"/>
      <c r="C990" s="2"/>
      <c r="D990" s="2"/>
      <c r="E990" s="2"/>
      <c r="F990" s="2"/>
      <c r="G990" s="2"/>
      <c r="H990" s="2"/>
      <c r="I990" s="2"/>
    </row>
    <row r="991" spans="1:9" x14ac:dyDescent="0.25">
      <c r="A991" s="2"/>
      <c r="B991" s="2"/>
      <c r="C991" s="2"/>
      <c r="D991" s="2"/>
      <c r="E991" s="2"/>
      <c r="F991" s="2"/>
      <c r="G991" s="2"/>
      <c r="H991" s="2"/>
      <c r="I991" s="2"/>
    </row>
    <row r="992" spans="1:9" x14ac:dyDescent="0.25">
      <c r="A992" s="2"/>
      <c r="B992" s="2"/>
      <c r="C992" s="2"/>
      <c r="D992" s="2"/>
      <c r="E992" s="2"/>
      <c r="F992" s="2"/>
      <c r="G992" s="2"/>
      <c r="H992" s="2"/>
      <c r="I992" s="2"/>
    </row>
    <row r="993" spans="1:9" x14ac:dyDescent="0.25">
      <c r="A993" s="2"/>
      <c r="B993" s="2"/>
      <c r="C993" s="2"/>
      <c r="D993" s="2"/>
      <c r="E993" s="2"/>
      <c r="F993" s="2"/>
      <c r="G993" s="2"/>
      <c r="H993" s="2"/>
      <c r="I993" s="2"/>
    </row>
    <row r="994" spans="1:9" x14ac:dyDescent="0.25">
      <c r="A994" s="2"/>
      <c r="B994" s="2"/>
      <c r="C994" s="2"/>
      <c r="D994" s="2"/>
      <c r="E994" s="2"/>
      <c r="F994" s="2"/>
      <c r="G994" s="2"/>
      <c r="H994" s="2"/>
      <c r="I994" s="2"/>
    </row>
    <row r="995" spans="1:9" x14ac:dyDescent="0.25">
      <c r="A995" s="2"/>
      <c r="B995" s="2"/>
      <c r="C995" s="2"/>
      <c r="D995" s="2"/>
      <c r="E995" s="2"/>
      <c r="F995" s="2"/>
      <c r="G995" s="2"/>
      <c r="H995" s="2"/>
      <c r="I995" s="2"/>
    </row>
    <row r="996" spans="1:9" x14ac:dyDescent="0.25">
      <c r="A996" s="2"/>
      <c r="B996" s="2"/>
      <c r="C996" s="2"/>
      <c r="D996" s="2"/>
      <c r="E996" s="2"/>
      <c r="F996" s="2"/>
      <c r="G996" s="2"/>
      <c r="H996" s="2"/>
      <c r="I996" s="2"/>
    </row>
    <row r="997" spans="1:9" x14ac:dyDescent="0.25">
      <c r="A997" s="2"/>
      <c r="B997" s="2"/>
      <c r="C997" s="2"/>
      <c r="D997" s="2"/>
      <c r="E997" s="2"/>
      <c r="F997" s="2"/>
      <c r="G997" s="2"/>
      <c r="H997" s="2"/>
      <c r="I997" s="2"/>
    </row>
    <row r="998" spans="1:9" x14ac:dyDescent="0.25">
      <c r="A998" s="2"/>
      <c r="B998" s="2"/>
      <c r="C998" s="2"/>
      <c r="D998" s="2"/>
      <c r="E998" s="2"/>
      <c r="F998" s="2"/>
      <c r="G998" s="2"/>
      <c r="H998" s="2"/>
      <c r="I998" s="2"/>
    </row>
    <row r="999" spans="1:9" x14ac:dyDescent="0.25">
      <c r="A999" s="2"/>
      <c r="B999" s="2"/>
      <c r="C999" s="2"/>
      <c r="D999" s="2"/>
      <c r="E999" s="2"/>
      <c r="F999" s="2"/>
      <c r="G999" s="2"/>
      <c r="H999" s="2"/>
      <c r="I999" s="2"/>
    </row>
    <row r="1000" spans="1:9" x14ac:dyDescent="0.25">
      <c r="A1000" s="2"/>
      <c r="B1000" s="2"/>
      <c r="C1000" s="2"/>
      <c r="D1000" s="2"/>
      <c r="E1000" s="2"/>
      <c r="F1000" s="2"/>
      <c r="G1000" s="2"/>
      <c r="H1000" s="2"/>
      <c r="I1000" s="2"/>
    </row>
    <row r="1001" spans="1:9" x14ac:dyDescent="0.25">
      <c r="A1001" s="2"/>
      <c r="B1001" s="2"/>
      <c r="C1001" s="2"/>
      <c r="D1001" s="2"/>
      <c r="E1001" s="2"/>
      <c r="F1001" s="2"/>
      <c r="G1001" s="2"/>
      <c r="H1001" s="2"/>
      <c r="I1001" s="2"/>
    </row>
    <row r="1002" spans="1:9" x14ac:dyDescent="0.25">
      <c r="A1002" s="2"/>
      <c r="B1002" s="2"/>
      <c r="C1002" s="2"/>
      <c r="D1002" s="2"/>
      <c r="E1002" s="2"/>
      <c r="F1002" s="2"/>
      <c r="G1002" s="2"/>
      <c r="H1002" s="2"/>
      <c r="I1002" s="2"/>
    </row>
    <row r="1003" spans="1:9" x14ac:dyDescent="0.25">
      <c r="A1003" s="2"/>
      <c r="B1003" s="2"/>
      <c r="C1003" s="2"/>
      <c r="D1003" s="2"/>
      <c r="E1003" s="2"/>
      <c r="F1003" s="2"/>
      <c r="G1003" s="2"/>
      <c r="H1003" s="2"/>
      <c r="I1003" s="2"/>
    </row>
    <row r="1004" spans="1:9" x14ac:dyDescent="0.25">
      <c r="A1004" s="2"/>
      <c r="B1004" s="2"/>
      <c r="C1004" s="2"/>
      <c r="D1004" s="2"/>
      <c r="E1004" s="2"/>
      <c r="F1004" s="2"/>
      <c r="G1004" s="2"/>
      <c r="H1004" s="2"/>
      <c r="I1004" s="2"/>
    </row>
    <row r="1005" spans="1:9" x14ac:dyDescent="0.25">
      <c r="A1005" s="2"/>
      <c r="B1005" s="2"/>
      <c r="C1005" s="2"/>
      <c r="D1005" s="2"/>
      <c r="E1005" s="2"/>
      <c r="F1005" s="2"/>
      <c r="G1005" s="2"/>
      <c r="H1005" s="2"/>
      <c r="I1005" s="2"/>
    </row>
    <row r="1006" spans="1:9" x14ac:dyDescent="0.25">
      <c r="A1006" s="2"/>
      <c r="B1006" s="2"/>
      <c r="C1006" s="2"/>
      <c r="D1006" s="2"/>
      <c r="E1006" s="2"/>
      <c r="F1006" s="2"/>
      <c r="G1006" s="2"/>
      <c r="H1006" s="2"/>
      <c r="I1006" s="2"/>
    </row>
    <row r="1007" spans="1:9" x14ac:dyDescent="0.25">
      <c r="A1007" s="2"/>
      <c r="B1007" s="2"/>
      <c r="C1007" s="2"/>
      <c r="D1007" s="2"/>
      <c r="E1007" s="2"/>
      <c r="F1007" s="2"/>
      <c r="G1007" s="2"/>
      <c r="H1007" s="2"/>
      <c r="I1007" s="2"/>
    </row>
    <row r="1008" spans="1:9" x14ac:dyDescent="0.25">
      <c r="A1008" s="2"/>
      <c r="B1008" s="2"/>
      <c r="C1008" s="2"/>
      <c r="D1008" s="2"/>
      <c r="E1008" s="2"/>
      <c r="F1008" s="2"/>
      <c r="G1008" s="2"/>
      <c r="H1008" s="2"/>
      <c r="I1008" s="2"/>
    </row>
    <row r="1009" spans="1:9" x14ac:dyDescent="0.25">
      <c r="A1009" s="2"/>
      <c r="B1009" s="2"/>
      <c r="C1009" s="2"/>
      <c r="D1009" s="2"/>
      <c r="E1009" s="2"/>
      <c r="F1009" s="2"/>
      <c r="G1009" s="2"/>
      <c r="H1009" s="2"/>
      <c r="I1009" s="2"/>
    </row>
    <row r="1010" spans="1:9" x14ac:dyDescent="0.25">
      <c r="A1010" s="2"/>
      <c r="B1010" s="2"/>
      <c r="C1010" s="2"/>
      <c r="D1010" s="2"/>
      <c r="E1010" s="2"/>
      <c r="F1010" s="2"/>
      <c r="G1010" s="2"/>
      <c r="H1010" s="2"/>
      <c r="I1010" s="2"/>
    </row>
    <row r="1011" spans="1:9" x14ac:dyDescent="0.25">
      <c r="A1011" s="2"/>
      <c r="B1011" s="2"/>
      <c r="C1011" s="2"/>
      <c r="D1011" s="2"/>
      <c r="E1011" s="2"/>
      <c r="F1011" s="2"/>
      <c r="G1011" s="2"/>
      <c r="H1011" s="2"/>
      <c r="I1011" s="2"/>
    </row>
    <row r="1012" spans="1:9" x14ac:dyDescent="0.25">
      <c r="A1012" s="2"/>
      <c r="B1012" s="2"/>
      <c r="C1012" s="2"/>
      <c r="D1012" s="2"/>
      <c r="E1012" s="2"/>
      <c r="F1012" s="2"/>
      <c r="G1012" s="2"/>
      <c r="H1012" s="2"/>
      <c r="I1012" s="2"/>
    </row>
    <row r="1013" spans="1:9" x14ac:dyDescent="0.25">
      <c r="A1013" s="2"/>
      <c r="B1013" s="2"/>
      <c r="C1013" s="2"/>
      <c r="D1013" s="2"/>
      <c r="E1013" s="2"/>
      <c r="F1013" s="2"/>
      <c r="G1013" s="2"/>
      <c r="H1013" s="2"/>
      <c r="I1013" s="2"/>
    </row>
    <row r="1014" spans="1:9" x14ac:dyDescent="0.25">
      <c r="A1014" s="2"/>
      <c r="B1014" s="2"/>
      <c r="C1014" s="2"/>
      <c r="D1014" s="2"/>
      <c r="E1014" s="2"/>
      <c r="F1014" s="2"/>
      <c r="G1014" s="2"/>
      <c r="H1014" s="2"/>
      <c r="I1014" s="2"/>
    </row>
    <row r="1015" spans="1:9" x14ac:dyDescent="0.25">
      <c r="A1015" s="2"/>
      <c r="B1015" s="2"/>
      <c r="C1015" s="2"/>
      <c r="D1015" s="2"/>
      <c r="E1015" s="2"/>
      <c r="F1015" s="2"/>
      <c r="G1015" s="2"/>
      <c r="H1015" s="2"/>
      <c r="I1015" s="2"/>
    </row>
    <row r="1016" spans="1:9" x14ac:dyDescent="0.25">
      <c r="A1016" s="2"/>
      <c r="B1016" s="2"/>
      <c r="C1016" s="2"/>
      <c r="D1016" s="2"/>
      <c r="E1016" s="2"/>
      <c r="F1016" s="2"/>
      <c r="G1016" s="2"/>
      <c r="H1016" s="2"/>
      <c r="I1016" s="2"/>
    </row>
    <row r="1017" spans="1:9" x14ac:dyDescent="0.25">
      <c r="A1017" s="2"/>
      <c r="B1017" s="2"/>
      <c r="C1017" s="2"/>
      <c r="D1017" s="2"/>
      <c r="E1017" s="2"/>
      <c r="F1017" s="2"/>
      <c r="G1017" s="2"/>
      <c r="H1017" s="2"/>
      <c r="I1017" s="2"/>
    </row>
    <row r="1018" spans="1:9" x14ac:dyDescent="0.25">
      <c r="A1018" s="2"/>
      <c r="B1018" s="2"/>
      <c r="C1018" s="2"/>
      <c r="D1018" s="2"/>
      <c r="E1018" s="2"/>
      <c r="F1018" s="2"/>
      <c r="G1018" s="2"/>
      <c r="H1018" s="2"/>
      <c r="I1018" s="2"/>
    </row>
    <row r="1019" spans="1:9" x14ac:dyDescent="0.25">
      <c r="A1019" s="2"/>
      <c r="B1019" s="2"/>
      <c r="C1019" s="2"/>
      <c r="D1019" s="2"/>
      <c r="E1019" s="2"/>
      <c r="F1019" s="2"/>
      <c r="G1019" s="2"/>
      <c r="H1019" s="2"/>
      <c r="I1019" s="2"/>
    </row>
    <row r="1020" spans="1:9" x14ac:dyDescent="0.25">
      <c r="A1020" s="2"/>
      <c r="B1020" s="2"/>
      <c r="C1020" s="2"/>
      <c r="D1020" s="2"/>
      <c r="E1020" s="2"/>
      <c r="F1020" s="2"/>
      <c r="G1020" s="2"/>
      <c r="H1020" s="2"/>
      <c r="I1020" s="2"/>
    </row>
    <row r="1021" spans="1:9" x14ac:dyDescent="0.25">
      <c r="A1021" s="2"/>
      <c r="B1021" s="2"/>
      <c r="C1021" s="2"/>
      <c r="D1021" s="2"/>
      <c r="E1021" s="2"/>
      <c r="F1021" s="2"/>
      <c r="G1021" s="2"/>
      <c r="H1021" s="2"/>
      <c r="I1021" s="2"/>
    </row>
    <row r="1022" spans="1:9" x14ac:dyDescent="0.25">
      <c r="A1022" s="2"/>
      <c r="B1022" s="2"/>
      <c r="C1022" s="2"/>
      <c r="D1022" s="2"/>
      <c r="E1022" s="2"/>
      <c r="F1022" s="2"/>
      <c r="G1022" s="2"/>
      <c r="H1022" s="2"/>
      <c r="I1022" s="2"/>
    </row>
    <row r="1023" spans="1:9" x14ac:dyDescent="0.25">
      <c r="A1023" s="2"/>
      <c r="B1023" s="2"/>
      <c r="C1023" s="2"/>
      <c r="D1023" s="2"/>
      <c r="E1023" s="2"/>
      <c r="F1023" s="2"/>
      <c r="G1023" s="2"/>
      <c r="H1023" s="2"/>
      <c r="I1023" s="2"/>
    </row>
    <row r="1024" spans="1:9" x14ac:dyDescent="0.25">
      <c r="A1024" s="2"/>
      <c r="B1024" s="2"/>
      <c r="C1024" s="2"/>
      <c r="D1024" s="2"/>
      <c r="E1024" s="2"/>
      <c r="F1024" s="2"/>
      <c r="G1024" s="2"/>
      <c r="H1024" s="2"/>
      <c r="I1024" s="2"/>
    </row>
    <row r="1025" spans="1:9" x14ac:dyDescent="0.25">
      <c r="A1025" s="2"/>
      <c r="B1025" s="2"/>
      <c r="C1025" s="2"/>
      <c r="D1025" s="2"/>
      <c r="E1025" s="2"/>
      <c r="F1025" s="2"/>
      <c r="G1025" s="2"/>
      <c r="H1025" s="2"/>
      <c r="I1025" s="2"/>
    </row>
    <row r="1026" spans="1:9" x14ac:dyDescent="0.25">
      <c r="A1026" s="2"/>
      <c r="B1026" s="2"/>
      <c r="C1026" s="2"/>
      <c r="D1026" s="2"/>
      <c r="E1026" s="2"/>
      <c r="F1026" s="2"/>
      <c r="G1026" s="2"/>
      <c r="H1026" s="2"/>
      <c r="I1026" s="2"/>
    </row>
    <row r="1027" spans="1:9" x14ac:dyDescent="0.25">
      <c r="A1027" s="2"/>
      <c r="B1027" s="2"/>
      <c r="C1027" s="2"/>
      <c r="D1027" s="2"/>
      <c r="E1027" s="2"/>
      <c r="F1027" s="2"/>
      <c r="G1027" s="2"/>
      <c r="H1027" s="2"/>
      <c r="I1027" s="2"/>
    </row>
    <row r="1028" spans="1:9" x14ac:dyDescent="0.25">
      <c r="A1028" s="2"/>
      <c r="B1028" s="2"/>
      <c r="C1028" s="2"/>
      <c r="D1028" s="2"/>
      <c r="E1028" s="2"/>
      <c r="F1028" s="2"/>
      <c r="G1028" s="2"/>
      <c r="H1028" s="2"/>
      <c r="I1028" s="2"/>
    </row>
    <row r="1029" spans="1:9" x14ac:dyDescent="0.25">
      <c r="A1029" s="2"/>
      <c r="B1029" s="2"/>
      <c r="C1029" s="2"/>
      <c r="D1029" s="2"/>
      <c r="E1029" s="2"/>
      <c r="F1029" s="2"/>
      <c r="G1029" s="2"/>
      <c r="H1029" s="2"/>
      <c r="I1029" s="2"/>
    </row>
  </sheetData>
  <autoFilter ref="A1:O286" xr:uid="{D462FB64-39E0-4CD5-A2A8-B4DACC1E3C5C}">
    <filterColumn colId="3">
      <filters>
        <filter val="JBHIFI Parramatta"/>
        <filter val="JBHIFI Parramatta Adil"/>
      </filters>
    </filterColumn>
  </autoFilter>
  <phoneticPr fontId="3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E2C9E-0ABE-49ED-B204-1AF69D9A51B1}">
  <dimension ref="A1:N53"/>
  <sheetViews>
    <sheetView topLeftCell="A9" workbookViewId="0">
      <selection activeCell="A2" sqref="A2:J37"/>
    </sheetView>
  </sheetViews>
  <sheetFormatPr defaultRowHeight="15" x14ac:dyDescent="0.25"/>
  <cols>
    <col min="1" max="1" width="11" customWidth="1"/>
    <col min="2" max="2" width="4" bestFit="1" customWidth="1"/>
    <col min="3" max="3" width="24.7109375" bestFit="1" customWidth="1"/>
    <col min="4" max="4" width="29.5703125" bestFit="1" customWidth="1"/>
    <col min="5" max="6" width="9" bestFit="1" customWidth="1"/>
    <col min="7" max="7" width="16.140625" bestFit="1" customWidth="1"/>
    <col min="8" max="8" width="18.7109375" bestFit="1" customWidth="1"/>
    <col min="9" max="9" width="19.140625" bestFit="1" customWidth="1"/>
    <col min="10" max="10" width="12.14062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</row>
    <row r="2" spans="1:12" x14ac:dyDescent="0.25">
      <c r="A2" s="129">
        <v>46055</v>
      </c>
      <c r="B2" s="130">
        <v>11</v>
      </c>
      <c r="C2" s="130" t="s">
        <v>664</v>
      </c>
      <c r="D2" s="130" t="s">
        <v>490</v>
      </c>
      <c r="E2" s="138">
        <v>398</v>
      </c>
      <c r="F2" s="138">
        <f t="shared" ref="F2:F32" si="0">E2*B2</f>
        <v>4378</v>
      </c>
      <c r="G2" s="130" t="s">
        <v>8</v>
      </c>
      <c r="H2" s="130"/>
      <c r="I2" s="130"/>
      <c r="J2" s="130"/>
    </row>
    <row r="3" spans="1:12" x14ac:dyDescent="0.25">
      <c r="A3" s="129">
        <v>46055</v>
      </c>
      <c r="B3" s="130">
        <v>4</v>
      </c>
      <c r="C3" s="130" t="s">
        <v>664</v>
      </c>
      <c r="D3" s="130" t="s">
        <v>496</v>
      </c>
      <c r="E3" s="131">
        <v>431</v>
      </c>
      <c r="F3" s="138">
        <f t="shared" si="0"/>
        <v>1724</v>
      </c>
      <c r="G3" s="130" t="s">
        <v>8</v>
      </c>
      <c r="H3" s="130"/>
      <c r="I3" s="130"/>
      <c r="J3" s="130"/>
    </row>
    <row r="4" spans="1:12" x14ac:dyDescent="0.25">
      <c r="A4" s="129">
        <v>46056</v>
      </c>
      <c r="B4" s="130">
        <v>3</v>
      </c>
      <c r="C4" s="130" t="s">
        <v>664</v>
      </c>
      <c r="D4" s="130" t="s">
        <v>495</v>
      </c>
      <c r="E4" s="131">
        <v>431</v>
      </c>
      <c r="F4" s="138">
        <f t="shared" si="0"/>
        <v>1293</v>
      </c>
      <c r="G4" s="130" t="s">
        <v>8</v>
      </c>
      <c r="H4" s="130"/>
      <c r="I4" s="130"/>
      <c r="J4" s="130"/>
      <c r="L4">
        <v>21250</v>
      </c>
    </row>
    <row r="5" spans="1:12" x14ac:dyDescent="0.25">
      <c r="A5" s="129">
        <v>46056</v>
      </c>
      <c r="B5" s="130">
        <v>8</v>
      </c>
      <c r="C5" s="130" t="s">
        <v>664</v>
      </c>
      <c r="D5" s="130" t="s">
        <v>1134</v>
      </c>
      <c r="E5" s="131">
        <v>440</v>
      </c>
      <c r="F5" s="138">
        <f t="shared" si="0"/>
        <v>3520</v>
      </c>
      <c r="G5" s="130" t="s">
        <v>8</v>
      </c>
      <c r="H5" s="130"/>
      <c r="I5" s="130"/>
      <c r="J5" s="130"/>
    </row>
    <row r="6" spans="1:12" x14ac:dyDescent="0.25">
      <c r="A6" s="129">
        <v>46056</v>
      </c>
      <c r="B6" s="130">
        <v>5</v>
      </c>
      <c r="C6" s="130" t="s">
        <v>664</v>
      </c>
      <c r="D6" s="130" t="s">
        <v>731</v>
      </c>
      <c r="E6" s="131">
        <v>440</v>
      </c>
      <c r="F6" s="138">
        <f t="shared" si="0"/>
        <v>2200</v>
      </c>
      <c r="G6" s="130" t="s">
        <v>8</v>
      </c>
      <c r="H6" s="130"/>
      <c r="I6" s="130"/>
      <c r="J6" s="130"/>
    </row>
    <row r="7" spans="1:12" x14ac:dyDescent="0.25">
      <c r="A7" s="129">
        <v>46056</v>
      </c>
      <c r="B7" s="130">
        <v>6</v>
      </c>
      <c r="C7" s="130" t="s">
        <v>664</v>
      </c>
      <c r="D7" s="130" t="s">
        <v>760</v>
      </c>
      <c r="E7" s="131">
        <v>440</v>
      </c>
      <c r="F7" s="138">
        <f t="shared" si="0"/>
        <v>2640</v>
      </c>
      <c r="G7" s="130" t="s">
        <v>8</v>
      </c>
      <c r="H7" s="130"/>
      <c r="I7" s="130"/>
      <c r="J7" s="130"/>
    </row>
    <row r="8" spans="1:12" x14ac:dyDescent="0.25">
      <c r="A8" s="129">
        <v>46056</v>
      </c>
      <c r="B8" s="130">
        <v>3</v>
      </c>
      <c r="C8" s="130" t="s">
        <v>1135</v>
      </c>
      <c r="D8" s="130" t="s">
        <v>760</v>
      </c>
      <c r="E8" s="131">
        <v>398</v>
      </c>
      <c r="F8" s="138">
        <f t="shared" si="0"/>
        <v>1194</v>
      </c>
      <c r="G8" s="130" t="s">
        <v>8</v>
      </c>
      <c r="H8" s="130"/>
      <c r="I8" s="130"/>
      <c r="J8" s="130"/>
    </row>
    <row r="9" spans="1:12" x14ac:dyDescent="0.25">
      <c r="A9" s="129">
        <v>46056</v>
      </c>
      <c r="B9" s="130">
        <v>3</v>
      </c>
      <c r="C9" s="130" t="s">
        <v>1135</v>
      </c>
      <c r="D9" s="130" t="s">
        <v>1134</v>
      </c>
      <c r="E9" s="131">
        <v>398</v>
      </c>
      <c r="F9" s="138">
        <f t="shared" si="0"/>
        <v>1194</v>
      </c>
      <c r="G9" s="130" t="s">
        <v>8</v>
      </c>
      <c r="H9" s="130"/>
      <c r="I9" s="130"/>
      <c r="J9" s="130"/>
    </row>
    <row r="10" spans="1:12" x14ac:dyDescent="0.25">
      <c r="A10" s="129">
        <v>46056</v>
      </c>
      <c r="B10" s="130">
        <v>2</v>
      </c>
      <c r="C10" s="130" t="s">
        <v>1135</v>
      </c>
      <c r="D10" s="130" t="s">
        <v>1136</v>
      </c>
      <c r="E10" s="131">
        <v>398</v>
      </c>
      <c r="F10" s="138">
        <f t="shared" si="0"/>
        <v>796</v>
      </c>
      <c r="G10" s="130" t="s">
        <v>8</v>
      </c>
      <c r="H10" s="130"/>
      <c r="I10" s="130"/>
      <c r="J10" s="130"/>
    </row>
    <row r="11" spans="1:12" x14ac:dyDescent="0.25">
      <c r="A11" s="129">
        <v>46056</v>
      </c>
      <c r="B11" s="130">
        <v>1</v>
      </c>
      <c r="C11" s="130" t="s">
        <v>1137</v>
      </c>
      <c r="D11" s="130" t="s">
        <v>1136</v>
      </c>
      <c r="E11" s="131">
        <v>7</v>
      </c>
      <c r="F11" s="138">
        <f t="shared" si="0"/>
        <v>7</v>
      </c>
      <c r="G11" s="130" t="s">
        <v>8</v>
      </c>
      <c r="H11" s="130"/>
      <c r="I11" s="130"/>
      <c r="J11" s="130"/>
    </row>
    <row r="12" spans="1:12" x14ac:dyDescent="0.25">
      <c r="A12" s="129">
        <v>46056</v>
      </c>
      <c r="B12" s="130">
        <v>2</v>
      </c>
      <c r="C12" s="130" t="s">
        <v>1132</v>
      </c>
      <c r="D12" s="130" t="s">
        <v>677</v>
      </c>
      <c r="E12" s="131">
        <v>2197</v>
      </c>
      <c r="F12" s="138">
        <f t="shared" si="0"/>
        <v>4394</v>
      </c>
      <c r="G12" s="130" t="s">
        <v>348</v>
      </c>
      <c r="H12" s="130"/>
      <c r="I12" s="130" t="s">
        <v>1138</v>
      </c>
      <c r="J12" s="130" t="s">
        <v>115</v>
      </c>
    </row>
    <row r="13" spans="1:12" x14ac:dyDescent="0.25">
      <c r="A13" s="129">
        <v>46056</v>
      </c>
      <c r="B13" s="130">
        <v>5</v>
      </c>
      <c r="C13" s="130" t="s">
        <v>898</v>
      </c>
      <c r="D13" s="130" t="s">
        <v>335</v>
      </c>
      <c r="E13" s="131">
        <v>2490</v>
      </c>
      <c r="F13" s="138">
        <f t="shared" si="0"/>
        <v>12450</v>
      </c>
      <c r="G13" s="130" t="s">
        <v>1141</v>
      </c>
      <c r="H13" s="130"/>
      <c r="I13" s="130"/>
      <c r="J13" s="130"/>
    </row>
    <row r="14" spans="1:12" x14ac:dyDescent="0.25">
      <c r="A14" s="129">
        <v>46057</v>
      </c>
      <c r="B14" s="130">
        <v>3</v>
      </c>
      <c r="C14" s="130" t="s">
        <v>1135</v>
      </c>
      <c r="D14" s="130" t="s">
        <v>749</v>
      </c>
      <c r="E14" s="130">
        <v>397</v>
      </c>
      <c r="F14" s="138">
        <f t="shared" si="0"/>
        <v>1191</v>
      </c>
      <c r="G14" s="130" t="s">
        <v>8</v>
      </c>
      <c r="H14" s="130"/>
      <c r="I14" s="130" t="s">
        <v>1139</v>
      </c>
      <c r="J14" s="130"/>
    </row>
    <row r="15" spans="1:12" x14ac:dyDescent="0.25">
      <c r="A15" s="129">
        <v>46057</v>
      </c>
      <c r="B15" s="130">
        <v>4</v>
      </c>
      <c r="C15" s="130" t="s">
        <v>664</v>
      </c>
      <c r="D15" s="130" t="s">
        <v>665</v>
      </c>
      <c r="E15" s="130">
        <v>454</v>
      </c>
      <c r="F15" s="138">
        <f t="shared" si="0"/>
        <v>1816</v>
      </c>
      <c r="G15" s="130" t="s">
        <v>8</v>
      </c>
      <c r="H15" s="130"/>
      <c r="I15" s="130"/>
      <c r="J15" s="130"/>
    </row>
    <row r="16" spans="1:12" x14ac:dyDescent="0.25">
      <c r="A16" s="129">
        <v>46057</v>
      </c>
      <c r="B16" s="130">
        <v>4</v>
      </c>
      <c r="C16" s="130" t="s">
        <v>664</v>
      </c>
      <c r="D16" s="130" t="s">
        <v>749</v>
      </c>
      <c r="E16" s="130">
        <v>450</v>
      </c>
      <c r="F16" s="138">
        <f t="shared" si="0"/>
        <v>1800</v>
      </c>
      <c r="G16" s="130" t="s">
        <v>8</v>
      </c>
      <c r="H16" s="130"/>
      <c r="I16" s="130"/>
      <c r="J16" s="130"/>
    </row>
    <row r="17" spans="1:14" x14ac:dyDescent="0.25">
      <c r="A17" s="129">
        <v>46058</v>
      </c>
      <c r="B17" s="130">
        <v>50</v>
      </c>
      <c r="C17" s="130" t="s">
        <v>1135</v>
      </c>
      <c r="D17" s="130" t="s">
        <v>881</v>
      </c>
      <c r="E17" s="130">
        <v>397</v>
      </c>
      <c r="F17" s="138">
        <f t="shared" si="0"/>
        <v>19850</v>
      </c>
      <c r="G17" s="130" t="s">
        <v>348</v>
      </c>
      <c r="H17" s="130" t="s">
        <v>1159</v>
      </c>
      <c r="I17" s="130" t="s">
        <v>1150</v>
      </c>
      <c r="J17" s="130"/>
      <c r="N17">
        <v>149</v>
      </c>
    </row>
    <row r="18" spans="1:14" x14ac:dyDescent="0.25">
      <c r="A18" s="129">
        <v>46059</v>
      </c>
      <c r="B18" s="130">
        <v>2</v>
      </c>
      <c r="C18" s="130" t="s">
        <v>664</v>
      </c>
      <c r="D18" s="130" t="s">
        <v>665</v>
      </c>
      <c r="E18" s="130">
        <v>450</v>
      </c>
      <c r="F18" s="138">
        <f t="shared" si="0"/>
        <v>900</v>
      </c>
      <c r="G18" s="130" t="s">
        <v>8</v>
      </c>
      <c r="H18" s="130"/>
      <c r="I18" s="130"/>
      <c r="J18" s="130"/>
      <c r="N18">
        <v>4198</v>
      </c>
    </row>
    <row r="19" spans="1:14" x14ac:dyDescent="0.25">
      <c r="A19" s="129">
        <v>46066</v>
      </c>
      <c r="B19" s="148">
        <v>1</v>
      </c>
      <c r="C19" s="148" t="s">
        <v>1142</v>
      </c>
      <c r="D19" s="148" t="s">
        <v>101</v>
      </c>
      <c r="E19" s="148">
        <v>2949</v>
      </c>
      <c r="F19" s="148">
        <f t="shared" si="0"/>
        <v>2949</v>
      </c>
      <c r="G19" s="148" t="s">
        <v>8</v>
      </c>
      <c r="H19" s="148" t="s">
        <v>1163</v>
      </c>
      <c r="I19" s="130" t="s">
        <v>1148</v>
      </c>
      <c r="J19" s="130"/>
      <c r="N19">
        <v>4648</v>
      </c>
    </row>
    <row r="20" spans="1:14" x14ac:dyDescent="0.25">
      <c r="A20" s="129">
        <v>46066</v>
      </c>
      <c r="B20" s="148">
        <v>1</v>
      </c>
      <c r="C20" s="148" t="s">
        <v>1147</v>
      </c>
      <c r="D20" s="148" t="s">
        <v>101</v>
      </c>
      <c r="E20" s="148">
        <v>0</v>
      </c>
      <c r="F20" s="148">
        <f t="shared" si="0"/>
        <v>0</v>
      </c>
      <c r="G20" s="148" t="s">
        <v>8</v>
      </c>
      <c r="H20" s="148" t="s">
        <v>1163</v>
      </c>
      <c r="I20" s="130"/>
      <c r="J20" s="130"/>
      <c r="N20">
        <v>4648</v>
      </c>
    </row>
    <row r="21" spans="1:14" x14ac:dyDescent="0.25">
      <c r="A21" s="129">
        <v>46066</v>
      </c>
      <c r="B21" s="148">
        <v>1</v>
      </c>
      <c r="C21" s="148" t="s">
        <v>963</v>
      </c>
      <c r="D21" s="148" t="s">
        <v>101</v>
      </c>
      <c r="E21" s="148">
        <v>4400</v>
      </c>
      <c r="F21" s="148">
        <f t="shared" si="0"/>
        <v>4400</v>
      </c>
      <c r="G21" s="148" t="s">
        <v>8</v>
      </c>
      <c r="H21" s="148" t="s">
        <v>1163</v>
      </c>
      <c r="I21" s="130"/>
      <c r="J21" s="130"/>
      <c r="N21">
        <v>4648</v>
      </c>
    </row>
    <row r="22" spans="1:14" x14ac:dyDescent="0.25">
      <c r="A22" s="129">
        <v>46066</v>
      </c>
      <c r="B22" s="148">
        <v>1</v>
      </c>
      <c r="C22" s="148" t="s">
        <v>1143</v>
      </c>
      <c r="D22" s="148" t="s">
        <v>101</v>
      </c>
      <c r="E22" s="148">
        <v>3300</v>
      </c>
      <c r="F22" s="148">
        <f t="shared" si="0"/>
        <v>3300</v>
      </c>
      <c r="G22" s="148" t="s">
        <v>8</v>
      </c>
      <c r="H22" s="148" t="s">
        <v>1163</v>
      </c>
      <c r="I22" s="130"/>
      <c r="J22" s="130"/>
      <c r="N22">
        <v>2000</v>
      </c>
    </row>
    <row r="23" spans="1:14" x14ac:dyDescent="0.25">
      <c r="A23" s="129">
        <v>46066</v>
      </c>
      <c r="B23" s="148">
        <v>2</v>
      </c>
      <c r="C23" s="148" t="s">
        <v>1144</v>
      </c>
      <c r="D23" s="148" t="s">
        <v>101</v>
      </c>
      <c r="E23" s="148">
        <v>1400</v>
      </c>
      <c r="F23" s="148">
        <f t="shared" si="0"/>
        <v>2800</v>
      </c>
      <c r="G23" s="148" t="s">
        <v>8</v>
      </c>
      <c r="H23" s="148" t="s">
        <v>1163</v>
      </c>
      <c r="I23" s="130"/>
      <c r="J23" s="130"/>
      <c r="N23">
        <v>2000</v>
      </c>
    </row>
    <row r="24" spans="1:14" x14ac:dyDescent="0.25">
      <c r="A24" s="129">
        <v>46066</v>
      </c>
      <c r="B24" s="148">
        <v>3</v>
      </c>
      <c r="C24" s="148" t="s">
        <v>546</v>
      </c>
      <c r="D24" s="148" t="s">
        <v>101</v>
      </c>
      <c r="E24" s="148">
        <v>520</v>
      </c>
      <c r="F24" s="148">
        <f t="shared" si="0"/>
        <v>1560</v>
      </c>
      <c r="G24" s="148" t="s">
        <v>8</v>
      </c>
      <c r="H24" s="148" t="s">
        <v>1163</v>
      </c>
      <c r="I24" s="130"/>
      <c r="J24" s="130"/>
      <c r="N24">
        <v>500</v>
      </c>
    </row>
    <row r="25" spans="1:14" x14ac:dyDescent="0.25">
      <c r="A25" s="129">
        <v>46066</v>
      </c>
      <c r="B25" s="130">
        <v>1</v>
      </c>
      <c r="C25" s="130" t="s">
        <v>1145</v>
      </c>
      <c r="D25" s="130" t="s">
        <v>101</v>
      </c>
      <c r="E25" s="130">
        <v>1299</v>
      </c>
      <c r="F25" s="130">
        <f t="shared" si="0"/>
        <v>1299</v>
      </c>
      <c r="G25" s="130" t="s">
        <v>8</v>
      </c>
      <c r="H25" s="148" t="s">
        <v>1162</v>
      </c>
      <c r="I25" s="130"/>
      <c r="J25" s="130"/>
      <c r="N25">
        <f>SUM(N17:N24)</f>
        <v>22791</v>
      </c>
    </row>
    <row r="26" spans="1:14" x14ac:dyDescent="0.25">
      <c r="A26" s="129">
        <v>46066</v>
      </c>
      <c r="B26" s="130">
        <v>5</v>
      </c>
      <c r="C26" s="130" t="s">
        <v>1146</v>
      </c>
      <c r="D26" s="130" t="s">
        <v>101</v>
      </c>
      <c r="E26" s="130">
        <v>30</v>
      </c>
      <c r="F26" s="130">
        <f t="shared" si="0"/>
        <v>150</v>
      </c>
      <c r="G26" s="130" t="s">
        <v>8</v>
      </c>
      <c r="H26" s="130"/>
      <c r="I26" s="130"/>
      <c r="J26" s="130"/>
    </row>
    <row r="27" spans="1:14" x14ac:dyDescent="0.25">
      <c r="A27" s="129">
        <v>46073</v>
      </c>
      <c r="B27" s="130">
        <v>80</v>
      </c>
      <c r="C27" s="130" t="s">
        <v>664</v>
      </c>
      <c r="D27" s="130" t="s">
        <v>526</v>
      </c>
      <c r="E27" s="130">
        <v>400</v>
      </c>
      <c r="F27" s="130">
        <f t="shared" si="0"/>
        <v>32000</v>
      </c>
      <c r="G27" s="130" t="s">
        <v>348</v>
      </c>
      <c r="H27" s="130"/>
      <c r="I27" s="130" t="s">
        <v>1159</v>
      </c>
      <c r="J27" s="130"/>
    </row>
    <row r="28" spans="1:14" x14ac:dyDescent="0.25">
      <c r="A28" s="129">
        <v>46072</v>
      </c>
      <c r="B28" s="130">
        <v>60</v>
      </c>
      <c r="C28" s="130" t="s">
        <v>664</v>
      </c>
      <c r="D28" s="130" t="s">
        <v>1151</v>
      </c>
      <c r="E28" s="130">
        <v>400</v>
      </c>
      <c r="F28" s="130">
        <f t="shared" si="0"/>
        <v>24000</v>
      </c>
      <c r="G28" s="130" t="s">
        <v>348</v>
      </c>
      <c r="H28" s="130"/>
      <c r="I28" s="130" t="s">
        <v>1159</v>
      </c>
      <c r="J28" s="130"/>
    </row>
    <row r="29" spans="1:14" x14ac:dyDescent="0.25">
      <c r="A29" s="129">
        <v>46074</v>
      </c>
      <c r="B29" s="130">
        <v>10</v>
      </c>
      <c r="C29" s="130" t="s">
        <v>969</v>
      </c>
      <c r="D29" s="130" t="s">
        <v>101</v>
      </c>
      <c r="E29" s="130">
        <v>2100</v>
      </c>
      <c r="F29" s="130">
        <f t="shared" si="0"/>
        <v>21000</v>
      </c>
      <c r="G29" s="130" t="s">
        <v>8</v>
      </c>
      <c r="H29" s="130"/>
      <c r="I29" s="130"/>
      <c r="J29" s="130"/>
    </row>
    <row r="30" spans="1:14" x14ac:dyDescent="0.25">
      <c r="A30" s="129">
        <v>46074</v>
      </c>
      <c r="B30" s="130">
        <v>4</v>
      </c>
      <c r="C30" s="130" t="s">
        <v>664</v>
      </c>
      <c r="D30" s="130" t="s">
        <v>101</v>
      </c>
      <c r="E30" s="130">
        <v>450</v>
      </c>
      <c r="F30" s="130">
        <f t="shared" si="0"/>
        <v>1800</v>
      </c>
      <c r="G30" s="130" t="s">
        <v>8</v>
      </c>
      <c r="H30" s="130"/>
      <c r="I30" s="130"/>
      <c r="J30" s="130"/>
    </row>
    <row r="31" spans="1:14" x14ac:dyDescent="0.25">
      <c r="A31" s="129">
        <v>46074</v>
      </c>
      <c r="B31" s="130">
        <v>4</v>
      </c>
      <c r="C31" s="130" t="s">
        <v>969</v>
      </c>
      <c r="D31" s="130" t="s">
        <v>1152</v>
      </c>
      <c r="E31" s="130">
        <v>2099</v>
      </c>
      <c r="F31" s="130">
        <f t="shared" si="0"/>
        <v>8396</v>
      </c>
      <c r="G31" s="130" t="s">
        <v>8</v>
      </c>
      <c r="H31" s="130"/>
      <c r="I31" s="130"/>
      <c r="J31" s="130"/>
    </row>
    <row r="32" spans="1:14" x14ac:dyDescent="0.25">
      <c r="A32" s="129">
        <v>46074</v>
      </c>
      <c r="B32" s="130">
        <v>5</v>
      </c>
      <c r="C32" s="130" t="s">
        <v>664</v>
      </c>
      <c r="D32" s="130" t="s">
        <v>1152</v>
      </c>
      <c r="E32" s="130">
        <v>450</v>
      </c>
      <c r="F32" s="130">
        <f t="shared" si="0"/>
        <v>2250</v>
      </c>
      <c r="G32" s="130" t="s">
        <v>8</v>
      </c>
      <c r="H32" s="130"/>
      <c r="I32" s="130"/>
      <c r="J32" s="130"/>
    </row>
    <row r="33" spans="1:10" x14ac:dyDescent="0.25">
      <c r="A33" s="129">
        <v>46069</v>
      </c>
      <c r="B33" s="130">
        <v>1</v>
      </c>
      <c r="C33" s="130" t="s">
        <v>542</v>
      </c>
      <c r="D33" s="130" t="s">
        <v>686</v>
      </c>
      <c r="E33" s="130">
        <v>21250.35</v>
      </c>
      <c r="F33" s="130">
        <v>21250.35</v>
      </c>
      <c r="G33" s="130"/>
      <c r="H33" s="130"/>
      <c r="I33" s="130" t="s">
        <v>1033</v>
      </c>
      <c r="J33" s="130"/>
    </row>
    <row r="34" spans="1:10" x14ac:dyDescent="0.25">
      <c r="A34" s="129">
        <v>46078</v>
      </c>
      <c r="B34" s="130">
        <v>40</v>
      </c>
      <c r="C34" s="130" t="s">
        <v>664</v>
      </c>
      <c r="D34" s="130" t="s">
        <v>1158</v>
      </c>
      <c r="E34" s="130">
        <v>398</v>
      </c>
      <c r="F34" s="130">
        <f>B34*E34</f>
        <v>15920</v>
      </c>
      <c r="G34" s="130" t="s">
        <v>62</v>
      </c>
      <c r="H34" s="130" t="s">
        <v>348</v>
      </c>
      <c r="I34" s="130"/>
      <c r="J34" s="130"/>
    </row>
    <row r="35" spans="1:10" x14ac:dyDescent="0.25">
      <c r="A35" s="129">
        <v>46080</v>
      </c>
      <c r="B35" s="130">
        <v>60</v>
      </c>
      <c r="C35" s="130" t="s">
        <v>664</v>
      </c>
      <c r="D35" s="130" t="s">
        <v>492</v>
      </c>
      <c r="E35" s="130">
        <v>400</v>
      </c>
      <c r="F35" s="130">
        <f t="shared" ref="F35:F37" si="1">B35*E35</f>
        <v>24000</v>
      </c>
      <c r="G35" s="130" t="s">
        <v>348</v>
      </c>
      <c r="H35" s="130" t="s">
        <v>1160</v>
      </c>
      <c r="I35" s="129">
        <v>46083</v>
      </c>
      <c r="J35" s="130"/>
    </row>
    <row r="36" spans="1:10" x14ac:dyDescent="0.25">
      <c r="A36" s="129">
        <v>46081</v>
      </c>
      <c r="B36" s="130">
        <v>4</v>
      </c>
      <c r="C36" s="130" t="s">
        <v>1161</v>
      </c>
      <c r="D36" s="130" t="s">
        <v>331</v>
      </c>
      <c r="E36" s="130">
        <v>590</v>
      </c>
      <c r="F36" s="130">
        <f t="shared" si="1"/>
        <v>2360</v>
      </c>
      <c r="G36" s="130" t="s">
        <v>8</v>
      </c>
      <c r="H36" s="130"/>
      <c r="I36" s="130"/>
      <c r="J36" s="130"/>
    </row>
    <row r="37" spans="1:10" x14ac:dyDescent="0.25">
      <c r="A37" s="129">
        <v>46081</v>
      </c>
      <c r="B37" s="130">
        <v>1</v>
      </c>
      <c r="C37" s="130" t="s">
        <v>969</v>
      </c>
      <c r="D37" s="130" t="s">
        <v>331</v>
      </c>
      <c r="E37" s="130">
        <v>2099</v>
      </c>
      <c r="F37" s="130">
        <f t="shared" si="1"/>
        <v>2099</v>
      </c>
      <c r="G37" s="130" t="s">
        <v>8</v>
      </c>
      <c r="H37" s="130"/>
      <c r="I37" s="130"/>
      <c r="J37" s="130"/>
    </row>
    <row r="38" spans="1:10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</row>
    <row r="39" spans="1:10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</row>
    <row r="40" spans="1:10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</row>
    <row r="41" spans="1:10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</row>
    <row r="42" spans="1:10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</row>
    <row r="43" spans="1:10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</row>
    <row r="44" spans="1:10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</row>
    <row r="45" spans="1:10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</row>
    <row r="46" spans="1:10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</row>
    <row r="47" spans="1:10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</row>
    <row r="48" spans="1:10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</row>
    <row r="49" spans="1:10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</row>
    <row r="50" spans="1:10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</row>
    <row r="51" spans="1:10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</row>
    <row r="52" spans="1:10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</row>
    <row r="53" spans="1:10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295736-D2B7-4EFF-897C-F1117A56DBE6}">
  <dimension ref="A1:K39"/>
  <sheetViews>
    <sheetView workbookViewId="0">
      <selection activeCell="A234" sqref="A234:I234"/>
    </sheetView>
  </sheetViews>
  <sheetFormatPr defaultRowHeight="15" x14ac:dyDescent="0.25"/>
  <cols>
    <col min="1" max="1" width="7" bestFit="1" customWidth="1"/>
    <col min="2" max="2" width="4" bestFit="1" customWidth="1"/>
    <col min="3" max="3" width="17.42578125" bestFit="1" customWidth="1"/>
    <col min="4" max="4" width="28" bestFit="1" customWidth="1"/>
    <col min="5" max="5" width="5.140625" bestFit="1" customWidth="1"/>
    <col min="6" max="6" width="7.42578125" bestFit="1" customWidth="1"/>
    <col min="7" max="7" width="24" bestFit="1" customWidth="1"/>
    <col min="8" max="8" width="8.7109375" bestFit="1" customWidth="1"/>
    <col min="9" max="9" width="10.140625" bestFit="1" customWidth="1"/>
    <col min="10" max="10" width="8.2851562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2"/>
    </row>
    <row r="2" spans="1:11" x14ac:dyDescent="0.25">
      <c r="A2" s="68">
        <v>46083</v>
      </c>
      <c r="B2" s="2">
        <v>80</v>
      </c>
      <c r="C2" s="2" t="s">
        <v>664</v>
      </c>
      <c r="D2" s="2" t="s">
        <v>865</v>
      </c>
      <c r="E2" s="65">
        <v>400</v>
      </c>
      <c r="F2" s="65">
        <f t="shared" ref="F2" si="0">E2*B2</f>
        <v>32000</v>
      </c>
      <c r="G2" s="2" t="s">
        <v>1165</v>
      </c>
      <c r="H2" s="2" t="s">
        <v>1164</v>
      </c>
      <c r="I2" s="2"/>
      <c r="J2" s="2"/>
      <c r="K2" s="2"/>
    </row>
    <row r="3" spans="1:11" x14ac:dyDescent="0.25">
      <c r="A3" s="68">
        <v>46111</v>
      </c>
      <c r="B3" s="2">
        <v>40</v>
      </c>
      <c r="C3" s="2" t="s">
        <v>664</v>
      </c>
      <c r="D3" s="2" t="s">
        <v>1158</v>
      </c>
      <c r="E3" s="2">
        <v>398</v>
      </c>
      <c r="F3" s="2">
        <f>B3*E3</f>
        <v>15920</v>
      </c>
      <c r="G3" s="2" t="s">
        <v>1165</v>
      </c>
      <c r="H3" s="2" t="s">
        <v>1164</v>
      </c>
      <c r="I3" s="2"/>
      <c r="J3" s="2"/>
      <c r="K3" s="2"/>
    </row>
    <row r="4" spans="1:11" x14ac:dyDescent="0.25">
      <c r="A4" s="68">
        <v>46111</v>
      </c>
      <c r="B4" s="2">
        <v>1</v>
      </c>
      <c r="C4" s="2" t="s">
        <v>296</v>
      </c>
      <c r="D4" s="2" t="s">
        <v>1158</v>
      </c>
      <c r="E4" s="2">
        <v>110</v>
      </c>
      <c r="F4" s="2">
        <v>110</v>
      </c>
      <c r="G4" s="2"/>
      <c r="H4" s="2"/>
      <c r="I4" s="2"/>
      <c r="J4" s="2"/>
      <c r="K4" s="2"/>
    </row>
    <row r="5" spans="1:11" x14ac:dyDescent="0.25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 x14ac:dyDescent="0.25">
      <c r="A6" s="2"/>
      <c r="B6" s="2"/>
      <c r="C6" s="2"/>
      <c r="D6" s="2"/>
      <c r="E6" s="2"/>
      <c r="F6" s="2"/>
      <c r="G6" s="2"/>
      <c r="H6" s="2"/>
      <c r="I6" s="2"/>
      <c r="J6" s="2"/>
      <c r="K6" s="2"/>
    </row>
    <row r="7" spans="1:11" x14ac:dyDescent="0.25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 x14ac:dyDescent="0.25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 x14ac:dyDescent="0.25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  <row r="12" spans="1:1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</row>
    <row r="13" spans="1:11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</row>
    <row r="15" spans="1:11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</row>
    <row r="17" spans="1:11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1:1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</row>
    <row r="21" spans="1:1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773250-4A62-4A14-9567-977AD05F8EDC}">
  <dimension ref="A1:R39"/>
  <sheetViews>
    <sheetView topLeftCell="A17" workbookViewId="0">
      <selection activeCell="F47" sqref="F47"/>
    </sheetView>
  </sheetViews>
  <sheetFormatPr defaultRowHeight="15" x14ac:dyDescent="0.25"/>
  <cols>
    <col min="1" max="1" width="7.28515625" bestFit="1" customWidth="1"/>
    <col min="2" max="2" width="4" bestFit="1" customWidth="1"/>
    <col min="3" max="4" width="4" customWidth="1"/>
    <col min="5" max="5" width="28.140625" customWidth="1"/>
    <col min="6" max="6" width="17.28515625" bestFit="1" customWidth="1"/>
    <col min="7" max="8" width="7.42578125" bestFit="1" customWidth="1"/>
    <col min="9" max="9" width="17.7109375" bestFit="1" customWidth="1"/>
    <col min="10" max="10" width="7.85546875" bestFit="1" customWidth="1"/>
    <col min="11" max="11" width="17" bestFit="1" customWidth="1"/>
    <col min="12" max="12" width="9" bestFit="1" customWidth="1"/>
    <col min="13" max="13" width="11.28515625" bestFit="1" customWidth="1"/>
    <col min="14" max="14" width="28.7109375" bestFit="1" customWidth="1"/>
    <col min="15" max="18" width="0" hidden="1" customWidth="1"/>
  </cols>
  <sheetData>
    <row r="1" spans="1:18" x14ac:dyDescent="0.25">
      <c r="A1" s="44" t="s">
        <v>65</v>
      </c>
      <c r="B1" s="4" t="s">
        <v>0</v>
      </c>
      <c r="C1" s="4"/>
      <c r="D1" s="4"/>
      <c r="E1" s="5" t="s">
        <v>252</v>
      </c>
      <c r="F1" s="4" t="s">
        <v>2</v>
      </c>
      <c r="G1" s="9" t="s">
        <v>3</v>
      </c>
      <c r="H1" s="9" t="s">
        <v>4</v>
      </c>
      <c r="I1" s="4" t="s">
        <v>5</v>
      </c>
      <c r="J1" s="4" t="s">
        <v>428</v>
      </c>
      <c r="K1" s="4" t="s">
        <v>564</v>
      </c>
      <c r="L1" s="2" t="s">
        <v>814</v>
      </c>
      <c r="M1" s="2" t="s">
        <v>1166</v>
      </c>
    </row>
    <row r="2" spans="1:18" x14ac:dyDescent="0.25">
      <c r="A2" s="129">
        <v>46113</v>
      </c>
      <c r="B2" s="130">
        <v>10</v>
      </c>
      <c r="C2" s="130"/>
      <c r="D2" s="130"/>
      <c r="E2" s="130" t="s">
        <v>295</v>
      </c>
      <c r="F2" s="130" t="s">
        <v>1169</v>
      </c>
      <c r="G2" s="138">
        <v>469</v>
      </c>
      <c r="H2" s="138">
        <f>B2*G2</f>
        <v>4690</v>
      </c>
      <c r="I2" s="130" t="s">
        <v>464</v>
      </c>
      <c r="J2" s="130"/>
      <c r="K2" s="130"/>
      <c r="L2" s="130"/>
      <c r="M2" s="130"/>
    </row>
    <row r="3" spans="1:18" x14ac:dyDescent="0.25">
      <c r="A3" s="129">
        <v>46113</v>
      </c>
      <c r="B3" s="130">
        <v>8</v>
      </c>
      <c r="C3" s="130">
        <v>3</v>
      </c>
      <c r="D3" s="130">
        <v>3</v>
      </c>
      <c r="E3" s="130" t="s">
        <v>639</v>
      </c>
      <c r="F3" s="130" t="s">
        <v>383</v>
      </c>
      <c r="G3" s="138">
        <v>1579</v>
      </c>
      <c r="H3" s="138">
        <f>B3*G3</f>
        <v>12632</v>
      </c>
      <c r="I3" s="130" t="s">
        <v>1167</v>
      </c>
      <c r="J3" s="130"/>
      <c r="K3" s="130" t="s">
        <v>1246</v>
      </c>
      <c r="L3" s="130"/>
      <c r="M3" s="130"/>
    </row>
    <row r="4" spans="1:18" x14ac:dyDescent="0.25">
      <c r="A4" s="129">
        <v>46113</v>
      </c>
      <c r="B4" s="130">
        <v>5</v>
      </c>
      <c r="C4" s="130">
        <v>4</v>
      </c>
      <c r="D4" s="130">
        <v>1</v>
      </c>
      <c r="E4" s="130" t="s">
        <v>406</v>
      </c>
      <c r="F4" s="130" t="s">
        <v>383</v>
      </c>
      <c r="G4" s="138">
        <v>1579</v>
      </c>
      <c r="H4" s="138">
        <f t="shared" ref="H4:H5" si="0">B4*G4</f>
        <v>7895</v>
      </c>
      <c r="I4" s="130" t="s">
        <v>348</v>
      </c>
      <c r="J4" s="130"/>
      <c r="K4" s="130"/>
      <c r="L4" s="130"/>
      <c r="M4" s="130"/>
      <c r="P4" t="s">
        <v>1221</v>
      </c>
      <c r="Q4">
        <v>23</v>
      </c>
      <c r="R4">
        <v>30</v>
      </c>
    </row>
    <row r="5" spans="1:18" x14ac:dyDescent="0.25">
      <c r="A5" s="129">
        <v>46113</v>
      </c>
      <c r="B5" s="130">
        <v>4</v>
      </c>
      <c r="C5" s="130">
        <v>3</v>
      </c>
      <c r="D5" s="130">
        <v>1</v>
      </c>
      <c r="E5" s="130" t="s">
        <v>378</v>
      </c>
      <c r="F5" s="130" t="s">
        <v>383</v>
      </c>
      <c r="G5" s="138">
        <v>779</v>
      </c>
      <c r="H5" s="138">
        <f t="shared" si="0"/>
        <v>3116</v>
      </c>
      <c r="I5" s="130" t="s">
        <v>348</v>
      </c>
      <c r="J5" s="130"/>
      <c r="K5" s="130"/>
      <c r="L5" s="130"/>
      <c r="M5" s="130"/>
      <c r="Q5">
        <v>11</v>
      </c>
    </row>
    <row r="6" spans="1:18" x14ac:dyDescent="0.25">
      <c r="A6" s="129">
        <v>46114</v>
      </c>
      <c r="B6" s="130">
        <v>2</v>
      </c>
      <c r="C6" s="130">
        <v>2</v>
      </c>
      <c r="D6" s="130"/>
      <c r="E6" s="130" t="s">
        <v>406</v>
      </c>
      <c r="F6" s="130" t="s">
        <v>460</v>
      </c>
      <c r="G6" s="138">
        <v>1579</v>
      </c>
      <c r="H6" s="138">
        <f t="shared" ref="H6:H12" si="1">B6*G6</f>
        <v>3158</v>
      </c>
      <c r="I6" s="130" t="s">
        <v>348</v>
      </c>
      <c r="J6" s="130"/>
      <c r="K6" s="130"/>
      <c r="L6" s="130"/>
      <c r="M6" s="139">
        <v>102958</v>
      </c>
      <c r="P6" t="s">
        <v>871</v>
      </c>
      <c r="Q6">
        <v>3</v>
      </c>
      <c r="R6">
        <v>5</v>
      </c>
    </row>
    <row r="7" spans="1:18" x14ac:dyDescent="0.25">
      <c r="A7" s="129">
        <v>46113</v>
      </c>
      <c r="B7" s="130">
        <v>4</v>
      </c>
      <c r="C7" s="130">
        <v>4</v>
      </c>
      <c r="D7" s="130"/>
      <c r="E7" s="130" t="s">
        <v>639</v>
      </c>
      <c r="F7" s="130" t="s">
        <v>460</v>
      </c>
      <c r="G7" s="138">
        <v>1579</v>
      </c>
      <c r="H7" s="138">
        <f t="shared" si="1"/>
        <v>6316</v>
      </c>
      <c r="I7" s="130" t="s">
        <v>348</v>
      </c>
      <c r="J7" s="130"/>
      <c r="K7" s="130"/>
      <c r="L7" s="130"/>
      <c r="M7" s="130"/>
    </row>
    <row r="8" spans="1:18" x14ac:dyDescent="0.25">
      <c r="A8" s="129">
        <v>46113</v>
      </c>
      <c r="B8" s="130">
        <v>3</v>
      </c>
      <c r="C8" s="130">
        <v>3</v>
      </c>
      <c r="D8" s="130"/>
      <c r="E8" s="130" t="s">
        <v>639</v>
      </c>
      <c r="F8" s="130" t="s">
        <v>433</v>
      </c>
      <c r="G8" s="138">
        <v>1579</v>
      </c>
      <c r="H8" s="138">
        <f t="shared" si="1"/>
        <v>4737</v>
      </c>
      <c r="I8" s="130" t="s">
        <v>348</v>
      </c>
      <c r="J8" s="130"/>
      <c r="K8" s="130"/>
      <c r="L8" s="130"/>
      <c r="M8" s="140">
        <v>186022</v>
      </c>
    </row>
    <row r="9" spans="1:18" x14ac:dyDescent="0.25">
      <c r="A9" s="129">
        <v>46113</v>
      </c>
      <c r="B9" s="130">
        <v>1</v>
      </c>
      <c r="C9" s="130">
        <v>1</v>
      </c>
      <c r="D9" s="130"/>
      <c r="E9" s="130" t="s">
        <v>406</v>
      </c>
      <c r="F9" s="130" t="s">
        <v>1168</v>
      </c>
      <c r="G9" s="138">
        <v>1579</v>
      </c>
      <c r="H9" s="138">
        <f t="shared" si="1"/>
        <v>1579</v>
      </c>
      <c r="I9" s="130" t="s">
        <v>348</v>
      </c>
      <c r="J9" s="130"/>
      <c r="K9" s="130"/>
      <c r="L9" s="130"/>
      <c r="M9" s="130"/>
    </row>
    <row r="10" spans="1:18" x14ac:dyDescent="0.25">
      <c r="A10" s="129">
        <v>46114</v>
      </c>
      <c r="B10" s="130">
        <v>3</v>
      </c>
      <c r="C10" s="130">
        <v>3</v>
      </c>
      <c r="D10" s="130"/>
      <c r="E10" s="130" t="s">
        <v>406</v>
      </c>
      <c r="F10" s="130" t="s">
        <v>433</v>
      </c>
      <c r="G10" s="138">
        <v>1579</v>
      </c>
      <c r="H10" s="138">
        <f t="shared" si="1"/>
        <v>4737</v>
      </c>
      <c r="I10" s="130" t="s">
        <v>348</v>
      </c>
      <c r="J10" s="130"/>
      <c r="K10" s="130"/>
      <c r="L10" s="130"/>
      <c r="M10" s="140">
        <v>186169</v>
      </c>
    </row>
    <row r="11" spans="1:18" x14ac:dyDescent="0.25">
      <c r="A11" s="129">
        <v>46114</v>
      </c>
      <c r="B11" s="130">
        <v>3</v>
      </c>
      <c r="C11" s="130">
        <v>3</v>
      </c>
      <c r="D11" s="130"/>
      <c r="E11" s="130" t="s">
        <v>639</v>
      </c>
      <c r="F11" s="130" t="s">
        <v>433</v>
      </c>
      <c r="G11" s="138">
        <v>1579</v>
      </c>
      <c r="H11" s="138">
        <f t="shared" si="1"/>
        <v>4737</v>
      </c>
      <c r="I11" s="130" t="s">
        <v>348</v>
      </c>
      <c r="J11" s="130"/>
      <c r="K11" s="130"/>
      <c r="L11" s="130"/>
      <c r="M11" s="140">
        <v>186171</v>
      </c>
    </row>
    <row r="12" spans="1:18" x14ac:dyDescent="0.25">
      <c r="A12" s="129">
        <v>46114</v>
      </c>
      <c r="B12" s="130">
        <v>1</v>
      </c>
      <c r="C12" s="130"/>
      <c r="D12" s="130"/>
      <c r="E12" s="130" t="s">
        <v>542</v>
      </c>
      <c r="F12" s="130" t="s">
        <v>1170</v>
      </c>
      <c r="G12" s="138">
        <v>2748.46</v>
      </c>
      <c r="H12" s="138">
        <f t="shared" si="1"/>
        <v>2748.46</v>
      </c>
      <c r="I12" s="130" t="s">
        <v>85</v>
      </c>
      <c r="J12" s="130"/>
      <c r="K12" s="130" t="s">
        <v>622</v>
      </c>
      <c r="L12" s="130"/>
      <c r="M12" s="130"/>
    </row>
    <row r="13" spans="1:18" x14ac:dyDescent="0.25">
      <c r="A13" s="129">
        <v>46118</v>
      </c>
      <c r="B13" s="130">
        <v>10</v>
      </c>
      <c r="C13" s="130">
        <v>10</v>
      </c>
      <c r="D13" s="130"/>
      <c r="E13" s="130" t="s">
        <v>295</v>
      </c>
      <c r="F13" s="130" t="s">
        <v>464</v>
      </c>
      <c r="G13" s="130">
        <v>470</v>
      </c>
      <c r="H13" s="141">
        <v>4700</v>
      </c>
      <c r="I13" s="130" t="s">
        <v>1171</v>
      </c>
      <c r="J13" s="130"/>
      <c r="K13" s="130"/>
      <c r="L13" s="130"/>
      <c r="M13" s="130"/>
    </row>
    <row r="14" spans="1:18" x14ac:dyDescent="0.25">
      <c r="A14" s="129">
        <v>46132</v>
      </c>
      <c r="B14" s="130">
        <v>1</v>
      </c>
      <c r="C14" s="130">
        <v>1</v>
      </c>
      <c r="D14" s="130"/>
      <c r="E14" s="130" t="s">
        <v>1172</v>
      </c>
      <c r="F14" s="130" t="s">
        <v>1185</v>
      </c>
      <c r="G14" s="130">
        <v>1649</v>
      </c>
      <c r="H14" s="141">
        <v>1649</v>
      </c>
      <c r="I14" s="130" t="s">
        <v>1200</v>
      </c>
      <c r="J14" s="130"/>
      <c r="K14" s="130" t="s">
        <v>1186</v>
      </c>
      <c r="L14" s="130"/>
      <c r="M14" s="130"/>
    </row>
    <row r="15" spans="1:18" x14ac:dyDescent="0.25">
      <c r="A15" s="129">
        <v>46132</v>
      </c>
      <c r="B15" s="130">
        <v>1</v>
      </c>
      <c r="C15" s="130">
        <v>1</v>
      </c>
      <c r="D15" s="130"/>
      <c r="E15" s="130" t="s">
        <v>1184</v>
      </c>
      <c r="F15" s="130" t="s">
        <v>1185</v>
      </c>
      <c r="G15" s="130">
        <v>17999</v>
      </c>
      <c r="H15" s="141">
        <v>17999</v>
      </c>
      <c r="I15" s="130" t="s">
        <v>1200</v>
      </c>
      <c r="J15" s="130"/>
      <c r="K15" s="130" t="s">
        <v>1186</v>
      </c>
      <c r="L15" s="130"/>
      <c r="M15" s="130"/>
    </row>
    <row r="16" spans="1:18" x14ac:dyDescent="0.25">
      <c r="A16" s="129">
        <v>46132</v>
      </c>
      <c r="B16" s="130">
        <v>5</v>
      </c>
      <c r="C16" s="130">
        <v>5</v>
      </c>
      <c r="D16" s="130"/>
      <c r="E16" s="130" t="s">
        <v>378</v>
      </c>
      <c r="F16" s="130" t="s">
        <v>291</v>
      </c>
      <c r="G16" s="130">
        <v>786</v>
      </c>
      <c r="H16" s="130">
        <f>B16*G16</f>
        <v>3930</v>
      </c>
      <c r="I16" s="130" t="s">
        <v>464</v>
      </c>
      <c r="J16" s="130"/>
      <c r="K16" s="130" t="s">
        <v>464</v>
      </c>
      <c r="L16" s="130"/>
      <c r="M16" s="142"/>
      <c r="Q16">
        <v>69148</v>
      </c>
      <c r="R16">
        <f>Q16*2.3</f>
        <v>159040.4</v>
      </c>
    </row>
    <row r="17" spans="1:18" x14ac:dyDescent="0.25">
      <c r="A17" s="129">
        <v>46134</v>
      </c>
      <c r="B17" s="130">
        <v>10</v>
      </c>
      <c r="C17" s="130">
        <v>10</v>
      </c>
      <c r="D17" s="130"/>
      <c r="E17" s="130" t="s">
        <v>639</v>
      </c>
      <c r="F17" s="130" t="s">
        <v>464</v>
      </c>
      <c r="G17" s="130">
        <v>1579</v>
      </c>
      <c r="H17" s="130">
        <f t="shared" ref="H17:H28" si="2">B17*G17</f>
        <v>15790</v>
      </c>
      <c r="I17" s="130" t="s">
        <v>464</v>
      </c>
      <c r="J17" s="130"/>
      <c r="K17" s="130" t="s">
        <v>464</v>
      </c>
      <c r="L17" s="130"/>
      <c r="M17" s="130"/>
      <c r="N17" t="s">
        <v>1199</v>
      </c>
      <c r="Q17">
        <v>124588</v>
      </c>
      <c r="R17">
        <f>Q17*2.6</f>
        <v>323928.8</v>
      </c>
    </row>
    <row r="18" spans="1:18" x14ac:dyDescent="0.25">
      <c r="A18" s="129">
        <v>46136</v>
      </c>
      <c r="B18" s="130">
        <v>10</v>
      </c>
      <c r="C18" s="130">
        <v>10</v>
      </c>
      <c r="D18" s="130"/>
      <c r="E18" s="130" t="s">
        <v>639</v>
      </c>
      <c r="F18" s="130" t="s">
        <v>291</v>
      </c>
      <c r="G18" s="130">
        <v>1489</v>
      </c>
      <c r="H18" s="130">
        <f t="shared" si="2"/>
        <v>14890</v>
      </c>
      <c r="I18" s="130" t="s">
        <v>464</v>
      </c>
      <c r="J18" s="130"/>
      <c r="K18" s="130"/>
      <c r="L18" s="130"/>
      <c r="M18" s="130"/>
      <c r="R18">
        <f>SUM(R16:R17)</f>
        <v>482969.19999999995</v>
      </c>
    </row>
    <row r="19" spans="1:18" x14ac:dyDescent="0.25">
      <c r="A19" s="129">
        <v>46136</v>
      </c>
      <c r="B19" s="130">
        <v>10</v>
      </c>
      <c r="C19" s="130">
        <v>0</v>
      </c>
      <c r="D19" s="130"/>
      <c r="E19" s="130" t="s">
        <v>639</v>
      </c>
      <c r="F19" s="130" t="s">
        <v>291</v>
      </c>
      <c r="G19" s="130">
        <v>1489</v>
      </c>
      <c r="H19" s="130">
        <f t="shared" si="2"/>
        <v>14890</v>
      </c>
      <c r="I19" s="130" t="s">
        <v>464</v>
      </c>
      <c r="J19" s="130"/>
      <c r="K19" s="130"/>
      <c r="L19" s="130"/>
      <c r="M19" s="130"/>
      <c r="Q19">
        <v>100800</v>
      </c>
      <c r="R19">
        <f>Q19*2.54</f>
        <v>256032</v>
      </c>
    </row>
    <row r="20" spans="1:18" x14ac:dyDescent="0.25">
      <c r="A20" s="129">
        <v>46142</v>
      </c>
      <c r="B20" s="130">
        <v>4</v>
      </c>
      <c r="C20" s="130"/>
      <c r="D20" s="130"/>
      <c r="E20" s="130" t="s">
        <v>639</v>
      </c>
      <c r="F20" s="130" t="s">
        <v>1225</v>
      </c>
      <c r="G20" s="130">
        <v>1579</v>
      </c>
      <c r="H20" s="130">
        <f t="shared" si="2"/>
        <v>6316</v>
      </c>
      <c r="I20" s="130" t="s">
        <v>464</v>
      </c>
      <c r="J20" s="130"/>
      <c r="K20" s="130"/>
      <c r="L20" s="130"/>
      <c r="M20" s="143">
        <v>189018</v>
      </c>
      <c r="R20">
        <f>R18-R19</f>
        <v>226937.19999999995</v>
      </c>
    </row>
    <row r="21" spans="1:18" x14ac:dyDescent="0.25">
      <c r="A21" s="129">
        <v>46142</v>
      </c>
      <c r="B21" s="130">
        <v>4</v>
      </c>
      <c r="C21" s="130"/>
      <c r="D21" s="130"/>
      <c r="E21" s="130" t="s">
        <v>639</v>
      </c>
      <c r="F21" s="130" t="s">
        <v>635</v>
      </c>
      <c r="G21" s="130">
        <v>1579</v>
      </c>
      <c r="H21" s="130">
        <f t="shared" si="2"/>
        <v>6316</v>
      </c>
      <c r="I21" s="130" t="s">
        <v>464</v>
      </c>
      <c r="J21" s="130"/>
      <c r="K21" s="130"/>
      <c r="L21" s="130"/>
      <c r="M21" s="130"/>
      <c r="R21">
        <v>1641981</v>
      </c>
    </row>
    <row r="22" spans="1:18" x14ac:dyDescent="0.25">
      <c r="A22" s="129">
        <v>46143</v>
      </c>
      <c r="B22" s="130">
        <v>3</v>
      </c>
      <c r="C22" s="130"/>
      <c r="D22" s="130"/>
      <c r="E22" s="130" t="s">
        <v>871</v>
      </c>
      <c r="F22" s="130" t="s">
        <v>1168</v>
      </c>
      <c r="G22" s="130">
        <v>849</v>
      </c>
      <c r="H22" s="130">
        <f t="shared" si="2"/>
        <v>2547</v>
      </c>
      <c r="I22" s="130" t="s">
        <v>464</v>
      </c>
      <c r="J22" s="130"/>
      <c r="K22" s="130"/>
      <c r="L22" s="130"/>
      <c r="M22" s="130"/>
      <c r="R22">
        <f>SUM(R20:R21)</f>
        <v>1868918.2</v>
      </c>
    </row>
    <row r="23" spans="1:18" x14ac:dyDescent="0.25">
      <c r="A23" s="129">
        <v>46143</v>
      </c>
      <c r="B23" s="130">
        <v>1</v>
      </c>
      <c r="C23" s="130"/>
      <c r="D23" s="130"/>
      <c r="E23" s="130" t="s">
        <v>405</v>
      </c>
      <c r="F23" s="130" t="s">
        <v>1168</v>
      </c>
      <c r="G23" s="130">
        <v>1579</v>
      </c>
      <c r="H23" s="130">
        <f t="shared" si="2"/>
        <v>1579</v>
      </c>
      <c r="I23" s="130" t="s">
        <v>464</v>
      </c>
      <c r="J23" s="130"/>
      <c r="K23" s="130"/>
      <c r="L23" s="130"/>
      <c r="M23" s="130"/>
    </row>
    <row r="24" spans="1:18" x14ac:dyDescent="0.25">
      <c r="A24" s="114">
        <v>46149</v>
      </c>
      <c r="B24" s="115">
        <v>2</v>
      </c>
      <c r="C24" s="115"/>
      <c r="D24" s="115"/>
      <c r="E24" s="115" t="s">
        <v>1236</v>
      </c>
      <c r="F24" s="115" t="s">
        <v>1185</v>
      </c>
      <c r="G24" s="115">
        <v>3299</v>
      </c>
      <c r="H24" s="115">
        <f t="shared" si="2"/>
        <v>6598</v>
      </c>
      <c r="I24" s="115" t="s">
        <v>62</v>
      </c>
      <c r="J24" s="115"/>
      <c r="K24" s="115"/>
      <c r="L24" s="115"/>
      <c r="M24" s="115"/>
    </row>
    <row r="25" spans="1:18" x14ac:dyDescent="0.25">
      <c r="A25" s="129">
        <v>46152</v>
      </c>
      <c r="B25" s="130">
        <v>4</v>
      </c>
      <c r="C25" s="130"/>
      <c r="D25" s="130"/>
      <c r="E25" s="130" t="s">
        <v>639</v>
      </c>
      <c r="F25" s="130" t="s">
        <v>1225</v>
      </c>
      <c r="G25" s="130">
        <v>1579</v>
      </c>
      <c r="H25" s="130">
        <f t="shared" si="2"/>
        <v>6316</v>
      </c>
      <c r="I25" s="130" t="s">
        <v>348</v>
      </c>
      <c r="J25" s="130"/>
      <c r="K25" s="130"/>
      <c r="L25" s="130"/>
      <c r="M25" s="147">
        <v>189973</v>
      </c>
    </row>
    <row r="26" spans="1:18" x14ac:dyDescent="0.25">
      <c r="A26" s="114">
        <v>46152</v>
      </c>
      <c r="B26" s="115">
        <v>4</v>
      </c>
      <c r="C26" s="115"/>
      <c r="D26" s="115"/>
      <c r="E26" s="115" t="s">
        <v>639</v>
      </c>
      <c r="F26" s="115" t="s">
        <v>635</v>
      </c>
      <c r="G26" s="115">
        <v>1579</v>
      </c>
      <c r="H26" s="115">
        <f t="shared" si="2"/>
        <v>6316</v>
      </c>
      <c r="I26" s="115" t="s">
        <v>62</v>
      </c>
      <c r="J26" s="115"/>
      <c r="K26" s="115"/>
      <c r="L26" s="115"/>
      <c r="M26" s="115">
        <v>39495173</v>
      </c>
    </row>
    <row r="27" spans="1:18" x14ac:dyDescent="0.25">
      <c r="A27" s="114">
        <v>46153</v>
      </c>
      <c r="B27" s="115">
        <v>8</v>
      </c>
      <c r="C27" s="115"/>
      <c r="D27" s="115"/>
      <c r="E27" s="115" t="s">
        <v>1255</v>
      </c>
      <c r="F27" s="115" t="s">
        <v>1256</v>
      </c>
      <c r="G27" s="115">
        <v>143</v>
      </c>
      <c r="H27" s="115">
        <f t="shared" si="2"/>
        <v>1144</v>
      </c>
      <c r="I27" s="115" t="s">
        <v>62</v>
      </c>
      <c r="J27" s="115"/>
      <c r="K27" s="115"/>
      <c r="L27" s="115"/>
      <c r="M27" s="144" t="s">
        <v>1254</v>
      </c>
    </row>
    <row r="28" spans="1:18" x14ac:dyDescent="0.25">
      <c r="A28" s="114">
        <v>46154</v>
      </c>
      <c r="B28" s="115">
        <v>4</v>
      </c>
      <c r="C28" s="115"/>
      <c r="D28" s="115"/>
      <c r="E28" s="115" t="s">
        <v>639</v>
      </c>
      <c r="F28" s="115" t="s">
        <v>1225</v>
      </c>
      <c r="G28" s="115">
        <v>1579</v>
      </c>
      <c r="H28" s="115">
        <f t="shared" si="2"/>
        <v>6316</v>
      </c>
      <c r="I28" s="115" t="s">
        <v>62</v>
      </c>
      <c r="J28" s="115"/>
      <c r="K28" s="115"/>
      <c r="L28" s="115"/>
      <c r="M28" s="145">
        <v>190211</v>
      </c>
    </row>
    <row r="29" spans="1:18" x14ac:dyDescent="0.25">
      <c r="A29" s="129">
        <v>46154</v>
      </c>
      <c r="B29" s="130">
        <v>1</v>
      </c>
      <c r="C29" s="130"/>
      <c r="D29" s="130"/>
      <c r="E29" s="130" t="s">
        <v>776</v>
      </c>
      <c r="F29" s="130" t="s">
        <v>464</v>
      </c>
      <c r="G29" s="130"/>
      <c r="H29" s="130">
        <v>1370</v>
      </c>
      <c r="I29" s="130" t="s">
        <v>1271</v>
      </c>
      <c r="J29" s="130"/>
      <c r="K29" s="130"/>
      <c r="L29" s="130"/>
      <c r="M29" s="130"/>
    </row>
    <row r="30" spans="1:18" x14ac:dyDescent="0.25">
      <c r="A30" s="129">
        <v>46154</v>
      </c>
      <c r="B30" s="130">
        <v>20</v>
      </c>
      <c r="C30" s="130"/>
      <c r="D30" s="130"/>
      <c r="E30" s="130" t="s">
        <v>1255</v>
      </c>
      <c r="F30" s="130" t="s">
        <v>464</v>
      </c>
      <c r="G30" s="130">
        <v>143</v>
      </c>
      <c r="H30" s="130">
        <v>2860</v>
      </c>
      <c r="I30" s="130" t="s">
        <v>1257</v>
      </c>
      <c r="J30" s="130"/>
      <c r="K30" s="130" t="s">
        <v>1297</v>
      </c>
      <c r="L30" s="130"/>
      <c r="M30" s="130"/>
    </row>
    <row r="31" spans="1:18" x14ac:dyDescent="0.25">
      <c r="A31" s="114">
        <v>46154</v>
      </c>
      <c r="B31" s="115">
        <v>1</v>
      </c>
      <c r="C31" s="115"/>
      <c r="D31" s="115"/>
      <c r="E31" s="115" t="s">
        <v>1184</v>
      </c>
      <c r="F31" s="115" t="s">
        <v>1185</v>
      </c>
      <c r="G31" s="115">
        <v>17999</v>
      </c>
      <c r="H31" s="115">
        <v>17999</v>
      </c>
      <c r="I31" s="115" t="s">
        <v>62</v>
      </c>
      <c r="J31" s="115"/>
      <c r="K31" s="115"/>
      <c r="L31" s="115"/>
      <c r="M31" s="146" t="s">
        <v>1263</v>
      </c>
    </row>
    <row r="32" spans="1:18" x14ac:dyDescent="0.25">
      <c r="A32" s="114">
        <v>46156</v>
      </c>
      <c r="B32" s="115">
        <v>12</v>
      </c>
      <c r="C32" s="115"/>
      <c r="D32" s="115"/>
      <c r="E32" s="115" t="s">
        <v>1172</v>
      </c>
      <c r="F32" s="115" t="s">
        <v>1185</v>
      </c>
      <c r="G32" s="115">
        <v>1600</v>
      </c>
      <c r="H32" s="115">
        <v>19200</v>
      </c>
      <c r="I32" s="115" t="s">
        <v>62</v>
      </c>
      <c r="J32" s="115"/>
      <c r="K32" s="115"/>
      <c r="L32" s="115"/>
      <c r="M32" s="115"/>
    </row>
    <row r="33" spans="1:14" x14ac:dyDescent="0.25">
      <c r="A33" s="114">
        <v>46156</v>
      </c>
      <c r="B33" s="115">
        <v>4</v>
      </c>
      <c r="C33" s="115"/>
      <c r="D33" s="115"/>
      <c r="E33" s="115" t="s">
        <v>1277</v>
      </c>
      <c r="F33" s="115" t="s">
        <v>1225</v>
      </c>
      <c r="G33" s="115">
        <v>1579</v>
      </c>
      <c r="H33" s="115">
        <f>B33*G33</f>
        <v>6316</v>
      </c>
      <c r="I33" s="115" t="s">
        <v>62</v>
      </c>
      <c r="J33" s="115"/>
      <c r="K33" s="115"/>
      <c r="L33" s="115"/>
      <c r="M33" s="115">
        <v>190476</v>
      </c>
    </row>
    <row r="34" spans="1:14" x14ac:dyDescent="0.25">
      <c r="A34" s="114">
        <v>46156</v>
      </c>
      <c r="B34" s="115">
        <v>4</v>
      </c>
      <c r="C34" s="115"/>
      <c r="D34" s="115"/>
      <c r="E34" s="115" t="s">
        <v>639</v>
      </c>
      <c r="F34" s="115" t="s">
        <v>635</v>
      </c>
      <c r="G34" s="115">
        <v>1579</v>
      </c>
      <c r="H34" s="115">
        <f>B34*G34</f>
        <v>6316</v>
      </c>
      <c r="I34" s="115" t="s">
        <v>62</v>
      </c>
      <c r="J34" s="115"/>
      <c r="K34" s="115"/>
      <c r="L34" s="115"/>
      <c r="M34" s="115">
        <v>39561974</v>
      </c>
      <c r="N34" s="113">
        <v>39561974</v>
      </c>
    </row>
    <row r="35" spans="1:14" x14ac:dyDescent="0.25">
      <c r="A35" s="114">
        <v>46158</v>
      </c>
      <c r="B35" s="115">
        <v>1</v>
      </c>
      <c r="C35" s="115"/>
      <c r="D35" s="115"/>
      <c r="E35" s="115" t="s">
        <v>1184</v>
      </c>
      <c r="F35" s="115" t="s">
        <v>1185</v>
      </c>
      <c r="G35" s="115">
        <v>17999</v>
      </c>
      <c r="H35" s="115">
        <f t="shared" ref="H35:H39" si="3">B35*G35</f>
        <v>17999</v>
      </c>
      <c r="I35" s="115" t="s">
        <v>62</v>
      </c>
      <c r="J35" s="115"/>
      <c r="K35" s="115"/>
      <c r="L35" s="115"/>
      <c r="M35" s="146" t="s">
        <v>1278</v>
      </c>
    </row>
    <row r="36" spans="1:14" x14ac:dyDescent="0.25">
      <c r="A36" s="114">
        <v>46158</v>
      </c>
      <c r="B36" s="115">
        <v>40</v>
      </c>
      <c r="C36" s="115"/>
      <c r="D36" s="115"/>
      <c r="E36" s="115" t="s">
        <v>1255</v>
      </c>
      <c r="F36" s="115" t="s">
        <v>291</v>
      </c>
      <c r="G36" s="115">
        <v>143</v>
      </c>
      <c r="H36" s="115">
        <f t="shared" si="3"/>
        <v>5720</v>
      </c>
      <c r="I36" s="115" t="s">
        <v>62</v>
      </c>
      <c r="J36" s="115"/>
      <c r="K36" s="115"/>
      <c r="L36" s="115"/>
      <c r="M36" s="115"/>
    </row>
    <row r="37" spans="1:14" x14ac:dyDescent="0.25">
      <c r="A37" s="114">
        <v>46158</v>
      </c>
      <c r="B37" s="115">
        <v>40</v>
      </c>
      <c r="C37" s="115"/>
      <c r="D37" s="115"/>
      <c r="E37" s="115" t="s">
        <v>1255</v>
      </c>
      <c r="F37" s="115" t="s">
        <v>291</v>
      </c>
      <c r="G37" s="115">
        <v>143</v>
      </c>
      <c r="H37" s="115">
        <f t="shared" si="3"/>
        <v>5720</v>
      </c>
      <c r="I37" s="115" t="s">
        <v>62</v>
      </c>
      <c r="J37" s="115"/>
      <c r="K37" s="115"/>
      <c r="L37" s="115"/>
      <c r="M37" s="115"/>
    </row>
    <row r="38" spans="1:14" x14ac:dyDescent="0.25">
      <c r="A38" s="114">
        <v>46160</v>
      </c>
      <c r="B38" s="115">
        <v>4</v>
      </c>
      <c r="C38" s="115"/>
      <c r="D38" s="115"/>
      <c r="E38" s="115" t="s">
        <v>1277</v>
      </c>
      <c r="F38" s="115" t="s">
        <v>635</v>
      </c>
      <c r="G38" s="115">
        <v>1579</v>
      </c>
      <c r="H38" s="115">
        <f t="shared" si="3"/>
        <v>6316</v>
      </c>
      <c r="I38" s="115" t="s">
        <v>62</v>
      </c>
      <c r="J38" s="115"/>
      <c r="K38" s="115"/>
      <c r="L38" s="115"/>
      <c r="M38" s="115">
        <v>39616641</v>
      </c>
    </row>
    <row r="39" spans="1:14" x14ac:dyDescent="0.25">
      <c r="A39" s="114">
        <v>46162</v>
      </c>
      <c r="B39" s="115">
        <v>8</v>
      </c>
      <c r="C39" s="115"/>
      <c r="D39" s="115"/>
      <c r="E39" s="115" t="s">
        <v>1255</v>
      </c>
      <c r="F39" s="115" t="s">
        <v>464</v>
      </c>
      <c r="G39" s="115">
        <v>143</v>
      </c>
      <c r="H39" s="115">
        <f t="shared" si="3"/>
        <v>1144</v>
      </c>
      <c r="I39" s="115" t="s">
        <v>62</v>
      </c>
      <c r="J39" s="115"/>
      <c r="K39" s="115"/>
      <c r="L39" s="115"/>
      <c r="M39" s="115"/>
    </row>
  </sheetData>
  <autoFilter ref="A1:Q39" xr:uid="{A3773250-4A62-4A14-9567-977AD05F8EDC}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FEC76-AD4F-420D-9C76-FA02ED20B4B9}">
  <dimension ref="A1:R68"/>
  <sheetViews>
    <sheetView topLeftCell="A49" workbookViewId="0">
      <selection activeCell="D55" sqref="D55"/>
    </sheetView>
  </sheetViews>
  <sheetFormatPr defaultRowHeight="15" x14ac:dyDescent="0.25"/>
  <cols>
    <col min="1" max="1" width="11.28515625" customWidth="1"/>
    <col min="2" max="2" width="4" bestFit="1" customWidth="1"/>
    <col min="3" max="3" width="33.140625" bestFit="1" customWidth="1"/>
    <col min="4" max="4" width="21.28515625" bestFit="1" customWidth="1"/>
    <col min="5" max="5" width="9" bestFit="1" customWidth="1"/>
    <col min="6" max="6" width="10" bestFit="1" customWidth="1"/>
    <col min="7" max="7" width="23.140625" bestFit="1" customWidth="1"/>
    <col min="8" max="8" width="7.85546875" bestFit="1" customWidth="1"/>
    <col min="9" max="9" width="12" bestFit="1" customWidth="1"/>
    <col min="10" max="10" width="8.28515625" bestFit="1" customWidth="1"/>
    <col min="11" max="11" width="13.28515625" bestFit="1" customWidth="1"/>
    <col min="13" max="13" width="10" bestFit="1" customWidth="1"/>
  </cols>
  <sheetData>
    <row r="1" spans="1:16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8" t="s">
        <v>1188</v>
      </c>
    </row>
    <row r="2" spans="1:16" x14ac:dyDescent="0.25">
      <c r="A2" s="68">
        <v>46127</v>
      </c>
      <c r="B2" s="2">
        <v>500</v>
      </c>
      <c r="C2" s="2" t="s">
        <v>664</v>
      </c>
      <c r="D2" s="2" t="s">
        <v>1176</v>
      </c>
      <c r="E2" s="65">
        <v>398</v>
      </c>
      <c r="F2" s="65">
        <f t="shared" ref="F2:F17" si="0">E2*B2</f>
        <v>199000</v>
      </c>
      <c r="G2" s="2" t="s">
        <v>1165</v>
      </c>
      <c r="H2" s="2" t="s">
        <v>1164</v>
      </c>
      <c r="I2" s="2"/>
      <c r="J2" s="2"/>
      <c r="M2" t="s">
        <v>809</v>
      </c>
      <c r="N2">
        <v>12</v>
      </c>
      <c r="O2">
        <v>8</v>
      </c>
      <c r="P2">
        <v>9</v>
      </c>
    </row>
    <row r="3" spans="1:16" x14ac:dyDescent="0.25">
      <c r="A3" s="68">
        <v>46127</v>
      </c>
      <c r="B3" s="2">
        <v>1</v>
      </c>
      <c r="C3" s="2" t="s">
        <v>296</v>
      </c>
      <c r="D3" s="2" t="s">
        <v>1176</v>
      </c>
      <c r="E3" s="65">
        <v>200</v>
      </c>
      <c r="F3" s="65">
        <v>200</v>
      </c>
      <c r="G3" s="2"/>
      <c r="H3" s="2"/>
      <c r="I3" s="2" t="s">
        <v>85</v>
      </c>
      <c r="J3" s="2"/>
      <c r="M3" t="s">
        <v>1201</v>
      </c>
      <c r="N3">
        <v>8</v>
      </c>
      <c r="O3">
        <v>8</v>
      </c>
      <c r="P3">
        <v>17</v>
      </c>
    </row>
    <row r="4" spans="1:16" x14ac:dyDescent="0.25">
      <c r="A4" s="68">
        <v>46129</v>
      </c>
      <c r="B4" s="2">
        <v>2</v>
      </c>
      <c r="C4" s="2" t="s">
        <v>1172</v>
      </c>
      <c r="D4" s="2" t="s">
        <v>809</v>
      </c>
      <c r="E4" s="65">
        <v>1199</v>
      </c>
      <c r="F4" s="65">
        <f t="shared" si="0"/>
        <v>2398</v>
      </c>
      <c r="G4" s="2" t="s">
        <v>8</v>
      </c>
      <c r="H4" s="2"/>
      <c r="I4" s="2"/>
      <c r="J4" s="2"/>
      <c r="M4" t="s">
        <v>1202</v>
      </c>
      <c r="N4">
        <v>2</v>
      </c>
      <c r="O4">
        <v>2</v>
      </c>
    </row>
    <row r="5" spans="1:16" x14ac:dyDescent="0.25">
      <c r="A5" s="68">
        <v>46129</v>
      </c>
      <c r="B5" s="2">
        <v>2</v>
      </c>
      <c r="C5" s="2" t="s">
        <v>1172</v>
      </c>
      <c r="D5" s="2" t="s">
        <v>1173</v>
      </c>
      <c r="E5" s="65">
        <v>1199</v>
      </c>
      <c r="F5" s="65">
        <f t="shared" si="0"/>
        <v>2398</v>
      </c>
      <c r="G5" s="2" t="s">
        <v>8</v>
      </c>
      <c r="H5" s="2"/>
      <c r="I5" s="2"/>
      <c r="J5" s="2"/>
    </row>
    <row r="6" spans="1:16" x14ac:dyDescent="0.25">
      <c r="A6" s="68">
        <v>46129</v>
      </c>
      <c r="B6" s="2">
        <v>3</v>
      </c>
      <c r="C6" s="2" t="s">
        <v>1172</v>
      </c>
      <c r="D6" s="2" t="s">
        <v>1173</v>
      </c>
      <c r="E6" s="65">
        <v>1199</v>
      </c>
      <c r="F6" s="65">
        <f t="shared" si="0"/>
        <v>3597</v>
      </c>
      <c r="G6" s="2" t="s">
        <v>8</v>
      </c>
      <c r="H6" s="2"/>
      <c r="I6" s="2"/>
      <c r="J6" s="2"/>
    </row>
    <row r="7" spans="1:16" x14ac:dyDescent="0.25">
      <c r="A7" s="68">
        <v>46129</v>
      </c>
      <c r="B7" s="2">
        <v>1</v>
      </c>
      <c r="C7" s="2" t="s">
        <v>1172</v>
      </c>
      <c r="D7" s="2" t="s">
        <v>1173</v>
      </c>
      <c r="E7" s="65">
        <v>750</v>
      </c>
      <c r="F7" s="65">
        <f t="shared" si="0"/>
        <v>750</v>
      </c>
      <c r="G7" s="2" t="s">
        <v>8</v>
      </c>
      <c r="H7" s="2"/>
      <c r="I7" s="2"/>
      <c r="J7" s="2"/>
    </row>
    <row r="8" spans="1:16" x14ac:dyDescent="0.25">
      <c r="A8" s="68">
        <v>46129</v>
      </c>
      <c r="B8" s="2">
        <v>1</v>
      </c>
      <c r="C8" s="2" t="s">
        <v>1174</v>
      </c>
      <c r="D8" s="2" t="s">
        <v>1175</v>
      </c>
      <c r="E8" s="65">
        <v>2350</v>
      </c>
      <c r="F8" s="65">
        <f t="shared" si="0"/>
        <v>2350</v>
      </c>
      <c r="G8" s="2" t="s">
        <v>622</v>
      </c>
      <c r="H8" s="2"/>
      <c r="I8" s="2" t="s">
        <v>85</v>
      </c>
      <c r="J8" s="2"/>
    </row>
    <row r="9" spans="1:16" x14ac:dyDescent="0.25">
      <c r="A9" s="114">
        <v>46120</v>
      </c>
      <c r="B9" s="115">
        <v>2</v>
      </c>
      <c r="C9" s="115" t="s">
        <v>969</v>
      </c>
      <c r="D9" s="115" t="s">
        <v>811</v>
      </c>
      <c r="E9" s="149">
        <v>2199</v>
      </c>
      <c r="F9" s="149">
        <f t="shared" si="0"/>
        <v>4398</v>
      </c>
      <c r="G9" s="115" t="s">
        <v>62</v>
      </c>
      <c r="H9" s="115"/>
      <c r="I9" s="115"/>
      <c r="J9" s="150">
        <v>0.1</v>
      </c>
    </row>
    <row r="10" spans="1:16" x14ac:dyDescent="0.25">
      <c r="A10" s="114">
        <v>46120</v>
      </c>
      <c r="B10" s="115">
        <v>2</v>
      </c>
      <c r="C10" s="115" t="s">
        <v>1095</v>
      </c>
      <c r="D10" s="115" t="s">
        <v>811</v>
      </c>
      <c r="E10" s="149">
        <v>2199</v>
      </c>
      <c r="F10" s="149">
        <f t="shared" si="0"/>
        <v>4398</v>
      </c>
      <c r="G10" s="115" t="s">
        <v>62</v>
      </c>
      <c r="H10" s="115"/>
      <c r="I10" s="115"/>
      <c r="J10" s="150">
        <v>0.1</v>
      </c>
    </row>
    <row r="11" spans="1:16" x14ac:dyDescent="0.25">
      <c r="A11" s="68">
        <v>46120</v>
      </c>
      <c r="B11" s="2">
        <v>4</v>
      </c>
      <c r="C11" s="2" t="s">
        <v>1027</v>
      </c>
      <c r="D11" s="2" t="s">
        <v>857</v>
      </c>
      <c r="E11" s="65">
        <v>25</v>
      </c>
      <c r="F11" s="65">
        <f t="shared" si="0"/>
        <v>100</v>
      </c>
      <c r="G11" s="2" t="s">
        <v>622</v>
      </c>
      <c r="H11" s="2"/>
      <c r="I11" s="2" t="s">
        <v>85</v>
      </c>
      <c r="J11" s="2"/>
    </row>
    <row r="12" spans="1:16" x14ac:dyDescent="0.25">
      <c r="A12" s="68">
        <v>46130</v>
      </c>
      <c r="B12" s="2">
        <v>4</v>
      </c>
      <c r="C12" s="2" t="s">
        <v>1172</v>
      </c>
      <c r="D12" s="2" t="s">
        <v>1207</v>
      </c>
      <c r="E12" s="65">
        <v>1199</v>
      </c>
      <c r="F12" s="65">
        <f t="shared" si="0"/>
        <v>4796</v>
      </c>
      <c r="G12" s="2" t="s">
        <v>348</v>
      </c>
      <c r="H12" s="2"/>
      <c r="I12" s="2" t="s">
        <v>1183</v>
      </c>
      <c r="J12" s="2"/>
    </row>
    <row r="13" spans="1:16" x14ac:dyDescent="0.25">
      <c r="A13" s="68">
        <v>46119</v>
      </c>
      <c r="B13" s="2">
        <v>40</v>
      </c>
      <c r="C13" s="2" t="s">
        <v>1177</v>
      </c>
      <c r="D13" s="2" t="s">
        <v>811</v>
      </c>
      <c r="E13" s="65">
        <v>2199</v>
      </c>
      <c r="F13" s="65">
        <f t="shared" si="0"/>
        <v>87960</v>
      </c>
      <c r="G13" s="2" t="s">
        <v>1181</v>
      </c>
      <c r="H13" s="2"/>
      <c r="I13" s="2" t="s">
        <v>981</v>
      </c>
      <c r="J13" s="107">
        <v>0.1</v>
      </c>
    </row>
    <row r="14" spans="1:16" x14ac:dyDescent="0.25">
      <c r="A14" s="68">
        <v>46119</v>
      </c>
      <c r="B14" s="2">
        <v>6</v>
      </c>
      <c r="C14" s="2" t="s">
        <v>1178</v>
      </c>
      <c r="D14" s="2" t="s">
        <v>811</v>
      </c>
      <c r="E14" s="65">
        <v>689</v>
      </c>
      <c r="F14" s="65">
        <f t="shared" si="0"/>
        <v>4134</v>
      </c>
      <c r="G14" s="2" t="s">
        <v>1181</v>
      </c>
      <c r="H14" s="2"/>
      <c r="I14" s="2" t="s">
        <v>981</v>
      </c>
      <c r="J14" s="107">
        <v>0.1</v>
      </c>
    </row>
    <row r="15" spans="1:16" x14ac:dyDescent="0.25">
      <c r="A15" s="68">
        <v>46119</v>
      </c>
      <c r="B15" s="2">
        <v>7</v>
      </c>
      <c r="C15" s="2" t="s">
        <v>664</v>
      </c>
      <c r="D15" s="2" t="s">
        <v>811</v>
      </c>
      <c r="E15" s="65">
        <v>398</v>
      </c>
      <c r="F15" s="65">
        <f t="shared" si="0"/>
        <v>2786</v>
      </c>
      <c r="G15" s="2" t="s">
        <v>1181</v>
      </c>
      <c r="H15" s="2"/>
      <c r="I15" s="2" t="s">
        <v>981</v>
      </c>
      <c r="J15" s="107">
        <v>0.1</v>
      </c>
    </row>
    <row r="16" spans="1:16" x14ac:dyDescent="0.25">
      <c r="A16" s="68">
        <v>46119</v>
      </c>
      <c r="B16" s="2">
        <v>60</v>
      </c>
      <c r="C16" s="2" t="s">
        <v>664</v>
      </c>
      <c r="D16" s="2" t="s">
        <v>1179</v>
      </c>
      <c r="E16" s="65">
        <v>398</v>
      </c>
      <c r="F16" s="65">
        <f t="shared" si="0"/>
        <v>23880</v>
      </c>
      <c r="G16" s="2" t="s">
        <v>1181</v>
      </c>
      <c r="H16" s="2"/>
      <c r="I16" s="2" t="s">
        <v>981</v>
      </c>
      <c r="J16" s="107"/>
    </row>
    <row r="17" spans="1:18" x14ac:dyDescent="0.25">
      <c r="A17" s="68">
        <v>46130</v>
      </c>
      <c r="B17" s="2">
        <v>4</v>
      </c>
      <c r="C17" s="2" t="s">
        <v>1172</v>
      </c>
      <c r="D17" s="2" t="s">
        <v>1180</v>
      </c>
      <c r="E17" s="3">
        <v>1199</v>
      </c>
      <c r="F17" s="3">
        <f t="shared" si="0"/>
        <v>4796</v>
      </c>
      <c r="G17" s="2" t="s">
        <v>348</v>
      </c>
      <c r="H17" s="2"/>
      <c r="I17" s="2" t="s">
        <v>1183</v>
      </c>
      <c r="J17" s="107"/>
    </row>
    <row r="18" spans="1:18" x14ac:dyDescent="0.25">
      <c r="A18" s="68">
        <v>46132</v>
      </c>
      <c r="B18" s="2">
        <v>4</v>
      </c>
      <c r="C18" s="2" t="s">
        <v>1172</v>
      </c>
      <c r="D18" s="2" t="s">
        <v>1207</v>
      </c>
      <c r="E18" s="3">
        <v>1199</v>
      </c>
      <c r="F18" s="3">
        <f t="shared" ref="F18:F66" si="1">E18*B18</f>
        <v>4796</v>
      </c>
      <c r="G18" s="2" t="s">
        <v>348</v>
      </c>
      <c r="H18" s="2"/>
      <c r="I18" s="2" t="s">
        <v>1182</v>
      </c>
      <c r="J18" s="2"/>
    </row>
    <row r="19" spans="1:18" x14ac:dyDescent="0.25">
      <c r="A19" s="68">
        <v>46132</v>
      </c>
      <c r="B19" s="2">
        <v>2</v>
      </c>
      <c r="C19" s="2" t="s">
        <v>1172</v>
      </c>
      <c r="D19" s="2" t="s">
        <v>1180</v>
      </c>
      <c r="E19" s="3">
        <v>1199</v>
      </c>
      <c r="F19" s="3">
        <f t="shared" si="1"/>
        <v>2398</v>
      </c>
      <c r="G19" s="2" t="s">
        <v>348</v>
      </c>
      <c r="H19" s="2"/>
      <c r="I19" s="2" t="s">
        <v>1183</v>
      </c>
      <c r="J19" s="2"/>
      <c r="K19" s="108" t="s">
        <v>1187</v>
      </c>
    </row>
    <row r="20" spans="1:18" x14ac:dyDescent="0.25">
      <c r="A20" s="68">
        <v>46132</v>
      </c>
      <c r="B20" s="2">
        <v>4</v>
      </c>
      <c r="C20" s="2" t="s">
        <v>1172</v>
      </c>
      <c r="D20" s="2" t="s">
        <v>1180</v>
      </c>
      <c r="E20" s="3">
        <v>1199</v>
      </c>
      <c r="F20" s="3">
        <f t="shared" si="1"/>
        <v>4796</v>
      </c>
      <c r="G20" s="2" t="s">
        <v>62</v>
      </c>
      <c r="H20" s="2"/>
      <c r="I20" s="2" t="s">
        <v>1183</v>
      </c>
      <c r="J20" s="2"/>
      <c r="K20" s="108" t="s">
        <v>1189</v>
      </c>
    </row>
    <row r="21" spans="1:18" x14ac:dyDescent="0.25">
      <c r="A21" s="68">
        <v>46132</v>
      </c>
      <c r="B21" s="2">
        <v>1</v>
      </c>
      <c r="C21" s="2" t="s">
        <v>542</v>
      </c>
      <c r="D21" s="2" t="s">
        <v>1159</v>
      </c>
      <c r="E21" s="3">
        <v>3561.82</v>
      </c>
      <c r="F21" s="3">
        <f t="shared" si="1"/>
        <v>3561.82</v>
      </c>
      <c r="G21" s="2" t="s">
        <v>622</v>
      </c>
      <c r="H21" s="2"/>
      <c r="I21" s="2" t="s">
        <v>85</v>
      </c>
      <c r="J21" s="2"/>
    </row>
    <row r="22" spans="1:18" x14ac:dyDescent="0.25">
      <c r="A22" s="68">
        <v>46132</v>
      </c>
      <c r="B22" s="2">
        <v>1</v>
      </c>
      <c r="C22" s="2" t="s">
        <v>542</v>
      </c>
      <c r="D22" s="2" t="s">
        <v>1159</v>
      </c>
      <c r="E22" s="3">
        <v>6194.93</v>
      </c>
      <c r="F22" s="3">
        <f t="shared" si="1"/>
        <v>6194.93</v>
      </c>
      <c r="G22" s="2" t="s">
        <v>622</v>
      </c>
      <c r="H22" s="2"/>
      <c r="I22" s="2" t="s">
        <v>85</v>
      </c>
      <c r="J22" s="2"/>
    </row>
    <row r="23" spans="1:18" x14ac:dyDescent="0.25">
      <c r="A23" s="68">
        <v>46133</v>
      </c>
      <c r="B23" s="2">
        <v>1</v>
      </c>
      <c r="C23" s="2" t="s">
        <v>1192</v>
      </c>
      <c r="D23" s="2" t="s">
        <v>1193</v>
      </c>
      <c r="E23" s="3">
        <v>500</v>
      </c>
      <c r="F23" s="3">
        <v>500</v>
      </c>
      <c r="G23" s="2" t="s">
        <v>1194</v>
      </c>
      <c r="H23" s="2"/>
      <c r="I23" s="2" t="s">
        <v>1183</v>
      </c>
      <c r="J23" s="2"/>
    </row>
    <row r="24" spans="1:18" x14ac:dyDescent="0.25">
      <c r="A24" s="68">
        <v>46133</v>
      </c>
      <c r="B24" s="2">
        <v>2</v>
      </c>
      <c r="C24" s="2" t="s">
        <v>1172</v>
      </c>
      <c r="D24" s="2" t="s">
        <v>1191</v>
      </c>
      <c r="E24" s="3">
        <v>1249</v>
      </c>
      <c r="F24" s="3">
        <f t="shared" si="1"/>
        <v>2498</v>
      </c>
      <c r="G24" s="2" t="s">
        <v>8</v>
      </c>
      <c r="H24" s="2"/>
      <c r="I24" s="2" t="s">
        <v>1182</v>
      </c>
      <c r="J24" s="68">
        <v>46140</v>
      </c>
      <c r="K24" s="109" t="s">
        <v>1190</v>
      </c>
    </row>
    <row r="25" spans="1:18" x14ac:dyDescent="0.25">
      <c r="A25" s="68">
        <v>46134</v>
      </c>
      <c r="B25" s="2">
        <v>2</v>
      </c>
      <c r="C25" s="2" t="s">
        <v>1172</v>
      </c>
      <c r="D25" s="2" t="s">
        <v>1180</v>
      </c>
      <c r="E25" s="3">
        <v>1199</v>
      </c>
      <c r="F25" s="3">
        <f t="shared" si="1"/>
        <v>2398</v>
      </c>
      <c r="G25" s="2" t="s">
        <v>348</v>
      </c>
      <c r="H25" s="2"/>
      <c r="I25" s="2" t="s">
        <v>1183</v>
      </c>
      <c r="J25" s="2"/>
      <c r="K25" s="110" t="s">
        <v>1195</v>
      </c>
    </row>
    <row r="26" spans="1:18" x14ac:dyDescent="0.25">
      <c r="A26" s="68">
        <v>46133</v>
      </c>
      <c r="B26" s="2">
        <v>10</v>
      </c>
      <c r="C26" s="2" t="s">
        <v>1172</v>
      </c>
      <c r="D26" s="2" t="s">
        <v>1230</v>
      </c>
      <c r="E26" s="3">
        <v>999</v>
      </c>
      <c r="F26" s="3">
        <f t="shared" si="1"/>
        <v>9990</v>
      </c>
      <c r="G26" s="2" t="s">
        <v>8</v>
      </c>
      <c r="H26" s="2"/>
      <c r="I26" s="2"/>
      <c r="J26" s="2"/>
      <c r="O26" t="s">
        <v>1243</v>
      </c>
      <c r="P26">
        <v>50</v>
      </c>
      <c r="Q26">
        <v>38</v>
      </c>
      <c r="R26">
        <v>38</v>
      </c>
    </row>
    <row r="27" spans="1:18" x14ac:dyDescent="0.25">
      <c r="A27" s="68">
        <v>46136</v>
      </c>
      <c r="B27" s="2">
        <v>32</v>
      </c>
      <c r="C27" s="2" t="s">
        <v>664</v>
      </c>
      <c r="D27" s="2" t="s">
        <v>1196</v>
      </c>
      <c r="E27" s="3">
        <v>398</v>
      </c>
      <c r="F27" s="3">
        <f t="shared" si="1"/>
        <v>12736</v>
      </c>
      <c r="G27" s="2" t="s">
        <v>8</v>
      </c>
      <c r="H27" s="2"/>
      <c r="I27" s="2"/>
      <c r="J27" s="2"/>
    </row>
    <row r="28" spans="1:18" x14ac:dyDescent="0.25">
      <c r="A28" s="68">
        <v>46136</v>
      </c>
      <c r="B28" s="2"/>
      <c r="C28" s="2" t="s">
        <v>664</v>
      </c>
      <c r="D28" s="2" t="s">
        <v>879</v>
      </c>
      <c r="E28" s="3">
        <v>398</v>
      </c>
      <c r="F28" s="3">
        <v>6500</v>
      </c>
      <c r="G28" s="2" t="s">
        <v>1194</v>
      </c>
      <c r="H28" s="2"/>
      <c r="I28" s="2" t="s">
        <v>1220</v>
      </c>
      <c r="J28" s="2"/>
    </row>
    <row r="29" spans="1:18" x14ac:dyDescent="0.25">
      <c r="A29" s="68">
        <v>46136</v>
      </c>
      <c r="B29" s="2">
        <v>1</v>
      </c>
      <c r="C29" s="2" t="s">
        <v>1197</v>
      </c>
      <c r="D29" s="2" t="s">
        <v>1198</v>
      </c>
      <c r="E29" s="3">
        <v>405</v>
      </c>
      <c r="F29" s="3">
        <f t="shared" si="1"/>
        <v>405</v>
      </c>
      <c r="G29" s="2"/>
      <c r="H29" s="2"/>
      <c r="I29" s="2" t="s">
        <v>85</v>
      </c>
      <c r="J29" s="2"/>
    </row>
    <row r="30" spans="1:18" x14ac:dyDescent="0.25">
      <c r="A30" s="68">
        <v>46137</v>
      </c>
      <c r="B30" s="2">
        <v>4</v>
      </c>
      <c r="C30" s="2" t="s">
        <v>664</v>
      </c>
      <c r="D30" s="2" t="s">
        <v>846</v>
      </c>
      <c r="E30" s="3">
        <v>398</v>
      </c>
      <c r="F30" s="3">
        <f t="shared" si="1"/>
        <v>1592</v>
      </c>
      <c r="G30" s="2" t="s">
        <v>8</v>
      </c>
      <c r="H30" s="2"/>
      <c r="I30" s="2"/>
      <c r="J30" s="2"/>
    </row>
    <row r="31" spans="1:18" x14ac:dyDescent="0.25">
      <c r="A31" s="114">
        <v>46138</v>
      </c>
      <c r="B31" s="115">
        <v>2</v>
      </c>
      <c r="C31" s="115" t="s">
        <v>1172</v>
      </c>
      <c r="D31" s="115" t="s">
        <v>1180</v>
      </c>
      <c r="E31" s="116">
        <v>1199</v>
      </c>
      <c r="F31" s="116">
        <f t="shared" si="1"/>
        <v>2398</v>
      </c>
      <c r="G31" s="115" t="s">
        <v>62</v>
      </c>
      <c r="H31" s="115"/>
      <c r="I31" s="115" t="s">
        <v>1183</v>
      </c>
      <c r="J31" s="115"/>
      <c r="K31" s="151" t="s">
        <v>1203</v>
      </c>
      <c r="L31" s="111" t="s">
        <v>1205</v>
      </c>
      <c r="O31" t="s">
        <v>1244</v>
      </c>
      <c r="P31">
        <v>14</v>
      </c>
      <c r="Q31">
        <v>22</v>
      </c>
      <c r="R31">
        <v>8</v>
      </c>
    </row>
    <row r="32" spans="1:18" x14ac:dyDescent="0.25">
      <c r="A32" s="114">
        <v>46138</v>
      </c>
      <c r="B32" s="115">
        <v>2</v>
      </c>
      <c r="C32" s="115" t="s">
        <v>1172</v>
      </c>
      <c r="D32" s="115" t="s">
        <v>1180</v>
      </c>
      <c r="E32" s="116">
        <v>1199</v>
      </c>
      <c r="F32" s="116">
        <f t="shared" si="1"/>
        <v>2398</v>
      </c>
      <c r="G32" s="115" t="s">
        <v>62</v>
      </c>
      <c r="H32" s="115"/>
      <c r="I32" s="115" t="s">
        <v>1183</v>
      </c>
      <c r="J32" s="115"/>
      <c r="K32" s="151" t="s">
        <v>1204</v>
      </c>
      <c r="L32" s="111" t="s">
        <v>1205</v>
      </c>
      <c r="O32" t="s">
        <v>1245</v>
      </c>
      <c r="P32">
        <v>2</v>
      </c>
    </row>
    <row r="33" spans="1:16" x14ac:dyDescent="0.25">
      <c r="A33" s="114">
        <v>46138</v>
      </c>
      <c r="B33" s="115">
        <v>2</v>
      </c>
      <c r="C33" s="115" t="s">
        <v>1172</v>
      </c>
      <c r="D33" s="115" t="s">
        <v>1180</v>
      </c>
      <c r="E33" s="116">
        <v>1199</v>
      </c>
      <c r="F33" s="116">
        <f t="shared" si="1"/>
        <v>2398</v>
      </c>
      <c r="G33" s="115" t="s">
        <v>62</v>
      </c>
      <c r="H33" s="115"/>
      <c r="I33" s="115" t="s">
        <v>1183</v>
      </c>
      <c r="J33" s="115"/>
      <c r="K33" s="151" t="s">
        <v>1206</v>
      </c>
      <c r="P33">
        <v>32</v>
      </c>
    </row>
    <row r="34" spans="1:16" x14ac:dyDescent="0.25">
      <c r="A34" s="68">
        <v>46138</v>
      </c>
      <c r="B34" s="2">
        <v>2</v>
      </c>
      <c r="C34" s="2" t="s">
        <v>1172</v>
      </c>
      <c r="D34" s="2" t="s">
        <v>1207</v>
      </c>
      <c r="E34" s="3">
        <v>1199</v>
      </c>
      <c r="F34" s="3">
        <f t="shared" si="1"/>
        <v>2398</v>
      </c>
      <c r="G34" s="2" t="s">
        <v>348</v>
      </c>
      <c r="H34" s="2"/>
      <c r="I34" s="2" t="s">
        <v>1183</v>
      </c>
      <c r="J34" s="2"/>
      <c r="K34" s="112">
        <v>1429940666</v>
      </c>
    </row>
    <row r="35" spans="1:16" x14ac:dyDescent="0.25">
      <c r="A35" s="68">
        <v>46138</v>
      </c>
      <c r="B35" s="2">
        <v>2</v>
      </c>
      <c r="C35" s="2" t="s">
        <v>1172</v>
      </c>
      <c r="D35" s="2" t="s">
        <v>1207</v>
      </c>
      <c r="E35" s="3">
        <v>1199</v>
      </c>
      <c r="F35" s="3">
        <f t="shared" si="1"/>
        <v>2398</v>
      </c>
      <c r="G35" s="2" t="s">
        <v>348</v>
      </c>
      <c r="H35" s="2"/>
      <c r="I35" s="2" t="s">
        <v>1182</v>
      </c>
      <c r="J35" s="2"/>
      <c r="K35" s="112" t="s">
        <v>1208</v>
      </c>
    </row>
    <row r="36" spans="1:16" x14ac:dyDescent="0.25">
      <c r="A36" s="124">
        <v>46138</v>
      </c>
      <c r="B36" s="125">
        <v>2</v>
      </c>
      <c r="C36" s="125" t="s">
        <v>1172</v>
      </c>
      <c r="D36" s="125" t="s">
        <v>1207</v>
      </c>
      <c r="E36" s="126">
        <v>1199</v>
      </c>
      <c r="F36" s="126">
        <f t="shared" si="1"/>
        <v>2398</v>
      </c>
      <c r="G36" s="125" t="s">
        <v>62</v>
      </c>
      <c r="H36" s="125"/>
      <c r="I36" s="125" t="s">
        <v>1182</v>
      </c>
      <c r="J36" s="125"/>
      <c r="K36" s="152">
        <v>1429956430</v>
      </c>
    </row>
    <row r="37" spans="1:16" x14ac:dyDescent="0.25">
      <c r="A37" s="114">
        <v>46138</v>
      </c>
      <c r="B37" s="115">
        <v>2</v>
      </c>
      <c r="C37" s="115" t="s">
        <v>1172</v>
      </c>
      <c r="D37" s="115" t="s">
        <v>1207</v>
      </c>
      <c r="E37" s="116">
        <v>1199</v>
      </c>
      <c r="F37" s="116">
        <f t="shared" si="1"/>
        <v>2398</v>
      </c>
      <c r="G37" s="115" t="s">
        <v>62</v>
      </c>
      <c r="H37" s="115"/>
      <c r="I37" s="115" t="s">
        <v>1182</v>
      </c>
      <c r="J37" s="115"/>
      <c r="K37" s="153">
        <v>1429956552</v>
      </c>
      <c r="L37" s="2"/>
    </row>
    <row r="38" spans="1:16" x14ac:dyDescent="0.25">
      <c r="A38" s="114">
        <v>46138</v>
      </c>
      <c r="B38" s="115">
        <v>2</v>
      </c>
      <c r="C38" s="115" t="s">
        <v>1172</v>
      </c>
      <c r="D38" s="115" t="s">
        <v>1180</v>
      </c>
      <c r="E38" s="116">
        <v>1199</v>
      </c>
      <c r="F38" s="116">
        <f t="shared" si="1"/>
        <v>2398</v>
      </c>
      <c r="G38" s="115" t="s">
        <v>62</v>
      </c>
      <c r="H38" s="115"/>
      <c r="I38" s="115" t="s">
        <v>1183</v>
      </c>
      <c r="J38" s="115"/>
      <c r="K38" s="154" t="s">
        <v>1209</v>
      </c>
      <c r="L38" s="2"/>
    </row>
    <row r="39" spans="1:16" x14ac:dyDescent="0.25">
      <c r="A39" s="68">
        <v>46138</v>
      </c>
      <c r="B39" s="2">
        <v>5</v>
      </c>
      <c r="C39" s="2" t="s">
        <v>664</v>
      </c>
      <c r="D39" s="2" t="s">
        <v>1210</v>
      </c>
      <c r="E39" s="3">
        <v>398</v>
      </c>
      <c r="F39" s="3">
        <f t="shared" si="1"/>
        <v>1990</v>
      </c>
      <c r="G39" s="2" t="s">
        <v>8</v>
      </c>
      <c r="H39" s="2"/>
      <c r="I39" s="2"/>
      <c r="J39" s="2"/>
      <c r="K39" s="2"/>
      <c r="L39" s="2"/>
    </row>
    <row r="40" spans="1:16" x14ac:dyDescent="0.25">
      <c r="A40" s="68">
        <v>46138</v>
      </c>
      <c r="B40" s="2">
        <v>2</v>
      </c>
      <c r="C40" s="2" t="s">
        <v>1211</v>
      </c>
      <c r="D40" s="2" t="s">
        <v>101</v>
      </c>
      <c r="E40" s="3">
        <v>2199</v>
      </c>
      <c r="F40" s="3">
        <f t="shared" si="1"/>
        <v>4398</v>
      </c>
      <c r="G40" s="2" t="s">
        <v>8</v>
      </c>
      <c r="H40" s="2"/>
      <c r="I40" s="2" t="s">
        <v>115</v>
      </c>
      <c r="J40" s="2"/>
      <c r="K40" s="2"/>
      <c r="L40" s="2"/>
    </row>
    <row r="41" spans="1:16" x14ac:dyDescent="0.25">
      <c r="A41" s="68">
        <v>46138</v>
      </c>
      <c r="B41" s="2">
        <v>2</v>
      </c>
      <c r="C41" s="2" t="s">
        <v>1212</v>
      </c>
      <c r="D41" s="2" t="s">
        <v>101</v>
      </c>
      <c r="E41" s="3">
        <v>2199</v>
      </c>
      <c r="F41" s="3">
        <f t="shared" si="1"/>
        <v>4398</v>
      </c>
      <c r="G41" s="2" t="s">
        <v>8</v>
      </c>
      <c r="H41" s="2"/>
      <c r="I41" s="2" t="s">
        <v>115</v>
      </c>
      <c r="J41" s="2"/>
      <c r="K41" s="2"/>
      <c r="L41" s="2"/>
    </row>
    <row r="42" spans="1:16" x14ac:dyDescent="0.25">
      <c r="A42" s="68">
        <v>46138</v>
      </c>
      <c r="B42" s="2">
        <v>1</v>
      </c>
      <c r="C42" s="2" t="s">
        <v>664</v>
      </c>
      <c r="D42" s="2" t="s">
        <v>101</v>
      </c>
      <c r="E42" s="3">
        <v>399</v>
      </c>
      <c r="F42" s="3">
        <f t="shared" si="1"/>
        <v>399</v>
      </c>
      <c r="G42" s="2" t="s">
        <v>8</v>
      </c>
      <c r="H42" s="2"/>
      <c r="I42" s="2" t="s">
        <v>115</v>
      </c>
      <c r="J42" s="2"/>
      <c r="K42" s="2"/>
      <c r="L42" s="2"/>
    </row>
    <row r="43" spans="1:16" x14ac:dyDescent="0.25">
      <c r="A43" s="68">
        <v>46138</v>
      </c>
      <c r="B43" s="2">
        <v>1</v>
      </c>
      <c r="C43" s="2" t="s">
        <v>1213</v>
      </c>
      <c r="D43" s="2" t="s">
        <v>101</v>
      </c>
      <c r="E43" s="3">
        <v>1400</v>
      </c>
      <c r="F43" s="3">
        <f t="shared" si="1"/>
        <v>1400</v>
      </c>
      <c r="G43" s="2" t="s">
        <v>8</v>
      </c>
      <c r="H43" s="2"/>
      <c r="I43" s="2" t="s">
        <v>115</v>
      </c>
      <c r="J43" s="2"/>
      <c r="K43" s="2"/>
      <c r="L43" s="2"/>
    </row>
    <row r="44" spans="1:16" x14ac:dyDescent="0.25">
      <c r="A44" s="68">
        <v>46138</v>
      </c>
      <c r="B44" s="2">
        <v>1</v>
      </c>
      <c r="C44" s="2" t="s">
        <v>1214</v>
      </c>
      <c r="D44" s="2" t="s">
        <v>101</v>
      </c>
      <c r="E44" s="3">
        <v>675.79</v>
      </c>
      <c r="F44" s="3">
        <f t="shared" si="1"/>
        <v>675.79</v>
      </c>
      <c r="G44" s="2" t="s">
        <v>8</v>
      </c>
      <c r="H44" s="2"/>
      <c r="I44" s="2" t="s">
        <v>115</v>
      </c>
      <c r="J44" s="2"/>
      <c r="K44" s="2"/>
      <c r="L44" s="2"/>
    </row>
    <row r="45" spans="1:16" x14ac:dyDescent="0.25">
      <c r="A45" s="68">
        <v>46139</v>
      </c>
      <c r="B45" s="2">
        <v>2</v>
      </c>
      <c r="C45" s="2" t="s">
        <v>1212</v>
      </c>
      <c r="D45" s="2" t="s">
        <v>101</v>
      </c>
      <c r="E45" s="3">
        <v>2199</v>
      </c>
      <c r="F45" s="3">
        <f t="shared" si="1"/>
        <v>4398</v>
      </c>
      <c r="G45" s="2" t="s">
        <v>8</v>
      </c>
      <c r="H45" s="2"/>
      <c r="I45" s="2" t="s">
        <v>115</v>
      </c>
      <c r="J45" s="2"/>
      <c r="K45" s="2"/>
      <c r="L45" s="2"/>
    </row>
    <row r="46" spans="1:16" x14ac:dyDescent="0.25">
      <c r="A46" s="68">
        <v>46139</v>
      </c>
      <c r="B46" s="2">
        <v>1</v>
      </c>
      <c r="C46" s="2" t="s">
        <v>1214</v>
      </c>
      <c r="D46" s="2" t="s">
        <v>101</v>
      </c>
      <c r="E46" s="3">
        <v>689</v>
      </c>
      <c r="F46" s="3">
        <f t="shared" si="1"/>
        <v>689</v>
      </c>
      <c r="G46" s="2" t="s">
        <v>8</v>
      </c>
      <c r="H46" s="2"/>
      <c r="I46" s="2" t="s">
        <v>115</v>
      </c>
      <c r="J46" s="2"/>
      <c r="K46" s="2"/>
      <c r="L46" s="2"/>
    </row>
    <row r="47" spans="1:16" x14ac:dyDescent="0.25">
      <c r="A47" s="68">
        <v>46139</v>
      </c>
      <c r="B47" s="2">
        <v>1</v>
      </c>
      <c r="C47" s="2" t="s">
        <v>1218</v>
      </c>
      <c r="D47" s="2" t="s">
        <v>101</v>
      </c>
      <c r="E47" s="3">
        <v>4500</v>
      </c>
      <c r="F47" s="3">
        <f t="shared" si="1"/>
        <v>4500</v>
      </c>
      <c r="G47" s="2" t="s">
        <v>8</v>
      </c>
      <c r="H47" s="2"/>
      <c r="I47" s="2" t="s">
        <v>115</v>
      </c>
      <c r="J47" s="2"/>
      <c r="K47" s="2"/>
      <c r="L47" s="2"/>
    </row>
    <row r="48" spans="1:16" x14ac:dyDescent="0.25">
      <c r="A48" s="68">
        <v>46139</v>
      </c>
      <c r="B48" s="2">
        <v>1</v>
      </c>
      <c r="C48" s="2" t="s">
        <v>664</v>
      </c>
      <c r="D48" s="2" t="s">
        <v>101</v>
      </c>
      <c r="E48" s="3">
        <v>299</v>
      </c>
      <c r="F48" s="3">
        <f t="shared" si="1"/>
        <v>299</v>
      </c>
      <c r="G48" s="2" t="s">
        <v>8</v>
      </c>
      <c r="H48" s="2"/>
      <c r="I48" s="2" t="s">
        <v>115</v>
      </c>
      <c r="J48" s="2"/>
      <c r="K48" s="2"/>
      <c r="L48" s="2"/>
    </row>
    <row r="49" spans="1:12" x14ac:dyDescent="0.25">
      <c r="A49" s="68">
        <v>46139</v>
      </c>
      <c r="B49" s="2">
        <v>11</v>
      </c>
      <c r="C49" s="2" t="s">
        <v>697</v>
      </c>
      <c r="D49" s="2" t="s">
        <v>101</v>
      </c>
      <c r="E49" s="3">
        <v>125</v>
      </c>
      <c r="F49" s="3">
        <f t="shared" si="1"/>
        <v>1375</v>
      </c>
      <c r="G49" s="2" t="s">
        <v>8</v>
      </c>
      <c r="H49" s="2"/>
      <c r="I49" s="2" t="s">
        <v>115</v>
      </c>
      <c r="J49" s="2"/>
      <c r="K49" s="2"/>
      <c r="L49" s="2"/>
    </row>
    <row r="50" spans="1:12" x14ac:dyDescent="0.25">
      <c r="A50" s="68">
        <v>46139</v>
      </c>
      <c r="B50" s="2">
        <v>2</v>
      </c>
      <c r="C50" s="2" t="s">
        <v>1215</v>
      </c>
      <c r="D50" s="2" t="s">
        <v>101</v>
      </c>
      <c r="E50" s="3">
        <v>2199</v>
      </c>
      <c r="F50" s="3">
        <f t="shared" si="1"/>
        <v>4398</v>
      </c>
      <c r="G50" s="2" t="s">
        <v>1216</v>
      </c>
      <c r="H50" s="2"/>
      <c r="I50" s="2" t="s">
        <v>115</v>
      </c>
      <c r="J50" s="2"/>
      <c r="K50" s="2"/>
      <c r="L50" s="2"/>
    </row>
    <row r="51" spans="1:12" x14ac:dyDescent="0.25">
      <c r="A51" s="68">
        <v>46139</v>
      </c>
      <c r="B51" s="2">
        <v>1</v>
      </c>
      <c r="C51" s="2" t="s">
        <v>1217</v>
      </c>
      <c r="D51" s="2" t="s">
        <v>101</v>
      </c>
      <c r="E51" s="3">
        <v>3440</v>
      </c>
      <c r="F51" s="3">
        <f t="shared" si="1"/>
        <v>3440</v>
      </c>
      <c r="G51" s="2" t="s">
        <v>8</v>
      </c>
      <c r="H51" s="2"/>
      <c r="I51" s="2" t="s">
        <v>115</v>
      </c>
      <c r="J51" s="2"/>
      <c r="K51" s="2"/>
      <c r="L51" s="2"/>
    </row>
    <row r="52" spans="1:12" x14ac:dyDescent="0.25">
      <c r="A52" s="68">
        <v>46139</v>
      </c>
      <c r="B52" s="2">
        <v>1</v>
      </c>
      <c r="C52" s="2" t="s">
        <v>1214</v>
      </c>
      <c r="D52" s="2" t="s">
        <v>101</v>
      </c>
      <c r="E52" s="3">
        <v>689</v>
      </c>
      <c r="F52" s="3">
        <f t="shared" si="1"/>
        <v>689</v>
      </c>
      <c r="G52" s="2" t="s">
        <v>8</v>
      </c>
      <c r="H52" s="2"/>
      <c r="I52" s="2" t="s">
        <v>115</v>
      </c>
      <c r="J52" s="2"/>
      <c r="K52" s="2"/>
      <c r="L52" s="2"/>
    </row>
    <row r="53" spans="1:12" x14ac:dyDescent="0.25">
      <c r="A53" s="68">
        <v>46139</v>
      </c>
      <c r="B53" s="2">
        <v>2</v>
      </c>
      <c r="C53" s="2" t="s">
        <v>1215</v>
      </c>
      <c r="D53" s="2" t="s">
        <v>101</v>
      </c>
      <c r="E53" s="3">
        <v>2199</v>
      </c>
      <c r="F53" s="3">
        <f t="shared" si="1"/>
        <v>4398</v>
      </c>
      <c r="G53" s="2" t="s">
        <v>694</v>
      </c>
      <c r="H53" s="2"/>
      <c r="I53" s="2" t="s">
        <v>115</v>
      </c>
      <c r="J53" s="2"/>
      <c r="K53" s="2"/>
      <c r="L53" s="2"/>
    </row>
    <row r="54" spans="1:12" x14ac:dyDescent="0.25">
      <c r="A54" s="68">
        <v>46139</v>
      </c>
      <c r="B54" s="2">
        <v>1</v>
      </c>
      <c r="C54" s="2" t="s">
        <v>664</v>
      </c>
      <c r="D54" s="2" t="s">
        <v>101</v>
      </c>
      <c r="E54" s="3">
        <v>299</v>
      </c>
      <c r="F54" s="3">
        <f t="shared" si="1"/>
        <v>299</v>
      </c>
      <c r="G54" s="2" t="s">
        <v>694</v>
      </c>
      <c r="H54" s="2"/>
      <c r="I54" s="2" t="s">
        <v>115</v>
      </c>
      <c r="J54" s="2"/>
      <c r="K54" s="2"/>
      <c r="L54" s="2"/>
    </row>
    <row r="55" spans="1:12" x14ac:dyDescent="0.25">
      <c r="A55" s="68">
        <v>46139</v>
      </c>
      <c r="B55" s="2">
        <v>1</v>
      </c>
      <c r="C55" s="2" t="s">
        <v>1218</v>
      </c>
      <c r="D55" s="2" t="s">
        <v>101</v>
      </c>
      <c r="E55" s="3">
        <v>4500</v>
      </c>
      <c r="F55" s="3">
        <f t="shared" si="1"/>
        <v>4500</v>
      </c>
      <c r="G55" s="2" t="s">
        <v>694</v>
      </c>
      <c r="H55" s="2"/>
      <c r="I55" s="2" t="s">
        <v>115</v>
      </c>
      <c r="J55" s="2"/>
      <c r="K55" s="2"/>
      <c r="L55" s="2"/>
    </row>
    <row r="56" spans="1:12" x14ac:dyDescent="0.25">
      <c r="A56" s="68">
        <v>46139</v>
      </c>
      <c r="B56" s="2">
        <v>3</v>
      </c>
      <c r="C56" s="2" t="s">
        <v>1215</v>
      </c>
      <c r="D56" s="2" t="s">
        <v>688</v>
      </c>
      <c r="E56" s="3">
        <v>2199</v>
      </c>
      <c r="F56" s="3">
        <f t="shared" si="1"/>
        <v>6597</v>
      </c>
      <c r="G56" s="2" t="s">
        <v>8</v>
      </c>
      <c r="H56" s="2"/>
      <c r="I56" s="2" t="s">
        <v>115</v>
      </c>
      <c r="J56" s="2"/>
      <c r="K56" s="2"/>
      <c r="L56" s="2"/>
    </row>
    <row r="57" spans="1:12" x14ac:dyDescent="0.25">
      <c r="A57" s="68">
        <v>46139</v>
      </c>
      <c r="B57" s="2">
        <v>3</v>
      </c>
      <c r="C57" s="2" t="s">
        <v>1215</v>
      </c>
      <c r="D57" s="2" t="s">
        <v>688</v>
      </c>
      <c r="E57" s="3">
        <v>2199</v>
      </c>
      <c r="F57" s="3">
        <f t="shared" si="1"/>
        <v>6597</v>
      </c>
      <c r="G57" s="2" t="s">
        <v>8</v>
      </c>
      <c r="H57" s="2"/>
      <c r="I57" s="2" t="s">
        <v>115</v>
      </c>
      <c r="J57" s="2"/>
      <c r="K57" s="2"/>
      <c r="L57" s="2"/>
    </row>
    <row r="58" spans="1:12" x14ac:dyDescent="0.25">
      <c r="A58" s="68">
        <v>46139</v>
      </c>
      <c r="B58" s="2">
        <v>3</v>
      </c>
      <c r="C58" s="2" t="s">
        <v>664</v>
      </c>
      <c r="D58" s="2" t="s">
        <v>364</v>
      </c>
      <c r="E58" s="3">
        <v>399</v>
      </c>
      <c r="F58" s="3">
        <f t="shared" si="1"/>
        <v>1197</v>
      </c>
      <c r="G58" s="2" t="s">
        <v>8</v>
      </c>
      <c r="H58" s="2"/>
      <c r="I58" s="2"/>
      <c r="J58" s="2"/>
      <c r="K58" s="2"/>
      <c r="L58" s="2"/>
    </row>
    <row r="59" spans="1:12" x14ac:dyDescent="0.25">
      <c r="A59" s="114">
        <v>46139</v>
      </c>
      <c r="B59" s="115">
        <v>1</v>
      </c>
      <c r="C59" s="115" t="s">
        <v>378</v>
      </c>
      <c r="D59" s="115" t="s">
        <v>364</v>
      </c>
      <c r="E59" s="116">
        <v>695</v>
      </c>
      <c r="F59" s="116">
        <f t="shared" si="1"/>
        <v>695</v>
      </c>
      <c r="G59" s="115" t="s">
        <v>24</v>
      </c>
      <c r="H59" s="115"/>
      <c r="I59" s="115"/>
      <c r="J59" s="115"/>
      <c r="K59" s="115"/>
      <c r="L59" s="115"/>
    </row>
    <row r="60" spans="1:12" x14ac:dyDescent="0.25">
      <c r="A60" s="114">
        <v>46139</v>
      </c>
      <c r="B60" s="115">
        <v>1</v>
      </c>
      <c r="C60" s="115" t="s">
        <v>405</v>
      </c>
      <c r="D60" s="115" t="s">
        <v>364</v>
      </c>
      <c r="E60" s="116">
        <v>1298</v>
      </c>
      <c r="F60" s="116">
        <f t="shared" si="1"/>
        <v>1298</v>
      </c>
      <c r="G60" s="115" t="s">
        <v>24</v>
      </c>
      <c r="H60" s="115"/>
      <c r="I60" s="115"/>
      <c r="J60" s="115"/>
      <c r="K60" s="115"/>
      <c r="L60" s="115"/>
    </row>
    <row r="61" spans="1:12" x14ac:dyDescent="0.25">
      <c r="A61" s="68">
        <v>46139</v>
      </c>
      <c r="B61" s="2">
        <v>1</v>
      </c>
      <c r="C61" s="2" t="s">
        <v>664</v>
      </c>
      <c r="D61" s="2" t="s">
        <v>1219</v>
      </c>
      <c r="E61" s="3">
        <v>399</v>
      </c>
      <c r="F61" s="3">
        <f t="shared" si="1"/>
        <v>399</v>
      </c>
      <c r="G61" s="2" t="s">
        <v>8</v>
      </c>
      <c r="H61" s="2"/>
      <c r="I61" s="2"/>
      <c r="J61" s="2"/>
      <c r="K61" s="2"/>
      <c r="L61" s="2"/>
    </row>
    <row r="62" spans="1:12" x14ac:dyDescent="0.25">
      <c r="A62" s="68">
        <v>46141</v>
      </c>
      <c r="B62" s="2">
        <v>1</v>
      </c>
      <c r="C62" s="2" t="s">
        <v>542</v>
      </c>
      <c r="D62" s="2" t="s">
        <v>1222</v>
      </c>
      <c r="E62" s="2">
        <v>9079.32</v>
      </c>
      <c r="F62" s="3">
        <f t="shared" si="1"/>
        <v>9079.32</v>
      </c>
      <c r="G62" s="2" t="s">
        <v>622</v>
      </c>
      <c r="H62" s="2"/>
      <c r="I62" s="2" t="s">
        <v>85</v>
      </c>
      <c r="J62" s="2"/>
      <c r="K62" s="2"/>
      <c r="L62" s="2"/>
    </row>
    <row r="63" spans="1:12" x14ac:dyDescent="0.25">
      <c r="A63" s="114">
        <v>46142</v>
      </c>
      <c r="B63" s="115">
        <v>2</v>
      </c>
      <c r="C63" s="115" t="s">
        <v>1172</v>
      </c>
      <c r="D63" s="115" t="s">
        <v>1207</v>
      </c>
      <c r="E63" s="116">
        <v>1199</v>
      </c>
      <c r="F63" s="116">
        <f t="shared" si="1"/>
        <v>2398</v>
      </c>
      <c r="G63" s="115" t="s">
        <v>62</v>
      </c>
      <c r="H63" s="115"/>
      <c r="I63" s="155">
        <v>1432029973</v>
      </c>
      <c r="J63" s="115"/>
      <c r="K63" s="115"/>
      <c r="L63" s="115"/>
    </row>
    <row r="64" spans="1:12" x14ac:dyDescent="0.25">
      <c r="A64" s="114">
        <v>46142</v>
      </c>
      <c r="B64" s="115">
        <v>2</v>
      </c>
      <c r="C64" s="115" t="s">
        <v>1172</v>
      </c>
      <c r="D64" s="115" t="s">
        <v>1207</v>
      </c>
      <c r="E64" s="116">
        <v>1199</v>
      </c>
      <c r="F64" s="116">
        <f t="shared" si="1"/>
        <v>2398</v>
      </c>
      <c r="G64" s="115" t="s">
        <v>62</v>
      </c>
      <c r="H64" s="115"/>
      <c r="I64" s="155">
        <v>1432029553</v>
      </c>
      <c r="J64" s="115"/>
      <c r="K64" s="115"/>
      <c r="L64" s="115"/>
    </row>
    <row r="65" spans="1:12" x14ac:dyDescent="0.25">
      <c r="A65" s="114">
        <v>46142</v>
      </c>
      <c r="B65" s="115">
        <v>2</v>
      </c>
      <c r="C65" s="115" t="s">
        <v>1172</v>
      </c>
      <c r="D65" s="115" t="s">
        <v>1207</v>
      </c>
      <c r="E65" s="116">
        <v>1199</v>
      </c>
      <c r="F65" s="116">
        <f t="shared" si="1"/>
        <v>2398</v>
      </c>
      <c r="G65" s="115" t="s">
        <v>62</v>
      </c>
      <c r="H65" s="115"/>
      <c r="I65" s="155">
        <v>1429956894</v>
      </c>
      <c r="J65" s="115"/>
      <c r="K65" s="115"/>
      <c r="L65" s="115"/>
    </row>
    <row r="66" spans="1:12" x14ac:dyDescent="0.25">
      <c r="A66" s="129">
        <v>46142</v>
      </c>
      <c r="B66" s="130">
        <v>2</v>
      </c>
      <c r="C66" s="130" t="s">
        <v>1223</v>
      </c>
      <c r="D66" s="130" t="s">
        <v>1224</v>
      </c>
      <c r="E66" s="131">
        <v>999</v>
      </c>
      <c r="F66" s="131">
        <f t="shared" si="1"/>
        <v>1998</v>
      </c>
      <c r="G66" s="130" t="s">
        <v>1235</v>
      </c>
      <c r="H66" s="130"/>
      <c r="I66" s="156">
        <v>1429956894</v>
      </c>
      <c r="J66" s="130"/>
      <c r="K66" s="130"/>
      <c r="L66" s="130"/>
    </row>
    <row r="67" spans="1:12" x14ac:dyDescent="0.25">
      <c r="A67" s="2"/>
      <c r="B67" s="2"/>
      <c r="C67" s="2"/>
      <c r="D67" s="2"/>
      <c r="E67" s="2"/>
      <c r="F67" s="2"/>
      <c r="G67" s="2"/>
      <c r="H67" s="2"/>
      <c r="I67" s="112"/>
      <c r="J67" s="2"/>
      <c r="K67" s="2"/>
      <c r="L67" s="2"/>
    </row>
    <row r="68" spans="1:12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</sheetData>
  <autoFilter ref="A1:K66" xr:uid="{D9FFEC76-AD4F-420D-9C76-FA02ED20B4B9}"/>
  <phoneticPr fontId="3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719B-B45B-4953-A262-E8A1302D2B32}">
  <dimension ref="A1:P95"/>
  <sheetViews>
    <sheetView tabSelected="1" topLeftCell="A64" workbookViewId="0">
      <selection activeCell="F92" sqref="F92"/>
    </sheetView>
  </sheetViews>
  <sheetFormatPr defaultRowHeight="15" x14ac:dyDescent="0.25"/>
  <cols>
    <col min="1" max="1" width="7.28515625" bestFit="1" customWidth="1"/>
    <col min="2" max="2" width="4" bestFit="1" customWidth="1"/>
    <col min="3" max="3" width="29.140625" customWidth="1"/>
    <col min="4" max="4" width="23.7109375" customWidth="1"/>
    <col min="5" max="5" width="10" style="60" bestFit="1" customWidth="1"/>
    <col min="6" max="6" width="10.140625" style="60" bestFit="1" customWidth="1"/>
    <col min="7" max="7" width="16.140625" bestFit="1" customWidth="1"/>
    <col min="8" max="8" width="11.28515625" customWidth="1"/>
    <col min="9" max="9" width="14.28515625" bestFit="1" customWidth="1"/>
    <col min="10" max="10" width="12.140625" bestFit="1" customWidth="1"/>
    <col min="11" max="11" width="13.28515625" bestFit="1" customWidth="1"/>
  </cols>
  <sheetData>
    <row r="1" spans="1:16" ht="15.75" customHeight="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 t="s">
        <v>814</v>
      </c>
      <c r="K1" s="4" t="s">
        <v>1188</v>
      </c>
      <c r="P1">
        <v>62</v>
      </c>
    </row>
    <row r="2" spans="1:16" x14ac:dyDescent="0.25">
      <c r="A2" s="114">
        <v>46143</v>
      </c>
      <c r="B2" s="115">
        <v>2</v>
      </c>
      <c r="C2" s="115" t="s">
        <v>1172</v>
      </c>
      <c r="D2" s="115" t="s">
        <v>1207</v>
      </c>
      <c r="E2" s="116">
        <v>1199</v>
      </c>
      <c r="F2" s="116">
        <f t="shared" ref="F2:F10" si="0">E2*B2</f>
        <v>2398</v>
      </c>
      <c r="G2" s="115" t="s">
        <v>62</v>
      </c>
      <c r="H2" s="115"/>
      <c r="I2" s="117">
        <v>1432044182</v>
      </c>
      <c r="J2" s="115"/>
      <c r="K2" s="115"/>
      <c r="P2">
        <v>114</v>
      </c>
    </row>
    <row r="3" spans="1:16" x14ac:dyDescent="0.25">
      <c r="A3" s="114">
        <v>46143</v>
      </c>
      <c r="B3" s="115">
        <v>2</v>
      </c>
      <c r="C3" s="115" t="s">
        <v>1172</v>
      </c>
      <c r="D3" s="115" t="s">
        <v>1207</v>
      </c>
      <c r="E3" s="116">
        <v>1199</v>
      </c>
      <c r="F3" s="116">
        <f t="shared" si="0"/>
        <v>2398</v>
      </c>
      <c r="G3" s="115" t="s">
        <v>62</v>
      </c>
      <c r="H3" s="115"/>
      <c r="I3" s="117">
        <v>1432352506</v>
      </c>
      <c r="J3" s="115"/>
      <c r="K3" s="115"/>
    </row>
    <row r="4" spans="1:16" x14ac:dyDescent="0.25">
      <c r="A4" s="114">
        <v>46143</v>
      </c>
      <c r="B4" s="115">
        <v>2</v>
      </c>
      <c r="C4" s="115" t="s">
        <v>1172</v>
      </c>
      <c r="D4" s="115" t="s">
        <v>1207</v>
      </c>
      <c r="E4" s="116">
        <v>1199</v>
      </c>
      <c r="F4" s="116">
        <f t="shared" si="0"/>
        <v>2398</v>
      </c>
      <c r="G4" s="115" t="s">
        <v>62</v>
      </c>
      <c r="H4" s="115"/>
      <c r="I4" s="117" t="s">
        <v>1226</v>
      </c>
      <c r="J4" s="115"/>
      <c r="K4" s="115"/>
    </row>
    <row r="5" spans="1:16" x14ac:dyDescent="0.25">
      <c r="A5" s="114">
        <v>46143</v>
      </c>
      <c r="B5" s="115">
        <v>2</v>
      </c>
      <c r="C5" s="115" t="s">
        <v>1172</v>
      </c>
      <c r="D5" s="115" t="s">
        <v>1207</v>
      </c>
      <c r="E5" s="116">
        <v>1199</v>
      </c>
      <c r="F5" s="116">
        <f t="shared" si="0"/>
        <v>2398</v>
      </c>
      <c r="G5" s="115" t="s">
        <v>62</v>
      </c>
      <c r="H5" s="115"/>
      <c r="I5" s="118">
        <v>1432379120</v>
      </c>
      <c r="J5" s="115"/>
      <c r="K5" s="115"/>
    </row>
    <row r="6" spans="1:16" x14ac:dyDescent="0.25">
      <c r="A6" s="129">
        <v>46144</v>
      </c>
      <c r="B6" s="130">
        <v>5</v>
      </c>
      <c r="C6" s="130" t="s">
        <v>1227</v>
      </c>
      <c r="D6" s="130" t="s">
        <v>101</v>
      </c>
      <c r="E6" s="131">
        <v>1999</v>
      </c>
      <c r="F6" s="131">
        <f t="shared" si="0"/>
        <v>9995</v>
      </c>
      <c r="G6" s="130" t="s">
        <v>8</v>
      </c>
      <c r="H6" s="130"/>
      <c r="I6" s="132"/>
      <c r="J6" s="130"/>
      <c r="K6" s="130"/>
    </row>
    <row r="7" spans="1:16" x14ac:dyDescent="0.25">
      <c r="A7" s="129">
        <v>46144</v>
      </c>
      <c r="B7" s="130">
        <v>7</v>
      </c>
      <c r="C7" s="130" t="s">
        <v>1227</v>
      </c>
      <c r="D7" s="130" t="s">
        <v>688</v>
      </c>
      <c r="E7" s="131">
        <v>1982</v>
      </c>
      <c r="F7" s="131">
        <f t="shared" si="0"/>
        <v>13874</v>
      </c>
      <c r="G7" s="130" t="s">
        <v>8</v>
      </c>
      <c r="H7" s="130"/>
      <c r="I7" s="132"/>
      <c r="J7" s="130"/>
      <c r="K7" s="130"/>
    </row>
    <row r="8" spans="1:16" x14ac:dyDescent="0.25">
      <c r="A8" s="129">
        <v>46145</v>
      </c>
      <c r="B8" s="130">
        <v>4</v>
      </c>
      <c r="C8" s="130" t="s">
        <v>1227</v>
      </c>
      <c r="D8" s="130" t="s">
        <v>318</v>
      </c>
      <c r="E8" s="131">
        <v>1999</v>
      </c>
      <c r="F8" s="131">
        <f t="shared" si="0"/>
        <v>7996</v>
      </c>
      <c r="G8" s="130" t="s">
        <v>8</v>
      </c>
      <c r="H8" s="130"/>
      <c r="I8" s="132"/>
      <c r="J8" s="130"/>
      <c r="K8" s="130"/>
    </row>
    <row r="9" spans="1:16" x14ac:dyDescent="0.25">
      <c r="A9" s="129">
        <v>46145</v>
      </c>
      <c r="B9" s="130">
        <v>10</v>
      </c>
      <c r="C9" s="130" t="s">
        <v>1227</v>
      </c>
      <c r="D9" s="130" t="s">
        <v>364</v>
      </c>
      <c r="E9" s="131">
        <v>1999</v>
      </c>
      <c r="F9" s="131">
        <f t="shared" si="0"/>
        <v>19990</v>
      </c>
      <c r="G9" s="130" t="s">
        <v>8</v>
      </c>
      <c r="H9" s="130"/>
      <c r="I9" s="132"/>
      <c r="J9" s="130"/>
      <c r="K9" s="130"/>
    </row>
    <row r="10" spans="1:16" x14ac:dyDescent="0.25">
      <c r="A10" s="129">
        <v>46145</v>
      </c>
      <c r="B10" s="130">
        <v>8</v>
      </c>
      <c r="C10" s="130" t="s">
        <v>1227</v>
      </c>
      <c r="D10" s="130" t="s">
        <v>491</v>
      </c>
      <c r="E10" s="131">
        <v>1950</v>
      </c>
      <c r="F10" s="131">
        <f t="shared" si="0"/>
        <v>15600</v>
      </c>
      <c r="G10" s="130" t="s">
        <v>8</v>
      </c>
      <c r="H10" s="130"/>
      <c r="I10" s="132"/>
      <c r="J10" s="130"/>
      <c r="K10" s="130"/>
    </row>
    <row r="11" spans="1:16" x14ac:dyDescent="0.25">
      <c r="A11" s="114">
        <v>46146</v>
      </c>
      <c r="B11" s="115">
        <v>2</v>
      </c>
      <c r="C11" s="115" t="s">
        <v>1172</v>
      </c>
      <c r="D11" s="115" t="s">
        <v>1207</v>
      </c>
      <c r="E11" s="116">
        <v>1199</v>
      </c>
      <c r="F11" s="116">
        <f t="shared" ref="F11:F34" si="1">E11*B11</f>
        <v>2398</v>
      </c>
      <c r="G11" s="115" t="s">
        <v>62</v>
      </c>
      <c r="H11" s="115"/>
      <c r="I11" s="118">
        <v>1432379220</v>
      </c>
      <c r="J11" s="115"/>
      <c r="K11" s="115"/>
    </row>
    <row r="12" spans="1:16" x14ac:dyDescent="0.25">
      <c r="A12" s="114">
        <v>46146</v>
      </c>
      <c r="B12" s="115">
        <v>2</v>
      </c>
      <c r="C12" s="115" t="s">
        <v>1172</v>
      </c>
      <c r="D12" s="115" t="s">
        <v>1207</v>
      </c>
      <c r="E12" s="116">
        <v>1199</v>
      </c>
      <c r="F12" s="116">
        <f t="shared" si="1"/>
        <v>2398</v>
      </c>
      <c r="G12" s="115" t="s">
        <v>62</v>
      </c>
      <c r="H12" s="115"/>
      <c r="I12" s="118" t="s">
        <v>1228</v>
      </c>
      <c r="J12" s="115"/>
      <c r="K12" s="115"/>
    </row>
    <row r="13" spans="1:16" x14ac:dyDescent="0.25">
      <c r="A13" s="114">
        <v>46146</v>
      </c>
      <c r="B13" s="115">
        <v>2</v>
      </c>
      <c r="C13" s="115" t="s">
        <v>1172</v>
      </c>
      <c r="D13" s="115" t="s">
        <v>1207</v>
      </c>
      <c r="E13" s="116">
        <v>1199</v>
      </c>
      <c r="F13" s="116">
        <f t="shared" si="1"/>
        <v>2398</v>
      </c>
      <c r="G13" s="115" t="s">
        <v>62</v>
      </c>
      <c r="H13" s="115"/>
      <c r="I13" s="118" t="s">
        <v>1229</v>
      </c>
      <c r="J13" s="115"/>
      <c r="K13" s="115"/>
    </row>
    <row r="14" spans="1:16" x14ac:dyDescent="0.25">
      <c r="A14" s="114">
        <v>46146</v>
      </c>
      <c r="B14" s="115">
        <v>2</v>
      </c>
      <c r="C14" s="115" t="s">
        <v>1172</v>
      </c>
      <c r="D14" s="115" t="s">
        <v>1207</v>
      </c>
      <c r="E14" s="116">
        <v>1199</v>
      </c>
      <c r="F14" s="116">
        <f t="shared" si="1"/>
        <v>2398</v>
      </c>
      <c r="G14" s="115" t="s">
        <v>62</v>
      </c>
      <c r="H14" s="115"/>
      <c r="I14" s="118">
        <v>1433864271</v>
      </c>
      <c r="J14" s="115"/>
      <c r="K14" s="115"/>
    </row>
    <row r="15" spans="1:16" x14ac:dyDescent="0.25">
      <c r="A15" s="114">
        <v>46146</v>
      </c>
      <c r="B15" s="115">
        <v>2</v>
      </c>
      <c r="C15" s="115" t="s">
        <v>1172</v>
      </c>
      <c r="D15" s="115" t="s">
        <v>1207</v>
      </c>
      <c r="E15" s="116">
        <v>1199</v>
      </c>
      <c r="F15" s="116">
        <f t="shared" si="1"/>
        <v>2398</v>
      </c>
      <c r="G15" s="115" t="s">
        <v>62</v>
      </c>
      <c r="H15" s="115"/>
      <c r="I15" s="117">
        <v>1433864456</v>
      </c>
      <c r="J15" s="115"/>
      <c r="K15" s="115"/>
      <c r="O15">
        <v>184</v>
      </c>
    </row>
    <row r="16" spans="1:16" x14ac:dyDescent="0.25">
      <c r="A16" s="114">
        <v>46147</v>
      </c>
      <c r="B16" s="115">
        <v>2</v>
      </c>
      <c r="C16" s="115" t="s">
        <v>1172</v>
      </c>
      <c r="D16" s="115" t="s">
        <v>1207</v>
      </c>
      <c r="E16" s="116">
        <v>1199</v>
      </c>
      <c r="F16" s="116">
        <f t="shared" si="1"/>
        <v>2398</v>
      </c>
      <c r="G16" s="115" t="s">
        <v>62</v>
      </c>
      <c r="H16" s="115"/>
      <c r="I16" s="119">
        <v>1433864587</v>
      </c>
      <c r="J16" s="115"/>
      <c r="K16" s="115"/>
      <c r="O16">
        <v>176</v>
      </c>
    </row>
    <row r="17" spans="1:11" x14ac:dyDescent="0.25">
      <c r="A17" s="114">
        <v>46147</v>
      </c>
      <c r="B17" s="115">
        <v>2</v>
      </c>
      <c r="C17" s="115" t="s">
        <v>1172</v>
      </c>
      <c r="D17" s="115" t="s">
        <v>1207</v>
      </c>
      <c r="E17" s="116">
        <v>1199</v>
      </c>
      <c r="F17" s="116">
        <f t="shared" si="1"/>
        <v>2398</v>
      </c>
      <c r="G17" s="115" t="s">
        <v>62</v>
      </c>
      <c r="H17" s="115"/>
      <c r="I17" s="119">
        <v>1434329710</v>
      </c>
      <c r="J17" s="115"/>
      <c r="K17" s="115"/>
    </row>
    <row r="18" spans="1:11" x14ac:dyDescent="0.25">
      <c r="A18" s="114">
        <v>46147</v>
      </c>
      <c r="B18" s="115">
        <v>2</v>
      </c>
      <c r="C18" s="115" t="s">
        <v>1172</v>
      </c>
      <c r="D18" s="115" t="s">
        <v>1207</v>
      </c>
      <c r="E18" s="116">
        <v>1199</v>
      </c>
      <c r="F18" s="116">
        <f t="shared" si="1"/>
        <v>2398</v>
      </c>
      <c r="G18" s="115" t="s">
        <v>62</v>
      </c>
      <c r="H18" s="115"/>
      <c r="I18" s="120">
        <v>1434329761</v>
      </c>
      <c r="J18" s="115"/>
      <c r="K18" s="115"/>
    </row>
    <row r="19" spans="1:11" x14ac:dyDescent="0.25">
      <c r="A19" s="114">
        <v>46147</v>
      </c>
      <c r="B19" s="115">
        <v>2</v>
      </c>
      <c r="C19" s="115" t="s">
        <v>1172</v>
      </c>
      <c r="D19" s="115" t="s">
        <v>1207</v>
      </c>
      <c r="E19" s="116">
        <v>1199</v>
      </c>
      <c r="F19" s="116">
        <f t="shared" si="1"/>
        <v>2398</v>
      </c>
      <c r="G19" s="115" t="s">
        <v>62</v>
      </c>
      <c r="H19" s="115"/>
      <c r="I19" s="119">
        <v>1434329812</v>
      </c>
      <c r="J19" s="115"/>
      <c r="K19" s="115"/>
    </row>
    <row r="20" spans="1:11" x14ac:dyDescent="0.25">
      <c r="A20" s="114">
        <v>46147</v>
      </c>
      <c r="B20" s="115">
        <v>2</v>
      </c>
      <c r="C20" s="115" t="s">
        <v>1172</v>
      </c>
      <c r="D20" s="115" t="s">
        <v>1207</v>
      </c>
      <c r="E20" s="116">
        <v>1199</v>
      </c>
      <c r="F20" s="116">
        <f t="shared" si="1"/>
        <v>2398</v>
      </c>
      <c r="G20" s="115" t="s">
        <v>62</v>
      </c>
      <c r="H20" s="115"/>
      <c r="I20" s="119">
        <v>1434329863</v>
      </c>
      <c r="J20" s="115"/>
      <c r="K20" s="115"/>
    </row>
    <row r="21" spans="1:11" x14ac:dyDescent="0.25">
      <c r="A21" s="129">
        <v>46148</v>
      </c>
      <c r="B21" s="130">
        <v>10</v>
      </c>
      <c r="C21" s="130" t="s">
        <v>1172</v>
      </c>
      <c r="D21" s="130" t="s">
        <v>1230</v>
      </c>
      <c r="E21" s="131">
        <v>1205</v>
      </c>
      <c r="F21" s="131">
        <f t="shared" si="1"/>
        <v>12050</v>
      </c>
      <c r="G21" s="130" t="s">
        <v>8</v>
      </c>
      <c r="H21" s="130"/>
      <c r="I21" s="130"/>
      <c r="J21" s="130"/>
      <c r="K21" s="130"/>
    </row>
    <row r="22" spans="1:11" x14ac:dyDescent="0.25">
      <c r="A22" s="114">
        <v>46150</v>
      </c>
      <c r="B22" s="115">
        <v>2</v>
      </c>
      <c r="C22" s="115" t="s">
        <v>1172</v>
      </c>
      <c r="D22" s="115" t="s">
        <v>1238</v>
      </c>
      <c r="E22" s="116">
        <v>1199</v>
      </c>
      <c r="F22" s="116">
        <f t="shared" si="1"/>
        <v>2398</v>
      </c>
      <c r="G22" s="115" t="s">
        <v>62</v>
      </c>
      <c r="H22" s="115"/>
      <c r="I22" s="121" t="s">
        <v>1237</v>
      </c>
      <c r="J22" s="115"/>
      <c r="K22" s="115"/>
    </row>
    <row r="23" spans="1:11" x14ac:dyDescent="0.25">
      <c r="A23" s="114">
        <v>46150</v>
      </c>
      <c r="B23" s="115">
        <v>2</v>
      </c>
      <c r="C23" s="115" t="s">
        <v>1172</v>
      </c>
      <c r="D23" s="115" t="s">
        <v>1238</v>
      </c>
      <c r="E23" s="116">
        <v>1199</v>
      </c>
      <c r="F23" s="116">
        <f t="shared" si="1"/>
        <v>2398</v>
      </c>
      <c r="G23" s="115" t="s">
        <v>62</v>
      </c>
      <c r="H23" s="115"/>
      <c r="I23" s="121" t="s">
        <v>1239</v>
      </c>
      <c r="J23" s="115"/>
      <c r="K23" s="115"/>
    </row>
    <row r="24" spans="1:11" x14ac:dyDescent="0.25">
      <c r="A24" s="114">
        <v>46150</v>
      </c>
      <c r="B24" s="115">
        <v>2</v>
      </c>
      <c r="C24" s="115" t="s">
        <v>1172</v>
      </c>
      <c r="D24" s="115" t="s">
        <v>1238</v>
      </c>
      <c r="E24" s="116">
        <v>1199</v>
      </c>
      <c r="F24" s="116">
        <f t="shared" si="1"/>
        <v>2398</v>
      </c>
      <c r="G24" s="115" t="s">
        <v>62</v>
      </c>
      <c r="H24" s="115"/>
      <c r="I24" s="121" t="s">
        <v>1240</v>
      </c>
      <c r="J24" s="115"/>
      <c r="K24" s="115"/>
    </row>
    <row r="25" spans="1:11" x14ac:dyDescent="0.25">
      <c r="A25" s="114">
        <v>46150</v>
      </c>
      <c r="B25" s="115">
        <v>2</v>
      </c>
      <c r="C25" s="115" t="s">
        <v>1172</v>
      </c>
      <c r="D25" s="115" t="s">
        <v>1238</v>
      </c>
      <c r="E25" s="116">
        <v>1199</v>
      </c>
      <c r="F25" s="116">
        <f t="shared" si="1"/>
        <v>2398</v>
      </c>
      <c r="G25" s="115" t="s">
        <v>62</v>
      </c>
      <c r="H25" s="115"/>
      <c r="I25" s="121" t="s">
        <v>1241</v>
      </c>
      <c r="J25" s="115"/>
      <c r="K25" s="115"/>
    </row>
    <row r="26" spans="1:11" x14ac:dyDescent="0.25">
      <c r="A26" s="133">
        <v>46150</v>
      </c>
      <c r="B26" s="134">
        <v>1</v>
      </c>
      <c r="C26" s="134" t="s">
        <v>1242</v>
      </c>
      <c r="D26" s="134" t="s">
        <v>1159</v>
      </c>
      <c r="E26" s="135">
        <v>20905.650000000001</v>
      </c>
      <c r="F26" s="135">
        <f t="shared" si="1"/>
        <v>20905.650000000001</v>
      </c>
      <c r="G26" s="134" t="s">
        <v>622</v>
      </c>
      <c r="H26" s="134"/>
      <c r="I26" s="136" t="s">
        <v>1033</v>
      </c>
      <c r="J26" s="134"/>
      <c r="K26" s="134"/>
    </row>
    <row r="27" spans="1:11" x14ac:dyDescent="0.25">
      <c r="A27" s="129">
        <v>46150</v>
      </c>
      <c r="B27" s="130">
        <v>10</v>
      </c>
      <c r="C27" s="130" t="s">
        <v>1227</v>
      </c>
      <c r="D27" s="130" t="s">
        <v>101</v>
      </c>
      <c r="E27" s="131">
        <v>1897</v>
      </c>
      <c r="F27" s="131">
        <f t="shared" si="1"/>
        <v>18970</v>
      </c>
      <c r="G27" s="130" t="s">
        <v>8</v>
      </c>
      <c r="H27" s="130"/>
      <c r="I27" s="130"/>
      <c r="J27" s="130"/>
      <c r="K27" s="130"/>
    </row>
    <row r="28" spans="1:11" x14ac:dyDescent="0.25">
      <c r="A28" s="129">
        <v>46150</v>
      </c>
      <c r="B28" s="130">
        <v>7</v>
      </c>
      <c r="C28" s="130" t="s">
        <v>1227</v>
      </c>
      <c r="D28" s="130" t="s">
        <v>808</v>
      </c>
      <c r="E28" s="131">
        <v>1897</v>
      </c>
      <c r="F28" s="131">
        <f t="shared" si="1"/>
        <v>13279</v>
      </c>
      <c r="G28" s="130" t="s">
        <v>8</v>
      </c>
      <c r="H28" s="130"/>
      <c r="I28" s="130"/>
      <c r="J28" s="130"/>
      <c r="K28" s="130"/>
    </row>
    <row r="29" spans="1:11" x14ac:dyDescent="0.25">
      <c r="A29" s="129">
        <v>46150</v>
      </c>
      <c r="B29" s="130">
        <v>2</v>
      </c>
      <c r="C29" s="130" t="s">
        <v>664</v>
      </c>
      <c r="D29" s="130" t="s">
        <v>808</v>
      </c>
      <c r="E29" s="131">
        <v>394</v>
      </c>
      <c r="F29" s="131">
        <f t="shared" si="1"/>
        <v>788</v>
      </c>
      <c r="G29" s="130" t="s">
        <v>8</v>
      </c>
      <c r="H29" s="130"/>
      <c r="I29" s="130"/>
      <c r="J29" s="130"/>
      <c r="K29" s="130"/>
    </row>
    <row r="30" spans="1:11" x14ac:dyDescent="0.25">
      <c r="A30" s="114">
        <v>46153</v>
      </c>
      <c r="B30" s="115">
        <v>2</v>
      </c>
      <c r="C30" s="115" t="s">
        <v>1172</v>
      </c>
      <c r="D30" s="115" t="s">
        <v>1238</v>
      </c>
      <c r="E30" s="116">
        <v>1199</v>
      </c>
      <c r="F30" s="116">
        <f t="shared" si="1"/>
        <v>2398</v>
      </c>
      <c r="G30" s="115" t="s">
        <v>62</v>
      </c>
      <c r="H30" s="115"/>
      <c r="I30" s="122" t="s">
        <v>1247</v>
      </c>
      <c r="J30" s="115" t="s">
        <v>1205</v>
      </c>
      <c r="K30" s="115"/>
    </row>
    <row r="31" spans="1:11" x14ac:dyDescent="0.25">
      <c r="A31" s="114">
        <v>46153</v>
      </c>
      <c r="B31" s="115">
        <v>2</v>
      </c>
      <c r="C31" s="115" t="s">
        <v>1172</v>
      </c>
      <c r="D31" s="115" t="s">
        <v>1238</v>
      </c>
      <c r="E31" s="116">
        <v>1199</v>
      </c>
      <c r="F31" s="116">
        <f t="shared" si="1"/>
        <v>2398</v>
      </c>
      <c r="G31" s="115" t="s">
        <v>62</v>
      </c>
      <c r="H31" s="115"/>
      <c r="I31" s="122" t="s">
        <v>1248</v>
      </c>
      <c r="J31" s="115" t="s">
        <v>1205</v>
      </c>
      <c r="K31" s="115"/>
    </row>
    <row r="32" spans="1:11" x14ac:dyDescent="0.25">
      <c r="A32" s="114">
        <v>46153</v>
      </c>
      <c r="B32" s="115">
        <v>2</v>
      </c>
      <c r="C32" s="115" t="s">
        <v>1172</v>
      </c>
      <c r="D32" s="115" t="s">
        <v>1238</v>
      </c>
      <c r="E32" s="116">
        <v>1199</v>
      </c>
      <c r="F32" s="116">
        <f t="shared" si="1"/>
        <v>2398</v>
      </c>
      <c r="G32" s="115" t="s">
        <v>62</v>
      </c>
      <c r="H32" s="115"/>
      <c r="I32" s="122" t="s">
        <v>1249</v>
      </c>
      <c r="J32" s="115"/>
      <c r="K32" s="115"/>
    </row>
    <row r="33" spans="1:11" x14ac:dyDescent="0.25">
      <c r="A33" s="114">
        <v>46153</v>
      </c>
      <c r="B33" s="115">
        <v>2</v>
      </c>
      <c r="C33" s="115" t="s">
        <v>1172</v>
      </c>
      <c r="D33" s="115" t="s">
        <v>1238</v>
      </c>
      <c r="E33" s="116">
        <v>1199</v>
      </c>
      <c r="F33" s="116">
        <f t="shared" si="1"/>
        <v>2398</v>
      </c>
      <c r="G33" s="115" t="s">
        <v>62</v>
      </c>
      <c r="H33" s="115"/>
      <c r="I33" s="122" t="s">
        <v>1250</v>
      </c>
      <c r="J33" s="115"/>
      <c r="K33" s="115"/>
    </row>
    <row r="34" spans="1:11" x14ac:dyDescent="0.25">
      <c r="A34" s="114">
        <v>46153</v>
      </c>
      <c r="B34" s="115">
        <v>2</v>
      </c>
      <c r="C34" s="115" t="s">
        <v>1172</v>
      </c>
      <c r="D34" s="115" t="s">
        <v>1238</v>
      </c>
      <c r="E34" s="116">
        <v>1199</v>
      </c>
      <c r="F34" s="116">
        <f t="shared" si="1"/>
        <v>2398</v>
      </c>
      <c r="G34" s="115" t="s">
        <v>62</v>
      </c>
      <c r="H34" s="115"/>
      <c r="I34" s="122" t="s">
        <v>1251</v>
      </c>
      <c r="J34" s="115"/>
      <c r="K34" s="115"/>
    </row>
    <row r="35" spans="1:11" x14ac:dyDescent="0.25">
      <c r="A35" s="129">
        <v>46152</v>
      </c>
      <c r="B35" s="130"/>
      <c r="C35" s="130" t="s">
        <v>1253</v>
      </c>
      <c r="D35" s="130" t="s">
        <v>981</v>
      </c>
      <c r="E35" s="131">
        <v>400</v>
      </c>
      <c r="F35" s="131">
        <v>400</v>
      </c>
      <c r="G35" s="130"/>
      <c r="H35" s="130"/>
      <c r="I35" s="137" t="s">
        <v>85</v>
      </c>
      <c r="J35" s="130"/>
      <c r="K35" s="130"/>
    </row>
    <row r="36" spans="1:11" x14ac:dyDescent="0.25">
      <c r="A36" s="114">
        <v>46154</v>
      </c>
      <c r="B36" s="115">
        <v>2</v>
      </c>
      <c r="C36" s="115" t="s">
        <v>1172</v>
      </c>
      <c r="D36" s="115" t="s">
        <v>1238</v>
      </c>
      <c r="E36" s="116">
        <v>1199</v>
      </c>
      <c r="F36" s="116">
        <v>2398</v>
      </c>
      <c r="G36" s="115" t="s">
        <v>62</v>
      </c>
      <c r="H36" s="115"/>
      <c r="I36" s="123" t="s">
        <v>1258</v>
      </c>
      <c r="J36" s="115"/>
      <c r="K36" s="115"/>
    </row>
    <row r="37" spans="1:11" x14ac:dyDescent="0.25">
      <c r="A37" s="114">
        <v>46154</v>
      </c>
      <c r="B37" s="115">
        <v>2</v>
      </c>
      <c r="C37" s="115" t="s">
        <v>1172</v>
      </c>
      <c r="D37" s="115" t="s">
        <v>1238</v>
      </c>
      <c r="E37" s="116">
        <v>1199</v>
      </c>
      <c r="F37" s="116">
        <v>2398</v>
      </c>
      <c r="G37" s="115" t="s">
        <v>62</v>
      </c>
      <c r="H37" s="115"/>
      <c r="I37" s="123" t="s">
        <v>1259</v>
      </c>
      <c r="J37" s="115"/>
      <c r="K37" s="115"/>
    </row>
    <row r="38" spans="1:11" x14ac:dyDescent="0.25">
      <c r="A38" s="114">
        <v>46154</v>
      </c>
      <c r="B38" s="115">
        <v>2</v>
      </c>
      <c r="C38" s="115" t="s">
        <v>1172</v>
      </c>
      <c r="D38" s="115" t="s">
        <v>1238</v>
      </c>
      <c r="E38" s="116">
        <v>1199</v>
      </c>
      <c r="F38" s="116">
        <v>2398</v>
      </c>
      <c r="G38" s="115" t="s">
        <v>62</v>
      </c>
      <c r="H38" s="115"/>
      <c r="I38" s="123" t="s">
        <v>1260</v>
      </c>
      <c r="J38" s="115"/>
      <c r="K38" s="115"/>
    </row>
    <row r="39" spans="1:11" x14ac:dyDescent="0.25">
      <c r="A39" s="114">
        <v>46154</v>
      </c>
      <c r="B39" s="115">
        <v>2</v>
      </c>
      <c r="C39" s="115" t="s">
        <v>1172</v>
      </c>
      <c r="D39" s="115" t="s">
        <v>1238</v>
      </c>
      <c r="E39" s="116">
        <v>1199</v>
      </c>
      <c r="F39" s="116">
        <v>2398</v>
      </c>
      <c r="G39" s="115" t="s">
        <v>62</v>
      </c>
      <c r="H39" s="115"/>
      <c r="I39" s="123" t="s">
        <v>1261</v>
      </c>
      <c r="J39" s="115"/>
      <c r="K39" s="115"/>
    </row>
    <row r="40" spans="1:11" x14ac:dyDescent="0.25">
      <c r="A40" s="124">
        <v>46154</v>
      </c>
      <c r="B40" s="125">
        <v>2</v>
      </c>
      <c r="C40" s="125" t="s">
        <v>1172</v>
      </c>
      <c r="D40" s="125" t="s">
        <v>1238</v>
      </c>
      <c r="E40" s="126">
        <v>1199</v>
      </c>
      <c r="F40" s="126">
        <v>2398</v>
      </c>
      <c r="G40" s="125" t="s">
        <v>62</v>
      </c>
      <c r="H40" s="125"/>
      <c r="I40" s="123" t="s">
        <v>1262</v>
      </c>
      <c r="J40" s="125"/>
      <c r="K40" s="125"/>
    </row>
    <row r="41" spans="1:11" x14ac:dyDescent="0.25">
      <c r="A41" s="129">
        <v>46155</v>
      </c>
      <c r="B41" s="130">
        <v>4</v>
      </c>
      <c r="C41" s="130" t="s">
        <v>1172</v>
      </c>
      <c r="D41" s="130" t="s">
        <v>1264</v>
      </c>
      <c r="E41" s="131">
        <v>1199</v>
      </c>
      <c r="F41" s="131">
        <f>B41*E41</f>
        <v>4796</v>
      </c>
      <c r="G41" s="130" t="s">
        <v>8</v>
      </c>
      <c r="H41" s="130"/>
      <c r="I41" s="159">
        <v>1435395225</v>
      </c>
      <c r="J41" s="130"/>
      <c r="K41" s="130"/>
    </row>
    <row r="42" spans="1:11" x14ac:dyDescent="0.25">
      <c r="A42" s="129">
        <v>46155</v>
      </c>
      <c r="B42" s="130">
        <v>1</v>
      </c>
      <c r="C42" s="130" t="s">
        <v>1172</v>
      </c>
      <c r="D42" s="130" t="s">
        <v>1265</v>
      </c>
      <c r="E42" s="131">
        <v>1199</v>
      </c>
      <c r="F42" s="131">
        <f t="shared" ref="F42:F50" si="2">B42*E42</f>
        <v>1199</v>
      </c>
      <c r="G42" s="130" t="s">
        <v>8</v>
      </c>
      <c r="H42" s="130"/>
      <c r="I42" s="159">
        <v>1438250292</v>
      </c>
      <c r="J42" s="130"/>
      <c r="K42" s="130"/>
    </row>
    <row r="43" spans="1:11" x14ac:dyDescent="0.25">
      <c r="A43" s="129">
        <v>46155</v>
      </c>
      <c r="B43" s="130">
        <v>2</v>
      </c>
      <c r="C43" s="130" t="s">
        <v>1172</v>
      </c>
      <c r="D43" s="130" t="s">
        <v>1280</v>
      </c>
      <c r="E43" s="131">
        <v>1199</v>
      </c>
      <c r="F43" s="131">
        <f t="shared" si="2"/>
        <v>2398</v>
      </c>
      <c r="G43" s="130" t="s">
        <v>8</v>
      </c>
      <c r="H43" s="130"/>
      <c r="I43" s="130">
        <v>1438250325</v>
      </c>
      <c r="J43" s="130"/>
      <c r="K43" s="130"/>
    </row>
    <row r="44" spans="1:11" x14ac:dyDescent="0.25">
      <c r="A44" s="114">
        <v>46156</v>
      </c>
      <c r="B44" s="115">
        <v>2</v>
      </c>
      <c r="C44" s="115" t="s">
        <v>1172</v>
      </c>
      <c r="D44" s="115" t="s">
        <v>1238</v>
      </c>
      <c r="E44" s="116">
        <v>1199</v>
      </c>
      <c r="F44" s="116">
        <f t="shared" si="2"/>
        <v>2398</v>
      </c>
      <c r="G44" s="115" t="s">
        <v>62</v>
      </c>
      <c r="H44" s="115"/>
      <c r="I44" s="127" t="s">
        <v>1266</v>
      </c>
      <c r="J44" s="115"/>
      <c r="K44" s="115"/>
    </row>
    <row r="45" spans="1:11" x14ac:dyDescent="0.25">
      <c r="A45" s="114">
        <v>46156</v>
      </c>
      <c r="B45" s="115">
        <v>2</v>
      </c>
      <c r="C45" s="115" t="s">
        <v>1172</v>
      </c>
      <c r="D45" s="115" t="s">
        <v>1238</v>
      </c>
      <c r="E45" s="116">
        <v>1199</v>
      </c>
      <c r="F45" s="116">
        <f t="shared" si="2"/>
        <v>2398</v>
      </c>
      <c r="G45" s="115" t="s">
        <v>62</v>
      </c>
      <c r="H45" s="115"/>
      <c r="I45" s="128" t="s">
        <v>1267</v>
      </c>
      <c r="J45" s="115"/>
      <c r="K45" s="115"/>
    </row>
    <row r="46" spans="1:11" x14ac:dyDescent="0.25">
      <c r="A46" s="114">
        <v>46156</v>
      </c>
      <c r="B46" s="115">
        <v>2</v>
      </c>
      <c r="C46" s="115" t="s">
        <v>1172</v>
      </c>
      <c r="D46" s="115" t="s">
        <v>1238</v>
      </c>
      <c r="E46" s="116">
        <v>1199</v>
      </c>
      <c r="F46" s="116">
        <f t="shared" si="2"/>
        <v>2398</v>
      </c>
      <c r="G46" s="115" t="s">
        <v>62</v>
      </c>
      <c r="H46" s="115"/>
      <c r="I46" s="128" t="s">
        <v>1268</v>
      </c>
      <c r="J46" s="115"/>
      <c r="K46" s="115"/>
    </row>
    <row r="47" spans="1:11" x14ac:dyDescent="0.25">
      <c r="A47" s="114">
        <v>46156</v>
      </c>
      <c r="B47" s="115">
        <v>2</v>
      </c>
      <c r="C47" s="115" t="s">
        <v>1172</v>
      </c>
      <c r="D47" s="115" t="s">
        <v>1238</v>
      </c>
      <c r="E47" s="116">
        <v>1199</v>
      </c>
      <c r="F47" s="116">
        <f t="shared" si="2"/>
        <v>2398</v>
      </c>
      <c r="G47" s="115" t="s">
        <v>62</v>
      </c>
      <c r="H47" s="115"/>
      <c r="I47" s="128" t="s">
        <v>1269</v>
      </c>
      <c r="J47" s="115"/>
      <c r="K47" s="115"/>
    </row>
    <row r="48" spans="1:11" x14ac:dyDescent="0.25">
      <c r="A48" s="114">
        <v>46156</v>
      </c>
      <c r="B48" s="115">
        <v>2</v>
      </c>
      <c r="C48" s="115" t="s">
        <v>1172</v>
      </c>
      <c r="D48" s="115" t="s">
        <v>1238</v>
      </c>
      <c r="E48" s="116">
        <v>1199</v>
      </c>
      <c r="F48" s="116">
        <f t="shared" si="2"/>
        <v>2398</v>
      </c>
      <c r="G48" s="115" t="s">
        <v>62</v>
      </c>
      <c r="H48" s="115"/>
      <c r="I48" s="128" t="s">
        <v>1270</v>
      </c>
      <c r="J48" s="115"/>
      <c r="K48" s="115"/>
    </row>
    <row r="49" spans="1:16" x14ac:dyDescent="0.25">
      <c r="A49" s="129">
        <v>46156</v>
      </c>
      <c r="B49" s="130">
        <v>4</v>
      </c>
      <c r="C49" s="130" t="s">
        <v>1273</v>
      </c>
      <c r="D49" s="130" t="s">
        <v>1276</v>
      </c>
      <c r="E49" s="131">
        <v>2199</v>
      </c>
      <c r="F49" s="131">
        <f t="shared" si="2"/>
        <v>8796</v>
      </c>
      <c r="G49" s="130" t="s">
        <v>8</v>
      </c>
      <c r="H49" s="130" t="s">
        <v>857</v>
      </c>
      <c r="I49" s="130" t="s">
        <v>1274</v>
      </c>
      <c r="J49" s="130" t="s">
        <v>115</v>
      </c>
      <c r="K49" s="130"/>
    </row>
    <row r="50" spans="1:16" x14ac:dyDescent="0.25">
      <c r="A50" s="114">
        <v>46156</v>
      </c>
      <c r="B50" s="115">
        <v>4</v>
      </c>
      <c r="C50" s="115" t="s">
        <v>1172</v>
      </c>
      <c r="D50" s="115" t="s">
        <v>1275</v>
      </c>
      <c r="E50" s="116">
        <v>1199</v>
      </c>
      <c r="F50" s="116">
        <f t="shared" si="2"/>
        <v>4796</v>
      </c>
      <c r="G50" s="115" t="s">
        <v>47</v>
      </c>
      <c r="H50" s="115" t="s">
        <v>857</v>
      </c>
      <c r="I50" s="115" t="s">
        <v>1274</v>
      </c>
      <c r="J50" s="115"/>
      <c r="K50" s="115"/>
    </row>
    <row r="51" spans="1:16" x14ac:dyDescent="0.25">
      <c r="A51" s="129">
        <v>46156</v>
      </c>
      <c r="B51" s="130">
        <v>2</v>
      </c>
      <c r="C51" s="130" t="s">
        <v>1172</v>
      </c>
      <c r="D51" s="130" t="s">
        <v>1300</v>
      </c>
      <c r="E51" s="131">
        <v>1199</v>
      </c>
      <c r="F51" s="131">
        <v>2400</v>
      </c>
      <c r="G51" s="130" t="s">
        <v>1282</v>
      </c>
      <c r="H51" s="130"/>
      <c r="I51" s="130" t="s">
        <v>1175</v>
      </c>
      <c r="J51" s="130"/>
      <c r="K51" s="130"/>
    </row>
    <row r="52" spans="1:16" x14ac:dyDescent="0.25">
      <c r="A52" s="129">
        <v>46157</v>
      </c>
      <c r="B52" s="130">
        <v>2</v>
      </c>
      <c r="C52" s="130" t="s">
        <v>1172</v>
      </c>
      <c r="D52" s="130" t="s">
        <v>1300</v>
      </c>
      <c r="E52" s="131">
        <v>1199</v>
      </c>
      <c r="F52" s="131">
        <v>7200</v>
      </c>
      <c r="G52" s="130" t="s">
        <v>1282</v>
      </c>
      <c r="H52" s="130"/>
      <c r="I52" s="130" t="s">
        <v>1175</v>
      </c>
      <c r="J52" s="130"/>
      <c r="K52" s="130"/>
    </row>
    <row r="53" spans="1:16" x14ac:dyDescent="0.25">
      <c r="A53" s="129">
        <v>46157</v>
      </c>
      <c r="B53" s="130">
        <v>1</v>
      </c>
      <c r="C53" s="130" t="s">
        <v>1242</v>
      </c>
      <c r="D53" s="130" t="s">
        <v>1279</v>
      </c>
      <c r="E53" s="131">
        <v>8926.7000000000007</v>
      </c>
      <c r="F53" s="131">
        <v>8926.7000000000007</v>
      </c>
      <c r="G53" s="130" t="s">
        <v>622</v>
      </c>
      <c r="H53" s="130"/>
      <c r="I53" s="130" t="s">
        <v>85</v>
      </c>
      <c r="J53" s="130"/>
      <c r="K53" s="130"/>
    </row>
    <row r="54" spans="1:16" x14ac:dyDescent="0.25">
      <c r="A54" s="129">
        <v>46159</v>
      </c>
      <c r="B54" s="130">
        <v>1</v>
      </c>
      <c r="C54" s="130" t="s">
        <v>1172</v>
      </c>
      <c r="D54" s="130" t="s">
        <v>1280</v>
      </c>
      <c r="E54" s="131">
        <v>1199</v>
      </c>
      <c r="F54" s="131">
        <f>B54*E54</f>
        <v>1199</v>
      </c>
      <c r="G54" s="130" t="s">
        <v>8</v>
      </c>
      <c r="H54" s="130"/>
      <c r="I54" s="130"/>
      <c r="J54" s="130"/>
      <c r="K54" s="130"/>
    </row>
    <row r="55" spans="1:16" x14ac:dyDescent="0.25">
      <c r="A55" s="129">
        <v>46159</v>
      </c>
      <c r="B55" s="130">
        <v>2</v>
      </c>
      <c r="C55" s="130" t="s">
        <v>1172</v>
      </c>
      <c r="D55" s="130" t="s">
        <v>1281</v>
      </c>
      <c r="E55" s="131">
        <v>1199</v>
      </c>
      <c r="F55" s="131">
        <f t="shared" ref="F55:F75" si="3">B55*E55</f>
        <v>2398</v>
      </c>
      <c r="G55" s="130" t="s">
        <v>8</v>
      </c>
      <c r="H55" s="130"/>
      <c r="I55" s="130"/>
      <c r="J55" s="130"/>
      <c r="K55" s="130"/>
      <c r="P55">
        <v>17</v>
      </c>
    </row>
    <row r="56" spans="1:16" x14ac:dyDescent="0.25">
      <c r="A56" s="129">
        <v>46159</v>
      </c>
      <c r="B56" s="130">
        <v>1</v>
      </c>
      <c r="C56" s="130" t="s">
        <v>1172</v>
      </c>
      <c r="D56" s="130" t="s">
        <v>1264</v>
      </c>
      <c r="E56" s="131">
        <v>1199</v>
      </c>
      <c r="F56" s="131">
        <f t="shared" si="3"/>
        <v>1199</v>
      </c>
      <c r="G56" s="130" t="s">
        <v>8</v>
      </c>
      <c r="H56" s="130"/>
      <c r="I56" s="130"/>
      <c r="J56" s="130"/>
      <c r="K56" s="130"/>
      <c r="P56">
        <v>11</v>
      </c>
    </row>
    <row r="57" spans="1:16" x14ac:dyDescent="0.25">
      <c r="A57" s="129">
        <v>46160</v>
      </c>
      <c r="B57" s="130">
        <v>7</v>
      </c>
      <c r="C57" s="130" t="s">
        <v>1172</v>
      </c>
      <c r="D57" s="130" t="s">
        <v>1300</v>
      </c>
      <c r="E57" s="131">
        <v>1200</v>
      </c>
      <c r="F57" s="131">
        <f t="shared" si="3"/>
        <v>8400</v>
      </c>
      <c r="G57" s="130" t="s">
        <v>1282</v>
      </c>
      <c r="H57" s="130"/>
      <c r="I57" s="130" t="s">
        <v>1175</v>
      </c>
      <c r="J57" s="130"/>
      <c r="K57" s="130"/>
      <c r="P57">
        <v>23</v>
      </c>
    </row>
    <row r="58" spans="1:16" x14ac:dyDescent="0.25">
      <c r="A58" s="114">
        <v>46160</v>
      </c>
      <c r="B58" s="115">
        <v>4</v>
      </c>
      <c r="C58" s="115" t="s">
        <v>1172</v>
      </c>
      <c r="D58" s="115" t="s">
        <v>1275</v>
      </c>
      <c r="E58" s="116">
        <v>1199</v>
      </c>
      <c r="F58" s="116">
        <f t="shared" si="3"/>
        <v>4796</v>
      </c>
      <c r="G58" s="115" t="s">
        <v>47</v>
      </c>
      <c r="H58" s="115" t="s">
        <v>857</v>
      </c>
      <c r="I58" s="115" t="s">
        <v>1274</v>
      </c>
      <c r="J58" s="115"/>
      <c r="K58" s="115"/>
    </row>
    <row r="59" spans="1:16" x14ac:dyDescent="0.25">
      <c r="A59" s="114">
        <v>46160</v>
      </c>
      <c r="B59" s="115">
        <v>2</v>
      </c>
      <c r="C59" s="115" t="s">
        <v>1172</v>
      </c>
      <c r="D59" s="115" t="s">
        <v>1283</v>
      </c>
      <c r="E59" s="116">
        <v>1199</v>
      </c>
      <c r="F59" s="116">
        <f t="shared" si="3"/>
        <v>2398</v>
      </c>
      <c r="G59" s="115" t="s">
        <v>47</v>
      </c>
      <c r="H59" s="115" t="s">
        <v>857</v>
      </c>
      <c r="I59" s="115" t="s">
        <v>1274</v>
      </c>
      <c r="J59" s="115"/>
      <c r="K59" s="115"/>
    </row>
    <row r="60" spans="1:16" x14ac:dyDescent="0.25">
      <c r="A60" s="124">
        <v>46161</v>
      </c>
      <c r="B60" s="125">
        <v>2</v>
      </c>
      <c r="C60" s="125" t="s">
        <v>1172</v>
      </c>
      <c r="D60" s="125" t="s">
        <v>1238</v>
      </c>
      <c r="E60" s="126">
        <v>1199</v>
      </c>
      <c r="F60" s="126">
        <f t="shared" si="3"/>
        <v>2398</v>
      </c>
      <c r="G60" s="125" t="s">
        <v>62</v>
      </c>
      <c r="H60" s="125"/>
      <c r="I60" s="157" t="s">
        <v>1284</v>
      </c>
      <c r="J60" s="125"/>
      <c r="K60" s="125"/>
    </row>
    <row r="61" spans="1:16" x14ac:dyDescent="0.25">
      <c r="A61" s="114">
        <v>46161</v>
      </c>
      <c r="B61" s="115">
        <v>2</v>
      </c>
      <c r="C61" s="115" t="s">
        <v>1172</v>
      </c>
      <c r="D61" s="115" t="s">
        <v>1238</v>
      </c>
      <c r="E61" s="116">
        <v>1199</v>
      </c>
      <c r="F61" s="116">
        <f t="shared" si="3"/>
        <v>2398</v>
      </c>
      <c r="G61" s="115" t="s">
        <v>62</v>
      </c>
      <c r="H61" s="115"/>
      <c r="I61" s="158" t="s">
        <v>1285</v>
      </c>
      <c r="J61" s="115"/>
      <c r="K61" s="115"/>
    </row>
    <row r="62" spans="1:16" x14ac:dyDescent="0.25">
      <c r="A62" s="114">
        <v>46161</v>
      </c>
      <c r="B62" s="115">
        <v>2</v>
      </c>
      <c r="C62" s="115" t="s">
        <v>1172</v>
      </c>
      <c r="D62" s="115" t="s">
        <v>1238</v>
      </c>
      <c r="E62" s="116">
        <v>1199</v>
      </c>
      <c r="F62" s="116">
        <f t="shared" si="3"/>
        <v>2398</v>
      </c>
      <c r="G62" s="115" t="s">
        <v>62</v>
      </c>
      <c r="H62" s="115"/>
      <c r="I62" s="158" t="s">
        <v>1286</v>
      </c>
      <c r="J62" s="115"/>
      <c r="K62" s="115"/>
    </row>
    <row r="63" spans="1:16" x14ac:dyDescent="0.25">
      <c r="A63" s="129">
        <v>46161</v>
      </c>
      <c r="B63" s="130">
        <v>2</v>
      </c>
      <c r="C63" s="130" t="s">
        <v>1172</v>
      </c>
      <c r="D63" s="130" t="s">
        <v>1283</v>
      </c>
      <c r="E63" s="131">
        <v>1199</v>
      </c>
      <c r="F63" s="131">
        <f t="shared" si="3"/>
        <v>2398</v>
      </c>
      <c r="G63" s="130" t="s">
        <v>348</v>
      </c>
      <c r="H63" s="130"/>
      <c r="I63" s="159">
        <v>1438692841</v>
      </c>
      <c r="J63" s="130"/>
      <c r="K63" s="130"/>
    </row>
    <row r="64" spans="1:16" x14ac:dyDescent="0.25">
      <c r="A64" s="129">
        <v>46161</v>
      </c>
      <c r="B64" s="130">
        <v>2</v>
      </c>
      <c r="C64" s="130" t="s">
        <v>1172</v>
      </c>
      <c r="D64" s="130" t="s">
        <v>1283</v>
      </c>
      <c r="E64" s="131">
        <v>1199</v>
      </c>
      <c r="F64" s="131">
        <f t="shared" si="3"/>
        <v>2398</v>
      </c>
      <c r="G64" s="130" t="s">
        <v>348</v>
      </c>
      <c r="H64" s="130"/>
      <c r="I64" s="159" t="s">
        <v>1287</v>
      </c>
      <c r="J64" s="130"/>
      <c r="K64" s="130"/>
    </row>
    <row r="65" spans="1:11" x14ac:dyDescent="0.25">
      <c r="A65" s="129">
        <v>46161</v>
      </c>
      <c r="B65" s="130">
        <v>2</v>
      </c>
      <c r="C65" s="130" t="s">
        <v>1172</v>
      </c>
      <c r="D65" s="130" t="s">
        <v>1283</v>
      </c>
      <c r="E65" s="131">
        <v>1199</v>
      </c>
      <c r="F65" s="131">
        <f t="shared" si="3"/>
        <v>2398</v>
      </c>
      <c r="G65" s="130" t="s">
        <v>348</v>
      </c>
      <c r="H65" s="130"/>
      <c r="I65" s="159">
        <v>1441008586</v>
      </c>
      <c r="J65" s="130"/>
      <c r="K65" s="130"/>
    </row>
    <row r="66" spans="1:11" x14ac:dyDescent="0.25">
      <c r="A66" s="129">
        <v>46162</v>
      </c>
      <c r="B66" s="130">
        <v>5</v>
      </c>
      <c r="C66" s="130" t="s">
        <v>1172</v>
      </c>
      <c r="D66" s="130" t="s">
        <v>1230</v>
      </c>
      <c r="E66" s="131">
        <v>1199</v>
      </c>
      <c r="F66" s="131">
        <f t="shared" si="3"/>
        <v>5995</v>
      </c>
      <c r="G66" s="130" t="s">
        <v>8</v>
      </c>
      <c r="H66" s="130"/>
      <c r="I66" s="159"/>
      <c r="J66" s="130"/>
      <c r="K66" s="130"/>
    </row>
    <row r="67" spans="1:11" x14ac:dyDescent="0.25">
      <c r="A67" s="129">
        <v>46162</v>
      </c>
      <c r="B67" s="130">
        <v>3</v>
      </c>
      <c r="C67" s="130" t="s">
        <v>1227</v>
      </c>
      <c r="D67" s="130" t="s">
        <v>688</v>
      </c>
      <c r="E67" s="131">
        <v>1897</v>
      </c>
      <c r="F67" s="131">
        <f t="shared" si="3"/>
        <v>5691</v>
      </c>
      <c r="G67" s="130" t="s">
        <v>8</v>
      </c>
      <c r="H67" s="130"/>
      <c r="I67" s="159"/>
      <c r="J67" s="130"/>
      <c r="K67" s="130"/>
    </row>
    <row r="68" spans="1:11" x14ac:dyDescent="0.25">
      <c r="A68" s="129">
        <v>46162</v>
      </c>
      <c r="B68" s="130">
        <v>3</v>
      </c>
      <c r="C68" s="130" t="s">
        <v>1294</v>
      </c>
      <c r="D68" s="130" t="s">
        <v>688</v>
      </c>
      <c r="E68" s="131">
        <v>105</v>
      </c>
      <c r="F68" s="131">
        <f t="shared" si="3"/>
        <v>315</v>
      </c>
      <c r="G68" s="130" t="s">
        <v>8</v>
      </c>
      <c r="H68" s="130"/>
      <c r="I68" s="159"/>
      <c r="J68" s="130"/>
      <c r="K68" s="130"/>
    </row>
    <row r="69" spans="1:11" x14ac:dyDescent="0.25">
      <c r="A69" s="129">
        <v>46162</v>
      </c>
      <c r="B69" s="130">
        <v>3</v>
      </c>
      <c r="C69" s="130" t="s">
        <v>1227</v>
      </c>
      <c r="D69" s="130" t="s">
        <v>688</v>
      </c>
      <c r="E69" s="131">
        <v>1897</v>
      </c>
      <c r="F69" s="131">
        <f t="shared" si="3"/>
        <v>5691</v>
      </c>
      <c r="G69" s="130" t="s">
        <v>1299</v>
      </c>
      <c r="H69" s="130"/>
      <c r="I69" s="159" t="s">
        <v>7</v>
      </c>
      <c r="J69" s="130"/>
      <c r="K69" s="130"/>
    </row>
    <row r="70" spans="1:11" x14ac:dyDescent="0.25">
      <c r="A70" s="129">
        <v>46162</v>
      </c>
      <c r="B70" s="130">
        <v>2</v>
      </c>
      <c r="C70" s="130" t="s">
        <v>1227</v>
      </c>
      <c r="D70" s="130" t="s">
        <v>688</v>
      </c>
      <c r="E70" s="131">
        <v>1897</v>
      </c>
      <c r="F70" s="131">
        <f t="shared" si="3"/>
        <v>3794</v>
      </c>
      <c r="G70" s="130" t="s">
        <v>1299</v>
      </c>
      <c r="H70" s="130"/>
      <c r="I70" s="159" t="s">
        <v>1295</v>
      </c>
      <c r="J70" s="130"/>
      <c r="K70" s="130"/>
    </row>
    <row r="71" spans="1:11" x14ac:dyDescent="0.25">
      <c r="A71" s="114">
        <v>46162</v>
      </c>
      <c r="B71" s="115">
        <v>3</v>
      </c>
      <c r="C71" s="115" t="s">
        <v>1296</v>
      </c>
      <c r="D71" s="115" t="s">
        <v>688</v>
      </c>
      <c r="E71" s="116">
        <v>549</v>
      </c>
      <c r="F71" s="116">
        <f t="shared" si="3"/>
        <v>1647</v>
      </c>
      <c r="G71" s="115" t="s">
        <v>24</v>
      </c>
      <c r="H71" s="115"/>
      <c r="I71" s="153" t="s">
        <v>808</v>
      </c>
      <c r="J71" s="115"/>
      <c r="K71" s="115"/>
    </row>
    <row r="72" spans="1:11" x14ac:dyDescent="0.25">
      <c r="A72" s="114">
        <v>46162</v>
      </c>
      <c r="B72" s="115">
        <v>1</v>
      </c>
      <c r="C72" s="115" t="s">
        <v>1296</v>
      </c>
      <c r="D72" s="115" t="s">
        <v>688</v>
      </c>
      <c r="E72" s="116">
        <v>549</v>
      </c>
      <c r="F72" s="116">
        <f t="shared" si="3"/>
        <v>549</v>
      </c>
      <c r="G72" s="115" t="s">
        <v>24</v>
      </c>
      <c r="H72" s="115"/>
      <c r="I72" s="153" t="s">
        <v>491</v>
      </c>
      <c r="J72" s="115"/>
      <c r="K72" s="115"/>
    </row>
    <row r="73" spans="1:11" x14ac:dyDescent="0.25">
      <c r="A73" s="129">
        <v>46162</v>
      </c>
      <c r="B73" s="130">
        <v>2</v>
      </c>
      <c r="C73" s="130" t="s">
        <v>1227</v>
      </c>
      <c r="D73" s="130" t="s">
        <v>364</v>
      </c>
      <c r="E73" s="131">
        <v>1897</v>
      </c>
      <c r="F73" s="131">
        <f t="shared" si="3"/>
        <v>3794</v>
      </c>
      <c r="G73" s="130" t="s">
        <v>8</v>
      </c>
      <c r="H73" s="130"/>
      <c r="I73" s="159"/>
      <c r="J73" s="130"/>
      <c r="K73" s="130"/>
    </row>
    <row r="74" spans="1:11" x14ac:dyDescent="0.25">
      <c r="A74" s="129">
        <v>46162</v>
      </c>
      <c r="B74" s="130">
        <v>19</v>
      </c>
      <c r="C74" s="130" t="s">
        <v>1294</v>
      </c>
      <c r="D74" s="130" t="s">
        <v>364</v>
      </c>
      <c r="E74" s="131">
        <v>105</v>
      </c>
      <c r="F74" s="131">
        <f t="shared" si="3"/>
        <v>1995</v>
      </c>
      <c r="G74" s="130" t="s">
        <v>8</v>
      </c>
      <c r="H74" s="130"/>
      <c r="I74" s="159"/>
      <c r="J74" s="130"/>
      <c r="K74" s="130"/>
    </row>
    <row r="75" spans="1:11" x14ac:dyDescent="0.25">
      <c r="A75" s="129">
        <v>46162</v>
      </c>
      <c r="B75" s="130">
        <v>2</v>
      </c>
      <c r="C75" s="130" t="s">
        <v>406</v>
      </c>
      <c r="D75" s="130" t="s">
        <v>364</v>
      </c>
      <c r="E75" s="131">
        <v>1298</v>
      </c>
      <c r="F75" s="131">
        <f t="shared" si="3"/>
        <v>2596</v>
      </c>
      <c r="G75" s="130" t="s">
        <v>8</v>
      </c>
      <c r="H75" s="130"/>
      <c r="I75" s="159"/>
      <c r="J75" s="130"/>
      <c r="K75" s="130"/>
    </row>
    <row r="76" spans="1:11" x14ac:dyDescent="0.25">
      <c r="A76" s="129">
        <v>46163</v>
      </c>
      <c r="B76" s="130"/>
      <c r="C76" s="130" t="s">
        <v>1288</v>
      </c>
      <c r="D76" s="130" t="s">
        <v>1298</v>
      </c>
      <c r="E76" s="131"/>
      <c r="F76" s="131">
        <v>457</v>
      </c>
      <c r="G76" s="130"/>
      <c r="H76" s="130" t="s">
        <v>85</v>
      </c>
      <c r="I76" s="130"/>
      <c r="J76" s="130"/>
      <c r="K76" s="130"/>
    </row>
    <row r="77" spans="1:11" x14ac:dyDescent="0.25">
      <c r="A77" s="114">
        <v>46163</v>
      </c>
      <c r="B77" s="115">
        <v>2</v>
      </c>
      <c r="C77" s="115" t="s">
        <v>1172</v>
      </c>
      <c r="D77" s="115" t="s">
        <v>1283</v>
      </c>
      <c r="E77" s="116">
        <v>1199</v>
      </c>
      <c r="F77" s="116">
        <f t="shared" ref="F77:F84" si="4">B77*E77</f>
        <v>2398</v>
      </c>
      <c r="G77" s="115" t="s">
        <v>62</v>
      </c>
      <c r="H77" s="115"/>
      <c r="I77" s="152" t="s">
        <v>1289</v>
      </c>
      <c r="J77" s="115"/>
      <c r="K77" s="115"/>
    </row>
    <row r="78" spans="1:11" x14ac:dyDescent="0.25">
      <c r="A78" s="114">
        <v>46163</v>
      </c>
      <c r="B78" s="115">
        <v>2</v>
      </c>
      <c r="C78" s="115" t="s">
        <v>1172</v>
      </c>
      <c r="D78" s="115" t="s">
        <v>1283</v>
      </c>
      <c r="E78" s="116">
        <v>1199</v>
      </c>
      <c r="F78" s="116">
        <f t="shared" si="4"/>
        <v>2398</v>
      </c>
      <c r="G78" s="115" t="s">
        <v>62</v>
      </c>
      <c r="H78" s="115"/>
      <c r="I78" s="152">
        <v>1442067221</v>
      </c>
      <c r="J78" s="115"/>
      <c r="K78" s="115"/>
    </row>
    <row r="79" spans="1:11" x14ac:dyDescent="0.25">
      <c r="A79" s="114">
        <v>46163</v>
      </c>
      <c r="B79" s="115">
        <v>2</v>
      </c>
      <c r="C79" s="115" t="s">
        <v>1172</v>
      </c>
      <c r="D79" s="115" t="s">
        <v>1283</v>
      </c>
      <c r="E79" s="116">
        <v>1199</v>
      </c>
      <c r="F79" s="116">
        <f t="shared" si="4"/>
        <v>2398</v>
      </c>
      <c r="G79" s="115" t="s">
        <v>62</v>
      </c>
      <c r="H79" s="115"/>
      <c r="I79" s="152" t="s">
        <v>1290</v>
      </c>
      <c r="J79" s="115"/>
      <c r="K79" s="115"/>
    </row>
    <row r="80" spans="1:11" x14ac:dyDescent="0.25">
      <c r="A80" s="114">
        <v>46163</v>
      </c>
      <c r="B80" s="125">
        <v>2</v>
      </c>
      <c r="C80" s="125" t="s">
        <v>1172</v>
      </c>
      <c r="D80" s="125" t="s">
        <v>1238</v>
      </c>
      <c r="E80" s="126">
        <v>1199</v>
      </c>
      <c r="F80" s="126">
        <f t="shared" si="4"/>
        <v>2398</v>
      </c>
      <c r="G80" s="125" t="s">
        <v>62</v>
      </c>
      <c r="H80" s="115"/>
      <c r="I80" s="157" t="s">
        <v>1291</v>
      </c>
      <c r="J80" s="115"/>
      <c r="K80" s="115"/>
    </row>
    <row r="81" spans="1:11" x14ac:dyDescent="0.25">
      <c r="A81" s="114">
        <v>46163</v>
      </c>
      <c r="B81" s="115">
        <v>2</v>
      </c>
      <c r="C81" s="115" t="s">
        <v>1172</v>
      </c>
      <c r="D81" s="115" t="s">
        <v>1238</v>
      </c>
      <c r="E81" s="116">
        <v>1199</v>
      </c>
      <c r="F81" s="116">
        <f t="shared" si="4"/>
        <v>2398</v>
      </c>
      <c r="G81" s="115" t="s">
        <v>62</v>
      </c>
      <c r="H81" s="115"/>
      <c r="I81" s="157" t="s">
        <v>1292</v>
      </c>
      <c r="J81" s="115"/>
      <c r="K81" s="115"/>
    </row>
    <row r="82" spans="1:11" x14ac:dyDescent="0.25">
      <c r="A82" s="114">
        <v>46163</v>
      </c>
      <c r="B82" s="115">
        <v>2</v>
      </c>
      <c r="C82" s="115" t="s">
        <v>1172</v>
      </c>
      <c r="D82" s="115" t="s">
        <v>1238</v>
      </c>
      <c r="E82" s="116">
        <v>1199</v>
      </c>
      <c r="F82" s="116">
        <f t="shared" si="4"/>
        <v>2398</v>
      </c>
      <c r="G82" s="115" t="s">
        <v>62</v>
      </c>
      <c r="H82" s="115"/>
      <c r="I82" s="157" t="s">
        <v>1293</v>
      </c>
      <c r="J82" s="115"/>
      <c r="K82" s="115"/>
    </row>
    <row r="83" spans="1:11" x14ac:dyDescent="0.25">
      <c r="A83" s="129">
        <v>46165</v>
      </c>
      <c r="B83" s="130">
        <v>4</v>
      </c>
      <c r="C83" s="130" t="s">
        <v>1172</v>
      </c>
      <c r="D83" s="130" t="s">
        <v>1300</v>
      </c>
      <c r="E83" s="131">
        <v>1199</v>
      </c>
      <c r="F83" s="131">
        <f t="shared" si="4"/>
        <v>4796</v>
      </c>
      <c r="G83" s="130" t="s">
        <v>1282</v>
      </c>
      <c r="H83" s="130"/>
      <c r="I83" s="130" t="s">
        <v>1175</v>
      </c>
      <c r="J83" s="130"/>
      <c r="K83" s="130"/>
    </row>
    <row r="84" spans="1:11" x14ac:dyDescent="0.25">
      <c r="A84" s="129">
        <v>46165</v>
      </c>
      <c r="B84" s="130">
        <v>4</v>
      </c>
      <c r="C84" s="130" t="s">
        <v>1227</v>
      </c>
      <c r="D84" s="130" t="s">
        <v>7</v>
      </c>
      <c r="E84" s="131">
        <v>1897</v>
      </c>
      <c r="F84" s="131">
        <f t="shared" si="4"/>
        <v>7588</v>
      </c>
      <c r="G84" s="130" t="s">
        <v>8</v>
      </c>
      <c r="H84" s="130"/>
      <c r="I84" s="130"/>
      <c r="J84" s="130"/>
      <c r="K84" s="130"/>
    </row>
    <row r="85" spans="1:11" x14ac:dyDescent="0.25">
      <c r="A85" s="2"/>
      <c r="B85" s="2"/>
      <c r="C85" s="2"/>
      <c r="D85" s="2"/>
      <c r="E85" s="3"/>
      <c r="F85" s="3"/>
      <c r="G85" s="2"/>
      <c r="H85" s="2"/>
      <c r="I85" s="2"/>
      <c r="J85" s="2"/>
      <c r="K85" s="2"/>
    </row>
    <row r="86" spans="1:11" x14ac:dyDescent="0.25">
      <c r="A86" s="2"/>
      <c r="B86" s="2"/>
      <c r="C86" s="2"/>
      <c r="D86" s="2"/>
      <c r="E86" s="3"/>
      <c r="F86" s="3"/>
      <c r="G86" s="2"/>
      <c r="H86" s="2"/>
      <c r="I86" s="2"/>
      <c r="J86" s="2"/>
      <c r="K86" s="2"/>
    </row>
    <row r="87" spans="1:11" x14ac:dyDescent="0.25">
      <c r="A87" s="2"/>
      <c r="B87" s="2"/>
      <c r="C87" s="2"/>
      <c r="D87" s="2"/>
      <c r="E87" s="3"/>
      <c r="F87" s="3"/>
      <c r="G87" s="2"/>
      <c r="H87" s="2"/>
      <c r="I87" s="2"/>
      <c r="J87" s="2"/>
      <c r="K87" s="2"/>
    </row>
    <row r="88" spans="1:11" x14ac:dyDescent="0.25">
      <c r="A88" s="2"/>
      <c r="B88" s="2"/>
      <c r="C88" s="2"/>
      <c r="D88" s="2"/>
      <c r="E88" s="3"/>
      <c r="F88" s="3"/>
      <c r="G88" s="2"/>
      <c r="H88" s="2"/>
      <c r="I88" s="2"/>
      <c r="J88" s="2"/>
      <c r="K88" s="2"/>
    </row>
    <row r="89" spans="1:11" x14ac:dyDescent="0.25">
      <c r="A89" s="2"/>
      <c r="B89" s="2"/>
      <c r="C89" s="2"/>
      <c r="D89" s="2"/>
      <c r="E89" s="3"/>
      <c r="F89" s="3"/>
      <c r="G89" s="2"/>
      <c r="H89" s="2"/>
      <c r="I89" s="2"/>
      <c r="J89" s="2"/>
      <c r="K89" s="2"/>
    </row>
    <row r="90" spans="1:11" x14ac:dyDescent="0.25">
      <c r="A90" s="2"/>
      <c r="B90" s="2"/>
      <c r="C90" s="2"/>
      <c r="D90" s="2"/>
      <c r="E90" s="3"/>
      <c r="F90" s="3"/>
      <c r="G90" s="2"/>
      <c r="H90" s="2"/>
      <c r="I90" s="2"/>
      <c r="J90" s="2"/>
      <c r="K90" s="2"/>
    </row>
    <row r="91" spans="1:11" x14ac:dyDescent="0.25">
      <c r="A91" s="2"/>
      <c r="B91" s="2"/>
      <c r="C91" s="2"/>
      <c r="D91" s="2"/>
      <c r="E91" s="3"/>
      <c r="F91" s="3"/>
      <c r="G91" s="2"/>
      <c r="H91" s="2"/>
      <c r="I91" s="2"/>
      <c r="J91" s="2"/>
      <c r="K91" s="2"/>
    </row>
    <row r="92" spans="1:11" x14ac:dyDescent="0.25">
      <c r="A92" s="2"/>
      <c r="B92" s="2"/>
      <c r="C92" s="2"/>
      <c r="D92" s="2"/>
      <c r="E92" s="3"/>
      <c r="F92" s="3"/>
      <c r="G92" s="2"/>
      <c r="H92" s="2"/>
      <c r="I92" s="2"/>
      <c r="J92" s="2"/>
      <c r="K92" s="2"/>
    </row>
    <row r="93" spans="1:11" x14ac:dyDescent="0.25">
      <c r="A93" s="2"/>
      <c r="B93" s="2"/>
      <c r="C93" s="2"/>
      <c r="D93" s="2"/>
      <c r="E93" s="3"/>
      <c r="F93" s="3"/>
      <c r="G93" s="2"/>
      <c r="H93" s="2"/>
      <c r="I93" s="2"/>
      <c r="J93" s="2"/>
      <c r="K93" s="2"/>
    </row>
    <row r="94" spans="1:11" x14ac:dyDescent="0.25">
      <c r="A94" s="2"/>
      <c r="B94" s="2"/>
      <c r="C94" s="2"/>
      <c r="D94" s="2"/>
      <c r="E94" s="3"/>
      <c r="F94" s="3"/>
      <c r="G94" s="2"/>
      <c r="H94" s="2"/>
      <c r="I94" s="2"/>
      <c r="J94" s="2"/>
      <c r="K94" s="2"/>
    </row>
    <row r="95" spans="1:11" x14ac:dyDescent="0.25">
      <c r="A95" s="2"/>
      <c r="B95" s="2"/>
      <c r="C95" s="2"/>
      <c r="D95" s="2"/>
      <c r="E95" s="3"/>
      <c r="F95" s="3"/>
      <c r="G95" s="2"/>
      <c r="H95" s="2"/>
      <c r="I95" s="2"/>
      <c r="J95" s="2"/>
      <c r="K95" s="2"/>
    </row>
  </sheetData>
  <autoFilter ref="A1:O84" xr:uid="{E289719B-B45B-4953-A262-E8A1302D2B32}"/>
  <phoneticPr fontId="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EB80C6-8A2E-49B7-9A83-9E75D8FCDCCE}">
  <dimension ref="A1:R21"/>
  <sheetViews>
    <sheetView workbookViewId="0">
      <selection activeCell="E25" sqref="E25"/>
    </sheetView>
  </sheetViews>
  <sheetFormatPr defaultRowHeight="15" x14ac:dyDescent="0.25"/>
  <cols>
    <col min="1" max="1" width="28" bestFit="1" customWidth="1"/>
    <col min="3" max="3" width="9.7109375" bestFit="1" customWidth="1"/>
  </cols>
  <sheetData>
    <row r="1" spans="1:18" x14ac:dyDescent="0.25">
      <c r="A1" s="2" t="s">
        <v>1084</v>
      </c>
      <c r="B1" s="2" t="s">
        <v>0</v>
      </c>
      <c r="C1" s="2" t="s">
        <v>564</v>
      </c>
      <c r="H1" t="s">
        <v>311</v>
      </c>
      <c r="I1" t="s">
        <v>1085</v>
      </c>
      <c r="J1" t="s">
        <v>1086</v>
      </c>
    </row>
    <row r="2" spans="1:18" x14ac:dyDescent="0.25">
      <c r="A2" s="2" t="s">
        <v>1076</v>
      </c>
      <c r="B2" s="2">
        <v>200</v>
      </c>
      <c r="C2" s="2"/>
      <c r="D2">
        <v>550</v>
      </c>
      <c r="E2">
        <f>B2*D2</f>
        <v>110000</v>
      </c>
      <c r="F2">
        <f>E2/11</f>
        <v>10000</v>
      </c>
      <c r="G2">
        <f>(D2/11)</f>
        <v>50</v>
      </c>
      <c r="H2">
        <f>(D2-G2)*2.43</f>
        <v>1215</v>
      </c>
      <c r="I2">
        <v>1450</v>
      </c>
      <c r="J2">
        <f>I2-H2</f>
        <v>235</v>
      </c>
      <c r="K2">
        <f>B2*J2</f>
        <v>47000</v>
      </c>
      <c r="M2">
        <v>88</v>
      </c>
      <c r="N2">
        <v>570</v>
      </c>
      <c r="O2">
        <f>M2*N2</f>
        <v>50160</v>
      </c>
      <c r="P2">
        <v>256</v>
      </c>
      <c r="Q2">
        <v>29</v>
      </c>
    </row>
    <row r="3" spans="1:18" x14ac:dyDescent="0.25">
      <c r="A3" s="2" t="s">
        <v>664</v>
      </c>
      <c r="B3" s="2">
        <v>172</v>
      </c>
      <c r="C3" s="2"/>
      <c r="D3">
        <v>405</v>
      </c>
      <c r="E3">
        <f t="shared" ref="E3:E16" si="0">B3*D3</f>
        <v>69660</v>
      </c>
      <c r="F3">
        <f t="shared" ref="F3:F16" si="1">E3/11</f>
        <v>6332.727272727273</v>
      </c>
      <c r="G3">
        <f t="shared" ref="G3:G16" si="2">(D3/11)</f>
        <v>36.81818181818182</v>
      </c>
      <c r="H3">
        <f t="shared" ref="H3:H16" si="3">(D3-G3)*2.43</f>
        <v>894.68181818181824</v>
      </c>
      <c r="I3">
        <v>1225</v>
      </c>
      <c r="J3">
        <f t="shared" ref="J3:J16" si="4">I3-H3</f>
        <v>330.31818181818176</v>
      </c>
      <c r="K3">
        <f t="shared" ref="K3:K16" si="5">B3*J3</f>
        <v>56814.727272727265</v>
      </c>
      <c r="M3">
        <v>53</v>
      </c>
      <c r="N3">
        <v>420</v>
      </c>
      <c r="O3">
        <f>M3*N3</f>
        <v>22260</v>
      </c>
    </row>
    <row r="4" spans="1:18" x14ac:dyDescent="0.25">
      <c r="A4" s="2" t="s">
        <v>1077</v>
      </c>
      <c r="B4" s="2">
        <v>5</v>
      </c>
      <c r="C4" s="2"/>
      <c r="D4">
        <v>4400</v>
      </c>
      <c r="E4">
        <f t="shared" si="0"/>
        <v>22000</v>
      </c>
      <c r="F4">
        <f t="shared" si="1"/>
        <v>2000</v>
      </c>
      <c r="G4">
        <f t="shared" si="2"/>
        <v>400</v>
      </c>
      <c r="H4">
        <f t="shared" si="3"/>
        <v>9720</v>
      </c>
      <c r="I4">
        <v>11250</v>
      </c>
      <c r="J4">
        <f t="shared" si="4"/>
        <v>1530</v>
      </c>
      <c r="K4">
        <f t="shared" si="5"/>
        <v>7650</v>
      </c>
      <c r="O4">
        <f>SUM(O2:O3)</f>
        <v>72420</v>
      </c>
    </row>
    <row r="5" spans="1:18" x14ac:dyDescent="0.25">
      <c r="A5" s="2" t="s">
        <v>1078</v>
      </c>
      <c r="B5" s="2">
        <v>5</v>
      </c>
      <c r="C5" s="2"/>
      <c r="D5">
        <v>3250</v>
      </c>
      <c r="E5">
        <f t="shared" si="0"/>
        <v>16250</v>
      </c>
      <c r="F5">
        <f t="shared" si="1"/>
        <v>1477.2727272727273</v>
      </c>
      <c r="G5">
        <f t="shared" si="2"/>
        <v>295.45454545454544</v>
      </c>
      <c r="H5">
        <f t="shared" si="3"/>
        <v>7179.545454545455</v>
      </c>
      <c r="I5">
        <v>8250</v>
      </c>
      <c r="J5">
        <f t="shared" si="4"/>
        <v>1070.454545454545</v>
      </c>
      <c r="K5">
        <f t="shared" si="5"/>
        <v>5352.2727272727252</v>
      </c>
      <c r="O5">
        <f>O4*2.43</f>
        <v>175980.6</v>
      </c>
    </row>
    <row r="6" spans="1:18" x14ac:dyDescent="0.25">
      <c r="A6" s="2" t="s">
        <v>1079</v>
      </c>
      <c r="B6" s="2">
        <v>8</v>
      </c>
      <c r="C6" s="2"/>
      <c r="D6">
        <v>2390</v>
      </c>
      <c r="E6">
        <f t="shared" si="0"/>
        <v>19120</v>
      </c>
      <c r="F6">
        <f t="shared" si="1"/>
        <v>1738.1818181818182</v>
      </c>
      <c r="G6">
        <f t="shared" si="2"/>
        <v>217.27272727272728</v>
      </c>
      <c r="H6">
        <f t="shared" si="3"/>
        <v>5279.727272727273</v>
      </c>
      <c r="I6">
        <v>6500</v>
      </c>
      <c r="J6">
        <f t="shared" si="4"/>
        <v>1220.272727272727</v>
      </c>
      <c r="K6">
        <f t="shared" si="5"/>
        <v>9762.1818181818162</v>
      </c>
    </row>
    <row r="7" spans="1:18" x14ac:dyDescent="0.25">
      <c r="A7" s="2" t="s">
        <v>1080</v>
      </c>
      <c r="B7" s="2">
        <v>35</v>
      </c>
      <c r="C7" s="2" t="s">
        <v>720</v>
      </c>
      <c r="D7">
        <v>2300</v>
      </c>
      <c r="E7">
        <f t="shared" si="0"/>
        <v>80500</v>
      </c>
      <c r="F7">
        <f t="shared" si="1"/>
        <v>7318.181818181818</v>
      </c>
      <c r="G7">
        <f t="shared" si="2"/>
        <v>209.09090909090909</v>
      </c>
      <c r="H7">
        <f t="shared" si="3"/>
        <v>5080.909090909091</v>
      </c>
      <c r="I7">
        <v>4950</v>
      </c>
      <c r="J7">
        <f t="shared" si="4"/>
        <v>-130.90909090909099</v>
      </c>
      <c r="K7">
        <f t="shared" si="5"/>
        <v>-4581.8181818181847</v>
      </c>
    </row>
    <row r="8" spans="1:18" x14ac:dyDescent="0.25">
      <c r="A8" s="2" t="s">
        <v>1054</v>
      </c>
      <c r="B8" s="2">
        <v>6</v>
      </c>
      <c r="C8" s="2"/>
      <c r="D8">
        <v>1397</v>
      </c>
      <c r="E8">
        <f t="shared" si="0"/>
        <v>8382</v>
      </c>
      <c r="F8">
        <f t="shared" si="1"/>
        <v>762</v>
      </c>
      <c r="G8">
        <f t="shared" si="2"/>
        <v>127</v>
      </c>
      <c r="H8">
        <f t="shared" si="3"/>
        <v>3086.1000000000004</v>
      </c>
      <c r="I8">
        <v>3600</v>
      </c>
      <c r="J8">
        <f t="shared" si="4"/>
        <v>513.89999999999964</v>
      </c>
      <c r="K8">
        <f t="shared" si="5"/>
        <v>3083.3999999999978</v>
      </c>
    </row>
    <row r="9" spans="1:18" x14ac:dyDescent="0.25">
      <c r="A9" s="2" t="s">
        <v>1081</v>
      </c>
      <c r="B9" s="2">
        <v>3</v>
      </c>
      <c r="C9" s="2"/>
      <c r="D9">
        <v>2649</v>
      </c>
      <c r="E9">
        <f t="shared" si="0"/>
        <v>7947</v>
      </c>
      <c r="F9">
        <f t="shared" si="1"/>
        <v>722.4545454545455</v>
      </c>
      <c r="G9">
        <f t="shared" si="2"/>
        <v>240.81818181818181</v>
      </c>
      <c r="H9">
        <f t="shared" si="3"/>
        <v>5851.8818181818178</v>
      </c>
      <c r="J9">
        <v>250</v>
      </c>
      <c r="K9">
        <f t="shared" si="5"/>
        <v>750</v>
      </c>
    </row>
    <row r="10" spans="1:18" x14ac:dyDescent="0.25">
      <c r="A10" s="2" t="s">
        <v>1082</v>
      </c>
      <c r="B10" s="2">
        <v>3</v>
      </c>
      <c r="C10" s="2"/>
      <c r="D10">
        <v>539</v>
      </c>
      <c r="E10">
        <f t="shared" si="0"/>
        <v>1617</v>
      </c>
      <c r="F10">
        <f t="shared" si="1"/>
        <v>147</v>
      </c>
      <c r="G10">
        <f t="shared" si="2"/>
        <v>49</v>
      </c>
      <c r="H10">
        <f t="shared" si="3"/>
        <v>1190.7</v>
      </c>
      <c r="J10">
        <v>100</v>
      </c>
      <c r="K10">
        <f t="shared" si="5"/>
        <v>300</v>
      </c>
      <c r="Q10">
        <v>200</v>
      </c>
      <c r="R10">
        <f>M2*Q10</f>
        <v>17600</v>
      </c>
    </row>
    <row r="11" spans="1:18" x14ac:dyDescent="0.25">
      <c r="A11" s="2" t="s">
        <v>988</v>
      </c>
      <c r="B11" s="2">
        <v>8</v>
      </c>
      <c r="C11" s="2"/>
      <c r="D11">
        <v>420</v>
      </c>
      <c r="E11">
        <f t="shared" si="0"/>
        <v>3360</v>
      </c>
      <c r="F11">
        <f t="shared" si="1"/>
        <v>305.45454545454544</v>
      </c>
      <c r="G11">
        <f t="shared" si="2"/>
        <v>38.18181818181818</v>
      </c>
      <c r="H11">
        <f t="shared" si="3"/>
        <v>927.81818181818187</v>
      </c>
      <c r="J11">
        <v>200</v>
      </c>
      <c r="K11">
        <f t="shared" si="5"/>
        <v>1600</v>
      </c>
      <c r="Q11">
        <v>300</v>
      </c>
      <c r="R11">
        <f>M3*Q11</f>
        <v>15900</v>
      </c>
    </row>
    <row r="12" spans="1:18" x14ac:dyDescent="0.25">
      <c r="A12" s="2" t="s">
        <v>1083</v>
      </c>
      <c r="B12" s="2">
        <v>24</v>
      </c>
      <c r="C12" s="2" t="s">
        <v>720</v>
      </c>
      <c r="D12">
        <v>130</v>
      </c>
      <c r="E12">
        <f t="shared" si="0"/>
        <v>3120</v>
      </c>
      <c r="F12">
        <f t="shared" si="1"/>
        <v>283.63636363636363</v>
      </c>
      <c r="G12">
        <f t="shared" si="2"/>
        <v>11.818181818181818</v>
      </c>
      <c r="H12">
        <f t="shared" si="3"/>
        <v>287.18181818181819</v>
      </c>
      <c r="I12">
        <v>345</v>
      </c>
      <c r="J12">
        <f t="shared" si="4"/>
        <v>57.818181818181813</v>
      </c>
      <c r="K12">
        <f t="shared" si="5"/>
        <v>1387.6363636363635</v>
      </c>
      <c r="R12">
        <f>SUM(R10:R11)</f>
        <v>33500</v>
      </c>
    </row>
    <row r="13" spans="1:18" x14ac:dyDescent="0.25">
      <c r="A13" s="2" t="s">
        <v>661</v>
      </c>
      <c r="B13" s="2">
        <v>35</v>
      </c>
      <c r="C13" s="2" t="s">
        <v>720</v>
      </c>
      <c r="D13">
        <v>415</v>
      </c>
      <c r="E13">
        <f t="shared" si="0"/>
        <v>14525</v>
      </c>
      <c r="F13">
        <f t="shared" si="1"/>
        <v>1320.4545454545455</v>
      </c>
      <c r="G13">
        <f t="shared" si="2"/>
        <v>37.727272727272727</v>
      </c>
      <c r="H13">
        <f t="shared" si="3"/>
        <v>916.77272727272725</v>
      </c>
      <c r="I13">
        <v>975</v>
      </c>
      <c r="J13">
        <f t="shared" si="4"/>
        <v>58.227272727272748</v>
      </c>
      <c r="K13">
        <f t="shared" si="5"/>
        <v>2037.9545454545462</v>
      </c>
      <c r="R13">
        <f>5000*2.43</f>
        <v>12150</v>
      </c>
    </row>
    <row r="14" spans="1:18" x14ac:dyDescent="0.25">
      <c r="A14" s="2" t="s">
        <v>225</v>
      </c>
      <c r="B14" s="2">
        <v>3</v>
      </c>
      <c r="C14" s="2"/>
      <c r="D14">
        <v>259</v>
      </c>
      <c r="E14">
        <f t="shared" si="0"/>
        <v>777</v>
      </c>
      <c r="F14">
        <f t="shared" si="1"/>
        <v>70.63636363636364</v>
      </c>
      <c r="G14">
        <f t="shared" si="2"/>
        <v>23.545454545454547</v>
      </c>
      <c r="H14">
        <f t="shared" si="3"/>
        <v>572.15454545454543</v>
      </c>
      <c r="I14">
        <v>0</v>
      </c>
      <c r="J14">
        <v>0</v>
      </c>
      <c r="K14">
        <f t="shared" si="5"/>
        <v>0</v>
      </c>
      <c r="R14">
        <f>R12-12150</f>
        <v>21350</v>
      </c>
    </row>
    <row r="15" spans="1:18" x14ac:dyDescent="0.25">
      <c r="A15" s="2" t="s">
        <v>1050</v>
      </c>
      <c r="B15" s="2">
        <v>3</v>
      </c>
      <c r="C15" s="2"/>
      <c r="D15">
        <v>520</v>
      </c>
      <c r="E15">
        <f t="shared" si="0"/>
        <v>1560</v>
      </c>
      <c r="F15">
        <f t="shared" si="1"/>
        <v>141.81818181818181</v>
      </c>
      <c r="G15">
        <f t="shared" si="2"/>
        <v>47.272727272727273</v>
      </c>
      <c r="H15">
        <f t="shared" si="3"/>
        <v>1148.7272727272727</v>
      </c>
      <c r="I15">
        <v>1400</v>
      </c>
      <c r="J15">
        <f t="shared" si="4"/>
        <v>251.27272727272725</v>
      </c>
      <c r="K15">
        <f t="shared" si="5"/>
        <v>753.81818181818176</v>
      </c>
    </row>
    <row r="16" spans="1:18" x14ac:dyDescent="0.25">
      <c r="A16" s="2" t="s">
        <v>323</v>
      </c>
      <c r="B16" s="2">
        <v>6</v>
      </c>
      <c r="C16" s="2"/>
      <c r="D16">
        <v>650</v>
      </c>
      <c r="E16">
        <f t="shared" si="0"/>
        <v>3900</v>
      </c>
      <c r="F16">
        <f t="shared" si="1"/>
        <v>354.54545454545456</v>
      </c>
      <c r="G16">
        <f t="shared" si="2"/>
        <v>59.090909090909093</v>
      </c>
      <c r="H16">
        <f t="shared" si="3"/>
        <v>1435.909090909091</v>
      </c>
      <c r="I16">
        <v>1750</v>
      </c>
      <c r="J16">
        <f t="shared" si="4"/>
        <v>314.09090909090901</v>
      </c>
      <c r="K16">
        <f t="shared" si="5"/>
        <v>1884.545454545454</v>
      </c>
    </row>
    <row r="17" spans="1:11" x14ac:dyDescent="0.25">
      <c r="A17" s="2" t="s">
        <v>909</v>
      </c>
      <c r="B17" s="2">
        <v>4</v>
      </c>
      <c r="C17" s="2"/>
      <c r="E17">
        <f>SUM(E2:E16)</f>
        <v>362718</v>
      </c>
      <c r="F17">
        <f>SUM(F2:F16)</f>
        <v>32974.363636363632</v>
      </c>
      <c r="H17">
        <f>10143*2.43</f>
        <v>24647.49</v>
      </c>
      <c r="K17">
        <f>SUM(K2:K16)</f>
        <v>133794.71818181814</v>
      </c>
    </row>
    <row r="18" spans="1:11" x14ac:dyDescent="0.25">
      <c r="K18">
        <f>K17-H17</f>
        <v>109147.22818181814</v>
      </c>
    </row>
    <row r="19" spans="1:11" x14ac:dyDescent="0.25">
      <c r="A19" s="2" t="s">
        <v>1087</v>
      </c>
      <c r="B19" s="2" t="s">
        <v>0</v>
      </c>
      <c r="C19" s="2" t="s">
        <v>564</v>
      </c>
    </row>
    <row r="20" spans="1:11" x14ac:dyDescent="0.25">
      <c r="A20" s="2" t="s">
        <v>1076</v>
      </c>
      <c r="B20" s="2">
        <v>88</v>
      </c>
      <c r="C20" s="2"/>
    </row>
    <row r="21" spans="1:11" x14ac:dyDescent="0.25">
      <c r="A21" s="2" t="s">
        <v>664</v>
      </c>
      <c r="B21" s="2">
        <v>53</v>
      </c>
      <c r="C21" s="2"/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64003-97F1-4346-A50C-403ABE149426}">
  <dimension ref="A1:R92"/>
  <sheetViews>
    <sheetView workbookViewId="0">
      <selection activeCell="A234" sqref="A234:I234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36.28515625" bestFit="1" customWidth="1"/>
    <col min="4" max="4" width="25.5703125" bestFit="1" customWidth="1"/>
    <col min="5" max="5" width="10.140625" bestFit="1" customWidth="1"/>
    <col min="6" max="6" width="11" bestFit="1" customWidth="1"/>
    <col min="7" max="7" width="38.5703125" bestFit="1" customWidth="1"/>
    <col min="8" max="8" width="7.85546875" bestFit="1" customWidth="1"/>
    <col min="9" max="9" width="12.140625" bestFit="1" customWidth="1"/>
    <col min="11" max="11" width="12.28515625" bestFit="1" customWidth="1"/>
  </cols>
  <sheetData>
    <row r="1" spans="1:18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J1" s="2"/>
    </row>
    <row r="2" spans="1:18" x14ac:dyDescent="0.25">
      <c r="A2" s="68">
        <v>46026</v>
      </c>
      <c r="B2" s="2">
        <v>2</v>
      </c>
      <c r="C2" s="2" t="s">
        <v>969</v>
      </c>
      <c r="D2" s="2" t="s">
        <v>674</v>
      </c>
      <c r="E2" s="65">
        <v>2010</v>
      </c>
      <c r="F2" s="65">
        <f t="shared" ref="F2:F15" si="0">E2*B2</f>
        <v>4020</v>
      </c>
      <c r="G2" s="2" t="s">
        <v>1034</v>
      </c>
      <c r="H2" s="2"/>
      <c r="I2" s="2"/>
      <c r="J2" s="2"/>
    </row>
    <row r="3" spans="1:18" x14ac:dyDescent="0.25">
      <c r="A3" s="68">
        <v>46026</v>
      </c>
      <c r="B3" s="2">
        <v>2</v>
      </c>
      <c r="C3" s="2" t="s">
        <v>969</v>
      </c>
      <c r="D3" s="2" t="s">
        <v>19</v>
      </c>
      <c r="E3" s="65">
        <v>2010</v>
      </c>
      <c r="F3" s="65">
        <f t="shared" si="0"/>
        <v>4020</v>
      </c>
      <c r="G3" s="2" t="s">
        <v>1039</v>
      </c>
      <c r="H3" s="2"/>
      <c r="I3" s="2"/>
      <c r="J3" s="2"/>
    </row>
    <row r="4" spans="1:18" x14ac:dyDescent="0.25">
      <c r="A4" s="68">
        <v>46024</v>
      </c>
      <c r="B4" s="2">
        <v>1</v>
      </c>
      <c r="C4" s="2" t="s">
        <v>1011</v>
      </c>
      <c r="D4" s="2" t="s">
        <v>1012</v>
      </c>
      <c r="E4" s="65">
        <v>104</v>
      </c>
      <c r="F4" s="65">
        <f t="shared" si="0"/>
        <v>104</v>
      </c>
      <c r="G4" s="2" t="s">
        <v>85</v>
      </c>
      <c r="H4" s="2"/>
      <c r="I4" s="2"/>
      <c r="J4" s="2"/>
    </row>
    <row r="5" spans="1:18" x14ac:dyDescent="0.25">
      <c r="A5" s="68">
        <v>46025</v>
      </c>
      <c r="B5" s="2">
        <v>2</v>
      </c>
      <c r="C5" s="2" t="s">
        <v>1013</v>
      </c>
      <c r="D5" s="2" t="s">
        <v>857</v>
      </c>
      <c r="E5" s="65">
        <v>398</v>
      </c>
      <c r="F5" s="65">
        <f t="shared" si="0"/>
        <v>796</v>
      </c>
      <c r="G5" s="2" t="s">
        <v>1023</v>
      </c>
      <c r="H5" s="2"/>
      <c r="I5" s="2"/>
      <c r="J5" s="2"/>
    </row>
    <row r="6" spans="1:18" x14ac:dyDescent="0.25">
      <c r="A6" s="68">
        <v>46025</v>
      </c>
      <c r="B6" s="2">
        <v>8</v>
      </c>
      <c r="C6" s="2" t="s">
        <v>971</v>
      </c>
      <c r="D6" s="2" t="s">
        <v>857</v>
      </c>
      <c r="E6" s="65">
        <v>629</v>
      </c>
      <c r="F6" s="65">
        <f t="shared" si="0"/>
        <v>5032</v>
      </c>
      <c r="G6" s="2" t="s">
        <v>1023</v>
      </c>
      <c r="H6" s="2"/>
      <c r="I6" s="2" t="s">
        <v>115</v>
      </c>
      <c r="J6" s="2"/>
      <c r="P6" s="79"/>
    </row>
    <row r="7" spans="1:18" x14ac:dyDescent="0.25">
      <c r="A7" s="68">
        <v>46025</v>
      </c>
      <c r="B7" s="2">
        <v>2</v>
      </c>
      <c r="C7" s="2" t="s">
        <v>971</v>
      </c>
      <c r="D7" s="2" t="s">
        <v>857</v>
      </c>
      <c r="E7" s="65">
        <v>629</v>
      </c>
      <c r="F7" s="65">
        <f t="shared" si="0"/>
        <v>1258</v>
      </c>
      <c r="G7" s="2" t="s">
        <v>1023</v>
      </c>
      <c r="H7" s="2"/>
      <c r="I7" s="2"/>
      <c r="J7" s="2"/>
      <c r="P7" s="79"/>
    </row>
    <row r="8" spans="1:18" x14ac:dyDescent="0.25">
      <c r="A8" s="68">
        <v>46025</v>
      </c>
      <c r="B8" s="2">
        <v>4</v>
      </c>
      <c r="C8" s="2" t="s">
        <v>979</v>
      </c>
      <c r="D8" s="2" t="s">
        <v>857</v>
      </c>
      <c r="E8" s="65">
        <v>477</v>
      </c>
      <c r="F8" s="65">
        <f t="shared" si="0"/>
        <v>1908</v>
      </c>
      <c r="G8" s="2" t="s">
        <v>1023</v>
      </c>
      <c r="H8" s="2"/>
      <c r="I8" s="2"/>
      <c r="J8" s="2"/>
      <c r="O8" s="11"/>
      <c r="P8" s="99"/>
      <c r="Q8" s="11"/>
      <c r="R8" s="11"/>
    </row>
    <row r="9" spans="1:18" x14ac:dyDescent="0.25">
      <c r="A9" s="68">
        <v>46025</v>
      </c>
      <c r="B9" s="2">
        <v>2</v>
      </c>
      <c r="C9" s="2" t="s">
        <v>971</v>
      </c>
      <c r="D9" s="2" t="s">
        <v>1024</v>
      </c>
      <c r="E9" s="65">
        <v>629</v>
      </c>
      <c r="F9" s="65">
        <f t="shared" si="0"/>
        <v>1258</v>
      </c>
      <c r="G9" s="2" t="s">
        <v>1022</v>
      </c>
      <c r="H9" s="2"/>
      <c r="I9" s="2"/>
      <c r="J9" s="2"/>
      <c r="O9" s="20"/>
      <c r="P9" s="98"/>
      <c r="Q9" s="20"/>
      <c r="R9" s="20"/>
    </row>
    <row r="10" spans="1:18" x14ac:dyDescent="0.25">
      <c r="A10" s="68">
        <v>46027</v>
      </c>
      <c r="B10" s="2">
        <v>1</v>
      </c>
      <c r="C10" s="2" t="s">
        <v>1026</v>
      </c>
      <c r="D10" s="2" t="s">
        <v>857</v>
      </c>
      <c r="E10" s="65">
        <v>510</v>
      </c>
      <c r="F10" s="65">
        <f t="shared" si="0"/>
        <v>510</v>
      </c>
      <c r="G10" s="2" t="s">
        <v>1027</v>
      </c>
      <c r="H10" s="2"/>
      <c r="I10" s="2" t="s">
        <v>85</v>
      </c>
      <c r="J10" s="2"/>
      <c r="O10" s="20"/>
      <c r="P10" s="98"/>
      <c r="Q10" s="20"/>
      <c r="R10" s="20"/>
    </row>
    <row r="11" spans="1:18" x14ac:dyDescent="0.25">
      <c r="A11" s="68">
        <v>46028</v>
      </c>
      <c r="B11" s="2">
        <v>2</v>
      </c>
      <c r="C11" s="2" t="s">
        <v>969</v>
      </c>
      <c r="D11" s="2" t="s">
        <v>19</v>
      </c>
      <c r="E11" s="65">
        <v>2010</v>
      </c>
      <c r="F11" s="65">
        <f t="shared" si="0"/>
        <v>4020</v>
      </c>
      <c r="G11" s="2" t="s">
        <v>1039</v>
      </c>
      <c r="H11" s="2"/>
      <c r="I11" s="2"/>
      <c r="J11" s="2"/>
      <c r="P11" s="79"/>
    </row>
    <row r="12" spans="1:18" x14ac:dyDescent="0.25">
      <c r="A12" s="68">
        <v>46028</v>
      </c>
      <c r="B12" s="2">
        <v>2</v>
      </c>
      <c r="C12" s="2" t="s">
        <v>969</v>
      </c>
      <c r="D12" s="2" t="s">
        <v>70</v>
      </c>
      <c r="E12" s="65">
        <v>2010</v>
      </c>
      <c r="F12" s="65">
        <f t="shared" si="0"/>
        <v>4020</v>
      </c>
      <c r="G12" s="2" t="s">
        <v>1038</v>
      </c>
      <c r="H12" s="2"/>
      <c r="I12" s="2"/>
      <c r="J12" s="2"/>
      <c r="L12">
        <v>104</v>
      </c>
      <c r="P12" s="79"/>
    </row>
    <row r="13" spans="1:18" x14ac:dyDescent="0.25">
      <c r="A13" s="68">
        <v>46028</v>
      </c>
      <c r="B13" s="2">
        <v>2</v>
      </c>
      <c r="C13" s="2" t="s">
        <v>969</v>
      </c>
      <c r="D13" s="2" t="s">
        <v>70</v>
      </c>
      <c r="E13" s="65">
        <v>2010</v>
      </c>
      <c r="F13" s="65">
        <f t="shared" si="0"/>
        <v>4020</v>
      </c>
      <c r="G13" s="2" t="s">
        <v>1036</v>
      </c>
      <c r="H13" s="2"/>
      <c r="I13" s="2"/>
      <c r="J13" s="2"/>
      <c r="L13">
        <v>510</v>
      </c>
      <c r="P13" s="79"/>
    </row>
    <row r="14" spans="1:18" x14ac:dyDescent="0.25">
      <c r="A14" s="68">
        <v>46028</v>
      </c>
      <c r="B14" s="2">
        <v>2</v>
      </c>
      <c r="C14" s="2" t="s">
        <v>969</v>
      </c>
      <c r="D14" s="2" t="s">
        <v>1031</v>
      </c>
      <c r="E14" s="65">
        <v>2010</v>
      </c>
      <c r="F14" s="65">
        <f t="shared" si="0"/>
        <v>4020</v>
      </c>
      <c r="G14" s="2" t="s">
        <v>1037</v>
      </c>
      <c r="H14" s="2"/>
      <c r="I14" s="2"/>
      <c r="J14" s="2"/>
      <c r="L14">
        <v>11423</v>
      </c>
      <c r="P14" s="79"/>
    </row>
    <row r="15" spans="1:18" x14ac:dyDescent="0.25">
      <c r="A15" s="68">
        <v>46028</v>
      </c>
      <c r="B15" s="2">
        <v>1</v>
      </c>
      <c r="C15" s="2" t="s">
        <v>969</v>
      </c>
      <c r="D15" s="2" t="s">
        <v>675</v>
      </c>
      <c r="E15" s="65">
        <v>2010</v>
      </c>
      <c r="F15" s="65">
        <f t="shared" si="0"/>
        <v>2010</v>
      </c>
      <c r="G15" s="2" t="s">
        <v>1042</v>
      </c>
      <c r="H15" s="2"/>
      <c r="I15" s="2"/>
      <c r="J15" s="2"/>
      <c r="O15">
        <v>642</v>
      </c>
      <c r="P15" s="79"/>
    </row>
    <row r="16" spans="1:18" x14ac:dyDescent="0.25">
      <c r="A16" s="68">
        <v>46029</v>
      </c>
      <c r="B16" s="2">
        <v>1</v>
      </c>
      <c r="C16" s="2" t="s">
        <v>542</v>
      </c>
      <c r="D16" s="2" t="s">
        <v>1032</v>
      </c>
      <c r="E16" s="100">
        <v>11423.05</v>
      </c>
      <c r="F16" s="100">
        <v>11423.05</v>
      </c>
      <c r="G16" s="2" t="s">
        <v>1033</v>
      </c>
      <c r="H16" s="2"/>
      <c r="I16" s="2"/>
      <c r="J16" s="2"/>
      <c r="P16" s="79"/>
    </row>
    <row r="17" spans="1:16" x14ac:dyDescent="0.25">
      <c r="A17" s="68">
        <v>46031</v>
      </c>
      <c r="B17" s="2">
        <v>2</v>
      </c>
      <c r="C17" s="2" t="s">
        <v>969</v>
      </c>
      <c r="D17" s="2" t="s">
        <v>674</v>
      </c>
      <c r="E17" s="65">
        <v>2010</v>
      </c>
      <c r="F17" s="65">
        <f>B17*E17</f>
        <v>4020</v>
      </c>
      <c r="G17" s="2" t="s">
        <v>1064</v>
      </c>
      <c r="H17" s="2"/>
      <c r="I17" s="2"/>
      <c r="J17" s="2"/>
      <c r="P17" s="79"/>
    </row>
    <row r="18" spans="1:16" x14ac:dyDescent="0.25">
      <c r="A18" s="68">
        <v>46031</v>
      </c>
      <c r="B18" s="2">
        <v>2</v>
      </c>
      <c r="C18" s="2" t="s">
        <v>969</v>
      </c>
      <c r="D18" s="2" t="s">
        <v>1031</v>
      </c>
      <c r="E18" s="65">
        <v>2010</v>
      </c>
      <c r="F18" s="65">
        <f t="shared" ref="F18:F21" si="1">B18*E18</f>
        <v>4020</v>
      </c>
      <c r="G18" s="2" t="s">
        <v>1063</v>
      </c>
      <c r="H18" s="2"/>
      <c r="I18" s="2"/>
      <c r="J18" s="2"/>
      <c r="P18" s="79"/>
    </row>
    <row r="19" spans="1:16" x14ac:dyDescent="0.25">
      <c r="A19" s="68">
        <v>46031</v>
      </c>
      <c r="B19" s="2">
        <v>2</v>
      </c>
      <c r="C19" s="2" t="s">
        <v>969</v>
      </c>
      <c r="D19" s="2" t="s">
        <v>1040</v>
      </c>
      <c r="E19" s="65">
        <v>2010</v>
      </c>
      <c r="F19" s="65">
        <f t="shared" si="1"/>
        <v>4020</v>
      </c>
      <c r="G19" s="2" t="s">
        <v>1064</v>
      </c>
      <c r="H19" s="2"/>
      <c r="I19" s="2"/>
      <c r="J19" s="2"/>
      <c r="P19" s="79"/>
    </row>
    <row r="20" spans="1:16" x14ac:dyDescent="0.25">
      <c r="A20" s="68">
        <v>46031</v>
      </c>
      <c r="B20" s="2">
        <v>1</v>
      </c>
      <c r="C20" s="2" t="s">
        <v>969</v>
      </c>
      <c r="D20" s="2" t="s">
        <v>27</v>
      </c>
      <c r="E20" s="65">
        <v>2010</v>
      </c>
      <c r="F20" s="65">
        <f t="shared" si="1"/>
        <v>2010</v>
      </c>
      <c r="G20" s="2" t="s">
        <v>1042</v>
      </c>
      <c r="H20" s="2"/>
      <c r="I20" s="2"/>
      <c r="J20" s="2"/>
      <c r="P20" s="79"/>
    </row>
    <row r="21" spans="1:16" x14ac:dyDescent="0.25">
      <c r="A21" s="68">
        <v>46031</v>
      </c>
      <c r="B21" s="2">
        <v>2</v>
      </c>
      <c r="C21" s="2" t="s">
        <v>969</v>
      </c>
      <c r="D21" s="2" t="s">
        <v>813</v>
      </c>
      <c r="E21" s="65">
        <v>2010</v>
      </c>
      <c r="F21" s="65">
        <f t="shared" si="1"/>
        <v>4020</v>
      </c>
      <c r="G21" s="2" t="s">
        <v>1042</v>
      </c>
      <c r="H21" s="2"/>
      <c r="I21" s="2"/>
      <c r="J21" s="2"/>
      <c r="P21" s="79"/>
    </row>
    <row r="22" spans="1:16" x14ac:dyDescent="0.25">
      <c r="A22" s="68">
        <v>46033</v>
      </c>
      <c r="B22" s="2">
        <v>7</v>
      </c>
      <c r="C22" s="2" t="s">
        <v>1062</v>
      </c>
      <c r="D22" s="2" t="s">
        <v>677</v>
      </c>
      <c r="E22" s="21">
        <v>2197</v>
      </c>
      <c r="F22" s="21">
        <f>B22*E22</f>
        <v>15379</v>
      </c>
      <c r="G22" s="2" t="s">
        <v>1061</v>
      </c>
      <c r="H22" s="2"/>
      <c r="I22" s="2"/>
      <c r="J22" s="2"/>
    </row>
    <row r="23" spans="1:16" x14ac:dyDescent="0.25">
      <c r="A23" s="68">
        <v>46036</v>
      </c>
      <c r="B23" s="2">
        <v>8</v>
      </c>
      <c r="C23" s="2" t="s">
        <v>1046</v>
      </c>
      <c r="D23" s="2" t="s">
        <v>335</v>
      </c>
      <c r="E23" s="65">
        <v>2490</v>
      </c>
      <c r="F23" s="65">
        <f>B23*E23</f>
        <v>19920</v>
      </c>
      <c r="G23" s="2" t="s">
        <v>1071</v>
      </c>
      <c r="H23" s="2"/>
      <c r="I23" s="2"/>
      <c r="J23" s="2"/>
    </row>
    <row r="24" spans="1:16" x14ac:dyDescent="0.25">
      <c r="A24" s="68">
        <v>46036</v>
      </c>
      <c r="B24" s="2">
        <v>25</v>
      </c>
      <c r="C24" s="2" t="s">
        <v>1047</v>
      </c>
      <c r="D24" s="2" t="s">
        <v>335</v>
      </c>
      <c r="E24" s="65">
        <v>415</v>
      </c>
      <c r="F24" s="65">
        <f>B24*E24</f>
        <v>10375</v>
      </c>
      <c r="G24" s="2" t="s">
        <v>1071</v>
      </c>
      <c r="H24" s="2"/>
      <c r="I24" s="2"/>
      <c r="J24" s="2"/>
    </row>
    <row r="25" spans="1:16" x14ac:dyDescent="0.25">
      <c r="A25" s="68">
        <v>46037</v>
      </c>
      <c r="B25" s="2">
        <v>3</v>
      </c>
      <c r="C25" s="2" t="s">
        <v>1048</v>
      </c>
      <c r="D25" s="2" t="s">
        <v>101</v>
      </c>
      <c r="E25" s="65">
        <v>2690</v>
      </c>
      <c r="F25" s="65">
        <f t="shared" ref="F25:F69" si="2">B25*E25</f>
        <v>8070</v>
      </c>
      <c r="G25" s="2" t="s">
        <v>1051</v>
      </c>
      <c r="H25" s="2"/>
      <c r="I25" s="2"/>
      <c r="J25" s="2"/>
    </row>
    <row r="26" spans="1:16" x14ac:dyDescent="0.25">
      <c r="A26" s="68">
        <v>46037</v>
      </c>
      <c r="B26" s="2">
        <v>3</v>
      </c>
      <c r="C26" s="2" t="s">
        <v>1049</v>
      </c>
      <c r="D26" s="2" t="s">
        <v>101</v>
      </c>
      <c r="E26" s="65">
        <v>259</v>
      </c>
      <c r="F26" s="65">
        <f t="shared" si="2"/>
        <v>777</v>
      </c>
      <c r="G26" s="2" t="s">
        <v>1051</v>
      </c>
      <c r="H26" s="2"/>
      <c r="I26" s="2"/>
      <c r="J26" s="2"/>
    </row>
    <row r="27" spans="1:16" x14ac:dyDescent="0.25">
      <c r="A27" s="68">
        <v>46037</v>
      </c>
      <c r="B27" s="2">
        <v>3</v>
      </c>
      <c r="C27" s="2" t="s">
        <v>1050</v>
      </c>
      <c r="D27" s="2" t="s">
        <v>101</v>
      </c>
      <c r="E27" s="65">
        <v>519</v>
      </c>
      <c r="F27" s="65">
        <f t="shared" si="2"/>
        <v>1557</v>
      </c>
      <c r="G27" s="2" t="s">
        <v>8</v>
      </c>
      <c r="H27" s="2"/>
      <c r="I27" s="2"/>
      <c r="J27" s="2"/>
    </row>
    <row r="28" spans="1:16" x14ac:dyDescent="0.25">
      <c r="A28" s="68">
        <v>46037</v>
      </c>
      <c r="B28" s="2">
        <v>3</v>
      </c>
      <c r="C28" s="2" t="s">
        <v>1047</v>
      </c>
      <c r="D28" s="2" t="s">
        <v>101</v>
      </c>
      <c r="E28" s="65">
        <v>419</v>
      </c>
      <c r="F28" s="65">
        <f t="shared" si="2"/>
        <v>1257</v>
      </c>
      <c r="G28" s="2" t="s">
        <v>8</v>
      </c>
      <c r="H28" s="2"/>
      <c r="I28" s="2"/>
      <c r="J28" s="2"/>
    </row>
    <row r="29" spans="1:16" x14ac:dyDescent="0.25">
      <c r="A29" s="68">
        <v>46037</v>
      </c>
      <c r="B29" s="2">
        <v>1</v>
      </c>
      <c r="C29" s="2" t="s">
        <v>542</v>
      </c>
      <c r="D29" s="2" t="s">
        <v>1052</v>
      </c>
      <c r="E29" s="65">
        <v>7980</v>
      </c>
      <c r="F29" s="65">
        <f t="shared" si="2"/>
        <v>7980</v>
      </c>
      <c r="G29" s="2" t="s">
        <v>1033</v>
      </c>
      <c r="H29" s="2"/>
      <c r="I29" s="2"/>
      <c r="J29" s="2"/>
    </row>
    <row r="30" spans="1:16" x14ac:dyDescent="0.25">
      <c r="A30" s="68">
        <v>46038</v>
      </c>
      <c r="B30" s="2">
        <v>2</v>
      </c>
      <c r="C30" s="2" t="s">
        <v>1060</v>
      </c>
      <c r="D30" s="2" t="s">
        <v>813</v>
      </c>
      <c r="E30" s="65">
        <v>1397</v>
      </c>
      <c r="F30" s="65">
        <f t="shared" si="2"/>
        <v>2794</v>
      </c>
      <c r="G30" s="2" t="s">
        <v>1088</v>
      </c>
      <c r="H30" s="2"/>
      <c r="I30" s="2"/>
      <c r="J30" s="2"/>
    </row>
    <row r="31" spans="1:16" x14ac:dyDescent="0.25">
      <c r="A31" s="68">
        <v>46038</v>
      </c>
      <c r="B31" s="2">
        <v>2</v>
      </c>
      <c r="C31" s="2" t="s">
        <v>1058</v>
      </c>
      <c r="D31" s="2" t="s">
        <v>1055</v>
      </c>
      <c r="E31" s="65">
        <v>1397</v>
      </c>
      <c r="F31" s="65">
        <f t="shared" si="2"/>
        <v>2794</v>
      </c>
      <c r="G31" s="2" t="s">
        <v>1056</v>
      </c>
      <c r="H31" s="2"/>
      <c r="I31" s="2"/>
      <c r="J31" s="2"/>
    </row>
    <row r="32" spans="1:16" x14ac:dyDescent="0.25">
      <c r="A32" s="68">
        <v>46038</v>
      </c>
      <c r="B32" s="2">
        <v>4</v>
      </c>
      <c r="C32" s="2" t="s">
        <v>323</v>
      </c>
      <c r="D32" s="2" t="s">
        <v>358</v>
      </c>
      <c r="E32" s="65">
        <v>648</v>
      </c>
      <c r="F32" s="65">
        <f t="shared" si="2"/>
        <v>2592</v>
      </c>
      <c r="G32" s="2" t="s">
        <v>1056</v>
      </c>
      <c r="H32" s="2"/>
      <c r="I32" s="2"/>
      <c r="J32" s="2"/>
    </row>
    <row r="33" spans="1:10" x14ac:dyDescent="0.25">
      <c r="A33" s="68">
        <v>46039</v>
      </c>
      <c r="B33" s="2">
        <v>2</v>
      </c>
      <c r="C33" s="2" t="s">
        <v>1060</v>
      </c>
      <c r="D33" s="2" t="s">
        <v>1057</v>
      </c>
      <c r="E33" s="65">
        <v>1398</v>
      </c>
      <c r="F33" s="65">
        <f t="shared" si="2"/>
        <v>2796</v>
      </c>
      <c r="G33" s="2" t="s">
        <v>8</v>
      </c>
      <c r="H33" s="2"/>
      <c r="I33" s="2"/>
      <c r="J33" s="2"/>
    </row>
    <row r="34" spans="1:10" x14ac:dyDescent="0.25">
      <c r="A34" s="68">
        <v>46039</v>
      </c>
      <c r="B34" s="2">
        <v>2</v>
      </c>
      <c r="C34" s="2" t="s">
        <v>323</v>
      </c>
      <c r="D34" s="2" t="s">
        <v>358</v>
      </c>
      <c r="E34" s="65">
        <v>648</v>
      </c>
      <c r="F34" s="65">
        <f t="shared" si="2"/>
        <v>1296</v>
      </c>
      <c r="G34" s="2" t="s">
        <v>8</v>
      </c>
      <c r="H34" s="2"/>
      <c r="I34" s="2"/>
      <c r="J34" s="2"/>
    </row>
    <row r="35" spans="1:10" x14ac:dyDescent="0.25">
      <c r="A35" s="68">
        <v>46039</v>
      </c>
      <c r="B35" s="2">
        <v>2</v>
      </c>
      <c r="C35" s="2" t="s">
        <v>1059</v>
      </c>
      <c r="D35" s="2" t="s">
        <v>1031</v>
      </c>
      <c r="E35" s="65">
        <v>1397</v>
      </c>
      <c r="F35" s="65">
        <f t="shared" si="2"/>
        <v>2794</v>
      </c>
      <c r="G35" s="2" t="s">
        <v>1066</v>
      </c>
      <c r="H35" s="2"/>
      <c r="I35" s="2"/>
      <c r="J35" s="2"/>
    </row>
    <row r="36" spans="1:10" x14ac:dyDescent="0.25">
      <c r="A36" s="68">
        <v>46039</v>
      </c>
      <c r="B36" s="2">
        <v>2</v>
      </c>
      <c r="C36" s="2" t="s">
        <v>1058</v>
      </c>
      <c r="D36" s="2" t="s">
        <v>674</v>
      </c>
      <c r="E36" s="65">
        <v>1397</v>
      </c>
      <c r="F36" s="65">
        <f t="shared" si="2"/>
        <v>2794</v>
      </c>
      <c r="G36" s="2" t="s">
        <v>8</v>
      </c>
      <c r="H36" s="2"/>
      <c r="I36" s="2"/>
      <c r="J36" s="2"/>
    </row>
    <row r="37" spans="1:10" x14ac:dyDescent="0.25">
      <c r="A37" s="68">
        <v>46041</v>
      </c>
      <c r="B37" s="2">
        <v>40</v>
      </c>
      <c r="C37" s="2" t="s">
        <v>1013</v>
      </c>
      <c r="D37" s="2" t="s">
        <v>1067</v>
      </c>
      <c r="E37" s="65">
        <v>402</v>
      </c>
      <c r="F37" s="65">
        <f t="shared" si="2"/>
        <v>16080</v>
      </c>
      <c r="G37" s="2" t="s">
        <v>1068</v>
      </c>
      <c r="H37" s="2"/>
      <c r="I37" s="2"/>
      <c r="J37" s="2"/>
    </row>
    <row r="38" spans="1:10" x14ac:dyDescent="0.25">
      <c r="A38" s="68">
        <v>46041</v>
      </c>
      <c r="B38" s="2">
        <v>32</v>
      </c>
      <c r="C38" s="2" t="s">
        <v>1013</v>
      </c>
      <c r="D38" s="2" t="s">
        <v>500</v>
      </c>
      <c r="E38" s="65">
        <v>402</v>
      </c>
      <c r="F38" s="65">
        <f t="shared" si="2"/>
        <v>12864</v>
      </c>
      <c r="G38" s="2" t="s">
        <v>1068</v>
      </c>
      <c r="H38" s="2"/>
      <c r="I38" s="2"/>
      <c r="J38" s="2"/>
    </row>
    <row r="39" spans="1:10" x14ac:dyDescent="0.25">
      <c r="A39" s="68">
        <v>46041</v>
      </c>
      <c r="B39" s="2">
        <v>60</v>
      </c>
      <c r="C39" s="2" t="s">
        <v>1013</v>
      </c>
      <c r="D39" s="2" t="s">
        <v>492</v>
      </c>
      <c r="E39" s="65">
        <v>402</v>
      </c>
      <c r="F39" s="65">
        <f t="shared" si="2"/>
        <v>24120</v>
      </c>
      <c r="G39" s="2" t="s">
        <v>1068</v>
      </c>
      <c r="H39" s="2"/>
      <c r="I39" s="2"/>
      <c r="J39" s="2"/>
    </row>
    <row r="40" spans="1:10" x14ac:dyDescent="0.25">
      <c r="A40" s="68"/>
      <c r="B40" s="2"/>
      <c r="C40" s="2" t="s">
        <v>1013</v>
      </c>
      <c r="D40" s="2" t="s">
        <v>492</v>
      </c>
      <c r="E40" s="65">
        <v>500</v>
      </c>
      <c r="F40" s="65">
        <v>500</v>
      </c>
      <c r="G40" s="2" t="s">
        <v>1091</v>
      </c>
      <c r="H40" s="2"/>
      <c r="I40" s="2"/>
      <c r="J40" s="2"/>
    </row>
    <row r="41" spans="1:10" x14ac:dyDescent="0.25">
      <c r="A41" s="68">
        <v>46042</v>
      </c>
      <c r="B41" s="2"/>
      <c r="C41" s="2" t="s">
        <v>1013</v>
      </c>
      <c r="D41" s="2" t="s">
        <v>1067</v>
      </c>
      <c r="E41" s="65">
        <v>500</v>
      </c>
      <c r="F41" s="65">
        <v>500</v>
      </c>
      <c r="G41" s="2" t="s">
        <v>1069</v>
      </c>
      <c r="H41" s="2"/>
      <c r="I41" s="2"/>
      <c r="J41" s="2"/>
    </row>
    <row r="42" spans="1:10" x14ac:dyDescent="0.25">
      <c r="A42" s="68">
        <v>46042</v>
      </c>
      <c r="B42" s="2">
        <v>1</v>
      </c>
      <c r="C42" s="2" t="s">
        <v>1070</v>
      </c>
      <c r="D42" s="2" t="s">
        <v>1075</v>
      </c>
      <c r="E42" s="65">
        <v>100</v>
      </c>
      <c r="F42" s="65">
        <f t="shared" si="2"/>
        <v>100</v>
      </c>
      <c r="G42" s="2" t="s">
        <v>85</v>
      </c>
      <c r="H42" s="2"/>
      <c r="I42" s="2"/>
      <c r="J42" s="2"/>
    </row>
    <row r="43" spans="1:10" x14ac:dyDescent="0.25">
      <c r="A43" s="68">
        <v>46043</v>
      </c>
      <c r="B43" s="2">
        <v>80</v>
      </c>
      <c r="C43" s="2" t="s">
        <v>1013</v>
      </c>
      <c r="D43" s="2" t="s">
        <v>608</v>
      </c>
      <c r="E43" s="65">
        <v>398</v>
      </c>
      <c r="F43" s="65">
        <f t="shared" si="2"/>
        <v>31840</v>
      </c>
      <c r="G43" s="2" t="s">
        <v>1130</v>
      </c>
      <c r="H43" s="2"/>
      <c r="I43" s="2"/>
      <c r="J43" s="2"/>
    </row>
    <row r="44" spans="1:10" x14ac:dyDescent="0.25">
      <c r="A44" s="68">
        <v>46044</v>
      </c>
      <c r="B44" s="2">
        <v>2</v>
      </c>
      <c r="C44" s="2" t="s">
        <v>1089</v>
      </c>
      <c r="D44" s="2" t="s">
        <v>318</v>
      </c>
      <c r="E44" s="65">
        <v>1397</v>
      </c>
      <c r="F44" s="65">
        <f t="shared" si="2"/>
        <v>2794</v>
      </c>
      <c r="G44" s="2" t="s">
        <v>8</v>
      </c>
      <c r="H44" s="2"/>
      <c r="I44" s="2"/>
      <c r="J44" s="2"/>
    </row>
    <row r="45" spans="1:10" x14ac:dyDescent="0.25">
      <c r="A45" s="68">
        <v>46044</v>
      </c>
      <c r="B45" s="2">
        <v>1</v>
      </c>
      <c r="C45" s="2" t="s">
        <v>1089</v>
      </c>
      <c r="D45" s="2" t="s">
        <v>1090</v>
      </c>
      <c r="E45" s="65">
        <v>1397</v>
      </c>
      <c r="F45" s="65">
        <f t="shared" si="2"/>
        <v>1397</v>
      </c>
      <c r="G45" s="2" t="s">
        <v>8</v>
      </c>
      <c r="H45" s="2"/>
      <c r="I45" s="2"/>
      <c r="J45" s="2"/>
    </row>
    <row r="46" spans="1:10" x14ac:dyDescent="0.25">
      <c r="A46" s="68">
        <v>46044</v>
      </c>
      <c r="B46" s="2">
        <v>1</v>
      </c>
      <c r="C46" s="2" t="s">
        <v>1013</v>
      </c>
      <c r="D46" s="2" t="s">
        <v>934</v>
      </c>
      <c r="E46" s="65">
        <v>439</v>
      </c>
      <c r="F46" s="65">
        <f t="shared" si="2"/>
        <v>439</v>
      </c>
      <c r="G46" s="2" t="s">
        <v>8</v>
      </c>
      <c r="H46" s="2"/>
      <c r="I46" s="2"/>
      <c r="J46" s="2"/>
    </row>
    <row r="47" spans="1:10" x14ac:dyDescent="0.25">
      <c r="A47" s="68">
        <v>46044</v>
      </c>
      <c r="B47" s="2"/>
      <c r="C47" s="2" t="s">
        <v>1013</v>
      </c>
      <c r="D47" s="2" t="s">
        <v>1092</v>
      </c>
      <c r="E47" s="65"/>
      <c r="F47" s="65">
        <f t="shared" si="2"/>
        <v>0</v>
      </c>
      <c r="G47" s="2" t="s">
        <v>758</v>
      </c>
      <c r="H47" s="2"/>
      <c r="I47" s="2"/>
      <c r="J47" s="2"/>
    </row>
    <row r="48" spans="1:10" x14ac:dyDescent="0.25">
      <c r="A48" s="106">
        <v>46045</v>
      </c>
      <c r="B48" s="16">
        <v>40</v>
      </c>
      <c r="C48" s="16" t="s">
        <v>1013</v>
      </c>
      <c r="D48" s="16" t="s">
        <v>490</v>
      </c>
      <c r="E48" s="70">
        <v>398</v>
      </c>
      <c r="F48" s="70">
        <f t="shared" si="2"/>
        <v>15920</v>
      </c>
      <c r="G48" s="16" t="s">
        <v>1155</v>
      </c>
      <c r="H48" s="2"/>
      <c r="I48" s="2"/>
      <c r="J48" s="2"/>
    </row>
    <row r="49" spans="1:10" x14ac:dyDescent="0.25">
      <c r="A49" s="68">
        <v>46045</v>
      </c>
      <c r="B49" s="2">
        <v>10</v>
      </c>
      <c r="C49" s="2" t="s">
        <v>1013</v>
      </c>
      <c r="D49" s="2" t="s">
        <v>494</v>
      </c>
      <c r="E49" s="65">
        <v>431</v>
      </c>
      <c r="F49" s="65">
        <f t="shared" si="2"/>
        <v>4310</v>
      </c>
      <c r="G49" s="2" t="s">
        <v>8</v>
      </c>
      <c r="H49" s="2"/>
      <c r="I49" s="2"/>
      <c r="J49" s="2"/>
    </row>
    <row r="50" spans="1:10" x14ac:dyDescent="0.25">
      <c r="A50" s="68">
        <v>46046</v>
      </c>
      <c r="B50" s="2">
        <v>4</v>
      </c>
      <c r="C50" s="2" t="s">
        <v>1013</v>
      </c>
      <c r="D50" s="2" t="s">
        <v>1093</v>
      </c>
      <c r="E50" s="65">
        <v>431</v>
      </c>
      <c r="F50" s="65">
        <f t="shared" si="2"/>
        <v>1724</v>
      </c>
      <c r="G50" s="2" t="s">
        <v>8</v>
      </c>
      <c r="H50" s="2"/>
      <c r="I50" s="2"/>
      <c r="J50" s="2"/>
    </row>
    <row r="51" spans="1:10" x14ac:dyDescent="0.25">
      <c r="A51" s="68">
        <v>46046</v>
      </c>
      <c r="B51" s="2">
        <v>10</v>
      </c>
      <c r="C51" s="2" t="s">
        <v>1013</v>
      </c>
      <c r="D51" s="2" t="s">
        <v>934</v>
      </c>
      <c r="E51" s="65">
        <v>451</v>
      </c>
      <c r="F51" s="65">
        <f t="shared" si="2"/>
        <v>4510</v>
      </c>
      <c r="G51" s="2" t="s">
        <v>8</v>
      </c>
      <c r="H51" s="2"/>
      <c r="I51" s="2"/>
      <c r="J51" s="2"/>
    </row>
    <row r="52" spans="1:10" x14ac:dyDescent="0.25">
      <c r="A52" s="68">
        <v>46046</v>
      </c>
      <c r="B52" s="2">
        <v>4</v>
      </c>
      <c r="C52" s="2" t="s">
        <v>969</v>
      </c>
      <c r="D52" s="2" t="s">
        <v>331</v>
      </c>
      <c r="E52" s="65">
        <v>2199</v>
      </c>
      <c r="F52" s="65">
        <f t="shared" si="2"/>
        <v>8796</v>
      </c>
      <c r="G52" s="2" t="s">
        <v>8</v>
      </c>
      <c r="H52" s="2"/>
      <c r="I52" s="10" t="s">
        <v>115</v>
      </c>
      <c r="J52" s="2"/>
    </row>
    <row r="53" spans="1:10" x14ac:dyDescent="0.25">
      <c r="A53" s="68">
        <v>46046</v>
      </c>
      <c r="B53" s="2">
        <v>4</v>
      </c>
      <c r="C53" s="2" t="s">
        <v>969</v>
      </c>
      <c r="D53" s="2" t="s">
        <v>71</v>
      </c>
      <c r="E53" s="65">
        <v>2199</v>
      </c>
      <c r="F53" s="65">
        <f t="shared" si="2"/>
        <v>8796</v>
      </c>
      <c r="G53" s="2" t="s">
        <v>8</v>
      </c>
      <c r="H53" s="2"/>
      <c r="I53" s="10" t="s">
        <v>115</v>
      </c>
      <c r="J53" s="2"/>
    </row>
    <row r="54" spans="1:10" x14ac:dyDescent="0.25">
      <c r="A54" s="68">
        <v>46046</v>
      </c>
      <c r="B54" s="2">
        <v>2</v>
      </c>
      <c r="C54" s="2" t="s">
        <v>969</v>
      </c>
      <c r="D54" s="2" t="s">
        <v>1094</v>
      </c>
      <c r="E54" s="65">
        <v>2199</v>
      </c>
      <c r="F54" s="65">
        <f t="shared" si="2"/>
        <v>4398</v>
      </c>
      <c r="G54" s="2" t="s">
        <v>8</v>
      </c>
      <c r="H54" s="2"/>
      <c r="I54" s="10" t="s">
        <v>115</v>
      </c>
      <c r="J54" s="2"/>
    </row>
    <row r="55" spans="1:10" x14ac:dyDescent="0.25">
      <c r="A55" s="68">
        <v>46046</v>
      </c>
      <c r="B55" s="2">
        <v>4</v>
      </c>
      <c r="C55" s="2" t="s">
        <v>969</v>
      </c>
      <c r="D55" s="2" t="s">
        <v>1096</v>
      </c>
      <c r="E55" s="65">
        <v>2199</v>
      </c>
      <c r="F55" s="65">
        <f t="shared" si="2"/>
        <v>8796</v>
      </c>
      <c r="G55" s="2" t="s">
        <v>8</v>
      </c>
      <c r="H55" s="2"/>
      <c r="I55" s="10" t="s">
        <v>115</v>
      </c>
      <c r="J55" s="2"/>
    </row>
    <row r="56" spans="1:10" x14ac:dyDescent="0.25">
      <c r="A56" s="68">
        <v>46046</v>
      </c>
      <c r="B56" s="2">
        <v>2</v>
      </c>
      <c r="C56" s="2" t="s">
        <v>1095</v>
      </c>
      <c r="D56" s="2" t="s">
        <v>1096</v>
      </c>
      <c r="E56" s="65">
        <v>2199</v>
      </c>
      <c r="F56" s="65">
        <f t="shared" si="2"/>
        <v>4398</v>
      </c>
      <c r="G56" s="2" t="s">
        <v>8</v>
      </c>
      <c r="H56" s="2"/>
      <c r="I56" s="10" t="s">
        <v>115</v>
      </c>
      <c r="J56" s="2"/>
    </row>
    <row r="57" spans="1:10" x14ac:dyDescent="0.25">
      <c r="A57" s="68">
        <v>46046</v>
      </c>
      <c r="B57" s="2">
        <v>2</v>
      </c>
      <c r="C57" s="2" t="s">
        <v>1097</v>
      </c>
      <c r="D57" s="2" t="s">
        <v>1096</v>
      </c>
      <c r="E57" s="65">
        <v>1497</v>
      </c>
      <c r="F57" s="65">
        <f t="shared" si="2"/>
        <v>2994</v>
      </c>
      <c r="G57" s="2" t="s">
        <v>8</v>
      </c>
      <c r="H57" s="2"/>
      <c r="I57" s="10" t="s">
        <v>115</v>
      </c>
      <c r="J57" s="2"/>
    </row>
    <row r="58" spans="1:10" x14ac:dyDescent="0.25">
      <c r="A58" s="68">
        <v>46046</v>
      </c>
      <c r="B58" s="2">
        <v>3</v>
      </c>
      <c r="C58" s="2" t="s">
        <v>1097</v>
      </c>
      <c r="D58" s="2" t="s">
        <v>120</v>
      </c>
      <c r="E58" s="65">
        <v>1497</v>
      </c>
      <c r="F58" s="65">
        <f t="shared" si="2"/>
        <v>4491</v>
      </c>
      <c r="G58" s="2" t="s">
        <v>8</v>
      </c>
      <c r="H58" s="2"/>
      <c r="I58" s="10" t="s">
        <v>115</v>
      </c>
      <c r="J58" s="2"/>
    </row>
    <row r="59" spans="1:10" x14ac:dyDescent="0.25">
      <c r="A59" s="68">
        <v>46047</v>
      </c>
      <c r="B59" s="2">
        <v>4</v>
      </c>
      <c r="C59" s="2" t="s">
        <v>969</v>
      </c>
      <c r="D59" s="2" t="s">
        <v>230</v>
      </c>
      <c r="E59" s="65">
        <v>2199</v>
      </c>
      <c r="F59" s="65">
        <f t="shared" si="2"/>
        <v>8796</v>
      </c>
      <c r="G59" s="2" t="s">
        <v>8</v>
      </c>
      <c r="H59" s="2"/>
      <c r="I59" s="10" t="s">
        <v>115</v>
      </c>
      <c r="J59" s="2"/>
    </row>
    <row r="60" spans="1:10" x14ac:dyDescent="0.25">
      <c r="A60" s="68">
        <v>46047</v>
      </c>
      <c r="B60" s="2">
        <v>2</v>
      </c>
      <c r="C60" s="2" t="s">
        <v>1095</v>
      </c>
      <c r="D60" s="2" t="s">
        <v>230</v>
      </c>
      <c r="E60" s="65">
        <v>2199</v>
      </c>
      <c r="F60" s="65">
        <f t="shared" si="2"/>
        <v>4398</v>
      </c>
      <c r="G60" s="2" t="s">
        <v>8</v>
      </c>
      <c r="H60" s="2"/>
      <c r="I60" s="10" t="s">
        <v>115</v>
      </c>
      <c r="J60" s="2"/>
    </row>
    <row r="61" spans="1:10" x14ac:dyDescent="0.25">
      <c r="A61" s="68">
        <v>46047</v>
      </c>
      <c r="B61" s="2">
        <v>2</v>
      </c>
      <c r="C61" s="2" t="s">
        <v>1099</v>
      </c>
      <c r="D61" s="2" t="s">
        <v>230</v>
      </c>
      <c r="E61" s="65">
        <v>1499</v>
      </c>
      <c r="F61" s="65">
        <f t="shared" si="2"/>
        <v>2998</v>
      </c>
      <c r="G61" s="2" t="s">
        <v>8</v>
      </c>
      <c r="H61" s="2"/>
      <c r="I61" s="10" t="s">
        <v>115</v>
      </c>
      <c r="J61" s="2"/>
    </row>
    <row r="62" spans="1:10" x14ac:dyDescent="0.25">
      <c r="A62" s="68">
        <v>46047</v>
      </c>
      <c r="B62" s="2">
        <v>2</v>
      </c>
      <c r="C62" s="2" t="s">
        <v>1059</v>
      </c>
      <c r="D62" s="2" t="s">
        <v>230</v>
      </c>
      <c r="E62" s="65">
        <v>1499</v>
      </c>
      <c r="F62" s="65">
        <f t="shared" si="2"/>
        <v>2998</v>
      </c>
      <c r="G62" s="2" t="s">
        <v>8</v>
      </c>
      <c r="H62" s="2"/>
      <c r="I62" s="10" t="s">
        <v>115</v>
      </c>
      <c r="J62" s="2"/>
    </row>
    <row r="63" spans="1:10" x14ac:dyDescent="0.25">
      <c r="A63" s="68">
        <v>46047</v>
      </c>
      <c r="B63" s="2">
        <v>3</v>
      </c>
      <c r="C63" s="2" t="s">
        <v>969</v>
      </c>
      <c r="D63" s="2" t="s">
        <v>808</v>
      </c>
      <c r="E63" s="65">
        <v>2199</v>
      </c>
      <c r="F63" s="65">
        <f t="shared" si="2"/>
        <v>6597</v>
      </c>
      <c r="G63" s="2" t="s">
        <v>8</v>
      </c>
      <c r="H63" s="2"/>
      <c r="I63" s="10" t="s">
        <v>115</v>
      </c>
      <c r="J63" s="2"/>
    </row>
    <row r="64" spans="1:10" x14ac:dyDescent="0.25">
      <c r="A64" s="68">
        <v>46047</v>
      </c>
      <c r="B64" s="2">
        <v>4</v>
      </c>
      <c r="C64" s="2" t="s">
        <v>969</v>
      </c>
      <c r="D64" s="2" t="s">
        <v>101</v>
      </c>
      <c r="E64" s="65">
        <v>2199</v>
      </c>
      <c r="F64" s="65">
        <f t="shared" si="2"/>
        <v>8796</v>
      </c>
      <c r="G64" s="2" t="s">
        <v>8</v>
      </c>
      <c r="H64" s="2"/>
      <c r="I64" s="10" t="s">
        <v>115</v>
      </c>
      <c r="J64" s="2"/>
    </row>
    <row r="65" spans="1:12" x14ac:dyDescent="0.25">
      <c r="A65" s="68">
        <v>46047</v>
      </c>
      <c r="B65" s="2">
        <v>4</v>
      </c>
      <c r="C65" s="2" t="s">
        <v>1095</v>
      </c>
      <c r="D65" s="2" t="s">
        <v>101</v>
      </c>
      <c r="E65" s="65">
        <v>2199</v>
      </c>
      <c r="F65" s="65">
        <f t="shared" si="2"/>
        <v>8796</v>
      </c>
      <c r="G65" s="2" t="s">
        <v>8</v>
      </c>
      <c r="H65" s="2"/>
      <c r="I65" s="10" t="s">
        <v>115</v>
      </c>
      <c r="J65" s="2"/>
    </row>
    <row r="66" spans="1:12" x14ac:dyDescent="0.25">
      <c r="A66" s="68">
        <v>46047</v>
      </c>
      <c r="B66" s="2">
        <v>4</v>
      </c>
      <c r="C66" s="2" t="s">
        <v>1099</v>
      </c>
      <c r="D66" s="2" t="s">
        <v>101</v>
      </c>
      <c r="E66" s="65">
        <v>1499</v>
      </c>
      <c r="F66" s="65">
        <f t="shared" si="2"/>
        <v>5996</v>
      </c>
      <c r="G66" s="2" t="s">
        <v>8</v>
      </c>
      <c r="H66" s="2"/>
      <c r="I66" s="10" t="s">
        <v>115</v>
      </c>
      <c r="J66" s="2"/>
    </row>
    <row r="67" spans="1:12" x14ac:dyDescent="0.25">
      <c r="A67" s="68">
        <v>46047</v>
      </c>
      <c r="B67" s="2">
        <v>4</v>
      </c>
      <c r="C67" s="2" t="s">
        <v>1059</v>
      </c>
      <c r="D67" s="2" t="s">
        <v>101</v>
      </c>
      <c r="E67" s="65">
        <v>1499</v>
      </c>
      <c r="F67" s="65">
        <f t="shared" si="2"/>
        <v>5996</v>
      </c>
      <c r="G67" s="2" t="s">
        <v>8</v>
      </c>
      <c r="H67" s="2"/>
      <c r="I67" s="10" t="s">
        <v>115</v>
      </c>
      <c r="J67" s="2"/>
    </row>
    <row r="68" spans="1:12" x14ac:dyDescent="0.25">
      <c r="A68" s="68">
        <v>46047</v>
      </c>
      <c r="B68" s="2">
        <v>2</v>
      </c>
      <c r="C68" s="2" t="s">
        <v>969</v>
      </c>
      <c r="D68" s="2" t="s">
        <v>677</v>
      </c>
      <c r="E68" s="2" t="s">
        <v>1140</v>
      </c>
      <c r="F68" s="65" t="s">
        <v>1140</v>
      </c>
      <c r="G68" s="2" t="s">
        <v>1102</v>
      </c>
      <c r="H68" s="21">
        <v>1127</v>
      </c>
      <c r="I68" s="10" t="s">
        <v>115</v>
      </c>
      <c r="J68" s="100">
        <v>2663.6</v>
      </c>
      <c r="K68" t="s">
        <v>1133</v>
      </c>
      <c r="L68">
        <v>580</v>
      </c>
    </row>
    <row r="69" spans="1:12" x14ac:dyDescent="0.25">
      <c r="A69" s="68">
        <v>46047</v>
      </c>
      <c r="B69" s="2">
        <v>2</v>
      </c>
      <c r="C69" s="2" t="s">
        <v>1101</v>
      </c>
      <c r="D69" s="2" t="s">
        <v>677</v>
      </c>
      <c r="E69" s="2">
        <v>1497</v>
      </c>
      <c r="F69" s="65">
        <f t="shared" si="2"/>
        <v>2994</v>
      </c>
      <c r="G69" s="2" t="s">
        <v>1110</v>
      </c>
      <c r="H69" s="21">
        <v>949</v>
      </c>
      <c r="I69" s="10" t="s">
        <v>115</v>
      </c>
      <c r="J69" s="2"/>
      <c r="L69">
        <v>62</v>
      </c>
    </row>
    <row r="70" spans="1:12" x14ac:dyDescent="0.25">
      <c r="A70" s="68">
        <v>46049</v>
      </c>
      <c r="B70" s="2">
        <v>24</v>
      </c>
      <c r="C70" s="2" t="s">
        <v>1013</v>
      </c>
      <c r="D70" s="2" t="s">
        <v>1103</v>
      </c>
      <c r="E70" s="2">
        <v>403</v>
      </c>
      <c r="F70" s="2">
        <f>B70*E70</f>
        <v>9672</v>
      </c>
      <c r="G70" s="2" t="s">
        <v>1111</v>
      </c>
      <c r="H70" s="2"/>
      <c r="I70" s="2"/>
      <c r="J70" s="2"/>
      <c r="L70">
        <v>62</v>
      </c>
    </row>
    <row r="71" spans="1:12" x14ac:dyDescent="0.25">
      <c r="A71" s="68">
        <v>46049</v>
      </c>
      <c r="B71" s="2">
        <v>1</v>
      </c>
      <c r="C71" s="2" t="s">
        <v>1104</v>
      </c>
      <c r="D71" s="2" t="s">
        <v>1106</v>
      </c>
      <c r="E71" s="21">
        <v>2800</v>
      </c>
      <c r="F71" s="21">
        <v>2800</v>
      </c>
      <c r="G71" s="2" t="s">
        <v>1105</v>
      </c>
      <c r="H71" s="2"/>
      <c r="I71" s="2"/>
      <c r="J71" s="2"/>
      <c r="L71">
        <v>125.6</v>
      </c>
    </row>
    <row r="72" spans="1:12" x14ac:dyDescent="0.25">
      <c r="A72" s="68">
        <v>46051</v>
      </c>
      <c r="B72" s="2">
        <v>15</v>
      </c>
      <c r="C72" s="2" t="s">
        <v>1013</v>
      </c>
      <c r="D72" s="2" t="s">
        <v>1103</v>
      </c>
      <c r="E72" s="3">
        <v>403</v>
      </c>
      <c r="F72" s="3">
        <f>B72*E72</f>
        <v>6045</v>
      </c>
      <c r="G72" s="2" t="s">
        <v>1112</v>
      </c>
      <c r="H72" s="2"/>
      <c r="I72" s="2"/>
      <c r="J72" s="2"/>
      <c r="L72">
        <v>298</v>
      </c>
    </row>
    <row r="73" spans="1:12" x14ac:dyDescent="0.25">
      <c r="A73" s="68">
        <v>46052</v>
      </c>
      <c r="B73" s="2">
        <v>250</v>
      </c>
      <c r="C73" s="2" t="s">
        <v>1013</v>
      </c>
      <c r="D73" s="2" t="s">
        <v>506</v>
      </c>
      <c r="E73" s="3">
        <v>466</v>
      </c>
      <c r="F73" s="3">
        <f t="shared" ref="F73:F91" si="3">B73*E73</f>
        <v>116500</v>
      </c>
      <c r="G73" s="2" t="s">
        <v>1131</v>
      </c>
      <c r="H73" s="2"/>
      <c r="I73" s="2"/>
      <c r="J73" s="2"/>
    </row>
    <row r="74" spans="1:12" x14ac:dyDescent="0.25">
      <c r="A74" s="68">
        <v>46052</v>
      </c>
      <c r="B74" s="2">
        <v>48</v>
      </c>
      <c r="C74" s="2" t="s">
        <v>1013</v>
      </c>
      <c r="D74" s="2" t="s">
        <v>1113</v>
      </c>
      <c r="E74" s="3">
        <v>466</v>
      </c>
      <c r="F74" s="3">
        <f t="shared" si="3"/>
        <v>22368</v>
      </c>
      <c r="G74" s="2" t="s">
        <v>1131</v>
      </c>
      <c r="H74" s="2"/>
      <c r="I74" s="2"/>
      <c r="J74" s="2"/>
    </row>
    <row r="75" spans="1:12" x14ac:dyDescent="0.25">
      <c r="A75" s="68">
        <v>46052</v>
      </c>
      <c r="B75" s="2">
        <v>8</v>
      </c>
      <c r="C75" s="2" t="s">
        <v>1013</v>
      </c>
      <c r="D75" s="2" t="s">
        <v>1114</v>
      </c>
      <c r="E75" s="3">
        <v>450.89</v>
      </c>
      <c r="F75" s="3">
        <f t="shared" si="3"/>
        <v>3607.12</v>
      </c>
      <c r="G75" s="2" t="s">
        <v>8</v>
      </c>
      <c r="H75" s="2"/>
      <c r="I75" s="2"/>
      <c r="J75" s="2"/>
    </row>
    <row r="76" spans="1:12" x14ac:dyDescent="0.25">
      <c r="A76" s="68">
        <v>46052</v>
      </c>
      <c r="B76" s="2">
        <v>8</v>
      </c>
      <c r="C76" s="2" t="s">
        <v>1013</v>
      </c>
      <c r="D76" s="2" t="s">
        <v>1115</v>
      </c>
      <c r="E76" s="3">
        <v>431.1</v>
      </c>
      <c r="F76" s="3">
        <f t="shared" si="3"/>
        <v>3448.8</v>
      </c>
      <c r="G76" s="2" t="s">
        <v>8</v>
      </c>
      <c r="H76" s="2"/>
      <c r="I76" s="2"/>
      <c r="J76" s="2"/>
    </row>
    <row r="77" spans="1:12" x14ac:dyDescent="0.25">
      <c r="A77" s="68">
        <v>46052</v>
      </c>
      <c r="B77" s="2">
        <v>6</v>
      </c>
      <c r="C77" s="2" t="s">
        <v>1013</v>
      </c>
      <c r="D77" s="2" t="s">
        <v>1116</v>
      </c>
      <c r="E77" s="3">
        <v>440.1</v>
      </c>
      <c r="F77" s="3">
        <f t="shared" si="3"/>
        <v>2640.6000000000004</v>
      </c>
      <c r="G77" s="2" t="s">
        <v>8</v>
      </c>
      <c r="H77" s="2"/>
      <c r="I77" s="2"/>
      <c r="J77" s="2"/>
    </row>
    <row r="78" spans="1:12" x14ac:dyDescent="0.25">
      <c r="A78" s="68">
        <v>46052</v>
      </c>
      <c r="B78" s="2">
        <v>4</v>
      </c>
      <c r="C78" s="2" t="s">
        <v>1013</v>
      </c>
      <c r="D78" s="2" t="s">
        <v>1116</v>
      </c>
      <c r="E78" s="3">
        <v>440.1</v>
      </c>
      <c r="F78" s="3">
        <f t="shared" si="3"/>
        <v>1760.4</v>
      </c>
      <c r="G78" s="2" t="s">
        <v>8</v>
      </c>
      <c r="H78" s="2"/>
      <c r="I78" s="2"/>
      <c r="J78" s="2"/>
    </row>
    <row r="79" spans="1:12" x14ac:dyDescent="0.25">
      <c r="A79" s="68">
        <v>46052</v>
      </c>
      <c r="B79" s="2">
        <v>10</v>
      </c>
      <c r="C79" s="2" t="s">
        <v>1013</v>
      </c>
      <c r="D79" s="2" t="s">
        <v>1117</v>
      </c>
      <c r="E79" s="3">
        <v>454.49</v>
      </c>
      <c r="F79" s="3">
        <f t="shared" si="3"/>
        <v>4544.8999999999996</v>
      </c>
      <c r="G79" s="2" t="s">
        <v>8</v>
      </c>
      <c r="H79" s="2"/>
      <c r="I79" s="2"/>
      <c r="J79" s="2"/>
    </row>
    <row r="80" spans="1:12" x14ac:dyDescent="0.25">
      <c r="A80" s="68">
        <v>46052</v>
      </c>
      <c r="B80" s="2">
        <v>11</v>
      </c>
      <c r="C80" s="2" t="s">
        <v>1013</v>
      </c>
      <c r="D80" s="2" t="s">
        <v>1118</v>
      </c>
      <c r="E80" s="3">
        <v>423.45</v>
      </c>
      <c r="F80" s="3">
        <f t="shared" si="3"/>
        <v>4657.95</v>
      </c>
      <c r="G80" s="2" t="s">
        <v>8</v>
      </c>
      <c r="H80" s="2"/>
      <c r="I80" s="2"/>
      <c r="J80" s="2"/>
    </row>
    <row r="81" spans="1:10" x14ac:dyDescent="0.25">
      <c r="A81" s="68">
        <v>46052</v>
      </c>
      <c r="B81" s="2">
        <v>1</v>
      </c>
      <c r="C81" s="2" t="s">
        <v>1013</v>
      </c>
      <c r="D81" s="2" t="s">
        <v>1118</v>
      </c>
      <c r="E81" s="3">
        <v>431.1</v>
      </c>
      <c r="F81" s="3">
        <f t="shared" si="3"/>
        <v>431.1</v>
      </c>
      <c r="G81" s="2" t="s">
        <v>8</v>
      </c>
      <c r="H81" s="2"/>
      <c r="I81" s="2"/>
      <c r="J81" s="2"/>
    </row>
    <row r="82" spans="1:10" x14ac:dyDescent="0.25">
      <c r="A82" s="68">
        <v>46052</v>
      </c>
      <c r="B82" s="2">
        <v>7</v>
      </c>
      <c r="C82" s="2" t="s">
        <v>1013</v>
      </c>
      <c r="D82" s="2" t="s">
        <v>1119</v>
      </c>
      <c r="E82" s="3">
        <v>431.1</v>
      </c>
      <c r="F82" s="3">
        <f t="shared" si="3"/>
        <v>3017.7000000000003</v>
      </c>
      <c r="G82" s="2" t="s">
        <v>8</v>
      </c>
      <c r="H82" s="2"/>
      <c r="I82" s="2"/>
      <c r="J82" s="2"/>
    </row>
    <row r="83" spans="1:10" x14ac:dyDescent="0.25">
      <c r="A83" s="68">
        <v>46052</v>
      </c>
      <c r="B83" s="2">
        <v>15</v>
      </c>
      <c r="C83" s="2" t="s">
        <v>1013</v>
      </c>
      <c r="D83" s="2" t="s">
        <v>1120</v>
      </c>
      <c r="E83" s="3">
        <v>431.1</v>
      </c>
      <c r="F83" s="3">
        <f t="shared" si="3"/>
        <v>6466.5</v>
      </c>
      <c r="G83" s="2" t="s">
        <v>8</v>
      </c>
      <c r="H83" s="2"/>
      <c r="I83" s="2"/>
      <c r="J83" s="2"/>
    </row>
    <row r="84" spans="1:10" x14ac:dyDescent="0.25">
      <c r="A84" s="68">
        <v>46052</v>
      </c>
      <c r="B84" s="2">
        <v>5</v>
      </c>
      <c r="C84" s="2" t="s">
        <v>1013</v>
      </c>
      <c r="D84" s="2" t="s">
        <v>1121</v>
      </c>
      <c r="E84" s="3">
        <v>450.89</v>
      </c>
      <c r="F84" s="3">
        <f t="shared" si="3"/>
        <v>2254.4499999999998</v>
      </c>
      <c r="G84" s="2" t="s">
        <v>8</v>
      </c>
      <c r="H84" s="2"/>
      <c r="I84" s="2"/>
      <c r="J84" s="2"/>
    </row>
    <row r="85" spans="1:10" x14ac:dyDescent="0.25">
      <c r="A85" s="68">
        <v>46052</v>
      </c>
      <c r="B85" s="2">
        <v>6</v>
      </c>
      <c r="C85" s="2" t="s">
        <v>1013</v>
      </c>
      <c r="D85" s="2" t="s">
        <v>1120</v>
      </c>
      <c r="E85" s="3">
        <v>431.1</v>
      </c>
      <c r="F85" s="3">
        <f t="shared" si="3"/>
        <v>2586.6000000000004</v>
      </c>
      <c r="G85" s="2" t="s">
        <v>8</v>
      </c>
      <c r="H85" s="2"/>
      <c r="I85" s="2"/>
      <c r="J85" s="2"/>
    </row>
    <row r="86" spans="1:10" x14ac:dyDescent="0.25">
      <c r="A86" s="68">
        <v>46052</v>
      </c>
      <c r="B86" s="2">
        <v>8</v>
      </c>
      <c r="C86" s="2" t="s">
        <v>1013</v>
      </c>
      <c r="D86" s="2" t="s">
        <v>1122</v>
      </c>
      <c r="E86" s="3">
        <v>431.1</v>
      </c>
      <c r="F86" s="3">
        <f t="shared" si="3"/>
        <v>3448.8</v>
      </c>
      <c r="G86" s="2" t="s">
        <v>8</v>
      </c>
      <c r="H86" s="2"/>
      <c r="I86" s="2"/>
      <c r="J86" s="2"/>
    </row>
    <row r="87" spans="1:10" x14ac:dyDescent="0.25">
      <c r="A87" s="68">
        <v>46052</v>
      </c>
      <c r="B87" s="2">
        <v>8</v>
      </c>
      <c r="C87" s="2" t="s">
        <v>1013</v>
      </c>
      <c r="D87" s="2" t="s">
        <v>1122</v>
      </c>
      <c r="E87" s="3">
        <v>431.1</v>
      </c>
      <c r="F87" s="3">
        <f t="shared" si="3"/>
        <v>3448.8</v>
      </c>
      <c r="G87" s="2" t="s">
        <v>8</v>
      </c>
      <c r="H87" s="2"/>
      <c r="I87" s="2"/>
      <c r="J87" s="2"/>
    </row>
    <row r="88" spans="1:10" x14ac:dyDescent="0.25">
      <c r="A88" s="68">
        <v>46052</v>
      </c>
      <c r="B88" s="2">
        <v>16</v>
      </c>
      <c r="C88" s="2" t="s">
        <v>1013</v>
      </c>
      <c r="D88" s="2" t="s">
        <v>1123</v>
      </c>
      <c r="E88" s="3">
        <v>431.1</v>
      </c>
      <c r="F88" s="3">
        <f t="shared" si="3"/>
        <v>6897.6</v>
      </c>
      <c r="G88" s="2" t="s">
        <v>8</v>
      </c>
      <c r="H88" s="2"/>
      <c r="I88" s="2"/>
      <c r="J88" s="2"/>
    </row>
    <row r="89" spans="1:10" x14ac:dyDescent="0.25">
      <c r="A89" s="68">
        <v>46052</v>
      </c>
      <c r="B89" s="2">
        <v>2</v>
      </c>
      <c r="C89" s="2" t="s">
        <v>1013</v>
      </c>
      <c r="D89" s="2" t="s">
        <v>1119</v>
      </c>
      <c r="E89" s="3">
        <v>450.89</v>
      </c>
      <c r="F89" s="3">
        <f t="shared" si="3"/>
        <v>901.78</v>
      </c>
      <c r="G89" s="2" t="s">
        <v>8</v>
      </c>
      <c r="H89" s="2"/>
      <c r="I89" s="2"/>
      <c r="J89" s="2"/>
    </row>
    <row r="90" spans="1:10" x14ac:dyDescent="0.25">
      <c r="A90" s="68">
        <v>46053</v>
      </c>
      <c r="B90" s="2">
        <v>1</v>
      </c>
      <c r="C90" s="2" t="s">
        <v>923</v>
      </c>
      <c r="D90" s="2" t="s">
        <v>1124</v>
      </c>
      <c r="E90" s="3">
        <v>1400</v>
      </c>
      <c r="F90" s="3">
        <f t="shared" si="3"/>
        <v>1400</v>
      </c>
      <c r="G90" s="2" t="s">
        <v>85</v>
      </c>
      <c r="H90" s="2"/>
      <c r="I90" s="2"/>
      <c r="J90" s="2"/>
    </row>
    <row r="91" spans="1:10" x14ac:dyDescent="0.25">
      <c r="A91" s="68">
        <v>46053</v>
      </c>
      <c r="B91" s="2">
        <v>1</v>
      </c>
      <c r="C91" s="2" t="s">
        <v>1127</v>
      </c>
      <c r="D91" s="2" t="s">
        <v>1128</v>
      </c>
      <c r="E91" s="3">
        <v>1480</v>
      </c>
      <c r="F91" s="3">
        <f t="shared" si="3"/>
        <v>1480</v>
      </c>
      <c r="G91" s="2" t="s">
        <v>1129</v>
      </c>
      <c r="H91" s="2"/>
      <c r="I91" s="2"/>
      <c r="J91" s="2"/>
    </row>
    <row r="92" spans="1:10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</row>
  </sheetData>
  <autoFilter ref="A1:R43" xr:uid="{AC864003-97F1-4346-A50C-403ABE149426}"/>
  <phoneticPr fontId="3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60854-67B2-4861-A053-D4A7F1C0C215}">
  <dimension ref="A1:L778"/>
  <sheetViews>
    <sheetView topLeftCell="I1" workbookViewId="0">
      <selection activeCell="O40" sqref="O40"/>
    </sheetView>
  </sheetViews>
  <sheetFormatPr defaultRowHeight="15" x14ac:dyDescent="0.25"/>
  <cols>
    <col min="1" max="1" width="6.7109375" bestFit="1" customWidth="1"/>
    <col min="2" max="2" width="4" bestFit="1" customWidth="1"/>
    <col min="3" max="3" width="27.14062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27.5703125" bestFit="1" customWidth="1"/>
    <col min="8" max="8" width="7.85546875" bestFit="1" customWidth="1"/>
    <col min="9" max="9" width="27.42578125" bestFit="1" customWidth="1"/>
    <col min="11" max="11" width="33.7109375" bestFit="1" customWidth="1"/>
    <col min="12" max="12" width="10.42578125" bestFit="1" customWidth="1"/>
    <col min="13" max="13" width="13.85546875" bestFit="1" customWidth="1"/>
    <col min="14" max="14" width="27.140625" bestFit="1" customWidth="1"/>
    <col min="15" max="15" width="25.140625" bestFit="1" customWidth="1"/>
    <col min="16" max="16" width="25.42578125" bestFit="1" customWidth="1"/>
    <col min="17" max="17" width="7" bestFit="1" customWidth="1"/>
    <col min="18" max="18" width="10.7109375" bestFit="1" customWidth="1"/>
  </cols>
  <sheetData>
    <row r="1" spans="1:12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H1" s="4" t="s">
        <v>428</v>
      </c>
      <c r="I1" s="4" t="s">
        <v>564</v>
      </c>
      <c r="K1" s="13" t="s">
        <v>78</v>
      </c>
      <c r="L1" t="s">
        <v>81</v>
      </c>
    </row>
    <row r="2" spans="1:12" x14ac:dyDescent="0.25">
      <c r="A2" s="68">
        <v>45995</v>
      </c>
      <c r="B2" s="2">
        <v>2</v>
      </c>
      <c r="C2" s="2" t="s">
        <v>843</v>
      </c>
      <c r="D2" s="2" t="s">
        <v>101</v>
      </c>
      <c r="E2" s="65">
        <v>479</v>
      </c>
      <c r="F2" s="65">
        <v>958</v>
      </c>
      <c r="G2" s="2" t="s">
        <v>11</v>
      </c>
      <c r="H2" s="2"/>
      <c r="I2" s="2" t="s">
        <v>902</v>
      </c>
      <c r="K2" s="14" t="s">
        <v>916</v>
      </c>
      <c r="L2">
        <v>10</v>
      </c>
    </row>
    <row r="3" spans="1:12" x14ac:dyDescent="0.25">
      <c r="A3" s="68">
        <v>45999</v>
      </c>
      <c r="B3" s="2">
        <v>1</v>
      </c>
      <c r="C3" s="2" t="s">
        <v>664</v>
      </c>
      <c r="D3" s="2" t="s">
        <v>101</v>
      </c>
      <c r="E3" s="65">
        <v>299</v>
      </c>
      <c r="F3" s="65">
        <v>299</v>
      </c>
      <c r="G3" s="2" t="s">
        <v>833</v>
      </c>
      <c r="H3" s="2"/>
      <c r="I3" s="2"/>
      <c r="K3" s="74" t="s">
        <v>896</v>
      </c>
      <c r="L3">
        <v>10</v>
      </c>
    </row>
    <row r="4" spans="1:12" x14ac:dyDescent="0.25">
      <c r="A4" s="68">
        <v>46002</v>
      </c>
      <c r="B4" s="2">
        <v>3</v>
      </c>
      <c r="C4" s="2" t="s">
        <v>664</v>
      </c>
      <c r="D4" s="2" t="s">
        <v>364</v>
      </c>
      <c r="E4" s="65">
        <v>340</v>
      </c>
      <c r="F4" s="65">
        <v>1020</v>
      </c>
      <c r="G4" s="2" t="s">
        <v>861</v>
      </c>
      <c r="H4" s="2"/>
      <c r="I4" s="2"/>
      <c r="K4" s="92" t="s">
        <v>24</v>
      </c>
      <c r="L4">
        <v>10</v>
      </c>
    </row>
    <row r="5" spans="1:12" x14ac:dyDescent="0.25">
      <c r="A5" s="68">
        <v>46010</v>
      </c>
      <c r="B5" s="2">
        <v>2</v>
      </c>
      <c r="C5" s="2" t="s">
        <v>883</v>
      </c>
      <c r="D5" s="2" t="s">
        <v>887</v>
      </c>
      <c r="E5" s="65">
        <v>477</v>
      </c>
      <c r="F5" s="65">
        <v>954</v>
      </c>
      <c r="G5" s="18" t="s">
        <v>24</v>
      </c>
      <c r="H5" s="2"/>
      <c r="I5" s="2" t="s">
        <v>885</v>
      </c>
      <c r="K5" s="14" t="s">
        <v>887</v>
      </c>
      <c r="L5">
        <v>6</v>
      </c>
    </row>
    <row r="6" spans="1:12" x14ac:dyDescent="0.25">
      <c r="A6" s="68">
        <v>46011</v>
      </c>
      <c r="B6" s="2">
        <v>2</v>
      </c>
      <c r="C6" s="2" t="s">
        <v>895</v>
      </c>
      <c r="D6" s="2" t="s">
        <v>444</v>
      </c>
      <c r="E6" s="65">
        <v>629</v>
      </c>
      <c r="F6" s="65">
        <v>1258</v>
      </c>
      <c r="G6" s="2" t="s">
        <v>24</v>
      </c>
      <c r="H6" s="2"/>
      <c r="I6" s="2"/>
      <c r="K6" s="74" t="s">
        <v>896</v>
      </c>
      <c r="L6">
        <v>4</v>
      </c>
    </row>
    <row r="7" spans="1:12" x14ac:dyDescent="0.25">
      <c r="A7" s="68">
        <v>46011</v>
      </c>
      <c r="B7" s="2">
        <v>2</v>
      </c>
      <c r="C7" s="2" t="s">
        <v>896</v>
      </c>
      <c r="D7" s="2" t="s">
        <v>444</v>
      </c>
      <c r="E7" s="65">
        <v>477</v>
      </c>
      <c r="F7" s="65">
        <v>954</v>
      </c>
      <c r="G7" s="2" t="s">
        <v>24</v>
      </c>
      <c r="H7" s="2"/>
      <c r="I7" s="2"/>
      <c r="K7" s="92" t="s">
        <v>24</v>
      </c>
      <c r="L7">
        <v>4</v>
      </c>
    </row>
    <row r="8" spans="1:12" x14ac:dyDescent="0.25">
      <c r="A8" s="68">
        <v>46011</v>
      </c>
      <c r="B8" s="2">
        <v>2</v>
      </c>
      <c r="C8" s="2" t="s">
        <v>896</v>
      </c>
      <c r="D8" s="2" t="s">
        <v>908</v>
      </c>
      <c r="E8" s="65">
        <v>477</v>
      </c>
      <c r="F8" s="65">
        <v>954</v>
      </c>
      <c r="G8" s="2" t="s">
        <v>24</v>
      </c>
      <c r="H8" s="2"/>
      <c r="I8" s="2"/>
      <c r="K8" s="74" t="s">
        <v>883</v>
      </c>
      <c r="L8">
        <v>2</v>
      </c>
    </row>
    <row r="9" spans="1:12" x14ac:dyDescent="0.25">
      <c r="A9" s="68">
        <v>46012</v>
      </c>
      <c r="B9" s="2">
        <v>2</v>
      </c>
      <c r="C9" s="2" t="s">
        <v>896</v>
      </c>
      <c r="D9" s="2" t="s">
        <v>887</v>
      </c>
      <c r="E9" s="65">
        <v>477</v>
      </c>
      <c r="F9" s="65">
        <v>954</v>
      </c>
      <c r="G9" s="18" t="s">
        <v>24</v>
      </c>
      <c r="H9" s="2"/>
      <c r="I9" s="2"/>
      <c r="K9" s="92" t="s">
        <v>24</v>
      </c>
      <c r="L9">
        <v>2</v>
      </c>
    </row>
    <row r="10" spans="1:12" x14ac:dyDescent="0.25">
      <c r="A10" s="87">
        <v>46012</v>
      </c>
      <c r="B10" s="88">
        <v>2</v>
      </c>
      <c r="C10" s="88" t="s">
        <v>896</v>
      </c>
      <c r="D10" s="88" t="s">
        <v>916</v>
      </c>
      <c r="E10" s="89">
        <v>477</v>
      </c>
      <c r="F10" s="89">
        <v>954</v>
      </c>
      <c r="G10" s="2" t="s">
        <v>24</v>
      </c>
      <c r="H10" s="88"/>
      <c r="I10" s="88"/>
      <c r="K10" s="14" t="s">
        <v>926</v>
      </c>
      <c r="L10">
        <v>2</v>
      </c>
    </row>
    <row r="11" spans="1:12" x14ac:dyDescent="0.25">
      <c r="A11" s="68">
        <v>46012</v>
      </c>
      <c r="B11" s="2">
        <v>2</v>
      </c>
      <c r="C11" s="2" t="s">
        <v>896</v>
      </c>
      <c r="D11" s="2" t="s">
        <v>916</v>
      </c>
      <c r="E11" s="65">
        <v>477</v>
      </c>
      <c r="F11" s="65">
        <v>954</v>
      </c>
      <c r="G11" s="2" t="s">
        <v>24</v>
      </c>
      <c r="H11" s="2"/>
      <c r="I11" s="2"/>
      <c r="K11" s="74" t="s">
        <v>896</v>
      </c>
      <c r="L11">
        <v>2</v>
      </c>
    </row>
    <row r="12" spans="1:12" x14ac:dyDescent="0.25">
      <c r="A12" s="68">
        <v>46012</v>
      </c>
      <c r="B12" s="2">
        <v>2</v>
      </c>
      <c r="C12" s="2" t="s">
        <v>896</v>
      </c>
      <c r="D12" s="2" t="s">
        <v>444</v>
      </c>
      <c r="E12" s="65">
        <v>477</v>
      </c>
      <c r="F12" s="65">
        <v>954</v>
      </c>
      <c r="G12" s="2" t="s">
        <v>24</v>
      </c>
      <c r="H12" s="2"/>
      <c r="I12" s="2"/>
      <c r="K12" s="92" t="s">
        <v>24</v>
      </c>
      <c r="L12">
        <v>2</v>
      </c>
    </row>
    <row r="13" spans="1:12" x14ac:dyDescent="0.25">
      <c r="A13" s="68">
        <v>46012</v>
      </c>
      <c r="B13" s="2">
        <v>2</v>
      </c>
      <c r="C13" s="2" t="s">
        <v>895</v>
      </c>
      <c r="D13" s="2" t="s">
        <v>444</v>
      </c>
      <c r="E13" s="65">
        <v>629</v>
      </c>
      <c r="F13" s="65">
        <v>1258</v>
      </c>
      <c r="G13" s="2" t="s">
        <v>24</v>
      </c>
      <c r="H13" s="2"/>
      <c r="I13" s="2"/>
      <c r="K13" s="14" t="s">
        <v>908</v>
      </c>
      <c r="L13">
        <v>2</v>
      </c>
    </row>
    <row r="14" spans="1:12" x14ac:dyDescent="0.25">
      <c r="A14" s="68">
        <v>46012</v>
      </c>
      <c r="B14" s="2">
        <v>2</v>
      </c>
      <c r="C14" s="2" t="s">
        <v>896</v>
      </c>
      <c r="D14" s="2" t="s">
        <v>887</v>
      </c>
      <c r="E14" s="65">
        <v>477</v>
      </c>
      <c r="F14" s="65">
        <v>954</v>
      </c>
      <c r="G14" s="18" t="s">
        <v>24</v>
      </c>
      <c r="H14" s="2"/>
      <c r="I14" s="2"/>
      <c r="K14" s="74" t="s">
        <v>896</v>
      </c>
      <c r="L14">
        <v>2</v>
      </c>
    </row>
    <row r="15" spans="1:12" x14ac:dyDescent="0.25">
      <c r="A15" s="68">
        <v>46013</v>
      </c>
      <c r="B15" s="2">
        <v>2</v>
      </c>
      <c r="C15" s="2" t="s">
        <v>896</v>
      </c>
      <c r="D15" s="2" t="s">
        <v>916</v>
      </c>
      <c r="E15" s="65">
        <v>477</v>
      </c>
      <c r="F15" s="65">
        <v>954</v>
      </c>
      <c r="G15" s="2" t="s">
        <v>24</v>
      </c>
      <c r="H15" s="2"/>
      <c r="I15" s="2"/>
      <c r="K15" s="92" t="s">
        <v>24</v>
      </c>
      <c r="L15">
        <v>2</v>
      </c>
    </row>
    <row r="16" spans="1:12" x14ac:dyDescent="0.25">
      <c r="A16" s="68">
        <v>46013</v>
      </c>
      <c r="B16" s="2">
        <v>2</v>
      </c>
      <c r="C16" s="2" t="s">
        <v>896</v>
      </c>
      <c r="D16" s="2" t="s">
        <v>926</v>
      </c>
      <c r="E16" s="65">
        <v>477</v>
      </c>
      <c r="F16" s="65">
        <v>954</v>
      </c>
      <c r="G16" s="2" t="s">
        <v>24</v>
      </c>
      <c r="H16" s="2"/>
      <c r="I16" s="2"/>
      <c r="K16" s="14" t="s">
        <v>444</v>
      </c>
      <c r="L16">
        <v>12</v>
      </c>
    </row>
    <row r="17" spans="1:12" x14ac:dyDescent="0.25">
      <c r="A17" s="68">
        <v>46013</v>
      </c>
      <c r="B17" s="2">
        <v>2</v>
      </c>
      <c r="C17" s="2" t="s">
        <v>896</v>
      </c>
      <c r="D17" s="2" t="s">
        <v>916</v>
      </c>
      <c r="E17" s="65">
        <v>477</v>
      </c>
      <c r="F17" s="65">
        <v>954</v>
      </c>
      <c r="G17" s="2" t="s">
        <v>24</v>
      </c>
      <c r="H17" s="2"/>
      <c r="I17" s="2"/>
      <c r="K17" s="74" t="s">
        <v>896</v>
      </c>
      <c r="L17">
        <v>4</v>
      </c>
    </row>
    <row r="18" spans="1:12" x14ac:dyDescent="0.25">
      <c r="A18" s="68">
        <v>46013</v>
      </c>
      <c r="B18" s="2">
        <v>2</v>
      </c>
      <c r="C18" s="2" t="s">
        <v>896</v>
      </c>
      <c r="D18" s="2" t="s">
        <v>916</v>
      </c>
      <c r="E18" s="65">
        <v>477</v>
      </c>
      <c r="F18" s="65">
        <v>954</v>
      </c>
      <c r="G18" s="2" t="s">
        <v>24</v>
      </c>
      <c r="H18" s="2"/>
      <c r="I18" s="2"/>
      <c r="K18" s="92" t="s">
        <v>24</v>
      </c>
      <c r="L18">
        <v>4</v>
      </c>
    </row>
    <row r="19" spans="1:12" x14ac:dyDescent="0.25">
      <c r="A19" s="68">
        <v>46013</v>
      </c>
      <c r="B19" s="2">
        <v>2</v>
      </c>
      <c r="C19" s="2" t="s">
        <v>947</v>
      </c>
      <c r="D19" s="2" t="s">
        <v>444</v>
      </c>
      <c r="E19" s="65">
        <v>629</v>
      </c>
      <c r="F19" s="65">
        <v>1258</v>
      </c>
      <c r="G19" s="2" t="s">
        <v>24</v>
      </c>
      <c r="H19" s="2"/>
      <c r="I19" s="2"/>
      <c r="K19" s="74" t="s">
        <v>947</v>
      </c>
      <c r="L19">
        <v>4</v>
      </c>
    </row>
    <row r="20" spans="1:12" x14ac:dyDescent="0.25">
      <c r="A20" s="68">
        <v>46013</v>
      </c>
      <c r="B20" s="2">
        <v>2</v>
      </c>
      <c r="C20" s="2" t="s">
        <v>947</v>
      </c>
      <c r="D20" s="2" t="s">
        <v>444</v>
      </c>
      <c r="E20" s="65">
        <v>629</v>
      </c>
      <c r="F20" s="65">
        <v>1258</v>
      </c>
      <c r="G20" s="2" t="s">
        <v>24</v>
      </c>
      <c r="H20" s="2"/>
      <c r="I20" s="2"/>
      <c r="K20" s="92" t="s">
        <v>24</v>
      </c>
      <c r="L20">
        <v>4</v>
      </c>
    </row>
    <row r="21" spans="1:12" x14ac:dyDescent="0.25">
      <c r="A21" s="68">
        <v>46017</v>
      </c>
      <c r="B21" s="2">
        <v>3</v>
      </c>
      <c r="C21" s="2" t="s">
        <v>963</v>
      </c>
      <c r="D21" s="2" t="s">
        <v>864</v>
      </c>
      <c r="E21" s="65">
        <v>4400</v>
      </c>
      <c r="F21" s="65">
        <v>13200</v>
      </c>
      <c r="G21" s="2" t="s">
        <v>24</v>
      </c>
      <c r="H21" s="2"/>
      <c r="I21" s="2"/>
      <c r="K21" s="74" t="s">
        <v>895</v>
      </c>
      <c r="L21">
        <v>4</v>
      </c>
    </row>
    <row r="22" spans="1:12" x14ac:dyDescent="0.25">
      <c r="A22" s="68">
        <v>46017</v>
      </c>
      <c r="B22" s="2">
        <v>2</v>
      </c>
      <c r="C22" s="2" t="s">
        <v>874</v>
      </c>
      <c r="D22" s="2" t="s">
        <v>864</v>
      </c>
      <c r="E22" s="65">
        <v>3250</v>
      </c>
      <c r="F22" s="65">
        <v>6500</v>
      </c>
      <c r="G22" s="2" t="s">
        <v>24</v>
      </c>
      <c r="H22" s="2"/>
      <c r="I22" s="2"/>
      <c r="K22" s="92" t="s">
        <v>24</v>
      </c>
      <c r="L22">
        <v>4</v>
      </c>
    </row>
    <row r="23" spans="1:12" x14ac:dyDescent="0.25">
      <c r="A23" s="68">
        <v>46017</v>
      </c>
      <c r="B23" s="2">
        <v>1</v>
      </c>
      <c r="C23" s="2" t="s">
        <v>963</v>
      </c>
      <c r="D23" s="2" t="s">
        <v>864</v>
      </c>
      <c r="E23" s="65">
        <v>4400</v>
      </c>
      <c r="F23" s="65">
        <v>4400</v>
      </c>
      <c r="G23" s="2" t="s">
        <v>24</v>
      </c>
      <c r="H23" s="2"/>
      <c r="I23" s="2"/>
      <c r="K23" s="14" t="s">
        <v>864</v>
      </c>
      <c r="L23">
        <v>10</v>
      </c>
    </row>
    <row r="24" spans="1:12" x14ac:dyDescent="0.25">
      <c r="A24" s="68">
        <v>46017</v>
      </c>
      <c r="B24" s="2">
        <v>1</v>
      </c>
      <c r="C24" s="2" t="s">
        <v>874</v>
      </c>
      <c r="D24" s="2" t="s">
        <v>864</v>
      </c>
      <c r="E24" s="65">
        <v>3250</v>
      </c>
      <c r="F24" s="65">
        <v>3250</v>
      </c>
      <c r="G24" s="2" t="s">
        <v>24</v>
      </c>
      <c r="H24" s="2"/>
      <c r="I24" s="2"/>
      <c r="K24" s="74" t="s">
        <v>963</v>
      </c>
      <c r="L24">
        <v>5</v>
      </c>
    </row>
    <row r="25" spans="1:12" x14ac:dyDescent="0.25">
      <c r="A25" s="68">
        <v>46017</v>
      </c>
      <c r="B25" s="2">
        <v>1</v>
      </c>
      <c r="C25" s="2" t="s">
        <v>963</v>
      </c>
      <c r="D25" s="2" t="s">
        <v>864</v>
      </c>
      <c r="E25" s="65">
        <v>4400</v>
      </c>
      <c r="F25" s="65">
        <v>4400</v>
      </c>
      <c r="G25" s="2" t="s">
        <v>24</v>
      </c>
      <c r="H25" s="2"/>
      <c r="I25" s="2"/>
      <c r="K25" s="92" t="s">
        <v>24</v>
      </c>
      <c r="L25">
        <v>5</v>
      </c>
    </row>
    <row r="26" spans="1:12" x14ac:dyDescent="0.25">
      <c r="A26" s="68">
        <v>46017</v>
      </c>
      <c r="B26" s="2">
        <v>2</v>
      </c>
      <c r="C26" s="2" t="s">
        <v>874</v>
      </c>
      <c r="D26" s="2" t="s">
        <v>864</v>
      </c>
      <c r="E26" s="65">
        <v>3250</v>
      </c>
      <c r="F26" s="65">
        <v>6500</v>
      </c>
      <c r="G26" s="2" t="s">
        <v>24</v>
      </c>
      <c r="H26" s="2"/>
      <c r="I26" s="2"/>
      <c r="K26" s="74" t="s">
        <v>874</v>
      </c>
      <c r="L26">
        <v>5</v>
      </c>
    </row>
    <row r="27" spans="1:12" x14ac:dyDescent="0.25">
      <c r="A27" s="68">
        <v>46018</v>
      </c>
      <c r="B27" s="2">
        <v>6</v>
      </c>
      <c r="C27" s="2" t="s">
        <v>697</v>
      </c>
      <c r="D27" s="2" t="s">
        <v>101</v>
      </c>
      <c r="E27" s="65">
        <v>125</v>
      </c>
      <c r="F27" s="65">
        <v>750</v>
      </c>
      <c r="G27" s="2" t="s">
        <v>24</v>
      </c>
      <c r="H27" s="2"/>
      <c r="I27" s="2"/>
      <c r="K27" s="92" t="s">
        <v>24</v>
      </c>
      <c r="L27">
        <v>5</v>
      </c>
    </row>
    <row r="28" spans="1:12" x14ac:dyDescent="0.25">
      <c r="A28" s="68">
        <v>46018</v>
      </c>
      <c r="B28" s="2">
        <v>3</v>
      </c>
      <c r="C28" s="2" t="s">
        <v>661</v>
      </c>
      <c r="D28" s="2" t="s">
        <v>101</v>
      </c>
      <c r="E28" s="65">
        <v>419</v>
      </c>
      <c r="F28" s="65">
        <v>1257</v>
      </c>
      <c r="G28" s="2" t="s">
        <v>24</v>
      </c>
      <c r="H28" s="2"/>
      <c r="I28" s="2"/>
      <c r="K28" s="14" t="s">
        <v>101</v>
      </c>
      <c r="L28">
        <v>14</v>
      </c>
    </row>
    <row r="29" spans="1:12" x14ac:dyDescent="0.25">
      <c r="A29" s="68">
        <v>46018</v>
      </c>
      <c r="B29" s="2">
        <v>2</v>
      </c>
      <c r="C29" s="2" t="s">
        <v>971</v>
      </c>
      <c r="D29" s="2" t="s">
        <v>101</v>
      </c>
      <c r="E29" s="65">
        <v>629</v>
      </c>
      <c r="F29" s="65">
        <v>1258</v>
      </c>
      <c r="G29" s="2" t="s">
        <v>24</v>
      </c>
      <c r="H29" s="2"/>
      <c r="I29" s="2"/>
      <c r="K29" s="74" t="s">
        <v>661</v>
      </c>
      <c r="L29">
        <v>3</v>
      </c>
    </row>
    <row r="30" spans="1:12" x14ac:dyDescent="0.25">
      <c r="A30" s="68">
        <v>46019</v>
      </c>
      <c r="B30" s="2">
        <v>2</v>
      </c>
      <c r="C30" s="2" t="s">
        <v>967</v>
      </c>
      <c r="D30" s="2" t="s">
        <v>688</v>
      </c>
      <c r="E30" s="21">
        <v>2599</v>
      </c>
      <c r="F30" s="21">
        <v>5198</v>
      </c>
      <c r="G30" s="2" t="s">
        <v>989</v>
      </c>
      <c r="H30" s="2"/>
      <c r="I30" s="2" t="s">
        <v>115</v>
      </c>
      <c r="K30" s="92" t="s">
        <v>24</v>
      </c>
      <c r="L30">
        <v>3</v>
      </c>
    </row>
    <row r="31" spans="1:12" x14ac:dyDescent="0.25">
      <c r="A31" s="2"/>
      <c r="B31" s="2"/>
      <c r="C31" s="2"/>
      <c r="D31" s="2"/>
      <c r="E31" s="2"/>
      <c r="F31" s="2"/>
      <c r="G31" s="2"/>
      <c r="H31" s="2"/>
      <c r="I31" s="2"/>
      <c r="K31" s="74" t="s">
        <v>697</v>
      </c>
      <c r="L31">
        <v>6</v>
      </c>
    </row>
    <row r="32" spans="1:12" x14ac:dyDescent="0.25">
      <c r="A32" s="2"/>
      <c r="B32" s="2"/>
      <c r="C32" s="2"/>
      <c r="D32" s="2"/>
      <c r="E32" s="2"/>
      <c r="F32" s="2"/>
      <c r="G32" s="2"/>
      <c r="H32" s="2"/>
      <c r="I32" s="2"/>
      <c r="K32" s="92" t="s">
        <v>24</v>
      </c>
      <c r="L32">
        <v>6</v>
      </c>
    </row>
    <row r="33" spans="1:12" x14ac:dyDescent="0.25">
      <c r="A33" s="2"/>
      <c r="B33" s="2"/>
      <c r="C33" s="2"/>
      <c r="D33" s="2"/>
      <c r="E33" s="2"/>
      <c r="F33" s="2"/>
      <c r="G33" s="2"/>
      <c r="H33" s="2"/>
      <c r="I33" s="2"/>
      <c r="K33" s="74" t="s">
        <v>843</v>
      </c>
      <c r="L33">
        <v>2</v>
      </c>
    </row>
    <row r="34" spans="1:12" x14ac:dyDescent="0.25">
      <c r="A34" s="2"/>
      <c r="B34" s="2"/>
      <c r="C34" s="2"/>
      <c r="D34" s="2"/>
      <c r="E34" s="2"/>
      <c r="F34" s="2"/>
      <c r="G34" s="2"/>
      <c r="H34" s="2"/>
      <c r="I34" s="2"/>
      <c r="K34" s="92" t="s">
        <v>11</v>
      </c>
      <c r="L34">
        <v>2</v>
      </c>
    </row>
    <row r="35" spans="1:12" x14ac:dyDescent="0.25">
      <c r="A35" s="2"/>
      <c r="B35" s="2"/>
      <c r="C35" s="2"/>
      <c r="D35" s="2"/>
      <c r="E35" s="2"/>
      <c r="F35" s="2"/>
      <c r="G35" s="2"/>
      <c r="H35" s="2"/>
      <c r="I35" s="2"/>
      <c r="K35" s="74" t="s">
        <v>971</v>
      </c>
      <c r="L35">
        <v>2</v>
      </c>
    </row>
    <row r="36" spans="1:12" x14ac:dyDescent="0.25">
      <c r="A36" s="2"/>
      <c r="B36" s="2"/>
      <c r="C36" s="2"/>
      <c r="D36" s="2"/>
      <c r="E36" s="2"/>
      <c r="F36" s="2"/>
      <c r="G36" s="2"/>
      <c r="H36" s="2"/>
      <c r="I36" s="2"/>
      <c r="K36" s="92" t="s">
        <v>24</v>
      </c>
      <c r="L36">
        <v>2</v>
      </c>
    </row>
    <row r="37" spans="1:12" x14ac:dyDescent="0.25">
      <c r="A37" s="2"/>
      <c r="B37" s="2"/>
      <c r="C37" s="2"/>
      <c r="D37" s="2"/>
      <c r="E37" s="2"/>
      <c r="F37" s="2"/>
      <c r="G37" s="2"/>
      <c r="H37" s="2"/>
      <c r="I37" s="2"/>
      <c r="K37" s="74" t="s">
        <v>664</v>
      </c>
      <c r="L37">
        <v>1</v>
      </c>
    </row>
    <row r="38" spans="1:12" x14ac:dyDescent="0.25">
      <c r="A38" s="2"/>
      <c r="B38" s="2"/>
      <c r="C38" s="2"/>
      <c r="D38" s="2"/>
      <c r="E38" s="2"/>
      <c r="F38" s="2"/>
      <c r="G38" s="2"/>
      <c r="H38" s="2"/>
      <c r="I38" s="2"/>
      <c r="K38" s="92" t="s">
        <v>833</v>
      </c>
      <c r="L38">
        <v>1</v>
      </c>
    </row>
    <row r="39" spans="1:12" x14ac:dyDescent="0.25">
      <c r="A39" s="2"/>
      <c r="B39" s="2"/>
      <c r="C39" s="2"/>
      <c r="D39" s="2"/>
      <c r="E39" s="2"/>
      <c r="F39" s="2"/>
      <c r="G39" s="2"/>
      <c r="H39" s="2"/>
      <c r="I39" s="2"/>
      <c r="K39" s="14" t="s">
        <v>364</v>
      </c>
      <c r="L39">
        <v>3</v>
      </c>
    </row>
    <row r="40" spans="1:12" x14ac:dyDescent="0.25">
      <c r="A40" s="2"/>
      <c r="B40" s="2"/>
      <c r="C40" s="2"/>
      <c r="D40" s="2"/>
      <c r="E40" s="2"/>
      <c r="F40" s="2"/>
      <c r="G40" s="2"/>
      <c r="H40" s="2"/>
      <c r="I40" s="2"/>
      <c r="K40" s="74" t="s">
        <v>664</v>
      </c>
      <c r="L40">
        <v>3</v>
      </c>
    </row>
    <row r="41" spans="1:12" x14ac:dyDescent="0.25">
      <c r="A41" s="2"/>
      <c r="B41" s="2"/>
      <c r="C41" s="2"/>
      <c r="D41" s="2"/>
      <c r="E41" s="2"/>
      <c r="F41" s="2"/>
      <c r="G41" s="2"/>
      <c r="H41" s="2"/>
      <c r="I41" s="2"/>
      <c r="K41" s="92" t="s">
        <v>861</v>
      </c>
      <c r="L41">
        <v>3</v>
      </c>
    </row>
    <row r="42" spans="1:12" x14ac:dyDescent="0.25">
      <c r="A42" s="2"/>
      <c r="B42" s="2"/>
      <c r="C42" s="2"/>
      <c r="D42" s="2"/>
      <c r="E42" s="2"/>
      <c r="F42" s="2"/>
      <c r="G42" s="2"/>
      <c r="H42" s="2"/>
      <c r="I42" s="2"/>
      <c r="K42" s="14" t="s">
        <v>688</v>
      </c>
      <c r="L42">
        <v>2</v>
      </c>
    </row>
    <row r="43" spans="1:12" x14ac:dyDescent="0.25">
      <c r="A43" s="2"/>
      <c r="B43" s="2"/>
      <c r="C43" s="2"/>
      <c r="D43" s="2"/>
      <c r="E43" s="2"/>
      <c r="F43" s="2"/>
      <c r="G43" s="2"/>
      <c r="H43" s="2"/>
      <c r="I43" s="2"/>
      <c r="K43" s="74" t="s">
        <v>967</v>
      </c>
      <c r="L43">
        <v>2</v>
      </c>
    </row>
    <row r="44" spans="1:12" x14ac:dyDescent="0.25">
      <c r="A44" s="2"/>
      <c r="B44" s="2"/>
      <c r="C44" s="2"/>
      <c r="D44" s="2"/>
      <c r="E44" s="2"/>
      <c r="F44" s="2"/>
      <c r="G44" s="2"/>
      <c r="H44" s="2"/>
      <c r="I44" s="2"/>
      <c r="K44" s="92" t="s">
        <v>989</v>
      </c>
      <c r="L44">
        <v>2</v>
      </c>
    </row>
    <row r="45" spans="1:12" x14ac:dyDescent="0.25">
      <c r="A45" s="2"/>
      <c r="B45" s="2"/>
      <c r="C45" s="2"/>
      <c r="D45" s="2"/>
      <c r="E45" s="2"/>
      <c r="F45" s="2"/>
      <c r="G45" s="2"/>
      <c r="H45" s="2"/>
      <c r="I45" s="2"/>
      <c r="K45" s="14" t="s">
        <v>80</v>
      </c>
      <c r="L45">
        <v>61</v>
      </c>
    </row>
    <row r="46" spans="1:12" x14ac:dyDescent="0.25">
      <c r="A46" s="2"/>
      <c r="B46" s="2"/>
      <c r="C46" s="2"/>
      <c r="D46" s="2"/>
      <c r="E46" s="2"/>
      <c r="F46" s="2"/>
      <c r="G46" s="2"/>
      <c r="H46" s="2"/>
      <c r="I46" s="2"/>
    </row>
    <row r="47" spans="1:12" x14ac:dyDescent="0.25">
      <c r="A47" s="2"/>
      <c r="B47" s="2"/>
      <c r="C47" s="2"/>
      <c r="D47" s="2"/>
      <c r="E47" s="2"/>
      <c r="F47" s="2"/>
      <c r="G47" s="2"/>
      <c r="H47" s="2"/>
      <c r="I47" s="2"/>
    </row>
    <row r="48" spans="1:12" x14ac:dyDescent="0.25">
      <c r="A48" s="2"/>
      <c r="B48" s="2"/>
      <c r="C48" s="2"/>
      <c r="D48" s="2"/>
      <c r="E48" s="2"/>
      <c r="F48" s="2"/>
      <c r="G48" s="2"/>
      <c r="H48" s="2"/>
      <c r="I48" s="2"/>
    </row>
    <row r="49" spans="1:9" x14ac:dyDescent="0.25">
      <c r="A49" s="2"/>
      <c r="B49" s="2"/>
      <c r="C49" s="2"/>
      <c r="D49" s="2"/>
      <c r="E49" s="2"/>
      <c r="F49" s="2"/>
      <c r="G49" s="2"/>
      <c r="H49" s="2"/>
      <c r="I49" s="2"/>
    </row>
    <row r="50" spans="1:9" x14ac:dyDescent="0.25">
      <c r="A50" s="2"/>
      <c r="B50" s="2"/>
      <c r="C50" s="2"/>
      <c r="D50" s="2"/>
      <c r="E50" s="2"/>
      <c r="F50" s="2"/>
      <c r="G50" s="2"/>
      <c r="H50" s="2"/>
      <c r="I50" s="2"/>
    </row>
    <row r="51" spans="1:9" x14ac:dyDescent="0.25">
      <c r="A51" s="2"/>
      <c r="B51" s="2"/>
      <c r="C51" s="2"/>
      <c r="D51" s="2"/>
      <c r="E51" s="2"/>
      <c r="F51" s="2"/>
      <c r="G51" s="2"/>
      <c r="H51" s="2"/>
      <c r="I51" s="2"/>
    </row>
    <row r="52" spans="1:9" x14ac:dyDescent="0.25">
      <c r="A52" s="2"/>
      <c r="B52" s="2"/>
      <c r="C52" s="2"/>
      <c r="D52" s="2"/>
      <c r="E52" s="2"/>
      <c r="F52" s="2"/>
      <c r="G52" s="2"/>
      <c r="H52" s="2"/>
      <c r="I52" s="2"/>
    </row>
    <row r="53" spans="1:9" x14ac:dyDescent="0.25">
      <c r="A53" s="2"/>
      <c r="B53" s="2"/>
      <c r="C53" s="2"/>
      <c r="D53" s="2"/>
      <c r="E53" s="2"/>
      <c r="F53" s="2"/>
      <c r="G53" s="2"/>
      <c r="H53" s="2"/>
      <c r="I53" s="2"/>
    </row>
    <row r="54" spans="1:9" x14ac:dyDescent="0.25">
      <c r="A54" s="2"/>
      <c r="B54" s="2"/>
      <c r="C54" s="2"/>
      <c r="D54" s="2"/>
      <c r="E54" s="2"/>
      <c r="F54" s="2"/>
      <c r="G54" s="2"/>
      <c r="H54" s="2"/>
      <c r="I54" s="2"/>
    </row>
    <row r="55" spans="1:9" x14ac:dyDescent="0.25">
      <c r="A55" s="2"/>
      <c r="B55" s="2"/>
      <c r="C55" s="2"/>
      <c r="D55" s="2"/>
      <c r="E55" s="2"/>
      <c r="F55" s="2"/>
      <c r="G55" s="2"/>
      <c r="H55" s="2"/>
      <c r="I55" s="2"/>
    </row>
    <row r="56" spans="1:9" x14ac:dyDescent="0.25">
      <c r="A56" s="2"/>
      <c r="B56" s="2"/>
      <c r="C56" s="2"/>
      <c r="D56" s="2"/>
      <c r="E56" s="2"/>
      <c r="F56" s="2"/>
      <c r="G56" s="2"/>
      <c r="H56" s="2"/>
      <c r="I56" s="2"/>
    </row>
    <row r="57" spans="1:9" x14ac:dyDescent="0.25">
      <c r="A57" s="2"/>
      <c r="B57" s="2"/>
      <c r="C57" s="2"/>
      <c r="D57" s="2"/>
      <c r="E57" s="2"/>
      <c r="F57" s="2"/>
      <c r="G57" s="2"/>
      <c r="H57" s="2"/>
      <c r="I57" s="2"/>
    </row>
    <row r="58" spans="1:9" x14ac:dyDescent="0.25">
      <c r="A58" s="2"/>
      <c r="B58" s="2"/>
      <c r="C58" s="2"/>
      <c r="D58" s="2"/>
      <c r="E58" s="2"/>
      <c r="F58" s="2"/>
      <c r="G58" s="2"/>
      <c r="H58" s="2"/>
      <c r="I58" s="2"/>
    </row>
    <row r="59" spans="1:9" x14ac:dyDescent="0.25">
      <c r="A59" s="2"/>
      <c r="B59" s="2"/>
      <c r="C59" s="2"/>
      <c r="D59" s="2"/>
      <c r="E59" s="2"/>
      <c r="F59" s="2"/>
      <c r="G59" s="2"/>
      <c r="H59" s="2"/>
      <c r="I59" s="2"/>
    </row>
    <row r="60" spans="1:9" x14ac:dyDescent="0.25">
      <c r="A60" s="2"/>
      <c r="B60" s="2"/>
      <c r="C60" s="2"/>
      <c r="D60" s="2"/>
      <c r="E60" s="2"/>
      <c r="F60" s="2"/>
      <c r="G60" s="2"/>
      <c r="H60" s="2"/>
      <c r="I60" s="2"/>
    </row>
    <row r="61" spans="1:9" x14ac:dyDescent="0.25">
      <c r="A61" s="2"/>
      <c r="B61" s="2"/>
      <c r="C61" s="2"/>
      <c r="D61" s="2"/>
      <c r="E61" s="2"/>
      <c r="F61" s="2"/>
      <c r="G61" s="2"/>
      <c r="H61" s="2"/>
      <c r="I61" s="2"/>
    </row>
    <row r="62" spans="1:9" x14ac:dyDescent="0.25">
      <c r="A62" s="2"/>
      <c r="B62" s="2"/>
      <c r="C62" s="2"/>
      <c r="D62" s="2"/>
      <c r="E62" s="2"/>
      <c r="F62" s="2"/>
      <c r="G62" s="2"/>
      <c r="H62" s="2"/>
      <c r="I62" s="2"/>
    </row>
    <row r="63" spans="1:9" x14ac:dyDescent="0.25">
      <c r="A63" s="2"/>
      <c r="B63" s="2"/>
      <c r="C63" s="2"/>
      <c r="D63" s="2"/>
      <c r="E63" s="2"/>
      <c r="F63" s="2"/>
      <c r="G63" s="2"/>
      <c r="H63" s="2"/>
      <c r="I63" s="2"/>
    </row>
    <row r="64" spans="1:9" x14ac:dyDescent="0.25">
      <c r="A64" s="2"/>
      <c r="B64" s="2"/>
      <c r="C64" s="2"/>
      <c r="D64" s="2"/>
      <c r="E64" s="2"/>
      <c r="F64" s="2"/>
      <c r="G64" s="2"/>
      <c r="H64" s="2"/>
      <c r="I64" s="2"/>
    </row>
    <row r="65" spans="1:9" x14ac:dyDescent="0.25">
      <c r="A65" s="2"/>
      <c r="B65" s="2"/>
      <c r="C65" s="2"/>
      <c r="D65" s="2"/>
      <c r="E65" s="2"/>
      <c r="F65" s="2"/>
      <c r="G65" s="2"/>
      <c r="H65" s="2"/>
      <c r="I65" s="2"/>
    </row>
    <row r="66" spans="1:9" x14ac:dyDescent="0.25">
      <c r="A66" s="2"/>
      <c r="B66" s="2"/>
      <c r="C66" s="2"/>
      <c r="D66" s="2"/>
      <c r="E66" s="2"/>
      <c r="F66" s="2"/>
      <c r="G66" s="2"/>
      <c r="H66" s="2"/>
      <c r="I66" s="2"/>
    </row>
    <row r="67" spans="1:9" x14ac:dyDescent="0.25">
      <c r="A67" s="2"/>
      <c r="B67" s="2"/>
      <c r="C67" s="2"/>
      <c r="D67" s="2"/>
      <c r="E67" s="2"/>
      <c r="F67" s="2"/>
      <c r="G67" s="2"/>
      <c r="H67" s="2"/>
      <c r="I67" s="2"/>
    </row>
    <row r="68" spans="1:9" x14ac:dyDescent="0.25">
      <c r="A68" s="2"/>
      <c r="B68" s="2"/>
      <c r="C68" s="2"/>
      <c r="D68" s="2"/>
      <c r="E68" s="2"/>
      <c r="F68" s="2"/>
      <c r="G68" s="2"/>
      <c r="H68" s="2"/>
      <c r="I68" s="2"/>
    </row>
    <row r="69" spans="1:9" x14ac:dyDescent="0.25">
      <c r="A69" s="2"/>
      <c r="B69" s="2"/>
      <c r="C69" s="2"/>
      <c r="D69" s="2"/>
      <c r="E69" s="2"/>
      <c r="F69" s="2"/>
      <c r="G69" s="2"/>
      <c r="H69" s="2"/>
      <c r="I69" s="2"/>
    </row>
    <row r="70" spans="1:9" x14ac:dyDescent="0.25">
      <c r="A70" s="2"/>
      <c r="B70" s="2"/>
      <c r="C70" s="2"/>
      <c r="D70" s="2"/>
      <c r="E70" s="2"/>
      <c r="F70" s="2"/>
      <c r="G70" s="2"/>
      <c r="H70" s="2"/>
      <c r="I70" s="2"/>
    </row>
    <row r="71" spans="1:9" x14ac:dyDescent="0.25">
      <c r="A71" s="2"/>
      <c r="B71" s="2"/>
      <c r="C71" s="2"/>
      <c r="D71" s="2"/>
      <c r="E71" s="2"/>
      <c r="F71" s="2"/>
      <c r="G71" s="2"/>
      <c r="H71" s="2"/>
      <c r="I71" s="2"/>
    </row>
    <row r="72" spans="1:9" x14ac:dyDescent="0.25">
      <c r="A72" s="2"/>
      <c r="B72" s="2"/>
      <c r="C72" s="2"/>
      <c r="D72" s="2"/>
      <c r="E72" s="2"/>
      <c r="F72" s="2"/>
      <c r="G72" s="2"/>
      <c r="H72" s="2"/>
      <c r="I72" s="2"/>
    </row>
    <row r="73" spans="1:9" x14ac:dyDescent="0.25">
      <c r="A73" s="2"/>
      <c r="B73" s="2"/>
      <c r="C73" s="2"/>
      <c r="D73" s="2"/>
      <c r="E73" s="2"/>
      <c r="F73" s="2"/>
      <c r="G73" s="2"/>
      <c r="H73" s="2"/>
      <c r="I73" s="2"/>
    </row>
    <row r="74" spans="1:9" x14ac:dyDescent="0.25">
      <c r="A74" s="2"/>
      <c r="B74" s="2"/>
      <c r="C74" s="2"/>
      <c r="D74" s="2"/>
      <c r="E74" s="2"/>
      <c r="F74" s="2"/>
      <c r="G74" s="2"/>
      <c r="H74" s="2"/>
      <c r="I74" s="2"/>
    </row>
    <row r="75" spans="1:9" x14ac:dyDescent="0.25">
      <c r="A75" s="2"/>
      <c r="B75" s="2"/>
      <c r="C75" s="2"/>
      <c r="D75" s="2"/>
      <c r="E75" s="2"/>
      <c r="F75" s="2"/>
      <c r="G75" s="2"/>
      <c r="H75" s="2"/>
      <c r="I75" s="2"/>
    </row>
    <row r="76" spans="1:9" x14ac:dyDescent="0.25">
      <c r="A76" s="2"/>
      <c r="B76" s="2"/>
      <c r="C76" s="2"/>
      <c r="D76" s="2"/>
      <c r="E76" s="2"/>
      <c r="F76" s="2"/>
      <c r="G76" s="2"/>
      <c r="H76" s="2"/>
      <c r="I76" s="2"/>
    </row>
    <row r="77" spans="1:9" x14ac:dyDescent="0.25">
      <c r="A77" s="2"/>
      <c r="B77" s="2"/>
      <c r="C77" s="2"/>
      <c r="D77" s="2"/>
      <c r="E77" s="2"/>
      <c r="F77" s="2"/>
      <c r="G77" s="2"/>
      <c r="H77" s="2"/>
      <c r="I77" s="2"/>
    </row>
    <row r="78" spans="1:9" x14ac:dyDescent="0.25">
      <c r="A78" s="2"/>
      <c r="B78" s="2"/>
      <c r="C78" s="2"/>
      <c r="D78" s="2"/>
      <c r="E78" s="2"/>
      <c r="F78" s="2"/>
      <c r="G78" s="2"/>
      <c r="H78" s="2"/>
      <c r="I78" s="2"/>
    </row>
    <row r="79" spans="1:9" x14ac:dyDescent="0.25">
      <c r="A79" s="2"/>
      <c r="B79" s="2"/>
      <c r="C79" s="2"/>
      <c r="D79" s="2"/>
      <c r="E79" s="2"/>
      <c r="F79" s="2"/>
      <c r="G79" s="2"/>
      <c r="H79" s="2"/>
      <c r="I79" s="2"/>
    </row>
    <row r="80" spans="1:9" x14ac:dyDescent="0.25">
      <c r="A80" s="2"/>
      <c r="B80" s="2"/>
      <c r="C80" s="2"/>
      <c r="D80" s="2"/>
      <c r="E80" s="2"/>
      <c r="F80" s="2"/>
      <c r="G80" s="2"/>
      <c r="H80" s="2"/>
      <c r="I80" s="2"/>
    </row>
    <row r="81" spans="1:9" x14ac:dyDescent="0.25">
      <c r="A81" s="2"/>
      <c r="B81" s="2"/>
      <c r="C81" s="2"/>
      <c r="D81" s="2"/>
      <c r="E81" s="2"/>
      <c r="F81" s="2"/>
      <c r="G81" s="2"/>
      <c r="H81" s="2"/>
      <c r="I81" s="2"/>
    </row>
    <row r="82" spans="1:9" x14ac:dyDescent="0.25">
      <c r="A82" s="2"/>
      <c r="B82" s="2"/>
      <c r="C82" s="2"/>
      <c r="D82" s="2"/>
      <c r="E82" s="2"/>
      <c r="F82" s="2"/>
      <c r="G82" s="2"/>
      <c r="H82" s="2"/>
      <c r="I82" s="2"/>
    </row>
    <row r="83" spans="1:9" x14ac:dyDescent="0.25">
      <c r="A83" s="2"/>
      <c r="B83" s="2"/>
      <c r="C83" s="2"/>
      <c r="D83" s="2"/>
      <c r="E83" s="2"/>
      <c r="F83" s="2"/>
      <c r="G83" s="2"/>
      <c r="H83" s="2"/>
      <c r="I83" s="2"/>
    </row>
    <row r="84" spans="1:9" x14ac:dyDescent="0.25">
      <c r="A84" s="2"/>
      <c r="B84" s="2"/>
      <c r="C84" s="2"/>
      <c r="D84" s="2"/>
      <c r="E84" s="2"/>
      <c r="F84" s="2"/>
      <c r="G84" s="2"/>
      <c r="H84" s="2"/>
      <c r="I84" s="2"/>
    </row>
    <row r="85" spans="1:9" x14ac:dyDescent="0.25">
      <c r="A85" s="2"/>
      <c r="B85" s="2"/>
      <c r="C85" s="2"/>
      <c r="D85" s="2"/>
      <c r="E85" s="2"/>
      <c r="F85" s="2"/>
      <c r="G85" s="2"/>
      <c r="H85" s="2"/>
      <c r="I85" s="2"/>
    </row>
    <row r="86" spans="1:9" x14ac:dyDescent="0.25">
      <c r="A86" s="2"/>
      <c r="B86" s="2"/>
      <c r="C86" s="2"/>
      <c r="D86" s="2"/>
      <c r="E86" s="2"/>
      <c r="F86" s="2"/>
      <c r="G86" s="2"/>
      <c r="H86" s="2"/>
      <c r="I86" s="2"/>
    </row>
    <row r="87" spans="1:9" x14ac:dyDescent="0.25">
      <c r="A87" s="2"/>
      <c r="B87" s="2"/>
      <c r="C87" s="2"/>
      <c r="D87" s="2"/>
      <c r="E87" s="2"/>
      <c r="F87" s="2"/>
      <c r="G87" s="2"/>
      <c r="H87" s="2"/>
      <c r="I87" s="2"/>
    </row>
    <row r="88" spans="1:9" x14ac:dyDescent="0.25">
      <c r="A88" s="2"/>
      <c r="B88" s="2"/>
      <c r="C88" s="2"/>
      <c r="D88" s="2"/>
      <c r="E88" s="2"/>
      <c r="F88" s="2"/>
      <c r="G88" s="2"/>
      <c r="H88" s="2"/>
      <c r="I88" s="2"/>
    </row>
    <row r="89" spans="1:9" x14ac:dyDescent="0.25">
      <c r="A89" s="2"/>
      <c r="B89" s="2"/>
      <c r="C89" s="2"/>
      <c r="D89" s="2"/>
      <c r="E89" s="2"/>
      <c r="F89" s="2"/>
      <c r="G89" s="2"/>
      <c r="H89" s="2"/>
      <c r="I89" s="2"/>
    </row>
    <row r="90" spans="1:9" x14ac:dyDescent="0.25">
      <c r="A90" s="2"/>
      <c r="B90" s="2"/>
      <c r="C90" s="2"/>
      <c r="D90" s="2"/>
      <c r="E90" s="2"/>
      <c r="F90" s="2"/>
      <c r="G90" s="2"/>
      <c r="H90" s="2"/>
      <c r="I90" s="2"/>
    </row>
    <row r="91" spans="1:9" x14ac:dyDescent="0.25">
      <c r="A91" s="2"/>
      <c r="B91" s="2"/>
      <c r="C91" s="2"/>
      <c r="D91" s="2"/>
      <c r="E91" s="2"/>
      <c r="F91" s="2"/>
      <c r="G91" s="2"/>
      <c r="H91" s="2"/>
      <c r="I91" s="2"/>
    </row>
    <row r="92" spans="1:9" x14ac:dyDescent="0.25">
      <c r="A92" s="2"/>
      <c r="B92" s="2"/>
      <c r="C92" s="2"/>
      <c r="D92" s="2"/>
      <c r="E92" s="2"/>
      <c r="F92" s="2"/>
      <c r="G92" s="2"/>
      <c r="H92" s="2"/>
      <c r="I92" s="2"/>
    </row>
    <row r="93" spans="1:9" x14ac:dyDescent="0.25">
      <c r="A93" s="2"/>
      <c r="B93" s="2"/>
      <c r="C93" s="2"/>
      <c r="D93" s="2"/>
      <c r="E93" s="2"/>
      <c r="F93" s="2"/>
      <c r="G93" s="2"/>
      <c r="H93" s="2"/>
      <c r="I93" s="2"/>
    </row>
    <row r="94" spans="1:9" x14ac:dyDescent="0.25">
      <c r="A94" s="2"/>
      <c r="B94" s="2"/>
      <c r="C94" s="2"/>
      <c r="D94" s="2"/>
      <c r="E94" s="2"/>
      <c r="F94" s="2"/>
      <c r="G94" s="2"/>
      <c r="H94" s="2"/>
      <c r="I94" s="2"/>
    </row>
    <row r="95" spans="1:9" x14ac:dyDescent="0.25">
      <c r="A95" s="2"/>
      <c r="B95" s="2"/>
      <c r="C95" s="2"/>
      <c r="D95" s="2"/>
      <c r="E95" s="2"/>
      <c r="F95" s="2"/>
      <c r="G95" s="2"/>
      <c r="H95" s="2"/>
      <c r="I95" s="2"/>
    </row>
    <row r="96" spans="1:9" x14ac:dyDescent="0.25">
      <c r="A96" s="2"/>
      <c r="B96" s="2"/>
      <c r="C96" s="2"/>
      <c r="D96" s="2"/>
      <c r="E96" s="2"/>
      <c r="F96" s="2"/>
      <c r="G96" s="2"/>
      <c r="H96" s="2"/>
      <c r="I96" s="2"/>
    </row>
    <row r="97" spans="1:9" x14ac:dyDescent="0.25">
      <c r="A97" s="2"/>
      <c r="B97" s="2"/>
      <c r="C97" s="2"/>
      <c r="D97" s="2"/>
      <c r="E97" s="2"/>
      <c r="F97" s="2"/>
      <c r="G97" s="2"/>
      <c r="H97" s="2"/>
      <c r="I97" s="2"/>
    </row>
    <row r="98" spans="1:9" x14ac:dyDescent="0.25">
      <c r="A98" s="2"/>
      <c r="B98" s="2"/>
      <c r="C98" s="2"/>
      <c r="D98" s="2"/>
      <c r="E98" s="2"/>
      <c r="F98" s="2"/>
      <c r="G98" s="2"/>
      <c r="H98" s="2"/>
      <c r="I98" s="2"/>
    </row>
    <row r="99" spans="1:9" x14ac:dyDescent="0.25">
      <c r="A99" s="2"/>
      <c r="B99" s="2"/>
      <c r="C99" s="2"/>
      <c r="D99" s="2"/>
      <c r="E99" s="2"/>
      <c r="F99" s="2"/>
      <c r="G99" s="2"/>
      <c r="H99" s="2"/>
      <c r="I99" s="2"/>
    </row>
    <row r="100" spans="1:9" x14ac:dyDescent="0.25">
      <c r="A100" s="2"/>
      <c r="B100" s="2"/>
      <c r="C100" s="2"/>
      <c r="D100" s="2"/>
      <c r="E100" s="2"/>
      <c r="F100" s="2"/>
      <c r="G100" s="2"/>
      <c r="H100" s="2"/>
      <c r="I100" s="2"/>
    </row>
    <row r="101" spans="1:9" x14ac:dyDescent="0.25">
      <c r="A101" s="2"/>
      <c r="B101" s="2"/>
      <c r="C101" s="2"/>
      <c r="D101" s="2"/>
      <c r="E101" s="2"/>
      <c r="F101" s="2"/>
      <c r="G101" s="2"/>
      <c r="H101" s="2"/>
      <c r="I101" s="2"/>
    </row>
    <row r="102" spans="1:9" x14ac:dyDescent="0.25">
      <c r="A102" s="2"/>
      <c r="B102" s="2"/>
      <c r="C102" s="2"/>
      <c r="D102" s="2"/>
      <c r="E102" s="2"/>
      <c r="F102" s="2"/>
      <c r="G102" s="2"/>
      <c r="H102" s="2"/>
      <c r="I102" s="2"/>
    </row>
    <row r="103" spans="1:9" x14ac:dyDescent="0.25">
      <c r="A103" s="2"/>
      <c r="B103" s="2"/>
      <c r="C103" s="2"/>
      <c r="D103" s="2"/>
      <c r="E103" s="2"/>
      <c r="F103" s="2"/>
      <c r="G103" s="2"/>
      <c r="H103" s="2"/>
      <c r="I103" s="2"/>
    </row>
    <row r="104" spans="1:9" x14ac:dyDescent="0.25">
      <c r="A104" s="2"/>
      <c r="B104" s="2"/>
      <c r="C104" s="2"/>
      <c r="D104" s="2"/>
      <c r="E104" s="2"/>
      <c r="F104" s="2"/>
      <c r="G104" s="2"/>
      <c r="H104" s="2"/>
      <c r="I104" s="2"/>
    </row>
    <row r="105" spans="1:9" x14ac:dyDescent="0.25">
      <c r="A105" s="2"/>
      <c r="B105" s="2"/>
      <c r="C105" s="2"/>
      <c r="D105" s="2"/>
      <c r="E105" s="2"/>
      <c r="F105" s="2"/>
      <c r="G105" s="2"/>
      <c r="H105" s="2"/>
      <c r="I105" s="2"/>
    </row>
    <row r="106" spans="1:9" x14ac:dyDescent="0.25">
      <c r="A106" s="2"/>
      <c r="B106" s="2"/>
      <c r="C106" s="2"/>
      <c r="D106" s="2"/>
      <c r="E106" s="2"/>
      <c r="F106" s="2"/>
      <c r="G106" s="2"/>
      <c r="H106" s="2"/>
      <c r="I106" s="2"/>
    </row>
    <row r="107" spans="1:9" x14ac:dyDescent="0.25">
      <c r="A107" s="2"/>
      <c r="B107" s="2"/>
      <c r="C107" s="2"/>
      <c r="D107" s="2"/>
      <c r="E107" s="2"/>
      <c r="F107" s="2"/>
      <c r="G107" s="2"/>
      <c r="H107" s="2"/>
      <c r="I107" s="2"/>
    </row>
    <row r="108" spans="1:9" x14ac:dyDescent="0.25">
      <c r="A108" s="2"/>
      <c r="B108" s="2"/>
      <c r="C108" s="2"/>
      <c r="D108" s="2"/>
      <c r="E108" s="2"/>
      <c r="F108" s="2"/>
      <c r="G108" s="2"/>
      <c r="H108" s="2"/>
      <c r="I108" s="2"/>
    </row>
    <row r="109" spans="1:9" x14ac:dyDescent="0.25">
      <c r="A109" s="2"/>
      <c r="B109" s="2"/>
      <c r="C109" s="2"/>
      <c r="D109" s="2"/>
      <c r="E109" s="2"/>
      <c r="F109" s="2"/>
      <c r="G109" s="2"/>
      <c r="H109" s="2"/>
      <c r="I109" s="2"/>
    </row>
    <row r="110" spans="1:9" x14ac:dyDescent="0.25">
      <c r="A110" s="2"/>
      <c r="B110" s="2"/>
      <c r="C110" s="2"/>
      <c r="D110" s="2"/>
      <c r="E110" s="2"/>
      <c r="F110" s="2"/>
      <c r="G110" s="2"/>
      <c r="H110" s="2"/>
      <c r="I110" s="2"/>
    </row>
    <row r="111" spans="1:9" x14ac:dyDescent="0.25">
      <c r="A111" s="2"/>
      <c r="B111" s="2"/>
      <c r="C111" s="2"/>
      <c r="D111" s="2"/>
      <c r="E111" s="2"/>
      <c r="F111" s="2"/>
      <c r="G111" s="2"/>
      <c r="H111" s="2"/>
      <c r="I111" s="2"/>
    </row>
    <row r="112" spans="1:9" x14ac:dyDescent="0.25">
      <c r="A112" s="2"/>
      <c r="B112" s="2"/>
      <c r="C112" s="2"/>
      <c r="D112" s="2"/>
      <c r="E112" s="2"/>
      <c r="F112" s="2"/>
      <c r="G112" s="2"/>
      <c r="H112" s="2"/>
      <c r="I112" s="2"/>
    </row>
    <row r="113" spans="1:9" x14ac:dyDescent="0.25">
      <c r="A113" s="2"/>
      <c r="B113" s="2"/>
      <c r="C113" s="2"/>
      <c r="D113" s="2"/>
      <c r="E113" s="2"/>
      <c r="F113" s="2"/>
      <c r="G113" s="2"/>
      <c r="H113" s="2"/>
      <c r="I113" s="2"/>
    </row>
    <row r="114" spans="1:9" x14ac:dyDescent="0.25">
      <c r="A114" s="2"/>
      <c r="B114" s="2"/>
      <c r="C114" s="2"/>
      <c r="D114" s="2"/>
      <c r="E114" s="2"/>
      <c r="F114" s="2"/>
      <c r="G114" s="2"/>
      <c r="H114" s="2"/>
      <c r="I114" s="2"/>
    </row>
    <row r="115" spans="1:9" x14ac:dyDescent="0.25">
      <c r="A115" s="2"/>
      <c r="B115" s="2"/>
      <c r="C115" s="2"/>
      <c r="D115" s="2"/>
      <c r="E115" s="2"/>
      <c r="F115" s="2"/>
      <c r="G115" s="2"/>
      <c r="H115" s="2"/>
      <c r="I115" s="2"/>
    </row>
    <row r="116" spans="1:9" x14ac:dyDescent="0.25">
      <c r="A116" s="2"/>
      <c r="B116" s="2"/>
      <c r="C116" s="2"/>
      <c r="D116" s="2"/>
      <c r="E116" s="2"/>
      <c r="F116" s="2"/>
      <c r="G116" s="2"/>
      <c r="H116" s="2"/>
      <c r="I116" s="2"/>
    </row>
    <row r="117" spans="1:9" x14ac:dyDescent="0.25">
      <c r="A117" s="2"/>
      <c r="B117" s="2"/>
      <c r="C117" s="2"/>
      <c r="D117" s="2"/>
      <c r="E117" s="2"/>
      <c r="F117" s="2"/>
      <c r="G117" s="2"/>
      <c r="H117" s="2"/>
      <c r="I117" s="2"/>
    </row>
    <row r="118" spans="1:9" x14ac:dyDescent="0.25">
      <c r="A118" s="2"/>
      <c r="B118" s="2"/>
      <c r="C118" s="2"/>
      <c r="D118" s="2"/>
      <c r="E118" s="2"/>
      <c r="F118" s="2"/>
      <c r="G118" s="2"/>
      <c r="H118" s="2"/>
      <c r="I118" s="2"/>
    </row>
    <row r="119" spans="1:9" x14ac:dyDescent="0.25">
      <c r="A119" s="2"/>
      <c r="B119" s="2"/>
      <c r="C119" s="2"/>
      <c r="D119" s="2"/>
      <c r="E119" s="2"/>
      <c r="F119" s="2"/>
      <c r="G119" s="2"/>
      <c r="H119" s="2"/>
      <c r="I119" s="2"/>
    </row>
    <row r="120" spans="1:9" x14ac:dyDescent="0.25">
      <c r="A120" s="2"/>
      <c r="B120" s="2"/>
      <c r="C120" s="2"/>
      <c r="D120" s="2"/>
      <c r="E120" s="2"/>
      <c r="F120" s="2"/>
      <c r="G120" s="2"/>
      <c r="H120" s="2"/>
      <c r="I120" s="2"/>
    </row>
    <row r="121" spans="1:9" x14ac:dyDescent="0.25">
      <c r="A121" s="2"/>
      <c r="B121" s="2"/>
      <c r="C121" s="2"/>
      <c r="D121" s="2"/>
      <c r="E121" s="2"/>
      <c r="F121" s="2"/>
      <c r="G121" s="2"/>
      <c r="H121" s="2"/>
      <c r="I121" s="2"/>
    </row>
    <row r="122" spans="1:9" x14ac:dyDescent="0.25">
      <c r="A122" s="2"/>
      <c r="B122" s="2"/>
      <c r="C122" s="2"/>
      <c r="D122" s="2"/>
      <c r="E122" s="2"/>
      <c r="F122" s="2"/>
      <c r="G122" s="2"/>
      <c r="H122" s="2"/>
      <c r="I122" s="2"/>
    </row>
    <row r="123" spans="1:9" x14ac:dyDescent="0.25">
      <c r="A123" s="2"/>
      <c r="B123" s="2"/>
      <c r="C123" s="2"/>
      <c r="D123" s="2"/>
      <c r="E123" s="2"/>
      <c r="F123" s="2"/>
      <c r="G123" s="2"/>
      <c r="H123" s="2"/>
      <c r="I123" s="2"/>
    </row>
    <row r="124" spans="1:9" x14ac:dyDescent="0.25">
      <c r="A124" s="2"/>
      <c r="B124" s="2"/>
      <c r="C124" s="2"/>
      <c r="D124" s="2"/>
      <c r="E124" s="2"/>
      <c r="F124" s="2"/>
      <c r="G124" s="2"/>
      <c r="H124" s="2"/>
      <c r="I124" s="2"/>
    </row>
    <row r="125" spans="1:9" x14ac:dyDescent="0.25">
      <c r="A125" s="2"/>
      <c r="B125" s="2"/>
      <c r="C125" s="2"/>
      <c r="D125" s="2"/>
      <c r="E125" s="2"/>
      <c r="F125" s="2"/>
      <c r="G125" s="2"/>
      <c r="H125" s="2"/>
      <c r="I125" s="2"/>
    </row>
    <row r="126" spans="1:9" x14ac:dyDescent="0.25">
      <c r="A126" s="2"/>
      <c r="B126" s="2"/>
      <c r="C126" s="2"/>
      <c r="D126" s="2"/>
      <c r="E126" s="2"/>
      <c r="F126" s="2"/>
      <c r="G126" s="2"/>
      <c r="H126" s="2"/>
      <c r="I126" s="2"/>
    </row>
    <row r="127" spans="1:9" x14ac:dyDescent="0.25">
      <c r="A127" s="2"/>
      <c r="B127" s="2"/>
      <c r="C127" s="2"/>
      <c r="D127" s="2"/>
      <c r="E127" s="2"/>
      <c r="F127" s="2"/>
      <c r="G127" s="2"/>
      <c r="H127" s="2"/>
      <c r="I127" s="2"/>
    </row>
    <row r="128" spans="1:9" x14ac:dyDescent="0.25">
      <c r="A128" s="2"/>
      <c r="B128" s="2"/>
      <c r="C128" s="2"/>
      <c r="D128" s="2"/>
      <c r="E128" s="2"/>
      <c r="F128" s="2"/>
      <c r="G128" s="2"/>
      <c r="H128" s="2"/>
      <c r="I128" s="2"/>
    </row>
    <row r="129" spans="1:9" x14ac:dyDescent="0.25">
      <c r="A129" s="2"/>
      <c r="B129" s="2"/>
      <c r="C129" s="2"/>
      <c r="D129" s="2"/>
      <c r="E129" s="2"/>
      <c r="F129" s="2"/>
      <c r="G129" s="2"/>
      <c r="H129" s="2"/>
      <c r="I129" s="2"/>
    </row>
    <row r="130" spans="1:9" x14ac:dyDescent="0.25">
      <c r="A130" s="2"/>
      <c r="B130" s="2"/>
      <c r="C130" s="2"/>
      <c r="D130" s="2"/>
      <c r="E130" s="2"/>
      <c r="F130" s="2"/>
      <c r="G130" s="2"/>
      <c r="H130" s="2"/>
      <c r="I130" s="2"/>
    </row>
    <row r="131" spans="1:9" x14ac:dyDescent="0.25">
      <c r="A131" s="2"/>
      <c r="B131" s="2"/>
      <c r="C131" s="2"/>
      <c r="D131" s="2"/>
      <c r="E131" s="2"/>
      <c r="F131" s="2"/>
      <c r="G131" s="2"/>
      <c r="H131" s="2"/>
      <c r="I131" s="2"/>
    </row>
    <row r="132" spans="1:9" x14ac:dyDescent="0.25">
      <c r="A132" s="2"/>
      <c r="B132" s="2"/>
      <c r="C132" s="2"/>
      <c r="D132" s="2"/>
      <c r="E132" s="2"/>
      <c r="F132" s="2"/>
      <c r="G132" s="2"/>
      <c r="H132" s="2"/>
      <c r="I132" s="2"/>
    </row>
    <row r="133" spans="1:9" x14ac:dyDescent="0.25">
      <c r="A133" s="2"/>
      <c r="B133" s="2"/>
      <c r="C133" s="2"/>
      <c r="D133" s="2"/>
      <c r="E133" s="2"/>
      <c r="F133" s="2"/>
      <c r="G133" s="2"/>
      <c r="H133" s="2"/>
      <c r="I133" s="2"/>
    </row>
    <row r="134" spans="1:9" x14ac:dyDescent="0.25">
      <c r="A134" s="2"/>
      <c r="B134" s="2"/>
      <c r="C134" s="2"/>
      <c r="D134" s="2"/>
      <c r="E134" s="2"/>
      <c r="F134" s="2"/>
      <c r="G134" s="2"/>
      <c r="H134" s="2"/>
      <c r="I134" s="2"/>
    </row>
    <row r="135" spans="1:9" x14ac:dyDescent="0.25">
      <c r="A135" s="2"/>
      <c r="B135" s="2"/>
      <c r="C135" s="2"/>
      <c r="D135" s="2"/>
      <c r="E135" s="2"/>
      <c r="F135" s="2"/>
      <c r="G135" s="2"/>
      <c r="H135" s="2"/>
      <c r="I135" s="2"/>
    </row>
    <row r="136" spans="1:9" x14ac:dyDescent="0.25">
      <c r="A136" s="2"/>
      <c r="B136" s="2"/>
      <c r="C136" s="2"/>
      <c r="D136" s="2"/>
      <c r="E136" s="2"/>
      <c r="F136" s="2"/>
      <c r="G136" s="2"/>
      <c r="H136" s="2"/>
      <c r="I136" s="2"/>
    </row>
    <row r="137" spans="1:9" x14ac:dyDescent="0.25">
      <c r="A137" s="2"/>
      <c r="B137" s="2"/>
      <c r="C137" s="2"/>
      <c r="D137" s="2"/>
      <c r="E137" s="2"/>
      <c r="F137" s="2"/>
      <c r="G137" s="2"/>
      <c r="H137" s="2"/>
      <c r="I137" s="2"/>
    </row>
    <row r="138" spans="1:9" x14ac:dyDescent="0.25">
      <c r="A138" s="2"/>
      <c r="B138" s="2"/>
      <c r="C138" s="2"/>
      <c r="D138" s="2"/>
      <c r="E138" s="2"/>
      <c r="F138" s="2"/>
      <c r="G138" s="2"/>
      <c r="H138" s="2"/>
      <c r="I138" s="2"/>
    </row>
    <row r="139" spans="1:9" x14ac:dyDescent="0.25">
      <c r="A139" s="2"/>
      <c r="B139" s="2"/>
      <c r="C139" s="2"/>
      <c r="D139" s="2"/>
      <c r="E139" s="2"/>
      <c r="F139" s="2"/>
      <c r="G139" s="2"/>
      <c r="H139" s="2"/>
      <c r="I139" s="2"/>
    </row>
    <row r="140" spans="1:9" x14ac:dyDescent="0.25">
      <c r="A140" s="2"/>
      <c r="B140" s="2"/>
      <c r="C140" s="2"/>
      <c r="D140" s="2"/>
      <c r="E140" s="2"/>
      <c r="F140" s="2"/>
      <c r="G140" s="2"/>
      <c r="H140" s="2"/>
      <c r="I140" s="2"/>
    </row>
    <row r="141" spans="1:9" x14ac:dyDescent="0.25">
      <c r="A141" s="2"/>
      <c r="B141" s="2"/>
      <c r="C141" s="2"/>
      <c r="D141" s="2"/>
      <c r="E141" s="2"/>
      <c r="F141" s="2"/>
      <c r="G141" s="2"/>
      <c r="H141" s="2"/>
      <c r="I141" s="2"/>
    </row>
    <row r="142" spans="1:9" x14ac:dyDescent="0.25">
      <c r="A142" s="2"/>
      <c r="B142" s="2"/>
      <c r="C142" s="2"/>
      <c r="D142" s="2"/>
      <c r="E142" s="2"/>
      <c r="F142" s="2"/>
      <c r="G142" s="2"/>
      <c r="H142" s="2"/>
      <c r="I142" s="2"/>
    </row>
    <row r="143" spans="1:9" x14ac:dyDescent="0.25">
      <c r="A143" s="2"/>
      <c r="B143" s="2"/>
      <c r="C143" s="2"/>
      <c r="D143" s="2"/>
      <c r="E143" s="2"/>
      <c r="F143" s="2"/>
      <c r="G143" s="2"/>
      <c r="H143" s="2"/>
      <c r="I143" s="2"/>
    </row>
    <row r="144" spans="1:9" x14ac:dyDescent="0.25">
      <c r="A144" s="2"/>
      <c r="B144" s="2"/>
      <c r="C144" s="2"/>
      <c r="D144" s="2"/>
      <c r="E144" s="2"/>
      <c r="F144" s="2"/>
      <c r="G144" s="2"/>
      <c r="H144" s="2"/>
      <c r="I144" s="2"/>
    </row>
    <row r="145" spans="1:9" x14ac:dyDescent="0.25">
      <c r="A145" s="2"/>
      <c r="B145" s="2"/>
      <c r="C145" s="2"/>
      <c r="D145" s="2"/>
      <c r="E145" s="2"/>
      <c r="F145" s="2"/>
      <c r="G145" s="2"/>
      <c r="H145" s="2"/>
      <c r="I145" s="2"/>
    </row>
    <row r="146" spans="1:9" x14ac:dyDescent="0.25">
      <c r="A146" s="2"/>
      <c r="B146" s="2"/>
      <c r="C146" s="2"/>
      <c r="D146" s="2"/>
      <c r="E146" s="2"/>
      <c r="F146" s="2"/>
      <c r="G146" s="2"/>
      <c r="H146" s="2"/>
      <c r="I146" s="2"/>
    </row>
    <row r="147" spans="1:9" x14ac:dyDescent="0.25">
      <c r="A147" s="2"/>
      <c r="B147" s="2"/>
      <c r="C147" s="2"/>
      <c r="D147" s="2"/>
      <c r="E147" s="2"/>
      <c r="F147" s="2"/>
      <c r="G147" s="2"/>
      <c r="H147" s="2"/>
      <c r="I147" s="2"/>
    </row>
    <row r="148" spans="1:9" x14ac:dyDescent="0.25">
      <c r="A148" s="2"/>
      <c r="B148" s="2"/>
      <c r="C148" s="2"/>
      <c r="D148" s="2"/>
      <c r="E148" s="2"/>
      <c r="F148" s="2"/>
      <c r="G148" s="2"/>
      <c r="H148" s="2"/>
      <c r="I148" s="2"/>
    </row>
    <row r="149" spans="1:9" x14ac:dyDescent="0.25">
      <c r="A149" s="2"/>
      <c r="B149" s="2"/>
      <c r="C149" s="2"/>
      <c r="D149" s="2"/>
      <c r="E149" s="2"/>
      <c r="F149" s="2"/>
      <c r="G149" s="2"/>
      <c r="H149" s="2"/>
      <c r="I149" s="2"/>
    </row>
    <row r="150" spans="1:9" x14ac:dyDescent="0.25">
      <c r="A150" s="2"/>
      <c r="B150" s="2"/>
      <c r="C150" s="2"/>
      <c r="D150" s="2"/>
      <c r="E150" s="2"/>
      <c r="F150" s="2"/>
      <c r="G150" s="2"/>
      <c r="H150" s="2"/>
      <c r="I150" s="2"/>
    </row>
    <row r="151" spans="1:9" x14ac:dyDescent="0.25">
      <c r="A151" s="2"/>
      <c r="B151" s="2"/>
      <c r="C151" s="2"/>
      <c r="D151" s="2"/>
      <c r="E151" s="2"/>
      <c r="F151" s="2"/>
      <c r="G151" s="2"/>
      <c r="H151" s="2"/>
      <c r="I151" s="2"/>
    </row>
    <row r="152" spans="1:9" x14ac:dyDescent="0.25">
      <c r="A152" s="2"/>
      <c r="B152" s="2"/>
      <c r="C152" s="2"/>
      <c r="D152" s="2"/>
      <c r="E152" s="2"/>
      <c r="F152" s="2"/>
      <c r="G152" s="2"/>
      <c r="H152" s="2"/>
      <c r="I152" s="2"/>
    </row>
    <row r="153" spans="1:9" x14ac:dyDescent="0.25">
      <c r="A153" s="2"/>
      <c r="B153" s="2"/>
      <c r="C153" s="2"/>
      <c r="D153" s="2"/>
      <c r="E153" s="2"/>
      <c r="F153" s="2"/>
      <c r="G153" s="2"/>
      <c r="H153" s="2"/>
      <c r="I153" s="2"/>
    </row>
    <row r="154" spans="1:9" x14ac:dyDescent="0.25">
      <c r="A154" s="2"/>
      <c r="B154" s="2"/>
      <c r="C154" s="2"/>
      <c r="D154" s="2"/>
      <c r="E154" s="2"/>
      <c r="F154" s="2"/>
      <c r="G154" s="2"/>
      <c r="H154" s="2"/>
      <c r="I154" s="2"/>
    </row>
    <row r="155" spans="1:9" x14ac:dyDescent="0.25">
      <c r="A155" s="2"/>
      <c r="B155" s="2"/>
      <c r="C155" s="2"/>
      <c r="D155" s="2"/>
      <c r="E155" s="2"/>
      <c r="F155" s="2"/>
      <c r="G155" s="2"/>
      <c r="H155" s="2"/>
      <c r="I155" s="2"/>
    </row>
    <row r="156" spans="1:9" x14ac:dyDescent="0.25">
      <c r="A156" s="2"/>
      <c r="B156" s="2"/>
      <c r="C156" s="2"/>
      <c r="D156" s="2"/>
      <c r="E156" s="2"/>
      <c r="F156" s="2"/>
      <c r="G156" s="2"/>
      <c r="H156" s="2"/>
      <c r="I156" s="2"/>
    </row>
    <row r="157" spans="1:9" x14ac:dyDescent="0.25">
      <c r="A157" s="2"/>
      <c r="B157" s="2"/>
      <c r="C157" s="2"/>
      <c r="D157" s="2"/>
      <c r="E157" s="2"/>
      <c r="F157" s="2"/>
      <c r="G157" s="2"/>
      <c r="H157" s="2"/>
      <c r="I157" s="2"/>
    </row>
    <row r="158" spans="1:9" x14ac:dyDescent="0.25">
      <c r="A158" s="2"/>
      <c r="B158" s="2"/>
      <c r="C158" s="2"/>
      <c r="D158" s="2"/>
      <c r="E158" s="2"/>
      <c r="F158" s="2"/>
      <c r="G158" s="2"/>
      <c r="H158" s="2"/>
      <c r="I158" s="2"/>
    </row>
    <row r="159" spans="1:9" x14ac:dyDescent="0.25">
      <c r="A159" s="2"/>
      <c r="B159" s="2"/>
      <c r="C159" s="2"/>
      <c r="D159" s="2"/>
      <c r="E159" s="2"/>
      <c r="F159" s="2"/>
      <c r="G159" s="2"/>
      <c r="H159" s="2"/>
      <c r="I159" s="2"/>
    </row>
    <row r="160" spans="1:9" x14ac:dyDescent="0.25">
      <c r="A160" s="2"/>
      <c r="B160" s="2"/>
      <c r="C160" s="2"/>
      <c r="D160" s="2"/>
      <c r="E160" s="2"/>
      <c r="F160" s="2"/>
      <c r="G160" s="2"/>
      <c r="H160" s="2"/>
      <c r="I160" s="2"/>
    </row>
    <row r="161" spans="1:9" x14ac:dyDescent="0.25">
      <c r="A161" s="2"/>
      <c r="B161" s="2"/>
      <c r="C161" s="2"/>
      <c r="D161" s="2"/>
      <c r="E161" s="2"/>
      <c r="F161" s="2"/>
      <c r="G161" s="2"/>
      <c r="H161" s="2"/>
      <c r="I161" s="2"/>
    </row>
    <row r="162" spans="1:9" x14ac:dyDescent="0.25">
      <c r="A162" s="2"/>
      <c r="B162" s="2"/>
      <c r="C162" s="2"/>
      <c r="D162" s="2"/>
      <c r="E162" s="2"/>
      <c r="F162" s="2"/>
      <c r="G162" s="2"/>
      <c r="H162" s="2"/>
      <c r="I162" s="2"/>
    </row>
    <row r="163" spans="1:9" x14ac:dyDescent="0.25">
      <c r="A163" s="2"/>
      <c r="B163" s="2"/>
      <c r="C163" s="2"/>
      <c r="D163" s="2"/>
      <c r="E163" s="2"/>
      <c r="F163" s="2"/>
      <c r="G163" s="2"/>
      <c r="H163" s="2"/>
      <c r="I163" s="2"/>
    </row>
    <row r="164" spans="1:9" x14ac:dyDescent="0.25">
      <c r="A164" s="2"/>
      <c r="B164" s="2"/>
      <c r="C164" s="2"/>
      <c r="D164" s="2"/>
      <c r="E164" s="2"/>
      <c r="F164" s="2"/>
      <c r="G164" s="2"/>
      <c r="H164" s="2"/>
      <c r="I164" s="2"/>
    </row>
    <row r="165" spans="1:9" x14ac:dyDescent="0.25">
      <c r="A165" s="2"/>
      <c r="B165" s="2"/>
      <c r="C165" s="2"/>
      <c r="D165" s="2"/>
      <c r="E165" s="2"/>
      <c r="F165" s="2"/>
      <c r="G165" s="2"/>
      <c r="H165" s="2"/>
      <c r="I165" s="2"/>
    </row>
    <row r="166" spans="1:9" x14ac:dyDescent="0.25">
      <c r="A166" s="2"/>
      <c r="B166" s="2"/>
      <c r="C166" s="2"/>
      <c r="D166" s="2"/>
      <c r="E166" s="2"/>
      <c r="F166" s="2"/>
      <c r="G166" s="2"/>
      <c r="H166" s="2"/>
      <c r="I166" s="2"/>
    </row>
    <row r="167" spans="1:9" x14ac:dyDescent="0.25">
      <c r="A167" s="2"/>
      <c r="B167" s="2"/>
      <c r="C167" s="2"/>
      <c r="D167" s="2"/>
      <c r="E167" s="2"/>
      <c r="F167" s="2"/>
      <c r="G167" s="2"/>
      <c r="H167" s="2"/>
      <c r="I167" s="2"/>
    </row>
    <row r="168" spans="1:9" x14ac:dyDescent="0.25">
      <c r="A168" s="2"/>
      <c r="B168" s="2"/>
      <c r="C168" s="2"/>
      <c r="D168" s="2"/>
      <c r="E168" s="2"/>
      <c r="F168" s="2"/>
      <c r="G168" s="2"/>
      <c r="H168" s="2"/>
      <c r="I168" s="2"/>
    </row>
    <row r="169" spans="1:9" x14ac:dyDescent="0.25">
      <c r="A169" s="2"/>
      <c r="B169" s="2"/>
      <c r="C169" s="2"/>
      <c r="D169" s="2"/>
      <c r="E169" s="2"/>
      <c r="F169" s="2"/>
      <c r="G169" s="2"/>
      <c r="H169" s="2"/>
      <c r="I169" s="2"/>
    </row>
    <row r="170" spans="1:9" x14ac:dyDescent="0.25">
      <c r="A170" s="2"/>
      <c r="B170" s="2"/>
      <c r="C170" s="2"/>
      <c r="D170" s="2"/>
      <c r="E170" s="2"/>
      <c r="F170" s="2"/>
      <c r="G170" s="2"/>
      <c r="H170" s="2"/>
      <c r="I170" s="2"/>
    </row>
    <row r="171" spans="1:9" x14ac:dyDescent="0.25">
      <c r="A171" s="2"/>
      <c r="B171" s="2"/>
      <c r="C171" s="2"/>
      <c r="D171" s="2"/>
      <c r="E171" s="2"/>
      <c r="F171" s="2"/>
      <c r="G171" s="2"/>
      <c r="H171" s="2"/>
      <c r="I171" s="2"/>
    </row>
    <row r="172" spans="1:9" x14ac:dyDescent="0.25">
      <c r="A172" s="2"/>
      <c r="B172" s="2"/>
      <c r="C172" s="2"/>
      <c r="D172" s="2"/>
      <c r="E172" s="2"/>
      <c r="F172" s="2"/>
      <c r="G172" s="2"/>
      <c r="H172" s="2"/>
      <c r="I172" s="2"/>
    </row>
    <row r="173" spans="1:9" x14ac:dyDescent="0.25">
      <c r="A173" s="2"/>
      <c r="B173" s="2"/>
      <c r="C173" s="2"/>
      <c r="D173" s="2"/>
      <c r="E173" s="2"/>
      <c r="F173" s="2"/>
      <c r="G173" s="2"/>
      <c r="H173" s="2"/>
      <c r="I173" s="2"/>
    </row>
    <row r="174" spans="1:9" x14ac:dyDescent="0.25">
      <c r="A174" s="2"/>
      <c r="B174" s="2"/>
      <c r="C174" s="2"/>
      <c r="D174" s="2"/>
      <c r="E174" s="2"/>
      <c r="F174" s="2"/>
      <c r="G174" s="2"/>
      <c r="H174" s="2"/>
      <c r="I174" s="2"/>
    </row>
    <row r="175" spans="1:9" x14ac:dyDescent="0.25">
      <c r="A175" s="2"/>
      <c r="B175" s="2"/>
      <c r="C175" s="2"/>
      <c r="D175" s="2"/>
      <c r="E175" s="2"/>
      <c r="F175" s="2"/>
      <c r="G175" s="2"/>
      <c r="H175" s="2"/>
      <c r="I175" s="2"/>
    </row>
    <row r="176" spans="1:9" x14ac:dyDescent="0.25">
      <c r="A176" s="2"/>
      <c r="B176" s="2"/>
      <c r="C176" s="2"/>
      <c r="D176" s="2"/>
      <c r="E176" s="2"/>
      <c r="F176" s="2"/>
      <c r="G176" s="2"/>
      <c r="H176" s="2"/>
      <c r="I176" s="2"/>
    </row>
    <row r="177" spans="1:9" x14ac:dyDescent="0.25">
      <c r="A177" s="2"/>
      <c r="B177" s="2"/>
      <c r="C177" s="2"/>
      <c r="D177" s="2"/>
      <c r="E177" s="2"/>
      <c r="F177" s="2"/>
      <c r="G177" s="2"/>
      <c r="H177" s="2"/>
      <c r="I177" s="2"/>
    </row>
    <row r="178" spans="1:9" x14ac:dyDescent="0.25">
      <c r="A178" s="2"/>
      <c r="B178" s="2"/>
      <c r="C178" s="2"/>
      <c r="D178" s="2"/>
      <c r="E178" s="2"/>
      <c r="F178" s="2"/>
      <c r="G178" s="2"/>
      <c r="H178" s="2"/>
      <c r="I178" s="2"/>
    </row>
    <row r="179" spans="1:9" x14ac:dyDescent="0.25">
      <c r="A179" s="2"/>
      <c r="B179" s="2"/>
      <c r="C179" s="2"/>
      <c r="D179" s="2"/>
      <c r="E179" s="2"/>
      <c r="F179" s="2"/>
      <c r="G179" s="2"/>
      <c r="H179" s="2"/>
      <c r="I179" s="2"/>
    </row>
    <row r="180" spans="1:9" x14ac:dyDescent="0.25">
      <c r="A180" s="2"/>
      <c r="B180" s="2"/>
      <c r="C180" s="2"/>
      <c r="D180" s="2"/>
      <c r="E180" s="2"/>
      <c r="F180" s="2"/>
      <c r="G180" s="2"/>
      <c r="H180" s="2"/>
      <c r="I180" s="2"/>
    </row>
    <row r="181" spans="1:9" x14ac:dyDescent="0.25">
      <c r="A181" s="2"/>
      <c r="B181" s="2"/>
      <c r="C181" s="2"/>
      <c r="D181" s="2"/>
      <c r="E181" s="2"/>
      <c r="F181" s="2"/>
      <c r="G181" s="2"/>
      <c r="H181" s="2"/>
      <c r="I181" s="2"/>
    </row>
    <row r="182" spans="1:9" x14ac:dyDescent="0.25">
      <c r="A182" s="2"/>
      <c r="B182" s="2"/>
      <c r="C182" s="2"/>
      <c r="D182" s="2"/>
      <c r="E182" s="2"/>
      <c r="F182" s="2"/>
      <c r="G182" s="2"/>
      <c r="H182" s="2"/>
      <c r="I182" s="2"/>
    </row>
    <row r="183" spans="1:9" x14ac:dyDescent="0.25">
      <c r="A183" s="2"/>
      <c r="B183" s="2"/>
      <c r="C183" s="2"/>
      <c r="D183" s="2"/>
      <c r="E183" s="2"/>
      <c r="F183" s="2"/>
      <c r="G183" s="2"/>
      <c r="H183" s="2"/>
      <c r="I183" s="2"/>
    </row>
    <row r="184" spans="1:9" x14ac:dyDescent="0.25">
      <c r="A184" s="2"/>
      <c r="B184" s="2"/>
      <c r="C184" s="2"/>
      <c r="D184" s="2"/>
      <c r="E184" s="2"/>
      <c r="F184" s="2"/>
      <c r="G184" s="2"/>
      <c r="H184" s="2"/>
      <c r="I184" s="2"/>
    </row>
    <row r="185" spans="1:9" x14ac:dyDescent="0.25">
      <c r="A185" s="2"/>
      <c r="B185" s="2"/>
      <c r="C185" s="2"/>
      <c r="D185" s="2"/>
      <c r="E185" s="2"/>
      <c r="F185" s="2"/>
      <c r="G185" s="2"/>
      <c r="H185" s="2"/>
      <c r="I185" s="2"/>
    </row>
    <row r="186" spans="1:9" x14ac:dyDescent="0.25">
      <c r="A186" s="2"/>
      <c r="B186" s="2"/>
      <c r="C186" s="2"/>
      <c r="D186" s="2"/>
      <c r="E186" s="2"/>
      <c r="F186" s="2"/>
      <c r="G186" s="2"/>
      <c r="H186" s="2"/>
      <c r="I186" s="2"/>
    </row>
    <row r="187" spans="1:9" x14ac:dyDescent="0.25">
      <c r="A187" s="2"/>
      <c r="B187" s="2"/>
      <c r="C187" s="2"/>
      <c r="D187" s="2"/>
      <c r="E187" s="2"/>
      <c r="F187" s="2"/>
      <c r="G187" s="2"/>
      <c r="H187" s="2"/>
      <c r="I187" s="2"/>
    </row>
    <row r="188" spans="1:9" x14ac:dyDescent="0.25">
      <c r="A188" s="2"/>
      <c r="B188" s="2"/>
      <c r="C188" s="2"/>
      <c r="D188" s="2"/>
      <c r="E188" s="2"/>
      <c r="F188" s="2"/>
      <c r="G188" s="2"/>
      <c r="H188" s="2"/>
      <c r="I188" s="2"/>
    </row>
    <row r="189" spans="1:9" x14ac:dyDescent="0.25">
      <c r="A189" s="2"/>
      <c r="B189" s="2"/>
      <c r="C189" s="2"/>
      <c r="D189" s="2"/>
      <c r="E189" s="2"/>
      <c r="F189" s="2"/>
      <c r="G189" s="2"/>
      <c r="H189" s="2"/>
      <c r="I189" s="2"/>
    </row>
    <row r="190" spans="1:9" x14ac:dyDescent="0.25">
      <c r="A190" s="2"/>
      <c r="B190" s="2"/>
      <c r="C190" s="2"/>
      <c r="D190" s="2"/>
      <c r="E190" s="2"/>
      <c r="F190" s="2"/>
      <c r="G190" s="2"/>
      <c r="H190" s="2"/>
      <c r="I190" s="2"/>
    </row>
    <row r="191" spans="1:9" x14ac:dyDescent="0.25">
      <c r="A191" s="2"/>
      <c r="B191" s="2"/>
      <c r="C191" s="2"/>
      <c r="D191" s="2"/>
      <c r="E191" s="2"/>
      <c r="F191" s="2"/>
      <c r="G191" s="2"/>
      <c r="H191" s="2"/>
      <c r="I191" s="2"/>
    </row>
    <row r="192" spans="1:9" x14ac:dyDescent="0.25">
      <c r="A192" s="2"/>
      <c r="B192" s="2"/>
      <c r="C192" s="2"/>
      <c r="D192" s="2"/>
      <c r="E192" s="2"/>
      <c r="F192" s="2"/>
      <c r="G192" s="2"/>
      <c r="H192" s="2"/>
      <c r="I192" s="2"/>
    </row>
    <row r="193" spans="1:9" x14ac:dyDescent="0.25">
      <c r="A193" s="2"/>
      <c r="B193" s="2"/>
      <c r="C193" s="2"/>
      <c r="D193" s="2"/>
      <c r="E193" s="2"/>
      <c r="F193" s="2"/>
      <c r="G193" s="2"/>
      <c r="H193" s="2"/>
      <c r="I193" s="2"/>
    </row>
    <row r="194" spans="1:9" x14ac:dyDescent="0.25">
      <c r="A194" s="2"/>
      <c r="B194" s="2"/>
      <c r="C194" s="2"/>
      <c r="D194" s="2"/>
      <c r="E194" s="2"/>
      <c r="F194" s="2"/>
      <c r="G194" s="2"/>
      <c r="H194" s="2"/>
      <c r="I194" s="2"/>
    </row>
    <row r="195" spans="1:9" x14ac:dyDescent="0.25">
      <c r="A195" s="2"/>
      <c r="B195" s="2"/>
      <c r="C195" s="2"/>
      <c r="D195" s="2"/>
      <c r="E195" s="2"/>
      <c r="F195" s="2"/>
      <c r="G195" s="2"/>
      <c r="H195" s="2"/>
      <c r="I195" s="2"/>
    </row>
    <row r="196" spans="1:9" x14ac:dyDescent="0.25">
      <c r="A196" s="2"/>
      <c r="B196" s="2"/>
      <c r="C196" s="2"/>
      <c r="D196" s="2"/>
      <c r="E196" s="2"/>
      <c r="F196" s="2"/>
      <c r="G196" s="2"/>
      <c r="H196" s="2"/>
      <c r="I196" s="2"/>
    </row>
    <row r="197" spans="1:9" x14ac:dyDescent="0.25">
      <c r="A197" s="2"/>
      <c r="B197" s="2"/>
      <c r="C197" s="2"/>
      <c r="D197" s="2"/>
      <c r="E197" s="2"/>
      <c r="F197" s="2"/>
      <c r="G197" s="2"/>
      <c r="H197" s="2"/>
      <c r="I197" s="2"/>
    </row>
    <row r="198" spans="1:9" x14ac:dyDescent="0.25">
      <c r="A198" s="2"/>
      <c r="B198" s="2"/>
      <c r="C198" s="2"/>
      <c r="D198" s="2"/>
      <c r="E198" s="2"/>
      <c r="F198" s="2"/>
      <c r="G198" s="2"/>
      <c r="H198" s="2"/>
      <c r="I198" s="2"/>
    </row>
    <row r="199" spans="1:9" x14ac:dyDescent="0.25">
      <c r="A199" s="2"/>
      <c r="B199" s="2"/>
      <c r="C199" s="2"/>
      <c r="D199" s="2"/>
      <c r="E199" s="2"/>
      <c r="F199" s="2"/>
      <c r="G199" s="2"/>
      <c r="H199" s="2"/>
      <c r="I199" s="2"/>
    </row>
    <row r="200" spans="1:9" x14ac:dyDescent="0.25">
      <c r="A200" s="2"/>
      <c r="B200" s="2"/>
      <c r="C200" s="2"/>
      <c r="D200" s="2"/>
      <c r="E200" s="2"/>
      <c r="F200" s="2"/>
      <c r="G200" s="2"/>
      <c r="H200" s="2"/>
      <c r="I200" s="2"/>
    </row>
    <row r="201" spans="1:9" x14ac:dyDescent="0.25">
      <c r="A201" s="2"/>
      <c r="B201" s="2"/>
      <c r="C201" s="2"/>
      <c r="D201" s="2"/>
      <c r="E201" s="2"/>
      <c r="F201" s="2"/>
      <c r="G201" s="2"/>
      <c r="H201" s="2"/>
      <c r="I201" s="2"/>
    </row>
    <row r="202" spans="1:9" x14ac:dyDescent="0.25">
      <c r="A202" s="2"/>
      <c r="B202" s="2"/>
      <c r="C202" s="2"/>
      <c r="D202" s="2"/>
      <c r="E202" s="2"/>
      <c r="F202" s="2"/>
      <c r="G202" s="2"/>
      <c r="H202" s="2"/>
      <c r="I202" s="2"/>
    </row>
    <row r="203" spans="1:9" x14ac:dyDescent="0.25">
      <c r="A203" s="2"/>
      <c r="B203" s="2"/>
      <c r="C203" s="2"/>
      <c r="D203" s="2"/>
      <c r="E203" s="2"/>
      <c r="F203" s="2"/>
      <c r="G203" s="2"/>
      <c r="H203" s="2"/>
      <c r="I203" s="2"/>
    </row>
    <row r="204" spans="1:9" x14ac:dyDescent="0.25">
      <c r="A204" s="2"/>
      <c r="B204" s="2"/>
      <c r="C204" s="2"/>
      <c r="D204" s="2"/>
      <c r="E204" s="2"/>
      <c r="F204" s="2"/>
      <c r="G204" s="2"/>
      <c r="H204" s="2"/>
      <c r="I204" s="2"/>
    </row>
    <row r="205" spans="1:9" x14ac:dyDescent="0.25">
      <c r="A205" s="2"/>
      <c r="B205" s="2"/>
      <c r="C205" s="2"/>
      <c r="D205" s="2"/>
      <c r="E205" s="2"/>
      <c r="F205" s="2"/>
      <c r="G205" s="2"/>
      <c r="H205" s="2"/>
      <c r="I205" s="2"/>
    </row>
    <row r="206" spans="1:9" x14ac:dyDescent="0.25">
      <c r="A206" s="2"/>
      <c r="B206" s="2"/>
      <c r="C206" s="2"/>
      <c r="D206" s="2"/>
      <c r="E206" s="2"/>
      <c r="F206" s="2"/>
      <c r="G206" s="2"/>
      <c r="H206" s="2"/>
      <c r="I206" s="2"/>
    </row>
    <row r="207" spans="1:9" x14ac:dyDescent="0.25">
      <c r="A207" s="2"/>
      <c r="B207" s="2"/>
      <c r="C207" s="2"/>
      <c r="D207" s="2"/>
      <c r="E207" s="2"/>
      <c r="F207" s="2"/>
      <c r="G207" s="2"/>
      <c r="H207" s="2"/>
      <c r="I207" s="2"/>
    </row>
    <row r="208" spans="1:9" x14ac:dyDescent="0.25">
      <c r="A208" s="2"/>
      <c r="B208" s="2"/>
      <c r="C208" s="2"/>
      <c r="D208" s="2"/>
      <c r="E208" s="2"/>
      <c r="F208" s="2"/>
      <c r="G208" s="2"/>
      <c r="H208" s="2"/>
      <c r="I208" s="2"/>
    </row>
    <row r="209" spans="1:9" x14ac:dyDescent="0.25">
      <c r="A209" s="2"/>
      <c r="B209" s="2"/>
      <c r="C209" s="2"/>
      <c r="D209" s="2"/>
      <c r="E209" s="2"/>
      <c r="F209" s="2"/>
      <c r="G209" s="2"/>
      <c r="H209" s="2"/>
      <c r="I209" s="2"/>
    </row>
    <row r="210" spans="1:9" x14ac:dyDescent="0.25">
      <c r="A210" s="2"/>
      <c r="B210" s="2"/>
      <c r="C210" s="2"/>
      <c r="D210" s="2"/>
      <c r="E210" s="2"/>
      <c r="F210" s="2"/>
      <c r="G210" s="2"/>
      <c r="H210" s="2"/>
      <c r="I210" s="2"/>
    </row>
    <row r="211" spans="1:9" x14ac:dyDescent="0.25">
      <c r="A211" s="2"/>
      <c r="B211" s="2"/>
      <c r="C211" s="2"/>
      <c r="D211" s="2"/>
      <c r="E211" s="2"/>
      <c r="F211" s="2"/>
      <c r="G211" s="2"/>
      <c r="H211" s="2"/>
      <c r="I211" s="2"/>
    </row>
    <row r="212" spans="1:9" x14ac:dyDescent="0.25">
      <c r="A212" s="2"/>
      <c r="B212" s="2"/>
      <c r="C212" s="2"/>
      <c r="D212" s="2"/>
      <c r="E212" s="2"/>
      <c r="F212" s="2"/>
      <c r="G212" s="2"/>
      <c r="H212" s="2"/>
      <c r="I212" s="2"/>
    </row>
    <row r="213" spans="1:9" x14ac:dyDescent="0.25">
      <c r="A213" s="2"/>
      <c r="B213" s="2"/>
      <c r="C213" s="2"/>
      <c r="D213" s="2"/>
      <c r="E213" s="2"/>
      <c r="F213" s="2"/>
      <c r="G213" s="2"/>
      <c r="H213" s="2"/>
      <c r="I213" s="2"/>
    </row>
    <row r="214" spans="1:9" x14ac:dyDescent="0.25">
      <c r="A214" s="2"/>
      <c r="B214" s="2"/>
      <c r="C214" s="2"/>
      <c r="D214" s="2"/>
      <c r="E214" s="2"/>
      <c r="F214" s="2"/>
      <c r="G214" s="2"/>
      <c r="H214" s="2"/>
      <c r="I214" s="2"/>
    </row>
    <row r="215" spans="1:9" x14ac:dyDescent="0.25">
      <c r="A215" s="2"/>
      <c r="B215" s="2"/>
      <c r="C215" s="2"/>
      <c r="D215" s="2"/>
      <c r="E215" s="2"/>
      <c r="F215" s="2"/>
      <c r="G215" s="2"/>
      <c r="H215" s="2"/>
      <c r="I215" s="2"/>
    </row>
    <row r="216" spans="1:9" x14ac:dyDescent="0.25">
      <c r="A216" s="2"/>
      <c r="B216" s="2"/>
      <c r="C216" s="2"/>
      <c r="D216" s="2"/>
      <c r="E216" s="2"/>
      <c r="F216" s="2"/>
      <c r="G216" s="2"/>
      <c r="H216" s="2"/>
      <c r="I216" s="2"/>
    </row>
    <row r="217" spans="1:9" x14ac:dyDescent="0.25">
      <c r="A217" s="2"/>
      <c r="B217" s="2"/>
      <c r="C217" s="2"/>
      <c r="D217" s="2"/>
      <c r="E217" s="2"/>
      <c r="F217" s="2"/>
      <c r="G217" s="2"/>
      <c r="H217" s="2"/>
      <c r="I217" s="2"/>
    </row>
    <row r="218" spans="1:9" x14ac:dyDescent="0.25">
      <c r="A218" s="2"/>
      <c r="B218" s="2"/>
      <c r="C218" s="2"/>
      <c r="D218" s="2"/>
      <c r="E218" s="2"/>
      <c r="F218" s="2"/>
      <c r="G218" s="2"/>
      <c r="H218" s="2"/>
      <c r="I218" s="2"/>
    </row>
    <row r="219" spans="1:9" x14ac:dyDescent="0.25">
      <c r="A219" s="2"/>
      <c r="B219" s="2"/>
      <c r="C219" s="2"/>
      <c r="D219" s="2"/>
      <c r="E219" s="2"/>
      <c r="F219" s="2"/>
      <c r="G219" s="2"/>
      <c r="H219" s="2"/>
      <c r="I219" s="2"/>
    </row>
    <row r="220" spans="1:9" x14ac:dyDescent="0.25">
      <c r="A220" s="2"/>
      <c r="B220" s="2"/>
      <c r="C220" s="2"/>
      <c r="D220" s="2"/>
      <c r="E220" s="2"/>
      <c r="F220" s="2"/>
      <c r="G220" s="2"/>
      <c r="H220" s="2"/>
      <c r="I220" s="2"/>
    </row>
    <row r="221" spans="1:9" x14ac:dyDescent="0.25">
      <c r="A221" s="2"/>
      <c r="B221" s="2"/>
      <c r="C221" s="2"/>
      <c r="D221" s="2"/>
      <c r="E221" s="2"/>
      <c r="F221" s="2"/>
      <c r="G221" s="2"/>
      <c r="H221" s="2"/>
      <c r="I221" s="2"/>
    </row>
    <row r="222" spans="1:9" x14ac:dyDescent="0.25">
      <c r="A222" s="2"/>
      <c r="B222" s="2"/>
      <c r="C222" s="2"/>
      <c r="D222" s="2"/>
      <c r="E222" s="2"/>
      <c r="F222" s="2"/>
      <c r="G222" s="2"/>
      <c r="H222" s="2"/>
      <c r="I222" s="2"/>
    </row>
    <row r="223" spans="1:9" x14ac:dyDescent="0.25">
      <c r="A223" s="2"/>
      <c r="B223" s="2"/>
      <c r="C223" s="2"/>
      <c r="D223" s="2"/>
      <c r="E223" s="2"/>
      <c r="F223" s="2"/>
      <c r="G223" s="2"/>
      <c r="H223" s="2"/>
      <c r="I223" s="2"/>
    </row>
    <row r="224" spans="1:9" x14ac:dyDescent="0.25">
      <c r="A224" s="2"/>
      <c r="B224" s="2"/>
      <c r="C224" s="2"/>
      <c r="D224" s="2"/>
      <c r="E224" s="2"/>
      <c r="F224" s="2"/>
      <c r="G224" s="2"/>
      <c r="H224" s="2"/>
      <c r="I224" s="2"/>
    </row>
    <row r="225" spans="1:9" x14ac:dyDescent="0.25">
      <c r="A225" s="2"/>
      <c r="B225" s="2"/>
      <c r="C225" s="2"/>
      <c r="D225" s="2"/>
      <c r="E225" s="2"/>
      <c r="F225" s="2"/>
      <c r="G225" s="2"/>
      <c r="H225" s="2"/>
      <c r="I225" s="2"/>
    </row>
    <row r="226" spans="1:9" x14ac:dyDescent="0.25">
      <c r="A226" s="2"/>
      <c r="B226" s="2"/>
      <c r="C226" s="2"/>
      <c r="D226" s="2"/>
      <c r="E226" s="2"/>
      <c r="F226" s="2"/>
      <c r="G226" s="2"/>
      <c r="H226" s="2"/>
      <c r="I226" s="2"/>
    </row>
    <row r="227" spans="1:9" x14ac:dyDescent="0.25">
      <c r="A227" s="2"/>
      <c r="B227" s="2"/>
      <c r="C227" s="2"/>
      <c r="D227" s="2"/>
      <c r="E227" s="2"/>
      <c r="F227" s="2"/>
      <c r="G227" s="2"/>
      <c r="H227" s="2"/>
      <c r="I227" s="2"/>
    </row>
    <row r="228" spans="1:9" x14ac:dyDescent="0.25">
      <c r="A228" s="2"/>
      <c r="B228" s="2"/>
      <c r="C228" s="2"/>
      <c r="D228" s="2"/>
      <c r="E228" s="2"/>
      <c r="F228" s="2"/>
      <c r="G228" s="2"/>
      <c r="H228" s="2"/>
      <c r="I228" s="2"/>
    </row>
    <row r="229" spans="1:9" x14ac:dyDescent="0.25">
      <c r="A229" s="2"/>
      <c r="B229" s="2"/>
      <c r="C229" s="2"/>
      <c r="D229" s="2"/>
      <c r="E229" s="2"/>
      <c r="F229" s="2"/>
      <c r="G229" s="2"/>
      <c r="H229" s="2"/>
      <c r="I229" s="2"/>
    </row>
    <row r="230" spans="1:9" x14ac:dyDescent="0.25">
      <c r="A230" s="2"/>
      <c r="B230" s="2"/>
      <c r="C230" s="2"/>
      <c r="D230" s="2"/>
      <c r="E230" s="2"/>
      <c r="F230" s="2"/>
      <c r="G230" s="2"/>
      <c r="H230" s="2"/>
      <c r="I230" s="2"/>
    </row>
    <row r="231" spans="1:9" x14ac:dyDescent="0.25">
      <c r="A231" s="2"/>
      <c r="B231" s="2"/>
      <c r="C231" s="2"/>
      <c r="D231" s="2"/>
      <c r="E231" s="2"/>
      <c r="F231" s="2"/>
      <c r="G231" s="2"/>
      <c r="H231" s="2"/>
      <c r="I231" s="2"/>
    </row>
    <row r="232" spans="1:9" x14ac:dyDescent="0.25">
      <c r="A232" s="2"/>
      <c r="B232" s="2"/>
      <c r="C232" s="2"/>
      <c r="D232" s="2"/>
      <c r="E232" s="2"/>
      <c r="F232" s="2"/>
      <c r="G232" s="2"/>
      <c r="H232" s="2"/>
      <c r="I232" s="2"/>
    </row>
    <row r="233" spans="1:9" x14ac:dyDescent="0.25">
      <c r="A233" s="2"/>
      <c r="B233" s="2"/>
      <c r="C233" s="2"/>
      <c r="D233" s="2"/>
      <c r="E233" s="2"/>
      <c r="F233" s="2"/>
      <c r="G233" s="2"/>
      <c r="H233" s="2"/>
      <c r="I233" s="2"/>
    </row>
    <row r="234" spans="1:9" x14ac:dyDescent="0.25">
      <c r="A234" s="2"/>
      <c r="B234" s="2"/>
      <c r="C234" s="2"/>
      <c r="D234" s="2"/>
      <c r="E234" s="2"/>
      <c r="F234" s="2"/>
      <c r="G234" s="2"/>
      <c r="H234" s="2"/>
      <c r="I234" s="2"/>
    </row>
    <row r="235" spans="1:9" x14ac:dyDescent="0.25">
      <c r="A235" s="2"/>
      <c r="B235" s="2"/>
      <c r="C235" s="2"/>
      <c r="D235" s="2"/>
      <c r="E235" s="2"/>
      <c r="F235" s="2"/>
      <c r="G235" s="2"/>
      <c r="H235" s="2"/>
      <c r="I235" s="2"/>
    </row>
    <row r="236" spans="1:9" x14ac:dyDescent="0.25">
      <c r="A236" s="2"/>
      <c r="B236" s="2"/>
      <c r="C236" s="2"/>
      <c r="D236" s="2"/>
      <c r="E236" s="2"/>
      <c r="F236" s="2"/>
      <c r="G236" s="2"/>
      <c r="H236" s="2"/>
      <c r="I236" s="2"/>
    </row>
    <row r="237" spans="1:9" x14ac:dyDescent="0.25">
      <c r="A237" s="2"/>
      <c r="B237" s="2"/>
      <c r="C237" s="2"/>
      <c r="D237" s="2"/>
      <c r="E237" s="2"/>
      <c r="F237" s="2"/>
      <c r="G237" s="2"/>
      <c r="H237" s="2"/>
      <c r="I237" s="2"/>
    </row>
    <row r="238" spans="1:9" x14ac:dyDescent="0.25">
      <c r="A238" s="2"/>
      <c r="B238" s="2"/>
      <c r="C238" s="2"/>
      <c r="D238" s="2"/>
      <c r="E238" s="2"/>
      <c r="F238" s="2"/>
      <c r="G238" s="2"/>
      <c r="H238" s="2"/>
      <c r="I238" s="2"/>
    </row>
    <row r="239" spans="1:9" x14ac:dyDescent="0.25">
      <c r="A239" s="2"/>
      <c r="B239" s="2"/>
      <c r="C239" s="2"/>
      <c r="D239" s="2"/>
      <c r="E239" s="2"/>
      <c r="F239" s="2"/>
      <c r="G239" s="2"/>
      <c r="H239" s="2"/>
      <c r="I239" s="2"/>
    </row>
    <row r="240" spans="1:9" x14ac:dyDescent="0.25">
      <c r="A240" s="2"/>
      <c r="B240" s="2"/>
      <c r="C240" s="2"/>
      <c r="D240" s="2"/>
      <c r="E240" s="2"/>
      <c r="F240" s="2"/>
      <c r="G240" s="2"/>
      <c r="H240" s="2"/>
      <c r="I240" s="2"/>
    </row>
    <row r="241" spans="1:9" x14ac:dyDescent="0.25">
      <c r="A241" s="2"/>
      <c r="B241" s="2"/>
      <c r="C241" s="2"/>
      <c r="D241" s="2"/>
      <c r="E241" s="2"/>
      <c r="F241" s="2"/>
      <c r="G241" s="2"/>
      <c r="H241" s="2"/>
      <c r="I241" s="2"/>
    </row>
    <row r="242" spans="1:9" x14ac:dyDescent="0.25">
      <c r="A242" s="2"/>
      <c r="B242" s="2"/>
      <c r="C242" s="2"/>
      <c r="D242" s="2"/>
      <c r="E242" s="2"/>
      <c r="F242" s="2"/>
      <c r="G242" s="2"/>
      <c r="H242" s="2"/>
      <c r="I242" s="2"/>
    </row>
    <row r="243" spans="1:9" x14ac:dyDescent="0.25">
      <c r="A243" s="2"/>
      <c r="B243" s="2"/>
      <c r="C243" s="2"/>
      <c r="D243" s="2"/>
      <c r="E243" s="2"/>
      <c r="F243" s="2"/>
      <c r="G243" s="2"/>
      <c r="H243" s="2"/>
      <c r="I243" s="2"/>
    </row>
    <row r="244" spans="1:9" x14ac:dyDescent="0.25">
      <c r="A244" s="2"/>
      <c r="B244" s="2"/>
      <c r="C244" s="2"/>
      <c r="D244" s="2"/>
      <c r="E244" s="2"/>
      <c r="F244" s="2"/>
      <c r="G244" s="2"/>
      <c r="H244" s="2"/>
      <c r="I244" s="2"/>
    </row>
    <row r="245" spans="1:9" x14ac:dyDescent="0.25">
      <c r="A245" s="2"/>
      <c r="B245" s="2"/>
      <c r="C245" s="2"/>
      <c r="D245" s="2"/>
      <c r="E245" s="2"/>
      <c r="F245" s="2"/>
      <c r="G245" s="2"/>
      <c r="H245" s="2"/>
      <c r="I245" s="2"/>
    </row>
    <row r="246" spans="1:9" x14ac:dyDescent="0.25">
      <c r="A246" s="2"/>
      <c r="B246" s="2"/>
      <c r="C246" s="2"/>
      <c r="D246" s="2"/>
      <c r="E246" s="2"/>
      <c r="F246" s="2"/>
      <c r="G246" s="2"/>
      <c r="H246" s="2"/>
      <c r="I246" s="2"/>
    </row>
    <row r="247" spans="1:9" x14ac:dyDescent="0.25">
      <c r="A247" s="2"/>
      <c r="B247" s="2"/>
      <c r="C247" s="2"/>
      <c r="D247" s="2"/>
      <c r="E247" s="2"/>
      <c r="F247" s="2"/>
      <c r="G247" s="2"/>
      <c r="H247" s="2"/>
      <c r="I247" s="2"/>
    </row>
    <row r="248" spans="1:9" x14ac:dyDescent="0.25">
      <c r="A248" s="2"/>
      <c r="B248" s="2"/>
      <c r="C248" s="2"/>
      <c r="D248" s="2"/>
      <c r="E248" s="2"/>
      <c r="F248" s="2"/>
      <c r="G248" s="2"/>
      <c r="H248" s="2"/>
      <c r="I248" s="2"/>
    </row>
    <row r="249" spans="1:9" x14ac:dyDescent="0.25">
      <c r="A249" s="2"/>
      <c r="B249" s="2"/>
      <c r="C249" s="2"/>
      <c r="D249" s="2"/>
      <c r="E249" s="2"/>
      <c r="F249" s="2"/>
      <c r="G249" s="2"/>
      <c r="H249" s="2"/>
      <c r="I249" s="2"/>
    </row>
    <row r="250" spans="1:9" x14ac:dyDescent="0.25">
      <c r="A250" s="2"/>
      <c r="B250" s="2"/>
      <c r="C250" s="2"/>
      <c r="D250" s="2"/>
      <c r="E250" s="2"/>
      <c r="F250" s="2"/>
      <c r="G250" s="2"/>
      <c r="H250" s="2"/>
      <c r="I250" s="2"/>
    </row>
    <row r="251" spans="1:9" x14ac:dyDescent="0.25">
      <c r="A251" s="2"/>
      <c r="B251" s="2"/>
      <c r="C251" s="2"/>
      <c r="D251" s="2"/>
      <c r="E251" s="2"/>
      <c r="F251" s="2"/>
      <c r="G251" s="2"/>
      <c r="H251" s="2"/>
      <c r="I251" s="2"/>
    </row>
    <row r="252" spans="1:9" x14ac:dyDescent="0.25">
      <c r="A252" s="2"/>
      <c r="B252" s="2"/>
      <c r="C252" s="2"/>
      <c r="D252" s="2"/>
      <c r="E252" s="2"/>
      <c r="F252" s="2"/>
      <c r="G252" s="2"/>
      <c r="H252" s="2"/>
      <c r="I252" s="2"/>
    </row>
    <row r="253" spans="1:9" x14ac:dyDescent="0.25">
      <c r="A253" s="2"/>
      <c r="B253" s="2"/>
      <c r="C253" s="2"/>
      <c r="D253" s="2"/>
      <c r="E253" s="2"/>
      <c r="F253" s="2"/>
      <c r="G253" s="2"/>
      <c r="H253" s="2"/>
      <c r="I253" s="2"/>
    </row>
    <row r="254" spans="1:9" x14ac:dyDescent="0.25">
      <c r="A254" s="2"/>
      <c r="B254" s="2"/>
      <c r="C254" s="2"/>
      <c r="D254" s="2"/>
      <c r="E254" s="2"/>
      <c r="F254" s="2"/>
      <c r="G254" s="2"/>
      <c r="H254" s="2"/>
      <c r="I254" s="2"/>
    </row>
    <row r="255" spans="1:9" x14ac:dyDescent="0.25">
      <c r="A255" s="2"/>
      <c r="B255" s="2"/>
      <c r="C255" s="2"/>
      <c r="D255" s="2"/>
      <c r="E255" s="2"/>
      <c r="F255" s="2"/>
      <c r="G255" s="2"/>
      <c r="H255" s="2"/>
      <c r="I255" s="2"/>
    </row>
    <row r="256" spans="1:9" x14ac:dyDescent="0.25">
      <c r="A256" s="2"/>
      <c r="B256" s="2"/>
      <c r="C256" s="2"/>
      <c r="D256" s="2"/>
      <c r="E256" s="2"/>
      <c r="F256" s="2"/>
      <c r="G256" s="2"/>
      <c r="H256" s="2"/>
      <c r="I256" s="2"/>
    </row>
    <row r="257" spans="1:9" x14ac:dyDescent="0.25">
      <c r="A257" s="2"/>
      <c r="B257" s="2"/>
      <c r="C257" s="2"/>
      <c r="D257" s="2"/>
      <c r="E257" s="2"/>
      <c r="F257" s="2"/>
      <c r="G257" s="2"/>
      <c r="H257" s="2"/>
      <c r="I257" s="2"/>
    </row>
    <row r="258" spans="1:9" x14ac:dyDescent="0.25">
      <c r="A258" s="2"/>
      <c r="B258" s="2"/>
      <c r="C258" s="2"/>
      <c r="D258" s="2"/>
      <c r="E258" s="2"/>
      <c r="F258" s="2"/>
      <c r="G258" s="2"/>
      <c r="H258" s="2"/>
      <c r="I258" s="2"/>
    </row>
    <row r="259" spans="1:9" x14ac:dyDescent="0.25">
      <c r="A259" s="2"/>
      <c r="B259" s="2"/>
      <c r="C259" s="2"/>
      <c r="D259" s="2"/>
      <c r="E259" s="2"/>
      <c r="F259" s="2"/>
      <c r="G259" s="2"/>
      <c r="H259" s="2"/>
      <c r="I259" s="2"/>
    </row>
    <row r="260" spans="1:9" x14ac:dyDescent="0.25">
      <c r="A260" s="2"/>
      <c r="B260" s="2"/>
      <c r="C260" s="2"/>
      <c r="D260" s="2"/>
      <c r="E260" s="2"/>
      <c r="F260" s="2"/>
      <c r="G260" s="2"/>
      <c r="H260" s="2"/>
      <c r="I260" s="2"/>
    </row>
    <row r="261" spans="1:9" x14ac:dyDescent="0.25">
      <c r="A261" s="2"/>
      <c r="B261" s="2"/>
      <c r="C261" s="2"/>
      <c r="D261" s="2"/>
      <c r="E261" s="2"/>
      <c r="F261" s="2"/>
      <c r="G261" s="2"/>
      <c r="H261" s="2"/>
      <c r="I261" s="2"/>
    </row>
    <row r="262" spans="1:9" x14ac:dyDescent="0.25">
      <c r="A262" s="2"/>
      <c r="B262" s="2"/>
      <c r="C262" s="2"/>
      <c r="D262" s="2"/>
      <c r="E262" s="2"/>
      <c r="F262" s="2"/>
      <c r="G262" s="2"/>
      <c r="H262" s="2"/>
      <c r="I262" s="2"/>
    </row>
    <row r="263" spans="1:9" x14ac:dyDescent="0.25">
      <c r="A263" s="2"/>
      <c r="B263" s="2"/>
      <c r="C263" s="2"/>
      <c r="D263" s="2"/>
      <c r="E263" s="2"/>
      <c r="F263" s="2"/>
      <c r="G263" s="2"/>
      <c r="H263" s="2"/>
      <c r="I263" s="2"/>
    </row>
    <row r="264" spans="1:9" x14ac:dyDescent="0.25">
      <c r="A264" s="2"/>
      <c r="B264" s="2"/>
      <c r="C264" s="2"/>
      <c r="D264" s="2"/>
      <c r="E264" s="2"/>
      <c r="F264" s="2"/>
      <c r="G264" s="2"/>
      <c r="H264" s="2"/>
      <c r="I264" s="2"/>
    </row>
    <row r="265" spans="1:9" x14ac:dyDescent="0.25">
      <c r="A265" s="2"/>
      <c r="B265" s="2"/>
      <c r="C265" s="2"/>
      <c r="D265" s="2"/>
      <c r="E265" s="2"/>
      <c r="F265" s="2"/>
      <c r="G265" s="2"/>
      <c r="H265" s="2"/>
      <c r="I265" s="2"/>
    </row>
    <row r="266" spans="1:9" x14ac:dyDescent="0.25">
      <c r="A266" s="2"/>
      <c r="B266" s="2"/>
      <c r="C266" s="2"/>
      <c r="D266" s="2"/>
      <c r="E266" s="2"/>
      <c r="F266" s="2"/>
      <c r="G266" s="2"/>
      <c r="H266" s="2"/>
      <c r="I266" s="2"/>
    </row>
    <row r="267" spans="1:9" x14ac:dyDescent="0.25">
      <c r="A267" s="2"/>
      <c r="B267" s="2"/>
      <c r="C267" s="2"/>
      <c r="D267" s="2"/>
      <c r="E267" s="2"/>
      <c r="F267" s="2"/>
      <c r="G267" s="2"/>
      <c r="H267" s="2"/>
      <c r="I267" s="2"/>
    </row>
    <row r="268" spans="1:9" x14ac:dyDescent="0.25">
      <c r="A268" s="2"/>
      <c r="B268" s="2"/>
      <c r="C268" s="2"/>
      <c r="D268" s="2"/>
      <c r="E268" s="2"/>
      <c r="F268" s="2"/>
      <c r="G268" s="2"/>
      <c r="H268" s="2"/>
      <c r="I268" s="2"/>
    </row>
    <row r="269" spans="1:9" x14ac:dyDescent="0.25">
      <c r="A269" s="2"/>
      <c r="B269" s="2"/>
      <c r="C269" s="2"/>
      <c r="D269" s="2"/>
      <c r="E269" s="2"/>
      <c r="F269" s="2"/>
      <c r="G269" s="2"/>
      <c r="H269" s="2"/>
      <c r="I269" s="2"/>
    </row>
    <row r="270" spans="1:9" x14ac:dyDescent="0.25">
      <c r="A270" s="2"/>
      <c r="B270" s="2"/>
      <c r="C270" s="2"/>
      <c r="D270" s="2"/>
      <c r="E270" s="2"/>
      <c r="F270" s="2"/>
      <c r="G270" s="2"/>
      <c r="H270" s="2"/>
      <c r="I270" s="2"/>
    </row>
    <row r="271" spans="1:9" x14ac:dyDescent="0.25">
      <c r="A271" s="2"/>
      <c r="B271" s="2"/>
      <c r="C271" s="2"/>
      <c r="D271" s="2"/>
      <c r="E271" s="2"/>
      <c r="F271" s="2"/>
      <c r="G271" s="2"/>
      <c r="H271" s="2"/>
      <c r="I271" s="2"/>
    </row>
    <row r="272" spans="1:9" x14ac:dyDescent="0.25">
      <c r="A272" s="2"/>
      <c r="B272" s="2"/>
      <c r="C272" s="2"/>
      <c r="D272" s="2"/>
      <c r="E272" s="2"/>
      <c r="F272" s="2"/>
      <c r="G272" s="2"/>
      <c r="H272" s="2"/>
      <c r="I272" s="2"/>
    </row>
    <row r="273" spans="1:9" x14ac:dyDescent="0.25">
      <c r="A273" s="2"/>
      <c r="B273" s="2"/>
      <c r="C273" s="2"/>
      <c r="D273" s="2"/>
      <c r="E273" s="2"/>
      <c r="F273" s="2"/>
      <c r="G273" s="2"/>
      <c r="H273" s="2"/>
      <c r="I273" s="2"/>
    </row>
    <row r="274" spans="1:9" x14ac:dyDescent="0.25">
      <c r="A274" s="2"/>
      <c r="B274" s="2"/>
      <c r="C274" s="2"/>
      <c r="D274" s="2"/>
      <c r="E274" s="2"/>
      <c r="F274" s="2"/>
      <c r="G274" s="2"/>
      <c r="H274" s="2"/>
      <c r="I274" s="2"/>
    </row>
    <row r="275" spans="1:9" x14ac:dyDescent="0.25">
      <c r="A275" s="2"/>
      <c r="B275" s="2"/>
      <c r="C275" s="2"/>
      <c r="D275" s="2"/>
      <c r="E275" s="2"/>
      <c r="F275" s="2"/>
      <c r="G275" s="2"/>
      <c r="H275" s="2"/>
      <c r="I275" s="2"/>
    </row>
    <row r="276" spans="1:9" x14ac:dyDescent="0.25">
      <c r="A276" s="2"/>
      <c r="B276" s="2"/>
      <c r="C276" s="2"/>
      <c r="D276" s="2"/>
      <c r="E276" s="2"/>
      <c r="F276" s="2"/>
      <c r="G276" s="2"/>
      <c r="H276" s="2"/>
      <c r="I276" s="2"/>
    </row>
    <row r="277" spans="1:9" x14ac:dyDescent="0.25">
      <c r="A277" s="2"/>
      <c r="B277" s="2"/>
      <c r="C277" s="2"/>
      <c r="D277" s="2"/>
      <c r="E277" s="2"/>
      <c r="F277" s="2"/>
      <c r="G277" s="2"/>
      <c r="H277" s="2"/>
      <c r="I277" s="2"/>
    </row>
    <row r="278" spans="1:9" x14ac:dyDescent="0.25">
      <c r="A278" s="2"/>
      <c r="B278" s="2"/>
      <c r="C278" s="2"/>
      <c r="D278" s="2"/>
      <c r="E278" s="2"/>
      <c r="F278" s="2"/>
      <c r="G278" s="2"/>
      <c r="H278" s="2"/>
      <c r="I278" s="2"/>
    </row>
    <row r="279" spans="1:9" x14ac:dyDescent="0.25">
      <c r="A279" s="2"/>
      <c r="B279" s="2"/>
      <c r="C279" s="2"/>
      <c r="D279" s="2"/>
      <c r="E279" s="2"/>
      <c r="F279" s="2"/>
      <c r="G279" s="2"/>
      <c r="H279" s="2"/>
      <c r="I279" s="2"/>
    </row>
    <row r="280" spans="1:9" x14ac:dyDescent="0.25">
      <c r="A280" s="2"/>
      <c r="B280" s="2"/>
      <c r="C280" s="2"/>
      <c r="D280" s="2"/>
      <c r="E280" s="2"/>
      <c r="F280" s="2"/>
      <c r="G280" s="2"/>
      <c r="H280" s="2"/>
      <c r="I280" s="2"/>
    </row>
    <row r="281" spans="1:9" x14ac:dyDescent="0.25">
      <c r="A281" s="2"/>
      <c r="B281" s="2"/>
      <c r="C281" s="2"/>
      <c r="D281" s="2"/>
      <c r="E281" s="2"/>
      <c r="F281" s="2"/>
      <c r="G281" s="2"/>
      <c r="H281" s="2"/>
      <c r="I281" s="2"/>
    </row>
    <row r="282" spans="1:9" x14ac:dyDescent="0.25">
      <c r="A282" s="2"/>
      <c r="B282" s="2"/>
      <c r="C282" s="2"/>
      <c r="D282" s="2"/>
      <c r="E282" s="2"/>
      <c r="F282" s="2"/>
      <c r="G282" s="2"/>
      <c r="H282" s="2"/>
      <c r="I282" s="2"/>
    </row>
    <row r="283" spans="1:9" x14ac:dyDescent="0.25">
      <c r="A283" s="2"/>
      <c r="B283" s="2"/>
      <c r="C283" s="2"/>
      <c r="D283" s="2"/>
      <c r="E283" s="2"/>
      <c r="F283" s="2"/>
      <c r="G283" s="2"/>
      <c r="H283" s="2"/>
      <c r="I283" s="2"/>
    </row>
    <row r="284" spans="1:9" x14ac:dyDescent="0.25">
      <c r="A284" s="2"/>
      <c r="B284" s="2"/>
      <c r="C284" s="2"/>
      <c r="D284" s="2"/>
      <c r="E284" s="2"/>
      <c r="F284" s="2"/>
      <c r="G284" s="2"/>
      <c r="H284" s="2"/>
      <c r="I284" s="2"/>
    </row>
    <row r="285" spans="1:9" x14ac:dyDescent="0.25">
      <c r="A285" s="2"/>
      <c r="B285" s="2"/>
      <c r="C285" s="2"/>
      <c r="D285" s="2"/>
      <c r="E285" s="2"/>
      <c r="F285" s="2"/>
      <c r="G285" s="2"/>
      <c r="H285" s="2"/>
      <c r="I285" s="2"/>
    </row>
    <row r="286" spans="1:9" x14ac:dyDescent="0.25">
      <c r="A286" s="2"/>
      <c r="B286" s="2"/>
      <c r="C286" s="2"/>
      <c r="D286" s="2"/>
      <c r="E286" s="2"/>
      <c r="F286" s="2"/>
      <c r="G286" s="2"/>
      <c r="H286" s="2"/>
      <c r="I286" s="2"/>
    </row>
    <row r="287" spans="1:9" x14ac:dyDescent="0.25">
      <c r="A287" s="2"/>
      <c r="B287" s="2"/>
      <c r="C287" s="2"/>
      <c r="D287" s="2"/>
      <c r="E287" s="2"/>
      <c r="F287" s="2"/>
      <c r="G287" s="2"/>
      <c r="H287" s="2"/>
      <c r="I287" s="2"/>
    </row>
    <row r="288" spans="1:9" x14ac:dyDescent="0.25">
      <c r="A288" s="2"/>
      <c r="B288" s="2"/>
      <c r="C288" s="2"/>
      <c r="D288" s="2"/>
      <c r="E288" s="2"/>
      <c r="F288" s="2"/>
      <c r="G288" s="2"/>
      <c r="H288" s="2"/>
      <c r="I288" s="2"/>
    </row>
    <row r="289" spans="1:9" x14ac:dyDescent="0.25">
      <c r="A289" s="2"/>
      <c r="B289" s="2"/>
      <c r="C289" s="2"/>
      <c r="D289" s="2"/>
      <c r="E289" s="2"/>
      <c r="F289" s="2"/>
      <c r="G289" s="2"/>
      <c r="H289" s="2"/>
      <c r="I289" s="2"/>
    </row>
    <row r="290" spans="1:9" x14ac:dyDescent="0.25">
      <c r="A290" s="2"/>
      <c r="B290" s="2"/>
      <c r="C290" s="2"/>
      <c r="D290" s="2"/>
      <c r="E290" s="2"/>
      <c r="F290" s="2"/>
      <c r="G290" s="2"/>
      <c r="H290" s="2"/>
      <c r="I290" s="2"/>
    </row>
    <row r="291" spans="1:9" x14ac:dyDescent="0.25">
      <c r="A291" s="2"/>
      <c r="B291" s="2"/>
      <c r="C291" s="2"/>
      <c r="D291" s="2"/>
      <c r="E291" s="2"/>
      <c r="F291" s="2"/>
      <c r="G291" s="2"/>
      <c r="H291" s="2"/>
      <c r="I291" s="2"/>
    </row>
    <row r="292" spans="1:9" x14ac:dyDescent="0.25">
      <c r="A292" s="2"/>
      <c r="B292" s="2"/>
      <c r="C292" s="2"/>
      <c r="D292" s="2"/>
      <c r="E292" s="2"/>
      <c r="F292" s="2"/>
      <c r="G292" s="2"/>
      <c r="H292" s="2"/>
      <c r="I292" s="2"/>
    </row>
    <row r="293" spans="1:9" x14ac:dyDescent="0.25">
      <c r="A293" s="2"/>
      <c r="B293" s="2"/>
      <c r="C293" s="2"/>
      <c r="D293" s="2"/>
      <c r="E293" s="2"/>
      <c r="F293" s="2"/>
      <c r="G293" s="2"/>
      <c r="H293" s="2"/>
      <c r="I293" s="2"/>
    </row>
    <row r="294" spans="1:9" x14ac:dyDescent="0.25">
      <c r="A294" s="2"/>
      <c r="B294" s="2"/>
      <c r="C294" s="2"/>
      <c r="D294" s="2"/>
      <c r="E294" s="2"/>
      <c r="F294" s="2"/>
      <c r="G294" s="2"/>
      <c r="H294" s="2"/>
      <c r="I294" s="2"/>
    </row>
    <row r="295" spans="1:9" x14ac:dyDescent="0.25">
      <c r="A295" s="2"/>
      <c r="B295" s="2"/>
      <c r="C295" s="2"/>
      <c r="D295" s="2"/>
      <c r="E295" s="2"/>
      <c r="F295" s="2"/>
      <c r="G295" s="2"/>
      <c r="H295" s="2"/>
      <c r="I295" s="2"/>
    </row>
    <row r="296" spans="1:9" x14ac:dyDescent="0.25">
      <c r="A296" s="2"/>
      <c r="B296" s="2"/>
      <c r="C296" s="2"/>
      <c r="D296" s="2"/>
      <c r="E296" s="2"/>
      <c r="F296" s="2"/>
      <c r="G296" s="2"/>
      <c r="H296" s="2"/>
      <c r="I296" s="2"/>
    </row>
    <row r="297" spans="1:9" x14ac:dyDescent="0.25">
      <c r="A297" s="2"/>
      <c r="B297" s="2"/>
      <c r="C297" s="2"/>
      <c r="D297" s="2"/>
      <c r="E297" s="2"/>
      <c r="F297" s="2"/>
      <c r="G297" s="2"/>
      <c r="H297" s="2"/>
      <c r="I297" s="2"/>
    </row>
    <row r="298" spans="1:9" x14ac:dyDescent="0.25">
      <c r="A298" s="2"/>
      <c r="B298" s="2"/>
      <c r="C298" s="2"/>
      <c r="D298" s="2"/>
      <c r="E298" s="2"/>
      <c r="F298" s="2"/>
      <c r="G298" s="2"/>
      <c r="H298" s="2"/>
      <c r="I298" s="2"/>
    </row>
    <row r="299" spans="1:9" x14ac:dyDescent="0.25">
      <c r="A299" s="2"/>
      <c r="B299" s="2"/>
      <c r="C299" s="2"/>
      <c r="D299" s="2"/>
      <c r="E299" s="2"/>
      <c r="F299" s="2"/>
      <c r="G299" s="2"/>
      <c r="H299" s="2"/>
      <c r="I299" s="2"/>
    </row>
    <row r="300" spans="1:9" x14ac:dyDescent="0.25">
      <c r="A300" s="2"/>
      <c r="B300" s="2"/>
      <c r="C300" s="2"/>
      <c r="D300" s="2"/>
      <c r="E300" s="2"/>
      <c r="F300" s="2"/>
      <c r="G300" s="2"/>
      <c r="H300" s="2"/>
      <c r="I300" s="2"/>
    </row>
    <row r="301" spans="1:9" x14ac:dyDescent="0.25">
      <c r="A301" s="2"/>
      <c r="B301" s="2"/>
      <c r="C301" s="2"/>
      <c r="D301" s="2"/>
      <c r="E301" s="2"/>
      <c r="F301" s="2"/>
      <c r="G301" s="2"/>
      <c r="H301" s="2"/>
      <c r="I301" s="2"/>
    </row>
    <row r="302" spans="1:9" x14ac:dyDescent="0.25">
      <c r="A302" s="2"/>
      <c r="B302" s="2"/>
      <c r="C302" s="2"/>
      <c r="D302" s="2"/>
      <c r="E302" s="2"/>
      <c r="F302" s="2"/>
      <c r="G302" s="2"/>
      <c r="H302" s="2"/>
      <c r="I302" s="2"/>
    </row>
    <row r="303" spans="1:9" x14ac:dyDescent="0.25">
      <c r="A303" s="2"/>
      <c r="B303" s="2"/>
      <c r="C303" s="2"/>
      <c r="D303" s="2"/>
      <c r="E303" s="2"/>
      <c r="F303" s="2"/>
      <c r="G303" s="2"/>
      <c r="H303" s="2"/>
      <c r="I303" s="2"/>
    </row>
    <row r="304" spans="1:9" x14ac:dyDescent="0.25">
      <c r="A304" s="2"/>
      <c r="B304" s="2"/>
      <c r="C304" s="2"/>
      <c r="D304" s="2"/>
      <c r="E304" s="2"/>
      <c r="F304" s="2"/>
      <c r="G304" s="2"/>
      <c r="H304" s="2"/>
      <c r="I304" s="2"/>
    </row>
    <row r="305" spans="1:9" x14ac:dyDescent="0.25">
      <c r="A305" s="2"/>
      <c r="B305" s="2"/>
      <c r="C305" s="2"/>
      <c r="D305" s="2"/>
      <c r="E305" s="2"/>
      <c r="F305" s="2"/>
      <c r="G305" s="2"/>
      <c r="H305" s="2"/>
      <c r="I305" s="2"/>
    </row>
    <row r="306" spans="1:9" x14ac:dyDescent="0.25">
      <c r="A306" s="2"/>
      <c r="B306" s="2"/>
      <c r="C306" s="2"/>
      <c r="D306" s="2"/>
      <c r="E306" s="2"/>
      <c r="F306" s="2"/>
      <c r="G306" s="2"/>
      <c r="H306" s="2"/>
      <c r="I306" s="2"/>
    </row>
    <row r="307" spans="1:9" x14ac:dyDescent="0.25">
      <c r="A307" s="2"/>
      <c r="B307" s="2"/>
      <c r="C307" s="2"/>
      <c r="D307" s="2"/>
      <c r="E307" s="2"/>
      <c r="F307" s="2"/>
      <c r="G307" s="2"/>
      <c r="H307" s="2"/>
      <c r="I307" s="2"/>
    </row>
    <row r="308" spans="1:9" x14ac:dyDescent="0.25">
      <c r="A308" s="2"/>
      <c r="B308" s="2"/>
      <c r="C308" s="2"/>
      <c r="D308" s="2"/>
      <c r="E308" s="2"/>
      <c r="F308" s="2"/>
      <c r="G308" s="2"/>
      <c r="H308" s="2"/>
      <c r="I308" s="2"/>
    </row>
    <row r="309" spans="1:9" x14ac:dyDescent="0.25">
      <c r="A309" s="2"/>
      <c r="B309" s="2"/>
      <c r="C309" s="2"/>
      <c r="D309" s="2"/>
      <c r="E309" s="2"/>
      <c r="F309" s="2"/>
      <c r="G309" s="2"/>
      <c r="H309" s="2"/>
      <c r="I309" s="2"/>
    </row>
    <row r="310" spans="1:9" x14ac:dyDescent="0.25">
      <c r="A310" s="2"/>
      <c r="B310" s="2"/>
      <c r="C310" s="2"/>
      <c r="D310" s="2"/>
      <c r="E310" s="2"/>
      <c r="F310" s="2"/>
      <c r="G310" s="2"/>
      <c r="H310" s="2"/>
      <c r="I310" s="2"/>
    </row>
    <row r="311" spans="1:9" x14ac:dyDescent="0.25">
      <c r="A311" s="2"/>
      <c r="B311" s="2"/>
      <c r="C311" s="2"/>
      <c r="D311" s="2"/>
      <c r="E311" s="2"/>
      <c r="F311" s="2"/>
      <c r="G311" s="2"/>
      <c r="H311" s="2"/>
      <c r="I311" s="2"/>
    </row>
    <row r="312" spans="1:9" x14ac:dyDescent="0.25">
      <c r="A312" s="2"/>
      <c r="B312" s="2"/>
      <c r="C312" s="2"/>
      <c r="D312" s="2"/>
      <c r="E312" s="2"/>
      <c r="F312" s="2"/>
      <c r="G312" s="2"/>
      <c r="H312" s="2"/>
      <c r="I312" s="2"/>
    </row>
    <row r="313" spans="1:9" x14ac:dyDescent="0.25">
      <c r="A313" s="2"/>
      <c r="B313" s="2"/>
      <c r="C313" s="2"/>
      <c r="D313" s="2"/>
      <c r="E313" s="2"/>
      <c r="F313" s="2"/>
      <c r="G313" s="2"/>
      <c r="H313" s="2"/>
      <c r="I313" s="2"/>
    </row>
    <row r="314" spans="1:9" x14ac:dyDescent="0.25">
      <c r="A314" s="2"/>
      <c r="B314" s="2"/>
      <c r="C314" s="2"/>
      <c r="D314" s="2"/>
      <c r="E314" s="2"/>
      <c r="F314" s="2"/>
      <c r="G314" s="2"/>
      <c r="H314" s="2"/>
      <c r="I314" s="2"/>
    </row>
    <row r="315" spans="1:9" x14ac:dyDescent="0.25">
      <c r="A315" s="2"/>
      <c r="B315" s="2"/>
      <c r="C315" s="2"/>
      <c r="D315" s="2"/>
      <c r="E315" s="2"/>
      <c r="F315" s="2"/>
      <c r="G315" s="2"/>
      <c r="H315" s="2"/>
      <c r="I315" s="2"/>
    </row>
    <row r="316" spans="1:9" x14ac:dyDescent="0.25">
      <c r="A316" s="2"/>
      <c r="B316" s="2"/>
      <c r="C316" s="2"/>
      <c r="D316" s="2"/>
      <c r="E316" s="2"/>
      <c r="F316" s="2"/>
      <c r="G316" s="2"/>
      <c r="H316" s="2"/>
      <c r="I316" s="2"/>
    </row>
    <row r="317" spans="1:9" x14ac:dyDescent="0.25">
      <c r="A317" s="2"/>
      <c r="B317" s="2"/>
      <c r="C317" s="2"/>
      <c r="D317" s="2"/>
      <c r="E317" s="2"/>
      <c r="F317" s="2"/>
      <c r="G317" s="2"/>
      <c r="H317" s="2"/>
      <c r="I317" s="2"/>
    </row>
    <row r="318" spans="1:9" x14ac:dyDescent="0.25">
      <c r="A318" s="2"/>
      <c r="B318" s="2"/>
      <c r="C318" s="2"/>
      <c r="D318" s="2"/>
      <c r="E318" s="2"/>
      <c r="F318" s="2"/>
      <c r="G318" s="2"/>
      <c r="H318" s="2"/>
      <c r="I318" s="2"/>
    </row>
    <row r="319" spans="1:9" x14ac:dyDescent="0.25">
      <c r="A319" s="2"/>
      <c r="B319" s="2"/>
      <c r="C319" s="2"/>
      <c r="D319" s="2"/>
      <c r="E319" s="2"/>
      <c r="F319" s="2"/>
      <c r="G319" s="2"/>
      <c r="H319" s="2"/>
      <c r="I319" s="2"/>
    </row>
    <row r="320" spans="1:9" x14ac:dyDescent="0.25">
      <c r="A320" s="2"/>
      <c r="B320" s="2"/>
      <c r="C320" s="2"/>
      <c r="D320" s="2"/>
      <c r="E320" s="2"/>
      <c r="F320" s="2"/>
      <c r="G320" s="2"/>
      <c r="H320" s="2"/>
      <c r="I320" s="2"/>
    </row>
    <row r="321" spans="1:9" x14ac:dyDescent="0.25">
      <c r="A321" s="2"/>
      <c r="B321" s="2"/>
      <c r="C321" s="2"/>
      <c r="D321" s="2"/>
      <c r="E321" s="2"/>
      <c r="F321" s="2"/>
      <c r="G321" s="2"/>
      <c r="H321" s="2"/>
      <c r="I321" s="2"/>
    </row>
    <row r="322" spans="1:9" x14ac:dyDescent="0.25">
      <c r="A322" s="2"/>
      <c r="B322" s="2"/>
      <c r="C322" s="2"/>
      <c r="D322" s="2"/>
      <c r="E322" s="2"/>
      <c r="F322" s="2"/>
      <c r="G322" s="2"/>
      <c r="H322" s="2"/>
      <c r="I322" s="2"/>
    </row>
    <row r="323" spans="1:9" x14ac:dyDescent="0.25">
      <c r="A323" s="2"/>
      <c r="B323" s="2"/>
      <c r="C323" s="2"/>
      <c r="D323" s="2"/>
      <c r="E323" s="2"/>
      <c r="F323" s="2"/>
      <c r="G323" s="2"/>
      <c r="H323" s="2"/>
      <c r="I323" s="2"/>
    </row>
    <row r="324" spans="1:9" x14ac:dyDescent="0.25">
      <c r="A324" s="2"/>
      <c r="B324" s="2"/>
      <c r="C324" s="2"/>
      <c r="D324" s="2"/>
      <c r="E324" s="2"/>
      <c r="F324" s="2"/>
      <c r="G324" s="2"/>
      <c r="H324" s="2"/>
      <c r="I324" s="2"/>
    </row>
    <row r="325" spans="1:9" x14ac:dyDescent="0.25">
      <c r="A325" s="2"/>
      <c r="B325" s="2"/>
      <c r="C325" s="2"/>
      <c r="D325" s="2"/>
      <c r="E325" s="2"/>
      <c r="F325" s="2"/>
      <c r="G325" s="2"/>
      <c r="H325" s="2"/>
      <c r="I325" s="2"/>
    </row>
    <row r="326" spans="1:9" x14ac:dyDescent="0.25">
      <c r="A326" s="2"/>
      <c r="B326" s="2"/>
      <c r="C326" s="2"/>
      <c r="D326" s="2"/>
      <c r="E326" s="2"/>
      <c r="F326" s="2"/>
      <c r="G326" s="2"/>
      <c r="H326" s="2"/>
      <c r="I326" s="2"/>
    </row>
    <row r="327" spans="1:9" x14ac:dyDescent="0.25">
      <c r="A327" s="2"/>
      <c r="B327" s="2"/>
      <c r="C327" s="2"/>
      <c r="D327" s="2"/>
      <c r="E327" s="2"/>
      <c r="F327" s="2"/>
      <c r="G327" s="2"/>
      <c r="H327" s="2"/>
      <c r="I327" s="2"/>
    </row>
    <row r="328" spans="1:9" x14ac:dyDescent="0.25">
      <c r="A328" s="2"/>
      <c r="B328" s="2"/>
      <c r="C328" s="2"/>
      <c r="D328" s="2"/>
      <c r="E328" s="2"/>
      <c r="F328" s="2"/>
      <c r="G328" s="2"/>
      <c r="H328" s="2"/>
      <c r="I328" s="2"/>
    </row>
    <row r="329" spans="1:9" x14ac:dyDescent="0.25">
      <c r="A329" s="2"/>
      <c r="B329" s="2"/>
      <c r="C329" s="2"/>
      <c r="D329" s="2"/>
      <c r="E329" s="2"/>
      <c r="F329" s="2"/>
      <c r="G329" s="2"/>
      <c r="H329" s="2"/>
      <c r="I329" s="2"/>
    </row>
    <row r="330" spans="1:9" x14ac:dyDescent="0.25">
      <c r="A330" s="2"/>
      <c r="B330" s="2"/>
      <c r="C330" s="2"/>
      <c r="D330" s="2"/>
      <c r="E330" s="2"/>
      <c r="F330" s="2"/>
      <c r="G330" s="2"/>
      <c r="H330" s="2"/>
      <c r="I330" s="2"/>
    </row>
    <row r="331" spans="1:9" x14ac:dyDescent="0.25">
      <c r="A331" s="2"/>
      <c r="B331" s="2"/>
      <c r="C331" s="2"/>
      <c r="D331" s="2"/>
      <c r="E331" s="2"/>
      <c r="F331" s="2"/>
      <c r="G331" s="2"/>
      <c r="H331" s="2"/>
      <c r="I331" s="2"/>
    </row>
    <row r="332" spans="1:9" x14ac:dyDescent="0.25">
      <c r="A332" s="2"/>
      <c r="B332" s="2"/>
      <c r="C332" s="2"/>
      <c r="D332" s="2"/>
      <c r="E332" s="2"/>
      <c r="F332" s="2"/>
      <c r="G332" s="2"/>
      <c r="H332" s="2"/>
      <c r="I332" s="2"/>
    </row>
    <row r="333" spans="1:9" x14ac:dyDescent="0.25">
      <c r="A333" s="2"/>
      <c r="B333" s="2"/>
      <c r="C333" s="2"/>
      <c r="D333" s="2"/>
      <c r="E333" s="2"/>
      <c r="F333" s="2"/>
      <c r="G333" s="2"/>
      <c r="H333" s="2"/>
      <c r="I333" s="2"/>
    </row>
    <row r="334" spans="1:9" x14ac:dyDescent="0.25">
      <c r="A334" s="2"/>
      <c r="B334" s="2"/>
      <c r="C334" s="2"/>
      <c r="D334" s="2"/>
      <c r="E334" s="2"/>
      <c r="F334" s="2"/>
      <c r="G334" s="2"/>
      <c r="H334" s="2"/>
      <c r="I334" s="2"/>
    </row>
    <row r="335" spans="1:9" x14ac:dyDescent="0.25">
      <c r="A335" s="2"/>
      <c r="B335" s="2"/>
      <c r="C335" s="2"/>
      <c r="D335" s="2"/>
      <c r="E335" s="2"/>
      <c r="F335" s="2"/>
      <c r="G335" s="2"/>
      <c r="H335" s="2"/>
      <c r="I335" s="2"/>
    </row>
    <row r="336" spans="1:9" x14ac:dyDescent="0.25">
      <c r="A336" s="2"/>
      <c r="B336" s="2"/>
      <c r="C336" s="2"/>
      <c r="D336" s="2"/>
      <c r="E336" s="2"/>
      <c r="F336" s="2"/>
      <c r="G336" s="2"/>
      <c r="H336" s="2"/>
      <c r="I336" s="2"/>
    </row>
    <row r="337" spans="1:9" x14ac:dyDescent="0.25">
      <c r="A337" s="2"/>
      <c r="B337" s="2"/>
      <c r="C337" s="2"/>
      <c r="D337" s="2"/>
      <c r="E337" s="2"/>
      <c r="F337" s="2"/>
      <c r="G337" s="2"/>
      <c r="H337" s="2"/>
      <c r="I337" s="2"/>
    </row>
    <row r="338" spans="1:9" x14ac:dyDescent="0.25">
      <c r="A338" s="2"/>
      <c r="B338" s="2"/>
      <c r="C338" s="2"/>
      <c r="D338" s="2"/>
      <c r="E338" s="2"/>
      <c r="F338" s="2"/>
      <c r="G338" s="2"/>
      <c r="H338" s="2"/>
      <c r="I338" s="2"/>
    </row>
    <row r="339" spans="1:9" x14ac:dyDescent="0.25">
      <c r="A339" s="2"/>
      <c r="B339" s="2"/>
      <c r="C339" s="2"/>
      <c r="D339" s="2"/>
      <c r="E339" s="2"/>
      <c r="F339" s="2"/>
      <c r="G339" s="2"/>
      <c r="H339" s="2"/>
      <c r="I339" s="2"/>
    </row>
    <row r="340" spans="1:9" x14ac:dyDescent="0.25">
      <c r="A340" s="2"/>
      <c r="B340" s="2"/>
      <c r="C340" s="2"/>
      <c r="D340" s="2"/>
      <c r="E340" s="2"/>
      <c r="F340" s="2"/>
      <c r="G340" s="2"/>
      <c r="H340" s="2"/>
      <c r="I340" s="2"/>
    </row>
    <row r="341" spans="1:9" x14ac:dyDescent="0.25">
      <c r="A341" s="2"/>
      <c r="B341" s="2"/>
      <c r="C341" s="2"/>
      <c r="D341" s="2"/>
      <c r="E341" s="2"/>
      <c r="F341" s="2"/>
      <c r="G341" s="2"/>
      <c r="H341" s="2"/>
      <c r="I341" s="2"/>
    </row>
    <row r="342" spans="1:9" x14ac:dyDescent="0.25">
      <c r="A342" s="2"/>
      <c r="B342" s="2"/>
      <c r="C342" s="2"/>
      <c r="D342" s="2"/>
      <c r="E342" s="2"/>
      <c r="F342" s="2"/>
      <c r="G342" s="2"/>
      <c r="H342" s="2"/>
      <c r="I342" s="2"/>
    </row>
    <row r="343" spans="1:9" x14ac:dyDescent="0.25">
      <c r="A343" s="2"/>
      <c r="B343" s="2"/>
      <c r="C343" s="2"/>
      <c r="D343" s="2"/>
      <c r="E343" s="2"/>
      <c r="F343" s="2"/>
      <c r="G343" s="2"/>
      <c r="H343" s="2"/>
      <c r="I343" s="2"/>
    </row>
    <row r="344" spans="1:9" x14ac:dyDescent="0.25">
      <c r="A344" s="2"/>
      <c r="B344" s="2"/>
      <c r="C344" s="2"/>
      <c r="D344" s="2"/>
      <c r="E344" s="2"/>
      <c r="F344" s="2"/>
      <c r="G344" s="2"/>
      <c r="H344" s="2"/>
      <c r="I344" s="2"/>
    </row>
    <row r="345" spans="1:9" x14ac:dyDescent="0.25">
      <c r="A345" s="2"/>
      <c r="B345" s="2"/>
      <c r="C345" s="2"/>
      <c r="D345" s="2"/>
      <c r="E345" s="2"/>
      <c r="F345" s="2"/>
      <c r="G345" s="2"/>
      <c r="H345" s="2"/>
      <c r="I345" s="2"/>
    </row>
    <row r="346" spans="1:9" x14ac:dyDescent="0.25">
      <c r="A346" s="2"/>
      <c r="B346" s="2"/>
      <c r="C346" s="2"/>
      <c r="D346" s="2"/>
      <c r="E346" s="2"/>
      <c r="F346" s="2"/>
      <c r="G346" s="2"/>
      <c r="H346" s="2"/>
      <c r="I346" s="2"/>
    </row>
    <row r="347" spans="1:9" x14ac:dyDescent="0.25">
      <c r="A347" s="2"/>
      <c r="B347" s="2"/>
      <c r="C347" s="2"/>
      <c r="D347" s="2"/>
      <c r="E347" s="2"/>
      <c r="F347" s="2"/>
      <c r="G347" s="2"/>
      <c r="H347" s="2"/>
      <c r="I347" s="2"/>
    </row>
    <row r="348" spans="1:9" x14ac:dyDescent="0.25">
      <c r="A348" s="2"/>
      <c r="B348" s="2"/>
      <c r="C348" s="2"/>
      <c r="D348" s="2"/>
      <c r="E348" s="2"/>
      <c r="F348" s="2"/>
      <c r="G348" s="2"/>
      <c r="H348" s="2"/>
      <c r="I348" s="2"/>
    </row>
    <row r="349" spans="1:9" x14ac:dyDescent="0.25">
      <c r="A349" s="2"/>
      <c r="B349" s="2"/>
      <c r="C349" s="2"/>
      <c r="D349" s="2"/>
      <c r="E349" s="2"/>
      <c r="F349" s="2"/>
      <c r="G349" s="2"/>
      <c r="H349" s="2"/>
      <c r="I349" s="2"/>
    </row>
    <row r="350" spans="1:9" x14ac:dyDescent="0.25">
      <c r="A350" s="2"/>
      <c r="B350" s="2"/>
      <c r="C350" s="2"/>
      <c r="D350" s="2"/>
      <c r="E350" s="2"/>
      <c r="F350" s="2"/>
      <c r="G350" s="2"/>
      <c r="H350" s="2"/>
      <c r="I350" s="2"/>
    </row>
    <row r="351" spans="1:9" x14ac:dyDescent="0.25">
      <c r="A351" s="2"/>
      <c r="B351" s="2"/>
      <c r="C351" s="2"/>
      <c r="D351" s="2"/>
      <c r="E351" s="2"/>
      <c r="F351" s="2"/>
      <c r="G351" s="2"/>
      <c r="H351" s="2"/>
      <c r="I351" s="2"/>
    </row>
    <row r="352" spans="1:9" x14ac:dyDescent="0.25">
      <c r="A352" s="2"/>
      <c r="B352" s="2"/>
      <c r="C352" s="2"/>
      <c r="D352" s="2"/>
      <c r="E352" s="2"/>
      <c r="F352" s="2"/>
      <c r="G352" s="2"/>
      <c r="H352" s="2"/>
      <c r="I352" s="2"/>
    </row>
    <row r="353" spans="1:9" x14ac:dyDescent="0.25">
      <c r="A353" s="2"/>
      <c r="B353" s="2"/>
      <c r="C353" s="2"/>
      <c r="D353" s="2"/>
      <c r="E353" s="2"/>
      <c r="F353" s="2"/>
      <c r="G353" s="2"/>
      <c r="H353" s="2"/>
      <c r="I353" s="2"/>
    </row>
    <row r="354" spans="1:9" x14ac:dyDescent="0.25">
      <c r="A354" s="2"/>
      <c r="B354" s="2"/>
      <c r="C354" s="2"/>
      <c r="D354" s="2"/>
      <c r="E354" s="2"/>
      <c r="F354" s="2"/>
      <c r="G354" s="2"/>
      <c r="H354" s="2"/>
      <c r="I354" s="2"/>
    </row>
    <row r="355" spans="1:9" x14ac:dyDescent="0.25">
      <c r="A355" s="2"/>
      <c r="B355" s="2"/>
      <c r="C355" s="2"/>
      <c r="D355" s="2"/>
      <c r="E355" s="2"/>
      <c r="F355" s="2"/>
      <c r="G355" s="2"/>
      <c r="H355" s="2"/>
      <c r="I355" s="2"/>
    </row>
    <row r="356" spans="1:9" x14ac:dyDescent="0.25">
      <c r="A356" s="2"/>
      <c r="B356" s="2"/>
      <c r="C356" s="2"/>
      <c r="D356" s="2"/>
      <c r="E356" s="2"/>
      <c r="F356" s="2"/>
      <c r="G356" s="2"/>
      <c r="H356" s="2"/>
      <c r="I356" s="2"/>
    </row>
    <row r="357" spans="1:9" x14ac:dyDescent="0.25">
      <c r="A357" s="2"/>
      <c r="B357" s="2"/>
      <c r="C357" s="2"/>
      <c r="D357" s="2"/>
      <c r="E357" s="2"/>
      <c r="F357" s="2"/>
      <c r="G357" s="2"/>
      <c r="H357" s="2"/>
      <c r="I357" s="2"/>
    </row>
    <row r="358" spans="1:9" x14ac:dyDescent="0.25">
      <c r="A358" s="2"/>
      <c r="B358" s="2"/>
      <c r="C358" s="2"/>
      <c r="D358" s="2"/>
      <c r="E358" s="2"/>
      <c r="F358" s="2"/>
      <c r="G358" s="2"/>
      <c r="H358" s="2"/>
      <c r="I358" s="2"/>
    </row>
    <row r="359" spans="1:9" x14ac:dyDescent="0.25">
      <c r="A359" s="2"/>
      <c r="B359" s="2"/>
      <c r="C359" s="2"/>
      <c r="D359" s="2"/>
      <c r="E359" s="2"/>
      <c r="F359" s="2"/>
      <c r="G359" s="2"/>
      <c r="H359" s="2"/>
      <c r="I359" s="2"/>
    </row>
    <row r="360" spans="1:9" x14ac:dyDescent="0.25">
      <c r="A360" s="2"/>
      <c r="B360" s="2"/>
      <c r="C360" s="2"/>
      <c r="D360" s="2"/>
      <c r="E360" s="2"/>
      <c r="F360" s="2"/>
      <c r="G360" s="2"/>
      <c r="H360" s="2"/>
      <c r="I360" s="2"/>
    </row>
    <row r="361" spans="1:9" x14ac:dyDescent="0.25">
      <c r="A361" s="2"/>
      <c r="B361" s="2"/>
      <c r="C361" s="2"/>
      <c r="D361" s="2"/>
      <c r="E361" s="2"/>
      <c r="F361" s="2"/>
      <c r="G361" s="2"/>
      <c r="H361" s="2"/>
      <c r="I361" s="2"/>
    </row>
    <row r="362" spans="1:9" x14ac:dyDescent="0.25">
      <c r="A362" s="2"/>
      <c r="B362" s="2"/>
      <c r="C362" s="2"/>
      <c r="D362" s="2"/>
      <c r="E362" s="2"/>
      <c r="F362" s="2"/>
      <c r="G362" s="2"/>
      <c r="H362" s="2"/>
      <c r="I362" s="2"/>
    </row>
    <row r="363" spans="1:9" x14ac:dyDescent="0.25">
      <c r="A363" s="2"/>
      <c r="B363" s="2"/>
      <c r="C363" s="2"/>
      <c r="D363" s="2"/>
      <c r="E363" s="2"/>
      <c r="F363" s="2"/>
      <c r="G363" s="2"/>
      <c r="H363" s="2"/>
      <c r="I363" s="2"/>
    </row>
    <row r="364" spans="1:9" x14ac:dyDescent="0.25">
      <c r="A364" s="2"/>
      <c r="B364" s="2"/>
      <c r="C364" s="2"/>
      <c r="D364" s="2"/>
      <c r="E364" s="2"/>
      <c r="F364" s="2"/>
      <c r="G364" s="2"/>
      <c r="H364" s="2"/>
      <c r="I364" s="2"/>
    </row>
    <row r="365" spans="1:9" x14ac:dyDescent="0.25">
      <c r="A365" s="2"/>
      <c r="B365" s="2"/>
      <c r="C365" s="2"/>
      <c r="D365" s="2"/>
      <c r="E365" s="2"/>
      <c r="F365" s="2"/>
      <c r="G365" s="2"/>
      <c r="H365" s="2"/>
      <c r="I365" s="2"/>
    </row>
    <row r="366" spans="1:9" x14ac:dyDescent="0.25">
      <c r="A366" s="2"/>
      <c r="B366" s="2"/>
      <c r="C366" s="2"/>
      <c r="D366" s="2"/>
      <c r="E366" s="2"/>
      <c r="F366" s="2"/>
      <c r="G366" s="2"/>
      <c r="H366" s="2"/>
      <c r="I366" s="2"/>
    </row>
    <row r="367" spans="1:9" x14ac:dyDescent="0.25">
      <c r="A367" s="2"/>
      <c r="B367" s="2"/>
      <c r="C367" s="2"/>
      <c r="D367" s="2"/>
      <c r="E367" s="2"/>
      <c r="F367" s="2"/>
      <c r="G367" s="2"/>
      <c r="H367" s="2"/>
      <c r="I367" s="2"/>
    </row>
    <row r="368" spans="1:9" x14ac:dyDescent="0.25">
      <c r="A368" s="2"/>
      <c r="B368" s="2"/>
      <c r="C368" s="2"/>
      <c r="D368" s="2"/>
      <c r="E368" s="2"/>
      <c r="F368" s="2"/>
      <c r="G368" s="2"/>
      <c r="H368" s="2"/>
      <c r="I368" s="2"/>
    </row>
    <row r="369" spans="1:9" x14ac:dyDescent="0.25">
      <c r="A369" s="2"/>
      <c r="B369" s="2"/>
      <c r="C369" s="2"/>
      <c r="D369" s="2"/>
      <c r="E369" s="2"/>
      <c r="F369" s="2"/>
      <c r="G369" s="2"/>
      <c r="H369" s="2"/>
      <c r="I369" s="2"/>
    </row>
    <row r="370" spans="1:9" x14ac:dyDescent="0.25">
      <c r="A370" s="2"/>
      <c r="B370" s="2"/>
      <c r="C370" s="2"/>
      <c r="D370" s="2"/>
      <c r="E370" s="2"/>
      <c r="F370" s="2"/>
      <c r="G370" s="2"/>
      <c r="H370" s="2"/>
      <c r="I370" s="2"/>
    </row>
    <row r="371" spans="1:9" x14ac:dyDescent="0.25">
      <c r="A371" s="2"/>
      <c r="B371" s="2"/>
      <c r="C371" s="2"/>
      <c r="D371" s="2"/>
      <c r="E371" s="2"/>
      <c r="F371" s="2"/>
      <c r="G371" s="2"/>
      <c r="H371" s="2"/>
      <c r="I371" s="2"/>
    </row>
    <row r="372" spans="1:9" x14ac:dyDescent="0.25">
      <c r="A372" s="2"/>
      <c r="B372" s="2"/>
      <c r="C372" s="2"/>
      <c r="D372" s="2"/>
      <c r="E372" s="2"/>
      <c r="F372" s="2"/>
      <c r="G372" s="2"/>
      <c r="H372" s="2"/>
      <c r="I372" s="2"/>
    </row>
    <row r="373" spans="1:9" x14ac:dyDescent="0.25">
      <c r="A373" s="2"/>
      <c r="B373" s="2"/>
      <c r="C373" s="2"/>
      <c r="D373" s="2"/>
      <c r="E373" s="2"/>
      <c r="F373" s="2"/>
      <c r="G373" s="2"/>
      <c r="H373" s="2"/>
      <c r="I373" s="2"/>
    </row>
    <row r="374" spans="1:9" x14ac:dyDescent="0.25">
      <c r="A374" s="2"/>
      <c r="B374" s="2"/>
      <c r="C374" s="2"/>
      <c r="D374" s="2"/>
      <c r="E374" s="2"/>
      <c r="F374" s="2"/>
      <c r="G374" s="2"/>
      <c r="H374" s="2"/>
      <c r="I374" s="2"/>
    </row>
    <row r="375" spans="1:9" x14ac:dyDescent="0.25">
      <c r="A375" s="2"/>
      <c r="B375" s="2"/>
      <c r="C375" s="2"/>
      <c r="D375" s="2"/>
      <c r="E375" s="2"/>
      <c r="F375" s="2"/>
      <c r="G375" s="2"/>
      <c r="H375" s="2"/>
      <c r="I375" s="2"/>
    </row>
    <row r="376" spans="1:9" x14ac:dyDescent="0.25">
      <c r="A376" s="2"/>
      <c r="B376" s="2"/>
      <c r="C376" s="2"/>
      <c r="D376" s="2"/>
      <c r="E376" s="2"/>
      <c r="F376" s="2"/>
      <c r="G376" s="2"/>
      <c r="H376" s="2"/>
      <c r="I376" s="2"/>
    </row>
    <row r="377" spans="1:9" x14ac:dyDescent="0.25">
      <c r="A377" s="2"/>
      <c r="B377" s="2"/>
      <c r="C377" s="2"/>
      <c r="D377" s="2"/>
      <c r="E377" s="2"/>
      <c r="F377" s="2"/>
      <c r="G377" s="2"/>
      <c r="H377" s="2"/>
      <c r="I377" s="2"/>
    </row>
    <row r="378" spans="1:9" x14ac:dyDescent="0.25">
      <c r="A378" s="2"/>
      <c r="B378" s="2"/>
      <c r="C378" s="2"/>
      <c r="D378" s="2"/>
      <c r="E378" s="2"/>
      <c r="F378" s="2"/>
      <c r="G378" s="2"/>
      <c r="H378" s="2"/>
      <c r="I378" s="2"/>
    </row>
    <row r="379" spans="1:9" x14ac:dyDescent="0.25">
      <c r="A379" s="2"/>
      <c r="B379" s="2"/>
      <c r="C379" s="2"/>
      <c r="D379" s="2"/>
      <c r="E379" s="2"/>
      <c r="F379" s="2"/>
      <c r="G379" s="2"/>
      <c r="H379" s="2"/>
      <c r="I379" s="2"/>
    </row>
    <row r="380" spans="1:9" x14ac:dyDescent="0.25">
      <c r="A380" s="2"/>
      <c r="B380" s="2"/>
      <c r="C380" s="2"/>
      <c r="D380" s="2"/>
      <c r="E380" s="2"/>
      <c r="F380" s="2"/>
      <c r="G380" s="2"/>
      <c r="H380" s="2"/>
      <c r="I380" s="2"/>
    </row>
    <row r="381" spans="1:9" x14ac:dyDescent="0.25">
      <c r="A381" s="2"/>
      <c r="B381" s="2"/>
      <c r="C381" s="2"/>
      <c r="D381" s="2"/>
      <c r="E381" s="2"/>
      <c r="F381" s="2"/>
      <c r="G381" s="2"/>
      <c r="H381" s="2"/>
      <c r="I381" s="2"/>
    </row>
    <row r="382" spans="1:9" x14ac:dyDescent="0.25">
      <c r="A382" s="2"/>
      <c r="B382" s="2"/>
      <c r="C382" s="2"/>
      <c r="D382" s="2"/>
      <c r="E382" s="2"/>
      <c r="F382" s="2"/>
      <c r="G382" s="2"/>
      <c r="H382" s="2"/>
      <c r="I382" s="2"/>
    </row>
    <row r="383" spans="1:9" x14ac:dyDescent="0.25">
      <c r="A383" s="2"/>
      <c r="B383" s="2"/>
      <c r="C383" s="2"/>
      <c r="D383" s="2"/>
      <c r="E383" s="2"/>
      <c r="F383" s="2"/>
      <c r="G383" s="2"/>
      <c r="H383" s="2"/>
      <c r="I383" s="2"/>
    </row>
    <row r="384" spans="1:9" x14ac:dyDescent="0.25">
      <c r="A384" s="2"/>
      <c r="B384" s="2"/>
      <c r="C384" s="2"/>
      <c r="D384" s="2"/>
      <c r="E384" s="2"/>
      <c r="F384" s="2"/>
      <c r="G384" s="2"/>
      <c r="H384" s="2"/>
      <c r="I384" s="2"/>
    </row>
    <row r="385" spans="1:9" x14ac:dyDescent="0.25">
      <c r="A385" s="2"/>
      <c r="B385" s="2"/>
      <c r="C385" s="2"/>
      <c r="D385" s="2"/>
      <c r="E385" s="2"/>
      <c r="F385" s="2"/>
      <c r="G385" s="2"/>
      <c r="H385" s="2"/>
      <c r="I385" s="2"/>
    </row>
    <row r="386" spans="1:9" x14ac:dyDescent="0.25">
      <c r="A386" s="2"/>
      <c r="B386" s="2"/>
      <c r="C386" s="2"/>
      <c r="D386" s="2"/>
      <c r="E386" s="2"/>
      <c r="F386" s="2"/>
      <c r="G386" s="2"/>
      <c r="H386" s="2"/>
      <c r="I386" s="2"/>
    </row>
    <row r="387" spans="1:9" x14ac:dyDescent="0.25">
      <c r="A387" s="2"/>
      <c r="B387" s="2"/>
      <c r="C387" s="2"/>
      <c r="D387" s="2"/>
      <c r="E387" s="2"/>
      <c r="F387" s="2"/>
      <c r="G387" s="2"/>
      <c r="H387" s="2"/>
      <c r="I387" s="2"/>
    </row>
    <row r="388" spans="1:9" x14ac:dyDescent="0.25">
      <c r="A388" s="2"/>
      <c r="B388" s="2"/>
      <c r="C388" s="2"/>
      <c r="D388" s="2"/>
      <c r="E388" s="2"/>
      <c r="F388" s="2"/>
      <c r="G388" s="2"/>
      <c r="H388" s="2"/>
      <c r="I388" s="2"/>
    </row>
    <row r="389" spans="1:9" x14ac:dyDescent="0.25">
      <c r="A389" s="2"/>
      <c r="B389" s="2"/>
      <c r="C389" s="2"/>
      <c r="D389" s="2"/>
      <c r="E389" s="2"/>
      <c r="F389" s="2"/>
      <c r="G389" s="2"/>
      <c r="H389" s="2"/>
      <c r="I389" s="2"/>
    </row>
    <row r="390" spans="1:9" x14ac:dyDescent="0.25">
      <c r="A390" s="2"/>
      <c r="B390" s="2"/>
      <c r="C390" s="2"/>
      <c r="D390" s="2"/>
      <c r="E390" s="2"/>
      <c r="F390" s="2"/>
      <c r="G390" s="2"/>
      <c r="H390" s="2"/>
      <c r="I390" s="2"/>
    </row>
    <row r="391" spans="1:9" x14ac:dyDescent="0.25">
      <c r="A391" s="2"/>
      <c r="B391" s="2"/>
      <c r="C391" s="2"/>
      <c r="D391" s="2"/>
      <c r="E391" s="2"/>
      <c r="F391" s="2"/>
      <c r="G391" s="2"/>
      <c r="H391" s="2"/>
      <c r="I391" s="2"/>
    </row>
    <row r="392" spans="1:9" x14ac:dyDescent="0.25">
      <c r="A392" s="2"/>
      <c r="B392" s="2"/>
      <c r="C392" s="2"/>
      <c r="D392" s="2"/>
      <c r="E392" s="2"/>
      <c r="F392" s="2"/>
      <c r="G392" s="2"/>
      <c r="H392" s="2"/>
      <c r="I392" s="2"/>
    </row>
    <row r="393" spans="1:9" x14ac:dyDescent="0.25">
      <c r="A393" s="2"/>
      <c r="B393" s="2"/>
      <c r="C393" s="2"/>
      <c r="D393" s="2"/>
      <c r="E393" s="2"/>
      <c r="F393" s="2"/>
      <c r="G393" s="2"/>
      <c r="H393" s="2"/>
      <c r="I393" s="2"/>
    </row>
    <row r="394" spans="1:9" x14ac:dyDescent="0.25">
      <c r="A394" s="2"/>
      <c r="B394" s="2"/>
      <c r="C394" s="2"/>
      <c r="D394" s="2"/>
      <c r="E394" s="2"/>
      <c r="F394" s="2"/>
      <c r="G394" s="2"/>
      <c r="H394" s="2"/>
      <c r="I394" s="2"/>
    </row>
    <row r="395" spans="1:9" x14ac:dyDescent="0.25">
      <c r="A395" s="2"/>
      <c r="B395" s="2"/>
      <c r="C395" s="2"/>
      <c r="D395" s="2"/>
      <c r="E395" s="2"/>
      <c r="F395" s="2"/>
      <c r="G395" s="2"/>
      <c r="H395" s="2"/>
      <c r="I395" s="2"/>
    </row>
    <row r="396" spans="1:9" x14ac:dyDescent="0.25">
      <c r="A396" s="2"/>
      <c r="B396" s="2"/>
      <c r="C396" s="2"/>
      <c r="D396" s="2"/>
      <c r="E396" s="2"/>
      <c r="F396" s="2"/>
      <c r="G396" s="2"/>
      <c r="H396" s="2"/>
      <c r="I396" s="2"/>
    </row>
    <row r="397" spans="1:9" x14ac:dyDescent="0.25">
      <c r="A397" s="2"/>
      <c r="B397" s="2"/>
      <c r="C397" s="2"/>
      <c r="D397" s="2"/>
      <c r="E397" s="2"/>
      <c r="F397" s="2"/>
      <c r="G397" s="2"/>
      <c r="H397" s="2"/>
      <c r="I397" s="2"/>
    </row>
    <row r="398" spans="1:9" x14ac:dyDescent="0.25">
      <c r="A398" s="2"/>
      <c r="B398" s="2"/>
      <c r="C398" s="2"/>
      <c r="D398" s="2"/>
      <c r="E398" s="2"/>
      <c r="F398" s="2"/>
      <c r="G398" s="2"/>
      <c r="H398" s="2"/>
      <c r="I398" s="2"/>
    </row>
    <row r="399" spans="1:9" x14ac:dyDescent="0.25">
      <c r="A399" s="2"/>
      <c r="B399" s="2"/>
      <c r="C399" s="2"/>
      <c r="D399" s="2"/>
      <c r="E399" s="2"/>
      <c r="F399" s="2"/>
      <c r="G399" s="2"/>
      <c r="H399" s="2"/>
      <c r="I399" s="2"/>
    </row>
    <row r="400" spans="1:9" x14ac:dyDescent="0.25">
      <c r="A400" s="2"/>
      <c r="B400" s="2"/>
      <c r="C400" s="2"/>
      <c r="D400" s="2"/>
      <c r="E400" s="2"/>
      <c r="F400" s="2"/>
      <c r="G400" s="2"/>
      <c r="H400" s="2"/>
      <c r="I400" s="2"/>
    </row>
    <row r="401" spans="1:9" x14ac:dyDescent="0.25">
      <c r="A401" s="2"/>
      <c r="B401" s="2"/>
      <c r="C401" s="2"/>
      <c r="D401" s="2"/>
      <c r="E401" s="2"/>
      <c r="F401" s="2"/>
      <c r="G401" s="2"/>
      <c r="H401" s="2"/>
      <c r="I401" s="2"/>
    </row>
    <row r="402" spans="1:9" x14ac:dyDescent="0.25">
      <c r="A402" s="2"/>
      <c r="B402" s="2"/>
      <c r="C402" s="2"/>
      <c r="D402" s="2"/>
      <c r="E402" s="2"/>
      <c r="F402" s="2"/>
      <c r="G402" s="2"/>
      <c r="H402" s="2"/>
      <c r="I402" s="2"/>
    </row>
    <row r="403" spans="1:9" x14ac:dyDescent="0.25">
      <c r="A403" s="2"/>
      <c r="B403" s="2"/>
      <c r="C403" s="2"/>
      <c r="D403" s="2"/>
      <c r="E403" s="2"/>
      <c r="F403" s="2"/>
      <c r="G403" s="2"/>
      <c r="H403" s="2"/>
      <c r="I403" s="2"/>
    </row>
    <row r="404" spans="1:9" x14ac:dyDescent="0.25">
      <c r="A404" s="2"/>
      <c r="B404" s="2"/>
      <c r="C404" s="2"/>
      <c r="D404" s="2"/>
      <c r="E404" s="2"/>
      <c r="F404" s="2"/>
      <c r="G404" s="2"/>
      <c r="H404" s="2"/>
      <c r="I404" s="2"/>
    </row>
    <row r="405" spans="1:9" x14ac:dyDescent="0.25">
      <c r="A405" s="2"/>
      <c r="B405" s="2"/>
      <c r="C405" s="2"/>
      <c r="D405" s="2"/>
      <c r="E405" s="2"/>
      <c r="F405" s="2"/>
      <c r="G405" s="2"/>
      <c r="H405" s="2"/>
      <c r="I405" s="2"/>
    </row>
    <row r="406" spans="1:9" x14ac:dyDescent="0.25">
      <c r="A406" s="2"/>
      <c r="B406" s="2"/>
      <c r="C406" s="2"/>
      <c r="D406" s="2"/>
      <c r="E406" s="2"/>
      <c r="F406" s="2"/>
      <c r="G406" s="2"/>
      <c r="H406" s="2"/>
      <c r="I406" s="2"/>
    </row>
    <row r="407" spans="1:9" x14ac:dyDescent="0.25">
      <c r="A407" s="2"/>
      <c r="B407" s="2"/>
      <c r="C407" s="2"/>
      <c r="D407" s="2"/>
      <c r="E407" s="2"/>
      <c r="F407" s="2"/>
      <c r="G407" s="2"/>
      <c r="H407" s="2"/>
      <c r="I407" s="2"/>
    </row>
    <row r="408" spans="1:9" x14ac:dyDescent="0.25">
      <c r="A408" s="2"/>
      <c r="B408" s="2"/>
      <c r="C408" s="2"/>
      <c r="D408" s="2"/>
      <c r="E408" s="2"/>
      <c r="F408" s="2"/>
      <c r="G408" s="2"/>
      <c r="H408" s="2"/>
      <c r="I408" s="2"/>
    </row>
    <row r="409" spans="1:9" x14ac:dyDescent="0.25">
      <c r="A409" s="2"/>
      <c r="B409" s="2"/>
      <c r="C409" s="2"/>
      <c r="D409" s="2"/>
      <c r="E409" s="2"/>
      <c r="F409" s="2"/>
      <c r="G409" s="2"/>
      <c r="H409" s="2"/>
      <c r="I409" s="2"/>
    </row>
    <row r="410" spans="1:9" x14ac:dyDescent="0.25">
      <c r="A410" s="2"/>
      <c r="B410" s="2"/>
      <c r="C410" s="2"/>
      <c r="D410" s="2"/>
      <c r="E410" s="2"/>
      <c r="F410" s="2"/>
      <c r="G410" s="2"/>
      <c r="H410" s="2"/>
      <c r="I410" s="2"/>
    </row>
    <row r="411" spans="1:9" x14ac:dyDescent="0.25">
      <c r="A411" s="2"/>
      <c r="B411" s="2"/>
      <c r="C411" s="2"/>
      <c r="D411" s="2"/>
      <c r="E411" s="2"/>
      <c r="F411" s="2"/>
      <c r="G411" s="2"/>
      <c r="H411" s="2"/>
      <c r="I411" s="2"/>
    </row>
    <row r="412" spans="1:9" x14ac:dyDescent="0.25">
      <c r="A412" s="2"/>
      <c r="B412" s="2"/>
      <c r="C412" s="2"/>
      <c r="D412" s="2"/>
      <c r="E412" s="2"/>
      <c r="F412" s="2"/>
      <c r="G412" s="2"/>
      <c r="H412" s="2"/>
      <c r="I412" s="2"/>
    </row>
    <row r="413" spans="1:9" x14ac:dyDescent="0.25">
      <c r="A413" s="2"/>
      <c r="B413" s="2"/>
      <c r="C413" s="2"/>
      <c r="D413" s="2"/>
      <c r="E413" s="2"/>
      <c r="F413" s="2"/>
      <c r="G413" s="2"/>
      <c r="H413" s="2"/>
      <c r="I413" s="2"/>
    </row>
    <row r="414" spans="1:9" x14ac:dyDescent="0.25">
      <c r="A414" s="2"/>
      <c r="B414" s="2"/>
      <c r="C414" s="2"/>
      <c r="D414" s="2"/>
      <c r="E414" s="2"/>
      <c r="F414" s="2"/>
      <c r="G414" s="2"/>
      <c r="H414" s="2"/>
      <c r="I414" s="2"/>
    </row>
    <row r="415" spans="1:9" x14ac:dyDescent="0.25">
      <c r="A415" s="2"/>
      <c r="B415" s="2"/>
      <c r="C415" s="2"/>
      <c r="D415" s="2"/>
      <c r="E415" s="2"/>
      <c r="F415" s="2"/>
      <c r="G415" s="2"/>
      <c r="H415" s="2"/>
      <c r="I415" s="2"/>
    </row>
    <row r="416" spans="1:9" x14ac:dyDescent="0.25">
      <c r="A416" s="2"/>
      <c r="B416" s="2"/>
      <c r="C416" s="2"/>
      <c r="D416" s="2"/>
      <c r="E416" s="2"/>
      <c r="F416" s="2"/>
      <c r="G416" s="2"/>
      <c r="H416" s="2"/>
      <c r="I416" s="2"/>
    </row>
    <row r="417" spans="1:9" x14ac:dyDescent="0.25">
      <c r="A417" s="2"/>
      <c r="B417" s="2"/>
      <c r="C417" s="2"/>
      <c r="D417" s="2"/>
      <c r="E417" s="2"/>
      <c r="F417" s="2"/>
      <c r="G417" s="2"/>
      <c r="H417" s="2"/>
      <c r="I417" s="2"/>
    </row>
    <row r="418" spans="1:9" x14ac:dyDescent="0.25">
      <c r="A418" s="2"/>
      <c r="B418" s="2"/>
      <c r="C418" s="2"/>
      <c r="D418" s="2"/>
      <c r="E418" s="2"/>
      <c r="F418" s="2"/>
      <c r="G418" s="2"/>
      <c r="H418" s="2"/>
      <c r="I418" s="2"/>
    </row>
    <row r="419" spans="1:9" x14ac:dyDescent="0.25">
      <c r="A419" s="2"/>
      <c r="B419" s="2"/>
      <c r="C419" s="2"/>
      <c r="D419" s="2"/>
      <c r="E419" s="2"/>
      <c r="F419" s="2"/>
      <c r="G419" s="2"/>
      <c r="H419" s="2"/>
      <c r="I419" s="2"/>
    </row>
    <row r="420" spans="1:9" x14ac:dyDescent="0.25">
      <c r="A420" s="2"/>
      <c r="B420" s="2"/>
      <c r="C420" s="2"/>
      <c r="D420" s="2"/>
      <c r="E420" s="2"/>
      <c r="F420" s="2"/>
      <c r="G420" s="2"/>
      <c r="H420" s="2"/>
      <c r="I420" s="2"/>
    </row>
    <row r="421" spans="1:9" x14ac:dyDescent="0.25">
      <c r="A421" s="2"/>
      <c r="B421" s="2"/>
      <c r="C421" s="2"/>
      <c r="D421" s="2"/>
      <c r="E421" s="2"/>
      <c r="F421" s="2"/>
      <c r="G421" s="2"/>
      <c r="H421" s="2"/>
      <c r="I421" s="2"/>
    </row>
    <row r="422" spans="1:9" x14ac:dyDescent="0.25">
      <c r="A422" s="2"/>
      <c r="B422" s="2"/>
      <c r="C422" s="2"/>
      <c r="D422" s="2"/>
      <c r="E422" s="2"/>
      <c r="F422" s="2"/>
      <c r="G422" s="2"/>
      <c r="H422" s="2"/>
      <c r="I422" s="2"/>
    </row>
    <row r="423" spans="1:9" x14ac:dyDescent="0.25">
      <c r="A423" s="2"/>
      <c r="B423" s="2"/>
      <c r="C423" s="2"/>
      <c r="D423" s="2"/>
      <c r="E423" s="2"/>
      <c r="F423" s="2"/>
      <c r="G423" s="2"/>
      <c r="H423" s="2"/>
      <c r="I423" s="2"/>
    </row>
    <row r="424" spans="1:9" x14ac:dyDescent="0.25">
      <c r="A424" s="2"/>
      <c r="B424" s="2"/>
      <c r="C424" s="2"/>
      <c r="D424" s="2"/>
      <c r="E424" s="2"/>
      <c r="F424" s="2"/>
      <c r="G424" s="2"/>
      <c r="H424" s="2"/>
      <c r="I424" s="2"/>
    </row>
    <row r="425" spans="1:9" x14ac:dyDescent="0.25">
      <c r="A425" s="2"/>
      <c r="B425" s="2"/>
      <c r="C425" s="2"/>
      <c r="D425" s="2"/>
      <c r="E425" s="2"/>
      <c r="F425" s="2"/>
      <c r="G425" s="2"/>
      <c r="H425" s="2"/>
      <c r="I425" s="2"/>
    </row>
    <row r="426" spans="1:9" x14ac:dyDescent="0.25">
      <c r="A426" s="2"/>
      <c r="B426" s="2"/>
      <c r="C426" s="2"/>
      <c r="D426" s="2"/>
      <c r="E426" s="2"/>
      <c r="F426" s="2"/>
      <c r="G426" s="2"/>
      <c r="H426" s="2"/>
      <c r="I426" s="2"/>
    </row>
    <row r="427" spans="1:9" x14ac:dyDescent="0.25">
      <c r="A427" s="2"/>
      <c r="B427" s="2"/>
      <c r="C427" s="2"/>
      <c r="D427" s="2"/>
      <c r="E427" s="2"/>
      <c r="F427" s="2"/>
      <c r="G427" s="2"/>
      <c r="H427" s="2"/>
      <c r="I427" s="2"/>
    </row>
    <row r="428" spans="1:9" x14ac:dyDescent="0.25">
      <c r="A428" s="2"/>
      <c r="B428" s="2"/>
      <c r="C428" s="2"/>
      <c r="D428" s="2"/>
      <c r="E428" s="2"/>
      <c r="F428" s="2"/>
      <c r="G428" s="2"/>
      <c r="H428" s="2"/>
      <c r="I428" s="2"/>
    </row>
    <row r="429" spans="1:9" x14ac:dyDescent="0.25">
      <c r="A429" s="2"/>
      <c r="B429" s="2"/>
      <c r="C429" s="2"/>
      <c r="D429" s="2"/>
      <c r="E429" s="2"/>
      <c r="F429" s="2"/>
      <c r="G429" s="2"/>
      <c r="H429" s="2"/>
      <c r="I429" s="2"/>
    </row>
    <row r="430" spans="1:9" x14ac:dyDescent="0.25">
      <c r="A430" s="2"/>
      <c r="B430" s="2"/>
      <c r="C430" s="2"/>
      <c r="D430" s="2"/>
      <c r="E430" s="2"/>
      <c r="F430" s="2"/>
      <c r="G430" s="2"/>
      <c r="H430" s="2"/>
      <c r="I430" s="2"/>
    </row>
    <row r="431" spans="1:9" x14ac:dyDescent="0.25">
      <c r="A431" s="2"/>
      <c r="B431" s="2"/>
      <c r="C431" s="2"/>
      <c r="D431" s="2"/>
      <c r="E431" s="2"/>
      <c r="F431" s="2"/>
      <c r="G431" s="2"/>
      <c r="H431" s="2"/>
      <c r="I431" s="2"/>
    </row>
    <row r="432" spans="1:9" x14ac:dyDescent="0.25">
      <c r="A432" s="2"/>
      <c r="B432" s="2"/>
      <c r="C432" s="2"/>
      <c r="D432" s="2"/>
      <c r="E432" s="2"/>
      <c r="F432" s="2"/>
      <c r="G432" s="2"/>
      <c r="H432" s="2"/>
      <c r="I432" s="2"/>
    </row>
    <row r="433" spans="1:9" x14ac:dyDescent="0.25">
      <c r="A433" s="2"/>
      <c r="B433" s="2"/>
      <c r="C433" s="2"/>
      <c r="D433" s="2"/>
      <c r="E433" s="2"/>
      <c r="F433" s="2"/>
      <c r="G433" s="2"/>
      <c r="H433" s="2"/>
      <c r="I433" s="2"/>
    </row>
    <row r="434" spans="1:9" x14ac:dyDescent="0.25">
      <c r="A434" s="2"/>
      <c r="B434" s="2"/>
      <c r="C434" s="2"/>
      <c r="D434" s="2"/>
      <c r="E434" s="2"/>
      <c r="F434" s="2"/>
      <c r="G434" s="2"/>
      <c r="H434" s="2"/>
      <c r="I434" s="2"/>
    </row>
    <row r="435" spans="1:9" x14ac:dyDescent="0.25">
      <c r="A435" s="2"/>
      <c r="B435" s="2"/>
      <c r="C435" s="2"/>
      <c r="D435" s="2"/>
      <c r="E435" s="2"/>
      <c r="F435" s="2"/>
      <c r="G435" s="2"/>
      <c r="H435" s="2"/>
      <c r="I435" s="2"/>
    </row>
    <row r="436" spans="1:9" x14ac:dyDescent="0.25">
      <c r="A436" s="2"/>
      <c r="B436" s="2"/>
      <c r="C436" s="2"/>
      <c r="D436" s="2"/>
      <c r="E436" s="2"/>
      <c r="F436" s="2"/>
      <c r="G436" s="2"/>
      <c r="H436" s="2"/>
      <c r="I436" s="2"/>
    </row>
    <row r="437" spans="1:9" x14ac:dyDescent="0.25">
      <c r="A437" s="2"/>
      <c r="B437" s="2"/>
      <c r="C437" s="2"/>
      <c r="D437" s="2"/>
      <c r="E437" s="2"/>
      <c r="F437" s="2"/>
      <c r="G437" s="2"/>
      <c r="H437" s="2"/>
      <c r="I437" s="2"/>
    </row>
    <row r="438" spans="1:9" x14ac:dyDescent="0.25">
      <c r="A438" s="2"/>
      <c r="B438" s="2"/>
      <c r="C438" s="2"/>
      <c r="D438" s="2"/>
      <c r="E438" s="2"/>
      <c r="F438" s="2"/>
      <c r="G438" s="2"/>
      <c r="H438" s="2"/>
      <c r="I438" s="2"/>
    </row>
    <row r="439" spans="1:9" x14ac:dyDescent="0.25">
      <c r="A439" s="2"/>
      <c r="B439" s="2"/>
      <c r="C439" s="2"/>
      <c r="D439" s="2"/>
      <c r="E439" s="2"/>
      <c r="F439" s="2"/>
      <c r="G439" s="2"/>
      <c r="H439" s="2"/>
      <c r="I439" s="2"/>
    </row>
    <row r="440" spans="1:9" x14ac:dyDescent="0.25">
      <c r="A440" s="2"/>
      <c r="B440" s="2"/>
      <c r="C440" s="2"/>
      <c r="D440" s="2"/>
      <c r="E440" s="2"/>
      <c r="F440" s="2"/>
      <c r="G440" s="2"/>
      <c r="H440" s="2"/>
      <c r="I440" s="2"/>
    </row>
    <row r="441" spans="1:9" x14ac:dyDescent="0.25">
      <c r="A441" s="2"/>
      <c r="B441" s="2"/>
      <c r="C441" s="2"/>
      <c r="D441" s="2"/>
      <c r="E441" s="2"/>
      <c r="F441" s="2"/>
      <c r="G441" s="2"/>
      <c r="H441" s="2"/>
      <c r="I441" s="2"/>
    </row>
    <row r="442" spans="1:9" x14ac:dyDescent="0.25">
      <c r="A442" s="2"/>
      <c r="B442" s="2"/>
      <c r="C442" s="2"/>
      <c r="D442" s="2"/>
      <c r="E442" s="2"/>
      <c r="F442" s="2"/>
      <c r="G442" s="2"/>
      <c r="H442" s="2"/>
      <c r="I442" s="2"/>
    </row>
    <row r="443" spans="1:9" x14ac:dyDescent="0.25">
      <c r="A443" s="2"/>
      <c r="B443" s="2"/>
      <c r="C443" s="2"/>
      <c r="D443" s="2"/>
      <c r="E443" s="2"/>
      <c r="F443" s="2"/>
      <c r="G443" s="2"/>
      <c r="H443" s="2"/>
      <c r="I443" s="2"/>
    </row>
    <row r="444" spans="1:9" x14ac:dyDescent="0.25">
      <c r="A444" s="2"/>
      <c r="B444" s="2"/>
      <c r="C444" s="2"/>
      <c r="D444" s="2"/>
      <c r="E444" s="2"/>
      <c r="F444" s="2"/>
      <c r="G444" s="2"/>
      <c r="H444" s="2"/>
      <c r="I444" s="2"/>
    </row>
    <row r="445" spans="1:9" x14ac:dyDescent="0.25">
      <c r="A445" s="2"/>
      <c r="B445" s="2"/>
      <c r="C445" s="2"/>
      <c r="D445" s="2"/>
      <c r="E445" s="2"/>
      <c r="F445" s="2"/>
      <c r="G445" s="2"/>
      <c r="H445" s="2"/>
      <c r="I445" s="2"/>
    </row>
    <row r="446" spans="1:9" x14ac:dyDescent="0.25">
      <c r="A446" s="2"/>
      <c r="B446" s="2"/>
      <c r="C446" s="2"/>
      <c r="D446" s="2"/>
      <c r="E446" s="2"/>
      <c r="F446" s="2"/>
      <c r="G446" s="2"/>
      <c r="H446" s="2"/>
      <c r="I446" s="2"/>
    </row>
    <row r="447" spans="1:9" x14ac:dyDescent="0.25">
      <c r="A447" s="2"/>
      <c r="B447" s="2"/>
      <c r="C447" s="2"/>
      <c r="D447" s="2"/>
      <c r="E447" s="2"/>
      <c r="F447" s="2"/>
      <c r="G447" s="2"/>
      <c r="H447" s="2"/>
      <c r="I447" s="2"/>
    </row>
    <row r="448" spans="1:9" x14ac:dyDescent="0.25">
      <c r="A448" s="2"/>
      <c r="B448" s="2"/>
      <c r="C448" s="2"/>
      <c r="D448" s="2"/>
      <c r="E448" s="2"/>
      <c r="F448" s="2"/>
      <c r="G448" s="2"/>
      <c r="H448" s="2"/>
      <c r="I448" s="2"/>
    </row>
    <row r="449" spans="1:9" x14ac:dyDescent="0.25">
      <c r="A449" s="2"/>
      <c r="B449" s="2"/>
      <c r="C449" s="2"/>
      <c r="D449" s="2"/>
      <c r="E449" s="2"/>
      <c r="F449" s="2"/>
      <c r="G449" s="2"/>
      <c r="H449" s="2"/>
      <c r="I449" s="2"/>
    </row>
    <row r="450" spans="1:9" x14ac:dyDescent="0.25">
      <c r="A450" s="2"/>
      <c r="B450" s="2"/>
      <c r="C450" s="2"/>
      <c r="D450" s="2"/>
      <c r="E450" s="2"/>
      <c r="F450" s="2"/>
      <c r="G450" s="2"/>
      <c r="H450" s="2"/>
      <c r="I450" s="2"/>
    </row>
    <row r="451" spans="1:9" x14ac:dyDescent="0.25">
      <c r="A451" s="2"/>
      <c r="B451" s="2"/>
      <c r="C451" s="2"/>
      <c r="D451" s="2"/>
      <c r="E451" s="2"/>
      <c r="F451" s="2"/>
      <c r="G451" s="2"/>
      <c r="H451" s="2"/>
      <c r="I451" s="2"/>
    </row>
    <row r="452" spans="1:9" x14ac:dyDescent="0.25">
      <c r="A452" s="2"/>
      <c r="B452" s="2"/>
      <c r="C452" s="2"/>
      <c r="D452" s="2"/>
      <c r="E452" s="2"/>
      <c r="F452" s="2"/>
      <c r="G452" s="2"/>
      <c r="H452" s="2"/>
      <c r="I452" s="2"/>
    </row>
    <row r="453" spans="1:9" x14ac:dyDescent="0.25">
      <c r="A453" s="2"/>
      <c r="B453" s="2"/>
      <c r="C453" s="2"/>
      <c r="D453" s="2"/>
      <c r="E453" s="2"/>
      <c r="F453" s="2"/>
      <c r="G453" s="2"/>
      <c r="H453" s="2"/>
      <c r="I453" s="2"/>
    </row>
    <row r="454" spans="1:9" x14ac:dyDescent="0.25">
      <c r="A454" s="2"/>
      <c r="B454" s="2"/>
      <c r="C454" s="2"/>
      <c r="D454" s="2"/>
      <c r="E454" s="2"/>
      <c r="F454" s="2"/>
      <c r="G454" s="2"/>
      <c r="H454" s="2"/>
      <c r="I454" s="2"/>
    </row>
    <row r="455" spans="1:9" x14ac:dyDescent="0.25">
      <c r="A455" s="2"/>
      <c r="B455" s="2"/>
      <c r="C455" s="2"/>
      <c r="D455" s="2"/>
      <c r="E455" s="2"/>
      <c r="F455" s="2"/>
      <c r="G455" s="2"/>
      <c r="H455" s="2"/>
      <c r="I455" s="2"/>
    </row>
    <row r="456" spans="1:9" x14ac:dyDescent="0.25">
      <c r="A456" s="2"/>
      <c r="B456" s="2"/>
      <c r="C456" s="2"/>
      <c r="D456" s="2"/>
      <c r="E456" s="2"/>
      <c r="F456" s="2"/>
      <c r="G456" s="2"/>
      <c r="H456" s="2"/>
      <c r="I456" s="2"/>
    </row>
    <row r="457" spans="1:9" x14ac:dyDescent="0.25">
      <c r="A457" s="2"/>
      <c r="B457" s="2"/>
      <c r="C457" s="2"/>
      <c r="D457" s="2"/>
      <c r="E457" s="2"/>
      <c r="F457" s="2"/>
      <c r="G457" s="2"/>
      <c r="H457" s="2"/>
      <c r="I457" s="2"/>
    </row>
    <row r="458" spans="1:9" x14ac:dyDescent="0.25">
      <c r="A458" s="2"/>
      <c r="B458" s="2"/>
      <c r="C458" s="2"/>
      <c r="D458" s="2"/>
      <c r="E458" s="2"/>
      <c r="F458" s="2"/>
      <c r="G458" s="2"/>
      <c r="H458" s="2"/>
      <c r="I458" s="2"/>
    </row>
    <row r="459" spans="1:9" x14ac:dyDescent="0.25">
      <c r="A459" s="2"/>
      <c r="B459" s="2"/>
      <c r="C459" s="2"/>
      <c r="D459" s="2"/>
      <c r="E459" s="2"/>
      <c r="F459" s="2"/>
      <c r="G459" s="2"/>
      <c r="H459" s="2"/>
      <c r="I459" s="2"/>
    </row>
    <row r="460" spans="1:9" x14ac:dyDescent="0.25">
      <c r="A460" s="2"/>
      <c r="B460" s="2"/>
      <c r="C460" s="2"/>
      <c r="D460" s="2"/>
      <c r="E460" s="2"/>
      <c r="F460" s="2"/>
      <c r="G460" s="2"/>
      <c r="H460" s="2"/>
      <c r="I460" s="2"/>
    </row>
    <row r="461" spans="1:9" x14ac:dyDescent="0.25">
      <c r="A461" s="2"/>
      <c r="B461" s="2"/>
      <c r="C461" s="2"/>
      <c r="D461" s="2"/>
      <c r="E461" s="2"/>
      <c r="F461" s="2"/>
      <c r="G461" s="2"/>
      <c r="H461" s="2"/>
      <c r="I461" s="2"/>
    </row>
    <row r="462" spans="1:9" x14ac:dyDescent="0.25">
      <c r="A462" s="2"/>
      <c r="B462" s="2"/>
      <c r="C462" s="2"/>
      <c r="D462" s="2"/>
      <c r="E462" s="2"/>
      <c r="F462" s="2"/>
      <c r="G462" s="2"/>
      <c r="H462" s="2"/>
      <c r="I462" s="2"/>
    </row>
    <row r="463" spans="1:9" x14ac:dyDescent="0.25">
      <c r="A463" s="2"/>
      <c r="B463" s="2"/>
      <c r="C463" s="2"/>
      <c r="D463" s="2"/>
      <c r="E463" s="2"/>
      <c r="F463" s="2"/>
      <c r="G463" s="2"/>
      <c r="H463" s="2"/>
      <c r="I463" s="2"/>
    </row>
    <row r="464" spans="1:9" x14ac:dyDescent="0.25">
      <c r="A464" s="2"/>
      <c r="B464" s="2"/>
      <c r="C464" s="2"/>
      <c r="D464" s="2"/>
      <c r="E464" s="2"/>
      <c r="F464" s="2"/>
      <c r="G464" s="2"/>
      <c r="H464" s="2"/>
      <c r="I464" s="2"/>
    </row>
    <row r="465" spans="1:9" x14ac:dyDescent="0.25">
      <c r="A465" s="2"/>
      <c r="B465" s="2"/>
      <c r="C465" s="2"/>
      <c r="D465" s="2"/>
      <c r="E465" s="2"/>
      <c r="F465" s="2"/>
      <c r="G465" s="2"/>
      <c r="H465" s="2"/>
      <c r="I465" s="2"/>
    </row>
    <row r="466" spans="1:9" x14ac:dyDescent="0.25">
      <c r="A466" s="2"/>
      <c r="B466" s="2"/>
      <c r="C466" s="2"/>
      <c r="D466" s="2"/>
      <c r="E466" s="2"/>
      <c r="F466" s="2"/>
      <c r="G466" s="2"/>
      <c r="H466" s="2"/>
      <c r="I466" s="2"/>
    </row>
    <row r="467" spans="1:9" x14ac:dyDescent="0.25">
      <c r="A467" s="2"/>
      <c r="B467" s="2"/>
      <c r="C467" s="2"/>
      <c r="D467" s="2"/>
      <c r="E467" s="2"/>
      <c r="F467" s="2"/>
      <c r="G467" s="2"/>
      <c r="H467" s="2"/>
      <c r="I467" s="2"/>
    </row>
    <row r="468" spans="1:9" x14ac:dyDescent="0.25">
      <c r="A468" s="2"/>
      <c r="B468" s="2"/>
      <c r="C468" s="2"/>
      <c r="D468" s="2"/>
      <c r="E468" s="2"/>
      <c r="F468" s="2"/>
      <c r="G468" s="2"/>
      <c r="H468" s="2"/>
      <c r="I468" s="2"/>
    </row>
    <row r="469" spans="1:9" x14ac:dyDescent="0.25">
      <c r="A469" s="2"/>
      <c r="B469" s="2"/>
      <c r="C469" s="2"/>
      <c r="D469" s="2"/>
      <c r="E469" s="2"/>
      <c r="F469" s="2"/>
      <c r="G469" s="2"/>
      <c r="H469" s="2"/>
      <c r="I469" s="2"/>
    </row>
    <row r="470" spans="1:9" x14ac:dyDescent="0.25">
      <c r="A470" s="2"/>
      <c r="B470" s="2"/>
      <c r="C470" s="2"/>
      <c r="D470" s="2"/>
      <c r="E470" s="2"/>
      <c r="F470" s="2"/>
      <c r="G470" s="2"/>
      <c r="H470" s="2"/>
      <c r="I470" s="2"/>
    </row>
    <row r="471" spans="1:9" x14ac:dyDescent="0.25">
      <c r="A471" s="2"/>
      <c r="B471" s="2"/>
      <c r="C471" s="2"/>
      <c r="D471" s="2"/>
      <c r="E471" s="2"/>
      <c r="F471" s="2"/>
      <c r="G471" s="2"/>
      <c r="H471" s="2"/>
      <c r="I471" s="2"/>
    </row>
    <row r="472" spans="1:9" x14ac:dyDescent="0.25">
      <c r="A472" s="2"/>
      <c r="B472" s="2"/>
      <c r="C472" s="2"/>
      <c r="D472" s="2"/>
      <c r="E472" s="2"/>
      <c r="F472" s="2"/>
      <c r="G472" s="2"/>
      <c r="H472" s="2"/>
      <c r="I472" s="2"/>
    </row>
    <row r="473" spans="1:9" x14ac:dyDescent="0.25">
      <c r="A473" s="2"/>
      <c r="B473" s="2"/>
      <c r="C473" s="2"/>
      <c r="D473" s="2"/>
      <c r="E473" s="2"/>
      <c r="F473" s="2"/>
      <c r="G473" s="2"/>
      <c r="H473" s="2"/>
      <c r="I473" s="2"/>
    </row>
    <row r="474" spans="1:9" x14ac:dyDescent="0.25">
      <c r="A474" s="2"/>
      <c r="B474" s="2"/>
      <c r="C474" s="2"/>
      <c r="D474" s="2"/>
      <c r="E474" s="2"/>
      <c r="F474" s="2"/>
      <c r="G474" s="2"/>
      <c r="H474" s="2"/>
      <c r="I474" s="2"/>
    </row>
    <row r="475" spans="1:9" x14ac:dyDescent="0.25">
      <c r="A475" s="2"/>
      <c r="B475" s="2"/>
      <c r="C475" s="2"/>
      <c r="D475" s="2"/>
      <c r="E475" s="2"/>
      <c r="F475" s="2"/>
      <c r="G475" s="2"/>
      <c r="H475" s="2"/>
      <c r="I475" s="2"/>
    </row>
    <row r="476" spans="1:9" x14ac:dyDescent="0.25">
      <c r="A476" s="2"/>
      <c r="B476" s="2"/>
      <c r="C476" s="2"/>
      <c r="D476" s="2"/>
      <c r="E476" s="2"/>
      <c r="F476" s="2"/>
      <c r="G476" s="2"/>
      <c r="H476" s="2"/>
      <c r="I476" s="2"/>
    </row>
    <row r="477" spans="1:9" x14ac:dyDescent="0.25">
      <c r="A477" s="2"/>
      <c r="B477" s="2"/>
      <c r="C477" s="2"/>
      <c r="D477" s="2"/>
      <c r="E477" s="2"/>
      <c r="F477" s="2"/>
      <c r="G477" s="2"/>
      <c r="H477" s="2"/>
      <c r="I477" s="2"/>
    </row>
    <row r="478" spans="1:9" x14ac:dyDescent="0.25">
      <c r="A478" s="2"/>
      <c r="B478" s="2"/>
      <c r="C478" s="2"/>
      <c r="D478" s="2"/>
      <c r="E478" s="2"/>
      <c r="F478" s="2"/>
      <c r="G478" s="2"/>
      <c r="H478" s="2"/>
      <c r="I478" s="2"/>
    </row>
    <row r="479" spans="1:9" x14ac:dyDescent="0.25">
      <c r="A479" s="2"/>
      <c r="B479" s="2"/>
      <c r="C479" s="2"/>
      <c r="D479" s="2"/>
      <c r="E479" s="2"/>
      <c r="F479" s="2"/>
      <c r="G479" s="2"/>
      <c r="H479" s="2"/>
      <c r="I479" s="2"/>
    </row>
    <row r="480" spans="1:9" x14ac:dyDescent="0.25">
      <c r="A480" s="2"/>
      <c r="B480" s="2"/>
      <c r="C480" s="2"/>
      <c r="D480" s="2"/>
      <c r="E480" s="2"/>
      <c r="F480" s="2"/>
      <c r="G480" s="2"/>
      <c r="H480" s="2"/>
      <c r="I480" s="2"/>
    </row>
    <row r="481" spans="1:9" x14ac:dyDescent="0.25">
      <c r="A481" s="2"/>
      <c r="B481" s="2"/>
      <c r="C481" s="2"/>
      <c r="D481" s="2"/>
      <c r="E481" s="2"/>
      <c r="F481" s="2"/>
      <c r="G481" s="2"/>
      <c r="H481" s="2"/>
      <c r="I481" s="2"/>
    </row>
    <row r="482" spans="1:9" x14ac:dyDescent="0.25">
      <c r="A482" s="2"/>
      <c r="B482" s="2"/>
      <c r="C482" s="2"/>
      <c r="D482" s="2"/>
      <c r="E482" s="2"/>
      <c r="F482" s="2"/>
      <c r="G482" s="2"/>
      <c r="H482" s="2"/>
      <c r="I482" s="2"/>
    </row>
    <row r="483" spans="1:9" x14ac:dyDescent="0.25">
      <c r="A483" s="2"/>
      <c r="B483" s="2"/>
      <c r="C483" s="2"/>
      <c r="D483" s="2"/>
      <c r="E483" s="2"/>
      <c r="F483" s="2"/>
      <c r="G483" s="2"/>
      <c r="H483" s="2"/>
      <c r="I483" s="2"/>
    </row>
    <row r="484" spans="1:9" x14ac:dyDescent="0.25">
      <c r="A484" s="2"/>
      <c r="B484" s="2"/>
      <c r="C484" s="2"/>
      <c r="D484" s="2"/>
      <c r="E484" s="2"/>
      <c r="F484" s="2"/>
      <c r="G484" s="2"/>
      <c r="H484" s="2"/>
      <c r="I484" s="2"/>
    </row>
    <row r="485" spans="1:9" x14ac:dyDescent="0.25">
      <c r="A485" s="2"/>
      <c r="B485" s="2"/>
      <c r="C485" s="2"/>
      <c r="D485" s="2"/>
      <c r="E485" s="2"/>
      <c r="F485" s="2"/>
      <c r="G485" s="2"/>
      <c r="H485" s="2"/>
      <c r="I485" s="2"/>
    </row>
    <row r="486" spans="1:9" x14ac:dyDescent="0.25">
      <c r="A486" s="2"/>
      <c r="B486" s="2"/>
      <c r="C486" s="2"/>
      <c r="D486" s="2"/>
      <c r="E486" s="2"/>
      <c r="F486" s="2"/>
      <c r="G486" s="2"/>
      <c r="H486" s="2"/>
      <c r="I486" s="2"/>
    </row>
    <row r="487" spans="1:9" x14ac:dyDescent="0.25">
      <c r="A487" s="2"/>
      <c r="B487" s="2"/>
      <c r="C487" s="2"/>
      <c r="D487" s="2"/>
      <c r="E487" s="2"/>
      <c r="F487" s="2"/>
      <c r="G487" s="2"/>
      <c r="H487" s="2"/>
      <c r="I487" s="2"/>
    </row>
    <row r="488" spans="1:9" x14ac:dyDescent="0.25">
      <c r="A488" s="2"/>
      <c r="B488" s="2"/>
      <c r="C488" s="2"/>
      <c r="D488" s="2"/>
      <c r="E488" s="2"/>
      <c r="F488" s="2"/>
      <c r="G488" s="2"/>
      <c r="H488" s="2"/>
      <c r="I488" s="2"/>
    </row>
    <row r="489" spans="1:9" x14ac:dyDescent="0.25">
      <c r="A489" s="2"/>
      <c r="B489" s="2"/>
      <c r="C489" s="2"/>
      <c r="D489" s="2"/>
      <c r="E489" s="2"/>
      <c r="F489" s="2"/>
      <c r="G489" s="2"/>
      <c r="H489" s="2"/>
      <c r="I489" s="2"/>
    </row>
    <row r="490" spans="1:9" x14ac:dyDescent="0.25">
      <c r="A490" s="2"/>
      <c r="B490" s="2"/>
      <c r="C490" s="2"/>
      <c r="D490" s="2"/>
      <c r="E490" s="2"/>
      <c r="F490" s="2"/>
      <c r="G490" s="2"/>
      <c r="H490" s="2"/>
      <c r="I490" s="2"/>
    </row>
    <row r="491" spans="1:9" x14ac:dyDescent="0.25">
      <c r="A491" s="2"/>
      <c r="B491" s="2"/>
      <c r="C491" s="2"/>
      <c r="D491" s="2"/>
      <c r="E491" s="2"/>
      <c r="F491" s="2"/>
      <c r="G491" s="2"/>
      <c r="H491" s="2"/>
      <c r="I491" s="2"/>
    </row>
    <row r="492" spans="1:9" x14ac:dyDescent="0.25">
      <c r="A492" s="2"/>
      <c r="B492" s="2"/>
      <c r="C492" s="2"/>
      <c r="D492" s="2"/>
      <c r="E492" s="2"/>
      <c r="F492" s="2"/>
      <c r="G492" s="2"/>
      <c r="H492" s="2"/>
      <c r="I492" s="2"/>
    </row>
    <row r="493" spans="1:9" x14ac:dyDescent="0.25">
      <c r="A493" s="2"/>
      <c r="B493" s="2"/>
      <c r="C493" s="2"/>
      <c r="D493" s="2"/>
      <c r="E493" s="2"/>
      <c r="F493" s="2"/>
      <c r="G493" s="2"/>
      <c r="H493" s="2"/>
      <c r="I493" s="2"/>
    </row>
    <row r="494" spans="1:9" x14ac:dyDescent="0.25">
      <c r="A494" s="2"/>
      <c r="B494" s="2"/>
      <c r="C494" s="2"/>
      <c r="D494" s="2"/>
      <c r="E494" s="2"/>
      <c r="F494" s="2"/>
      <c r="G494" s="2"/>
      <c r="H494" s="2"/>
      <c r="I494" s="2"/>
    </row>
    <row r="495" spans="1:9" x14ac:dyDescent="0.25">
      <c r="A495" s="2"/>
      <c r="B495" s="2"/>
      <c r="C495" s="2"/>
      <c r="D495" s="2"/>
      <c r="E495" s="2"/>
      <c r="F495" s="2"/>
      <c r="G495" s="2"/>
      <c r="H495" s="2"/>
      <c r="I495" s="2"/>
    </row>
    <row r="496" spans="1:9" x14ac:dyDescent="0.25">
      <c r="A496" s="2"/>
      <c r="B496" s="2"/>
      <c r="C496" s="2"/>
      <c r="D496" s="2"/>
      <c r="E496" s="2"/>
      <c r="F496" s="2"/>
      <c r="G496" s="2"/>
      <c r="H496" s="2"/>
      <c r="I496" s="2"/>
    </row>
    <row r="497" spans="1:9" x14ac:dyDescent="0.25">
      <c r="A497" s="2"/>
      <c r="B497" s="2"/>
      <c r="C497" s="2"/>
      <c r="D497" s="2"/>
      <c r="E497" s="2"/>
      <c r="F497" s="2"/>
      <c r="G497" s="2"/>
      <c r="H497" s="2"/>
      <c r="I497" s="2"/>
    </row>
    <row r="498" spans="1:9" x14ac:dyDescent="0.25">
      <c r="A498" s="2"/>
      <c r="B498" s="2"/>
      <c r="C498" s="2"/>
      <c r="D498" s="2"/>
      <c r="E498" s="2"/>
      <c r="F498" s="2"/>
      <c r="G498" s="2"/>
      <c r="H498" s="2"/>
      <c r="I498" s="2"/>
    </row>
    <row r="499" spans="1:9" x14ac:dyDescent="0.25">
      <c r="A499" s="2"/>
      <c r="B499" s="2"/>
      <c r="C499" s="2"/>
      <c r="D499" s="2"/>
      <c r="E499" s="2"/>
      <c r="F499" s="2"/>
      <c r="G499" s="2"/>
      <c r="H499" s="2"/>
      <c r="I499" s="2"/>
    </row>
    <row r="500" spans="1:9" x14ac:dyDescent="0.25">
      <c r="A500" s="2"/>
      <c r="B500" s="2"/>
      <c r="C500" s="2"/>
      <c r="D500" s="2"/>
      <c r="E500" s="2"/>
      <c r="F500" s="2"/>
      <c r="G500" s="2"/>
      <c r="H500" s="2"/>
      <c r="I500" s="2"/>
    </row>
    <row r="501" spans="1:9" x14ac:dyDescent="0.25">
      <c r="A501" s="2"/>
      <c r="B501" s="2"/>
      <c r="C501" s="2"/>
      <c r="D501" s="2"/>
      <c r="E501" s="2"/>
      <c r="F501" s="2"/>
      <c r="G501" s="2"/>
      <c r="H501" s="2"/>
      <c r="I501" s="2"/>
    </row>
    <row r="502" spans="1:9" x14ac:dyDescent="0.25">
      <c r="A502" s="2"/>
      <c r="B502" s="2"/>
      <c r="C502" s="2"/>
      <c r="D502" s="2"/>
      <c r="E502" s="2"/>
      <c r="F502" s="2"/>
      <c r="G502" s="2"/>
      <c r="H502" s="2"/>
      <c r="I502" s="2"/>
    </row>
    <row r="503" spans="1:9" x14ac:dyDescent="0.25">
      <c r="A503" s="2"/>
      <c r="B503" s="2"/>
      <c r="C503" s="2"/>
      <c r="D503" s="2"/>
      <c r="E503" s="2"/>
      <c r="F503" s="2"/>
      <c r="G503" s="2"/>
      <c r="H503" s="2"/>
      <c r="I503" s="2"/>
    </row>
    <row r="504" spans="1:9" x14ac:dyDescent="0.25">
      <c r="A504" s="2"/>
      <c r="B504" s="2"/>
      <c r="C504" s="2"/>
      <c r="D504" s="2"/>
      <c r="E504" s="2"/>
      <c r="F504" s="2"/>
      <c r="G504" s="2"/>
      <c r="H504" s="2"/>
      <c r="I504" s="2"/>
    </row>
    <row r="505" spans="1:9" x14ac:dyDescent="0.25">
      <c r="A505" s="2"/>
      <c r="B505" s="2"/>
      <c r="C505" s="2"/>
      <c r="D505" s="2"/>
      <c r="E505" s="2"/>
      <c r="F505" s="2"/>
      <c r="G505" s="2"/>
      <c r="H505" s="2"/>
      <c r="I505" s="2"/>
    </row>
    <row r="506" spans="1:9" x14ac:dyDescent="0.25">
      <c r="A506" s="2"/>
      <c r="B506" s="2"/>
      <c r="C506" s="2"/>
      <c r="D506" s="2"/>
      <c r="E506" s="2"/>
      <c r="F506" s="2"/>
      <c r="G506" s="2"/>
      <c r="H506" s="2"/>
      <c r="I506" s="2"/>
    </row>
    <row r="507" spans="1:9" x14ac:dyDescent="0.25">
      <c r="A507" s="2"/>
      <c r="B507" s="2"/>
      <c r="C507" s="2"/>
      <c r="D507" s="2"/>
      <c r="E507" s="2"/>
      <c r="F507" s="2"/>
      <c r="G507" s="2"/>
      <c r="H507" s="2"/>
      <c r="I507" s="2"/>
    </row>
    <row r="508" spans="1:9" x14ac:dyDescent="0.25">
      <c r="A508" s="2"/>
      <c r="B508" s="2"/>
      <c r="C508" s="2"/>
      <c r="D508" s="2"/>
      <c r="E508" s="2"/>
      <c r="F508" s="2"/>
      <c r="G508" s="2"/>
      <c r="H508" s="2"/>
      <c r="I508" s="2"/>
    </row>
    <row r="509" spans="1:9" x14ac:dyDescent="0.25">
      <c r="A509" s="2"/>
      <c r="B509" s="2"/>
      <c r="C509" s="2"/>
      <c r="D509" s="2"/>
      <c r="E509" s="2"/>
      <c r="F509" s="2"/>
      <c r="G509" s="2"/>
      <c r="H509" s="2"/>
      <c r="I509" s="2"/>
    </row>
    <row r="510" spans="1:9" x14ac:dyDescent="0.25">
      <c r="A510" s="2"/>
      <c r="B510" s="2"/>
      <c r="C510" s="2"/>
      <c r="D510" s="2"/>
      <c r="E510" s="2"/>
      <c r="F510" s="2"/>
      <c r="G510" s="2"/>
      <c r="H510" s="2"/>
      <c r="I510" s="2"/>
    </row>
    <row r="511" spans="1:9" x14ac:dyDescent="0.25">
      <c r="A511" s="2"/>
      <c r="B511" s="2"/>
      <c r="C511" s="2"/>
      <c r="D511" s="2"/>
      <c r="E511" s="2"/>
      <c r="F511" s="2"/>
      <c r="G511" s="2"/>
      <c r="H511" s="2"/>
      <c r="I511" s="2"/>
    </row>
    <row r="512" spans="1:9" x14ac:dyDescent="0.25">
      <c r="A512" s="2"/>
      <c r="B512" s="2"/>
      <c r="C512" s="2"/>
      <c r="D512" s="2"/>
      <c r="E512" s="2"/>
      <c r="F512" s="2"/>
      <c r="G512" s="2"/>
      <c r="H512" s="2"/>
      <c r="I512" s="2"/>
    </row>
    <row r="513" spans="1:9" x14ac:dyDescent="0.25">
      <c r="A513" s="2"/>
      <c r="B513" s="2"/>
      <c r="C513" s="2"/>
      <c r="D513" s="2"/>
      <c r="E513" s="2"/>
      <c r="F513" s="2"/>
      <c r="G513" s="2"/>
      <c r="H513" s="2"/>
      <c r="I513" s="2"/>
    </row>
    <row r="514" spans="1:9" x14ac:dyDescent="0.25">
      <c r="A514" s="2"/>
      <c r="B514" s="2"/>
      <c r="C514" s="2"/>
      <c r="D514" s="2"/>
      <c r="E514" s="2"/>
      <c r="F514" s="2"/>
      <c r="G514" s="2"/>
      <c r="H514" s="2"/>
      <c r="I514" s="2"/>
    </row>
    <row r="515" spans="1:9" x14ac:dyDescent="0.25">
      <c r="A515" s="2"/>
      <c r="B515" s="2"/>
      <c r="C515" s="2"/>
      <c r="D515" s="2"/>
      <c r="E515" s="2"/>
      <c r="F515" s="2"/>
      <c r="G515" s="2"/>
      <c r="H515" s="2"/>
      <c r="I515" s="2"/>
    </row>
    <row r="516" spans="1:9" x14ac:dyDescent="0.25">
      <c r="A516" s="2"/>
      <c r="B516" s="2"/>
      <c r="C516" s="2"/>
      <c r="D516" s="2"/>
      <c r="E516" s="2"/>
      <c r="F516" s="2"/>
      <c r="G516" s="2"/>
      <c r="H516" s="2"/>
      <c r="I516" s="2"/>
    </row>
    <row r="517" spans="1:9" x14ac:dyDescent="0.25">
      <c r="A517" s="2"/>
      <c r="B517" s="2"/>
      <c r="C517" s="2"/>
      <c r="D517" s="2"/>
      <c r="E517" s="2"/>
      <c r="F517" s="2"/>
      <c r="G517" s="2"/>
      <c r="H517" s="2"/>
      <c r="I517" s="2"/>
    </row>
    <row r="518" spans="1:9" x14ac:dyDescent="0.25">
      <c r="A518" s="2"/>
      <c r="B518" s="2"/>
      <c r="C518" s="2"/>
      <c r="D518" s="2"/>
      <c r="E518" s="2"/>
      <c r="F518" s="2"/>
      <c r="G518" s="2"/>
      <c r="H518" s="2"/>
      <c r="I518" s="2"/>
    </row>
    <row r="519" spans="1:9" x14ac:dyDescent="0.25">
      <c r="A519" s="2"/>
      <c r="B519" s="2"/>
      <c r="C519" s="2"/>
      <c r="D519" s="2"/>
      <c r="E519" s="2"/>
      <c r="F519" s="2"/>
      <c r="G519" s="2"/>
      <c r="H519" s="2"/>
      <c r="I519" s="2"/>
    </row>
    <row r="520" spans="1:9" x14ac:dyDescent="0.25">
      <c r="A520" s="2"/>
      <c r="B520" s="2"/>
      <c r="C520" s="2"/>
      <c r="D520" s="2"/>
      <c r="E520" s="2"/>
      <c r="F520" s="2"/>
      <c r="G520" s="2"/>
      <c r="H520" s="2"/>
      <c r="I520" s="2"/>
    </row>
    <row r="521" spans="1:9" x14ac:dyDescent="0.25">
      <c r="A521" s="2"/>
      <c r="B521" s="2"/>
      <c r="C521" s="2"/>
      <c r="D521" s="2"/>
      <c r="E521" s="2"/>
      <c r="F521" s="2"/>
      <c r="G521" s="2"/>
      <c r="H521" s="2"/>
      <c r="I521" s="2"/>
    </row>
    <row r="522" spans="1:9" x14ac:dyDescent="0.25">
      <c r="A522" s="2"/>
      <c r="B522" s="2"/>
      <c r="C522" s="2"/>
      <c r="D522" s="2"/>
      <c r="E522" s="2"/>
      <c r="F522" s="2"/>
      <c r="G522" s="2"/>
      <c r="H522" s="2"/>
      <c r="I522" s="2"/>
    </row>
    <row r="523" spans="1:9" x14ac:dyDescent="0.25">
      <c r="A523" s="2"/>
      <c r="B523" s="2"/>
      <c r="C523" s="2"/>
      <c r="D523" s="2"/>
      <c r="E523" s="2"/>
      <c r="F523" s="2"/>
      <c r="G523" s="2"/>
      <c r="H523" s="2"/>
      <c r="I523" s="2"/>
    </row>
    <row r="524" spans="1:9" x14ac:dyDescent="0.25">
      <c r="A524" s="2"/>
      <c r="B524" s="2"/>
      <c r="C524" s="2"/>
      <c r="D524" s="2"/>
      <c r="E524" s="2"/>
      <c r="F524" s="2"/>
      <c r="G524" s="2"/>
      <c r="H524" s="2"/>
      <c r="I524" s="2"/>
    </row>
    <row r="525" spans="1:9" x14ac:dyDescent="0.25">
      <c r="A525" s="2"/>
      <c r="B525" s="2"/>
      <c r="C525" s="2"/>
      <c r="D525" s="2"/>
      <c r="E525" s="2"/>
      <c r="F525" s="2"/>
      <c r="G525" s="2"/>
      <c r="H525" s="2"/>
      <c r="I525" s="2"/>
    </row>
    <row r="526" spans="1:9" x14ac:dyDescent="0.25">
      <c r="A526" s="2"/>
      <c r="B526" s="2"/>
      <c r="C526" s="2"/>
      <c r="D526" s="2"/>
      <c r="E526" s="2"/>
      <c r="F526" s="2"/>
      <c r="G526" s="2"/>
      <c r="H526" s="2"/>
      <c r="I526" s="2"/>
    </row>
    <row r="527" spans="1:9" x14ac:dyDescent="0.25">
      <c r="A527" s="2"/>
      <c r="B527" s="2"/>
      <c r="C527" s="2"/>
      <c r="D527" s="2"/>
      <c r="E527" s="2"/>
      <c r="F527" s="2"/>
      <c r="G527" s="2"/>
      <c r="H527" s="2"/>
      <c r="I527" s="2"/>
    </row>
    <row r="528" spans="1:9" x14ac:dyDescent="0.25">
      <c r="A528" s="2"/>
      <c r="B528" s="2"/>
      <c r="C528" s="2"/>
      <c r="D528" s="2"/>
      <c r="E528" s="2"/>
      <c r="F528" s="2"/>
      <c r="G528" s="2"/>
      <c r="H528" s="2"/>
      <c r="I528" s="2"/>
    </row>
    <row r="529" spans="1:9" x14ac:dyDescent="0.25">
      <c r="A529" s="2"/>
      <c r="B529" s="2"/>
      <c r="C529" s="2"/>
      <c r="D529" s="2"/>
      <c r="E529" s="2"/>
      <c r="F529" s="2"/>
      <c r="G529" s="2"/>
      <c r="H529" s="2"/>
      <c r="I529" s="2"/>
    </row>
    <row r="530" spans="1:9" x14ac:dyDescent="0.25">
      <c r="A530" s="2"/>
      <c r="B530" s="2"/>
      <c r="C530" s="2"/>
      <c r="D530" s="2"/>
      <c r="E530" s="2"/>
      <c r="F530" s="2"/>
      <c r="G530" s="2"/>
      <c r="H530" s="2"/>
      <c r="I530" s="2"/>
    </row>
    <row r="531" spans="1:9" x14ac:dyDescent="0.25">
      <c r="A531" s="2"/>
      <c r="B531" s="2"/>
      <c r="C531" s="2"/>
      <c r="D531" s="2"/>
      <c r="E531" s="2"/>
      <c r="F531" s="2"/>
      <c r="G531" s="2"/>
      <c r="H531" s="2"/>
      <c r="I531" s="2"/>
    </row>
    <row r="532" spans="1:9" x14ac:dyDescent="0.25">
      <c r="A532" s="2"/>
      <c r="B532" s="2"/>
      <c r="C532" s="2"/>
      <c r="D532" s="2"/>
      <c r="E532" s="2"/>
      <c r="F532" s="2"/>
      <c r="G532" s="2"/>
      <c r="H532" s="2"/>
      <c r="I532" s="2"/>
    </row>
    <row r="533" spans="1:9" x14ac:dyDescent="0.25">
      <c r="A533" s="2"/>
      <c r="B533" s="2"/>
      <c r="C533" s="2"/>
      <c r="D533" s="2"/>
      <c r="E533" s="2"/>
      <c r="F533" s="2"/>
      <c r="G533" s="2"/>
      <c r="H533" s="2"/>
      <c r="I533" s="2"/>
    </row>
    <row r="534" spans="1:9" x14ac:dyDescent="0.25">
      <c r="A534" s="2"/>
      <c r="B534" s="2"/>
      <c r="C534" s="2"/>
      <c r="D534" s="2"/>
      <c r="E534" s="2"/>
      <c r="F534" s="2"/>
      <c r="G534" s="2"/>
      <c r="H534" s="2"/>
      <c r="I534" s="2"/>
    </row>
    <row r="535" spans="1:9" x14ac:dyDescent="0.25">
      <c r="A535" s="2"/>
      <c r="B535" s="2"/>
      <c r="C535" s="2"/>
      <c r="D535" s="2"/>
      <c r="E535" s="2"/>
      <c r="F535" s="2"/>
      <c r="G535" s="2"/>
      <c r="H535" s="2"/>
      <c r="I535" s="2"/>
    </row>
    <row r="536" spans="1:9" x14ac:dyDescent="0.25">
      <c r="A536" s="2"/>
      <c r="B536" s="2"/>
      <c r="C536" s="2"/>
      <c r="D536" s="2"/>
      <c r="E536" s="2"/>
      <c r="F536" s="2"/>
      <c r="G536" s="2"/>
      <c r="H536" s="2"/>
      <c r="I536" s="2"/>
    </row>
    <row r="537" spans="1:9" x14ac:dyDescent="0.25">
      <c r="A537" s="2"/>
      <c r="B537" s="2"/>
      <c r="C537" s="2"/>
      <c r="D537" s="2"/>
      <c r="E537" s="2"/>
      <c r="F537" s="2"/>
      <c r="G537" s="2"/>
      <c r="H537" s="2"/>
      <c r="I537" s="2"/>
    </row>
    <row r="538" spans="1:9" x14ac:dyDescent="0.25">
      <c r="A538" s="2"/>
      <c r="B538" s="2"/>
      <c r="C538" s="2"/>
      <c r="D538" s="2"/>
      <c r="E538" s="2"/>
      <c r="F538" s="2"/>
      <c r="G538" s="2"/>
      <c r="H538" s="2"/>
      <c r="I538" s="2"/>
    </row>
    <row r="539" spans="1:9" x14ac:dyDescent="0.25">
      <c r="A539" s="2"/>
      <c r="B539" s="2"/>
      <c r="C539" s="2"/>
      <c r="D539" s="2"/>
      <c r="E539" s="2"/>
      <c r="F539" s="2"/>
      <c r="G539" s="2"/>
      <c r="H539" s="2"/>
      <c r="I539" s="2"/>
    </row>
    <row r="540" spans="1:9" x14ac:dyDescent="0.25">
      <c r="A540" s="2"/>
      <c r="B540" s="2"/>
      <c r="C540" s="2"/>
      <c r="D540" s="2"/>
      <c r="E540" s="2"/>
      <c r="F540" s="2"/>
      <c r="G540" s="2"/>
      <c r="H540" s="2"/>
      <c r="I540" s="2"/>
    </row>
    <row r="541" spans="1:9" x14ac:dyDescent="0.25">
      <c r="A541" s="2"/>
      <c r="B541" s="2"/>
      <c r="C541" s="2"/>
      <c r="D541" s="2"/>
      <c r="E541" s="2"/>
      <c r="F541" s="2"/>
      <c r="G541" s="2"/>
      <c r="H541" s="2"/>
      <c r="I541" s="2"/>
    </row>
    <row r="542" spans="1:9" x14ac:dyDescent="0.25">
      <c r="A542" s="2"/>
      <c r="B542" s="2"/>
      <c r="C542" s="2"/>
      <c r="D542" s="2"/>
      <c r="E542" s="2"/>
      <c r="F542" s="2"/>
      <c r="G542" s="2"/>
      <c r="H542" s="2"/>
      <c r="I542" s="2"/>
    </row>
    <row r="543" spans="1:9" x14ac:dyDescent="0.25">
      <c r="A543" s="2"/>
      <c r="B543" s="2"/>
      <c r="C543" s="2"/>
      <c r="D543" s="2"/>
      <c r="E543" s="2"/>
      <c r="F543" s="2"/>
      <c r="G543" s="2"/>
      <c r="H543" s="2"/>
      <c r="I543" s="2"/>
    </row>
    <row r="544" spans="1:9" x14ac:dyDescent="0.25">
      <c r="A544" s="2"/>
      <c r="B544" s="2"/>
      <c r="C544" s="2"/>
      <c r="D544" s="2"/>
      <c r="E544" s="2"/>
      <c r="F544" s="2"/>
      <c r="G544" s="2"/>
      <c r="H544" s="2"/>
      <c r="I544" s="2"/>
    </row>
    <row r="545" spans="1:9" x14ac:dyDescent="0.25">
      <c r="A545" s="2"/>
      <c r="B545" s="2"/>
      <c r="C545" s="2"/>
      <c r="D545" s="2"/>
      <c r="E545" s="2"/>
      <c r="F545" s="2"/>
      <c r="G545" s="2"/>
      <c r="H545" s="2"/>
      <c r="I545" s="2"/>
    </row>
    <row r="546" spans="1:9" x14ac:dyDescent="0.25">
      <c r="A546" s="2"/>
      <c r="B546" s="2"/>
      <c r="C546" s="2"/>
      <c r="D546" s="2"/>
      <c r="E546" s="2"/>
      <c r="F546" s="2"/>
      <c r="G546" s="2"/>
      <c r="H546" s="2"/>
      <c r="I546" s="2"/>
    </row>
    <row r="547" spans="1:9" x14ac:dyDescent="0.25">
      <c r="A547" s="2"/>
      <c r="B547" s="2"/>
      <c r="C547" s="2"/>
      <c r="D547" s="2"/>
      <c r="E547" s="2"/>
      <c r="F547" s="2"/>
      <c r="G547" s="2"/>
      <c r="H547" s="2"/>
      <c r="I547" s="2"/>
    </row>
    <row r="548" spans="1:9" x14ac:dyDescent="0.25">
      <c r="A548" s="2"/>
      <c r="B548" s="2"/>
      <c r="C548" s="2"/>
      <c r="D548" s="2"/>
      <c r="E548" s="2"/>
      <c r="F548" s="2"/>
      <c r="G548" s="2"/>
      <c r="H548" s="2"/>
      <c r="I548" s="2"/>
    </row>
    <row r="549" spans="1:9" x14ac:dyDescent="0.25">
      <c r="A549" s="2"/>
      <c r="B549" s="2"/>
      <c r="C549" s="2"/>
      <c r="D549" s="2"/>
      <c r="E549" s="2"/>
      <c r="F549" s="2"/>
      <c r="G549" s="2"/>
      <c r="H549" s="2"/>
      <c r="I549" s="2"/>
    </row>
    <row r="550" spans="1:9" x14ac:dyDescent="0.25">
      <c r="A550" s="2"/>
      <c r="B550" s="2"/>
      <c r="C550" s="2"/>
      <c r="D550" s="2"/>
      <c r="E550" s="2"/>
      <c r="F550" s="2"/>
      <c r="G550" s="2"/>
      <c r="H550" s="2"/>
      <c r="I550" s="2"/>
    </row>
    <row r="551" spans="1:9" x14ac:dyDescent="0.25">
      <c r="A551" s="2"/>
      <c r="B551" s="2"/>
      <c r="C551" s="2"/>
      <c r="D551" s="2"/>
      <c r="E551" s="2"/>
      <c r="F551" s="2"/>
      <c r="G551" s="2"/>
      <c r="H551" s="2"/>
      <c r="I551" s="2"/>
    </row>
    <row r="552" spans="1:9" x14ac:dyDescent="0.25">
      <c r="A552" s="2"/>
      <c r="B552" s="2"/>
      <c r="C552" s="2"/>
      <c r="D552" s="2"/>
      <c r="E552" s="2"/>
      <c r="F552" s="2"/>
      <c r="G552" s="2"/>
      <c r="H552" s="2"/>
      <c r="I552" s="2"/>
    </row>
    <row r="553" spans="1:9" x14ac:dyDescent="0.25">
      <c r="A553" s="2"/>
      <c r="B553" s="2"/>
      <c r="C553" s="2"/>
      <c r="D553" s="2"/>
      <c r="E553" s="2"/>
      <c r="F553" s="2"/>
      <c r="G553" s="2"/>
      <c r="H553" s="2"/>
      <c r="I553" s="2"/>
    </row>
    <row r="554" spans="1:9" x14ac:dyDescent="0.25">
      <c r="A554" s="2"/>
      <c r="B554" s="2"/>
      <c r="C554" s="2"/>
      <c r="D554" s="2"/>
      <c r="E554" s="2"/>
      <c r="F554" s="2"/>
      <c r="G554" s="2"/>
      <c r="H554" s="2"/>
      <c r="I554" s="2"/>
    </row>
    <row r="555" spans="1:9" x14ac:dyDescent="0.25">
      <c r="A555" s="2"/>
      <c r="B555" s="2"/>
      <c r="C555" s="2"/>
      <c r="D555" s="2"/>
      <c r="E555" s="2"/>
      <c r="F555" s="2"/>
      <c r="G555" s="2"/>
      <c r="H555" s="2"/>
      <c r="I555" s="2"/>
    </row>
    <row r="556" spans="1:9" x14ac:dyDescent="0.25">
      <c r="A556" s="2"/>
      <c r="B556" s="2"/>
      <c r="C556" s="2"/>
      <c r="D556" s="2"/>
      <c r="E556" s="2"/>
      <c r="F556" s="2"/>
      <c r="G556" s="2"/>
      <c r="H556" s="2"/>
      <c r="I556" s="2"/>
    </row>
    <row r="557" spans="1:9" x14ac:dyDescent="0.25">
      <c r="A557" s="2"/>
      <c r="B557" s="2"/>
      <c r="C557" s="2"/>
      <c r="D557" s="2"/>
      <c r="E557" s="2"/>
      <c r="F557" s="2"/>
      <c r="G557" s="2"/>
      <c r="H557" s="2"/>
      <c r="I557" s="2"/>
    </row>
    <row r="558" spans="1:9" x14ac:dyDescent="0.25">
      <c r="A558" s="2"/>
      <c r="B558" s="2"/>
      <c r="C558" s="2"/>
      <c r="D558" s="2"/>
      <c r="E558" s="2"/>
      <c r="F558" s="2"/>
      <c r="G558" s="2"/>
      <c r="H558" s="2"/>
      <c r="I558" s="2"/>
    </row>
    <row r="559" spans="1:9" x14ac:dyDescent="0.25">
      <c r="A559" s="2"/>
      <c r="B559" s="2"/>
      <c r="C559" s="2"/>
      <c r="D559" s="2"/>
      <c r="E559" s="2"/>
      <c r="F559" s="2"/>
      <c r="G559" s="2"/>
      <c r="H559" s="2"/>
      <c r="I559" s="2"/>
    </row>
    <row r="560" spans="1:9" x14ac:dyDescent="0.25">
      <c r="A560" s="2"/>
      <c r="B560" s="2"/>
      <c r="C560" s="2"/>
      <c r="D560" s="2"/>
      <c r="E560" s="2"/>
      <c r="F560" s="2"/>
      <c r="G560" s="2"/>
      <c r="H560" s="2"/>
      <c r="I560" s="2"/>
    </row>
    <row r="561" spans="1:9" x14ac:dyDescent="0.25">
      <c r="A561" s="2"/>
      <c r="B561" s="2"/>
      <c r="C561" s="2"/>
      <c r="D561" s="2"/>
      <c r="E561" s="2"/>
      <c r="F561" s="2"/>
      <c r="G561" s="2"/>
      <c r="H561" s="2"/>
      <c r="I561" s="2"/>
    </row>
    <row r="562" spans="1:9" x14ac:dyDescent="0.25">
      <c r="A562" s="2"/>
      <c r="B562" s="2"/>
      <c r="C562" s="2"/>
      <c r="D562" s="2"/>
      <c r="E562" s="2"/>
      <c r="F562" s="2"/>
      <c r="G562" s="2"/>
      <c r="H562" s="2"/>
      <c r="I562" s="2"/>
    </row>
    <row r="563" spans="1:9" x14ac:dyDescent="0.25">
      <c r="A563" s="2"/>
      <c r="B563" s="2"/>
      <c r="C563" s="2"/>
      <c r="D563" s="2"/>
      <c r="E563" s="2"/>
      <c r="F563" s="2"/>
      <c r="G563" s="2"/>
      <c r="H563" s="2"/>
      <c r="I563" s="2"/>
    </row>
    <row r="564" spans="1:9" x14ac:dyDescent="0.25">
      <c r="A564" s="2"/>
      <c r="B564" s="2"/>
      <c r="C564" s="2"/>
      <c r="D564" s="2"/>
      <c r="E564" s="2"/>
      <c r="F564" s="2"/>
      <c r="G564" s="2"/>
      <c r="H564" s="2"/>
      <c r="I564" s="2"/>
    </row>
    <row r="565" spans="1:9" x14ac:dyDescent="0.25">
      <c r="A565" s="2"/>
      <c r="B565" s="2"/>
      <c r="C565" s="2"/>
      <c r="D565" s="2"/>
      <c r="E565" s="2"/>
      <c r="F565" s="2"/>
      <c r="G565" s="2"/>
      <c r="H565" s="2"/>
      <c r="I565" s="2"/>
    </row>
    <row r="566" spans="1:9" x14ac:dyDescent="0.25">
      <c r="A566" s="2"/>
      <c r="B566" s="2"/>
      <c r="C566" s="2"/>
      <c r="D566" s="2"/>
      <c r="E566" s="2"/>
      <c r="F566" s="2"/>
      <c r="G566" s="2"/>
      <c r="H566" s="2"/>
      <c r="I566" s="2"/>
    </row>
    <row r="567" spans="1:9" x14ac:dyDescent="0.25">
      <c r="A567" s="2"/>
      <c r="B567" s="2"/>
      <c r="C567" s="2"/>
      <c r="D567" s="2"/>
      <c r="E567" s="2"/>
      <c r="F567" s="2"/>
      <c r="G567" s="2"/>
      <c r="H567" s="2"/>
      <c r="I567" s="2"/>
    </row>
    <row r="568" spans="1:9" x14ac:dyDescent="0.25">
      <c r="A568" s="2"/>
      <c r="B568" s="2"/>
      <c r="C568" s="2"/>
      <c r="D568" s="2"/>
      <c r="E568" s="2"/>
      <c r="F568" s="2"/>
      <c r="G568" s="2"/>
      <c r="H568" s="2"/>
      <c r="I568" s="2"/>
    </row>
    <row r="569" spans="1:9" x14ac:dyDescent="0.25">
      <c r="A569" s="2"/>
      <c r="B569" s="2"/>
      <c r="C569" s="2"/>
      <c r="D569" s="2"/>
      <c r="E569" s="2"/>
      <c r="F569" s="2"/>
      <c r="G569" s="2"/>
      <c r="H569" s="2"/>
      <c r="I569" s="2"/>
    </row>
    <row r="570" spans="1:9" x14ac:dyDescent="0.25">
      <c r="A570" s="2"/>
      <c r="B570" s="2"/>
      <c r="C570" s="2"/>
      <c r="D570" s="2"/>
      <c r="E570" s="2"/>
      <c r="F570" s="2"/>
      <c r="G570" s="2"/>
      <c r="H570" s="2"/>
      <c r="I570" s="2"/>
    </row>
    <row r="571" spans="1:9" x14ac:dyDescent="0.25">
      <c r="A571" s="2"/>
      <c r="B571" s="2"/>
      <c r="C571" s="2"/>
      <c r="D571" s="2"/>
      <c r="E571" s="2"/>
      <c r="F571" s="2"/>
      <c r="G571" s="2"/>
      <c r="H571" s="2"/>
      <c r="I571" s="2"/>
    </row>
    <row r="572" spans="1:9" x14ac:dyDescent="0.25">
      <c r="A572" s="2"/>
      <c r="B572" s="2"/>
      <c r="C572" s="2"/>
      <c r="D572" s="2"/>
      <c r="E572" s="2"/>
      <c r="F572" s="2"/>
      <c r="G572" s="2"/>
      <c r="H572" s="2"/>
      <c r="I572" s="2"/>
    </row>
    <row r="573" spans="1:9" x14ac:dyDescent="0.25">
      <c r="A573" s="2"/>
      <c r="B573" s="2"/>
      <c r="C573" s="2"/>
      <c r="D573" s="2"/>
      <c r="E573" s="2"/>
      <c r="F573" s="2"/>
      <c r="G573" s="2"/>
      <c r="H573" s="2"/>
      <c r="I573" s="2"/>
    </row>
    <row r="574" spans="1:9" x14ac:dyDescent="0.25">
      <c r="A574" s="2"/>
      <c r="B574" s="2"/>
      <c r="C574" s="2"/>
      <c r="D574" s="2"/>
      <c r="E574" s="2"/>
      <c r="F574" s="2"/>
      <c r="G574" s="2"/>
      <c r="H574" s="2"/>
      <c r="I574" s="2"/>
    </row>
    <row r="575" spans="1:9" x14ac:dyDescent="0.25">
      <c r="A575" s="2"/>
      <c r="B575" s="2"/>
      <c r="C575" s="2"/>
      <c r="D575" s="2"/>
      <c r="E575" s="2"/>
      <c r="F575" s="2"/>
      <c r="G575" s="2"/>
      <c r="H575" s="2"/>
      <c r="I575" s="2"/>
    </row>
    <row r="576" spans="1:9" x14ac:dyDescent="0.25">
      <c r="A576" s="2"/>
      <c r="B576" s="2"/>
      <c r="C576" s="2"/>
      <c r="D576" s="2"/>
      <c r="E576" s="2"/>
      <c r="F576" s="2"/>
      <c r="G576" s="2"/>
      <c r="H576" s="2"/>
      <c r="I576" s="2"/>
    </row>
    <row r="577" spans="1:9" x14ac:dyDescent="0.25">
      <c r="A577" s="2"/>
      <c r="B577" s="2"/>
      <c r="C577" s="2"/>
      <c r="D577" s="2"/>
      <c r="E577" s="2"/>
      <c r="F577" s="2"/>
      <c r="G577" s="2"/>
      <c r="H577" s="2"/>
      <c r="I577" s="2"/>
    </row>
    <row r="578" spans="1:9" x14ac:dyDescent="0.25">
      <c r="A578" s="2"/>
      <c r="B578" s="2"/>
      <c r="C578" s="2"/>
      <c r="D578" s="2"/>
      <c r="E578" s="2"/>
      <c r="F578" s="2"/>
      <c r="G578" s="2"/>
      <c r="H578" s="2"/>
      <c r="I578" s="2"/>
    </row>
    <row r="579" spans="1:9" x14ac:dyDescent="0.25">
      <c r="A579" s="2"/>
      <c r="B579" s="2"/>
      <c r="C579" s="2"/>
      <c r="D579" s="2"/>
      <c r="E579" s="2"/>
      <c r="F579" s="2"/>
      <c r="G579" s="2"/>
      <c r="H579" s="2"/>
      <c r="I579" s="2"/>
    </row>
    <row r="580" spans="1:9" x14ac:dyDescent="0.25">
      <c r="A580" s="2"/>
      <c r="B580" s="2"/>
      <c r="C580" s="2"/>
      <c r="D580" s="2"/>
      <c r="E580" s="2"/>
      <c r="F580" s="2"/>
      <c r="G580" s="2"/>
      <c r="H580" s="2"/>
      <c r="I580" s="2"/>
    </row>
    <row r="581" spans="1:9" x14ac:dyDescent="0.25">
      <c r="A581" s="2"/>
      <c r="B581" s="2"/>
      <c r="C581" s="2"/>
      <c r="D581" s="2"/>
      <c r="E581" s="2"/>
      <c r="F581" s="2"/>
      <c r="G581" s="2"/>
      <c r="H581" s="2"/>
      <c r="I581" s="2"/>
    </row>
    <row r="582" spans="1:9" x14ac:dyDescent="0.25">
      <c r="A582" s="2"/>
      <c r="B582" s="2"/>
      <c r="C582" s="2"/>
      <c r="D582" s="2"/>
      <c r="E582" s="2"/>
      <c r="F582" s="2"/>
      <c r="G582" s="2"/>
      <c r="H582" s="2"/>
      <c r="I582" s="2"/>
    </row>
    <row r="583" spans="1:9" x14ac:dyDescent="0.25">
      <c r="A583" s="2"/>
      <c r="B583" s="2"/>
      <c r="C583" s="2"/>
      <c r="D583" s="2"/>
      <c r="E583" s="2"/>
      <c r="F583" s="2"/>
      <c r="G583" s="2"/>
      <c r="H583" s="2"/>
      <c r="I583" s="2"/>
    </row>
    <row r="584" spans="1:9" x14ac:dyDescent="0.25">
      <c r="A584" s="2"/>
      <c r="B584" s="2"/>
      <c r="C584" s="2"/>
      <c r="D584" s="2"/>
      <c r="E584" s="2"/>
      <c r="F584" s="2"/>
      <c r="G584" s="2"/>
      <c r="H584" s="2"/>
      <c r="I584" s="2"/>
    </row>
    <row r="585" spans="1:9" x14ac:dyDescent="0.25">
      <c r="A585" s="2"/>
      <c r="B585" s="2"/>
      <c r="C585" s="2"/>
      <c r="D585" s="2"/>
      <c r="E585" s="2"/>
      <c r="F585" s="2"/>
      <c r="G585" s="2"/>
      <c r="H585" s="2"/>
      <c r="I585" s="2"/>
    </row>
    <row r="586" spans="1:9" x14ac:dyDescent="0.25">
      <c r="A586" s="2"/>
      <c r="B586" s="2"/>
      <c r="C586" s="2"/>
      <c r="D586" s="2"/>
      <c r="E586" s="2"/>
      <c r="F586" s="2"/>
      <c r="G586" s="2"/>
      <c r="H586" s="2"/>
      <c r="I586" s="2"/>
    </row>
    <row r="587" spans="1:9" x14ac:dyDescent="0.25">
      <c r="A587" s="2"/>
      <c r="B587" s="2"/>
      <c r="C587" s="2"/>
      <c r="D587" s="2"/>
      <c r="E587" s="2"/>
      <c r="F587" s="2"/>
      <c r="G587" s="2"/>
      <c r="H587" s="2"/>
      <c r="I587" s="2"/>
    </row>
    <row r="588" spans="1:9" x14ac:dyDescent="0.25">
      <c r="A588" s="2"/>
      <c r="B588" s="2"/>
      <c r="C588" s="2"/>
      <c r="D588" s="2"/>
      <c r="E588" s="2"/>
      <c r="F588" s="2"/>
      <c r="G588" s="2"/>
      <c r="H588" s="2"/>
      <c r="I588" s="2"/>
    </row>
    <row r="589" spans="1:9" x14ac:dyDescent="0.25">
      <c r="A589" s="2"/>
      <c r="B589" s="2"/>
      <c r="C589" s="2"/>
      <c r="D589" s="2"/>
      <c r="E589" s="2"/>
      <c r="F589" s="2"/>
      <c r="G589" s="2"/>
      <c r="H589" s="2"/>
      <c r="I589" s="2"/>
    </row>
    <row r="590" spans="1:9" x14ac:dyDescent="0.25">
      <c r="A590" s="2"/>
      <c r="B590" s="2"/>
      <c r="C590" s="2"/>
      <c r="D590" s="2"/>
      <c r="E590" s="2"/>
      <c r="F590" s="2"/>
      <c r="G590" s="2"/>
      <c r="H590" s="2"/>
      <c r="I590" s="2"/>
    </row>
    <row r="591" spans="1:9" x14ac:dyDescent="0.25">
      <c r="A591" s="2"/>
      <c r="B591" s="2"/>
      <c r="C591" s="2"/>
      <c r="D591" s="2"/>
      <c r="E591" s="2"/>
      <c r="F591" s="2"/>
      <c r="G591" s="2"/>
      <c r="H591" s="2"/>
      <c r="I591" s="2"/>
    </row>
    <row r="592" spans="1:9" x14ac:dyDescent="0.25">
      <c r="A592" s="2"/>
      <c r="B592" s="2"/>
      <c r="C592" s="2"/>
      <c r="D592" s="2"/>
      <c r="E592" s="2"/>
      <c r="F592" s="2"/>
      <c r="G592" s="2"/>
      <c r="H592" s="2"/>
      <c r="I592" s="2"/>
    </row>
    <row r="593" spans="1:9" x14ac:dyDescent="0.25">
      <c r="A593" s="2"/>
      <c r="B593" s="2"/>
      <c r="C593" s="2"/>
      <c r="D593" s="2"/>
      <c r="E593" s="2"/>
      <c r="F593" s="2"/>
      <c r="G593" s="2"/>
      <c r="H593" s="2"/>
      <c r="I593" s="2"/>
    </row>
    <row r="594" spans="1:9" x14ac:dyDescent="0.25">
      <c r="A594" s="2"/>
      <c r="B594" s="2"/>
      <c r="C594" s="2"/>
      <c r="D594" s="2"/>
      <c r="E594" s="2"/>
      <c r="F594" s="2"/>
      <c r="G594" s="2"/>
      <c r="H594" s="2"/>
      <c r="I594" s="2"/>
    </row>
    <row r="595" spans="1:9" x14ac:dyDescent="0.25">
      <c r="A595" s="2"/>
      <c r="B595" s="2"/>
      <c r="C595" s="2"/>
      <c r="D595" s="2"/>
      <c r="E595" s="2"/>
      <c r="F595" s="2"/>
      <c r="G595" s="2"/>
      <c r="H595" s="2"/>
      <c r="I595" s="2"/>
    </row>
    <row r="596" spans="1:9" x14ac:dyDescent="0.25">
      <c r="A596" s="2"/>
      <c r="B596" s="2"/>
      <c r="C596" s="2"/>
      <c r="D596" s="2"/>
      <c r="E596" s="2"/>
      <c r="F596" s="2"/>
      <c r="G596" s="2"/>
      <c r="H596" s="2"/>
      <c r="I596" s="2"/>
    </row>
    <row r="597" spans="1:9" x14ac:dyDescent="0.25">
      <c r="A597" s="2"/>
      <c r="B597" s="2"/>
      <c r="C597" s="2"/>
      <c r="D597" s="2"/>
      <c r="E597" s="2"/>
      <c r="F597" s="2"/>
      <c r="G597" s="2"/>
      <c r="H597" s="2"/>
      <c r="I597" s="2"/>
    </row>
    <row r="598" spans="1:9" x14ac:dyDescent="0.25">
      <c r="A598" s="2"/>
      <c r="B598" s="2"/>
      <c r="C598" s="2"/>
      <c r="D598" s="2"/>
      <c r="E598" s="2"/>
      <c r="F598" s="2"/>
      <c r="G598" s="2"/>
      <c r="H598" s="2"/>
      <c r="I598" s="2"/>
    </row>
    <row r="599" spans="1:9" x14ac:dyDescent="0.25">
      <c r="A599" s="2"/>
      <c r="B599" s="2"/>
      <c r="C599" s="2"/>
      <c r="D599" s="2"/>
      <c r="E599" s="2"/>
      <c r="F599" s="2"/>
      <c r="G599" s="2"/>
      <c r="H599" s="2"/>
      <c r="I599" s="2"/>
    </row>
    <row r="600" spans="1:9" x14ac:dyDescent="0.25">
      <c r="A600" s="2"/>
      <c r="B600" s="2"/>
      <c r="C600" s="2"/>
      <c r="D600" s="2"/>
      <c r="E600" s="2"/>
      <c r="F600" s="2"/>
      <c r="G600" s="2"/>
      <c r="H600" s="2"/>
      <c r="I600" s="2"/>
    </row>
    <row r="601" spans="1:9" x14ac:dyDescent="0.25">
      <c r="A601" s="2"/>
      <c r="B601" s="2"/>
      <c r="C601" s="2"/>
      <c r="D601" s="2"/>
      <c r="E601" s="2"/>
      <c r="F601" s="2"/>
      <c r="G601" s="2"/>
      <c r="H601" s="2"/>
      <c r="I601" s="2"/>
    </row>
    <row r="602" spans="1:9" x14ac:dyDescent="0.25">
      <c r="A602" s="2"/>
      <c r="B602" s="2"/>
      <c r="C602" s="2"/>
      <c r="D602" s="2"/>
      <c r="E602" s="2"/>
      <c r="F602" s="2"/>
      <c r="G602" s="2"/>
      <c r="H602" s="2"/>
      <c r="I602" s="2"/>
    </row>
    <row r="603" spans="1:9" x14ac:dyDescent="0.25">
      <c r="A603" s="2"/>
      <c r="B603" s="2"/>
      <c r="C603" s="2"/>
      <c r="D603" s="2"/>
      <c r="E603" s="2"/>
      <c r="F603" s="2"/>
      <c r="G603" s="2"/>
      <c r="H603" s="2"/>
      <c r="I603" s="2"/>
    </row>
    <row r="604" spans="1:9" x14ac:dyDescent="0.25">
      <c r="A604" s="2"/>
      <c r="B604" s="2"/>
      <c r="C604" s="2"/>
      <c r="D604" s="2"/>
      <c r="E604" s="2"/>
      <c r="F604" s="2"/>
      <c r="G604" s="2"/>
      <c r="H604" s="2"/>
      <c r="I604" s="2"/>
    </row>
    <row r="605" spans="1:9" x14ac:dyDescent="0.25">
      <c r="A605" s="2"/>
      <c r="B605" s="2"/>
      <c r="C605" s="2"/>
      <c r="D605" s="2"/>
      <c r="E605" s="2"/>
      <c r="F605" s="2"/>
      <c r="G605" s="2"/>
      <c r="H605" s="2"/>
      <c r="I605" s="2"/>
    </row>
    <row r="606" spans="1:9" x14ac:dyDescent="0.25">
      <c r="A606" s="2"/>
      <c r="B606" s="2"/>
      <c r="C606" s="2"/>
      <c r="D606" s="2"/>
      <c r="E606" s="2"/>
      <c r="F606" s="2"/>
      <c r="G606" s="2"/>
      <c r="H606" s="2"/>
      <c r="I606" s="2"/>
    </row>
    <row r="607" spans="1:9" x14ac:dyDescent="0.25">
      <c r="A607" s="2"/>
      <c r="B607" s="2"/>
      <c r="C607" s="2"/>
      <c r="D607" s="2"/>
      <c r="E607" s="2"/>
      <c r="F607" s="2"/>
      <c r="G607" s="2"/>
      <c r="H607" s="2"/>
      <c r="I607" s="2"/>
    </row>
    <row r="608" spans="1:9" x14ac:dyDescent="0.25">
      <c r="A608" s="2"/>
      <c r="B608" s="2"/>
      <c r="C608" s="2"/>
      <c r="D608" s="2"/>
      <c r="E608" s="2"/>
      <c r="F608" s="2"/>
      <c r="G608" s="2"/>
      <c r="H608" s="2"/>
      <c r="I608" s="2"/>
    </row>
    <row r="609" spans="1:9" x14ac:dyDescent="0.25">
      <c r="A609" s="2"/>
      <c r="B609" s="2"/>
      <c r="C609" s="2"/>
      <c r="D609" s="2"/>
      <c r="E609" s="2"/>
      <c r="F609" s="2"/>
      <c r="G609" s="2"/>
      <c r="H609" s="2"/>
      <c r="I609" s="2"/>
    </row>
    <row r="610" spans="1:9" x14ac:dyDescent="0.25">
      <c r="A610" s="2"/>
      <c r="B610" s="2"/>
      <c r="C610" s="2"/>
      <c r="D610" s="2"/>
      <c r="E610" s="2"/>
      <c r="F610" s="2"/>
      <c r="G610" s="2"/>
      <c r="H610" s="2"/>
      <c r="I610" s="2"/>
    </row>
    <row r="611" spans="1:9" x14ac:dyDescent="0.25">
      <c r="A611" s="2"/>
      <c r="B611" s="2"/>
      <c r="C611" s="2"/>
      <c r="D611" s="2"/>
      <c r="E611" s="2"/>
      <c r="F611" s="2"/>
      <c r="G611" s="2"/>
      <c r="H611" s="2"/>
      <c r="I611" s="2"/>
    </row>
    <row r="612" spans="1:9" x14ac:dyDescent="0.25">
      <c r="A612" s="2"/>
      <c r="B612" s="2"/>
      <c r="C612" s="2"/>
      <c r="D612" s="2"/>
      <c r="E612" s="2"/>
      <c r="F612" s="2"/>
      <c r="G612" s="2"/>
      <c r="H612" s="2"/>
      <c r="I612" s="2"/>
    </row>
    <row r="613" spans="1:9" x14ac:dyDescent="0.25">
      <c r="A613" s="2"/>
      <c r="B613" s="2"/>
      <c r="C613" s="2"/>
      <c r="D613" s="2"/>
      <c r="E613" s="2"/>
      <c r="F613" s="2"/>
      <c r="G613" s="2"/>
      <c r="H613" s="2"/>
      <c r="I613" s="2"/>
    </row>
    <row r="614" spans="1:9" x14ac:dyDescent="0.25">
      <c r="A614" s="2"/>
      <c r="B614" s="2"/>
      <c r="C614" s="2"/>
      <c r="D614" s="2"/>
      <c r="E614" s="2"/>
      <c r="F614" s="2"/>
      <c r="G614" s="2"/>
      <c r="H614" s="2"/>
      <c r="I614" s="2"/>
    </row>
    <row r="615" spans="1:9" x14ac:dyDescent="0.25">
      <c r="A615" s="2"/>
      <c r="B615" s="2"/>
      <c r="C615" s="2"/>
      <c r="D615" s="2"/>
      <c r="E615" s="2"/>
      <c r="F615" s="2"/>
      <c r="G615" s="2"/>
      <c r="H615" s="2"/>
      <c r="I615" s="2"/>
    </row>
    <row r="616" spans="1:9" x14ac:dyDescent="0.25">
      <c r="A616" s="2"/>
      <c r="B616" s="2"/>
      <c r="C616" s="2"/>
      <c r="D616" s="2"/>
      <c r="E616" s="2"/>
      <c r="F616" s="2"/>
      <c r="G616" s="2"/>
      <c r="H616" s="2"/>
      <c r="I616" s="2"/>
    </row>
    <row r="617" spans="1:9" x14ac:dyDescent="0.25">
      <c r="A617" s="2"/>
      <c r="B617" s="2"/>
      <c r="C617" s="2"/>
      <c r="D617" s="2"/>
      <c r="E617" s="2"/>
      <c r="F617" s="2"/>
      <c r="G617" s="2"/>
      <c r="H617" s="2"/>
      <c r="I617" s="2"/>
    </row>
    <row r="618" spans="1:9" x14ac:dyDescent="0.25">
      <c r="A618" s="2"/>
      <c r="B618" s="2"/>
      <c r="C618" s="2"/>
      <c r="D618" s="2"/>
      <c r="E618" s="2"/>
      <c r="F618" s="2"/>
      <c r="G618" s="2"/>
      <c r="H618" s="2"/>
      <c r="I618" s="2"/>
    </row>
    <row r="619" spans="1:9" x14ac:dyDescent="0.25">
      <c r="A619" s="2"/>
      <c r="B619" s="2"/>
      <c r="C619" s="2"/>
      <c r="D619" s="2"/>
      <c r="E619" s="2"/>
      <c r="F619" s="2"/>
      <c r="G619" s="2"/>
      <c r="H619" s="2"/>
      <c r="I619" s="2"/>
    </row>
    <row r="620" spans="1:9" x14ac:dyDescent="0.25">
      <c r="A620" s="2"/>
      <c r="B620" s="2"/>
      <c r="C620" s="2"/>
      <c r="D620" s="2"/>
      <c r="E620" s="2"/>
      <c r="F620" s="2"/>
      <c r="G620" s="2"/>
      <c r="H620" s="2"/>
      <c r="I620" s="2"/>
    </row>
    <row r="621" spans="1:9" x14ac:dyDescent="0.25">
      <c r="A621" s="2"/>
      <c r="B621" s="2"/>
      <c r="C621" s="2"/>
      <c r="D621" s="2"/>
      <c r="E621" s="2"/>
      <c r="F621" s="2"/>
      <c r="G621" s="2"/>
      <c r="H621" s="2"/>
      <c r="I621" s="2"/>
    </row>
    <row r="622" spans="1:9" x14ac:dyDescent="0.25">
      <c r="A622" s="2"/>
      <c r="B622" s="2"/>
      <c r="C622" s="2"/>
      <c r="D622" s="2"/>
      <c r="E622" s="2"/>
      <c r="F622" s="2"/>
      <c r="G622" s="2"/>
      <c r="H622" s="2"/>
      <c r="I622" s="2"/>
    </row>
    <row r="623" spans="1:9" x14ac:dyDescent="0.25">
      <c r="A623" s="2"/>
      <c r="B623" s="2"/>
      <c r="C623" s="2"/>
      <c r="D623" s="2"/>
      <c r="E623" s="2"/>
      <c r="F623" s="2"/>
      <c r="G623" s="2"/>
      <c r="H623" s="2"/>
      <c r="I623" s="2"/>
    </row>
    <row r="624" spans="1:9" x14ac:dyDescent="0.25">
      <c r="A624" s="2"/>
      <c r="B624" s="2"/>
      <c r="C624" s="2"/>
      <c r="D624" s="2"/>
      <c r="E624" s="2"/>
      <c r="F624" s="2"/>
      <c r="G624" s="2"/>
      <c r="H624" s="2"/>
      <c r="I624" s="2"/>
    </row>
    <row r="625" spans="1:9" x14ac:dyDescent="0.25">
      <c r="A625" s="2"/>
      <c r="B625" s="2"/>
      <c r="C625" s="2"/>
      <c r="D625" s="2"/>
      <c r="E625" s="2"/>
      <c r="F625" s="2"/>
      <c r="G625" s="2"/>
      <c r="H625" s="2"/>
      <c r="I625" s="2"/>
    </row>
    <row r="626" spans="1:9" x14ac:dyDescent="0.25">
      <c r="A626" s="2"/>
      <c r="B626" s="2"/>
      <c r="C626" s="2"/>
      <c r="D626" s="2"/>
      <c r="E626" s="2"/>
      <c r="F626" s="2"/>
      <c r="G626" s="2"/>
      <c r="H626" s="2"/>
      <c r="I626" s="2"/>
    </row>
    <row r="627" spans="1:9" x14ac:dyDescent="0.25">
      <c r="A627" s="2"/>
      <c r="B627" s="2"/>
      <c r="C627" s="2"/>
      <c r="D627" s="2"/>
      <c r="E627" s="2"/>
      <c r="F627" s="2"/>
      <c r="G627" s="2"/>
      <c r="H627" s="2"/>
      <c r="I627" s="2"/>
    </row>
    <row r="628" spans="1:9" x14ac:dyDescent="0.25">
      <c r="A628" s="2"/>
      <c r="B628" s="2"/>
      <c r="C628" s="2"/>
      <c r="D628" s="2"/>
      <c r="E628" s="2"/>
      <c r="F628" s="2"/>
      <c r="G628" s="2"/>
      <c r="H628" s="2"/>
      <c r="I628" s="2"/>
    </row>
    <row r="629" spans="1:9" x14ac:dyDescent="0.25">
      <c r="A629" s="2"/>
      <c r="B629" s="2"/>
      <c r="C629" s="2"/>
      <c r="D629" s="2"/>
      <c r="E629" s="2"/>
      <c r="F629" s="2"/>
      <c r="G629" s="2"/>
      <c r="H629" s="2"/>
      <c r="I629" s="2"/>
    </row>
    <row r="630" spans="1:9" x14ac:dyDescent="0.25">
      <c r="A630" s="2"/>
      <c r="B630" s="2"/>
      <c r="C630" s="2"/>
      <c r="D630" s="2"/>
      <c r="E630" s="2"/>
      <c r="F630" s="2"/>
      <c r="G630" s="2"/>
      <c r="H630" s="2"/>
      <c r="I630" s="2"/>
    </row>
    <row r="631" spans="1:9" x14ac:dyDescent="0.25">
      <c r="A631" s="2"/>
      <c r="B631" s="2"/>
      <c r="C631" s="2"/>
      <c r="D631" s="2"/>
      <c r="E631" s="2"/>
      <c r="F631" s="2"/>
      <c r="G631" s="2"/>
      <c r="H631" s="2"/>
      <c r="I631" s="2"/>
    </row>
    <row r="632" spans="1:9" x14ac:dyDescent="0.25">
      <c r="A632" s="2"/>
      <c r="B632" s="2"/>
      <c r="C632" s="2"/>
      <c r="D632" s="2"/>
      <c r="E632" s="2"/>
      <c r="F632" s="2"/>
      <c r="G632" s="2"/>
      <c r="H632" s="2"/>
      <c r="I632" s="2"/>
    </row>
    <row r="633" spans="1:9" x14ac:dyDescent="0.25">
      <c r="A633" s="2"/>
      <c r="B633" s="2"/>
      <c r="C633" s="2"/>
      <c r="D633" s="2"/>
      <c r="E633" s="2"/>
      <c r="F633" s="2"/>
      <c r="G633" s="2"/>
      <c r="H633" s="2"/>
      <c r="I633" s="2"/>
    </row>
    <row r="634" spans="1:9" x14ac:dyDescent="0.25">
      <c r="A634" s="2"/>
      <c r="B634" s="2"/>
      <c r="C634" s="2"/>
      <c r="D634" s="2"/>
      <c r="E634" s="2"/>
      <c r="F634" s="2"/>
      <c r="G634" s="2"/>
      <c r="H634" s="2"/>
      <c r="I634" s="2"/>
    </row>
    <row r="635" spans="1:9" x14ac:dyDescent="0.25">
      <c r="A635" s="2"/>
      <c r="B635" s="2"/>
      <c r="C635" s="2"/>
      <c r="D635" s="2"/>
      <c r="E635" s="2"/>
      <c r="F635" s="2"/>
      <c r="G635" s="2"/>
      <c r="H635" s="2"/>
      <c r="I635" s="2"/>
    </row>
    <row r="636" spans="1:9" x14ac:dyDescent="0.25">
      <c r="A636" s="2"/>
      <c r="B636" s="2"/>
      <c r="C636" s="2"/>
      <c r="D636" s="2"/>
      <c r="E636" s="2"/>
      <c r="F636" s="2"/>
      <c r="G636" s="2"/>
      <c r="H636" s="2"/>
      <c r="I636" s="2"/>
    </row>
    <row r="637" spans="1:9" x14ac:dyDescent="0.25">
      <c r="A637" s="2"/>
      <c r="B637" s="2"/>
      <c r="C637" s="2"/>
      <c r="D637" s="2"/>
      <c r="E637" s="2"/>
      <c r="F637" s="2"/>
      <c r="G637" s="2"/>
      <c r="H637" s="2"/>
      <c r="I637" s="2"/>
    </row>
    <row r="638" spans="1:9" x14ac:dyDescent="0.25">
      <c r="A638" s="2"/>
      <c r="B638" s="2"/>
      <c r="C638" s="2"/>
      <c r="D638" s="2"/>
      <c r="E638" s="2"/>
      <c r="F638" s="2"/>
      <c r="G638" s="2"/>
      <c r="H638" s="2"/>
      <c r="I638" s="2"/>
    </row>
    <row r="639" spans="1:9" x14ac:dyDescent="0.25">
      <c r="A639" s="2"/>
      <c r="B639" s="2"/>
      <c r="C639" s="2"/>
      <c r="D639" s="2"/>
      <c r="E639" s="2"/>
      <c r="F639" s="2"/>
      <c r="G639" s="2"/>
      <c r="H639" s="2"/>
      <c r="I639" s="2"/>
    </row>
    <row r="640" spans="1:9" x14ac:dyDescent="0.25">
      <c r="A640" s="2"/>
      <c r="B640" s="2"/>
      <c r="C640" s="2"/>
      <c r="D640" s="2"/>
      <c r="E640" s="2"/>
      <c r="F640" s="2"/>
      <c r="G640" s="2"/>
      <c r="H640" s="2"/>
      <c r="I640" s="2"/>
    </row>
    <row r="641" spans="1:9" x14ac:dyDescent="0.25">
      <c r="A641" s="2"/>
      <c r="B641" s="2"/>
      <c r="C641" s="2"/>
      <c r="D641" s="2"/>
      <c r="E641" s="2"/>
      <c r="F641" s="2"/>
      <c r="G641" s="2"/>
      <c r="H641" s="2"/>
      <c r="I641" s="2"/>
    </row>
    <row r="642" spans="1:9" x14ac:dyDescent="0.25">
      <c r="A642" s="2"/>
      <c r="B642" s="2"/>
      <c r="C642" s="2"/>
      <c r="D642" s="2"/>
      <c r="E642" s="2"/>
      <c r="F642" s="2"/>
      <c r="G642" s="2"/>
      <c r="H642" s="2"/>
      <c r="I642" s="2"/>
    </row>
    <row r="643" spans="1:9" x14ac:dyDescent="0.25">
      <c r="A643" s="2"/>
      <c r="B643" s="2"/>
      <c r="C643" s="2"/>
      <c r="D643" s="2"/>
      <c r="E643" s="2"/>
      <c r="F643" s="2"/>
      <c r="G643" s="2"/>
      <c r="H643" s="2"/>
      <c r="I643" s="2"/>
    </row>
    <row r="644" spans="1:9" x14ac:dyDescent="0.25">
      <c r="A644" s="2"/>
      <c r="B644" s="2"/>
      <c r="C644" s="2"/>
      <c r="D644" s="2"/>
      <c r="E644" s="2"/>
      <c r="F644" s="2"/>
      <c r="G644" s="2"/>
      <c r="H644" s="2"/>
      <c r="I644" s="2"/>
    </row>
    <row r="645" spans="1:9" x14ac:dyDescent="0.25">
      <c r="A645" s="2"/>
      <c r="B645" s="2"/>
      <c r="C645" s="2"/>
      <c r="D645" s="2"/>
      <c r="E645" s="2"/>
      <c r="F645" s="2"/>
      <c r="G645" s="2"/>
      <c r="H645" s="2"/>
      <c r="I645" s="2"/>
    </row>
    <row r="646" spans="1:9" x14ac:dyDescent="0.25">
      <c r="A646" s="2"/>
      <c r="B646" s="2"/>
      <c r="C646" s="2"/>
      <c r="D646" s="2"/>
      <c r="E646" s="2"/>
      <c r="F646" s="2"/>
      <c r="G646" s="2"/>
      <c r="H646" s="2"/>
      <c r="I646" s="2"/>
    </row>
    <row r="647" spans="1:9" x14ac:dyDescent="0.25">
      <c r="A647" s="2"/>
      <c r="B647" s="2"/>
      <c r="C647" s="2"/>
      <c r="D647" s="2"/>
      <c r="E647" s="2"/>
      <c r="F647" s="2"/>
      <c r="G647" s="2"/>
      <c r="H647" s="2"/>
      <c r="I647" s="2"/>
    </row>
    <row r="648" spans="1:9" x14ac:dyDescent="0.25">
      <c r="A648" s="2"/>
      <c r="B648" s="2"/>
      <c r="C648" s="2"/>
      <c r="D648" s="2"/>
      <c r="E648" s="2"/>
      <c r="F648" s="2"/>
      <c r="G648" s="2"/>
      <c r="H648" s="2"/>
      <c r="I648" s="2"/>
    </row>
    <row r="649" spans="1:9" x14ac:dyDescent="0.25">
      <c r="A649" s="2"/>
      <c r="B649" s="2"/>
      <c r="C649" s="2"/>
      <c r="D649" s="2"/>
      <c r="E649" s="2"/>
      <c r="F649" s="2"/>
      <c r="G649" s="2"/>
      <c r="H649" s="2"/>
      <c r="I649" s="2"/>
    </row>
    <row r="650" spans="1:9" x14ac:dyDescent="0.25">
      <c r="A650" s="2"/>
      <c r="B650" s="2"/>
      <c r="C650" s="2"/>
      <c r="D650" s="2"/>
      <c r="E650" s="2"/>
      <c r="F650" s="2"/>
      <c r="G650" s="2"/>
      <c r="H650" s="2"/>
      <c r="I650" s="2"/>
    </row>
    <row r="651" spans="1:9" x14ac:dyDescent="0.25">
      <c r="A651" s="2"/>
      <c r="B651" s="2"/>
      <c r="C651" s="2"/>
      <c r="D651" s="2"/>
      <c r="E651" s="2"/>
      <c r="F651" s="2"/>
      <c r="G651" s="2"/>
      <c r="H651" s="2"/>
      <c r="I651" s="2"/>
    </row>
    <row r="652" spans="1:9" x14ac:dyDescent="0.25">
      <c r="A652" s="2"/>
      <c r="B652" s="2"/>
      <c r="C652" s="2"/>
      <c r="D652" s="2"/>
      <c r="E652" s="2"/>
      <c r="F652" s="2"/>
      <c r="G652" s="2"/>
      <c r="H652" s="2"/>
      <c r="I652" s="2"/>
    </row>
    <row r="653" spans="1:9" x14ac:dyDescent="0.25">
      <c r="A653" s="2"/>
      <c r="B653" s="2"/>
      <c r="C653" s="2"/>
      <c r="D653" s="2"/>
      <c r="E653" s="2"/>
      <c r="F653" s="2"/>
      <c r="G653" s="2"/>
      <c r="H653" s="2"/>
      <c r="I653" s="2"/>
    </row>
    <row r="654" spans="1:9" x14ac:dyDescent="0.25">
      <c r="A654" s="2"/>
      <c r="B654" s="2"/>
      <c r="C654" s="2"/>
      <c r="D654" s="2"/>
      <c r="E654" s="2"/>
      <c r="F654" s="2"/>
      <c r="G654" s="2"/>
      <c r="H654" s="2"/>
      <c r="I654" s="2"/>
    </row>
    <row r="655" spans="1:9" x14ac:dyDescent="0.25">
      <c r="A655" s="2"/>
      <c r="B655" s="2"/>
      <c r="C655" s="2"/>
      <c r="D655" s="2"/>
      <c r="E655" s="2"/>
      <c r="F655" s="2"/>
      <c r="G655" s="2"/>
      <c r="H655" s="2"/>
      <c r="I655" s="2"/>
    </row>
    <row r="656" spans="1:9" x14ac:dyDescent="0.25">
      <c r="A656" s="2"/>
      <c r="B656" s="2"/>
      <c r="C656" s="2"/>
      <c r="D656" s="2"/>
      <c r="E656" s="2"/>
      <c r="F656" s="2"/>
      <c r="G656" s="2"/>
      <c r="H656" s="2"/>
      <c r="I656" s="2"/>
    </row>
    <row r="657" spans="1:9" x14ac:dyDescent="0.25">
      <c r="A657" s="2"/>
      <c r="B657" s="2"/>
      <c r="C657" s="2"/>
      <c r="D657" s="2"/>
      <c r="E657" s="2"/>
      <c r="F657" s="2"/>
      <c r="G657" s="2"/>
      <c r="H657" s="2"/>
      <c r="I657" s="2"/>
    </row>
    <row r="658" spans="1:9" x14ac:dyDescent="0.25">
      <c r="A658" s="2"/>
      <c r="B658" s="2"/>
      <c r="C658" s="2"/>
      <c r="D658" s="2"/>
      <c r="E658" s="2"/>
      <c r="F658" s="2"/>
      <c r="G658" s="2"/>
      <c r="H658" s="2"/>
      <c r="I658" s="2"/>
    </row>
    <row r="659" spans="1:9" x14ac:dyDescent="0.25">
      <c r="A659" s="2"/>
      <c r="B659" s="2"/>
      <c r="C659" s="2"/>
      <c r="D659" s="2"/>
      <c r="E659" s="2"/>
      <c r="F659" s="2"/>
      <c r="G659" s="2"/>
      <c r="H659" s="2"/>
      <c r="I659" s="2"/>
    </row>
    <row r="660" spans="1:9" x14ac:dyDescent="0.25">
      <c r="A660" s="2"/>
      <c r="B660" s="2"/>
      <c r="C660" s="2"/>
      <c r="D660" s="2"/>
      <c r="E660" s="2"/>
      <c r="F660" s="2"/>
      <c r="G660" s="2"/>
      <c r="H660" s="2"/>
      <c r="I660" s="2"/>
    </row>
    <row r="661" spans="1:9" x14ac:dyDescent="0.25">
      <c r="A661" s="2"/>
      <c r="B661" s="2"/>
      <c r="C661" s="2"/>
      <c r="D661" s="2"/>
      <c r="E661" s="2"/>
      <c r="F661" s="2"/>
      <c r="G661" s="2"/>
      <c r="H661" s="2"/>
      <c r="I661" s="2"/>
    </row>
    <row r="662" spans="1:9" x14ac:dyDescent="0.25">
      <c r="A662" s="2"/>
      <c r="B662" s="2"/>
      <c r="C662" s="2"/>
      <c r="D662" s="2"/>
      <c r="E662" s="2"/>
      <c r="F662" s="2"/>
      <c r="G662" s="2"/>
      <c r="H662" s="2"/>
      <c r="I662" s="2"/>
    </row>
    <row r="663" spans="1:9" x14ac:dyDescent="0.25">
      <c r="A663" s="2"/>
      <c r="B663" s="2"/>
      <c r="C663" s="2"/>
      <c r="D663" s="2"/>
      <c r="E663" s="2"/>
      <c r="F663" s="2"/>
      <c r="G663" s="2"/>
      <c r="H663" s="2"/>
      <c r="I663" s="2"/>
    </row>
    <row r="664" spans="1:9" x14ac:dyDescent="0.25">
      <c r="A664" s="2"/>
      <c r="B664" s="2"/>
      <c r="C664" s="2"/>
      <c r="D664" s="2"/>
      <c r="E664" s="2"/>
      <c r="F664" s="2"/>
      <c r="G664" s="2"/>
      <c r="H664" s="2"/>
      <c r="I664" s="2"/>
    </row>
    <row r="665" spans="1:9" x14ac:dyDescent="0.25">
      <c r="A665" s="2"/>
      <c r="B665" s="2"/>
      <c r="C665" s="2"/>
      <c r="D665" s="2"/>
      <c r="E665" s="2"/>
      <c r="F665" s="2"/>
      <c r="G665" s="2"/>
      <c r="H665" s="2"/>
      <c r="I665" s="2"/>
    </row>
    <row r="666" spans="1:9" x14ac:dyDescent="0.25">
      <c r="A666" s="2"/>
      <c r="B666" s="2"/>
      <c r="C666" s="2"/>
      <c r="D666" s="2"/>
      <c r="E666" s="2"/>
      <c r="F666" s="2"/>
      <c r="G666" s="2"/>
      <c r="H666" s="2"/>
      <c r="I666" s="2"/>
    </row>
    <row r="667" spans="1:9" x14ac:dyDescent="0.25">
      <c r="A667" s="2"/>
      <c r="B667" s="2"/>
      <c r="C667" s="2"/>
      <c r="D667" s="2"/>
      <c r="E667" s="2"/>
      <c r="F667" s="2"/>
      <c r="G667" s="2"/>
      <c r="H667" s="2"/>
      <c r="I667" s="2"/>
    </row>
    <row r="668" spans="1:9" x14ac:dyDescent="0.25">
      <c r="A668" s="2"/>
      <c r="B668" s="2"/>
      <c r="C668" s="2"/>
      <c r="D668" s="2"/>
      <c r="E668" s="2"/>
      <c r="F668" s="2"/>
      <c r="G668" s="2"/>
      <c r="H668" s="2"/>
      <c r="I668" s="2"/>
    </row>
    <row r="669" spans="1:9" x14ac:dyDescent="0.25">
      <c r="A669" s="2"/>
      <c r="B669" s="2"/>
      <c r="C669" s="2"/>
      <c r="D669" s="2"/>
      <c r="E669" s="2"/>
      <c r="F669" s="2"/>
      <c r="G669" s="2"/>
      <c r="H669" s="2"/>
      <c r="I669" s="2"/>
    </row>
    <row r="670" spans="1:9" x14ac:dyDescent="0.25">
      <c r="A670" s="2"/>
      <c r="B670" s="2"/>
      <c r="C670" s="2"/>
      <c r="D670" s="2"/>
      <c r="E670" s="2"/>
      <c r="F670" s="2"/>
      <c r="G670" s="2"/>
      <c r="H670" s="2"/>
      <c r="I670" s="2"/>
    </row>
    <row r="671" spans="1:9" x14ac:dyDescent="0.25">
      <c r="A671" s="2"/>
      <c r="B671" s="2"/>
      <c r="C671" s="2"/>
      <c r="D671" s="2"/>
      <c r="E671" s="2"/>
      <c r="F671" s="2"/>
      <c r="G671" s="2"/>
      <c r="H671" s="2"/>
      <c r="I671" s="2"/>
    </row>
    <row r="672" spans="1:9" x14ac:dyDescent="0.25">
      <c r="A672" s="2"/>
      <c r="B672" s="2"/>
      <c r="C672" s="2"/>
      <c r="D672" s="2"/>
      <c r="E672" s="2"/>
      <c r="F672" s="2"/>
      <c r="G672" s="2"/>
      <c r="H672" s="2"/>
      <c r="I672" s="2"/>
    </row>
    <row r="673" spans="1:9" x14ac:dyDescent="0.25">
      <c r="A673" s="2"/>
      <c r="B673" s="2"/>
      <c r="C673" s="2"/>
      <c r="D673" s="2"/>
      <c r="E673" s="2"/>
      <c r="F673" s="2"/>
      <c r="G673" s="2"/>
      <c r="H673" s="2"/>
      <c r="I673" s="2"/>
    </row>
    <row r="674" spans="1:9" x14ac:dyDescent="0.25">
      <c r="A674" s="2"/>
      <c r="B674" s="2"/>
      <c r="C674" s="2"/>
      <c r="D674" s="2"/>
      <c r="E674" s="2"/>
      <c r="F674" s="2"/>
      <c r="G674" s="2"/>
      <c r="H674" s="2"/>
      <c r="I674" s="2"/>
    </row>
    <row r="675" spans="1:9" x14ac:dyDescent="0.25">
      <c r="A675" s="2"/>
      <c r="B675" s="2"/>
      <c r="C675" s="2"/>
      <c r="D675" s="2"/>
      <c r="E675" s="2"/>
      <c r="F675" s="2"/>
      <c r="G675" s="2"/>
      <c r="H675" s="2"/>
      <c r="I675" s="2"/>
    </row>
    <row r="676" spans="1:9" x14ac:dyDescent="0.25">
      <c r="A676" s="2"/>
      <c r="B676" s="2"/>
      <c r="C676" s="2"/>
      <c r="D676" s="2"/>
      <c r="E676" s="2"/>
      <c r="F676" s="2"/>
      <c r="G676" s="2"/>
      <c r="H676" s="2"/>
      <c r="I676" s="2"/>
    </row>
    <row r="677" spans="1:9" x14ac:dyDescent="0.25">
      <c r="A677" s="2"/>
      <c r="B677" s="2"/>
      <c r="C677" s="2"/>
      <c r="D677" s="2"/>
      <c r="E677" s="2"/>
      <c r="F677" s="2"/>
      <c r="G677" s="2"/>
      <c r="H677" s="2"/>
      <c r="I677" s="2"/>
    </row>
    <row r="678" spans="1:9" x14ac:dyDescent="0.25">
      <c r="A678" s="2"/>
      <c r="B678" s="2"/>
      <c r="C678" s="2"/>
      <c r="D678" s="2"/>
      <c r="E678" s="2"/>
      <c r="F678" s="2"/>
      <c r="G678" s="2"/>
      <c r="H678" s="2"/>
      <c r="I678" s="2"/>
    </row>
    <row r="679" spans="1:9" x14ac:dyDescent="0.25">
      <c r="A679" s="2"/>
      <c r="B679" s="2"/>
      <c r="C679" s="2"/>
      <c r="D679" s="2"/>
      <c r="E679" s="2"/>
      <c r="F679" s="2"/>
      <c r="G679" s="2"/>
      <c r="H679" s="2"/>
      <c r="I679" s="2"/>
    </row>
    <row r="680" spans="1:9" x14ac:dyDescent="0.25">
      <c r="A680" s="2"/>
      <c r="B680" s="2"/>
      <c r="C680" s="2"/>
      <c r="D680" s="2"/>
      <c r="E680" s="2"/>
      <c r="F680" s="2"/>
      <c r="G680" s="2"/>
      <c r="H680" s="2"/>
      <c r="I680" s="2"/>
    </row>
    <row r="681" spans="1:9" x14ac:dyDescent="0.25">
      <c r="A681" s="2"/>
      <c r="B681" s="2"/>
      <c r="C681" s="2"/>
      <c r="D681" s="2"/>
      <c r="E681" s="2"/>
      <c r="F681" s="2"/>
      <c r="G681" s="2"/>
      <c r="H681" s="2"/>
      <c r="I681" s="2"/>
    </row>
    <row r="682" spans="1:9" x14ac:dyDescent="0.25">
      <c r="A682" s="2"/>
      <c r="B682" s="2"/>
      <c r="C682" s="2"/>
      <c r="D682" s="2"/>
      <c r="E682" s="2"/>
      <c r="F682" s="2"/>
      <c r="G682" s="2"/>
      <c r="H682" s="2"/>
      <c r="I682" s="2"/>
    </row>
    <row r="683" spans="1:9" x14ac:dyDescent="0.25">
      <c r="A683" s="2"/>
      <c r="B683" s="2"/>
      <c r="C683" s="2"/>
      <c r="D683" s="2"/>
      <c r="E683" s="2"/>
      <c r="F683" s="2"/>
      <c r="G683" s="2"/>
      <c r="H683" s="2"/>
      <c r="I683" s="2"/>
    </row>
    <row r="684" spans="1:9" x14ac:dyDescent="0.25">
      <c r="A684" s="2"/>
      <c r="B684" s="2"/>
      <c r="C684" s="2"/>
      <c r="D684" s="2"/>
      <c r="E684" s="2"/>
      <c r="F684" s="2"/>
      <c r="G684" s="2"/>
      <c r="H684" s="2"/>
      <c r="I684" s="2"/>
    </row>
    <row r="685" spans="1:9" x14ac:dyDescent="0.25">
      <c r="A685" s="2"/>
      <c r="B685" s="2"/>
      <c r="C685" s="2"/>
      <c r="D685" s="2"/>
      <c r="E685" s="2"/>
      <c r="F685" s="2"/>
      <c r="G685" s="2"/>
      <c r="H685" s="2"/>
      <c r="I685" s="2"/>
    </row>
    <row r="686" spans="1:9" x14ac:dyDescent="0.25">
      <c r="A686" s="2"/>
      <c r="B686" s="2"/>
      <c r="C686" s="2"/>
      <c r="D686" s="2"/>
      <c r="E686" s="2"/>
      <c r="F686" s="2"/>
      <c r="G686" s="2"/>
      <c r="H686" s="2"/>
      <c r="I686" s="2"/>
    </row>
    <row r="687" spans="1:9" x14ac:dyDescent="0.25">
      <c r="A687" s="2"/>
      <c r="B687" s="2"/>
      <c r="C687" s="2"/>
      <c r="D687" s="2"/>
      <c r="E687" s="2"/>
      <c r="F687" s="2"/>
      <c r="G687" s="2"/>
      <c r="H687" s="2"/>
      <c r="I687" s="2"/>
    </row>
    <row r="688" spans="1:9" x14ac:dyDescent="0.25">
      <c r="A688" s="2"/>
      <c r="B688" s="2"/>
      <c r="C688" s="2"/>
      <c r="D688" s="2"/>
      <c r="E688" s="2"/>
      <c r="F688" s="2"/>
      <c r="G688" s="2"/>
      <c r="H688" s="2"/>
      <c r="I688" s="2"/>
    </row>
    <row r="689" spans="1:9" x14ac:dyDescent="0.25">
      <c r="A689" s="2"/>
      <c r="B689" s="2"/>
      <c r="C689" s="2"/>
      <c r="D689" s="2"/>
      <c r="E689" s="2"/>
      <c r="F689" s="2"/>
      <c r="G689" s="2"/>
      <c r="H689" s="2"/>
      <c r="I689" s="2"/>
    </row>
    <row r="690" spans="1:9" x14ac:dyDescent="0.25">
      <c r="A690" s="2"/>
      <c r="B690" s="2"/>
      <c r="C690" s="2"/>
      <c r="D690" s="2"/>
      <c r="E690" s="2"/>
      <c r="F690" s="2"/>
      <c r="G690" s="2"/>
      <c r="H690" s="2"/>
      <c r="I690" s="2"/>
    </row>
    <row r="691" spans="1:9" x14ac:dyDescent="0.25">
      <c r="A691" s="2"/>
      <c r="B691" s="2"/>
      <c r="C691" s="2"/>
      <c r="D691" s="2"/>
      <c r="E691" s="2"/>
      <c r="F691" s="2"/>
      <c r="G691" s="2"/>
      <c r="H691" s="2"/>
      <c r="I691" s="2"/>
    </row>
    <row r="692" spans="1:9" x14ac:dyDescent="0.25">
      <c r="A692" s="2"/>
      <c r="B692" s="2"/>
      <c r="C692" s="2"/>
      <c r="D692" s="2"/>
      <c r="E692" s="2"/>
      <c r="F692" s="2"/>
      <c r="G692" s="2"/>
      <c r="H692" s="2"/>
      <c r="I692" s="2"/>
    </row>
    <row r="693" spans="1:9" x14ac:dyDescent="0.25">
      <c r="A693" s="2"/>
      <c r="B693" s="2"/>
      <c r="C693" s="2"/>
      <c r="D693" s="2"/>
      <c r="E693" s="2"/>
      <c r="F693" s="2"/>
      <c r="G693" s="2"/>
      <c r="H693" s="2"/>
      <c r="I693" s="2"/>
    </row>
    <row r="694" spans="1:9" x14ac:dyDescent="0.25">
      <c r="A694" s="2"/>
      <c r="B694" s="2"/>
      <c r="C694" s="2"/>
      <c r="D694" s="2"/>
      <c r="E694" s="2"/>
      <c r="F694" s="2"/>
      <c r="G694" s="2"/>
      <c r="H694" s="2"/>
      <c r="I694" s="2"/>
    </row>
    <row r="695" spans="1:9" x14ac:dyDescent="0.25">
      <c r="A695" s="2"/>
      <c r="B695" s="2"/>
      <c r="C695" s="2"/>
      <c r="D695" s="2"/>
      <c r="E695" s="2"/>
      <c r="F695" s="2"/>
      <c r="G695" s="2"/>
      <c r="H695" s="2"/>
      <c r="I695" s="2"/>
    </row>
    <row r="696" spans="1:9" x14ac:dyDescent="0.25">
      <c r="A696" s="2"/>
      <c r="B696" s="2"/>
      <c r="C696" s="2"/>
      <c r="D696" s="2"/>
      <c r="E696" s="2"/>
      <c r="F696" s="2"/>
      <c r="G696" s="2"/>
      <c r="H696" s="2"/>
      <c r="I696" s="2"/>
    </row>
    <row r="697" spans="1:9" x14ac:dyDescent="0.25">
      <c r="A697" s="2"/>
      <c r="B697" s="2"/>
      <c r="C697" s="2"/>
      <c r="D697" s="2"/>
      <c r="E697" s="2"/>
      <c r="F697" s="2"/>
      <c r="G697" s="2"/>
      <c r="H697" s="2"/>
      <c r="I697" s="2"/>
    </row>
    <row r="698" spans="1:9" x14ac:dyDescent="0.25">
      <c r="A698" s="2"/>
      <c r="B698" s="2"/>
      <c r="C698" s="2"/>
      <c r="D698" s="2"/>
      <c r="E698" s="2"/>
      <c r="F698" s="2"/>
      <c r="G698" s="2"/>
      <c r="H698" s="2"/>
      <c r="I698" s="2"/>
    </row>
    <row r="699" spans="1:9" x14ac:dyDescent="0.25">
      <c r="A699" s="2"/>
      <c r="B699" s="2"/>
      <c r="C699" s="2"/>
      <c r="D699" s="2"/>
      <c r="E699" s="2"/>
      <c r="F699" s="2"/>
      <c r="G699" s="2"/>
      <c r="H699" s="2"/>
      <c r="I699" s="2"/>
    </row>
    <row r="700" spans="1:9" x14ac:dyDescent="0.25">
      <c r="A700" s="2"/>
      <c r="B700" s="2"/>
      <c r="C700" s="2"/>
      <c r="D700" s="2"/>
      <c r="E700" s="2"/>
      <c r="F700" s="2"/>
      <c r="G700" s="2"/>
      <c r="H700" s="2"/>
      <c r="I700" s="2"/>
    </row>
    <row r="701" spans="1:9" x14ac:dyDescent="0.25">
      <c r="A701" s="2"/>
      <c r="B701" s="2"/>
      <c r="C701" s="2"/>
      <c r="D701" s="2"/>
      <c r="E701" s="2"/>
      <c r="F701" s="2"/>
      <c r="G701" s="2"/>
      <c r="H701" s="2"/>
      <c r="I701" s="2"/>
    </row>
    <row r="702" spans="1:9" x14ac:dyDescent="0.25">
      <c r="A702" s="2"/>
      <c r="B702" s="2"/>
      <c r="C702" s="2"/>
      <c r="D702" s="2"/>
      <c r="E702" s="2"/>
      <c r="F702" s="2"/>
      <c r="G702" s="2"/>
      <c r="H702" s="2"/>
      <c r="I702" s="2"/>
    </row>
    <row r="703" spans="1:9" x14ac:dyDescent="0.25">
      <c r="A703" s="2"/>
      <c r="B703" s="2"/>
      <c r="C703" s="2"/>
      <c r="D703" s="2"/>
      <c r="E703" s="2"/>
      <c r="F703" s="2"/>
      <c r="G703" s="2"/>
      <c r="H703" s="2"/>
      <c r="I703" s="2"/>
    </row>
    <row r="704" spans="1:9" x14ac:dyDescent="0.25">
      <c r="A704" s="2"/>
      <c r="B704" s="2"/>
      <c r="C704" s="2"/>
      <c r="D704" s="2"/>
      <c r="E704" s="2"/>
      <c r="F704" s="2"/>
      <c r="G704" s="2"/>
      <c r="H704" s="2"/>
      <c r="I704" s="2"/>
    </row>
    <row r="705" spans="1:9" x14ac:dyDescent="0.25">
      <c r="A705" s="2"/>
      <c r="B705" s="2"/>
      <c r="C705" s="2"/>
      <c r="D705" s="2"/>
      <c r="E705" s="2"/>
      <c r="F705" s="2"/>
      <c r="G705" s="2"/>
      <c r="H705" s="2"/>
      <c r="I705" s="2"/>
    </row>
    <row r="706" spans="1:9" x14ac:dyDescent="0.25">
      <c r="A706" s="2"/>
      <c r="B706" s="2"/>
      <c r="C706" s="2"/>
      <c r="D706" s="2"/>
      <c r="E706" s="2"/>
      <c r="F706" s="2"/>
      <c r="G706" s="2"/>
      <c r="H706" s="2"/>
      <c r="I706" s="2"/>
    </row>
    <row r="707" spans="1:9" x14ac:dyDescent="0.25">
      <c r="A707" s="2"/>
      <c r="B707" s="2"/>
      <c r="C707" s="2"/>
      <c r="D707" s="2"/>
      <c r="E707" s="2"/>
      <c r="F707" s="2"/>
      <c r="G707" s="2"/>
      <c r="H707" s="2"/>
      <c r="I707" s="2"/>
    </row>
    <row r="708" spans="1:9" x14ac:dyDescent="0.25">
      <c r="A708" s="2"/>
      <c r="B708" s="2"/>
      <c r="C708" s="2"/>
      <c r="D708" s="2"/>
      <c r="E708" s="2"/>
      <c r="F708" s="2"/>
      <c r="G708" s="2"/>
      <c r="H708" s="2"/>
      <c r="I708" s="2"/>
    </row>
    <row r="709" spans="1:9" x14ac:dyDescent="0.25">
      <c r="A709" s="2"/>
      <c r="B709" s="2"/>
      <c r="C709" s="2"/>
      <c r="D709" s="2"/>
      <c r="E709" s="2"/>
      <c r="F709" s="2"/>
      <c r="G709" s="2"/>
      <c r="H709" s="2"/>
      <c r="I709" s="2"/>
    </row>
    <row r="710" spans="1:9" x14ac:dyDescent="0.25">
      <c r="A710" s="2"/>
      <c r="B710" s="2"/>
      <c r="C710" s="2"/>
      <c r="D710" s="2"/>
      <c r="E710" s="2"/>
      <c r="F710" s="2"/>
      <c r="G710" s="2"/>
      <c r="H710" s="2"/>
      <c r="I710" s="2"/>
    </row>
    <row r="711" spans="1:9" x14ac:dyDescent="0.25">
      <c r="A711" s="2"/>
      <c r="B711" s="2"/>
      <c r="C711" s="2"/>
      <c r="D711" s="2"/>
      <c r="E711" s="2"/>
      <c r="F711" s="2"/>
      <c r="G711" s="2"/>
      <c r="H711" s="2"/>
      <c r="I711" s="2"/>
    </row>
    <row r="712" spans="1:9" x14ac:dyDescent="0.25">
      <c r="A712" s="2"/>
      <c r="B712" s="2"/>
      <c r="C712" s="2"/>
      <c r="D712" s="2"/>
      <c r="E712" s="2"/>
      <c r="F712" s="2"/>
      <c r="G712" s="2"/>
      <c r="H712" s="2"/>
      <c r="I712" s="2"/>
    </row>
    <row r="713" spans="1:9" x14ac:dyDescent="0.25">
      <c r="A713" s="2"/>
      <c r="B713" s="2"/>
      <c r="C713" s="2"/>
      <c r="D713" s="2"/>
      <c r="E713" s="2"/>
      <c r="F713" s="2"/>
      <c r="G713" s="2"/>
      <c r="H713" s="2"/>
      <c r="I713" s="2"/>
    </row>
    <row r="714" spans="1:9" x14ac:dyDescent="0.25">
      <c r="A714" s="2"/>
      <c r="B714" s="2"/>
      <c r="C714" s="2"/>
      <c r="D714" s="2"/>
      <c r="E714" s="2"/>
      <c r="F714" s="2"/>
      <c r="G714" s="2"/>
      <c r="H714" s="2"/>
      <c r="I714" s="2"/>
    </row>
    <row r="715" spans="1:9" x14ac:dyDescent="0.25">
      <c r="A715" s="2"/>
      <c r="B715" s="2"/>
      <c r="C715" s="2"/>
      <c r="D715" s="2"/>
      <c r="E715" s="2"/>
      <c r="F715" s="2"/>
      <c r="G715" s="2"/>
      <c r="H715" s="2"/>
      <c r="I715" s="2"/>
    </row>
    <row r="716" spans="1:9" x14ac:dyDescent="0.25">
      <c r="A716" s="2"/>
      <c r="B716" s="2"/>
      <c r="C716" s="2"/>
      <c r="D716" s="2"/>
      <c r="E716" s="2"/>
      <c r="F716" s="2"/>
      <c r="G716" s="2"/>
      <c r="H716" s="2"/>
      <c r="I716" s="2"/>
    </row>
    <row r="717" spans="1:9" x14ac:dyDescent="0.25">
      <c r="A717" s="2"/>
      <c r="B717" s="2"/>
      <c r="C717" s="2"/>
      <c r="D717" s="2"/>
      <c r="E717" s="2"/>
      <c r="F717" s="2"/>
      <c r="G717" s="2"/>
      <c r="H717" s="2"/>
      <c r="I717" s="2"/>
    </row>
    <row r="718" spans="1:9" x14ac:dyDescent="0.25">
      <c r="A718" s="2"/>
      <c r="B718" s="2"/>
      <c r="C718" s="2"/>
      <c r="D718" s="2"/>
      <c r="E718" s="2"/>
      <c r="F718" s="2"/>
      <c r="G718" s="2"/>
      <c r="H718" s="2"/>
      <c r="I718" s="2"/>
    </row>
    <row r="719" spans="1:9" x14ac:dyDescent="0.25">
      <c r="A719" s="2"/>
      <c r="B719" s="2"/>
      <c r="C719" s="2"/>
      <c r="D719" s="2"/>
      <c r="E719" s="2"/>
      <c r="F719" s="2"/>
      <c r="G719" s="2"/>
      <c r="H719" s="2"/>
      <c r="I719" s="2"/>
    </row>
    <row r="720" spans="1:9" x14ac:dyDescent="0.25">
      <c r="A720" s="2"/>
      <c r="B720" s="2"/>
      <c r="C720" s="2"/>
      <c r="D720" s="2"/>
      <c r="E720" s="2"/>
      <c r="F720" s="2"/>
      <c r="G720" s="2"/>
      <c r="H720" s="2"/>
      <c r="I720" s="2"/>
    </row>
    <row r="721" spans="1:9" x14ac:dyDescent="0.25">
      <c r="A721" s="2"/>
      <c r="B721" s="2"/>
      <c r="C721" s="2"/>
      <c r="D721" s="2"/>
      <c r="E721" s="2"/>
      <c r="F721" s="2"/>
      <c r="G721" s="2"/>
      <c r="H721" s="2"/>
      <c r="I721" s="2"/>
    </row>
    <row r="722" spans="1:9" x14ac:dyDescent="0.25">
      <c r="A722" s="2"/>
      <c r="B722" s="2"/>
      <c r="C722" s="2"/>
      <c r="D722" s="2"/>
      <c r="E722" s="2"/>
      <c r="F722" s="2"/>
      <c r="G722" s="2"/>
      <c r="H722" s="2"/>
      <c r="I722" s="2"/>
    </row>
    <row r="723" spans="1:9" x14ac:dyDescent="0.25">
      <c r="A723" s="2"/>
      <c r="B723" s="2"/>
      <c r="C723" s="2"/>
      <c r="D723" s="2"/>
      <c r="E723" s="2"/>
      <c r="F723" s="2"/>
      <c r="G723" s="2"/>
      <c r="H723" s="2"/>
      <c r="I723" s="2"/>
    </row>
    <row r="724" spans="1:9" x14ac:dyDescent="0.25">
      <c r="A724" s="2"/>
      <c r="B724" s="2"/>
      <c r="C724" s="2"/>
      <c r="D724" s="2"/>
      <c r="E724" s="2"/>
      <c r="F724" s="2"/>
      <c r="G724" s="2"/>
      <c r="H724" s="2"/>
      <c r="I724" s="2"/>
    </row>
    <row r="725" spans="1:9" x14ac:dyDescent="0.25">
      <c r="A725" s="2"/>
      <c r="B725" s="2"/>
      <c r="C725" s="2"/>
      <c r="D725" s="2"/>
      <c r="E725" s="2"/>
      <c r="F725" s="2"/>
      <c r="G725" s="2"/>
      <c r="H725" s="2"/>
      <c r="I725" s="2"/>
    </row>
    <row r="726" spans="1:9" x14ac:dyDescent="0.25">
      <c r="A726" s="2"/>
      <c r="B726" s="2"/>
      <c r="C726" s="2"/>
      <c r="D726" s="2"/>
      <c r="E726" s="2"/>
      <c r="F726" s="2"/>
      <c r="G726" s="2"/>
      <c r="H726" s="2"/>
      <c r="I726" s="2"/>
    </row>
    <row r="727" spans="1:9" x14ac:dyDescent="0.25">
      <c r="A727" s="2"/>
      <c r="B727" s="2"/>
      <c r="C727" s="2"/>
      <c r="D727" s="2"/>
      <c r="E727" s="2"/>
      <c r="F727" s="2"/>
      <c r="G727" s="2"/>
      <c r="H727" s="2"/>
      <c r="I727" s="2"/>
    </row>
    <row r="728" spans="1:9" x14ac:dyDescent="0.25">
      <c r="A728" s="2"/>
      <c r="B728" s="2"/>
      <c r="C728" s="2"/>
      <c r="D728" s="2"/>
      <c r="E728" s="2"/>
      <c r="F728" s="2"/>
      <c r="G728" s="2"/>
      <c r="H728" s="2"/>
      <c r="I728" s="2"/>
    </row>
    <row r="729" spans="1:9" x14ac:dyDescent="0.25">
      <c r="A729" s="2"/>
      <c r="B729" s="2"/>
      <c r="C729" s="2"/>
      <c r="D729" s="2"/>
      <c r="E729" s="2"/>
      <c r="F729" s="2"/>
      <c r="G729" s="2"/>
      <c r="H729" s="2"/>
      <c r="I729" s="2"/>
    </row>
    <row r="730" spans="1:9" x14ac:dyDescent="0.25">
      <c r="A730" s="2"/>
      <c r="B730" s="2"/>
      <c r="C730" s="2"/>
      <c r="D730" s="2"/>
      <c r="E730" s="2"/>
      <c r="F730" s="2"/>
      <c r="G730" s="2"/>
      <c r="H730" s="2"/>
      <c r="I730" s="2"/>
    </row>
    <row r="731" spans="1:9" x14ac:dyDescent="0.25">
      <c r="A731" s="2"/>
      <c r="B731" s="2"/>
      <c r="C731" s="2"/>
      <c r="D731" s="2"/>
      <c r="E731" s="2"/>
      <c r="F731" s="2"/>
      <c r="G731" s="2"/>
      <c r="H731" s="2"/>
      <c r="I731" s="2"/>
    </row>
    <row r="732" spans="1:9" x14ac:dyDescent="0.25">
      <c r="A732" s="2"/>
      <c r="B732" s="2"/>
      <c r="C732" s="2"/>
      <c r="D732" s="2"/>
      <c r="E732" s="2"/>
      <c r="F732" s="2"/>
      <c r="G732" s="2"/>
      <c r="H732" s="2"/>
      <c r="I732" s="2"/>
    </row>
    <row r="733" spans="1:9" x14ac:dyDescent="0.25">
      <c r="A733" s="2"/>
      <c r="B733" s="2"/>
      <c r="C733" s="2"/>
      <c r="D733" s="2"/>
      <c r="E733" s="2"/>
      <c r="F733" s="2"/>
      <c r="G733" s="2"/>
      <c r="H733" s="2"/>
      <c r="I733" s="2"/>
    </row>
    <row r="734" spans="1:9" x14ac:dyDescent="0.25">
      <c r="A734" s="2"/>
      <c r="B734" s="2"/>
      <c r="C734" s="2"/>
      <c r="D734" s="2"/>
      <c r="E734" s="2"/>
      <c r="F734" s="2"/>
      <c r="G734" s="2"/>
      <c r="H734" s="2"/>
      <c r="I734" s="2"/>
    </row>
    <row r="735" spans="1:9" x14ac:dyDescent="0.25">
      <c r="A735" s="2"/>
      <c r="B735" s="2"/>
      <c r="C735" s="2"/>
      <c r="D735" s="2"/>
      <c r="E735" s="2"/>
      <c r="F735" s="2"/>
      <c r="G735" s="2"/>
      <c r="H735" s="2"/>
      <c r="I735" s="2"/>
    </row>
    <row r="736" spans="1:9" x14ac:dyDescent="0.25">
      <c r="A736" s="2"/>
      <c r="B736" s="2"/>
      <c r="C736" s="2"/>
      <c r="D736" s="2"/>
      <c r="E736" s="2"/>
      <c r="F736" s="2"/>
      <c r="G736" s="2"/>
      <c r="H736" s="2"/>
      <c r="I736" s="2"/>
    </row>
    <row r="737" spans="1:9" x14ac:dyDescent="0.25">
      <c r="A737" s="2"/>
      <c r="B737" s="2"/>
      <c r="C737" s="2"/>
      <c r="D737" s="2"/>
      <c r="E737" s="2"/>
      <c r="F737" s="2"/>
      <c r="G737" s="2"/>
      <c r="H737" s="2"/>
      <c r="I737" s="2"/>
    </row>
    <row r="738" spans="1:9" x14ac:dyDescent="0.25">
      <c r="A738" s="2"/>
      <c r="B738" s="2"/>
      <c r="C738" s="2"/>
      <c r="D738" s="2"/>
      <c r="E738" s="2"/>
      <c r="F738" s="2"/>
      <c r="G738" s="2"/>
      <c r="H738" s="2"/>
      <c r="I738" s="2"/>
    </row>
    <row r="739" spans="1:9" x14ac:dyDescent="0.25">
      <c r="A739" s="2"/>
      <c r="B739" s="2"/>
      <c r="C739" s="2"/>
      <c r="D739" s="2"/>
      <c r="E739" s="2"/>
      <c r="F739" s="2"/>
      <c r="G739" s="2"/>
      <c r="H739" s="2"/>
      <c r="I739" s="2"/>
    </row>
    <row r="740" spans="1:9" x14ac:dyDescent="0.25">
      <c r="A740" s="2"/>
      <c r="B740" s="2"/>
      <c r="C740" s="2"/>
      <c r="D740" s="2"/>
      <c r="E740" s="2"/>
      <c r="F740" s="2"/>
      <c r="G740" s="2"/>
      <c r="H740" s="2"/>
      <c r="I740" s="2"/>
    </row>
    <row r="741" spans="1:9" x14ac:dyDescent="0.25">
      <c r="A741" s="2"/>
      <c r="B741" s="2"/>
      <c r="C741" s="2"/>
      <c r="D741" s="2"/>
      <c r="E741" s="2"/>
      <c r="F741" s="2"/>
      <c r="G741" s="2"/>
      <c r="H741" s="2"/>
      <c r="I741" s="2"/>
    </row>
    <row r="742" spans="1:9" x14ac:dyDescent="0.25">
      <c r="A742" s="2"/>
      <c r="B742" s="2"/>
      <c r="C742" s="2"/>
      <c r="D742" s="2"/>
      <c r="E742" s="2"/>
      <c r="F742" s="2"/>
      <c r="G742" s="2"/>
      <c r="H742" s="2"/>
      <c r="I742" s="2"/>
    </row>
    <row r="743" spans="1:9" x14ac:dyDescent="0.25">
      <c r="A743" s="2"/>
      <c r="B743" s="2"/>
      <c r="C743" s="2"/>
      <c r="D743" s="2"/>
      <c r="E743" s="2"/>
      <c r="F743" s="2"/>
      <c r="G743" s="2"/>
      <c r="H743" s="2"/>
      <c r="I743" s="2"/>
    </row>
    <row r="744" spans="1:9" x14ac:dyDescent="0.25">
      <c r="A744" s="2"/>
      <c r="B744" s="2"/>
      <c r="C744" s="2"/>
      <c r="D744" s="2"/>
      <c r="E744" s="2"/>
      <c r="F744" s="2"/>
      <c r="G744" s="2"/>
      <c r="H744" s="2"/>
      <c r="I744" s="2"/>
    </row>
    <row r="745" spans="1:9" x14ac:dyDescent="0.25">
      <c r="A745" s="2"/>
      <c r="B745" s="2"/>
      <c r="C745" s="2"/>
      <c r="D745" s="2"/>
      <c r="E745" s="2"/>
      <c r="F745" s="2"/>
      <c r="G745" s="2"/>
      <c r="H745" s="2"/>
      <c r="I745" s="2"/>
    </row>
    <row r="746" spans="1:9" x14ac:dyDescent="0.25">
      <c r="A746" s="2"/>
      <c r="B746" s="2"/>
      <c r="C746" s="2"/>
      <c r="D746" s="2"/>
      <c r="E746" s="2"/>
      <c r="F746" s="2"/>
      <c r="G746" s="2"/>
      <c r="H746" s="2"/>
      <c r="I746" s="2"/>
    </row>
    <row r="747" spans="1:9" x14ac:dyDescent="0.25">
      <c r="A747" s="2"/>
      <c r="B747" s="2"/>
      <c r="C747" s="2"/>
      <c r="D747" s="2"/>
      <c r="E747" s="2"/>
      <c r="F747" s="2"/>
      <c r="G747" s="2"/>
      <c r="H747" s="2"/>
      <c r="I747" s="2"/>
    </row>
    <row r="748" spans="1:9" x14ac:dyDescent="0.25">
      <c r="A748" s="2"/>
      <c r="B748" s="2"/>
      <c r="C748" s="2"/>
      <c r="D748" s="2"/>
      <c r="E748" s="2"/>
      <c r="F748" s="2"/>
      <c r="G748" s="2"/>
      <c r="H748" s="2"/>
      <c r="I748" s="2"/>
    </row>
    <row r="749" spans="1:9" x14ac:dyDescent="0.25">
      <c r="A749" s="2"/>
      <c r="B749" s="2"/>
      <c r="C749" s="2"/>
      <c r="D749" s="2"/>
      <c r="E749" s="2"/>
      <c r="F749" s="2"/>
      <c r="G749" s="2"/>
      <c r="H749" s="2"/>
      <c r="I749" s="2"/>
    </row>
    <row r="750" spans="1:9" x14ac:dyDescent="0.25">
      <c r="A750" s="2"/>
      <c r="B750" s="2"/>
      <c r="C750" s="2"/>
      <c r="D750" s="2"/>
      <c r="E750" s="2"/>
      <c r="F750" s="2"/>
      <c r="G750" s="2"/>
      <c r="H750" s="2"/>
      <c r="I750" s="2"/>
    </row>
    <row r="751" spans="1:9" x14ac:dyDescent="0.25">
      <c r="A751" s="2"/>
      <c r="B751" s="2"/>
      <c r="C751" s="2"/>
      <c r="D751" s="2"/>
      <c r="E751" s="2"/>
      <c r="F751" s="2"/>
      <c r="G751" s="2"/>
      <c r="H751" s="2"/>
      <c r="I751" s="2"/>
    </row>
    <row r="752" spans="1:9" x14ac:dyDescent="0.25">
      <c r="A752" s="2"/>
      <c r="B752" s="2"/>
      <c r="C752" s="2"/>
      <c r="D752" s="2"/>
      <c r="E752" s="2"/>
      <c r="F752" s="2"/>
      <c r="G752" s="2"/>
      <c r="H752" s="2"/>
      <c r="I752" s="2"/>
    </row>
    <row r="753" spans="1:9" x14ac:dyDescent="0.25">
      <c r="A753" s="2"/>
      <c r="B753" s="2"/>
      <c r="C753" s="2"/>
      <c r="D753" s="2"/>
      <c r="E753" s="2"/>
      <c r="F753" s="2"/>
      <c r="G753" s="2"/>
      <c r="H753" s="2"/>
      <c r="I753" s="2"/>
    </row>
    <row r="754" spans="1:9" x14ac:dyDescent="0.25">
      <c r="A754" s="2"/>
      <c r="B754" s="2"/>
      <c r="C754" s="2"/>
      <c r="D754" s="2"/>
      <c r="E754" s="2"/>
      <c r="F754" s="2"/>
      <c r="G754" s="2"/>
      <c r="H754" s="2"/>
      <c r="I754" s="2"/>
    </row>
    <row r="755" spans="1:9" x14ac:dyDescent="0.25">
      <c r="A755" s="2"/>
      <c r="B755" s="2"/>
      <c r="C755" s="2"/>
      <c r="D755" s="2"/>
      <c r="E755" s="2"/>
      <c r="F755" s="2"/>
      <c r="G755" s="2"/>
      <c r="H755" s="2"/>
      <c r="I755" s="2"/>
    </row>
    <row r="756" spans="1:9" x14ac:dyDescent="0.25">
      <c r="A756" s="2"/>
      <c r="B756" s="2"/>
      <c r="C756" s="2"/>
      <c r="D756" s="2"/>
      <c r="E756" s="2"/>
      <c r="F756" s="2"/>
      <c r="G756" s="2"/>
      <c r="H756" s="2"/>
      <c r="I756" s="2"/>
    </row>
    <row r="757" spans="1:9" x14ac:dyDescent="0.25">
      <c r="A757" s="2"/>
      <c r="B757" s="2"/>
      <c r="C757" s="2"/>
      <c r="D757" s="2"/>
      <c r="E757" s="2"/>
      <c r="F757" s="2"/>
      <c r="G757" s="2"/>
      <c r="H757" s="2"/>
      <c r="I757" s="2"/>
    </row>
    <row r="758" spans="1:9" x14ac:dyDescent="0.25">
      <c r="A758" s="2"/>
      <c r="B758" s="2"/>
      <c r="C758" s="2"/>
      <c r="D758" s="2"/>
      <c r="E758" s="2"/>
      <c r="F758" s="2"/>
      <c r="G758" s="2"/>
      <c r="H758" s="2"/>
      <c r="I758" s="2"/>
    </row>
    <row r="759" spans="1:9" x14ac:dyDescent="0.25">
      <c r="A759" s="2"/>
      <c r="B759" s="2"/>
      <c r="C759" s="2"/>
      <c r="D759" s="2"/>
      <c r="E759" s="2"/>
      <c r="F759" s="2"/>
      <c r="G759" s="2"/>
      <c r="H759" s="2"/>
      <c r="I759" s="2"/>
    </row>
    <row r="760" spans="1:9" x14ac:dyDescent="0.25">
      <c r="A760" s="2"/>
      <c r="B760" s="2"/>
      <c r="C760" s="2"/>
      <c r="D760" s="2"/>
      <c r="E760" s="2"/>
      <c r="F760" s="2"/>
      <c r="G760" s="2"/>
      <c r="H760" s="2"/>
      <c r="I760" s="2"/>
    </row>
    <row r="761" spans="1:9" x14ac:dyDescent="0.25">
      <c r="A761" s="2"/>
      <c r="B761" s="2"/>
      <c r="C761" s="2"/>
      <c r="D761" s="2"/>
      <c r="E761" s="2"/>
      <c r="F761" s="2"/>
      <c r="G761" s="2"/>
      <c r="H761" s="2"/>
      <c r="I761" s="2"/>
    </row>
    <row r="762" spans="1:9" x14ac:dyDescent="0.25">
      <c r="A762" s="2"/>
      <c r="B762" s="2"/>
      <c r="C762" s="2"/>
      <c r="D762" s="2"/>
      <c r="E762" s="2"/>
      <c r="F762" s="2"/>
      <c r="G762" s="2"/>
      <c r="H762" s="2"/>
      <c r="I762" s="2"/>
    </row>
    <row r="763" spans="1:9" x14ac:dyDescent="0.25">
      <c r="A763" s="2"/>
      <c r="B763" s="2"/>
      <c r="C763" s="2"/>
      <c r="D763" s="2"/>
      <c r="E763" s="2"/>
      <c r="F763" s="2"/>
      <c r="G763" s="2"/>
      <c r="H763" s="2"/>
      <c r="I763" s="2"/>
    </row>
    <row r="764" spans="1:9" x14ac:dyDescent="0.25">
      <c r="A764" s="2"/>
      <c r="B764" s="2"/>
      <c r="C764" s="2"/>
      <c r="D764" s="2"/>
      <c r="E764" s="2"/>
      <c r="F764" s="2"/>
      <c r="G764" s="2"/>
      <c r="H764" s="2"/>
      <c r="I764" s="2"/>
    </row>
    <row r="765" spans="1:9" x14ac:dyDescent="0.25">
      <c r="A765" s="2"/>
      <c r="B765" s="2"/>
      <c r="C765" s="2"/>
      <c r="D765" s="2"/>
      <c r="E765" s="2"/>
      <c r="F765" s="2"/>
      <c r="G765" s="2"/>
      <c r="H765" s="2"/>
      <c r="I765" s="2"/>
    </row>
    <row r="766" spans="1:9" x14ac:dyDescent="0.25">
      <c r="A766" s="2"/>
      <c r="B766" s="2"/>
      <c r="C766" s="2"/>
      <c r="D766" s="2"/>
      <c r="E766" s="2"/>
      <c r="F766" s="2"/>
      <c r="G766" s="2"/>
      <c r="H766" s="2"/>
      <c r="I766" s="2"/>
    </row>
    <row r="767" spans="1:9" x14ac:dyDescent="0.25">
      <c r="A767" s="2"/>
      <c r="B767" s="2"/>
      <c r="C767" s="2"/>
      <c r="D767" s="2"/>
      <c r="E767" s="2"/>
      <c r="F767" s="2"/>
      <c r="G767" s="2"/>
      <c r="H767" s="2"/>
      <c r="I767" s="2"/>
    </row>
    <row r="768" spans="1:9" x14ac:dyDescent="0.25">
      <c r="A768" s="2"/>
      <c r="B768" s="2"/>
      <c r="C768" s="2"/>
      <c r="D768" s="2"/>
      <c r="E768" s="2"/>
      <c r="F768" s="2"/>
      <c r="G768" s="2"/>
      <c r="H768" s="2"/>
      <c r="I768" s="2"/>
    </row>
    <row r="769" spans="1:9" x14ac:dyDescent="0.25">
      <c r="A769" s="2"/>
      <c r="B769" s="2"/>
      <c r="C769" s="2"/>
      <c r="D769" s="2"/>
      <c r="E769" s="2"/>
      <c r="F769" s="2"/>
      <c r="G769" s="2"/>
      <c r="H769" s="2"/>
      <c r="I769" s="2"/>
    </row>
    <row r="770" spans="1:9" x14ac:dyDescent="0.25">
      <c r="A770" s="2"/>
      <c r="B770" s="2"/>
      <c r="C770" s="2"/>
      <c r="D770" s="2"/>
      <c r="E770" s="2"/>
      <c r="F770" s="2"/>
      <c r="G770" s="2"/>
      <c r="H770" s="2"/>
      <c r="I770" s="2"/>
    </row>
    <row r="771" spans="1:9" x14ac:dyDescent="0.25">
      <c r="A771" s="2"/>
      <c r="B771" s="2"/>
      <c r="C771" s="2"/>
      <c r="D771" s="2"/>
      <c r="E771" s="2"/>
      <c r="F771" s="2"/>
      <c r="G771" s="2"/>
      <c r="H771" s="2"/>
      <c r="I771" s="2"/>
    </row>
    <row r="772" spans="1:9" x14ac:dyDescent="0.25">
      <c r="A772" s="2"/>
      <c r="B772" s="2"/>
      <c r="C772" s="2"/>
      <c r="D772" s="2"/>
      <c r="E772" s="2"/>
      <c r="F772" s="2"/>
      <c r="G772" s="2"/>
      <c r="H772" s="2"/>
      <c r="I772" s="2"/>
    </row>
    <row r="773" spans="1:9" x14ac:dyDescent="0.25">
      <c r="A773" s="2"/>
      <c r="B773" s="2"/>
      <c r="C773" s="2"/>
      <c r="D773" s="2"/>
      <c r="E773" s="2"/>
      <c r="F773" s="2"/>
      <c r="G773" s="2"/>
      <c r="H773" s="2"/>
      <c r="I773" s="2"/>
    </row>
    <row r="774" spans="1:9" x14ac:dyDescent="0.25">
      <c r="A774" s="2"/>
      <c r="B774" s="2"/>
      <c r="C774" s="2"/>
      <c r="D774" s="2"/>
      <c r="E774" s="2"/>
      <c r="F774" s="2"/>
      <c r="G774" s="2"/>
      <c r="H774" s="2"/>
      <c r="I774" s="2"/>
    </row>
    <row r="775" spans="1:9" x14ac:dyDescent="0.25">
      <c r="A775" s="2"/>
      <c r="B775" s="2"/>
      <c r="C775" s="2"/>
      <c r="D775" s="2"/>
      <c r="E775" s="2"/>
      <c r="F775" s="2"/>
      <c r="G775" s="2"/>
      <c r="H775" s="2"/>
      <c r="I775" s="2"/>
    </row>
    <row r="776" spans="1:9" x14ac:dyDescent="0.25">
      <c r="A776" s="2"/>
      <c r="B776" s="2"/>
      <c r="C776" s="2"/>
      <c r="D776" s="2"/>
      <c r="E776" s="2"/>
      <c r="F776" s="2"/>
      <c r="G776" s="2"/>
      <c r="H776" s="2"/>
      <c r="I776" s="2"/>
    </row>
    <row r="777" spans="1:9" x14ac:dyDescent="0.25">
      <c r="A777" s="2"/>
      <c r="B777" s="2"/>
      <c r="C777" s="2"/>
      <c r="D777" s="2"/>
      <c r="E777" s="2"/>
      <c r="F777" s="2"/>
      <c r="G777" s="2"/>
      <c r="H777" s="2"/>
      <c r="I777" s="2"/>
    </row>
    <row r="778" spans="1:9" x14ac:dyDescent="0.25">
      <c r="A778" s="2"/>
      <c r="B778" s="2"/>
      <c r="C778" s="2"/>
      <c r="D778" s="2"/>
      <c r="E778" s="2"/>
      <c r="F778" s="2"/>
      <c r="G778" s="2"/>
      <c r="H778" s="2"/>
      <c r="I778" s="2"/>
    </row>
  </sheetData>
  <autoFilter ref="A1:I30" xr:uid="{C8860854-67B2-4861-A053-D4A7F1C0C215}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D3ABC-A1F7-4700-9AC9-BBA6498EABEC}">
  <dimension ref="C2:F10"/>
  <sheetViews>
    <sheetView workbookViewId="0">
      <selection activeCell="C2" sqref="C2:F9"/>
    </sheetView>
  </sheetViews>
  <sheetFormatPr defaultRowHeight="15" x14ac:dyDescent="0.25"/>
  <cols>
    <col min="3" max="3" width="4.5703125" customWidth="1"/>
    <col min="4" max="4" width="34" bestFit="1" customWidth="1"/>
  </cols>
  <sheetData>
    <row r="2" spans="3:6" x14ac:dyDescent="0.25">
      <c r="C2" s="4" t="s">
        <v>0</v>
      </c>
      <c r="D2" s="4" t="s">
        <v>159</v>
      </c>
      <c r="E2" s="4" t="s">
        <v>3</v>
      </c>
      <c r="F2" s="4" t="s">
        <v>4</v>
      </c>
    </row>
    <row r="3" spans="3:6" ht="16.899999999999999" customHeight="1" x14ac:dyDescent="0.25">
      <c r="C3" s="2">
        <v>5</v>
      </c>
      <c r="D3" s="22" t="s">
        <v>929</v>
      </c>
      <c r="E3" s="65">
        <v>4300</v>
      </c>
      <c r="F3" s="65">
        <v>21500</v>
      </c>
    </row>
    <row r="4" spans="3:6" x14ac:dyDescent="0.25">
      <c r="C4" s="2">
        <v>5</v>
      </c>
      <c r="D4" s="2" t="s">
        <v>554</v>
      </c>
      <c r="E4" s="65">
        <v>3200</v>
      </c>
      <c r="F4" s="65">
        <v>16000</v>
      </c>
    </row>
    <row r="5" spans="3:6" x14ac:dyDescent="0.25">
      <c r="C5" s="2">
        <v>5</v>
      </c>
      <c r="D5" s="2" t="s">
        <v>930</v>
      </c>
      <c r="E5" s="65">
        <v>2400</v>
      </c>
      <c r="F5" s="65">
        <v>12000</v>
      </c>
    </row>
    <row r="6" spans="3:6" x14ac:dyDescent="0.25">
      <c r="C6" s="2">
        <v>20</v>
      </c>
      <c r="D6" s="2" t="s">
        <v>931</v>
      </c>
      <c r="E6" s="65">
        <v>1400</v>
      </c>
      <c r="F6" s="65">
        <v>28000</v>
      </c>
    </row>
    <row r="7" spans="3:6" x14ac:dyDescent="0.25">
      <c r="C7" s="2">
        <v>10</v>
      </c>
      <c r="D7" s="2" t="s">
        <v>932</v>
      </c>
      <c r="E7" s="65">
        <v>1200</v>
      </c>
      <c r="F7" s="65">
        <v>12000</v>
      </c>
    </row>
    <row r="8" spans="3:6" x14ac:dyDescent="0.25">
      <c r="C8" s="2">
        <v>20</v>
      </c>
      <c r="D8" s="2" t="s">
        <v>804</v>
      </c>
      <c r="E8" s="65">
        <v>415</v>
      </c>
      <c r="F8" s="65">
        <v>8300</v>
      </c>
    </row>
    <row r="9" spans="3:6" x14ac:dyDescent="0.25">
      <c r="C9" s="2"/>
      <c r="D9" s="2"/>
      <c r="E9" s="90" t="s">
        <v>4</v>
      </c>
      <c r="F9" s="65">
        <v>97800</v>
      </c>
    </row>
    <row r="10" spans="3:6" x14ac:dyDescent="0.25">
      <c r="D10" s="22"/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32F5D-C9BC-4643-9721-3D57603ACE45}">
  <dimension ref="A1:I15"/>
  <sheetViews>
    <sheetView workbookViewId="0">
      <selection activeCell="F21" sqref="F21"/>
    </sheetView>
  </sheetViews>
  <sheetFormatPr defaultRowHeight="15" x14ac:dyDescent="0.25"/>
  <cols>
    <col min="6" max="6" width="23.28515625" bestFit="1" customWidth="1"/>
  </cols>
  <sheetData>
    <row r="1" spans="1:9" x14ac:dyDescent="0.25">
      <c r="A1" s="2" t="s">
        <v>65</v>
      </c>
      <c r="B1" s="2" t="s">
        <v>0</v>
      </c>
      <c r="C1" s="2" t="s">
        <v>159</v>
      </c>
      <c r="D1" s="2" t="s">
        <v>815</v>
      </c>
      <c r="E1" s="2" t="s">
        <v>4</v>
      </c>
      <c r="F1" s="2" t="s">
        <v>818</v>
      </c>
      <c r="G1" s="2" t="s">
        <v>816</v>
      </c>
      <c r="H1" s="2" t="s">
        <v>65</v>
      </c>
      <c r="I1" s="2" t="s">
        <v>817</v>
      </c>
    </row>
    <row r="2" spans="1:9" x14ac:dyDescent="0.25">
      <c r="A2" s="68">
        <v>45996</v>
      </c>
      <c r="B2" s="1">
        <v>1</v>
      </c>
      <c r="C2" s="2" t="s">
        <v>814</v>
      </c>
      <c r="D2" s="2">
        <v>400</v>
      </c>
      <c r="E2" s="2">
        <f>B2*D2</f>
        <v>400</v>
      </c>
      <c r="F2" s="2" t="s">
        <v>819</v>
      </c>
      <c r="G2" s="2"/>
      <c r="H2" s="2"/>
      <c r="I2" s="2"/>
    </row>
    <row r="3" spans="1:9" x14ac:dyDescent="0.25">
      <c r="A3" s="68">
        <v>45996</v>
      </c>
      <c r="B3" s="2">
        <v>1</v>
      </c>
      <c r="C3" s="2" t="s">
        <v>814</v>
      </c>
      <c r="D3" s="2">
        <v>400</v>
      </c>
      <c r="E3" s="2">
        <v>400</v>
      </c>
      <c r="F3" s="2" t="s">
        <v>819</v>
      </c>
      <c r="G3" s="2"/>
      <c r="H3" s="2"/>
      <c r="I3" s="2"/>
    </row>
    <row r="4" spans="1:9" x14ac:dyDescent="0.25">
      <c r="A4" s="68">
        <v>45996</v>
      </c>
      <c r="B4" s="2">
        <v>1</v>
      </c>
      <c r="C4" s="2" t="s">
        <v>814</v>
      </c>
      <c r="D4" s="2">
        <v>398</v>
      </c>
      <c r="E4" s="2">
        <v>398</v>
      </c>
      <c r="F4" s="2" t="s">
        <v>820</v>
      </c>
      <c r="G4" s="2"/>
      <c r="H4" s="2"/>
      <c r="I4" s="2"/>
    </row>
    <row r="5" spans="1:9" x14ac:dyDescent="0.25">
      <c r="A5" s="68">
        <v>45997</v>
      </c>
      <c r="B5" s="2">
        <v>1</v>
      </c>
      <c r="C5" s="2" t="s">
        <v>814</v>
      </c>
      <c r="D5" s="2">
        <v>399</v>
      </c>
      <c r="E5" s="2">
        <v>399</v>
      </c>
      <c r="F5" s="2" t="s">
        <v>306</v>
      </c>
      <c r="G5" s="2"/>
      <c r="H5" s="2"/>
      <c r="I5" s="2"/>
    </row>
    <row r="6" spans="1:9" x14ac:dyDescent="0.25">
      <c r="A6" s="2"/>
      <c r="B6" s="2"/>
      <c r="C6" s="2"/>
      <c r="D6" s="2"/>
      <c r="E6" s="2"/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x14ac:dyDescent="0.25">
      <c r="A8" s="2"/>
      <c r="B8" s="2"/>
      <c r="C8" s="2"/>
      <c r="D8" s="2"/>
      <c r="E8" s="2"/>
      <c r="F8" s="2"/>
      <c r="G8" s="2"/>
      <c r="H8" s="2"/>
      <c r="I8" s="2"/>
    </row>
    <row r="9" spans="1:9" x14ac:dyDescent="0.25">
      <c r="A9" s="2"/>
      <c r="B9" s="2"/>
      <c r="C9" s="2"/>
      <c r="D9" s="2"/>
      <c r="E9" s="2"/>
      <c r="F9" s="2"/>
      <c r="G9" s="2"/>
      <c r="H9" s="2"/>
      <c r="I9" s="2"/>
    </row>
    <row r="10" spans="1:9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9" x14ac:dyDescent="0.25">
      <c r="A12" s="2"/>
      <c r="B12" s="2"/>
      <c r="C12" s="2"/>
      <c r="D12" s="2"/>
      <c r="E12" s="2"/>
      <c r="F12" s="2"/>
      <c r="G12" s="2"/>
      <c r="H12" s="2"/>
      <c r="I12" s="2"/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B02E4-739C-4E53-A49B-A5FC40B98A5D}">
  <dimension ref="A1:P75"/>
  <sheetViews>
    <sheetView topLeftCell="A43" workbookViewId="0">
      <selection activeCell="Q53" sqref="Q53"/>
    </sheetView>
  </sheetViews>
  <sheetFormatPr defaultRowHeight="15" x14ac:dyDescent="0.25"/>
  <cols>
    <col min="3" max="3" width="17.28515625" bestFit="1" customWidth="1"/>
    <col min="4" max="4" width="15.7109375" bestFit="1" customWidth="1"/>
    <col min="6" max="6" width="14.42578125" bestFit="1" customWidth="1"/>
    <col min="15" max="15" width="24.7109375" bestFit="1" customWidth="1"/>
  </cols>
  <sheetData>
    <row r="1" spans="1:16" x14ac:dyDescent="0.25">
      <c r="A1" t="s">
        <v>65</v>
      </c>
      <c r="B1" t="s">
        <v>773</v>
      </c>
      <c r="C1" t="s">
        <v>787</v>
      </c>
      <c r="D1" t="s">
        <v>2</v>
      </c>
      <c r="O1" s="6">
        <v>45998</v>
      </c>
    </row>
    <row r="2" spans="1:16" x14ac:dyDescent="0.25">
      <c r="A2" s="79">
        <v>45992</v>
      </c>
      <c r="B2" s="84">
        <v>2581</v>
      </c>
      <c r="C2" t="s">
        <v>62</v>
      </c>
      <c r="D2" t="s">
        <v>364</v>
      </c>
      <c r="H2">
        <v>37617</v>
      </c>
      <c r="K2">
        <v>5</v>
      </c>
      <c r="L2">
        <v>299</v>
      </c>
      <c r="M2">
        <f>K2*L2</f>
        <v>1495</v>
      </c>
      <c r="O2" t="s">
        <v>847</v>
      </c>
    </row>
    <row r="3" spans="1:16" x14ac:dyDescent="0.25">
      <c r="A3" s="79">
        <v>45993</v>
      </c>
      <c r="B3" s="84">
        <v>1257</v>
      </c>
      <c r="D3" t="s">
        <v>808</v>
      </c>
      <c r="H3">
        <v>8000</v>
      </c>
      <c r="K3">
        <v>4</v>
      </c>
      <c r="L3">
        <v>479</v>
      </c>
      <c r="M3">
        <f t="shared" ref="M3:M6" si="0">K3*L3</f>
        <v>1916</v>
      </c>
      <c r="O3" t="s">
        <v>848</v>
      </c>
    </row>
    <row r="4" spans="1:16" x14ac:dyDescent="0.25">
      <c r="A4" s="79">
        <v>45993</v>
      </c>
      <c r="B4" s="84">
        <v>1197</v>
      </c>
      <c r="D4" t="s">
        <v>809</v>
      </c>
      <c r="H4">
        <f>SUM(H2:H3)</f>
        <v>45617</v>
      </c>
      <c r="K4">
        <v>4</v>
      </c>
      <c r="L4">
        <v>225</v>
      </c>
      <c r="M4">
        <f t="shared" si="0"/>
        <v>900</v>
      </c>
      <c r="O4" t="s">
        <v>849</v>
      </c>
    </row>
    <row r="5" spans="1:16" x14ac:dyDescent="0.25">
      <c r="A5" s="79">
        <v>45995</v>
      </c>
      <c r="B5" s="84">
        <v>1995</v>
      </c>
      <c r="D5" t="s">
        <v>809</v>
      </c>
      <c r="K5">
        <v>57</v>
      </c>
      <c r="L5">
        <v>399</v>
      </c>
      <c r="M5">
        <f t="shared" si="0"/>
        <v>22743</v>
      </c>
      <c r="O5" t="s">
        <v>850</v>
      </c>
    </row>
    <row r="6" spans="1:16" x14ac:dyDescent="0.25">
      <c r="A6" s="79">
        <v>45993</v>
      </c>
      <c r="B6" s="84">
        <v>796</v>
      </c>
      <c r="D6" s="11" t="s">
        <v>810</v>
      </c>
      <c r="K6">
        <v>4</v>
      </c>
      <c r="L6">
        <v>419</v>
      </c>
      <c r="M6">
        <f t="shared" si="0"/>
        <v>1676</v>
      </c>
      <c r="O6" t="s">
        <v>851</v>
      </c>
    </row>
    <row r="7" spans="1:16" x14ac:dyDescent="0.25">
      <c r="A7" s="79">
        <v>45993</v>
      </c>
      <c r="B7" s="84">
        <v>399</v>
      </c>
      <c r="D7" t="s">
        <v>811</v>
      </c>
      <c r="M7">
        <f>SUM(M2:M6)</f>
        <v>28730</v>
      </c>
      <c r="O7" s="51">
        <v>150</v>
      </c>
    </row>
    <row r="8" spans="1:16" x14ac:dyDescent="0.25">
      <c r="A8" s="79">
        <v>45994</v>
      </c>
      <c r="B8" s="84">
        <v>399</v>
      </c>
      <c r="D8" t="s">
        <v>811</v>
      </c>
      <c r="O8" t="s">
        <v>852</v>
      </c>
      <c r="P8" t="s">
        <v>853</v>
      </c>
    </row>
    <row r="9" spans="1:16" x14ac:dyDescent="0.25">
      <c r="A9" s="79">
        <v>45994</v>
      </c>
      <c r="B9" s="84">
        <v>399</v>
      </c>
      <c r="D9" t="s">
        <v>811</v>
      </c>
    </row>
    <row r="10" spans="1:16" x14ac:dyDescent="0.25">
      <c r="A10" s="79">
        <v>45994</v>
      </c>
      <c r="B10" s="84">
        <v>399</v>
      </c>
      <c r="D10" t="s">
        <v>811</v>
      </c>
    </row>
    <row r="11" spans="1:16" x14ac:dyDescent="0.25">
      <c r="A11" s="79">
        <v>45994</v>
      </c>
      <c r="B11" s="84">
        <v>398</v>
      </c>
      <c r="D11" t="s">
        <v>302</v>
      </c>
    </row>
    <row r="12" spans="1:16" x14ac:dyDescent="0.25">
      <c r="A12" s="79">
        <v>45994</v>
      </c>
      <c r="B12" s="84">
        <v>398</v>
      </c>
      <c r="D12" s="11" t="s">
        <v>810</v>
      </c>
      <c r="L12" s="81">
        <f>H4-M7</f>
        <v>16887</v>
      </c>
    </row>
    <row r="13" spans="1:16" x14ac:dyDescent="0.25">
      <c r="A13" s="79">
        <v>45995</v>
      </c>
      <c r="B13" s="84">
        <v>796</v>
      </c>
      <c r="D13" s="11" t="s">
        <v>810</v>
      </c>
    </row>
    <row r="14" spans="1:16" x14ac:dyDescent="0.25">
      <c r="A14" s="79">
        <v>45995</v>
      </c>
      <c r="B14" s="84">
        <v>796</v>
      </c>
      <c r="D14" s="11" t="s">
        <v>810</v>
      </c>
      <c r="M14">
        <v>25</v>
      </c>
      <c r="N14">
        <v>398</v>
      </c>
      <c r="O14">
        <f>M14*N14</f>
        <v>9950</v>
      </c>
    </row>
    <row r="15" spans="1:16" x14ac:dyDescent="0.25">
      <c r="A15" s="79">
        <v>45996</v>
      </c>
      <c r="B15" s="84">
        <v>796</v>
      </c>
      <c r="D15" s="11" t="s">
        <v>810</v>
      </c>
      <c r="M15">
        <v>2</v>
      </c>
      <c r="N15">
        <v>2049</v>
      </c>
      <c r="O15">
        <f>M15*N15</f>
        <v>4098</v>
      </c>
    </row>
    <row r="16" spans="1:16" x14ac:dyDescent="0.25">
      <c r="A16" s="79">
        <v>45996</v>
      </c>
      <c r="B16" s="84">
        <v>798</v>
      </c>
      <c r="D16" s="11" t="s">
        <v>809</v>
      </c>
      <c r="M16">
        <v>5</v>
      </c>
      <c r="N16">
        <v>168</v>
      </c>
      <c r="O16">
        <f>M16*N16</f>
        <v>840</v>
      </c>
    </row>
    <row r="17" spans="1:15" x14ac:dyDescent="0.25">
      <c r="A17" s="79">
        <v>45999</v>
      </c>
      <c r="B17" s="84">
        <v>299</v>
      </c>
      <c r="D17" s="11" t="s">
        <v>811</v>
      </c>
      <c r="O17">
        <f>SUM(O14:O16)</f>
        <v>14888</v>
      </c>
    </row>
    <row r="18" spans="1:15" x14ac:dyDescent="0.25">
      <c r="A18" s="79">
        <v>45999</v>
      </c>
      <c r="B18" s="84">
        <v>398</v>
      </c>
      <c r="D18" s="11" t="s">
        <v>674</v>
      </c>
      <c r="G18" t="s">
        <v>845</v>
      </c>
    </row>
    <row r="19" spans="1:15" x14ac:dyDescent="0.25">
      <c r="A19" s="79">
        <v>45999</v>
      </c>
      <c r="B19" s="84">
        <v>399</v>
      </c>
      <c r="D19" s="11" t="s">
        <v>811</v>
      </c>
    </row>
    <row r="20" spans="1:15" x14ac:dyDescent="0.25">
      <c r="A20" s="79">
        <v>45999</v>
      </c>
      <c r="B20" s="84">
        <v>399</v>
      </c>
      <c r="D20" s="11" t="s">
        <v>811</v>
      </c>
    </row>
    <row r="21" spans="1:15" x14ac:dyDescent="0.25">
      <c r="A21" s="79">
        <v>45999</v>
      </c>
      <c r="B21" s="84">
        <v>399</v>
      </c>
      <c r="D21" s="11" t="s">
        <v>811</v>
      </c>
    </row>
    <row r="22" spans="1:15" x14ac:dyDescent="0.25">
      <c r="A22" s="79">
        <v>45999</v>
      </c>
      <c r="B22" s="84">
        <v>399</v>
      </c>
      <c r="D22" s="11" t="s">
        <v>811</v>
      </c>
    </row>
    <row r="23" spans="1:15" x14ac:dyDescent="0.25">
      <c r="A23" s="79">
        <v>45999</v>
      </c>
      <c r="B23" s="84">
        <v>796</v>
      </c>
      <c r="D23" s="11" t="s">
        <v>846</v>
      </c>
    </row>
    <row r="24" spans="1:15" x14ac:dyDescent="0.25">
      <c r="A24" s="79">
        <v>45999</v>
      </c>
      <c r="B24" s="84">
        <v>3980</v>
      </c>
      <c r="D24" s="11" t="s">
        <v>302</v>
      </c>
    </row>
    <row r="25" spans="1:15" x14ac:dyDescent="0.25">
      <c r="A25" s="79">
        <v>46000</v>
      </c>
      <c r="B25" s="84">
        <v>299</v>
      </c>
      <c r="D25" s="11" t="s">
        <v>811</v>
      </c>
    </row>
    <row r="26" spans="1:15" x14ac:dyDescent="0.25">
      <c r="A26" s="79">
        <v>46000</v>
      </c>
      <c r="B26" s="84">
        <v>394</v>
      </c>
      <c r="D26" s="11" t="s">
        <v>811</v>
      </c>
    </row>
    <row r="27" spans="1:15" x14ac:dyDescent="0.25">
      <c r="A27" s="79">
        <v>46000</v>
      </c>
      <c r="B27" s="84">
        <v>399</v>
      </c>
      <c r="D27" s="11" t="s">
        <v>811</v>
      </c>
    </row>
    <row r="28" spans="1:15" x14ac:dyDescent="0.25">
      <c r="A28" s="79">
        <v>46000</v>
      </c>
      <c r="B28" s="84">
        <v>798</v>
      </c>
      <c r="D28" s="11" t="s">
        <v>809</v>
      </c>
    </row>
    <row r="29" spans="1:15" x14ac:dyDescent="0.25">
      <c r="A29" s="79">
        <v>46000</v>
      </c>
      <c r="B29" s="84">
        <v>798</v>
      </c>
      <c r="D29" s="11" t="s">
        <v>809</v>
      </c>
    </row>
    <row r="30" spans="1:15" x14ac:dyDescent="0.25">
      <c r="A30" s="79">
        <v>46000</v>
      </c>
      <c r="B30" s="84">
        <v>798</v>
      </c>
      <c r="D30" s="11" t="s">
        <v>809</v>
      </c>
    </row>
    <row r="31" spans="1:15" x14ac:dyDescent="0.25">
      <c r="A31" s="79">
        <v>46000</v>
      </c>
      <c r="B31" s="84">
        <v>798</v>
      </c>
      <c r="D31" s="11" t="s">
        <v>809</v>
      </c>
    </row>
    <row r="32" spans="1:15" x14ac:dyDescent="0.25">
      <c r="A32" s="79">
        <v>46000</v>
      </c>
      <c r="B32" s="84">
        <v>1197</v>
      </c>
      <c r="D32" s="11" t="s">
        <v>811</v>
      </c>
    </row>
    <row r="33" spans="1:5" x14ac:dyDescent="0.25">
      <c r="A33" s="79">
        <v>46000</v>
      </c>
      <c r="B33" s="84">
        <v>840.75</v>
      </c>
      <c r="D33" s="11" t="s">
        <v>810</v>
      </c>
    </row>
    <row r="34" spans="1:5" x14ac:dyDescent="0.25">
      <c r="A34" s="79">
        <v>46000</v>
      </c>
      <c r="B34" s="84">
        <v>798</v>
      </c>
      <c r="D34" s="11" t="s">
        <v>809</v>
      </c>
    </row>
    <row r="35" spans="1:5" x14ac:dyDescent="0.25">
      <c r="A35" s="79">
        <v>46000</v>
      </c>
      <c r="B35" s="84">
        <v>5245.99</v>
      </c>
      <c r="D35" s="11" t="s">
        <v>811</v>
      </c>
    </row>
    <row r="36" spans="1:5" x14ac:dyDescent="0.25">
      <c r="A36" s="79">
        <v>46000</v>
      </c>
      <c r="B36" s="84">
        <v>399</v>
      </c>
      <c r="D36" s="11" t="s">
        <v>811</v>
      </c>
    </row>
    <row r="37" spans="1:5" x14ac:dyDescent="0.25">
      <c r="A37" s="79">
        <v>46000</v>
      </c>
      <c r="B37" s="84">
        <v>399</v>
      </c>
      <c r="D37" s="11" t="s">
        <v>811</v>
      </c>
    </row>
    <row r="38" spans="1:5" x14ac:dyDescent="0.25">
      <c r="A38" s="79">
        <v>46000</v>
      </c>
      <c r="B38" s="84">
        <v>796</v>
      </c>
      <c r="D38" s="11" t="s">
        <v>810</v>
      </c>
    </row>
    <row r="39" spans="1:5" x14ac:dyDescent="0.25">
      <c r="A39" s="79">
        <v>46000</v>
      </c>
      <c r="B39" s="84">
        <v>796</v>
      </c>
      <c r="D39" s="11" t="s">
        <v>810</v>
      </c>
    </row>
    <row r="40" spans="1:5" x14ac:dyDescent="0.25">
      <c r="A40" s="79">
        <v>46000</v>
      </c>
      <c r="B40" s="84">
        <v>796</v>
      </c>
      <c r="D40" s="11" t="s">
        <v>810</v>
      </c>
    </row>
    <row r="41" spans="1:5" x14ac:dyDescent="0.25">
      <c r="A41" s="79">
        <v>46000</v>
      </c>
      <c r="B41" s="84">
        <v>796</v>
      </c>
      <c r="D41" s="11" t="s">
        <v>810</v>
      </c>
    </row>
    <row r="42" spans="1:5" x14ac:dyDescent="0.25">
      <c r="A42" s="79">
        <v>46000</v>
      </c>
      <c r="B42" s="84">
        <v>796</v>
      </c>
      <c r="D42" s="11" t="s">
        <v>810</v>
      </c>
    </row>
    <row r="43" spans="1:5" x14ac:dyDescent="0.25">
      <c r="B43" s="81">
        <f>SUM(B2:B42)</f>
        <v>37616.74</v>
      </c>
    </row>
    <row r="46" spans="1:5" x14ac:dyDescent="0.25">
      <c r="A46" s="4" t="s">
        <v>65</v>
      </c>
      <c r="B46" s="95" t="s">
        <v>0</v>
      </c>
      <c r="C46" s="4" t="s">
        <v>1</v>
      </c>
      <c r="D46" s="4" t="s">
        <v>872</v>
      </c>
      <c r="E46" s="4" t="s">
        <v>4</v>
      </c>
    </row>
    <row r="47" spans="1:5" x14ac:dyDescent="0.25">
      <c r="A47" s="93">
        <v>46376</v>
      </c>
      <c r="B47" s="45">
        <v>22</v>
      </c>
      <c r="C47" s="45" t="s">
        <v>789</v>
      </c>
      <c r="D47" s="94">
        <v>15</v>
      </c>
      <c r="E47" s="94">
        <f>B47*D47</f>
        <v>330</v>
      </c>
    </row>
    <row r="48" spans="1:5" x14ac:dyDescent="0.25">
      <c r="A48" s="93">
        <v>46376</v>
      </c>
      <c r="B48" s="45">
        <v>3</v>
      </c>
      <c r="C48" s="45" t="s">
        <v>995</v>
      </c>
      <c r="D48" s="94">
        <v>20</v>
      </c>
      <c r="E48" s="94">
        <f>B48*D48</f>
        <v>60</v>
      </c>
    </row>
    <row r="49" spans="1:12" x14ac:dyDescent="0.25">
      <c r="A49" s="93">
        <v>46376</v>
      </c>
      <c r="B49" s="45">
        <v>2</v>
      </c>
      <c r="C49" s="45" t="s">
        <v>996</v>
      </c>
      <c r="D49" s="94">
        <v>20</v>
      </c>
      <c r="E49" s="94">
        <f t="shared" ref="E49:E52" si="1">B49*D49</f>
        <v>40</v>
      </c>
    </row>
    <row r="50" spans="1:12" x14ac:dyDescent="0.25">
      <c r="A50" s="93">
        <v>46379</v>
      </c>
      <c r="B50" s="45">
        <v>9</v>
      </c>
      <c r="C50" s="45" t="s">
        <v>996</v>
      </c>
      <c r="D50" s="94">
        <v>20</v>
      </c>
      <c r="E50" s="94">
        <f t="shared" si="1"/>
        <v>180</v>
      </c>
    </row>
    <row r="51" spans="1:12" x14ac:dyDescent="0.25">
      <c r="A51" s="93">
        <v>46379</v>
      </c>
      <c r="B51" s="45">
        <v>11</v>
      </c>
      <c r="C51" s="45" t="s">
        <v>995</v>
      </c>
      <c r="D51" s="94">
        <v>20</v>
      </c>
      <c r="E51" s="94">
        <f t="shared" si="1"/>
        <v>220</v>
      </c>
    </row>
    <row r="52" spans="1:12" x14ac:dyDescent="0.25">
      <c r="A52" s="93">
        <v>46379</v>
      </c>
      <c r="B52" s="45">
        <v>2</v>
      </c>
      <c r="C52" s="45" t="s">
        <v>997</v>
      </c>
      <c r="D52" s="94">
        <v>10</v>
      </c>
      <c r="E52" s="94">
        <f t="shared" si="1"/>
        <v>20</v>
      </c>
    </row>
    <row r="53" spans="1:12" x14ac:dyDescent="0.25">
      <c r="A53" s="45"/>
      <c r="B53" s="45"/>
      <c r="C53" s="45" t="s">
        <v>998</v>
      </c>
      <c r="D53" s="96" t="s">
        <v>80</v>
      </c>
      <c r="E53" s="94">
        <f>SUM(E47:E52)</f>
        <v>850</v>
      </c>
    </row>
    <row r="54" spans="1:12" x14ac:dyDescent="0.25">
      <c r="A54" s="167" t="s">
        <v>1025</v>
      </c>
      <c r="B54" s="167"/>
      <c r="C54" s="167"/>
      <c r="D54" s="167"/>
      <c r="E54" s="167"/>
    </row>
    <row r="55" spans="1:12" x14ac:dyDescent="0.25">
      <c r="A55" s="4" t="s">
        <v>65</v>
      </c>
      <c r="B55" s="95" t="s">
        <v>0</v>
      </c>
      <c r="C55" s="4" t="s">
        <v>1</v>
      </c>
      <c r="D55" s="4" t="s">
        <v>872</v>
      </c>
      <c r="E55" s="4" t="s">
        <v>4</v>
      </c>
      <c r="F55" s="4" t="s">
        <v>564</v>
      </c>
      <c r="H55" t="s">
        <v>995</v>
      </c>
      <c r="I55">
        <v>2</v>
      </c>
      <c r="J55" s="79">
        <v>46385</v>
      </c>
      <c r="K55">
        <v>1258</v>
      </c>
      <c r="L55" t="s">
        <v>454</v>
      </c>
    </row>
    <row r="56" spans="1:12" x14ac:dyDescent="0.25">
      <c r="A56" s="68">
        <v>46025</v>
      </c>
      <c r="B56" s="45">
        <v>2</v>
      </c>
      <c r="C56" s="45" t="s">
        <v>295</v>
      </c>
      <c r="D56" s="65">
        <v>15</v>
      </c>
      <c r="E56" s="65">
        <f>(B56*D56)</f>
        <v>30</v>
      </c>
      <c r="F56" s="2"/>
      <c r="J56" s="79"/>
    </row>
    <row r="57" spans="1:12" x14ac:dyDescent="0.25">
      <c r="A57" s="68">
        <v>46025</v>
      </c>
      <c r="B57" s="45">
        <v>8</v>
      </c>
      <c r="C57" s="45" t="s">
        <v>717</v>
      </c>
      <c r="D57" s="65">
        <v>40</v>
      </c>
      <c r="E57" s="65">
        <f t="shared" ref="E57:E60" si="2">(B57*D57)</f>
        <v>320</v>
      </c>
      <c r="F57" s="2"/>
      <c r="H57" t="s">
        <v>995</v>
      </c>
      <c r="I57" s="11">
        <v>2</v>
      </c>
      <c r="J57" s="99">
        <v>46385</v>
      </c>
      <c r="K57" s="11">
        <v>1256</v>
      </c>
      <c r="L57" s="11" t="s">
        <v>1015</v>
      </c>
    </row>
    <row r="58" spans="1:12" x14ac:dyDescent="0.25">
      <c r="A58" s="68">
        <v>46025</v>
      </c>
      <c r="B58" s="45">
        <v>2</v>
      </c>
      <c r="C58" s="45" t="s">
        <v>717</v>
      </c>
      <c r="D58" s="65">
        <v>20</v>
      </c>
      <c r="E58" s="65">
        <f t="shared" si="2"/>
        <v>40</v>
      </c>
      <c r="F58" s="2"/>
      <c r="I58" s="20">
        <v>1</v>
      </c>
      <c r="J58" s="98">
        <v>46385</v>
      </c>
      <c r="K58" s="20">
        <v>628</v>
      </c>
      <c r="L58" s="20" t="s">
        <v>1014</v>
      </c>
    </row>
    <row r="59" spans="1:12" x14ac:dyDescent="0.25">
      <c r="A59" s="68">
        <v>46025</v>
      </c>
      <c r="B59" s="45">
        <v>4</v>
      </c>
      <c r="C59" s="45" t="s">
        <v>716</v>
      </c>
      <c r="D59" s="65">
        <v>20</v>
      </c>
      <c r="E59" s="65">
        <f t="shared" si="2"/>
        <v>80</v>
      </c>
      <c r="F59" s="2"/>
      <c r="I59" s="20">
        <v>1</v>
      </c>
      <c r="J59" s="98">
        <v>46385</v>
      </c>
      <c r="K59" s="20">
        <v>628</v>
      </c>
      <c r="L59" s="20" t="s">
        <v>1014</v>
      </c>
    </row>
    <row r="60" spans="1:12" x14ac:dyDescent="0.25">
      <c r="A60" s="68">
        <v>46025</v>
      </c>
      <c r="B60" s="45">
        <v>2</v>
      </c>
      <c r="C60" s="45" t="s">
        <v>717</v>
      </c>
      <c r="D60" s="65">
        <v>20</v>
      </c>
      <c r="E60" s="65">
        <f t="shared" si="2"/>
        <v>40</v>
      </c>
      <c r="F60" s="2" t="s">
        <v>62</v>
      </c>
      <c r="H60" t="s">
        <v>995</v>
      </c>
      <c r="I60">
        <v>1</v>
      </c>
      <c r="J60" s="79">
        <v>46385</v>
      </c>
      <c r="K60">
        <v>628</v>
      </c>
      <c r="L60" t="s">
        <v>1014</v>
      </c>
    </row>
    <row r="61" spans="1:12" x14ac:dyDescent="0.25">
      <c r="A61" s="2"/>
      <c r="B61" s="2"/>
      <c r="C61" s="2"/>
      <c r="D61" s="73" t="s">
        <v>80</v>
      </c>
      <c r="E61" s="65">
        <f>SUM(E56:E60)</f>
        <v>510</v>
      </c>
      <c r="F61" s="2"/>
      <c r="H61" t="s">
        <v>995</v>
      </c>
      <c r="I61">
        <v>1</v>
      </c>
      <c r="J61" s="79">
        <v>46385</v>
      </c>
      <c r="K61">
        <v>628</v>
      </c>
      <c r="L61" t="s">
        <v>1014</v>
      </c>
    </row>
    <row r="62" spans="1:12" x14ac:dyDescent="0.25">
      <c r="H62" t="s">
        <v>995</v>
      </c>
      <c r="I62">
        <v>1</v>
      </c>
      <c r="J62" s="79">
        <v>46385</v>
      </c>
      <c r="K62">
        <v>628</v>
      </c>
      <c r="L62" t="s">
        <v>1014</v>
      </c>
    </row>
    <row r="63" spans="1:12" x14ac:dyDescent="0.25">
      <c r="H63" t="s">
        <v>995</v>
      </c>
      <c r="I63">
        <v>1</v>
      </c>
      <c r="J63" s="79">
        <v>46385</v>
      </c>
      <c r="K63">
        <v>628</v>
      </c>
      <c r="L63" t="s">
        <v>1014</v>
      </c>
    </row>
    <row r="64" spans="1:12" x14ac:dyDescent="0.25">
      <c r="H64" t="s">
        <v>995</v>
      </c>
      <c r="I64">
        <v>1</v>
      </c>
      <c r="J64" s="79">
        <v>46385</v>
      </c>
      <c r="K64">
        <v>628</v>
      </c>
      <c r="L64" t="s">
        <v>1016</v>
      </c>
    </row>
    <row r="65" spans="8:13" x14ac:dyDescent="0.25">
      <c r="H65" t="s">
        <v>995</v>
      </c>
      <c r="I65">
        <v>1</v>
      </c>
      <c r="J65" s="79">
        <v>46385</v>
      </c>
      <c r="K65">
        <v>628</v>
      </c>
      <c r="L65" t="s">
        <v>1016</v>
      </c>
    </row>
    <row r="66" spans="8:13" x14ac:dyDescent="0.25">
      <c r="H66" t="s">
        <v>995</v>
      </c>
      <c r="I66">
        <v>2</v>
      </c>
      <c r="J66" s="79">
        <v>46380</v>
      </c>
      <c r="K66">
        <v>1258</v>
      </c>
      <c r="L66" t="s">
        <v>1018</v>
      </c>
    </row>
    <row r="67" spans="8:13" x14ac:dyDescent="0.25">
      <c r="H67" t="s">
        <v>996</v>
      </c>
      <c r="I67">
        <v>2</v>
      </c>
      <c r="J67" s="79">
        <v>46380</v>
      </c>
      <c r="K67">
        <v>1128</v>
      </c>
      <c r="L67" t="s">
        <v>1019</v>
      </c>
    </row>
    <row r="68" spans="8:13" x14ac:dyDescent="0.25">
      <c r="H68" t="s">
        <v>996</v>
      </c>
      <c r="I68">
        <v>2</v>
      </c>
      <c r="J68" s="79">
        <v>46380</v>
      </c>
      <c r="K68">
        <v>954</v>
      </c>
      <c r="L68" t="s">
        <v>1018</v>
      </c>
    </row>
    <row r="69" spans="8:13" x14ac:dyDescent="0.25">
      <c r="I69">
        <v>2</v>
      </c>
      <c r="J69" s="79">
        <v>46380</v>
      </c>
      <c r="K69">
        <v>796</v>
      </c>
      <c r="L69" t="s">
        <v>1017</v>
      </c>
      <c r="M69" t="s">
        <v>789</v>
      </c>
    </row>
    <row r="70" spans="8:13" x14ac:dyDescent="0.25">
      <c r="J70" s="79">
        <v>46380</v>
      </c>
      <c r="K70">
        <v>2216</v>
      </c>
      <c r="L70" t="s">
        <v>1020</v>
      </c>
    </row>
    <row r="75" spans="8:13" x14ac:dyDescent="0.25">
      <c r="I75">
        <v>2</v>
      </c>
      <c r="J75" t="s">
        <v>1021</v>
      </c>
      <c r="K75" t="s">
        <v>47</v>
      </c>
    </row>
  </sheetData>
  <mergeCells count="1">
    <mergeCell ref="A54:E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0D5CE-4873-448D-A20D-8AD8B0BC412B}">
  <dimension ref="A1:C12"/>
  <sheetViews>
    <sheetView workbookViewId="0">
      <selection activeCell="H18" sqref="H18"/>
    </sheetView>
  </sheetViews>
  <sheetFormatPr defaultRowHeight="15" x14ac:dyDescent="0.25"/>
  <sheetData>
    <row r="1" spans="1:3" x14ac:dyDescent="0.25">
      <c r="A1" t="s">
        <v>65</v>
      </c>
      <c r="B1" t="s">
        <v>772</v>
      </c>
      <c r="C1" t="s">
        <v>773</v>
      </c>
    </row>
    <row r="2" spans="1:3" x14ac:dyDescent="0.25">
      <c r="A2" s="79">
        <v>45991</v>
      </c>
      <c r="B2">
        <v>2</v>
      </c>
      <c r="C2" s="81">
        <v>796</v>
      </c>
    </row>
    <row r="3" spans="1:3" x14ac:dyDescent="0.25">
      <c r="A3" s="79">
        <v>45991</v>
      </c>
      <c r="B3">
        <v>1</v>
      </c>
      <c r="C3" s="81">
        <v>398</v>
      </c>
    </row>
    <row r="4" spans="1:3" x14ac:dyDescent="0.25">
      <c r="A4" s="79">
        <v>45991</v>
      </c>
      <c r="B4">
        <v>2</v>
      </c>
      <c r="C4" s="81">
        <v>796</v>
      </c>
    </row>
    <row r="5" spans="1:3" x14ac:dyDescent="0.25">
      <c r="A5" s="79">
        <v>45991</v>
      </c>
      <c r="B5">
        <v>6</v>
      </c>
      <c r="C5" s="81">
        <v>2388</v>
      </c>
    </row>
    <row r="6" spans="1:3" x14ac:dyDescent="0.25">
      <c r="A6" s="79">
        <v>45991</v>
      </c>
      <c r="B6">
        <v>13</v>
      </c>
      <c r="C6" s="81">
        <v>5174</v>
      </c>
    </row>
    <row r="7" spans="1:3" x14ac:dyDescent="0.25">
      <c r="A7" s="79">
        <v>45991</v>
      </c>
      <c r="B7">
        <v>11</v>
      </c>
      <c r="C7" s="81">
        <v>4378</v>
      </c>
    </row>
    <row r="8" spans="1:3" x14ac:dyDescent="0.25">
      <c r="A8" s="79">
        <v>45991</v>
      </c>
      <c r="B8">
        <v>2</v>
      </c>
      <c r="C8" s="81">
        <v>796</v>
      </c>
    </row>
    <row r="9" spans="1:3" x14ac:dyDescent="0.25">
      <c r="A9" s="79">
        <v>45991</v>
      </c>
      <c r="B9">
        <v>3</v>
      </c>
      <c r="C9" s="81">
        <v>1194</v>
      </c>
    </row>
    <row r="10" spans="1:3" x14ac:dyDescent="0.25">
      <c r="A10" s="79">
        <v>45991</v>
      </c>
      <c r="B10">
        <v>4</v>
      </c>
      <c r="C10" s="81">
        <v>1592</v>
      </c>
    </row>
    <row r="11" spans="1:3" x14ac:dyDescent="0.25">
      <c r="A11" s="79">
        <v>45991</v>
      </c>
      <c r="B11">
        <v>3</v>
      </c>
      <c r="C11" s="81">
        <v>1200</v>
      </c>
    </row>
    <row r="12" spans="1:3" x14ac:dyDescent="0.25">
      <c r="B12">
        <f>SUM(B2:B11)</f>
        <v>47</v>
      </c>
      <c r="C12" s="81">
        <f>SUM(C2:C11)</f>
        <v>18712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4875F-D429-4CE7-AE39-3DD74060A467}">
  <dimension ref="A1:K28"/>
  <sheetViews>
    <sheetView workbookViewId="0">
      <selection activeCell="B26" sqref="B26"/>
    </sheetView>
  </sheetViews>
  <sheetFormatPr defaultRowHeight="15" x14ac:dyDescent="0.25"/>
  <cols>
    <col min="3" max="3" width="26" bestFit="1" customWidth="1"/>
    <col min="4" max="4" width="23" bestFit="1" customWidth="1"/>
    <col min="5" max="5" width="7.5703125" bestFit="1" customWidth="1"/>
    <col min="7" max="7" width="33.140625" bestFit="1" customWidth="1"/>
    <col min="10" max="10" width="34.85546875" bestFit="1" customWidth="1"/>
    <col min="11" max="11" width="10.42578125" bestFit="1" customWidth="1"/>
    <col min="12" max="12" width="11.42578125" bestFit="1" customWidth="1"/>
    <col min="13" max="13" width="12.140625" bestFit="1" customWidth="1"/>
    <col min="14" max="14" width="9.7109375" bestFit="1" customWidth="1"/>
    <col min="15" max="15" width="7.85546875" bestFit="1" customWidth="1"/>
    <col min="16" max="16" width="18.7109375" bestFit="1" customWidth="1"/>
    <col min="17" max="17" width="9.28515625" bestFit="1" customWidth="1"/>
    <col min="18" max="18" width="7.85546875" bestFit="1" customWidth="1"/>
    <col min="19" max="19" width="26.5703125" bestFit="1" customWidth="1"/>
    <col min="20" max="20" width="18.28515625" bestFit="1" customWidth="1"/>
    <col min="21" max="21" width="7" bestFit="1" customWidth="1"/>
    <col min="22" max="22" width="10.7109375" bestFit="1" customWidth="1"/>
  </cols>
  <sheetData>
    <row r="1" spans="1:11" x14ac:dyDescent="0.25">
      <c r="A1" s="44" t="s">
        <v>65</v>
      </c>
      <c r="B1" s="4" t="s">
        <v>0</v>
      </c>
      <c r="C1" s="5" t="s">
        <v>252</v>
      </c>
      <c r="D1" s="4" t="s">
        <v>2</v>
      </c>
      <c r="E1" s="9" t="s">
        <v>3</v>
      </c>
      <c r="F1" s="9" t="s">
        <v>4</v>
      </c>
      <c r="G1" s="4" t="s">
        <v>5</v>
      </c>
      <c r="J1" s="13" t="s">
        <v>2</v>
      </c>
      <c r="K1" t="s">
        <v>755</v>
      </c>
    </row>
    <row r="2" spans="1:11" x14ac:dyDescent="0.25">
      <c r="A2" s="68">
        <v>45980</v>
      </c>
      <c r="B2" s="2">
        <v>15</v>
      </c>
      <c r="C2" s="2" t="s">
        <v>697</v>
      </c>
      <c r="D2" s="2" t="s">
        <v>30</v>
      </c>
      <c r="E2" s="3">
        <v>125</v>
      </c>
      <c r="F2" s="3">
        <v>1875</v>
      </c>
      <c r="G2" s="2" t="s">
        <v>718</v>
      </c>
    </row>
    <row r="3" spans="1:11" x14ac:dyDescent="0.25">
      <c r="A3" s="68">
        <v>45981</v>
      </c>
      <c r="B3" s="2">
        <v>12</v>
      </c>
      <c r="C3" s="2" t="s">
        <v>697</v>
      </c>
      <c r="D3" s="2" t="s">
        <v>701</v>
      </c>
      <c r="E3" s="3">
        <v>125</v>
      </c>
      <c r="F3" s="3">
        <v>1500</v>
      </c>
      <c r="G3" s="2" t="s">
        <v>757</v>
      </c>
      <c r="J3" s="13" t="s">
        <v>78</v>
      </c>
      <c r="K3" t="s">
        <v>81</v>
      </c>
    </row>
    <row r="4" spans="1:11" x14ac:dyDescent="0.25">
      <c r="A4" s="68">
        <v>45981</v>
      </c>
      <c r="B4" s="2">
        <v>23</v>
      </c>
      <c r="C4" s="2" t="s">
        <v>697</v>
      </c>
      <c r="D4" s="2" t="s">
        <v>702</v>
      </c>
      <c r="E4" s="3">
        <v>125</v>
      </c>
      <c r="F4" s="3">
        <v>2875</v>
      </c>
      <c r="G4" s="2" t="s">
        <v>753</v>
      </c>
      <c r="J4" s="14" t="s">
        <v>718</v>
      </c>
      <c r="K4">
        <v>26</v>
      </c>
    </row>
    <row r="5" spans="1:11" x14ac:dyDescent="0.25">
      <c r="A5" s="68">
        <v>45982</v>
      </c>
      <c r="B5" s="2">
        <v>1</v>
      </c>
      <c r="C5" s="2" t="s">
        <v>711</v>
      </c>
      <c r="D5" s="2" t="s">
        <v>712</v>
      </c>
      <c r="E5" s="3">
        <v>598</v>
      </c>
      <c r="F5" s="3">
        <v>598</v>
      </c>
      <c r="G5" s="2" t="s">
        <v>231</v>
      </c>
      <c r="J5" s="74" t="s">
        <v>697</v>
      </c>
      <c r="K5">
        <v>15</v>
      </c>
    </row>
    <row r="6" spans="1:11" x14ac:dyDescent="0.25">
      <c r="A6" s="68">
        <v>45982</v>
      </c>
      <c r="B6" s="2">
        <v>5</v>
      </c>
      <c r="C6" s="2" t="s">
        <v>716</v>
      </c>
      <c r="D6" s="2" t="s">
        <v>87</v>
      </c>
      <c r="E6" s="3">
        <v>509</v>
      </c>
      <c r="F6" s="3">
        <v>2545</v>
      </c>
      <c r="G6" s="2" t="s">
        <v>718</v>
      </c>
      <c r="J6" s="74" t="s">
        <v>716</v>
      </c>
      <c r="K6">
        <v>5</v>
      </c>
    </row>
    <row r="7" spans="1:11" x14ac:dyDescent="0.25">
      <c r="A7" s="68">
        <v>45982</v>
      </c>
      <c r="B7" s="2">
        <v>6</v>
      </c>
      <c r="C7" s="2" t="s">
        <v>717</v>
      </c>
      <c r="D7" s="2" t="s">
        <v>87</v>
      </c>
      <c r="E7" s="3">
        <v>659</v>
      </c>
      <c r="F7" s="3">
        <v>3954</v>
      </c>
      <c r="G7" s="2" t="s">
        <v>718</v>
      </c>
      <c r="J7" s="74" t="s">
        <v>717</v>
      </c>
      <c r="K7">
        <v>6</v>
      </c>
    </row>
    <row r="8" spans="1:11" x14ac:dyDescent="0.25">
      <c r="A8" s="68">
        <v>45982</v>
      </c>
      <c r="B8" s="2">
        <v>3</v>
      </c>
      <c r="C8" s="2" t="s">
        <v>717</v>
      </c>
      <c r="D8" s="2" t="s">
        <v>87</v>
      </c>
      <c r="E8" s="3">
        <v>659</v>
      </c>
      <c r="F8" s="3">
        <v>1977</v>
      </c>
      <c r="G8" s="2" t="s">
        <v>752</v>
      </c>
      <c r="J8" s="14" t="s">
        <v>231</v>
      </c>
      <c r="K8">
        <v>1</v>
      </c>
    </row>
    <row r="9" spans="1:11" x14ac:dyDescent="0.25">
      <c r="A9" s="68">
        <v>45982</v>
      </c>
      <c r="B9" s="2">
        <v>7</v>
      </c>
      <c r="C9" s="2" t="s">
        <v>716</v>
      </c>
      <c r="D9" s="2" t="s">
        <v>87</v>
      </c>
      <c r="E9" s="3">
        <v>509</v>
      </c>
      <c r="F9" s="3">
        <v>3563</v>
      </c>
      <c r="G9" s="2" t="s">
        <v>752</v>
      </c>
      <c r="J9" s="74" t="s">
        <v>711</v>
      </c>
      <c r="K9">
        <v>1</v>
      </c>
    </row>
    <row r="10" spans="1:11" x14ac:dyDescent="0.25">
      <c r="A10" s="68">
        <v>45982</v>
      </c>
      <c r="B10" s="2">
        <v>5</v>
      </c>
      <c r="C10" s="2" t="s">
        <v>721</v>
      </c>
      <c r="D10" s="2" t="s">
        <v>87</v>
      </c>
      <c r="E10" s="3">
        <v>659</v>
      </c>
      <c r="F10" s="3">
        <v>3295</v>
      </c>
      <c r="G10" s="2" t="s">
        <v>753</v>
      </c>
      <c r="J10" s="14" t="s">
        <v>754</v>
      </c>
      <c r="K10">
        <v>8</v>
      </c>
    </row>
    <row r="11" spans="1:11" x14ac:dyDescent="0.25">
      <c r="A11" s="68">
        <v>45982</v>
      </c>
      <c r="B11" s="2">
        <v>9</v>
      </c>
      <c r="C11" s="2" t="s">
        <v>722</v>
      </c>
      <c r="D11" s="2" t="s">
        <v>87</v>
      </c>
      <c r="E11" s="3">
        <v>509</v>
      </c>
      <c r="F11" s="3">
        <v>4581</v>
      </c>
      <c r="G11" s="2" t="s">
        <v>753</v>
      </c>
      <c r="J11" s="74" t="s">
        <v>722</v>
      </c>
      <c r="K11">
        <v>8</v>
      </c>
    </row>
    <row r="12" spans="1:11" x14ac:dyDescent="0.25">
      <c r="A12" s="68">
        <v>45982</v>
      </c>
      <c r="B12" s="2">
        <v>8</v>
      </c>
      <c r="C12" s="2" t="s">
        <v>722</v>
      </c>
      <c r="D12" s="2" t="s">
        <v>87</v>
      </c>
      <c r="E12" s="3">
        <v>509</v>
      </c>
      <c r="F12" s="3">
        <v>4072</v>
      </c>
      <c r="G12" s="2" t="s">
        <v>754</v>
      </c>
      <c r="J12" s="14" t="s">
        <v>753</v>
      </c>
      <c r="K12">
        <v>37</v>
      </c>
    </row>
    <row r="13" spans="1:11" x14ac:dyDescent="0.25">
      <c r="A13" s="68">
        <v>45989</v>
      </c>
      <c r="B13" s="2">
        <v>6</v>
      </c>
      <c r="C13" s="2" t="s">
        <v>647</v>
      </c>
      <c r="D13" s="2" t="s">
        <v>364</v>
      </c>
      <c r="E13" s="3">
        <v>419</v>
      </c>
      <c r="F13" s="3">
        <v>2514</v>
      </c>
      <c r="G13" s="2" t="s">
        <v>743</v>
      </c>
      <c r="J13" s="74" t="s">
        <v>697</v>
      </c>
      <c r="K13">
        <v>23</v>
      </c>
    </row>
    <row r="14" spans="1:11" x14ac:dyDescent="0.25">
      <c r="A14" s="68">
        <v>45989</v>
      </c>
      <c r="B14" s="2">
        <v>10</v>
      </c>
      <c r="C14" s="2" t="s">
        <v>744</v>
      </c>
      <c r="D14" s="2" t="s">
        <v>364</v>
      </c>
      <c r="E14" s="3">
        <v>125</v>
      </c>
      <c r="F14" s="3">
        <v>1250</v>
      </c>
      <c r="G14" s="2" t="s">
        <v>750</v>
      </c>
      <c r="J14" s="74" t="s">
        <v>722</v>
      </c>
      <c r="K14">
        <v>9</v>
      </c>
    </row>
    <row r="15" spans="1:11" x14ac:dyDescent="0.25">
      <c r="A15" s="68">
        <v>45989</v>
      </c>
      <c r="B15" s="2">
        <v>3</v>
      </c>
      <c r="C15" s="2" t="s">
        <v>647</v>
      </c>
      <c r="D15" s="2" t="s">
        <v>364</v>
      </c>
      <c r="E15" s="3">
        <v>419</v>
      </c>
      <c r="F15" s="3">
        <v>1257</v>
      </c>
      <c r="G15" s="2" t="s">
        <v>11</v>
      </c>
      <c r="J15" s="74" t="s">
        <v>721</v>
      </c>
      <c r="K15">
        <v>5</v>
      </c>
    </row>
    <row r="16" spans="1:11" x14ac:dyDescent="0.25">
      <c r="A16" s="68">
        <v>45989</v>
      </c>
      <c r="B16" s="2">
        <v>2</v>
      </c>
      <c r="C16" s="2" t="s">
        <v>647</v>
      </c>
      <c r="D16" s="2" t="s">
        <v>364</v>
      </c>
      <c r="E16" s="3">
        <v>419</v>
      </c>
      <c r="F16" s="3">
        <v>838</v>
      </c>
      <c r="G16" s="2" t="s">
        <v>102</v>
      </c>
      <c r="J16" s="14" t="s">
        <v>743</v>
      </c>
      <c r="K16">
        <v>6</v>
      </c>
    </row>
    <row r="17" spans="1:11" x14ac:dyDescent="0.25">
      <c r="A17" s="68">
        <v>45990</v>
      </c>
      <c r="B17" s="2">
        <v>1</v>
      </c>
      <c r="C17" s="2" t="s">
        <v>747</v>
      </c>
      <c r="D17" s="2" t="s">
        <v>230</v>
      </c>
      <c r="E17" s="3">
        <v>399</v>
      </c>
      <c r="F17" s="3">
        <v>399</v>
      </c>
      <c r="G17" s="2" t="s">
        <v>102</v>
      </c>
      <c r="J17" s="74" t="s">
        <v>647</v>
      </c>
      <c r="K17">
        <v>6</v>
      </c>
    </row>
    <row r="18" spans="1:11" x14ac:dyDescent="0.25">
      <c r="A18" s="68">
        <v>45990</v>
      </c>
      <c r="B18" s="2">
        <v>2</v>
      </c>
      <c r="C18" s="2" t="s">
        <v>664</v>
      </c>
      <c r="D18" s="2" t="s">
        <v>748</v>
      </c>
      <c r="E18" s="3">
        <v>398</v>
      </c>
      <c r="F18" s="3">
        <v>796</v>
      </c>
      <c r="G18" s="2" t="s">
        <v>756</v>
      </c>
      <c r="J18" s="14" t="s">
        <v>11</v>
      </c>
      <c r="K18">
        <v>3</v>
      </c>
    </row>
    <row r="19" spans="1:11" x14ac:dyDescent="0.25">
      <c r="J19" s="74" t="s">
        <v>647</v>
      </c>
      <c r="K19">
        <v>3</v>
      </c>
    </row>
    <row r="20" spans="1:11" x14ac:dyDescent="0.25">
      <c r="J20" s="14" t="s">
        <v>102</v>
      </c>
      <c r="K20">
        <v>3</v>
      </c>
    </row>
    <row r="21" spans="1:11" x14ac:dyDescent="0.25">
      <c r="J21" s="74" t="s">
        <v>647</v>
      </c>
      <c r="K21">
        <v>2</v>
      </c>
    </row>
    <row r="22" spans="1:11" x14ac:dyDescent="0.25">
      <c r="J22" s="74" t="s">
        <v>747</v>
      </c>
      <c r="K22">
        <v>1</v>
      </c>
    </row>
    <row r="23" spans="1:11" x14ac:dyDescent="0.25">
      <c r="J23" s="14" t="s">
        <v>750</v>
      </c>
      <c r="K23">
        <v>10</v>
      </c>
    </row>
    <row r="24" spans="1:11" x14ac:dyDescent="0.25">
      <c r="J24" s="74" t="s">
        <v>744</v>
      </c>
      <c r="K24">
        <v>10</v>
      </c>
    </row>
    <row r="25" spans="1:11" x14ac:dyDescent="0.25">
      <c r="J25" s="14" t="s">
        <v>752</v>
      </c>
      <c r="K25">
        <v>10</v>
      </c>
    </row>
    <row r="26" spans="1:11" x14ac:dyDescent="0.25">
      <c r="J26" s="74" t="s">
        <v>716</v>
      </c>
      <c r="K26">
        <v>7</v>
      </c>
    </row>
    <row r="27" spans="1:11" x14ac:dyDescent="0.25">
      <c r="J27" s="74" t="s">
        <v>717</v>
      </c>
      <c r="K27">
        <v>3</v>
      </c>
    </row>
    <row r="28" spans="1:11" x14ac:dyDescent="0.25">
      <c r="J28" s="14" t="s">
        <v>80</v>
      </c>
      <c r="K28">
        <v>104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382A-E153-43E6-A591-401E5013DDAA}">
  <dimension ref="A1:W12"/>
  <sheetViews>
    <sheetView workbookViewId="0">
      <selection activeCell="H20" sqref="H20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5.85546875" bestFit="1" customWidth="1"/>
    <col min="4" max="4" width="15.7109375" bestFit="1" customWidth="1"/>
    <col min="5" max="5" width="6.42578125" bestFit="1" customWidth="1"/>
    <col min="6" max="6" width="7.42578125" bestFit="1" customWidth="1"/>
    <col min="7" max="7" width="14.42578125" bestFit="1" customWidth="1"/>
    <col min="8" max="8" width="15" bestFit="1" customWidth="1"/>
    <col min="9" max="9" width="12.140625" bestFit="1" customWidth="1"/>
    <col min="12" max="12" width="15.85546875" bestFit="1" customWidth="1"/>
    <col min="13" max="13" width="10.42578125" bestFit="1" customWidth="1"/>
    <col min="15" max="15" width="12.5703125" bestFit="1" customWidth="1"/>
    <col min="16" max="16" width="10.42578125" bestFit="1" customWidth="1"/>
    <col min="18" max="18" width="15.7109375" bestFit="1" customWidth="1"/>
    <col min="19" max="19" width="10.42578125" bestFit="1" customWidth="1"/>
  </cols>
  <sheetData>
    <row r="1" spans="1:23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L1" s="13" t="s">
        <v>78</v>
      </c>
      <c r="M1" t="s">
        <v>81</v>
      </c>
      <c r="O1" s="13" t="s">
        <v>78</v>
      </c>
      <c r="P1" t="s">
        <v>81</v>
      </c>
      <c r="R1" s="13" t="s">
        <v>78</v>
      </c>
      <c r="S1" t="s">
        <v>81</v>
      </c>
    </row>
    <row r="2" spans="1:23" x14ac:dyDescent="0.25">
      <c r="A2" s="68">
        <v>45957</v>
      </c>
      <c r="B2" s="2">
        <v>1</v>
      </c>
      <c r="C2" s="2" t="s">
        <v>406</v>
      </c>
      <c r="D2" s="2" t="s">
        <v>635</v>
      </c>
      <c r="E2" s="65">
        <v>1449</v>
      </c>
      <c r="F2" s="65">
        <v>1449</v>
      </c>
      <c r="G2" s="2" t="s">
        <v>348</v>
      </c>
      <c r="H2" s="2" t="s">
        <v>636</v>
      </c>
      <c r="I2" s="2"/>
      <c r="L2" s="14" t="s">
        <v>639</v>
      </c>
      <c r="M2">
        <v>1</v>
      </c>
      <c r="O2" s="14" t="s">
        <v>582</v>
      </c>
      <c r="P2">
        <v>1</v>
      </c>
      <c r="R2" s="14" t="s">
        <v>323</v>
      </c>
      <c r="S2">
        <v>21</v>
      </c>
      <c r="V2">
        <v>21</v>
      </c>
      <c r="W2">
        <v>20</v>
      </c>
    </row>
    <row r="3" spans="1:23" x14ac:dyDescent="0.25">
      <c r="A3" s="68">
        <v>45957</v>
      </c>
      <c r="B3" s="2">
        <v>2</v>
      </c>
      <c r="C3" s="2" t="s">
        <v>406</v>
      </c>
      <c r="D3" s="2" t="s">
        <v>383</v>
      </c>
      <c r="E3" s="65">
        <v>1455</v>
      </c>
      <c r="F3" s="65">
        <f>E3*B3</f>
        <v>2910</v>
      </c>
      <c r="G3" s="2" t="s">
        <v>348</v>
      </c>
      <c r="H3" s="2" t="s">
        <v>638</v>
      </c>
      <c r="I3" s="72" t="s">
        <v>637</v>
      </c>
      <c r="L3" s="14" t="s">
        <v>406</v>
      </c>
      <c r="M3">
        <v>19</v>
      </c>
      <c r="O3" s="14" t="s">
        <v>580</v>
      </c>
      <c r="P3">
        <v>11</v>
      </c>
      <c r="R3" s="14" t="s">
        <v>459</v>
      </c>
      <c r="S3">
        <v>4</v>
      </c>
      <c r="V3">
        <v>4</v>
      </c>
      <c r="W3">
        <v>12</v>
      </c>
    </row>
    <row r="4" spans="1:23" x14ac:dyDescent="0.25">
      <c r="A4" s="68">
        <v>45958</v>
      </c>
      <c r="B4" s="2">
        <v>10</v>
      </c>
      <c r="C4" s="2" t="s">
        <v>406</v>
      </c>
      <c r="D4" s="2" t="s">
        <v>383</v>
      </c>
      <c r="E4" s="65">
        <v>1399</v>
      </c>
      <c r="F4" s="65">
        <f>E4*B4</f>
        <v>13990</v>
      </c>
      <c r="G4" s="2" t="s">
        <v>348</v>
      </c>
      <c r="H4" s="2" t="s">
        <v>636</v>
      </c>
      <c r="I4" s="2"/>
      <c r="L4" s="14" t="s">
        <v>378</v>
      </c>
      <c r="M4">
        <v>3</v>
      </c>
      <c r="O4" s="14" t="s">
        <v>378</v>
      </c>
      <c r="P4">
        <v>4</v>
      </c>
      <c r="R4" s="14" t="s">
        <v>80</v>
      </c>
      <c r="S4">
        <v>25</v>
      </c>
      <c r="V4">
        <v>3</v>
      </c>
      <c r="W4">
        <v>4</v>
      </c>
    </row>
    <row r="5" spans="1:23" x14ac:dyDescent="0.25">
      <c r="A5" s="68">
        <v>45958</v>
      </c>
      <c r="B5" s="2">
        <v>1</v>
      </c>
      <c r="C5" s="2" t="s">
        <v>391</v>
      </c>
      <c r="D5" s="2" t="s">
        <v>383</v>
      </c>
      <c r="E5" s="65">
        <v>9</v>
      </c>
      <c r="F5" s="65">
        <v>9</v>
      </c>
      <c r="G5" s="2"/>
      <c r="H5" s="2" t="s">
        <v>636</v>
      </c>
      <c r="I5" s="2"/>
      <c r="L5" s="14" t="s">
        <v>80</v>
      </c>
      <c r="M5">
        <v>23</v>
      </c>
      <c r="O5" s="14" t="s">
        <v>80</v>
      </c>
      <c r="P5">
        <v>16</v>
      </c>
    </row>
    <row r="6" spans="1:23" x14ac:dyDescent="0.25">
      <c r="A6" s="68">
        <v>45958</v>
      </c>
      <c r="B6" s="2">
        <v>3</v>
      </c>
      <c r="C6" s="2" t="s">
        <v>378</v>
      </c>
      <c r="D6" s="2" t="s">
        <v>383</v>
      </c>
      <c r="E6" s="65">
        <v>780</v>
      </c>
      <c r="F6" s="65">
        <f>E6*B6</f>
        <v>2340</v>
      </c>
      <c r="G6" s="2" t="s">
        <v>348</v>
      </c>
      <c r="H6" s="2" t="s">
        <v>636</v>
      </c>
      <c r="I6" s="2"/>
    </row>
    <row r="7" spans="1:23" x14ac:dyDescent="0.25">
      <c r="A7" s="68">
        <v>45958</v>
      </c>
      <c r="B7" s="2">
        <v>6</v>
      </c>
      <c r="C7" s="2" t="s">
        <v>406</v>
      </c>
      <c r="D7" s="2" t="s">
        <v>433</v>
      </c>
      <c r="E7" s="65">
        <v>1348</v>
      </c>
      <c r="F7" s="65">
        <f t="shared" ref="F7:F8" si="0">E7*B7</f>
        <v>8088</v>
      </c>
      <c r="G7" s="2" t="s">
        <v>348</v>
      </c>
      <c r="H7" s="2" t="s">
        <v>636</v>
      </c>
      <c r="I7" s="2"/>
    </row>
    <row r="8" spans="1:23" x14ac:dyDescent="0.25">
      <c r="A8" s="68">
        <v>45958</v>
      </c>
      <c r="B8" s="2">
        <v>1</v>
      </c>
      <c r="C8" s="2" t="s">
        <v>639</v>
      </c>
      <c r="D8" s="2" t="s">
        <v>433</v>
      </c>
      <c r="E8" s="65">
        <v>1348</v>
      </c>
      <c r="F8" s="65">
        <f t="shared" si="0"/>
        <v>1348</v>
      </c>
      <c r="G8" s="2" t="s">
        <v>348</v>
      </c>
      <c r="H8" s="2" t="s">
        <v>636</v>
      </c>
      <c r="I8" s="2"/>
    </row>
    <row r="9" spans="1:23" x14ac:dyDescent="0.25">
      <c r="A9" s="2"/>
      <c r="B9" s="2"/>
      <c r="C9" s="2"/>
      <c r="D9" s="2"/>
      <c r="E9" s="2"/>
      <c r="F9" s="2"/>
      <c r="G9" s="2"/>
      <c r="H9" s="2"/>
      <c r="I9" s="2"/>
    </row>
    <row r="10" spans="1:23" x14ac:dyDescent="0.25">
      <c r="A10" s="2"/>
      <c r="B10" s="2"/>
      <c r="C10" s="2"/>
      <c r="D10" s="2"/>
      <c r="E10" s="2"/>
      <c r="F10" s="2"/>
      <c r="G10" s="2"/>
      <c r="H10" s="2"/>
      <c r="I10" s="2"/>
    </row>
    <row r="11" spans="1:23" x14ac:dyDescent="0.25">
      <c r="A11" s="2"/>
      <c r="B11" s="2"/>
      <c r="C11" s="2"/>
      <c r="D11" s="2"/>
      <c r="E11" s="2"/>
      <c r="F11" s="2"/>
      <c r="G11" s="2"/>
      <c r="H11" s="2"/>
      <c r="I11" s="2"/>
    </row>
    <row r="12" spans="1:23" x14ac:dyDescent="0.25">
      <c r="A12" s="2"/>
      <c r="B12" s="2"/>
      <c r="C12" s="2"/>
      <c r="D12" s="2"/>
      <c r="E12" s="2"/>
      <c r="F12" s="2"/>
      <c r="G12" s="2"/>
      <c r="H12" s="2"/>
      <c r="I12" s="2"/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C4FFE-EB9D-4E44-AB93-525259D4E229}">
  <dimension ref="A1:I19"/>
  <sheetViews>
    <sheetView workbookViewId="0">
      <selection activeCell="H20" sqref="H20"/>
    </sheetView>
  </sheetViews>
  <sheetFormatPr defaultRowHeight="15" x14ac:dyDescent="0.25"/>
  <cols>
    <col min="1" max="1" width="16.5703125" bestFit="1" customWidth="1"/>
    <col min="2" max="2" width="4" bestFit="1" customWidth="1"/>
    <col min="3" max="4" width="17" bestFit="1" customWidth="1"/>
    <col min="6" max="6" width="10" bestFit="1" customWidth="1"/>
    <col min="7" max="7" width="14.42578125" bestFit="1" customWidth="1"/>
    <col min="8" max="8" width="15" bestFit="1" customWidth="1"/>
    <col min="9" max="9" width="12.140625" bestFit="1" customWidth="1"/>
  </cols>
  <sheetData>
    <row r="1" spans="1:9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</row>
    <row r="2" spans="1:9" x14ac:dyDescent="0.25">
      <c r="A2" s="78">
        <v>45964</v>
      </c>
      <c r="B2" s="2">
        <v>2</v>
      </c>
      <c r="C2" s="2" t="s">
        <v>582</v>
      </c>
      <c r="D2" s="2" t="s">
        <v>383</v>
      </c>
      <c r="E2" s="3">
        <v>1450</v>
      </c>
      <c r="F2" s="3">
        <f>B2*E2</f>
        <v>2900</v>
      </c>
      <c r="G2" s="2" t="s">
        <v>348</v>
      </c>
      <c r="H2" s="2" t="s">
        <v>464</v>
      </c>
      <c r="I2" s="2"/>
    </row>
    <row r="3" spans="1:9" x14ac:dyDescent="0.25">
      <c r="A3" s="78">
        <v>45964</v>
      </c>
      <c r="B3" s="10">
        <v>2</v>
      </c>
      <c r="C3" s="2" t="s">
        <v>580</v>
      </c>
      <c r="D3" s="2" t="s">
        <v>460</v>
      </c>
      <c r="E3" s="3">
        <v>1450</v>
      </c>
      <c r="F3" s="3">
        <f t="shared" ref="F3:F12" si="0">B3*E3</f>
        <v>2900</v>
      </c>
      <c r="G3" s="2" t="s">
        <v>348</v>
      </c>
      <c r="H3" s="2" t="s">
        <v>464</v>
      </c>
      <c r="I3" s="2"/>
    </row>
    <row r="4" spans="1:9" x14ac:dyDescent="0.25">
      <c r="A4" s="78">
        <v>45964</v>
      </c>
      <c r="B4" s="2">
        <v>1</v>
      </c>
      <c r="C4" s="2" t="s">
        <v>582</v>
      </c>
      <c r="D4" s="2" t="s">
        <v>635</v>
      </c>
      <c r="E4" s="3">
        <v>1480</v>
      </c>
      <c r="F4" s="3">
        <f t="shared" si="0"/>
        <v>1480</v>
      </c>
      <c r="G4" s="2" t="s">
        <v>348</v>
      </c>
      <c r="H4" s="2" t="s">
        <v>464</v>
      </c>
      <c r="I4" s="2"/>
    </row>
    <row r="5" spans="1:9" x14ac:dyDescent="0.25">
      <c r="A5" s="78">
        <v>45964</v>
      </c>
      <c r="B5" s="2">
        <v>4</v>
      </c>
      <c r="C5" s="2" t="s">
        <v>678</v>
      </c>
      <c r="D5" s="2" t="s">
        <v>383</v>
      </c>
      <c r="E5" s="3">
        <v>1399</v>
      </c>
      <c r="F5" s="3">
        <f t="shared" si="0"/>
        <v>5596</v>
      </c>
      <c r="G5" s="2" t="s">
        <v>348</v>
      </c>
      <c r="H5" s="2" t="s">
        <v>464</v>
      </c>
      <c r="I5" s="2"/>
    </row>
    <row r="6" spans="1:9" x14ac:dyDescent="0.25">
      <c r="A6" s="78">
        <v>45964</v>
      </c>
      <c r="B6" s="2">
        <v>2</v>
      </c>
      <c r="C6" s="2" t="s">
        <v>582</v>
      </c>
      <c r="D6" s="2" t="s">
        <v>383</v>
      </c>
      <c r="E6" s="3">
        <v>1399</v>
      </c>
      <c r="F6" s="3">
        <f t="shared" si="0"/>
        <v>2798</v>
      </c>
      <c r="G6" s="2" t="s">
        <v>348</v>
      </c>
      <c r="H6" s="2" t="s">
        <v>464</v>
      </c>
      <c r="I6" s="2"/>
    </row>
    <row r="7" spans="1:9" x14ac:dyDescent="0.25">
      <c r="A7" s="78">
        <v>45968</v>
      </c>
      <c r="B7" s="2">
        <v>60</v>
      </c>
      <c r="C7" s="2" t="s">
        <v>666</v>
      </c>
      <c r="D7" s="2" t="s">
        <v>667</v>
      </c>
      <c r="E7" s="3">
        <v>10</v>
      </c>
      <c r="F7" s="3">
        <f t="shared" si="0"/>
        <v>600</v>
      </c>
      <c r="G7" s="2"/>
      <c r="H7" s="2"/>
      <c r="I7" s="2"/>
    </row>
    <row r="8" spans="1:9" x14ac:dyDescent="0.25">
      <c r="A8" s="78">
        <v>45988</v>
      </c>
      <c r="B8" s="10">
        <v>1</v>
      </c>
      <c r="C8" s="2" t="s">
        <v>582</v>
      </c>
      <c r="D8" s="2" t="s">
        <v>522</v>
      </c>
      <c r="E8" s="3">
        <v>1348</v>
      </c>
      <c r="F8" s="3">
        <f t="shared" si="0"/>
        <v>1348</v>
      </c>
      <c r="G8" s="2" t="s">
        <v>348</v>
      </c>
      <c r="H8" s="2" t="s">
        <v>464</v>
      </c>
      <c r="I8" s="68">
        <v>46004</v>
      </c>
    </row>
    <row r="9" spans="1:9" x14ac:dyDescent="0.25">
      <c r="A9" s="78">
        <v>45988</v>
      </c>
      <c r="B9" s="10">
        <v>1</v>
      </c>
      <c r="C9" s="2" t="s">
        <v>678</v>
      </c>
      <c r="D9" s="2" t="s">
        <v>522</v>
      </c>
      <c r="E9" s="3">
        <v>1348</v>
      </c>
      <c r="F9" s="3">
        <f t="shared" si="0"/>
        <v>1348</v>
      </c>
      <c r="G9" s="2" t="s">
        <v>348</v>
      </c>
      <c r="H9" s="2" t="s">
        <v>464</v>
      </c>
      <c r="I9" s="68">
        <v>46004</v>
      </c>
    </row>
    <row r="10" spans="1:9" x14ac:dyDescent="0.25">
      <c r="A10" s="78">
        <v>45989</v>
      </c>
      <c r="B10" s="10">
        <v>3</v>
      </c>
      <c r="C10" s="2" t="s">
        <v>582</v>
      </c>
      <c r="D10" s="2" t="s">
        <v>466</v>
      </c>
      <c r="E10" s="3">
        <v>1380</v>
      </c>
      <c r="F10" s="3">
        <f t="shared" si="0"/>
        <v>4140</v>
      </c>
      <c r="G10" s="2" t="s">
        <v>348</v>
      </c>
      <c r="H10" s="2" t="s">
        <v>467</v>
      </c>
      <c r="I10" s="68">
        <v>46004</v>
      </c>
    </row>
    <row r="11" spans="1:9" x14ac:dyDescent="0.25">
      <c r="A11" s="78">
        <v>45989</v>
      </c>
      <c r="B11" s="10">
        <v>10</v>
      </c>
      <c r="C11" s="2" t="s">
        <v>678</v>
      </c>
      <c r="D11" s="2" t="s">
        <v>383</v>
      </c>
      <c r="E11" s="3">
        <v>1390</v>
      </c>
      <c r="F11" s="3">
        <f t="shared" si="0"/>
        <v>13900</v>
      </c>
      <c r="G11" s="2" t="s">
        <v>348</v>
      </c>
      <c r="H11" s="2" t="s">
        <v>464</v>
      </c>
      <c r="I11" s="68">
        <v>46004</v>
      </c>
    </row>
    <row r="12" spans="1:9" x14ac:dyDescent="0.25">
      <c r="A12" s="78">
        <v>45989</v>
      </c>
      <c r="B12" s="10">
        <v>12</v>
      </c>
      <c r="C12" s="2" t="s">
        <v>582</v>
      </c>
      <c r="D12" s="2" t="s">
        <v>383</v>
      </c>
      <c r="E12" s="3">
        <v>1390</v>
      </c>
      <c r="F12" s="3">
        <f t="shared" si="0"/>
        <v>16680</v>
      </c>
      <c r="G12" s="2" t="s">
        <v>348</v>
      </c>
      <c r="H12" s="2" t="s">
        <v>464</v>
      </c>
      <c r="I12" s="68">
        <v>46004</v>
      </c>
    </row>
    <row r="13" spans="1:9" x14ac:dyDescent="0.25">
      <c r="A13" s="2"/>
      <c r="B13" s="2"/>
      <c r="C13" s="2"/>
      <c r="D13" s="2"/>
      <c r="E13" s="2"/>
      <c r="F13" s="2"/>
      <c r="G13" s="2"/>
      <c r="H13" s="2"/>
      <c r="I13" s="2"/>
    </row>
    <row r="14" spans="1:9" x14ac:dyDescent="0.25">
      <c r="A14" s="2"/>
      <c r="B14" s="2"/>
      <c r="C14" s="2"/>
      <c r="D14" s="2"/>
      <c r="E14" s="2"/>
      <c r="F14" s="2"/>
      <c r="G14" s="2"/>
      <c r="H14" s="2"/>
      <c r="I14" s="2"/>
    </row>
    <row r="15" spans="1:9" x14ac:dyDescent="0.25">
      <c r="A15" s="2"/>
      <c r="B15" s="2"/>
      <c r="C15" s="2"/>
      <c r="D15" s="2"/>
      <c r="E15" s="2"/>
      <c r="F15" s="2"/>
      <c r="G15" s="2"/>
      <c r="H15" s="2"/>
      <c r="I15" s="2"/>
    </row>
    <row r="16" spans="1:9" x14ac:dyDescent="0.25">
      <c r="A16" s="2"/>
      <c r="B16" s="2"/>
      <c r="C16" s="2"/>
      <c r="D16" s="2"/>
      <c r="E16" s="2"/>
      <c r="F16" s="2"/>
      <c r="G16" s="2"/>
      <c r="H16" s="2"/>
      <c r="I16" s="2"/>
    </row>
    <row r="17" spans="1:9" x14ac:dyDescent="0.25">
      <c r="A17" s="2"/>
      <c r="B17" s="2"/>
      <c r="C17" s="2"/>
      <c r="D17" s="2"/>
      <c r="E17" s="2"/>
      <c r="F17" s="2"/>
      <c r="G17" s="2"/>
      <c r="H17" s="2"/>
      <c r="I17" s="2"/>
    </row>
    <row r="18" spans="1:9" x14ac:dyDescent="0.25">
      <c r="A18" s="2"/>
      <c r="B18" s="2"/>
      <c r="C18" s="2"/>
      <c r="D18" s="2"/>
      <c r="E18" s="2"/>
      <c r="F18" s="2"/>
      <c r="G18" s="2"/>
      <c r="H18" s="2"/>
      <c r="I18" s="2"/>
    </row>
    <row r="19" spans="1:9" x14ac:dyDescent="0.25">
      <c r="A19" s="2"/>
      <c r="B19" s="2"/>
      <c r="C19" s="2"/>
      <c r="D19" s="2"/>
      <c r="E19" s="2"/>
      <c r="F19" s="2"/>
      <c r="G19" s="2"/>
      <c r="H19" s="2"/>
      <c r="I19" s="2"/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2634B-8E4C-4F2B-9493-A359F967A342}">
  <dimension ref="A1:J11"/>
  <sheetViews>
    <sheetView workbookViewId="0">
      <selection activeCell="D22" sqref="D22"/>
    </sheetView>
  </sheetViews>
  <sheetFormatPr defaultRowHeight="15" x14ac:dyDescent="0.25"/>
  <cols>
    <col min="3" max="3" width="20" bestFit="1" customWidth="1"/>
    <col min="4" max="4" width="12.140625" bestFit="1" customWidth="1"/>
    <col min="7" max="7" width="7" bestFit="1" customWidth="1"/>
    <col min="8" max="8" width="23.28515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46034</v>
      </c>
      <c r="B2" s="2">
        <v>10</v>
      </c>
      <c r="C2" s="2" t="s">
        <v>405</v>
      </c>
      <c r="D2" s="2" t="s">
        <v>291</v>
      </c>
      <c r="E2" s="2">
        <v>1449</v>
      </c>
      <c r="F2" s="2">
        <f>B2*E2</f>
        <v>14490</v>
      </c>
      <c r="G2" s="2" t="s">
        <v>1044</v>
      </c>
      <c r="H2" s="2"/>
      <c r="I2" s="2"/>
      <c r="J2" s="2"/>
    </row>
    <row r="3" spans="1:10" x14ac:dyDescent="0.25">
      <c r="A3" s="68">
        <v>46034</v>
      </c>
      <c r="B3" s="2">
        <v>30</v>
      </c>
      <c r="C3" s="2" t="s">
        <v>933</v>
      </c>
      <c r="D3" s="2" t="s">
        <v>291</v>
      </c>
      <c r="E3" s="2">
        <v>460</v>
      </c>
      <c r="F3" s="2">
        <f t="shared" ref="F3:F7" si="0">B3*E3</f>
        <v>13800</v>
      </c>
      <c r="G3" s="2" t="s">
        <v>1044</v>
      </c>
      <c r="H3" s="2" t="s">
        <v>1045</v>
      </c>
      <c r="I3" s="2"/>
      <c r="J3" s="2"/>
    </row>
    <row r="4" spans="1:10" x14ac:dyDescent="0.25">
      <c r="A4" s="68">
        <v>46035</v>
      </c>
      <c r="B4" s="2">
        <v>1</v>
      </c>
      <c r="C4" s="2" t="s">
        <v>542</v>
      </c>
      <c r="D4" s="2" t="s">
        <v>1053</v>
      </c>
      <c r="E4" s="2">
        <v>3408</v>
      </c>
      <c r="F4" s="2">
        <f t="shared" si="0"/>
        <v>3408</v>
      </c>
      <c r="G4" s="2"/>
      <c r="H4" s="2" t="s">
        <v>1033</v>
      </c>
      <c r="I4" s="2"/>
      <c r="J4" s="2"/>
    </row>
    <row r="5" spans="1:10" x14ac:dyDescent="0.25">
      <c r="A5" s="68">
        <v>46048</v>
      </c>
      <c r="B5" s="2"/>
      <c r="C5" s="2" t="s">
        <v>622</v>
      </c>
      <c r="D5" s="2" t="s">
        <v>464</v>
      </c>
      <c r="E5" s="2"/>
      <c r="F5" s="2">
        <v>5000</v>
      </c>
      <c r="G5" s="2"/>
      <c r="H5" s="2" t="s">
        <v>1100</v>
      </c>
      <c r="I5" s="2"/>
      <c r="J5" s="2"/>
    </row>
    <row r="6" spans="1:10" x14ac:dyDescent="0.25">
      <c r="A6" s="68">
        <v>46051</v>
      </c>
      <c r="B6" s="2">
        <v>100</v>
      </c>
      <c r="C6" s="2" t="s">
        <v>1125</v>
      </c>
      <c r="D6" s="2" t="s">
        <v>291</v>
      </c>
      <c r="E6" s="2">
        <v>299</v>
      </c>
      <c r="F6" s="2">
        <f t="shared" si="0"/>
        <v>29900</v>
      </c>
      <c r="G6" s="2"/>
      <c r="H6" s="2" t="s">
        <v>528</v>
      </c>
      <c r="I6" s="2"/>
      <c r="J6" s="2"/>
    </row>
    <row r="7" spans="1:10" x14ac:dyDescent="0.25">
      <c r="A7" s="68">
        <v>46051</v>
      </c>
      <c r="B7" s="2">
        <v>4</v>
      </c>
      <c r="C7" s="2" t="s">
        <v>1126</v>
      </c>
      <c r="D7" s="2" t="s">
        <v>464</v>
      </c>
      <c r="E7" s="2">
        <v>349</v>
      </c>
      <c r="F7" s="2">
        <f t="shared" si="0"/>
        <v>1396</v>
      </c>
      <c r="G7" s="2"/>
      <c r="H7" s="2"/>
      <c r="I7" s="2"/>
      <c r="J7" s="2"/>
    </row>
    <row r="8" spans="1:10" x14ac:dyDescent="0.25">
      <c r="B8" s="22"/>
      <c r="C8" s="22"/>
      <c r="D8" s="22"/>
      <c r="E8" s="22"/>
      <c r="F8" s="2"/>
    </row>
    <row r="9" spans="1:10" x14ac:dyDescent="0.25">
      <c r="C9" s="22"/>
      <c r="D9" s="22"/>
      <c r="E9" s="22"/>
      <c r="F9" s="2"/>
    </row>
    <row r="10" spans="1:10" x14ac:dyDescent="0.25">
      <c r="C10" s="22"/>
      <c r="D10" s="22"/>
      <c r="E10" s="22"/>
      <c r="F10" s="2"/>
    </row>
    <row r="11" spans="1:10" x14ac:dyDescent="0.25">
      <c r="D11" s="22"/>
      <c r="E11" s="22"/>
      <c r="F11" s="22"/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407B2-7523-4006-9C6B-DDACAABDF0FC}">
  <dimension ref="A1:J6"/>
  <sheetViews>
    <sheetView workbookViewId="0">
      <selection activeCell="A234" sqref="A234:I234"/>
    </sheetView>
  </sheetViews>
  <sheetFormatPr defaultRowHeight="15" x14ac:dyDescent="0.25"/>
  <cols>
    <col min="1" max="1" width="6.5703125" bestFit="1" customWidth="1"/>
    <col min="2" max="2" width="4" bestFit="1" customWidth="1"/>
    <col min="3" max="3" width="18" bestFit="1" customWidth="1"/>
    <col min="4" max="4" width="12.140625" bestFit="1" customWidth="1"/>
    <col min="5" max="5" width="5.140625" bestFit="1" customWidth="1"/>
    <col min="6" max="6" width="5.28515625" bestFit="1" customWidth="1"/>
    <col min="7" max="7" width="14.42578125" bestFit="1" customWidth="1"/>
    <col min="8" max="8" width="10.140625" bestFit="1" customWidth="1"/>
    <col min="9" max="9" width="15" bestFit="1" customWidth="1"/>
    <col min="10" max="10" width="12.140625" bestFit="1" customWidth="1"/>
  </cols>
  <sheetData>
    <row r="1" spans="1:10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564</v>
      </c>
      <c r="I1" s="4" t="s">
        <v>462</v>
      </c>
      <c r="J1" s="4" t="s">
        <v>465</v>
      </c>
    </row>
    <row r="2" spans="1:10" x14ac:dyDescent="0.25">
      <c r="A2" s="68">
        <v>46055</v>
      </c>
      <c r="B2" s="2">
        <v>1</v>
      </c>
      <c r="C2" s="2" t="s">
        <v>1157</v>
      </c>
      <c r="D2" s="2" t="s">
        <v>464</v>
      </c>
      <c r="E2" s="2">
        <v>500</v>
      </c>
      <c r="F2" s="2">
        <f t="shared" ref="F2:F5" si="0">B2*E2</f>
        <v>500</v>
      </c>
      <c r="G2" s="2"/>
      <c r="H2" s="2"/>
      <c r="I2" s="2"/>
      <c r="J2" s="2"/>
    </row>
    <row r="3" spans="1:10" x14ac:dyDescent="0.25">
      <c r="A3" s="68">
        <v>46055</v>
      </c>
      <c r="B3" s="2">
        <v>33</v>
      </c>
      <c r="C3" s="2" t="s">
        <v>666</v>
      </c>
      <c r="D3" s="2" t="s">
        <v>464</v>
      </c>
      <c r="E3" s="2">
        <v>10</v>
      </c>
      <c r="F3" s="2">
        <f t="shared" si="0"/>
        <v>330</v>
      </c>
      <c r="G3" s="2"/>
      <c r="H3" s="2" t="s">
        <v>85</v>
      </c>
      <c r="I3" s="2"/>
      <c r="J3" s="2"/>
    </row>
    <row r="4" spans="1:10" x14ac:dyDescent="0.25">
      <c r="A4" s="68">
        <v>46055</v>
      </c>
      <c r="B4" s="2">
        <v>4</v>
      </c>
      <c r="C4" s="2" t="s">
        <v>1156</v>
      </c>
      <c r="D4" s="2" t="s">
        <v>464</v>
      </c>
      <c r="E4" s="2">
        <v>20</v>
      </c>
      <c r="F4" s="2">
        <f t="shared" si="0"/>
        <v>80</v>
      </c>
      <c r="G4" s="2"/>
      <c r="H4" s="2" t="s">
        <v>85</v>
      </c>
      <c r="I4" s="2"/>
      <c r="J4" s="2"/>
    </row>
    <row r="5" spans="1:10" x14ac:dyDescent="0.25">
      <c r="A5" s="68">
        <v>46055</v>
      </c>
      <c r="B5" s="2">
        <v>2</v>
      </c>
      <c r="C5" s="2" t="s">
        <v>296</v>
      </c>
      <c r="D5" s="2" t="s">
        <v>464</v>
      </c>
      <c r="E5" s="2">
        <v>90</v>
      </c>
      <c r="F5" s="2">
        <f t="shared" si="0"/>
        <v>180</v>
      </c>
      <c r="G5" s="2"/>
      <c r="H5" s="2" t="s">
        <v>85</v>
      </c>
      <c r="I5" s="2"/>
      <c r="J5" s="2"/>
    </row>
    <row r="6" spans="1:10" x14ac:dyDescent="0.25">
      <c r="A6" s="68">
        <v>46071</v>
      </c>
      <c r="B6" s="2">
        <v>3</v>
      </c>
      <c r="C6" s="2" t="s">
        <v>1153</v>
      </c>
      <c r="D6" s="2" t="s">
        <v>291</v>
      </c>
      <c r="E6" s="2">
        <v>1449</v>
      </c>
      <c r="F6" s="2">
        <f>E6*B6</f>
        <v>4347</v>
      </c>
      <c r="G6" s="2" t="s">
        <v>62</v>
      </c>
      <c r="H6" s="2"/>
      <c r="I6" s="2" t="s">
        <v>463</v>
      </c>
      <c r="J6" s="2"/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D2D5C9-25AA-416C-A42E-39C15F7EADF6}">
  <dimension ref="A1:O16"/>
  <sheetViews>
    <sheetView workbookViewId="0">
      <selection activeCell="F22" sqref="F22"/>
    </sheetView>
  </sheetViews>
  <sheetFormatPr defaultRowHeight="15" x14ac:dyDescent="0.25"/>
  <cols>
    <col min="1" max="1" width="10.5703125" bestFit="1" customWidth="1"/>
    <col min="3" max="3" width="15.85546875" bestFit="1" customWidth="1"/>
    <col min="4" max="4" width="15.28515625" bestFit="1" customWidth="1"/>
    <col min="7" max="7" width="14.42578125" bestFit="1" customWidth="1"/>
    <col min="8" max="8" width="15" bestFit="1" customWidth="1"/>
    <col min="9" max="9" width="22.28515625" bestFit="1" customWidth="1"/>
  </cols>
  <sheetData>
    <row r="1" spans="1:15" x14ac:dyDescent="0.25">
      <c r="A1" s="44" t="s">
        <v>65</v>
      </c>
      <c r="B1" s="4" t="s">
        <v>0</v>
      </c>
      <c r="C1" s="5" t="s">
        <v>252</v>
      </c>
      <c r="D1" s="4" t="s">
        <v>2</v>
      </c>
      <c r="E1" s="73" t="s">
        <v>3</v>
      </c>
      <c r="F1" s="73" t="s">
        <v>4</v>
      </c>
      <c r="G1" s="4" t="s">
        <v>5</v>
      </c>
      <c r="H1" s="4" t="s">
        <v>462</v>
      </c>
      <c r="I1" s="4" t="s">
        <v>465</v>
      </c>
      <c r="J1" s="48" t="s">
        <v>632</v>
      </c>
    </row>
    <row r="2" spans="1:15" x14ac:dyDescent="0.25">
      <c r="A2" s="68">
        <v>45993</v>
      </c>
      <c r="B2" s="10">
        <v>10</v>
      </c>
      <c r="C2" s="2" t="s">
        <v>639</v>
      </c>
      <c r="D2" s="2" t="s">
        <v>460</v>
      </c>
      <c r="E2" s="2">
        <v>1260</v>
      </c>
      <c r="F2" s="2">
        <f>B2*E2</f>
        <v>12600</v>
      </c>
      <c r="G2" s="2" t="s">
        <v>348</v>
      </c>
      <c r="H2" s="2" t="s">
        <v>464</v>
      </c>
      <c r="I2" s="2"/>
      <c r="J2" s="79">
        <v>46004</v>
      </c>
    </row>
    <row r="3" spans="1:15" x14ac:dyDescent="0.25">
      <c r="A3" s="68">
        <v>45993</v>
      </c>
      <c r="B3" s="10">
        <v>1</v>
      </c>
      <c r="C3" s="2" t="s">
        <v>639</v>
      </c>
      <c r="D3" s="2" t="s">
        <v>433</v>
      </c>
      <c r="E3" s="2">
        <v>1348</v>
      </c>
      <c r="F3" s="2">
        <f>B3*E3</f>
        <v>1348</v>
      </c>
      <c r="G3" s="2" t="s">
        <v>348</v>
      </c>
      <c r="H3" s="2" t="s">
        <v>464</v>
      </c>
      <c r="I3" s="2"/>
      <c r="J3" s="79">
        <v>46004</v>
      </c>
    </row>
    <row r="4" spans="1:15" x14ac:dyDescent="0.25">
      <c r="A4" s="68">
        <v>45993</v>
      </c>
      <c r="B4" s="10">
        <v>3</v>
      </c>
      <c r="C4" s="2" t="s">
        <v>378</v>
      </c>
      <c r="D4" s="2" t="s">
        <v>433</v>
      </c>
      <c r="E4" s="2">
        <v>738</v>
      </c>
      <c r="F4" s="2">
        <f t="shared" ref="F4:F13" si="0">B4*E4</f>
        <v>2214</v>
      </c>
      <c r="G4" s="2" t="s">
        <v>348</v>
      </c>
      <c r="H4" s="2" t="s">
        <v>464</v>
      </c>
      <c r="I4" s="2"/>
      <c r="J4" s="79">
        <v>46004</v>
      </c>
    </row>
    <row r="5" spans="1:15" x14ac:dyDescent="0.25">
      <c r="A5" s="68">
        <v>45993</v>
      </c>
      <c r="B5" s="10">
        <v>2</v>
      </c>
      <c r="C5" s="2" t="s">
        <v>406</v>
      </c>
      <c r="D5" s="2" t="s">
        <v>433</v>
      </c>
      <c r="E5" s="2">
        <v>1348</v>
      </c>
      <c r="F5" s="2">
        <f t="shared" si="0"/>
        <v>2696</v>
      </c>
      <c r="G5" s="2" t="s">
        <v>348</v>
      </c>
      <c r="H5" s="2" t="s">
        <v>464</v>
      </c>
      <c r="I5" s="2"/>
      <c r="J5" s="79">
        <v>46004</v>
      </c>
    </row>
    <row r="6" spans="1:15" x14ac:dyDescent="0.25">
      <c r="A6" s="68">
        <v>45993</v>
      </c>
      <c r="B6" s="10">
        <v>2</v>
      </c>
      <c r="C6" s="2" t="s">
        <v>639</v>
      </c>
      <c r="D6" s="2" t="s">
        <v>433</v>
      </c>
      <c r="E6" s="2">
        <v>1348</v>
      </c>
      <c r="F6" s="2">
        <f t="shared" si="0"/>
        <v>2696</v>
      </c>
      <c r="G6" s="2" t="s">
        <v>348</v>
      </c>
      <c r="H6" s="2" t="s">
        <v>464</v>
      </c>
      <c r="I6" s="2"/>
      <c r="J6" s="79">
        <v>46004</v>
      </c>
    </row>
    <row r="7" spans="1:15" x14ac:dyDescent="0.25">
      <c r="A7" s="68">
        <v>46000</v>
      </c>
      <c r="B7" s="10">
        <v>500</v>
      </c>
      <c r="C7" s="2" t="s">
        <v>821</v>
      </c>
      <c r="D7" s="2" t="s">
        <v>291</v>
      </c>
      <c r="E7" s="2">
        <v>28</v>
      </c>
      <c r="F7" s="2">
        <f t="shared" si="0"/>
        <v>14000</v>
      </c>
      <c r="G7" s="2" t="s">
        <v>348</v>
      </c>
      <c r="H7" s="2" t="s">
        <v>543</v>
      </c>
      <c r="I7" s="68">
        <v>46003</v>
      </c>
      <c r="J7" s="79">
        <v>46004</v>
      </c>
    </row>
    <row r="8" spans="1:15" x14ac:dyDescent="0.25">
      <c r="A8" s="68">
        <v>46000</v>
      </c>
      <c r="B8" s="10">
        <v>100</v>
      </c>
      <c r="C8" s="2" t="s">
        <v>31</v>
      </c>
      <c r="D8" s="2" t="s">
        <v>291</v>
      </c>
      <c r="E8" s="2">
        <v>299</v>
      </c>
      <c r="F8" s="2">
        <f t="shared" si="0"/>
        <v>29900</v>
      </c>
      <c r="G8" s="2" t="s">
        <v>348</v>
      </c>
      <c r="H8" s="2" t="s">
        <v>543</v>
      </c>
      <c r="I8" s="68">
        <v>46004</v>
      </c>
      <c r="J8" s="79">
        <v>46004</v>
      </c>
      <c r="O8">
        <v>880</v>
      </c>
    </row>
    <row r="9" spans="1:15" x14ac:dyDescent="0.25">
      <c r="A9" s="68">
        <v>46000</v>
      </c>
      <c r="B9" s="2">
        <v>1</v>
      </c>
      <c r="C9" s="2" t="s">
        <v>822</v>
      </c>
      <c r="D9" s="2" t="s">
        <v>291</v>
      </c>
      <c r="E9" s="2">
        <v>89</v>
      </c>
      <c r="F9" s="2">
        <f t="shared" si="0"/>
        <v>89</v>
      </c>
      <c r="G9" s="2" t="s">
        <v>348</v>
      </c>
      <c r="H9" s="2" t="s">
        <v>543</v>
      </c>
      <c r="I9" s="68">
        <v>46005</v>
      </c>
      <c r="J9" s="79">
        <v>46004</v>
      </c>
    </row>
    <row r="10" spans="1:15" x14ac:dyDescent="0.25">
      <c r="A10" s="68">
        <v>46001</v>
      </c>
      <c r="B10" s="2">
        <v>100</v>
      </c>
      <c r="C10" s="2" t="s">
        <v>31</v>
      </c>
      <c r="D10" s="2" t="s">
        <v>291</v>
      </c>
      <c r="E10" s="2">
        <v>299</v>
      </c>
      <c r="F10" s="2">
        <f t="shared" si="0"/>
        <v>29900</v>
      </c>
      <c r="G10" s="2" t="s">
        <v>348</v>
      </c>
      <c r="H10" s="2" t="s">
        <v>543</v>
      </c>
      <c r="I10" s="68">
        <v>46006</v>
      </c>
      <c r="J10" s="79">
        <v>46004</v>
      </c>
    </row>
    <row r="11" spans="1:15" x14ac:dyDescent="0.25">
      <c r="A11" s="68">
        <v>46002</v>
      </c>
      <c r="B11" s="2">
        <v>2</v>
      </c>
      <c r="C11" s="2" t="s">
        <v>378</v>
      </c>
      <c r="D11" s="2" t="s">
        <v>460</v>
      </c>
      <c r="E11" s="2">
        <v>775</v>
      </c>
      <c r="F11" s="2">
        <f t="shared" si="0"/>
        <v>1550</v>
      </c>
      <c r="G11" s="2" t="s">
        <v>348</v>
      </c>
      <c r="H11" s="2" t="s">
        <v>464</v>
      </c>
      <c r="I11" s="2"/>
    </row>
    <row r="12" spans="1:15" x14ac:dyDescent="0.25">
      <c r="A12" s="68">
        <v>46005</v>
      </c>
      <c r="B12" s="2">
        <v>1</v>
      </c>
      <c r="C12" s="2" t="s">
        <v>872</v>
      </c>
      <c r="D12" s="2" t="s">
        <v>464</v>
      </c>
      <c r="E12" s="2">
        <v>550</v>
      </c>
      <c r="F12" s="2">
        <f t="shared" si="0"/>
        <v>550</v>
      </c>
      <c r="G12" s="2"/>
      <c r="H12" s="2"/>
      <c r="I12" s="2" t="s">
        <v>85</v>
      </c>
    </row>
    <row r="13" spans="1:15" x14ac:dyDescent="0.25">
      <c r="A13" s="68">
        <v>46014</v>
      </c>
      <c r="B13" s="2">
        <v>5</v>
      </c>
      <c r="C13" s="2" t="s">
        <v>928</v>
      </c>
      <c r="D13" s="2" t="s">
        <v>291</v>
      </c>
      <c r="E13" s="2">
        <v>1449</v>
      </c>
      <c r="F13" s="2">
        <f t="shared" si="0"/>
        <v>7245</v>
      </c>
      <c r="G13" s="2" t="s">
        <v>62</v>
      </c>
      <c r="H13" s="2" t="s">
        <v>543</v>
      </c>
      <c r="I13" s="2"/>
    </row>
    <row r="14" spans="1:15" x14ac:dyDescent="0.25">
      <c r="A14" s="68">
        <v>46014</v>
      </c>
      <c r="B14" s="2">
        <v>4</v>
      </c>
      <c r="C14" s="2" t="s">
        <v>928</v>
      </c>
      <c r="D14" s="2" t="s">
        <v>291</v>
      </c>
      <c r="E14" s="2">
        <v>1449</v>
      </c>
      <c r="F14" s="2">
        <v>5796</v>
      </c>
      <c r="G14" s="2" t="s">
        <v>62</v>
      </c>
      <c r="H14" s="2" t="s">
        <v>543</v>
      </c>
      <c r="I14" s="2"/>
    </row>
    <row r="15" spans="1:15" x14ac:dyDescent="0.25">
      <c r="A15" s="68">
        <v>46015</v>
      </c>
      <c r="B15" s="2"/>
      <c r="C15" s="2" t="s">
        <v>953</v>
      </c>
      <c r="D15" s="2" t="s">
        <v>464</v>
      </c>
      <c r="E15" s="2"/>
      <c r="F15" s="2">
        <v>3300</v>
      </c>
      <c r="G15" s="2"/>
      <c r="H15" s="2"/>
      <c r="I15" s="2"/>
    </row>
    <row r="16" spans="1:15" x14ac:dyDescent="0.25">
      <c r="A16" s="68">
        <v>46387</v>
      </c>
      <c r="B16" s="2">
        <v>20</v>
      </c>
      <c r="C16" s="2" t="s">
        <v>378</v>
      </c>
      <c r="D16" s="2" t="s">
        <v>291</v>
      </c>
      <c r="E16" s="2">
        <v>720</v>
      </c>
      <c r="F16" s="2">
        <f>B16*E16</f>
        <v>14400</v>
      </c>
      <c r="G16" s="2" t="s">
        <v>62</v>
      </c>
      <c r="H16" s="2" t="s">
        <v>543</v>
      </c>
      <c r="I16" s="18" t="s">
        <v>1004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72354-68B5-49F6-A18C-2404B03515F9}">
  <dimension ref="E2:O10"/>
  <sheetViews>
    <sheetView topLeftCell="C1" workbookViewId="0">
      <selection activeCell="S14" sqref="S14"/>
    </sheetView>
  </sheetViews>
  <sheetFormatPr defaultRowHeight="15" x14ac:dyDescent="0.25"/>
  <sheetData>
    <row r="2" spans="5:15" x14ac:dyDescent="0.25">
      <c r="E2">
        <v>57800</v>
      </c>
      <c r="F2">
        <v>41000</v>
      </c>
      <c r="H2">
        <v>43000</v>
      </c>
      <c r="K2">
        <v>60</v>
      </c>
      <c r="L2">
        <v>410</v>
      </c>
      <c r="M2">
        <f>K2*L2</f>
        <v>24600</v>
      </c>
      <c r="N2">
        <v>110</v>
      </c>
      <c r="O2">
        <f>K2*N2</f>
        <v>6600</v>
      </c>
    </row>
    <row r="3" spans="5:15" x14ac:dyDescent="0.25">
      <c r="E3">
        <v>9000</v>
      </c>
      <c r="F3">
        <v>500</v>
      </c>
      <c r="H3">
        <v>9000</v>
      </c>
      <c r="K3">
        <v>10</v>
      </c>
      <c r="L3">
        <v>3300</v>
      </c>
      <c r="M3">
        <f t="shared" ref="M3:M4" si="0">K3*L3</f>
        <v>33000</v>
      </c>
      <c r="N3">
        <v>1100</v>
      </c>
      <c r="O3">
        <f t="shared" ref="O3:O9" si="1">K3*N3</f>
        <v>11000</v>
      </c>
    </row>
    <row r="4" spans="5:15" x14ac:dyDescent="0.25">
      <c r="E4">
        <v>3</v>
      </c>
      <c r="F4">
        <v>1600</v>
      </c>
      <c r="H4">
        <f>H2-H3</f>
        <v>34000</v>
      </c>
      <c r="K4">
        <v>5</v>
      </c>
      <c r="L4">
        <v>2500</v>
      </c>
      <c r="M4">
        <f t="shared" si="0"/>
        <v>12500</v>
      </c>
      <c r="N4">
        <v>600</v>
      </c>
      <c r="O4">
        <f t="shared" si="1"/>
        <v>3000</v>
      </c>
    </row>
    <row r="5" spans="5:15" x14ac:dyDescent="0.25">
      <c r="F5">
        <v>43100</v>
      </c>
      <c r="H5">
        <v>23800</v>
      </c>
      <c r="M5">
        <f>SUM(M2:M4)</f>
        <v>70100</v>
      </c>
      <c r="O5">
        <f t="shared" si="1"/>
        <v>0</v>
      </c>
    </row>
    <row r="6" spans="5:15" x14ac:dyDescent="0.25">
      <c r="K6">
        <v>5</v>
      </c>
      <c r="N6">
        <v>400</v>
      </c>
      <c r="O6">
        <f t="shared" si="1"/>
        <v>2000</v>
      </c>
    </row>
    <row r="7" spans="5:15" x14ac:dyDescent="0.25">
      <c r="O7">
        <f t="shared" si="1"/>
        <v>0</v>
      </c>
    </row>
    <row r="8" spans="5:15" x14ac:dyDescent="0.25">
      <c r="G8">
        <f>57800-34000</f>
        <v>23800</v>
      </c>
      <c r="K8">
        <v>40</v>
      </c>
      <c r="N8">
        <v>100</v>
      </c>
      <c r="O8">
        <f t="shared" si="1"/>
        <v>4000</v>
      </c>
    </row>
    <row r="9" spans="5:15" x14ac:dyDescent="0.25">
      <c r="K9">
        <v>20</v>
      </c>
      <c r="N9">
        <v>300</v>
      </c>
      <c r="O9">
        <f t="shared" si="1"/>
        <v>6000</v>
      </c>
    </row>
    <row r="10" spans="5:15" x14ac:dyDescent="0.25">
      <c r="O10">
        <f>SUM(O2:O9)</f>
        <v>32600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F915F-3C6D-43C4-B25D-C70DAFBC57BE}">
  <dimension ref="A2:D6"/>
  <sheetViews>
    <sheetView workbookViewId="0">
      <selection activeCell="M22" sqref="M22"/>
    </sheetView>
  </sheetViews>
  <sheetFormatPr defaultRowHeight="15" x14ac:dyDescent="0.25"/>
  <sheetData>
    <row r="2" spans="1:4" x14ac:dyDescent="0.25">
      <c r="A2" s="75">
        <v>5</v>
      </c>
      <c r="B2" t="s">
        <v>668</v>
      </c>
      <c r="C2">
        <v>2600</v>
      </c>
      <c r="D2">
        <f>A2*C2</f>
        <v>13000</v>
      </c>
    </row>
    <row r="3" spans="1:4" x14ac:dyDescent="0.25">
      <c r="A3" s="75">
        <v>10</v>
      </c>
      <c r="B3" t="s">
        <v>669</v>
      </c>
      <c r="C3">
        <v>3300</v>
      </c>
      <c r="D3">
        <f t="shared" ref="D3:D5" si="0">A3*C3</f>
        <v>33000</v>
      </c>
    </row>
    <row r="4" spans="1:4" x14ac:dyDescent="0.25">
      <c r="A4" s="75">
        <v>10</v>
      </c>
      <c r="B4" t="s">
        <v>670</v>
      </c>
      <c r="C4">
        <v>1300</v>
      </c>
      <c r="D4">
        <f t="shared" si="0"/>
        <v>13000</v>
      </c>
    </row>
    <row r="5" spans="1:4" x14ac:dyDescent="0.25">
      <c r="A5" s="75">
        <v>20</v>
      </c>
      <c r="B5" t="s">
        <v>671</v>
      </c>
      <c r="C5">
        <v>1400</v>
      </c>
      <c r="D5">
        <f t="shared" si="0"/>
        <v>28000</v>
      </c>
    </row>
    <row r="6" spans="1:4" x14ac:dyDescent="0.25">
      <c r="D6">
        <f>SUM(D2:D5)</f>
        <v>87000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97024-DBE3-47BF-B826-A5C52EF6AD2E}">
  <dimension ref="A2:C19"/>
  <sheetViews>
    <sheetView workbookViewId="0">
      <selection activeCell="I20" sqref="I20"/>
    </sheetView>
  </sheetViews>
  <sheetFormatPr defaultRowHeight="15" x14ac:dyDescent="0.25"/>
  <cols>
    <col min="1" max="1" width="13.7109375" bestFit="1" customWidth="1"/>
  </cols>
  <sheetData>
    <row r="2" spans="1:3" x14ac:dyDescent="0.25">
      <c r="A2" t="s">
        <v>377</v>
      </c>
      <c r="B2" s="11">
        <v>238</v>
      </c>
    </row>
    <row r="3" spans="1:3" x14ac:dyDescent="0.25">
      <c r="A3" t="s">
        <v>380</v>
      </c>
      <c r="B3">
        <v>17.07</v>
      </c>
    </row>
    <row r="4" spans="1:3" x14ac:dyDescent="0.25">
      <c r="A4" t="s">
        <v>380</v>
      </c>
      <c r="B4">
        <v>5.69</v>
      </c>
    </row>
    <row r="5" spans="1:3" x14ac:dyDescent="0.25">
      <c r="A5" t="s">
        <v>381</v>
      </c>
      <c r="B5">
        <v>251.58</v>
      </c>
    </row>
    <row r="6" spans="1:3" x14ac:dyDescent="0.25">
      <c r="B6">
        <v>1.75</v>
      </c>
    </row>
    <row r="7" spans="1:3" x14ac:dyDescent="0.25">
      <c r="B7">
        <v>4.18</v>
      </c>
    </row>
    <row r="8" spans="1:3" x14ac:dyDescent="0.25">
      <c r="B8">
        <v>7.58</v>
      </c>
    </row>
    <row r="9" spans="1:3" x14ac:dyDescent="0.25">
      <c r="B9">
        <v>3.79</v>
      </c>
    </row>
    <row r="10" spans="1:3" x14ac:dyDescent="0.25">
      <c r="A10" t="s">
        <v>386</v>
      </c>
      <c r="B10">
        <v>82.62</v>
      </c>
    </row>
    <row r="11" spans="1:3" x14ac:dyDescent="0.25">
      <c r="A11" t="s">
        <v>380</v>
      </c>
      <c r="B11">
        <v>77.959999999999994</v>
      </c>
    </row>
    <row r="12" spans="1:3" x14ac:dyDescent="0.25">
      <c r="A12" t="s">
        <v>389</v>
      </c>
      <c r="B12">
        <v>132</v>
      </c>
    </row>
    <row r="13" spans="1:3" x14ac:dyDescent="0.25">
      <c r="B13">
        <v>12</v>
      </c>
    </row>
    <row r="14" spans="1:3" x14ac:dyDescent="0.25">
      <c r="B14">
        <v>3.5</v>
      </c>
    </row>
    <row r="15" spans="1:3" x14ac:dyDescent="0.25">
      <c r="B15">
        <v>12</v>
      </c>
    </row>
    <row r="16" spans="1:3" x14ac:dyDescent="0.25">
      <c r="A16" t="s">
        <v>399</v>
      </c>
      <c r="B16">
        <v>601</v>
      </c>
      <c r="C16" t="s">
        <v>394</v>
      </c>
    </row>
    <row r="17" spans="1:3" x14ac:dyDescent="0.25">
      <c r="A17" t="s">
        <v>399</v>
      </c>
      <c r="B17">
        <v>497</v>
      </c>
      <c r="C17" t="s">
        <v>394</v>
      </c>
    </row>
    <row r="18" spans="1:3" x14ac:dyDescent="0.25">
      <c r="A18" t="s">
        <v>398</v>
      </c>
      <c r="B18">
        <v>58</v>
      </c>
      <c r="C18" t="s">
        <v>397</v>
      </c>
    </row>
    <row r="19" spans="1:3" x14ac:dyDescent="0.25">
      <c r="A19" t="s">
        <v>400</v>
      </c>
      <c r="B19">
        <v>25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6051D-BCF4-4AE7-931D-67B9AE3FBFAD}">
  <dimension ref="A2:B2"/>
  <sheetViews>
    <sheetView workbookViewId="0">
      <selection activeCell="D9" sqref="D9"/>
    </sheetView>
  </sheetViews>
  <sheetFormatPr defaultRowHeight="15" x14ac:dyDescent="0.25"/>
  <cols>
    <col min="1" max="1" width="10.85546875" bestFit="1" customWidth="1"/>
  </cols>
  <sheetData>
    <row r="2" spans="1:2" x14ac:dyDescent="0.25">
      <c r="A2" s="6">
        <v>45759</v>
      </c>
      <c r="B2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Pending</vt:lpstr>
      <vt:lpstr>March </vt:lpstr>
      <vt:lpstr>Mehwish</vt:lpstr>
      <vt:lpstr>April</vt:lpstr>
      <vt:lpstr>May </vt:lpstr>
      <vt:lpstr>Sheet4</vt:lpstr>
      <vt:lpstr>Sheet1</vt:lpstr>
      <vt:lpstr>Broadway</vt:lpstr>
      <vt:lpstr>Broadway DJI</vt:lpstr>
      <vt:lpstr>Shipment NOV</vt:lpstr>
      <vt:lpstr>Shipment</vt:lpstr>
      <vt:lpstr>Shipment 2904</vt:lpstr>
      <vt:lpstr>NZ Purchase May</vt:lpstr>
      <vt:lpstr>NZ July</vt:lpstr>
      <vt:lpstr>NZ Aug</vt:lpstr>
      <vt:lpstr>NZ SEP</vt:lpstr>
      <vt:lpstr>Melbourne Company</vt:lpstr>
      <vt:lpstr>AU June </vt:lpstr>
      <vt:lpstr>AU Aug</vt:lpstr>
      <vt:lpstr>AU July</vt:lpstr>
      <vt:lpstr>AU SEP</vt:lpstr>
      <vt:lpstr>AU OCT</vt:lpstr>
      <vt:lpstr>AU NOV</vt:lpstr>
      <vt:lpstr>AU DEC</vt:lpstr>
      <vt:lpstr>AU FEB</vt:lpstr>
      <vt:lpstr>AU MAR</vt:lpstr>
      <vt:lpstr>APR NZ</vt:lpstr>
      <vt:lpstr>APR AU</vt:lpstr>
      <vt:lpstr>MAY AU</vt:lpstr>
      <vt:lpstr>Sheet8</vt:lpstr>
      <vt:lpstr>AU JAN</vt:lpstr>
      <vt:lpstr>Sheet7</vt:lpstr>
      <vt:lpstr>Sheet6</vt:lpstr>
      <vt:lpstr>Gift Card</vt:lpstr>
      <vt:lpstr>Adil </vt:lpstr>
      <vt:lpstr>Waleed </vt:lpstr>
      <vt:lpstr>Sheet5</vt:lpstr>
      <vt:lpstr>NZ OCT</vt:lpstr>
      <vt:lpstr>NZ NOV</vt:lpstr>
      <vt:lpstr>NZ JAN</vt:lpstr>
      <vt:lpstr>NZ FEB</vt:lpstr>
      <vt:lpstr>NZ DEC</vt:lpstr>
      <vt:lpstr>Sheet3</vt:lpstr>
      <vt:lpstr>Sheet2</vt:lpstr>
      <vt:lpstr>NZ visit expense</vt:lpstr>
      <vt:lpstr>Abdul Rafey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 Pasha</dc:creator>
  <cp:lastModifiedBy>Swiss Tech</cp:lastModifiedBy>
  <dcterms:created xsi:type="dcterms:W3CDTF">2025-03-28T14:31:05Z</dcterms:created>
  <dcterms:modified xsi:type="dcterms:W3CDTF">2026-06-06T14:28:23Z</dcterms:modified>
</cp:coreProperties>
</file>