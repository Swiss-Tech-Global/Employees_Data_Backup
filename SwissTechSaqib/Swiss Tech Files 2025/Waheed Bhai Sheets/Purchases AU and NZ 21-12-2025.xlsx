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2FBBAB25-D2B5-4F4B-8F74-18D73552D71A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Gift Card" sheetId="37" state="hidden" r:id="rId25"/>
    <sheet name="Adil " sheetId="35" state="hidden" r:id="rId26"/>
    <sheet name="Waleed " sheetId="33" state="hidden" r:id="rId27"/>
    <sheet name="Sheet5" sheetId="32" state="hidden" r:id="rId28"/>
    <sheet name="NZ OCT" sheetId="25" state="hidden" r:id="rId29"/>
    <sheet name="NZ NOV" sheetId="26" r:id="rId30"/>
    <sheet name="NZ DEC" sheetId="36" r:id="rId31"/>
    <sheet name="Sheet3" sheetId="31" state="hidden" r:id="rId32"/>
    <sheet name="Sheet2" sheetId="30" state="hidden" r:id="rId33"/>
    <sheet name="NZ visit expense" sheetId="17" state="hidden" r:id="rId34"/>
    <sheet name="Abdul Rafey" sheetId="5" state="hidden" r:id="rId35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DEC'!$A$1:$O$204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40" r:id="rId36"/>
    <pivotCache cacheId="41" r:id="rId37"/>
    <pivotCache cacheId="42" r:id="rId38"/>
    <pivotCache cacheId="43" r:id="rId39"/>
    <pivotCache cacheId="44" r:id="rId40"/>
    <pivotCache cacheId="45" r:id="rId41"/>
    <pivotCache cacheId="46" r:id="rId42"/>
    <pivotCache cacheId="47" r:id="rId43"/>
    <pivotCache cacheId="48" r:id="rId44"/>
    <pivotCache cacheId="49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34" l="1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<sst xmlns="http://schemas.openxmlformats.org/spreadsheetml/2006/main" count="3690" uniqueCount="924">
  <si>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</si>
  <si>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</si>
  <si>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</si>
  <si>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</si>
  <si>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</si>
  <si>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</si>
  <si>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</si>
  <si>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</si>
  <si>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</si>
  <si>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</si>
  <si>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</si>
  <si>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</si>
  <si>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</si>
  <si>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</si>
  <si>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</si>
  <si>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</si>
  <si>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</si>
  <si>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</si>
  <si>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</si>
  <si>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</si>
  <si>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</si>
  <si>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</si>
  <si>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</si>
  <si>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</si>
  <si>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</si>
  <si>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</si>
  <si>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</si>
  <si>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</si>
  <si>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</si>
  <si>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</si>
  <si>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</si>
  <si>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</si>
  <si>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</si>
  <si>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</si>
  <si>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</si>
  <si>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</si>
  <si>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</si>
  <si>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</si>
  <si>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</si>
  <si>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</si>
  <si>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</si>
  <si>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</si>
  <si>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</si>
  <si>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</si>
  <si>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</si>
  <si>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</si>
  <si>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</si>
  <si>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</si>
  <si>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</si>
  <si>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</si>
  <si>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</si>
  <si>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</si>
  <si>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</si>
  <si>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</si>
  <si>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</si>
  <si>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</si>
  <si>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</si>
  <si>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</si>
  <si>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</si>
  <si>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</si>
  <si>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</si>
  <si>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</si>
  <si>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</si>
  <si>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</si>
  <si>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</si>
  <si>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</si>
  <si>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</si>
  <si>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</si>
  <si>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</si>
  <si>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</si>
  <si>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</si>
  <si>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</si>
  <si>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</si>
  <si>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</si>
  <si>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</si>
  <si>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</si>
  <si>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</si>
  <si>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</si>
  <si>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</si>
  <si>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</si>
  <si>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</si>
  <si>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</si>
  <si>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</si>
  <si>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</si>
  <si>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</si>
  <si>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</si>
  <si>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</si>
  <si>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</si>
  <si>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</si>
  <si>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</si>
  <si>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</si>
  <si>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</si>
  <si>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</si>
  <si>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</si>
  <si>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</si>
  <si>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</si>
  <si>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</si>
  <si>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</si>
  <si>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</si>
  <si>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</si>
  <si>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</si>
  <si>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</si>
  <si>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</si>
  <si>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</si>
  <si>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</si>
  <si>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</si>
  <si>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</si>
  <si>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</si>
  <si>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</si>
  <si>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</si>
  <si>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</si>
  <si>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</si>
  <si>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</si>
  <si>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</si>
  <si>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</si>
  <si>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</si>
  <si>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</si>
  <si>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</si>
  <si>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</si>
  <si>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</si>
  <si>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</si>
  <si>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</si>
  <si>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</si>
  <si>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</si>
  <si>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</si>
  <si>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</si>
  <si>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</si>
  <si>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</si>
  <si>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</si>
  <si>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</si>
  <si>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</si>
  <si>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</si>
  <si>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</si>
  <si>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</si>
  <si>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</si>
  <si>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</si>
  <si>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</si>
  <si>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</si>
  <si>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</si>
  <si>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</si>
  <si>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</si>
  <si>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</si>
  <si>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</si>
  <si>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</si>
  <si>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</si>
  <si>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</si>
  <si>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</si>
  <si>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</si>
  <si>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</si>
  <si>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</si>
  <si>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</si>
  <si>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</si>
  <si>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</si>
  <si>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</si>
  <si>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</si>
  <si>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</si>
  <si>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</si>
  <si>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</si>
  <si>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</si>
  <si>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</si>
  <si>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</si>
  <si>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</si>
  <si>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</si>
  <si>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</si>
  <si>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</si>
  <si>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</si>
  <si>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</si>
  <si>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</si>
  <si>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</si>
  <si>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</si>
  <si>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</si>
  <si>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</si>
  <si>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</si>
  <si>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</si>
  <si>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</si>
  <si>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</si>
  <si>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</si>
  <si>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</si>
  <si>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</si>
  <si>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</si>
  <si>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</si>
  <si>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</si>
  <si>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</si>
  <si>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</si>
  <si>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</si>
  <si>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</si>
  <si>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</si>
  <si>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</si>
  <si>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</si>
  <si>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</si>
  <si>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</si>
  <si>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</si>
  <si>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</si>
  <si>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</si>
  <si>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</si>
  <si>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</si>
  <si>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</si>
  <si>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</si>
  <si>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</si>
  <si>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</si>
  <si>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</si>
  <si>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</si>
  <si>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</si>
  <si>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</si>
  <si>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</si>
  <si>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</si>
  <si>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</si>
  <si>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</si>
  <si>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</si>
  <si>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</si>
  <si>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</si>
  <si>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</si>
  <si>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</si>
  <si>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</si>
  <si>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</si>
  <si>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</si>
  <si>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</si>
  <si>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</si>
  <si>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</si>
  <si>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</si>
  <si>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</si>
  <si>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</si>
  <si>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</si>
  <si>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</si>
  <si>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</si>
  <si>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</si>
  <si>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</si>
  <si>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</si>
  <si>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</si>
  <si>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</si>
  <si>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</si>
  <si>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</si>
  <si>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</si>
  <si>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</si>
  <si>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</si>
  <si>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</si>
  <si>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</si>
  <si>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</si>
  <si>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</si>
  <si>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</si>
  <si>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</si>
  <si>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</si>
  <si>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</si>
  <si>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</si>
  <si>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</si>
  <si>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</si>
  <si>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</si>
  <si>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</si>
  <si>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</si>
  <si>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</si>
  <si>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</si>
  <si>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</si>
  <si>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</si>
  <si>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</si>
  <si>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</si>
  <si>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</si>
  <si>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</si>
  <si>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</si>
  <si>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</si>
  <si>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</si>
  <si>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</si>
  <si>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</si>
  <si>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</si>
  <si>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</si>
  <si>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</si>
  <si>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</si>
  <si>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</si>
  <si>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</si>
  <si>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</si>
  <si>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</si>
  <si>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</si>
  <si>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</si>
  <si>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</si>
  <si>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</si>
  <si>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</si>
  <si>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</si>
  <si>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</si>
  <si>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</si>
  <si>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</si>
  <si>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</si>
  <si>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</si>
  <si>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</si>
  <si>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</si>
  <si>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</si>
  <si>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</si>
  <si>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</si>
  <si>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</si>
  <si>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</si>
  <si>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</si>
  <si>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</si>
  <si>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</si>
  <si>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</si>
  <si>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</si>
  <si>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</si>
  <si>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</si>
  <si>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</si>
  <si>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</si>
  <si>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</si>
  <si>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</si>
  <si>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</si>
  <si>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</si>
  <si>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</si>
  <si>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</si>
  <si>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</si>
  <si>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</si>
  <si>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</si>
  <si>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</si>
  <si>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</si>
  <si>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</si>
  <si>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</si>
  <si>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</si>
  <si>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</si>
  <si>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</si>
  <si>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</si>
  <si>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</si>
  <si>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</si>
  <si>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</si>
  <si>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</si>
  <si>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</si>
  <si>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</si>
  <si>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</si>
  <si>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</si>
  <si>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</si>
  <si>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</si>
  <si>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</si>
  <si>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</si>
  <si>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</si>
  <si>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</si>
  <si>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</si>
  <si>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</si>
  <si>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</si>
  <si>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</si>
  <si>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</si>
  <si>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</si>
  <si>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</si>
  <si>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</si>
  <si>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</si>
  <si>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</si>
  <si>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</si>
  <si>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</si>
  <si>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</si>
  <si>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</si>
  <si>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</si>
  <si>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</si>
  <si>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</si>
  <si>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</si>
  <si>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</si>
  <si>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</si>
  <si>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</si>
  <si>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</si>
  <si>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</si>
  <si>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</si>
  <si>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</si>
  <si>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</si>
  <si>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</si>
  <si>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</si>
  <si>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</si>
  <si>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</si>
  <si>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</si>
  <si>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</si>
  <si>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</si>
  <si>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</si>
  <si>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</si>
  <si>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</si>
  <si>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</si>
  <si>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</si>
  <si>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</si>
  <si>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</si>
  <si>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</si>
  <si>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</si>
  <si>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</si>
  <si>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</si>
  <si>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</si>
  <si>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</si>
  <si>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</si>
  <si>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</si>
  <si>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</si>
  <si>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</si>
  <si>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</si>
  <si>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</si>
  <si>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</si>
  <si>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</si>
  <si>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</si>
  <si>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</si>
  <si>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</si>
  <si>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</si>
  <si>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</si>
  <si>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</si>
  <si>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</si>
  <si>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</si>
  <si>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</si>
  <si>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</si>
  <si>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</si>
  <si>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</si>
  <si>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</si>
  <si>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</si>
  <si>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</si>
  <si>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</si>
  <si>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</si>
  <si>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</si>
  <si>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</si>
  <si>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</si>
  <si>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</si>
  <si>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</si>
  <si>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</si>
  <si>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</si>
  <si>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</si>
  <si>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</si>
  <si>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</si>
  <si>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</si>
  <si>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</si>
  <si>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</si>
  <si>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</si>
  <si>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</si>
  <si>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</si>
  <si>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</si>
  <si>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</si>
  <si>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</si>
  <si>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</si>
  <si>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</si>
  <si>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</si>
  <si>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</si>
  <si>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</si>
  <si>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</si>
  <si>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</si>
  <si>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</si>
  <si>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</si>
  <si>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</si>
  <si>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</si>
  <si>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</si>
  <si>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</si>
  <si>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</si>
  <si>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</si>
  <si>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</si>
  <si>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</si>
  <si>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</si>
  <si>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</si>
  <si>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</si>
  <si>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</si>
  <si>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</si>
  <si>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</si>
  <si>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</si>
  <si>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</si>
  <si>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</si>
  <si>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</si>
  <si>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</si>
  <si>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</si>
  <si>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</si>
  <si>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</si>
  <si>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</si>
  <si>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</si>
  <si>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</si>
  <si>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</si>
  <si>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</si>
  <si>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</si>
  <si>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</si>
  <si>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</si>
  <si>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</si>
  <si>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</si>
  <si>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</si>
  <si>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</si>
  <si>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</si>
  <si>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</si>
  <si>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</si>
  <si>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</si>
  <si>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</si>
  <si>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</si>
  <si>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</si>
  <si>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</si>
  <si>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</si>
  <si>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</si>
  <si>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</si>
  <si>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</si>
  <si>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</si>
  <si>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</si>
  <si>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</si>
  <si>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</si>
  <si>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</si>
  <si>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</si>
  <si>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</si>
  <si>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</si>
  <si>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</si>
  <si>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</si>
  <si>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</si>
  <si>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</si>
  <si>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</si>
  <si>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</si>
  <si>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</si>
  <si>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</si>
  <si>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</si>
  <si>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</si>
  <si>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</si>
  <si>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</si>
  <si>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</si>
  <si>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</si>
  <si>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</si>
  <si>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</si>
  <si>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</si>
  <si>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</si>
  <si>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</si>
  <si>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</si>
  <si>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</si>
  <si>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</si>
  <si>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</si>
  <si>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</si>
  <si>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</si>
  <si>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</si>
  <si>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</si>
  <si>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</si>
  <si>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</si>
  <si>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</si>
  <si>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</si>
  <si>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</si>
  <si>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</si>
  <si>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</si>
  <si>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</si>
  <si>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</si>
  <si>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</si>
  <si>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</si>
  <si>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</si>
  <si>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</si>
  <si>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</si>
  <si>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</si>
  <si>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</si>
  <si>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</si>
  <si>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</si>
  <si>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</si>
  <si>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</si>
  <si>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</si>
  <si>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</si>
  <si>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</si>
  <si>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</si>
  <si>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</si>
  <si>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</si>
  <si>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</si>
  <si>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</si>
  <si>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</si>
  <si>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</si>
  <si>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</si>
  <si>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</si>
  <si>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</si>
  <si>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</si>
  <si>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</si>
  <si>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</si>
  <si>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</si>
  <si>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</si>
  <si>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</si>
  <si>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</si>
  <si>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</si>
  <si>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</si>
  <si>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</si>
  <si>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</si>
  <si>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</si>
  <si>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</si>
  <si>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</si>
  <si>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</si>
  <si>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</si>
  <si>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</si>
  <si>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</si>
  <si>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</si>
  <si>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</si>
  <si>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</si>
  <si>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</si>
  <si>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</si>
  <si>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</si>
  <si>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</si>
  <si>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</si>
  <si>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</si>
  <si>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</si>
  <si>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</si>
  <si>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</si>
  <si>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</si>
  <si>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</si>
  <si>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</si>
  <si>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</si>
  <si>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</si>
  <si>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</si>
  <si>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</si>
  <si>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</si>
  <si>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</si>
  <si>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</si>
  <si>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</si>
  <si>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</si>
  <si>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</si>
  <si>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</si>
  <si>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</si>
  <si>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</si>
  <si>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</si>
  <si>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</si>
  <si>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</si>
  <si>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</si>
  <si>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</si>
  <si>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</si>
  <si>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</si>
  <si>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</si>
  <si>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</si>
  <si>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</si>
  <si>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</si>
  <si>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</si>
  <si>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</si>
  <si>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</si>
  <si>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</si>
  <si>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</si>
  <si>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</si>
  <si>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</si>
  <si>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</si>
  <si>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</si>
  <si>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</si>
  <si>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</si>
  <si>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</si>
  <si>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</si>
  <si>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</si>
  <si>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</si>
  <si>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</si>
  <si>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</si>
  <si>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</si>
  <si>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</si>
  <si>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</si>
  <si>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</si>
  <si>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</si>
  <si>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</si>
  <si>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</si>
  <si>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</si>
  <si>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</si>
  <si>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</si>
  <si>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</si>
  <si>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</si>
  <si>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</si>
  <si>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</si>
  <si>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</si>
  <si>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</si>
  <si>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</si>
  <si>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</si>
  <si>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</si>
  <si>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</si>
  <si>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</si>
  <si>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</si>
  <si>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</si>
  <si>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</si>
  <si>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</si>
  <si>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</si>
  <si>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</si>
  <si>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</si>
  <si>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</si>
  <si>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</si>
  <si>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</si>
  <si>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</si>
  <si>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</si>
  <si>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</si>
  <si>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</si>
  <si>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</si>
  <si>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</si>
  <si>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</si>
  <si>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</si>
  <si>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</si>
  <si>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</si>
  <si>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</si>
  <si>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</si>
  <si>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</si>
  <si>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</si>
  <si>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</si>
  <si>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</si>
  <si>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</si>
  <si>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</si>
  <si>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</si>
  <si>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</si>
  <si>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</si>
  <si>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</si>
  <si>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</si>
  <si>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</si>
  <si>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</si>
  <si>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</si>
  <si>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</si>
  <si>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</si>
  <si>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</si>
  <si>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</si>
  <si>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</si>
  <si>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</si>
  <si>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</si>
  <si>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</si>
  <si>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</si>
  <si>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</si>
  <si>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</si>
  <si>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</si>
  <si>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</si>
  <si>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</si>
  <si>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</si>
  <si>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</si>
  <si>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</si>
  <si>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</si>
  <si>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</si>
  <si>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</si>
  <si>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</si>
  <si>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</si>
  <si>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</si>
  <si>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</si>
  <si>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</si>
  <si>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</si>
  <si>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</si>
  <si>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</si>
  <si>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</si>
  <si>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</si>
  <si>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</si>
  <si>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</si>
  <si>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</si>
  <si>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</si>
  <si>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</si>
  <si>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</si>
  <si>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</si>
  <si>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</si>
  <si>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</si>
  <si>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</si>
  <si>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</si>
  <si>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</si>
  <si>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</si>
  <si>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</si>
  <si>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</si>
  <si>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</si>
  <si>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</si>
  <si>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</si>
  <si>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</si>
  <si>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</si>
  <si>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</si>
  <si>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</si>
  <si>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</si>
  <si>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</si>
  <si>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</si>
  <si>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</si>
  <si>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</si>
  <si>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</si>
  <si>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</si>
  <si>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</si>
  <si>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</si>
  <si>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</si>
  <si>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</si>
  <si>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</si>
  <si>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</si>
  <si>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</si>
  <si>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</si>
  <si>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</si>
  <si>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</si>
  <si>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</si>
  <si>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</si>
  <si>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</si>
  <si>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</si>
  <si>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</si>
  <si>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</si>
  <si>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</si>
  <si>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</si>
  <si>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</si>
  <si>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</si>
  <si>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</si>
  <si>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</si>
  <si>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</si>
  <si>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</si>
  <si>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</si>
  <si>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</si>
  <si>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</si>
  <si>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</si>
  <si>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</si>
  <si>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</si>
  <si>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</si>
  <si>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</si>
  <si>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</si>
  <si>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</si>
  <si>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</si>
  <si>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</si>
  <si>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</si>
  <si>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</si>
  <si>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</si>
  <si>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</si>
  <si>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</si>
  <si>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</si>
  <si>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</si>
  <si>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</si>
  <si>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</si>
  <si>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</si>
  <si>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</si>
  <si>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</si>
  <si>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</si>
  <si>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</si>
  <si>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</si>
  <si>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</si>
  <si>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</si>
  <si>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</si>
  <si>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</si>
  <si>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</si>
  <si>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</si>
  <si>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</si>
  <si>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</si>
  <si>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</si>
  <si>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</si>
  <si>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</si>
  <si>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</si>
  <si>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</si>
  <si>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</si>
  <si>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</si>
  <si>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</si>
  <si>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</si>
  <si>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</si>
  <si>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</si>
  <si>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</si>
  <si>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</si>
  <si>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</si>
  <si>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</si>
  <si>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</si>
  <si>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</si>
  <si>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</si>
  <si>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</si>
  <si>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</si>
  <si>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</si>
  <si>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</si>
  <si>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</si>
  <si>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</si>
  <si>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</si>
  <si>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</si>
  <si>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</si>
  <si>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</si>
  <si>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</si>
  <si>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</si>
  <si>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</si>
  <si>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</si>
  <si>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</si>
  <si>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</si>
  <si>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</si>
  <si>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</si>
  <si>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</si>
  <si>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</si>
  <si>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</si>
  <si>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</si>
  <si>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</si>
  <si>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</si>
  <si>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</si>
  <si>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</si>
  <si>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</si>
  <si>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</si>
  <si>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</si>
  <si>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</si>
  <si>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</si>
  <si>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</si>
  <si>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</si>
  <si>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</si>
  <si>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</si>
  <si>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</si>
  <si>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</si>
  <si>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</si>
  <si>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</si>
  <si>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</si>
  <si>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</si>
  <si>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</si>
  <si>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</si>
  <si>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</si>
  <si>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</si>
  <si>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</si>
  <si>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</si>
  <si>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</si>
  <si>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</si>
  <si>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</si>
  <si>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</si>
  <si>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</si>
  <si>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</si>
  <si>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</si>
  <si>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</si>
  <si>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</si>
  <si>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</si>
  <si>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</si>
  <si>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</si>
  <si>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</si>
  <si>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</si>
  <si>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</si>
  <si>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</si>
  <si>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</si>
  <si>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</si>
  <si>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</si>
  <si>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</si>
  <si>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</si>
  <si>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</si>
  <si>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</si>
  <si>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</si>
  <si>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</si>
  <si>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</si>
  <si>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</si>
  <si>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</si>
  <si>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</si>
  <si>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</si>
  <si>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</si>
  <si>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</si>
  <si>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</si>
  <si>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</si>
  <si>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</si>
  <si>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</si>
  <si>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</si>
  <si>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>Pending Confirmation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</si>
  <si>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</si>
  <si>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</si>
  <si>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</si>
  <si>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</si>
  <si>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</si>
  <si>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</si>
  <si>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</si>
  <si>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</si>
  <si>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</si>
  <si>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</si>
  <si>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</si>
  <si>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</si>
  <si>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</si>
  <si>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</si>
  <si>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</si>
  <si>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</si>
  <si>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</si>
  <si>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</si>
  <si>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</si>
  <si>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</si>
  <si>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</si>
  <si>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</si>
  <si>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</si>
  <si>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</si>
  <si>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</si>
  <si>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</si>
  <si>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</si>
  <si>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>1 pending Refund</t>
  </si>
  <si>
    <t xml:space="preserve">1 Collected </t>
  </si>
  <si>
    <t>JBHIFI Wetherill Park</t>
  </si>
  <si>
    <t>JBHIFI 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</si>
</sst>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0" borderId="0" xfId="0" applyNumberFormat="1"/>
    <xf numFmtId="16" fontId="0" fillId="2" borderId="1" xfId="0" applyNumberFormat="1" applyFill="1" applyBorder="1"/>
    <xf numFmtId="166" fontId="0" fillId="0" borderId="0" xfId="0" applyNumberFormat="1"/>
    <xf numFmtId="166" fontId="0" fillId="2" borderId="0" xfId="0" applyNumberFormat="1" applyFill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7" fontId="0" fillId="8" borderId="1" xfId="0" applyNumberFormat="1" applyFill="1" applyBorder="1"/>
    <xf numFmtId="166" fontId="0" fillId="8" borderId="1" xfId="0" applyNumberFormat="1" applyFill="1" applyBorder="1"/>
    <xf numFmtId="16" fontId="0" fillId="8" borderId="3" xfId="0" applyNumberFormat="1" applyFill="1" applyBorder="1"/>
    <xf numFmtId="0" fontId="0" fillId="8" borderId="3" xfId="0" applyFill="1" applyBorder="1"/>
    <xf numFmtId="166" fontId="0" fillId="8" borderId="3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2" fillId="8" borderId="1" xfId="0" applyFont="1" applyFill="1" applyBorder="1"/>
    <xf numFmtId="166" fontId="2" fillId="8" borderId="1" xfId="0" applyNumberFormat="1" applyFont="1" applyFill="1" applyBorder="1"/>
    <xf numFmtId="16" fontId="0" fillId="9" borderId="14" xfId="0" applyNumberFormat="1" applyFill="1" applyBorder="1"/>
    <xf numFmtId="0" fontId="0" fillId="9" borderId="14" xfId="0" applyFill="1" applyBorder="1"/>
    <xf numFmtId="166" fontId="0" fillId="9" borderId="14" xfId="0" applyNumberFormat="1" applyFill="1" applyBorder="1"/>
    <xf numFmtId="0" fontId="2" fillId="9" borderId="1" xfId="0" applyFont="1" applyFill="1" applyBorder="1"/>
    <xf numFmtId="16" fontId="2" fillId="8" borderId="1" xfId="0" applyNumberFormat="1" applyFont="1" applyFill="1" applyBorder="1"/>
    <xf numFmtId="16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7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6">
        <v>45746</v>
      </c>
      <c r="C1" s="96"/>
      <c r="D1" s="96"/>
      <c r="E1" s="96"/>
      <c r="F1" s="96"/>
      <c r="G1" s="96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7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7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8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8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8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8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9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9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662</v>
      </c>
      <c r="C1" s="44" t="s">
        <v>0</v>
      </c>
    </row>
    <row r="2" spans="2:7" x14ac:dyDescent="0.3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00" t="s">
        <v>299</v>
      </c>
      <c r="B1" s="100"/>
      <c r="C1" s="100"/>
      <c r="D1" s="100"/>
      <c r="E1" s="100"/>
      <c r="F1" s="100"/>
      <c r="G1" s="100"/>
      <c r="H1" s="100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01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01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01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02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02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abSelected="1" topLeftCell="A118" workbookViewId="0">
      <selection activeCell="D140" sqref="D140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82">
        <v>45964</v>
      </c>
      <c r="B2" s="83">
        <v>10</v>
      </c>
      <c r="C2" s="83" t="s">
        <v>647</v>
      </c>
      <c r="D2" s="83" t="s">
        <v>335</v>
      </c>
      <c r="E2" s="84">
        <v>410</v>
      </c>
      <c r="F2" s="84">
        <f>E2*B2</f>
        <v>4100</v>
      </c>
      <c r="G2" s="83" t="s">
        <v>648</v>
      </c>
      <c r="H2" s="82">
        <v>45966</v>
      </c>
      <c r="I2" s="83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3">
      <c r="A3" s="82">
        <v>45964</v>
      </c>
      <c r="B3" s="83">
        <v>7</v>
      </c>
      <c r="C3" s="83" t="s">
        <v>723</v>
      </c>
      <c r="D3" s="83" t="s">
        <v>59</v>
      </c>
      <c r="E3" s="84">
        <v>150</v>
      </c>
      <c r="F3" s="84">
        <f>E3*B3</f>
        <v>1050</v>
      </c>
      <c r="G3" s="83" t="s">
        <v>648</v>
      </c>
      <c r="H3" s="82">
        <v>45966</v>
      </c>
      <c r="I3" s="83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3">
      <c r="A4" s="82">
        <v>45963</v>
      </c>
      <c r="B4" s="83">
        <v>4</v>
      </c>
      <c r="C4" s="83" t="s">
        <v>697</v>
      </c>
      <c r="D4" s="83" t="s">
        <v>30</v>
      </c>
      <c r="E4" s="84">
        <v>150</v>
      </c>
      <c r="F4" s="84">
        <f t="shared" ref="F4:F68" si="0">E4*B4</f>
        <v>600</v>
      </c>
      <c r="G4" s="83" t="s">
        <v>649</v>
      </c>
      <c r="H4" s="82">
        <v>45966</v>
      </c>
      <c r="I4" s="83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82">
        <v>45963</v>
      </c>
      <c r="B5" s="83">
        <v>4</v>
      </c>
      <c r="C5" s="83" t="s">
        <v>723</v>
      </c>
      <c r="D5" s="83" t="s">
        <v>30</v>
      </c>
      <c r="E5" s="84">
        <v>150</v>
      </c>
      <c r="F5" s="84">
        <f t="shared" si="0"/>
        <v>600</v>
      </c>
      <c r="G5" s="83" t="s">
        <v>649</v>
      </c>
      <c r="H5" s="82">
        <v>45966</v>
      </c>
      <c r="I5" s="83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3">
      <c r="A6" s="82">
        <v>45965</v>
      </c>
      <c r="B6" s="83">
        <v>20</v>
      </c>
      <c r="C6" s="83" t="s">
        <v>876</v>
      </c>
      <c r="D6" s="83" t="s">
        <v>349</v>
      </c>
      <c r="E6" s="84">
        <v>1063</v>
      </c>
      <c r="F6" s="84">
        <f t="shared" si="0"/>
        <v>21260</v>
      </c>
      <c r="G6" s="83" t="s">
        <v>656</v>
      </c>
      <c r="H6" s="82">
        <v>45966</v>
      </c>
      <c r="I6" s="83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3">
      <c r="A7" s="82">
        <v>45965</v>
      </c>
      <c r="B7" s="83">
        <v>12</v>
      </c>
      <c r="C7" s="83" t="s">
        <v>653</v>
      </c>
      <c r="D7" s="83" t="s">
        <v>118</v>
      </c>
      <c r="E7" s="84">
        <v>3375</v>
      </c>
      <c r="F7" s="84">
        <f t="shared" si="0"/>
        <v>40500</v>
      </c>
      <c r="G7" s="83" t="s">
        <v>656</v>
      </c>
      <c r="H7" s="82">
        <v>45966</v>
      </c>
      <c r="I7" s="83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3">
      <c r="A8" s="79">
        <v>45965</v>
      </c>
      <c r="B8" s="10">
        <v>2</v>
      </c>
      <c r="C8" s="10" t="s">
        <v>663</v>
      </c>
      <c r="D8" s="10" t="s">
        <v>118</v>
      </c>
      <c r="E8" s="50">
        <v>88</v>
      </c>
      <c r="F8" s="50">
        <f t="shared" si="0"/>
        <v>176</v>
      </c>
      <c r="G8" s="10" t="s">
        <v>656</v>
      </c>
      <c r="H8" s="79">
        <v>45966</v>
      </c>
      <c r="I8" s="10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3">
      <c r="A9" s="82">
        <v>45966</v>
      </c>
      <c r="B9" s="83">
        <v>30</v>
      </c>
      <c r="C9" s="83" t="s">
        <v>691</v>
      </c>
      <c r="D9" s="83" t="s">
        <v>335</v>
      </c>
      <c r="E9" s="84">
        <v>410</v>
      </c>
      <c r="F9" s="84">
        <f t="shared" si="0"/>
        <v>12300</v>
      </c>
      <c r="G9" s="83" t="s">
        <v>679</v>
      </c>
      <c r="H9" s="82">
        <v>45979</v>
      </c>
      <c r="I9" s="83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82">
        <v>45969</v>
      </c>
      <c r="B10" s="83">
        <v>1</v>
      </c>
      <c r="C10" s="83" t="s">
        <v>664</v>
      </c>
      <c r="D10" s="83" t="s">
        <v>496</v>
      </c>
      <c r="E10" s="84">
        <v>450</v>
      </c>
      <c r="F10" s="84">
        <f t="shared" si="0"/>
        <v>450</v>
      </c>
      <c r="G10" s="83" t="s">
        <v>365</v>
      </c>
      <c r="H10" s="82">
        <v>45979</v>
      </c>
      <c r="I10" s="83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3">
      <c r="A11" s="82">
        <v>45969</v>
      </c>
      <c r="B11" s="83">
        <v>1</v>
      </c>
      <c r="C11" s="83" t="s">
        <v>664</v>
      </c>
      <c r="D11" s="83" t="s">
        <v>492</v>
      </c>
      <c r="E11" s="84">
        <v>450</v>
      </c>
      <c r="F11" s="84">
        <f t="shared" si="0"/>
        <v>450</v>
      </c>
      <c r="G11" s="83" t="s">
        <v>365</v>
      </c>
      <c r="H11" s="82">
        <v>45979</v>
      </c>
      <c r="I11" s="83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3">
      <c r="A12" s="82">
        <v>45969</v>
      </c>
      <c r="B12" s="83">
        <v>4</v>
      </c>
      <c r="C12" s="83" t="s">
        <v>664</v>
      </c>
      <c r="D12" s="83" t="s">
        <v>493</v>
      </c>
      <c r="E12" s="84">
        <v>450</v>
      </c>
      <c r="F12" s="84">
        <f t="shared" si="0"/>
        <v>1800</v>
      </c>
      <c r="G12" s="83" t="s">
        <v>365</v>
      </c>
      <c r="H12" s="82">
        <v>45979</v>
      </c>
      <c r="I12" s="83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3">
      <c r="A13" s="82">
        <v>45969</v>
      </c>
      <c r="B13" s="83">
        <v>5</v>
      </c>
      <c r="C13" s="83" t="s">
        <v>664</v>
      </c>
      <c r="D13" s="83" t="s">
        <v>665</v>
      </c>
      <c r="E13" s="84">
        <v>450</v>
      </c>
      <c r="F13" s="84">
        <f t="shared" si="0"/>
        <v>2250</v>
      </c>
      <c r="G13" s="83" t="s">
        <v>365</v>
      </c>
      <c r="H13" s="82">
        <v>45979</v>
      </c>
      <c r="I13" s="83" t="s">
        <v>824</v>
      </c>
      <c r="P13" s="74" t="s">
        <v>647</v>
      </c>
      <c r="Q13">
        <v>19</v>
      </c>
    </row>
    <row r="14" spans="1:23" x14ac:dyDescent="0.3">
      <c r="A14" s="82">
        <v>45969</v>
      </c>
      <c r="B14" s="83">
        <v>11</v>
      </c>
      <c r="C14" s="83" t="s">
        <v>664</v>
      </c>
      <c r="D14" s="83" t="s">
        <v>494</v>
      </c>
      <c r="E14" s="84">
        <v>450</v>
      </c>
      <c r="F14" s="84">
        <f t="shared" si="0"/>
        <v>4950</v>
      </c>
      <c r="G14" s="83" t="s">
        <v>365</v>
      </c>
      <c r="H14" s="82">
        <v>45979</v>
      </c>
      <c r="I14" s="83" t="s">
        <v>824</v>
      </c>
      <c r="P14" s="74" t="s">
        <v>746</v>
      </c>
      <c r="Q14">
        <v>3</v>
      </c>
    </row>
    <row r="15" spans="1:23" x14ac:dyDescent="0.3">
      <c r="A15" s="82">
        <v>45970</v>
      </c>
      <c r="B15" s="83">
        <v>10</v>
      </c>
      <c r="C15" s="83" t="s">
        <v>664</v>
      </c>
      <c r="D15" s="83" t="s">
        <v>501</v>
      </c>
      <c r="E15" s="84">
        <v>450</v>
      </c>
      <c r="F15" s="84">
        <f t="shared" si="0"/>
        <v>4500</v>
      </c>
      <c r="G15" s="83" t="s">
        <v>365</v>
      </c>
      <c r="H15" s="82">
        <v>45979</v>
      </c>
      <c r="I15" s="83" t="s">
        <v>824</v>
      </c>
      <c r="P15" s="74" t="s">
        <v>716</v>
      </c>
      <c r="Q15">
        <v>9</v>
      </c>
      <c r="W15">
        <v>800</v>
      </c>
    </row>
    <row r="16" spans="1:23" x14ac:dyDescent="0.3">
      <c r="A16" s="82">
        <v>45970</v>
      </c>
      <c r="B16" s="83">
        <v>1</v>
      </c>
      <c r="C16" s="83" t="s">
        <v>725</v>
      </c>
      <c r="D16" s="83" t="s">
        <v>120</v>
      </c>
      <c r="E16" s="84">
        <v>1358</v>
      </c>
      <c r="F16" s="84">
        <f t="shared" si="0"/>
        <v>1358</v>
      </c>
      <c r="G16" s="83" t="s">
        <v>365</v>
      </c>
      <c r="H16" s="82">
        <v>45979</v>
      </c>
      <c r="I16" s="83" t="s">
        <v>115</v>
      </c>
      <c r="P16" s="74" t="s">
        <v>711</v>
      </c>
      <c r="Q16">
        <v>3</v>
      </c>
      <c r="W16">
        <v>796</v>
      </c>
    </row>
    <row r="17" spans="1:23" x14ac:dyDescent="0.3">
      <c r="A17" s="82">
        <v>45970</v>
      </c>
      <c r="B17" s="83">
        <v>2</v>
      </c>
      <c r="C17" s="83" t="s">
        <v>726</v>
      </c>
      <c r="D17" s="83" t="s">
        <v>674</v>
      </c>
      <c r="E17" s="84">
        <v>1403</v>
      </c>
      <c r="F17" s="84">
        <f t="shared" si="0"/>
        <v>2806</v>
      </c>
      <c r="G17" s="83" t="s">
        <v>365</v>
      </c>
      <c r="H17" s="82">
        <v>45979</v>
      </c>
      <c r="I17" s="83" t="s">
        <v>824</v>
      </c>
      <c r="P17" s="74" t="s">
        <v>747</v>
      </c>
      <c r="Q17">
        <v>7</v>
      </c>
      <c r="W17">
        <v>499</v>
      </c>
    </row>
    <row r="18" spans="1:23" x14ac:dyDescent="0.3">
      <c r="A18" s="82">
        <v>45970</v>
      </c>
      <c r="B18" s="83">
        <v>1</v>
      </c>
      <c r="C18" s="83" t="s">
        <v>664</v>
      </c>
      <c r="D18" s="83" t="s">
        <v>674</v>
      </c>
      <c r="E18" s="84">
        <v>474</v>
      </c>
      <c r="F18" s="84">
        <f t="shared" si="0"/>
        <v>474</v>
      </c>
      <c r="G18" s="83" t="s">
        <v>365</v>
      </c>
      <c r="H18" s="82">
        <v>45979</v>
      </c>
      <c r="I18" s="83" t="s">
        <v>824</v>
      </c>
      <c r="P18" s="74" t="s">
        <v>664</v>
      </c>
      <c r="Q18">
        <v>69</v>
      </c>
      <c r="W18">
        <v>598</v>
      </c>
    </row>
    <row r="19" spans="1:23" x14ac:dyDescent="0.3">
      <c r="A19" s="82">
        <v>45970</v>
      </c>
      <c r="B19" s="83">
        <v>1</v>
      </c>
      <c r="C19" s="83" t="s">
        <v>726</v>
      </c>
      <c r="D19" s="83" t="s">
        <v>19</v>
      </c>
      <c r="E19" s="84">
        <v>1403</v>
      </c>
      <c r="F19" s="84">
        <f t="shared" si="0"/>
        <v>1403</v>
      </c>
      <c r="G19" s="83" t="s">
        <v>8</v>
      </c>
      <c r="H19" s="82">
        <v>45979</v>
      </c>
      <c r="I19" s="83" t="s">
        <v>824</v>
      </c>
      <c r="P19" s="14" t="s">
        <v>80</v>
      </c>
      <c r="Q19">
        <v>176</v>
      </c>
      <c r="W19">
        <v>958</v>
      </c>
    </row>
    <row r="20" spans="1:23" x14ac:dyDescent="0.3">
      <c r="A20" s="82">
        <v>45970</v>
      </c>
      <c r="B20" s="83">
        <v>1</v>
      </c>
      <c r="C20" s="83" t="s">
        <v>726</v>
      </c>
      <c r="D20" s="83" t="s">
        <v>19</v>
      </c>
      <c r="E20" s="84">
        <v>1403</v>
      </c>
      <c r="F20" s="84">
        <f t="shared" si="0"/>
        <v>1403</v>
      </c>
      <c r="G20" s="83" t="s">
        <v>683</v>
      </c>
      <c r="H20" s="82">
        <v>45979</v>
      </c>
      <c r="I20" s="83" t="s">
        <v>824</v>
      </c>
    </row>
    <row r="21" spans="1:23" x14ac:dyDescent="0.3">
      <c r="A21" s="82">
        <v>45970</v>
      </c>
      <c r="B21" s="83">
        <v>2</v>
      </c>
      <c r="C21" s="83" t="s">
        <v>664</v>
      </c>
      <c r="D21" s="83" t="s">
        <v>496</v>
      </c>
      <c r="E21" s="84">
        <v>450</v>
      </c>
      <c r="F21" s="84">
        <f t="shared" si="0"/>
        <v>900</v>
      </c>
      <c r="G21" s="83" t="s">
        <v>8</v>
      </c>
      <c r="H21" s="82">
        <v>45979</v>
      </c>
      <c r="I21" s="83" t="s">
        <v>824</v>
      </c>
    </row>
    <row r="22" spans="1:23" x14ac:dyDescent="0.3">
      <c r="A22" s="82">
        <v>45970</v>
      </c>
      <c r="B22" s="83">
        <v>1</v>
      </c>
      <c r="C22" s="83" t="s">
        <v>726</v>
      </c>
      <c r="D22" s="83" t="s">
        <v>675</v>
      </c>
      <c r="E22" s="84">
        <v>1403</v>
      </c>
      <c r="F22" s="84">
        <f t="shared" si="0"/>
        <v>1403</v>
      </c>
      <c r="G22" s="83" t="s">
        <v>8</v>
      </c>
      <c r="H22" s="82">
        <v>45979</v>
      </c>
      <c r="I22" s="83" t="s">
        <v>824</v>
      </c>
    </row>
    <row r="23" spans="1:23" x14ac:dyDescent="0.3">
      <c r="A23" s="82">
        <v>45970</v>
      </c>
      <c r="B23" s="83">
        <v>1</v>
      </c>
      <c r="C23" s="83" t="s">
        <v>726</v>
      </c>
      <c r="D23" s="83" t="s">
        <v>676</v>
      </c>
      <c r="E23" s="84">
        <v>1403</v>
      </c>
      <c r="F23" s="84">
        <f t="shared" si="0"/>
        <v>1403</v>
      </c>
      <c r="G23" s="83" t="s">
        <v>8</v>
      </c>
      <c r="H23" s="82">
        <v>45979</v>
      </c>
      <c r="I23" s="83" t="s">
        <v>824</v>
      </c>
    </row>
    <row r="24" spans="1:23" x14ac:dyDescent="0.3">
      <c r="A24" s="82">
        <v>45970</v>
      </c>
      <c r="B24" s="83">
        <v>1</v>
      </c>
      <c r="C24" s="83" t="s">
        <v>726</v>
      </c>
      <c r="D24" s="83" t="s">
        <v>676</v>
      </c>
      <c r="E24" s="84">
        <v>1403</v>
      </c>
      <c r="F24" s="84">
        <f t="shared" si="0"/>
        <v>1403</v>
      </c>
      <c r="G24" s="83" t="s">
        <v>8</v>
      </c>
      <c r="H24" s="82">
        <v>45979</v>
      </c>
      <c r="I24" s="83" t="s">
        <v>824</v>
      </c>
    </row>
    <row r="25" spans="1:23" x14ac:dyDescent="0.3">
      <c r="A25" s="82">
        <v>45970</v>
      </c>
      <c r="B25" s="83">
        <v>5</v>
      </c>
      <c r="C25" s="83" t="s">
        <v>664</v>
      </c>
      <c r="D25" s="83" t="s">
        <v>495</v>
      </c>
      <c r="E25" s="84">
        <v>450</v>
      </c>
      <c r="F25" s="84">
        <f t="shared" si="0"/>
        <v>2250</v>
      </c>
      <c r="G25" s="83" t="s">
        <v>8</v>
      </c>
      <c r="H25" s="82">
        <v>45982</v>
      </c>
      <c r="I25" s="83" t="s">
        <v>824</v>
      </c>
    </row>
    <row r="26" spans="1:23" x14ac:dyDescent="0.3">
      <c r="A26" s="82">
        <v>45970</v>
      </c>
      <c r="B26" s="83">
        <v>3</v>
      </c>
      <c r="C26" s="83" t="s">
        <v>725</v>
      </c>
      <c r="D26" s="83" t="s">
        <v>677</v>
      </c>
      <c r="E26" s="84">
        <v>1358</v>
      </c>
      <c r="F26" s="84">
        <f t="shared" si="0"/>
        <v>4074</v>
      </c>
      <c r="G26" s="83" t="s">
        <v>715</v>
      </c>
      <c r="H26" s="82">
        <v>45982</v>
      </c>
      <c r="I26" s="83" t="s">
        <v>115</v>
      </c>
    </row>
    <row r="27" spans="1:23" x14ac:dyDescent="0.3">
      <c r="A27" s="82">
        <v>45970</v>
      </c>
      <c r="B27" s="83">
        <v>3</v>
      </c>
      <c r="C27" s="83" t="s">
        <v>726</v>
      </c>
      <c r="D27" s="83" t="s">
        <v>677</v>
      </c>
      <c r="E27" s="84">
        <v>1477</v>
      </c>
      <c r="F27" s="84">
        <f t="shared" si="0"/>
        <v>4431</v>
      </c>
      <c r="G27" s="83" t="s">
        <v>715</v>
      </c>
      <c r="H27" s="82">
        <v>45982</v>
      </c>
      <c r="I27" s="83" t="s">
        <v>115</v>
      </c>
    </row>
    <row r="28" spans="1:23" x14ac:dyDescent="0.3">
      <c r="A28" s="82">
        <v>45970</v>
      </c>
      <c r="B28" s="83">
        <v>5</v>
      </c>
      <c r="C28" s="83" t="s">
        <v>691</v>
      </c>
      <c r="D28" s="83" t="s">
        <v>335</v>
      </c>
      <c r="E28" s="84">
        <v>410</v>
      </c>
      <c r="F28" s="84">
        <f t="shared" si="0"/>
        <v>2050</v>
      </c>
      <c r="G28" s="83" t="s">
        <v>689</v>
      </c>
      <c r="H28" s="82">
        <v>45979</v>
      </c>
      <c r="I28" s="83" t="s">
        <v>824</v>
      </c>
    </row>
    <row r="29" spans="1:23" x14ac:dyDescent="0.3">
      <c r="A29" s="82">
        <v>45972</v>
      </c>
      <c r="B29" s="83">
        <v>30</v>
      </c>
      <c r="C29" s="83" t="s">
        <v>691</v>
      </c>
      <c r="D29" s="83" t="s">
        <v>335</v>
      </c>
      <c r="E29" s="84">
        <v>410</v>
      </c>
      <c r="F29" s="84">
        <f t="shared" si="0"/>
        <v>12300</v>
      </c>
      <c r="G29" s="83" t="s">
        <v>682</v>
      </c>
      <c r="H29" s="82">
        <v>45979</v>
      </c>
      <c r="I29" s="83" t="s">
        <v>824</v>
      </c>
    </row>
    <row r="30" spans="1:23" x14ac:dyDescent="0.3">
      <c r="A30" s="82">
        <v>45972</v>
      </c>
      <c r="B30" s="83">
        <v>5</v>
      </c>
      <c r="C30" s="83" t="s">
        <v>645</v>
      </c>
      <c r="D30" s="83" t="s">
        <v>335</v>
      </c>
      <c r="E30" s="84">
        <v>1400</v>
      </c>
      <c r="F30" s="84">
        <f t="shared" si="0"/>
        <v>7000</v>
      </c>
      <c r="G30" s="83" t="s">
        <v>682</v>
      </c>
      <c r="H30" s="82">
        <v>45979</v>
      </c>
      <c r="I30" s="83" t="s">
        <v>824</v>
      </c>
    </row>
    <row r="31" spans="1:23" x14ac:dyDescent="0.3">
      <c r="A31" s="82">
        <v>45972</v>
      </c>
      <c r="B31" s="83">
        <v>5</v>
      </c>
      <c r="C31" s="83" t="s">
        <v>680</v>
      </c>
      <c r="D31" s="83" t="s">
        <v>335</v>
      </c>
      <c r="E31" s="84">
        <v>2500</v>
      </c>
      <c r="F31" s="84">
        <f t="shared" si="0"/>
        <v>12500</v>
      </c>
      <c r="G31" s="83" t="s">
        <v>682</v>
      </c>
      <c r="H31" s="82">
        <v>45979</v>
      </c>
      <c r="I31" s="83" t="s">
        <v>824</v>
      </c>
    </row>
    <row r="32" spans="1:23" x14ac:dyDescent="0.3">
      <c r="A32" s="82">
        <v>45972</v>
      </c>
      <c r="B32" s="83">
        <v>10</v>
      </c>
      <c r="C32" s="83" t="s">
        <v>681</v>
      </c>
      <c r="D32" s="83" t="s">
        <v>335</v>
      </c>
      <c r="E32" s="84">
        <v>3300</v>
      </c>
      <c r="F32" s="84">
        <f t="shared" si="0"/>
        <v>33000</v>
      </c>
      <c r="G32" s="83" t="s">
        <v>682</v>
      </c>
      <c r="H32" s="82">
        <v>45979</v>
      </c>
      <c r="I32" s="83" t="s">
        <v>824</v>
      </c>
    </row>
    <row r="33" spans="1:9" x14ac:dyDescent="0.3">
      <c r="A33" s="82">
        <v>45978</v>
      </c>
      <c r="B33" s="83">
        <v>9</v>
      </c>
      <c r="C33" s="83" t="s">
        <v>727</v>
      </c>
      <c r="D33" s="83" t="s">
        <v>677</v>
      </c>
      <c r="E33" s="84">
        <v>625</v>
      </c>
      <c r="F33" s="84">
        <f t="shared" si="0"/>
        <v>5625</v>
      </c>
      <c r="G33" s="83" t="s">
        <v>728</v>
      </c>
      <c r="H33" s="82">
        <v>45982</v>
      </c>
      <c r="I33" s="83" t="s">
        <v>115</v>
      </c>
    </row>
    <row r="34" spans="1:9" x14ac:dyDescent="0.3">
      <c r="A34" s="82">
        <v>45978</v>
      </c>
      <c r="B34" s="83">
        <v>1</v>
      </c>
      <c r="C34" s="83" t="s">
        <v>685</v>
      </c>
      <c r="D34" s="83" t="s">
        <v>684</v>
      </c>
      <c r="E34" s="84">
        <v>329</v>
      </c>
      <c r="F34" s="84">
        <f t="shared" si="0"/>
        <v>329</v>
      </c>
      <c r="G34" s="83"/>
      <c r="H34" s="83"/>
      <c r="I34" s="83" t="s">
        <v>85</v>
      </c>
    </row>
    <row r="35" spans="1:9" x14ac:dyDescent="0.3">
      <c r="A35" s="82">
        <v>45978</v>
      </c>
      <c r="B35" s="83">
        <v>1</v>
      </c>
      <c r="C35" s="83" t="s">
        <v>542</v>
      </c>
      <c r="D35" s="83" t="s">
        <v>686</v>
      </c>
      <c r="E35" s="84">
        <v>5000</v>
      </c>
      <c r="F35" s="84">
        <f t="shared" si="0"/>
        <v>5000</v>
      </c>
      <c r="G35" s="83"/>
      <c r="H35" s="83"/>
      <c r="I35" s="83" t="s">
        <v>85</v>
      </c>
    </row>
    <row r="36" spans="1:9" x14ac:dyDescent="0.3">
      <c r="A36" s="82">
        <v>45979</v>
      </c>
      <c r="B36" s="83">
        <v>2</v>
      </c>
      <c r="C36" s="83" t="s">
        <v>687</v>
      </c>
      <c r="D36" s="83" t="s">
        <v>101</v>
      </c>
      <c r="E36" s="84">
        <v>454</v>
      </c>
      <c r="F36" s="84">
        <f t="shared" si="0"/>
        <v>908</v>
      </c>
      <c r="G36" s="83" t="s">
        <v>700</v>
      </c>
      <c r="H36" s="82">
        <v>45982</v>
      </c>
      <c r="I36" s="83" t="s">
        <v>824</v>
      </c>
    </row>
    <row r="37" spans="1:9" x14ac:dyDescent="0.3">
      <c r="A37" s="82">
        <v>45979</v>
      </c>
      <c r="B37" s="83">
        <v>2</v>
      </c>
      <c r="C37" s="83" t="s">
        <v>687</v>
      </c>
      <c r="D37" s="83" t="s">
        <v>101</v>
      </c>
      <c r="E37" s="84">
        <v>454</v>
      </c>
      <c r="F37" s="84">
        <f t="shared" si="0"/>
        <v>908</v>
      </c>
      <c r="G37" s="83" t="s">
        <v>700</v>
      </c>
      <c r="H37" s="82">
        <v>45982</v>
      </c>
      <c r="I37" s="83" t="s">
        <v>824</v>
      </c>
    </row>
    <row r="38" spans="1:9" x14ac:dyDescent="0.3">
      <c r="A38" s="82">
        <v>45979</v>
      </c>
      <c r="B38" s="83">
        <v>2</v>
      </c>
      <c r="C38" s="83" t="s">
        <v>687</v>
      </c>
      <c r="D38" s="83" t="s">
        <v>688</v>
      </c>
      <c r="E38" s="84">
        <v>454</v>
      </c>
      <c r="F38" s="84">
        <f t="shared" si="0"/>
        <v>908</v>
      </c>
      <c r="G38" s="83" t="s">
        <v>719</v>
      </c>
      <c r="H38" s="83"/>
      <c r="I38" s="83" t="s">
        <v>824</v>
      </c>
    </row>
    <row r="39" spans="1:9" x14ac:dyDescent="0.3">
      <c r="A39" s="82">
        <v>45979</v>
      </c>
      <c r="B39" s="83">
        <v>2</v>
      </c>
      <c r="C39" s="83" t="s">
        <v>687</v>
      </c>
      <c r="D39" s="83" t="s">
        <v>688</v>
      </c>
      <c r="E39" s="84">
        <v>454</v>
      </c>
      <c r="F39" s="84">
        <f t="shared" si="0"/>
        <v>908</v>
      </c>
      <c r="G39" s="83" t="s">
        <v>719</v>
      </c>
      <c r="H39" s="83"/>
      <c r="I39" s="83" t="s">
        <v>824</v>
      </c>
    </row>
    <row r="40" spans="1:9" x14ac:dyDescent="0.3">
      <c r="A40" s="82">
        <v>45979</v>
      </c>
      <c r="B40" s="83">
        <v>2</v>
      </c>
      <c r="C40" s="83" t="s">
        <v>687</v>
      </c>
      <c r="D40" s="83" t="s">
        <v>688</v>
      </c>
      <c r="E40" s="84">
        <v>454</v>
      </c>
      <c r="F40" s="84">
        <f t="shared" si="0"/>
        <v>908</v>
      </c>
      <c r="G40" s="83" t="s">
        <v>729</v>
      </c>
      <c r="H40" s="83"/>
      <c r="I40" s="83" t="s">
        <v>824</v>
      </c>
    </row>
    <row r="41" spans="1:9" x14ac:dyDescent="0.3">
      <c r="A41" s="82">
        <v>45979</v>
      </c>
      <c r="B41" s="83">
        <v>3</v>
      </c>
      <c r="C41" s="83" t="s">
        <v>723</v>
      </c>
      <c r="D41" s="83" t="s">
        <v>688</v>
      </c>
      <c r="E41" s="84">
        <v>130</v>
      </c>
      <c r="F41" s="84">
        <f t="shared" si="0"/>
        <v>390</v>
      </c>
      <c r="G41" s="83" t="s">
        <v>8</v>
      </c>
      <c r="H41" s="82">
        <v>45982</v>
      </c>
      <c r="I41" s="83" t="s">
        <v>824</v>
      </c>
    </row>
    <row r="42" spans="1:9" x14ac:dyDescent="0.3">
      <c r="A42" s="82">
        <v>45980</v>
      </c>
      <c r="B42" s="83">
        <v>6</v>
      </c>
      <c r="C42" s="83" t="s">
        <v>723</v>
      </c>
      <c r="D42" s="83" t="s">
        <v>688</v>
      </c>
      <c r="E42" s="84">
        <v>130</v>
      </c>
      <c r="F42" s="84">
        <f t="shared" si="0"/>
        <v>780</v>
      </c>
      <c r="G42" s="83" t="s">
        <v>8</v>
      </c>
      <c r="H42" s="82">
        <v>45982</v>
      </c>
      <c r="I42" s="83" t="s">
        <v>824</v>
      </c>
    </row>
    <row r="43" spans="1:9" x14ac:dyDescent="0.3">
      <c r="A43" s="82">
        <v>45980</v>
      </c>
      <c r="B43" s="83">
        <v>10</v>
      </c>
      <c r="C43" s="83" t="s">
        <v>559</v>
      </c>
      <c r="D43" s="83" t="s">
        <v>688</v>
      </c>
      <c r="E43" s="84">
        <v>39</v>
      </c>
      <c r="F43" s="84">
        <f t="shared" si="0"/>
        <v>390</v>
      </c>
      <c r="G43" s="83" t="s">
        <v>8</v>
      </c>
      <c r="H43" s="82">
        <v>45982</v>
      </c>
      <c r="I43" s="83" t="s">
        <v>824</v>
      </c>
    </row>
    <row r="44" spans="1:9" x14ac:dyDescent="0.3">
      <c r="A44" s="82">
        <v>45980</v>
      </c>
      <c r="B44" s="83">
        <v>6</v>
      </c>
      <c r="C44" s="83" t="s">
        <v>696</v>
      </c>
      <c r="D44" s="83" t="s">
        <v>688</v>
      </c>
      <c r="E44" s="84">
        <v>779</v>
      </c>
      <c r="F44" s="84">
        <f t="shared" si="0"/>
        <v>4674</v>
      </c>
      <c r="G44" s="83" t="s">
        <v>8</v>
      </c>
      <c r="H44" s="82">
        <v>45982</v>
      </c>
      <c r="I44" s="83" t="s">
        <v>824</v>
      </c>
    </row>
    <row r="45" spans="1:9" x14ac:dyDescent="0.3">
      <c r="A45" s="82">
        <v>45980</v>
      </c>
      <c r="B45" s="83">
        <v>6</v>
      </c>
      <c r="C45" s="83" t="s">
        <v>693</v>
      </c>
      <c r="D45" s="83" t="s">
        <v>688</v>
      </c>
      <c r="E45" s="84">
        <v>594</v>
      </c>
      <c r="F45" s="84">
        <f t="shared" si="0"/>
        <v>3564</v>
      </c>
      <c r="G45" s="83" t="s">
        <v>8</v>
      </c>
      <c r="H45" s="82">
        <v>45982</v>
      </c>
      <c r="I45" s="83" t="s">
        <v>824</v>
      </c>
    </row>
    <row r="46" spans="1:9" x14ac:dyDescent="0.3">
      <c r="A46" s="82">
        <v>45980</v>
      </c>
      <c r="B46" s="83">
        <v>3</v>
      </c>
      <c r="C46" s="83" t="s">
        <v>693</v>
      </c>
      <c r="D46" s="83" t="s">
        <v>688</v>
      </c>
      <c r="E46" s="84">
        <v>594</v>
      </c>
      <c r="F46" s="84">
        <f t="shared" si="0"/>
        <v>1782</v>
      </c>
      <c r="G46" s="83" t="s">
        <v>694</v>
      </c>
      <c r="H46" s="82">
        <v>45982</v>
      </c>
      <c r="I46" s="83" t="s">
        <v>824</v>
      </c>
    </row>
    <row r="47" spans="1:9" x14ac:dyDescent="0.3">
      <c r="A47" s="82">
        <v>45980</v>
      </c>
      <c r="B47" s="83">
        <v>4</v>
      </c>
      <c r="C47" s="83" t="s">
        <v>687</v>
      </c>
      <c r="D47" s="83" t="s">
        <v>688</v>
      </c>
      <c r="E47" s="84">
        <v>454</v>
      </c>
      <c r="F47" s="84">
        <f t="shared" si="0"/>
        <v>1816</v>
      </c>
      <c r="G47" s="83" t="s">
        <v>729</v>
      </c>
      <c r="H47" s="83"/>
      <c r="I47" s="83" t="s">
        <v>824</v>
      </c>
    </row>
    <row r="48" spans="1:9" x14ac:dyDescent="0.3">
      <c r="A48" s="82">
        <v>45980</v>
      </c>
      <c r="B48" s="83">
        <v>10</v>
      </c>
      <c r="C48" s="83" t="s">
        <v>695</v>
      </c>
      <c r="D48" s="83" t="s">
        <v>335</v>
      </c>
      <c r="E48" s="84">
        <v>777</v>
      </c>
      <c r="F48" s="84">
        <f t="shared" si="0"/>
        <v>7770</v>
      </c>
      <c r="G48" s="83" t="s">
        <v>742</v>
      </c>
      <c r="H48" s="82"/>
      <c r="I48" s="83" t="s">
        <v>824</v>
      </c>
    </row>
    <row r="49" spans="1:9" x14ac:dyDescent="0.3">
      <c r="A49" s="82">
        <v>45980</v>
      </c>
      <c r="B49" s="83">
        <v>10</v>
      </c>
      <c r="C49" s="83" t="s">
        <v>645</v>
      </c>
      <c r="D49" s="83" t="s">
        <v>335</v>
      </c>
      <c r="E49" s="84">
        <v>1400</v>
      </c>
      <c r="F49" s="84">
        <f t="shared" si="0"/>
        <v>14000</v>
      </c>
      <c r="G49" s="83" t="s">
        <v>742</v>
      </c>
      <c r="H49" s="83"/>
      <c r="I49" s="83" t="s">
        <v>824</v>
      </c>
    </row>
    <row r="50" spans="1:9" x14ac:dyDescent="0.3">
      <c r="A50" s="82">
        <v>45980</v>
      </c>
      <c r="B50" s="83">
        <v>7</v>
      </c>
      <c r="C50" s="83" t="s">
        <v>693</v>
      </c>
      <c r="D50" s="83" t="s">
        <v>101</v>
      </c>
      <c r="E50" s="84">
        <v>559</v>
      </c>
      <c r="F50" s="84">
        <f t="shared" si="0"/>
        <v>3913</v>
      </c>
      <c r="G50" s="83" t="s">
        <v>8</v>
      </c>
      <c r="H50" s="82">
        <v>45982</v>
      </c>
      <c r="I50" s="83" t="s">
        <v>824</v>
      </c>
    </row>
    <row r="51" spans="1:9" x14ac:dyDescent="0.3">
      <c r="A51" s="82">
        <v>45980</v>
      </c>
      <c r="B51" s="83">
        <v>6</v>
      </c>
      <c r="C51" s="83" t="s">
        <v>724</v>
      </c>
      <c r="D51" s="83" t="s">
        <v>101</v>
      </c>
      <c r="E51" s="84">
        <v>779</v>
      </c>
      <c r="F51" s="84">
        <f t="shared" si="0"/>
        <v>4674</v>
      </c>
      <c r="G51" s="83" t="s">
        <v>8</v>
      </c>
      <c r="H51" s="82">
        <v>45982</v>
      </c>
      <c r="I51" s="83" t="s">
        <v>824</v>
      </c>
    </row>
    <row r="52" spans="1:9" x14ac:dyDescent="0.3">
      <c r="A52" s="82">
        <v>45980</v>
      </c>
      <c r="B52" s="83">
        <v>4</v>
      </c>
      <c r="C52" s="83" t="s">
        <v>697</v>
      </c>
      <c r="D52" s="83" t="s">
        <v>101</v>
      </c>
      <c r="E52" s="84">
        <v>125</v>
      </c>
      <c r="F52" s="84">
        <f t="shared" si="0"/>
        <v>500</v>
      </c>
      <c r="G52" s="83" t="s">
        <v>8</v>
      </c>
      <c r="H52" s="82">
        <v>45982</v>
      </c>
      <c r="I52" s="83" t="s">
        <v>824</v>
      </c>
    </row>
    <row r="53" spans="1:9" x14ac:dyDescent="0.3">
      <c r="A53" s="82">
        <v>45980</v>
      </c>
      <c r="B53" s="83">
        <v>1</v>
      </c>
      <c r="C53" s="83" t="s">
        <v>698</v>
      </c>
      <c r="D53" s="83" t="s">
        <v>703</v>
      </c>
      <c r="E53" s="84">
        <v>699</v>
      </c>
      <c r="F53" s="84">
        <f t="shared" si="0"/>
        <v>699</v>
      </c>
      <c r="G53" s="83" t="s">
        <v>699</v>
      </c>
      <c r="H53" s="82">
        <v>45982</v>
      </c>
      <c r="I53" s="83" t="s">
        <v>824</v>
      </c>
    </row>
    <row r="54" spans="1:9" x14ac:dyDescent="0.3">
      <c r="A54" s="82">
        <v>45980</v>
      </c>
      <c r="B54" s="83">
        <v>15</v>
      </c>
      <c r="C54" s="83" t="s">
        <v>697</v>
      </c>
      <c r="D54" s="83" t="s">
        <v>30</v>
      </c>
      <c r="E54" s="84">
        <v>125</v>
      </c>
      <c r="F54" s="84">
        <f t="shared" si="0"/>
        <v>1875</v>
      </c>
      <c r="G54" s="83" t="s">
        <v>791</v>
      </c>
      <c r="H54" s="83"/>
      <c r="I54" s="83" t="s">
        <v>824</v>
      </c>
    </row>
    <row r="55" spans="1:9" x14ac:dyDescent="0.3">
      <c r="A55" s="82">
        <v>45981</v>
      </c>
      <c r="B55" s="83">
        <v>12</v>
      </c>
      <c r="C55" s="83" t="s">
        <v>697</v>
      </c>
      <c r="D55" s="83" t="s">
        <v>767</v>
      </c>
      <c r="E55" s="84">
        <v>125</v>
      </c>
      <c r="F55" s="84">
        <f t="shared" si="0"/>
        <v>1500</v>
      </c>
      <c r="G55" s="83" t="s">
        <v>781</v>
      </c>
      <c r="H55" s="83"/>
      <c r="I55" s="83" t="s">
        <v>824</v>
      </c>
    </row>
    <row r="56" spans="1:9" x14ac:dyDescent="0.3">
      <c r="A56" s="82">
        <v>45981</v>
      </c>
      <c r="B56" s="83">
        <v>23</v>
      </c>
      <c r="C56" s="83" t="s">
        <v>697</v>
      </c>
      <c r="D56" s="83" t="s">
        <v>702</v>
      </c>
      <c r="E56" s="84">
        <v>125</v>
      </c>
      <c r="F56" s="84">
        <f t="shared" si="0"/>
        <v>2875</v>
      </c>
      <c r="G56" s="83" t="s">
        <v>765</v>
      </c>
      <c r="H56" s="83"/>
      <c r="I56" s="83" t="s">
        <v>766</v>
      </c>
    </row>
    <row r="57" spans="1:9" x14ac:dyDescent="0.3">
      <c r="A57" s="82">
        <v>45981</v>
      </c>
      <c r="B57" s="83">
        <v>1</v>
      </c>
      <c r="C57" s="83" t="s">
        <v>698</v>
      </c>
      <c r="D57" s="83" t="s">
        <v>703</v>
      </c>
      <c r="E57" s="84">
        <v>699</v>
      </c>
      <c r="F57" s="84">
        <f t="shared" si="0"/>
        <v>699</v>
      </c>
      <c r="G57" s="83" t="s">
        <v>699</v>
      </c>
      <c r="H57" s="82">
        <v>45982</v>
      </c>
      <c r="I57" s="83" t="s">
        <v>824</v>
      </c>
    </row>
    <row r="58" spans="1:9" x14ac:dyDescent="0.3">
      <c r="A58" s="82">
        <v>45981</v>
      </c>
      <c r="B58" s="83">
        <v>2</v>
      </c>
      <c r="C58" s="83" t="s">
        <v>704</v>
      </c>
      <c r="D58" s="83" t="s">
        <v>364</v>
      </c>
      <c r="E58" s="84">
        <v>2100</v>
      </c>
      <c r="F58" s="84">
        <f t="shared" si="0"/>
        <v>4200</v>
      </c>
      <c r="G58" s="83" t="s">
        <v>8</v>
      </c>
      <c r="H58" s="82">
        <v>45982</v>
      </c>
      <c r="I58" s="83" t="s">
        <v>824</v>
      </c>
    </row>
    <row r="59" spans="1:9" x14ac:dyDescent="0.3">
      <c r="A59" s="82">
        <v>45981</v>
      </c>
      <c r="B59" s="83">
        <v>3</v>
      </c>
      <c r="C59" s="83" t="s">
        <v>705</v>
      </c>
      <c r="D59" s="83" t="s">
        <v>364</v>
      </c>
      <c r="E59" s="84">
        <v>2100</v>
      </c>
      <c r="F59" s="84">
        <f t="shared" si="0"/>
        <v>6300</v>
      </c>
      <c r="G59" s="83" t="s">
        <v>8</v>
      </c>
      <c r="H59" s="82">
        <v>45982</v>
      </c>
      <c r="I59" s="83" t="s">
        <v>824</v>
      </c>
    </row>
    <row r="60" spans="1:9" x14ac:dyDescent="0.3">
      <c r="A60" s="82">
        <v>45981</v>
      </c>
      <c r="B60" s="83">
        <v>2</v>
      </c>
      <c r="C60" s="83" t="s">
        <v>705</v>
      </c>
      <c r="D60" s="83" t="s">
        <v>318</v>
      </c>
      <c r="E60" s="84">
        <v>2100</v>
      </c>
      <c r="F60" s="84">
        <f t="shared" si="0"/>
        <v>4200</v>
      </c>
      <c r="G60" s="83" t="s">
        <v>709</v>
      </c>
      <c r="H60" s="82">
        <v>45982</v>
      </c>
      <c r="I60" s="83" t="s">
        <v>824</v>
      </c>
    </row>
    <row r="61" spans="1:9" x14ac:dyDescent="0.3">
      <c r="A61" s="82">
        <v>45981</v>
      </c>
      <c r="B61" s="83">
        <v>5</v>
      </c>
      <c r="C61" s="83" t="s">
        <v>706</v>
      </c>
      <c r="D61" s="83" t="s">
        <v>364</v>
      </c>
      <c r="E61" s="84">
        <v>574</v>
      </c>
      <c r="F61" s="84">
        <f t="shared" si="0"/>
        <v>2870</v>
      </c>
      <c r="G61" s="83" t="s">
        <v>8</v>
      </c>
      <c r="H61" s="82">
        <v>45982</v>
      </c>
      <c r="I61" s="83" t="s">
        <v>824</v>
      </c>
    </row>
    <row r="62" spans="1:9" x14ac:dyDescent="0.3">
      <c r="A62" s="82">
        <v>45981</v>
      </c>
      <c r="B62" s="83">
        <v>10</v>
      </c>
      <c r="C62" s="83" t="s">
        <v>707</v>
      </c>
      <c r="D62" s="83" t="s">
        <v>364</v>
      </c>
      <c r="E62" s="84">
        <v>103</v>
      </c>
      <c r="F62" s="84">
        <f t="shared" si="0"/>
        <v>1030</v>
      </c>
      <c r="G62" s="83" t="s">
        <v>8</v>
      </c>
      <c r="H62" s="82">
        <v>45982</v>
      </c>
      <c r="I62" s="83" t="s">
        <v>824</v>
      </c>
    </row>
    <row r="63" spans="1:9" x14ac:dyDescent="0.3">
      <c r="A63" s="82">
        <v>45981</v>
      </c>
      <c r="B63" s="83">
        <v>3</v>
      </c>
      <c r="C63" s="83" t="s">
        <v>697</v>
      </c>
      <c r="D63" s="83" t="s">
        <v>364</v>
      </c>
      <c r="E63" s="84">
        <v>125</v>
      </c>
      <c r="F63" s="84">
        <f t="shared" si="0"/>
        <v>375</v>
      </c>
      <c r="G63" s="83" t="s">
        <v>8</v>
      </c>
      <c r="H63" s="82">
        <v>45982</v>
      </c>
      <c r="I63" s="83" t="s">
        <v>824</v>
      </c>
    </row>
    <row r="64" spans="1:9" x14ac:dyDescent="0.3">
      <c r="A64" s="82">
        <v>45981</v>
      </c>
      <c r="B64" s="83">
        <v>3</v>
      </c>
      <c r="C64" s="83" t="s">
        <v>704</v>
      </c>
      <c r="D64" s="83" t="s">
        <v>364</v>
      </c>
      <c r="E64" s="84">
        <v>2100</v>
      </c>
      <c r="F64" s="84">
        <f t="shared" si="0"/>
        <v>6300</v>
      </c>
      <c r="G64" s="83" t="s">
        <v>8</v>
      </c>
      <c r="H64" s="82">
        <v>45982</v>
      </c>
      <c r="I64" s="83" t="s">
        <v>824</v>
      </c>
    </row>
    <row r="65" spans="1:9" x14ac:dyDescent="0.3">
      <c r="A65" s="82">
        <v>45981</v>
      </c>
      <c r="B65" s="83">
        <v>3</v>
      </c>
      <c r="C65" s="83" t="s">
        <v>705</v>
      </c>
      <c r="D65" s="83" t="s">
        <v>364</v>
      </c>
      <c r="E65" s="84">
        <v>2100</v>
      </c>
      <c r="F65" s="84">
        <f t="shared" si="0"/>
        <v>6300</v>
      </c>
      <c r="G65" s="83" t="s">
        <v>8</v>
      </c>
      <c r="H65" s="82">
        <v>45982</v>
      </c>
      <c r="I65" s="83" t="s">
        <v>824</v>
      </c>
    </row>
    <row r="66" spans="1:9" x14ac:dyDescent="0.3">
      <c r="A66" s="82">
        <v>45981</v>
      </c>
      <c r="B66" s="83">
        <v>12</v>
      </c>
      <c r="C66" s="83" t="s">
        <v>664</v>
      </c>
      <c r="D66" s="83" t="s">
        <v>708</v>
      </c>
      <c r="E66" s="84">
        <v>449</v>
      </c>
      <c r="F66" s="84">
        <f t="shared" si="0"/>
        <v>5388</v>
      </c>
      <c r="G66" s="83" t="s">
        <v>8</v>
      </c>
      <c r="H66" s="82">
        <v>45982</v>
      </c>
      <c r="I66" s="83" t="s">
        <v>824</v>
      </c>
    </row>
    <row r="67" spans="1:9" x14ac:dyDescent="0.3">
      <c r="A67" s="82">
        <v>45982</v>
      </c>
      <c r="B67" s="83">
        <v>4</v>
      </c>
      <c r="C67" s="83" t="s">
        <v>704</v>
      </c>
      <c r="D67" s="83" t="s">
        <v>364</v>
      </c>
      <c r="E67" s="84">
        <v>2100</v>
      </c>
      <c r="F67" s="84">
        <f t="shared" si="0"/>
        <v>8400</v>
      </c>
      <c r="G67" s="83" t="s">
        <v>8</v>
      </c>
      <c r="H67" s="82">
        <v>45982</v>
      </c>
      <c r="I67" s="83" t="s">
        <v>824</v>
      </c>
    </row>
    <row r="68" spans="1:9" x14ac:dyDescent="0.3">
      <c r="A68" s="82">
        <v>45982</v>
      </c>
      <c r="B68" s="83">
        <v>6</v>
      </c>
      <c r="C68" s="83" t="s">
        <v>704</v>
      </c>
      <c r="D68" s="83" t="s">
        <v>710</v>
      </c>
      <c r="E68" s="84">
        <v>2100</v>
      </c>
      <c r="F68" s="84">
        <f t="shared" si="0"/>
        <v>12600</v>
      </c>
      <c r="G68" s="83" t="s">
        <v>8</v>
      </c>
      <c r="H68" s="82">
        <v>45982</v>
      </c>
      <c r="I68" s="83" t="s">
        <v>824</v>
      </c>
    </row>
    <row r="69" spans="1:9" x14ac:dyDescent="0.3">
      <c r="A69" s="82">
        <v>45982</v>
      </c>
      <c r="B69" s="83">
        <v>6</v>
      </c>
      <c r="C69" s="83" t="s">
        <v>705</v>
      </c>
      <c r="D69" s="83" t="s">
        <v>710</v>
      </c>
      <c r="E69" s="84">
        <v>2100</v>
      </c>
      <c r="F69" s="84">
        <f t="shared" ref="F69:F135" si="2">E69*B69</f>
        <v>12600</v>
      </c>
      <c r="G69" s="83" t="s">
        <v>8</v>
      </c>
      <c r="H69" s="82">
        <v>45982</v>
      </c>
      <c r="I69" s="83" t="s">
        <v>824</v>
      </c>
    </row>
    <row r="70" spans="1:9" x14ac:dyDescent="0.3">
      <c r="A70" s="82">
        <v>45982</v>
      </c>
      <c r="B70" s="83">
        <v>16</v>
      </c>
      <c r="C70" s="83" t="s">
        <v>664</v>
      </c>
      <c r="D70" s="83" t="s">
        <v>686</v>
      </c>
      <c r="E70" s="84" t="s">
        <v>720</v>
      </c>
      <c r="F70" s="84">
        <v>0</v>
      </c>
      <c r="G70" s="83" t="s">
        <v>8</v>
      </c>
      <c r="H70" s="82">
        <v>45982</v>
      </c>
      <c r="I70" s="83" t="s">
        <v>824</v>
      </c>
    </row>
    <row r="71" spans="1:9" x14ac:dyDescent="0.3">
      <c r="A71" s="82">
        <v>45982</v>
      </c>
      <c r="B71" s="83">
        <v>5</v>
      </c>
      <c r="C71" s="83" t="s">
        <v>664</v>
      </c>
      <c r="D71" s="83" t="s">
        <v>686</v>
      </c>
      <c r="E71" s="84">
        <v>0</v>
      </c>
      <c r="F71" s="84">
        <v>0</v>
      </c>
      <c r="G71" s="83" t="s">
        <v>8</v>
      </c>
      <c r="H71" s="82">
        <v>45982</v>
      </c>
      <c r="I71" s="83" t="s">
        <v>736</v>
      </c>
    </row>
    <row r="72" spans="1:9" x14ac:dyDescent="0.3">
      <c r="A72" s="82">
        <v>45982</v>
      </c>
      <c r="B72" s="83">
        <v>20</v>
      </c>
      <c r="C72" s="83" t="s">
        <v>664</v>
      </c>
      <c r="D72" s="83" t="s">
        <v>490</v>
      </c>
      <c r="E72" s="84">
        <v>399</v>
      </c>
      <c r="F72" s="84">
        <f t="shared" si="2"/>
        <v>7980</v>
      </c>
      <c r="G72" s="83" t="s">
        <v>8</v>
      </c>
      <c r="H72" s="82">
        <v>45985</v>
      </c>
      <c r="I72" s="83" t="s">
        <v>824</v>
      </c>
    </row>
    <row r="73" spans="1:9" x14ac:dyDescent="0.3">
      <c r="A73" s="82">
        <v>45982</v>
      </c>
      <c r="B73" s="83">
        <v>9</v>
      </c>
      <c r="C73" s="83" t="s">
        <v>664</v>
      </c>
      <c r="D73" s="83" t="s">
        <v>494</v>
      </c>
      <c r="E73" s="84">
        <v>399</v>
      </c>
      <c r="F73" s="84">
        <f t="shared" si="2"/>
        <v>3591</v>
      </c>
      <c r="G73" s="83" t="s">
        <v>8</v>
      </c>
      <c r="H73" s="82">
        <v>45985</v>
      </c>
      <c r="I73" s="83" t="s">
        <v>824</v>
      </c>
    </row>
    <row r="74" spans="1:9" x14ac:dyDescent="0.3">
      <c r="A74" s="82">
        <v>45982</v>
      </c>
      <c r="B74" s="83">
        <v>3</v>
      </c>
      <c r="C74" s="83" t="s">
        <v>711</v>
      </c>
      <c r="D74" s="83" t="s">
        <v>712</v>
      </c>
      <c r="E74" s="84">
        <v>609.95000000000005</v>
      </c>
      <c r="F74" s="84">
        <f t="shared" si="2"/>
        <v>1829.8500000000001</v>
      </c>
      <c r="G74" s="83" t="s">
        <v>730</v>
      </c>
      <c r="H74" s="83"/>
      <c r="I74" s="83" t="s">
        <v>824</v>
      </c>
    </row>
    <row r="75" spans="1:9" x14ac:dyDescent="0.3">
      <c r="A75" s="82">
        <v>45982</v>
      </c>
      <c r="B75" s="83">
        <v>1</v>
      </c>
      <c r="C75" s="83" t="s">
        <v>711</v>
      </c>
      <c r="D75" s="83" t="s">
        <v>712</v>
      </c>
      <c r="E75" s="84">
        <v>598</v>
      </c>
      <c r="F75" s="84">
        <f t="shared" si="2"/>
        <v>598</v>
      </c>
      <c r="G75" s="83" t="s">
        <v>825</v>
      </c>
      <c r="H75" s="83"/>
      <c r="I75" s="83" t="s">
        <v>824</v>
      </c>
    </row>
    <row r="76" spans="1:9" x14ac:dyDescent="0.3">
      <c r="A76" s="82">
        <v>45982</v>
      </c>
      <c r="B76" s="83">
        <v>1</v>
      </c>
      <c r="C76" s="83" t="s">
        <v>713</v>
      </c>
      <c r="D76" s="83" t="s">
        <v>714</v>
      </c>
      <c r="E76" s="84">
        <v>598</v>
      </c>
      <c r="F76" s="84">
        <f t="shared" si="2"/>
        <v>598</v>
      </c>
      <c r="G76" s="83" t="s">
        <v>715</v>
      </c>
      <c r="H76" s="82">
        <v>45982</v>
      </c>
      <c r="I76" s="83" t="s">
        <v>824</v>
      </c>
    </row>
    <row r="77" spans="1:9" x14ac:dyDescent="0.3">
      <c r="A77" s="82">
        <v>45982</v>
      </c>
      <c r="B77" s="83">
        <v>5</v>
      </c>
      <c r="C77" s="83" t="s">
        <v>716</v>
      </c>
      <c r="D77" s="83" t="s">
        <v>87</v>
      </c>
      <c r="E77" s="84">
        <v>509</v>
      </c>
      <c r="F77" s="84">
        <f t="shared" si="2"/>
        <v>2545</v>
      </c>
      <c r="G77" s="83" t="s">
        <v>791</v>
      </c>
      <c r="H77" s="83"/>
      <c r="I77" s="83" t="s">
        <v>824</v>
      </c>
    </row>
    <row r="78" spans="1:9" x14ac:dyDescent="0.3">
      <c r="A78" s="82">
        <v>45982</v>
      </c>
      <c r="B78" s="83">
        <v>6</v>
      </c>
      <c r="C78" s="83" t="s">
        <v>717</v>
      </c>
      <c r="D78" s="83" t="s">
        <v>87</v>
      </c>
      <c r="E78" s="84">
        <v>659</v>
      </c>
      <c r="F78" s="84">
        <f t="shared" si="2"/>
        <v>3954</v>
      </c>
      <c r="G78" s="83" t="s">
        <v>791</v>
      </c>
      <c r="H78" s="83"/>
      <c r="I78" s="83" t="s">
        <v>824</v>
      </c>
    </row>
    <row r="79" spans="1:9" x14ac:dyDescent="0.3">
      <c r="A79" s="82">
        <v>45982</v>
      </c>
      <c r="B79" s="83">
        <v>3</v>
      </c>
      <c r="C79" s="83" t="s">
        <v>717</v>
      </c>
      <c r="D79" s="83" t="s">
        <v>87</v>
      </c>
      <c r="E79" s="84">
        <v>659</v>
      </c>
      <c r="F79" s="84">
        <f t="shared" si="2"/>
        <v>1977</v>
      </c>
      <c r="G79" s="83" t="s">
        <v>781</v>
      </c>
      <c r="H79" s="83"/>
      <c r="I79" s="83" t="s">
        <v>824</v>
      </c>
    </row>
    <row r="80" spans="1:9" x14ac:dyDescent="0.3">
      <c r="A80" s="82">
        <v>45982</v>
      </c>
      <c r="B80" s="83">
        <v>7</v>
      </c>
      <c r="C80" s="83" t="s">
        <v>716</v>
      </c>
      <c r="D80" s="83" t="s">
        <v>87</v>
      </c>
      <c r="E80" s="84">
        <v>509</v>
      </c>
      <c r="F80" s="84">
        <f t="shared" si="2"/>
        <v>3563</v>
      </c>
      <c r="G80" s="83" t="s">
        <v>782</v>
      </c>
      <c r="H80" s="83"/>
      <c r="I80" s="83" t="s">
        <v>783</v>
      </c>
    </row>
    <row r="81" spans="1:11" x14ac:dyDescent="0.3">
      <c r="A81" s="82">
        <v>45982</v>
      </c>
      <c r="B81" s="83">
        <v>5</v>
      </c>
      <c r="C81" s="83" t="s">
        <v>721</v>
      </c>
      <c r="D81" s="83" t="s">
        <v>87</v>
      </c>
      <c r="E81" s="84">
        <v>659</v>
      </c>
      <c r="F81" s="84">
        <f t="shared" si="2"/>
        <v>3295</v>
      </c>
      <c r="G81" s="83" t="s">
        <v>770</v>
      </c>
      <c r="H81" s="83"/>
      <c r="I81" s="83" t="s">
        <v>824</v>
      </c>
    </row>
    <row r="82" spans="1:11" x14ac:dyDescent="0.3">
      <c r="A82" s="82">
        <v>45982</v>
      </c>
      <c r="B82" s="83">
        <v>9</v>
      </c>
      <c r="C82" s="83" t="s">
        <v>722</v>
      </c>
      <c r="D82" s="83" t="s">
        <v>87</v>
      </c>
      <c r="E82" s="84">
        <v>509</v>
      </c>
      <c r="F82" s="84">
        <f t="shared" si="2"/>
        <v>4581</v>
      </c>
      <c r="G82" s="83" t="s">
        <v>770</v>
      </c>
      <c r="H82" s="83"/>
      <c r="I82" s="83" t="s">
        <v>824</v>
      </c>
    </row>
    <row r="83" spans="1:11" x14ac:dyDescent="0.3">
      <c r="A83" s="82">
        <v>45982</v>
      </c>
      <c r="B83" s="83">
        <v>8</v>
      </c>
      <c r="C83" s="83" t="s">
        <v>722</v>
      </c>
      <c r="D83" s="83" t="s">
        <v>87</v>
      </c>
      <c r="E83" s="84">
        <v>509</v>
      </c>
      <c r="F83" s="84">
        <f t="shared" si="2"/>
        <v>4072</v>
      </c>
      <c r="G83" s="83" t="s">
        <v>769</v>
      </c>
      <c r="H83" s="83"/>
      <c r="I83" s="83" t="s">
        <v>768</v>
      </c>
    </row>
    <row r="84" spans="1:11" x14ac:dyDescent="0.3">
      <c r="A84" s="82">
        <v>45984</v>
      </c>
      <c r="B84" s="83">
        <v>14</v>
      </c>
      <c r="C84" s="83" t="s">
        <v>664</v>
      </c>
      <c r="D84" s="83" t="s">
        <v>731</v>
      </c>
      <c r="E84" s="84">
        <v>398</v>
      </c>
      <c r="F84" s="84">
        <f t="shared" si="2"/>
        <v>5572</v>
      </c>
      <c r="G84" s="83" t="s">
        <v>8</v>
      </c>
      <c r="H84" s="82">
        <v>45985</v>
      </c>
      <c r="I84" s="83" t="s">
        <v>824</v>
      </c>
    </row>
    <row r="85" spans="1:11" x14ac:dyDescent="0.3">
      <c r="A85" s="82">
        <v>45984</v>
      </c>
      <c r="B85" s="83">
        <v>5</v>
      </c>
      <c r="C85" s="83" t="s">
        <v>664</v>
      </c>
      <c r="D85" s="83" t="s">
        <v>496</v>
      </c>
      <c r="E85" s="84">
        <v>398</v>
      </c>
      <c r="F85" s="84">
        <f t="shared" si="2"/>
        <v>1990</v>
      </c>
      <c r="G85" s="83" t="s">
        <v>8</v>
      </c>
      <c r="H85" s="82">
        <v>45985</v>
      </c>
      <c r="I85" s="83" t="s">
        <v>824</v>
      </c>
      <c r="K85" t="s">
        <v>739</v>
      </c>
    </row>
    <row r="86" spans="1:11" x14ac:dyDescent="0.3">
      <c r="A86" s="82">
        <v>45984</v>
      </c>
      <c r="B86" s="83">
        <v>27</v>
      </c>
      <c r="C86" s="83" t="s">
        <v>664</v>
      </c>
      <c r="D86" s="83" t="s">
        <v>492</v>
      </c>
      <c r="E86" s="84">
        <v>398</v>
      </c>
      <c r="F86" s="84">
        <f t="shared" si="2"/>
        <v>10746</v>
      </c>
      <c r="G86" s="83" t="s">
        <v>8</v>
      </c>
      <c r="H86" s="82">
        <v>45985</v>
      </c>
      <c r="I86" s="83" t="s">
        <v>824</v>
      </c>
    </row>
    <row r="87" spans="1:11" x14ac:dyDescent="0.3">
      <c r="A87" s="82">
        <v>45984</v>
      </c>
      <c r="B87" s="83">
        <v>20</v>
      </c>
      <c r="C87" s="83" t="s">
        <v>664</v>
      </c>
      <c r="D87" s="83" t="s">
        <v>498</v>
      </c>
      <c r="E87" s="84">
        <v>398</v>
      </c>
      <c r="F87" s="84">
        <f t="shared" si="2"/>
        <v>7960</v>
      </c>
      <c r="G87" s="83" t="s">
        <v>8</v>
      </c>
      <c r="H87" s="82">
        <v>45985</v>
      </c>
      <c r="I87" s="83" t="s">
        <v>824</v>
      </c>
    </row>
    <row r="88" spans="1:11" x14ac:dyDescent="0.3">
      <c r="A88" s="82">
        <v>45984</v>
      </c>
      <c r="B88" s="83">
        <v>12</v>
      </c>
      <c r="C88" s="83" t="s">
        <v>664</v>
      </c>
      <c r="D88" s="83" t="s">
        <v>497</v>
      </c>
      <c r="E88" s="84">
        <v>398</v>
      </c>
      <c r="F88" s="84">
        <f t="shared" si="2"/>
        <v>4776</v>
      </c>
      <c r="G88" s="83" t="s">
        <v>8</v>
      </c>
      <c r="H88" s="82">
        <v>45985</v>
      </c>
      <c r="I88" s="83" t="s">
        <v>824</v>
      </c>
    </row>
    <row r="89" spans="1:11" x14ac:dyDescent="0.3">
      <c r="A89" s="82">
        <v>45984</v>
      </c>
      <c r="B89" s="83">
        <v>19</v>
      </c>
      <c r="C89" s="83" t="s">
        <v>664</v>
      </c>
      <c r="D89" s="83" t="s">
        <v>733</v>
      </c>
      <c r="E89" s="84">
        <v>398</v>
      </c>
      <c r="F89" s="84">
        <f t="shared" si="2"/>
        <v>7562</v>
      </c>
      <c r="G89" s="83" t="s">
        <v>8</v>
      </c>
      <c r="H89" s="82">
        <v>45985</v>
      </c>
      <c r="I89" s="83" t="s">
        <v>824</v>
      </c>
    </row>
    <row r="90" spans="1:11" x14ac:dyDescent="0.3">
      <c r="A90" s="82">
        <v>45984</v>
      </c>
      <c r="B90" s="83">
        <v>10</v>
      </c>
      <c r="C90" s="83" t="s">
        <v>664</v>
      </c>
      <c r="D90" s="83" t="s">
        <v>734</v>
      </c>
      <c r="E90" s="84">
        <v>398</v>
      </c>
      <c r="F90" s="84">
        <f t="shared" si="2"/>
        <v>3980</v>
      </c>
      <c r="G90" s="83" t="s">
        <v>8</v>
      </c>
      <c r="H90" s="82">
        <v>45985</v>
      </c>
      <c r="I90" s="83" t="s">
        <v>824</v>
      </c>
    </row>
    <row r="91" spans="1:11" x14ac:dyDescent="0.3">
      <c r="A91" s="82">
        <v>45984</v>
      </c>
      <c r="B91" s="83">
        <v>17</v>
      </c>
      <c r="C91" s="83" t="s">
        <v>664</v>
      </c>
      <c r="D91" s="83" t="s">
        <v>735</v>
      </c>
      <c r="E91" s="84">
        <v>398</v>
      </c>
      <c r="F91" s="84">
        <f t="shared" si="2"/>
        <v>6766</v>
      </c>
      <c r="G91" s="83" t="s">
        <v>8</v>
      </c>
      <c r="H91" s="82">
        <v>45985</v>
      </c>
      <c r="I91" s="83" t="s">
        <v>824</v>
      </c>
    </row>
    <row r="92" spans="1:11" x14ac:dyDescent="0.3">
      <c r="A92" s="82">
        <v>45985</v>
      </c>
      <c r="B92" s="83">
        <v>27</v>
      </c>
      <c r="C92" s="83" t="s">
        <v>664</v>
      </c>
      <c r="D92" s="83" t="s">
        <v>732</v>
      </c>
      <c r="E92" s="84">
        <v>398</v>
      </c>
      <c r="F92" s="84">
        <f t="shared" si="2"/>
        <v>10746</v>
      </c>
      <c r="G92" s="83" t="s">
        <v>8</v>
      </c>
      <c r="H92" s="82">
        <v>45985</v>
      </c>
      <c r="I92" s="83" t="s">
        <v>824</v>
      </c>
    </row>
    <row r="93" spans="1:11" x14ac:dyDescent="0.3">
      <c r="A93" s="82">
        <v>45985</v>
      </c>
      <c r="B93" s="83">
        <v>11</v>
      </c>
      <c r="C93" s="83" t="s">
        <v>664</v>
      </c>
      <c r="D93" s="83" t="s">
        <v>732</v>
      </c>
      <c r="E93" s="84">
        <v>398</v>
      </c>
      <c r="F93" s="84">
        <f t="shared" si="2"/>
        <v>4378</v>
      </c>
      <c r="G93" s="83" t="s">
        <v>8</v>
      </c>
      <c r="H93" s="83"/>
      <c r="I93" s="83" t="s">
        <v>824</v>
      </c>
    </row>
    <row r="94" spans="1:11" x14ac:dyDescent="0.3">
      <c r="A94" s="82">
        <v>45985</v>
      </c>
      <c r="B94" s="83">
        <v>1</v>
      </c>
      <c r="C94" s="83" t="s">
        <v>737</v>
      </c>
      <c r="D94" s="83" t="s">
        <v>738</v>
      </c>
      <c r="E94" s="84">
        <v>105</v>
      </c>
      <c r="F94" s="84">
        <f t="shared" si="2"/>
        <v>105</v>
      </c>
      <c r="G94" s="83"/>
      <c r="H94" s="83"/>
      <c r="I94" s="83" t="s">
        <v>85</v>
      </c>
    </row>
    <row r="95" spans="1:11" x14ac:dyDescent="0.3">
      <c r="A95" s="82">
        <v>45985</v>
      </c>
      <c r="B95" s="83">
        <v>2</v>
      </c>
      <c r="C95" s="83" t="s">
        <v>323</v>
      </c>
      <c r="D95" s="83" t="s">
        <v>358</v>
      </c>
      <c r="E95" s="84">
        <v>679</v>
      </c>
      <c r="F95" s="84">
        <f t="shared" si="2"/>
        <v>1358</v>
      </c>
      <c r="G95" s="83" t="s">
        <v>365</v>
      </c>
      <c r="H95" s="83"/>
      <c r="I95" s="83" t="s">
        <v>654</v>
      </c>
    </row>
    <row r="96" spans="1:11" x14ac:dyDescent="0.3">
      <c r="A96" s="82">
        <v>45988</v>
      </c>
      <c r="B96" s="83">
        <v>50</v>
      </c>
      <c r="C96" s="83" t="s">
        <v>664</v>
      </c>
      <c r="D96" s="83" t="s">
        <v>740</v>
      </c>
      <c r="E96" s="84">
        <v>398</v>
      </c>
      <c r="F96" s="84">
        <f t="shared" si="2"/>
        <v>19900</v>
      </c>
      <c r="G96" s="83" t="s">
        <v>751</v>
      </c>
      <c r="H96" s="83"/>
      <c r="I96" s="83" t="s">
        <v>824</v>
      </c>
    </row>
    <row r="97" spans="1:9" x14ac:dyDescent="0.3">
      <c r="A97" s="82">
        <v>45988</v>
      </c>
      <c r="B97" s="83">
        <v>1</v>
      </c>
      <c r="C97" s="83" t="s">
        <v>741</v>
      </c>
      <c r="D97" s="83" t="s">
        <v>740</v>
      </c>
      <c r="E97" s="84">
        <v>200</v>
      </c>
      <c r="F97" s="84">
        <f t="shared" si="2"/>
        <v>200</v>
      </c>
      <c r="G97" s="83"/>
      <c r="H97" s="83"/>
      <c r="I97" s="83" t="s">
        <v>85</v>
      </c>
    </row>
    <row r="98" spans="1:9" x14ac:dyDescent="0.3">
      <c r="A98" s="82">
        <v>45988</v>
      </c>
      <c r="B98" s="83">
        <v>10</v>
      </c>
      <c r="C98" s="83" t="s">
        <v>647</v>
      </c>
      <c r="D98" s="83" t="s">
        <v>335</v>
      </c>
      <c r="E98" s="84">
        <v>410</v>
      </c>
      <c r="F98" s="84">
        <f t="shared" si="2"/>
        <v>4100</v>
      </c>
      <c r="G98" s="83" t="s">
        <v>742</v>
      </c>
      <c r="H98" s="83"/>
      <c r="I98" s="83" t="s">
        <v>824</v>
      </c>
    </row>
    <row r="99" spans="1:9" x14ac:dyDescent="0.3">
      <c r="A99" s="82">
        <v>45989</v>
      </c>
      <c r="B99" s="83">
        <v>6</v>
      </c>
      <c r="C99" s="83" t="s">
        <v>647</v>
      </c>
      <c r="D99" s="83" t="s">
        <v>364</v>
      </c>
      <c r="E99" s="84">
        <v>419</v>
      </c>
      <c r="F99" s="84">
        <f t="shared" si="2"/>
        <v>2514</v>
      </c>
      <c r="G99" s="83" t="s">
        <v>771</v>
      </c>
      <c r="H99" s="83"/>
      <c r="I99" s="83" t="s">
        <v>824</v>
      </c>
    </row>
    <row r="100" spans="1:9" x14ac:dyDescent="0.3">
      <c r="A100" s="82">
        <v>45989</v>
      </c>
      <c r="B100" s="83">
        <v>10</v>
      </c>
      <c r="C100" s="83" t="s">
        <v>744</v>
      </c>
      <c r="D100" s="83" t="s">
        <v>364</v>
      </c>
      <c r="E100" s="84">
        <v>125</v>
      </c>
      <c r="F100" s="84">
        <f t="shared" si="2"/>
        <v>1250</v>
      </c>
      <c r="G100" s="83" t="s">
        <v>873</v>
      </c>
      <c r="H100" s="83"/>
      <c r="I100" s="83"/>
    </row>
    <row r="101" spans="1:9" x14ac:dyDescent="0.3">
      <c r="A101" s="82">
        <v>45989</v>
      </c>
      <c r="B101" s="83">
        <v>3</v>
      </c>
      <c r="C101" s="83" t="s">
        <v>647</v>
      </c>
      <c r="D101" s="83" t="s">
        <v>364</v>
      </c>
      <c r="E101" s="84">
        <v>419</v>
      </c>
      <c r="F101" s="84">
        <f t="shared" si="2"/>
        <v>1257</v>
      </c>
      <c r="G101" s="83" t="s">
        <v>873</v>
      </c>
      <c r="H101" s="83"/>
      <c r="I101" s="83"/>
    </row>
    <row r="102" spans="1:9" x14ac:dyDescent="0.3">
      <c r="A102" s="82">
        <v>45989</v>
      </c>
      <c r="B102" s="83">
        <v>2</v>
      </c>
      <c r="C102" s="83" t="s">
        <v>647</v>
      </c>
      <c r="D102" s="83" t="s">
        <v>364</v>
      </c>
      <c r="E102" s="84">
        <v>419</v>
      </c>
      <c r="F102" s="84">
        <f t="shared" si="2"/>
        <v>838</v>
      </c>
      <c r="G102" s="83" t="s">
        <v>902</v>
      </c>
      <c r="H102" s="83"/>
      <c r="I102" s="83"/>
    </row>
    <row r="103" spans="1:9" x14ac:dyDescent="0.3">
      <c r="A103" s="82">
        <v>45990</v>
      </c>
      <c r="B103" s="83">
        <v>1</v>
      </c>
      <c r="C103" s="83" t="s">
        <v>716</v>
      </c>
      <c r="D103" s="83" t="s">
        <v>745</v>
      </c>
      <c r="E103" s="84">
        <v>467</v>
      </c>
      <c r="F103" s="84">
        <f t="shared" si="2"/>
        <v>467</v>
      </c>
      <c r="G103" s="83" t="s">
        <v>8</v>
      </c>
      <c r="H103" s="83"/>
      <c r="I103" s="83" t="s">
        <v>824</v>
      </c>
    </row>
    <row r="104" spans="1:9" x14ac:dyDescent="0.3">
      <c r="A104" s="82">
        <v>45990</v>
      </c>
      <c r="B104" s="83">
        <v>2</v>
      </c>
      <c r="C104" s="83" t="s">
        <v>716</v>
      </c>
      <c r="D104" s="83" t="s">
        <v>331</v>
      </c>
      <c r="E104" s="84">
        <v>479</v>
      </c>
      <c r="F104" s="84">
        <f t="shared" si="2"/>
        <v>958</v>
      </c>
      <c r="G104" s="83" t="s">
        <v>8</v>
      </c>
      <c r="H104" s="83"/>
      <c r="I104" s="83" t="s">
        <v>824</v>
      </c>
    </row>
    <row r="105" spans="1:9" x14ac:dyDescent="0.3">
      <c r="A105" s="82">
        <v>45990</v>
      </c>
      <c r="B105" s="83">
        <v>2</v>
      </c>
      <c r="C105" s="83" t="s">
        <v>664</v>
      </c>
      <c r="D105" s="83" t="s">
        <v>331</v>
      </c>
      <c r="E105" s="84">
        <v>399</v>
      </c>
      <c r="F105" s="84">
        <f t="shared" si="2"/>
        <v>798</v>
      </c>
      <c r="G105" s="83" t="s">
        <v>8</v>
      </c>
      <c r="H105" s="83"/>
      <c r="I105" s="83" t="s">
        <v>824</v>
      </c>
    </row>
    <row r="106" spans="1:9" x14ac:dyDescent="0.3">
      <c r="A106" s="82">
        <v>45990</v>
      </c>
      <c r="B106" s="83">
        <v>3</v>
      </c>
      <c r="C106" s="83" t="s">
        <v>647</v>
      </c>
      <c r="D106" s="83" t="s">
        <v>230</v>
      </c>
      <c r="E106" s="84">
        <v>419</v>
      </c>
      <c r="F106" s="84">
        <f t="shared" si="2"/>
        <v>1257</v>
      </c>
      <c r="G106" s="83" t="s">
        <v>8</v>
      </c>
      <c r="H106" s="83"/>
      <c r="I106" s="83" t="s">
        <v>824</v>
      </c>
    </row>
    <row r="107" spans="1:9" x14ac:dyDescent="0.3">
      <c r="A107" s="82">
        <v>45990</v>
      </c>
      <c r="B107" s="83">
        <v>2</v>
      </c>
      <c r="C107" s="83" t="s">
        <v>716</v>
      </c>
      <c r="D107" s="83" t="s">
        <v>230</v>
      </c>
      <c r="E107" s="84">
        <v>479</v>
      </c>
      <c r="F107" s="84">
        <f t="shared" si="2"/>
        <v>958</v>
      </c>
      <c r="G107" s="83" t="s">
        <v>8</v>
      </c>
      <c r="H107" s="83"/>
      <c r="I107" s="83" t="s">
        <v>824</v>
      </c>
    </row>
    <row r="108" spans="1:9" x14ac:dyDescent="0.3">
      <c r="A108" s="82">
        <v>45990</v>
      </c>
      <c r="B108" s="83">
        <v>3</v>
      </c>
      <c r="C108" s="83" t="s">
        <v>746</v>
      </c>
      <c r="D108" s="83" t="s">
        <v>230</v>
      </c>
      <c r="E108" s="84">
        <v>105</v>
      </c>
      <c r="F108" s="84">
        <f t="shared" si="2"/>
        <v>315</v>
      </c>
      <c r="G108" s="83" t="s">
        <v>8</v>
      </c>
      <c r="H108" s="83"/>
      <c r="I108" s="83" t="s">
        <v>824</v>
      </c>
    </row>
    <row r="109" spans="1:9" x14ac:dyDescent="0.3">
      <c r="A109" s="82">
        <v>45990</v>
      </c>
      <c r="B109" s="83">
        <v>2</v>
      </c>
      <c r="C109" s="83" t="s">
        <v>664</v>
      </c>
      <c r="D109" s="83" t="s">
        <v>230</v>
      </c>
      <c r="E109" s="84">
        <v>299</v>
      </c>
      <c r="F109" s="84">
        <f t="shared" si="2"/>
        <v>598</v>
      </c>
      <c r="G109" s="83" t="s">
        <v>8</v>
      </c>
      <c r="H109" s="83"/>
      <c r="I109" s="83" t="s">
        <v>824</v>
      </c>
    </row>
    <row r="110" spans="1:9" x14ac:dyDescent="0.3">
      <c r="A110" s="82">
        <v>45990</v>
      </c>
      <c r="B110" s="83">
        <v>1</v>
      </c>
      <c r="C110" s="83" t="s">
        <v>747</v>
      </c>
      <c r="D110" s="83" t="s">
        <v>230</v>
      </c>
      <c r="E110" s="84">
        <v>399</v>
      </c>
      <c r="F110" s="84">
        <f t="shared" si="2"/>
        <v>399</v>
      </c>
      <c r="G110" s="83" t="s">
        <v>873</v>
      </c>
      <c r="H110" s="83"/>
      <c r="I110" s="83"/>
    </row>
    <row r="111" spans="1:9" x14ac:dyDescent="0.3">
      <c r="A111" s="82">
        <v>45990</v>
      </c>
      <c r="B111" s="83">
        <v>4</v>
      </c>
      <c r="C111" s="83" t="s">
        <v>664</v>
      </c>
      <c r="D111" s="83" t="s">
        <v>748</v>
      </c>
      <c r="E111" s="84">
        <v>398</v>
      </c>
      <c r="F111" s="84">
        <f t="shared" si="2"/>
        <v>1592</v>
      </c>
      <c r="G111" s="83" t="s">
        <v>8</v>
      </c>
      <c r="H111" s="83"/>
      <c r="I111" s="83" t="s">
        <v>824</v>
      </c>
    </row>
    <row r="112" spans="1:9" x14ac:dyDescent="0.3">
      <c r="A112" s="82">
        <v>45990</v>
      </c>
      <c r="B112" s="83">
        <v>2</v>
      </c>
      <c r="C112" s="83" t="s">
        <v>664</v>
      </c>
      <c r="D112" s="83" t="s">
        <v>748</v>
      </c>
      <c r="E112" s="84">
        <v>398</v>
      </c>
      <c r="F112" s="84">
        <f t="shared" si="2"/>
        <v>796</v>
      </c>
      <c r="G112" s="83" t="s">
        <v>792</v>
      </c>
      <c r="H112" s="83"/>
      <c r="I112" s="83" t="s">
        <v>824</v>
      </c>
    </row>
    <row r="113" spans="1:9" x14ac:dyDescent="0.3">
      <c r="A113" s="82">
        <v>45990</v>
      </c>
      <c r="B113" s="83">
        <v>4</v>
      </c>
      <c r="C113" s="83" t="s">
        <v>664</v>
      </c>
      <c r="D113" s="83" t="s">
        <v>495</v>
      </c>
      <c r="E113" s="84">
        <v>398</v>
      </c>
      <c r="F113" s="84">
        <f t="shared" si="2"/>
        <v>1592</v>
      </c>
      <c r="G113" s="83" t="s">
        <v>8</v>
      </c>
      <c r="H113" s="83"/>
      <c r="I113" s="83" t="s">
        <v>824</v>
      </c>
    </row>
    <row r="114" spans="1:9" x14ac:dyDescent="0.3">
      <c r="A114" s="82">
        <v>45990</v>
      </c>
      <c r="B114" s="83">
        <v>3</v>
      </c>
      <c r="C114" s="83" t="s">
        <v>664</v>
      </c>
      <c r="D114" s="83" t="s">
        <v>749</v>
      </c>
      <c r="E114" s="84">
        <v>398</v>
      </c>
      <c r="F114" s="84">
        <f t="shared" si="2"/>
        <v>1194</v>
      </c>
      <c r="G114" s="83" t="s">
        <v>8</v>
      </c>
      <c r="H114" s="83"/>
      <c r="I114" s="83" t="s">
        <v>824</v>
      </c>
    </row>
    <row r="115" spans="1:9" x14ac:dyDescent="0.3">
      <c r="A115" s="82">
        <v>45990</v>
      </c>
      <c r="B115" s="83">
        <v>5</v>
      </c>
      <c r="C115" s="83" t="s">
        <v>664</v>
      </c>
      <c r="D115" s="83" t="s">
        <v>677</v>
      </c>
      <c r="E115" s="84">
        <v>398</v>
      </c>
      <c r="F115" s="84">
        <f t="shared" si="2"/>
        <v>1990</v>
      </c>
      <c r="G115" s="83" t="s">
        <v>62</v>
      </c>
      <c r="H115" s="83"/>
      <c r="I115" s="83" t="s">
        <v>823</v>
      </c>
    </row>
    <row r="116" spans="1:9" x14ac:dyDescent="0.3">
      <c r="A116" s="82">
        <v>45990</v>
      </c>
      <c r="B116" s="83">
        <v>35</v>
      </c>
      <c r="C116" s="83" t="s">
        <v>664</v>
      </c>
      <c r="D116" s="83" t="s">
        <v>677</v>
      </c>
      <c r="E116" s="84">
        <v>0</v>
      </c>
      <c r="F116" s="84">
        <f t="shared" si="2"/>
        <v>0</v>
      </c>
      <c r="G116" s="83" t="s">
        <v>758</v>
      </c>
      <c r="H116" s="83"/>
      <c r="I116" s="83" t="s">
        <v>823</v>
      </c>
    </row>
    <row r="117" spans="1:9" x14ac:dyDescent="0.3">
      <c r="A117" s="82">
        <v>45991</v>
      </c>
      <c r="B117" s="83">
        <v>18</v>
      </c>
      <c r="C117" s="83" t="s">
        <v>664</v>
      </c>
      <c r="D117" s="83" t="s">
        <v>759</v>
      </c>
      <c r="E117" s="84">
        <v>398</v>
      </c>
      <c r="F117" s="84">
        <f t="shared" si="2"/>
        <v>7164</v>
      </c>
      <c r="G117" s="83" t="s">
        <v>8</v>
      </c>
      <c r="H117" s="83"/>
      <c r="I117" s="83" t="s">
        <v>824</v>
      </c>
    </row>
    <row r="118" spans="1:9" x14ac:dyDescent="0.3">
      <c r="A118" s="82">
        <v>45991</v>
      </c>
      <c r="B118" s="83">
        <v>9</v>
      </c>
      <c r="C118" s="83" t="s">
        <v>664</v>
      </c>
      <c r="D118" s="83" t="s">
        <v>760</v>
      </c>
      <c r="E118" s="84">
        <v>398</v>
      </c>
      <c r="F118" s="84">
        <f t="shared" si="2"/>
        <v>3582</v>
      </c>
      <c r="G118" s="83" t="s">
        <v>8</v>
      </c>
      <c r="H118" s="83"/>
      <c r="I118" s="83" t="s">
        <v>824</v>
      </c>
    </row>
    <row r="119" spans="1:9" x14ac:dyDescent="0.3">
      <c r="A119" s="82">
        <v>45991</v>
      </c>
      <c r="B119" s="83">
        <v>1</v>
      </c>
      <c r="C119" s="83" t="s">
        <v>664</v>
      </c>
      <c r="D119" s="83" t="s">
        <v>761</v>
      </c>
      <c r="E119" s="84">
        <v>299</v>
      </c>
      <c r="F119" s="84">
        <f t="shared" si="2"/>
        <v>299</v>
      </c>
      <c r="G119" s="83" t="s">
        <v>8</v>
      </c>
      <c r="H119" s="83"/>
      <c r="I119" s="83" t="s">
        <v>824</v>
      </c>
    </row>
    <row r="120" spans="1:9" x14ac:dyDescent="0.3">
      <c r="A120" s="82">
        <v>45991</v>
      </c>
      <c r="B120" s="83">
        <v>2</v>
      </c>
      <c r="C120" s="83" t="s">
        <v>716</v>
      </c>
      <c r="D120" s="83" t="s">
        <v>761</v>
      </c>
      <c r="E120" s="84">
        <v>479</v>
      </c>
      <c r="F120" s="84">
        <f t="shared" si="2"/>
        <v>958</v>
      </c>
      <c r="G120" s="83" t="s">
        <v>8</v>
      </c>
      <c r="H120" s="83"/>
      <c r="I120" s="83" t="s">
        <v>824</v>
      </c>
    </row>
    <row r="121" spans="1:9" x14ac:dyDescent="0.3">
      <c r="A121" s="82">
        <v>45991</v>
      </c>
      <c r="B121" s="83">
        <v>8</v>
      </c>
      <c r="C121" s="83" t="s">
        <v>697</v>
      </c>
      <c r="D121" s="83" t="s">
        <v>761</v>
      </c>
      <c r="E121" s="84">
        <v>125</v>
      </c>
      <c r="F121" s="84">
        <f t="shared" si="2"/>
        <v>1000</v>
      </c>
      <c r="G121" s="83" t="s">
        <v>8</v>
      </c>
      <c r="H121" s="83"/>
      <c r="I121" s="83" t="s">
        <v>824</v>
      </c>
    </row>
    <row r="122" spans="1:9" x14ac:dyDescent="0.3">
      <c r="A122" s="82">
        <v>45991</v>
      </c>
      <c r="B122" s="83">
        <v>1</v>
      </c>
      <c r="C122" s="83" t="s">
        <v>762</v>
      </c>
      <c r="D122" s="83" t="s">
        <v>761</v>
      </c>
      <c r="E122" s="84">
        <v>380</v>
      </c>
      <c r="F122" s="84">
        <f t="shared" si="2"/>
        <v>380</v>
      </c>
      <c r="G122" s="83" t="s">
        <v>8</v>
      </c>
      <c r="H122" s="83"/>
      <c r="I122" s="83" t="s">
        <v>824</v>
      </c>
    </row>
    <row r="123" spans="1:9" x14ac:dyDescent="0.3">
      <c r="A123" s="82">
        <v>45991</v>
      </c>
      <c r="B123" s="83">
        <v>1</v>
      </c>
      <c r="C123" s="83" t="s">
        <v>691</v>
      </c>
      <c r="D123" s="83" t="s">
        <v>761</v>
      </c>
      <c r="E123" s="84">
        <v>419</v>
      </c>
      <c r="F123" s="84">
        <f t="shared" si="2"/>
        <v>419</v>
      </c>
      <c r="G123" s="83" t="s">
        <v>8</v>
      </c>
      <c r="H123" s="83"/>
      <c r="I123" s="83" t="s">
        <v>824</v>
      </c>
    </row>
    <row r="124" spans="1:9" x14ac:dyDescent="0.3">
      <c r="A124" s="82">
        <v>45991</v>
      </c>
      <c r="B124" s="83">
        <v>2</v>
      </c>
      <c r="C124" s="83" t="s">
        <v>664</v>
      </c>
      <c r="D124" s="83" t="s">
        <v>763</v>
      </c>
      <c r="E124" s="84">
        <v>398</v>
      </c>
      <c r="F124" s="84">
        <f t="shared" si="2"/>
        <v>796</v>
      </c>
      <c r="G124" s="83" t="s">
        <v>8</v>
      </c>
      <c r="H124" s="83"/>
      <c r="I124" s="83" t="s">
        <v>824</v>
      </c>
    </row>
    <row r="125" spans="1:9" x14ac:dyDescent="0.3">
      <c r="A125" s="82">
        <v>45991</v>
      </c>
      <c r="B125" s="83">
        <v>2</v>
      </c>
      <c r="C125" s="83" t="s">
        <v>664</v>
      </c>
      <c r="D125" s="83" t="s">
        <v>763</v>
      </c>
      <c r="E125" s="84">
        <v>398</v>
      </c>
      <c r="F125" s="84">
        <f t="shared" si="2"/>
        <v>796</v>
      </c>
      <c r="G125" s="83" t="s">
        <v>781</v>
      </c>
      <c r="H125" s="83"/>
      <c r="I125" s="83" t="s">
        <v>824</v>
      </c>
    </row>
    <row r="126" spans="1:9" x14ac:dyDescent="0.3">
      <c r="A126" s="82">
        <v>45991</v>
      </c>
      <c r="B126" s="83">
        <v>4</v>
      </c>
      <c r="C126" s="83" t="s">
        <v>664</v>
      </c>
      <c r="D126" s="83" t="s">
        <v>764</v>
      </c>
      <c r="E126" s="84">
        <v>398</v>
      </c>
      <c r="F126" s="84">
        <f t="shared" si="2"/>
        <v>1592</v>
      </c>
      <c r="G126" s="83" t="s">
        <v>781</v>
      </c>
      <c r="H126" s="83"/>
      <c r="I126" s="83" t="s">
        <v>824</v>
      </c>
    </row>
    <row r="127" spans="1:9" x14ac:dyDescent="0.3">
      <c r="A127" s="82">
        <v>45991</v>
      </c>
      <c r="B127" s="83">
        <v>2</v>
      </c>
      <c r="C127" s="83" t="s">
        <v>664</v>
      </c>
      <c r="D127" s="83" t="s">
        <v>764</v>
      </c>
      <c r="E127" s="84">
        <v>398</v>
      </c>
      <c r="F127" s="84">
        <f t="shared" si="2"/>
        <v>796</v>
      </c>
      <c r="G127" s="83" t="s">
        <v>8</v>
      </c>
      <c r="H127" s="83"/>
      <c r="I127" s="83" t="s">
        <v>824</v>
      </c>
    </row>
    <row r="128" spans="1:9" x14ac:dyDescent="0.3">
      <c r="A128" s="82">
        <v>45991</v>
      </c>
      <c r="B128" s="83">
        <v>3</v>
      </c>
      <c r="C128" s="83" t="s">
        <v>664</v>
      </c>
      <c r="D128" s="83" t="s">
        <v>364</v>
      </c>
      <c r="E128" s="84">
        <v>299</v>
      </c>
      <c r="F128" s="84">
        <f t="shared" si="2"/>
        <v>897</v>
      </c>
      <c r="G128" s="83" t="s">
        <v>8</v>
      </c>
      <c r="H128" s="83"/>
      <c r="I128" s="83" t="s">
        <v>824</v>
      </c>
    </row>
    <row r="129" spans="1:9" x14ac:dyDescent="0.3">
      <c r="A129" s="82">
        <v>45991</v>
      </c>
      <c r="B129" s="83">
        <v>2</v>
      </c>
      <c r="C129" s="83" t="s">
        <v>716</v>
      </c>
      <c r="D129" s="83" t="s">
        <v>364</v>
      </c>
      <c r="E129" s="84">
        <v>479</v>
      </c>
      <c r="F129" s="84">
        <f t="shared" si="2"/>
        <v>958</v>
      </c>
      <c r="G129" s="83" t="s">
        <v>8</v>
      </c>
      <c r="H129" s="83"/>
      <c r="I129" s="83" t="s">
        <v>824</v>
      </c>
    </row>
    <row r="130" spans="1:9" x14ac:dyDescent="0.3">
      <c r="A130" s="82">
        <v>45991</v>
      </c>
      <c r="B130" s="83">
        <v>8</v>
      </c>
      <c r="C130" s="83" t="s">
        <v>697</v>
      </c>
      <c r="D130" s="83" t="s">
        <v>364</v>
      </c>
      <c r="E130" s="84">
        <v>125</v>
      </c>
      <c r="F130" s="84">
        <f t="shared" si="2"/>
        <v>1000</v>
      </c>
      <c r="G130" s="83" t="s">
        <v>8</v>
      </c>
      <c r="H130" s="83"/>
      <c r="I130" s="83" t="s">
        <v>824</v>
      </c>
    </row>
    <row r="131" spans="1:9" x14ac:dyDescent="0.3">
      <c r="A131" s="82">
        <v>45991</v>
      </c>
      <c r="B131" s="83">
        <v>7</v>
      </c>
      <c r="C131" s="83" t="s">
        <v>747</v>
      </c>
      <c r="D131" s="83" t="s">
        <v>364</v>
      </c>
      <c r="E131" s="84">
        <v>380</v>
      </c>
      <c r="F131" s="84">
        <f t="shared" si="2"/>
        <v>2660</v>
      </c>
      <c r="G131" s="83" t="s">
        <v>8</v>
      </c>
      <c r="H131" s="83"/>
      <c r="I131" s="83" t="s">
        <v>824</v>
      </c>
    </row>
    <row r="132" spans="1:9" x14ac:dyDescent="0.3">
      <c r="A132" s="82">
        <v>45991</v>
      </c>
      <c r="B132" s="83">
        <v>3</v>
      </c>
      <c r="C132" s="83" t="s">
        <v>691</v>
      </c>
      <c r="D132" s="83" t="s">
        <v>364</v>
      </c>
      <c r="E132" s="84">
        <v>410</v>
      </c>
      <c r="F132" s="84">
        <f t="shared" si="2"/>
        <v>1230</v>
      </c>
      <c r="G132" s="83" t="s">
        <v>826</v>
      </c>
      <c r="H132" s="83"/>
      <c r="I132" s="83" t="s">
        <v>824</v>
      </c>
    </row>
    <row r="133" spans="1:9" x14ac:dyDescent="0.3">
      <c r="A133" s="82">
        <v>45991</v>
      </c>
      <c r="B133" s="83">
        <v>47</v>
      </c>
      <c r="C133" s="83" t="s">
        <v>664</v>
      </c>
      <c r="D133" s="83" t="s">
        <v>775</v>
      </c>
      <c r="E133" s="84">
        <v>398</v>
      </c>
      <c r="F133" s="84">
        <f t="shared" si="2"/>
        <v>18706</v>
      </c>
      <c r="G133" s="83" t="s">
        <v>774</v>
      </c>
      <c r="H133" s="83"/>
      <c r="I133" s="83" t="s">
        <v>824</v>
      </c>
    </row>
    <row r="134" spans="1:9" x14ac:dyDescent="0.3">
      <c r="A134" s="82">
        <v>45991</v>
      </c>
      <c r="B134" s="83">
        <v>1</v>
      </c>
      <c r="C134" s="83" t="s">
        <v>776</v>
      </c>
      <c r="D134" s="83" t="s">
        <v>777</v>
      </c>
      <c r="E134" s="84">
        <v>470</v>
      </c>
      <c r="F134" s="84">
        <f t="shared" si="2"/>
        <v>470</v>
      </c>
      <c r="G134" s="83" t="s">
        <v>778</v>
      </c>
      <c r="H134" s="83"/>
      <c r="I134" s="83" t="s">
        <v>85</v>
      </c>
    </row>
    <row r="135" spans="1:9" x14ac:dyDescent="0.3">
      <c r="A135" s="82">
        <v>45991</v>
      </c>
      <c r="B135" s="83">
        <v>1</v>
      </c>
      <c r="C135" s="83" t="s">
        <v>542</v>
      </c>
      <c r="D135" s="83" t="s">
        <v>686</v>
      </c>
      <c r="E135" s="84">
        <v>10122.66</v>
      </c>
      <c r="F135" s="84">
        <f t="shared" si="2"/>
        <v>10122.66</v>
      </c>
      <c r="G135" s="83" t="s">
        <v>779</v>
      </c>
      <c r="H135" s="83"/>
      <c r="I135" s="83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204"/>
  <sheetViews>
    <sheetView topLeftCell="A16" workbookViewId="0">
      <selection activeCell="C83" sqref="C83"/>
    </sheetView>
  </sheetViews>
  <sheetFormatPr defaultRowHeight="14.4" x14ac:dyDescent="0.3"/>
  <cols>
    <col min="3" max="3" width="26.109375" bestFit="1" customWidth="1"/>
    <col min="4" max="4" width="23.88671875" bestFit="1" customWidth="1"/>
    <col min="7" max="7" width="25.88671875" bestFit="1" customWidth="1"/>
    <col min="8" max="8" width="7.88671875" bestFit="1" customWidth="1"/>
    <col min="9" max="9" width="27.44140625" bestFit="1" customWidth="1"/>
    <col min="14" max="14" width="16.6640625" bestFit="1" customWidth="1"/>
    <col min="18" max="18" width="30.33203125" hidden="1" customWidth="1"/>
    <col min="19" max="19" width="10.44140625" hidden="1" customWidth="1"/>
    <col min="20" max="22" width="0" hidden="1" customWidth="1"/>
  </cols>
  <sheetData>
    <row r="1" spans="1:22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3">
      <c r="A2" s="82">
        <v>45992</v>
      </c>
      <c r="B2" s="83">
        <v>2</v>
      </c>
      <c r="C2" s="83" t="s">
        <v>664</v>
      </c>
      <c r="D2" s="83" t="s">
        <v>780</v>
      </c>
      <c r="E2" s="86">
        <v>399</v>
      </c>
      <c r="F2" s="86">
        <f t="shared" ref="F2:F15" si="0">E2*B2</f>
        <v>798</v>
      </c>
      <c r="G2" s="83" t="s">
        <v>792</v>
      </c>
      <c r="H2" s="83"/>
      <c r="I2" s="83" t="s">
        <v>824</v>
      </c>
      <c r="R2" t="s">
        <v>78</v>
      </c>
      <c r="S2" t="s">
        <v>81</v>
      </c>
    </row>
    <row r="3" spans="1:22" x14ac:dyDescent="0.3">
      <c r="A3" s="82">
        <v>45992</v>
      </c>
      <c r="B3" s="83">
        <v>2</v>
      </c>
      <c r="C3" s="83" t="s">
        <v>664</v>
      </c>
      <c r="D3" s="83" t="s">
        <v>794</v>
      </c>
      <c r="E3" s="86">
        <v>398</v>
      </c>
      <c r="F3" s="86">
        <f t="shared" si="0"/>
        <v>796</v>
      </c>
      <c r="G3" s="83" t="s">
        <v>8</v>
      </c>
      <c r="H3" s="83"/>
      <c r="I3" s="83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3">
      <c r="A4" s="82">
        <v>45992</v>
      </c>
      <c r="B4" s="83">
        <v>2</v>
      </c>
      <c r="C4" s="83" t="s">
        <v>784</v>
      </c>
      <c r="D4" s="83" t="s">
        <v>364</v>
      </c>
      <c r="E4" s="86">
        <v>479</v>
      </c>
      <c r="F4" s="86">
        <f t="shared" si="0"/>
        <v>958</v>
      </c>
      <c r="G4" s="83" t="s">
        <v>830</v>
      </c>
      <c r="H4" s="83"/>
      <c r="I4" s="83"/>
      <c r="R4" t="s">
        <v>803</v>
      </c>
      <c r="S4">
        <v>1</v>
      </c>
      <c r="V4">
        <f t="shared" ref="V4:V32" si="1">S4*U4</f>
        <v>0</v>
      </c>
    </row>
    <row r="5" spans="1:22" x14ac:dyDescent="0.3">
      <c r="A5" s="82">
        <v>45992</v>
      </c>
      <c r="B5" s="83">
        <v>2</v>
      </c>
      <c r="C5" s="83" t="s">
        <v>664</v>
      </c>
      <c r="D5" s="83" t="s">
        <v>364</v>
      </c>
      <c r="E5" s="86">
        <v>299</v>
      </c>
      <c r="F5" s="86">
        <f t="shared" si="0"/>
        <v>598</v>
      </c>
      <c r="G5" s="83" t="s">
        <v>830</v>
      </c>
      <c r="H5" s="83"/>
      <c r="I5" s="83"/>
      <c r="R5" t="s">
        <v>908</v>
      </c>
      <c r="S5">
        <v>27</v>
      </c>
      <c r="U5">
        <v>125</v>
      </c>
      <c r="V5">
        <f t="shared" si="1"/>
        <v>3375</v>
      </c>
    </row>
    <row r="6" spans="1:22" x14ac:dyDescent="0.3">
      <c r="A6" s="82">
        <v>45992</v>
      </c>
      <c r="B6" s="83">
        <v>3</v>
      </c>
      <c r="C6" s="83" t="s">
        <v>661</v>
      </c>
      <c r="D6" s="83" t="s">
        <v>364</v>
      </c>
      <c r="E6" s="86">
        <v>419</v>
      </c>
      <c r="F6" s="86">
        <f t="shared" si="0"/>
        <v>1257</v>
      </c>
      <c r="G6" s="83" t="s">
        <v>830</v>
      </c>
      <c r="H6" s="83"/>
      <c r="I6" s="83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3">
      <c r="A7" s="82">
        <v>45992</v>
      </c>
      <c r="B7" s="83">
        <v>10</v>
      </c>
      <c r="C7" s="83" t="s">
        <v>697</v>
      </c>
      <c r="D7" s="83" t="s">
        <v>364</v>
      </c>
      <c r="E7" s="86">
        <v>125</v>
      </c>
      <c r="F7" s="86">
        <f t="shared" si="0"/>
        <v>1250</v>
      </c>
      <c r="G7" s="83" t="s">
        <v>830</v>
      </c>
      <c r="H7" s="83"/>
      <c r="I7" s="83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3">
      <c r="A8" s="82">
        <v>45992</v>
      </c>
      <c r="B8" s="83">
        <v>2</v>
      </c>
      <c r="C8" s="83" t="s">
        <v>784</v>
      </c>
      <c r="D8" s="83" t="s">
        <v>364</v>
      </c>
      <c r="E8" s="86">
        <v>479</v>
      </c>
      <c r="F8" s="86">
        <f t="shared" si="0"/>
        <v>958</v>
      </c>
      <c r="G8" s="83" t="s">
        <v>800</v>
      </c>
      <c r="H8" s="83"/>
      <c r="I8" s="83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3">
      <c r="A9" s="82">
        <v>45992</v>
      </c>
      <c r="B9" s="83">
        <v>1</v>
      </c>
      <c r="C9" s="83" t="s">
        <v>664</v>
      </c>
      <c r="D9" s="83" t="s">
        <v>364</v>
      </c>
      <c r="E9" s="86">
        <v>299</v>
      </c>
      <c r="F9" s="86">
        <f t="shared" si="0"/>
        <v>299</v>
      </c>
      <c r="G9" s="83" t="s">
        <v>800</v>
      </c>
      <c r="H9" s="83"/>
      <c r="I9" s="83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3">
      <c r="A10" s="87">
        <v>45992</v>
      </c>
      <c r="B10" s="88">
        <v>3</v>
      </c>
      <c r="C10" s="88" t="s">
        <v>661</v>
      </c>
      <c r="D10" s="88" t="s">
        <v>364</v>
      </c>
      <c r="E10" s="89">
        <v>419</v>
      </c>
      <c r="F10" s="89">
        <f t="shared" si="0"/>
        <v>1257</v>
      </c>
      <c r="G10" s="88" t="s">
        <v>800</v>
      </c>
      <c r="H10" s="88"/>
      <c r="I10" s="88"/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3">
      <c r="A11" s="82">
        <v>45992</v>
      </c>
      <c r="B11" s="83">
        <v>1</v>
      </c>
      <c r="C11" s="83" t="s">
        <v>785</v>
      </c>
      <c r="D11" s="83" t="s">
        <v>30</v>
      </c>
      <c r="E11" s="86">
        <v>659</v>
      </c>
      <c r="F11" s="86">
        <f t="shared" si="0"/>
        <v>659</v>
      </c>
      <c r="G11" s="83" t="s">
        <v>791</v>
      </c>
      <c r="H11" s="83"/>
      <c r="I11" s="83" t="s">
        <v>824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3">
      <c r="A12" s="82">
        <v>45992</v>
      </c>
      <c r="B12" s="83">
        <v>1</v>
      </c>
      <c r="C12" s="83" t="s">
        <v>786</v>
      </c>
      <c r="D12" s="83" t="s">
        <v>30</v>
      </c>
      <c r="E12" s="86">
        <v>509</v>
      </c>
      <c r="F12" s="86">
        <f t="shared" si="0"/>
        <v>509</v>
      </c>
      <c r="G12" s="83" t="s">
        <v>791</v>
      </c>
      <c r="H12" s="83"/>
      <c r="I12" s="83" t="s">
        <v>824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3">
      <c r="A13" s="82">
        <v>45992</v>
      </c>
      <c r="B13" s="83">
        <v>12</v>
      </c>
      <c r="C13" s="83" t="s">
        <v>664</v>
      </c>
      <c r="D13" s="83" t="s">
        <v>788</v>
      </c>
      <c r="E13" s="86">
        <v>398</v>
      </c>
      <c r="F13" s="86">
        <f t="shared" si="0"/>
        <v>4776</v>
      </c>
      <c r="G13" s="83" t="s">
        <v>428</v>
      </c>
      <c r="H13" s="83"/>
      <c r="I13" s="83" t="s">
        <v>824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3">
      <c r="A14" s="82">
        <v>45993</v>
      </c>
      <c r="B14" s="83">
        <v>2</v>
      </c>
      <c r="C14" s="83" t="s">
        <v>664</v>
      </c>
      <c r="D14" s="83" t="s">
        <v>28</v>
      </c>
      <c r="E14" s="86">
        <v>398</v>
      </c>
      <c r="F14" s="86">
        <f t="shared" si="0"/>
        <v>796</v>
      </c>
      <c r="G14" s="83" t="s">
        <v>8</v>
      </c>
      <c r="H14" s="83"/>
      <c r="I14" s="83" t="s">
        <v>824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3">
      <c r="A15" s="82">
        <v>45993</v>
      </c>
      <c r="B15" s="83">
        <v>2</v>
      </c>
      <c r="C15" s="83" t="s">
        <v>664</v>
      </c>
      <c r="D15" s="83" t="s">
        <v>793</v>
      </c>
      <c r="E15" s="86">
        <v>398</v>
      </c>
      <c r="F15" s="86">
        <f t="shared" si="0"/>
        <v>796</v>
      </c>
      <c r="G15" s="83" t="s">
        <v>8</v>
      </c>
      <c r="H15" s="83"/>
      <c r="I15" s="83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3">
      <c r="A16" s="82">
        <v>45993</v>
      </c>
      <c r="B16" s="83">
        <v>1</v>
      </c>
      <c r="C16" s="83" t="s">
        <v>664</v>
      </c>
      <c r="D16" s="83" t="s">
        <v>788</v>
      </c>
      <c r="E16" s="86">
        <v>398</v>
      </c>
      <c r="F16" s="86">
        <f t="shared" ref="F16:F119" si="2">E16*B16</f>
        <v>398</v>
      </c>
      <c r="G16" s="83" t="s">
        <v>428</v>
      </c>
      <c r="H16" s="83"/>
      <c r="I16" s="83" t="s">
        <v>824</v>
      </c>
      <c r="R16" t="s">
        <v>900</v>
      </c>
      <c r="S16">
        <v>3</v>
      </c>
      <c r="U16">
        <v>990</v>
      </c>
      <c r="V16">
        <f t="shared" si="1"/>
        <v>2970</v>
      </c>
    </row>
    <row r="17" spans="1:22" x14ac:dyDescent="0.3">
      <c r="A17" s="82">
        <v>45993</v>
      </c>
      <c r="B17" s="83">
        <v>1</v>
      </c>
      <c r="C17" s="83" t="s">
        <v>776</v>
      </c>
      <c r="D17" s="83" t="s">
        <v>777</v>
      </c>
      <c r="E17" s="86">
        <v>130</v>
      </c>
      <c r="F17" s="86">
        <f t="shared" si="2"/>
        <v>130</v>
      </c>
      <c r="G17" s="83" t="s">
        <v>778</v>
      </c>
      <c r="H17" s="83"/>
      <c r="I17" s="83"/>
      <c r="R17" t="s">
        <v>899</v>
      </c>
      <c r="S17">
        <v>2</v>
      </c>
      <c r="U17">
        <v>700</v>
      </c>
      <c r="V17">
        <f t="shared" si="1"/>
        <v>1400</v>
      </c>
    </row>
    <row r="18" spans="1:22" x14ac:dyDescent="0.3">
      <c r="A18" s="82">
        <v>45993</v>
      </c>
      <c r="B18" s="83">
        <v>5</v>
      </c>
      <c r="C18" s="83" t="s">
        <v>707</v>
      </c>
      <c r="D18" s="83" t="s">
        <v>795</v>
      </c>
      <c r="E18" s="86">
        <v>105</v>
      </c>
      <c r="F18" s="86">
        <f t="shared" si="2"/>
        <v>525</v>
      </c>
      <c r="G18" s="83" t="s">
        <v>796</v>
      </c>
      <c r="H18" s="83"/>
      <c r="I18" s="83" t="s">
        <v>824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3">
      <c r="A19" s="82">
        <v>45993</v>
      </c>
      <c r="B19" s="83">
        <v>2</v>
      </c>
      <c r="C19" s="83" t="s">
        <v>664</v>
      </c>
      <c r="D19" s="83" t="s">
        <v>795</v>
      </c>
      <c r="E19" s="86">
        <v>299</v>
      </c>
      <c r="F19" s="86">
        <f t="shared" si="2"/>
        <v>598</v>
      </c>
      <c r="G19" s="83" t="s">
        <v>796</v>
      </c>
      <c r="H19" s="83"/>
      <c r="I19" s="83" t="s">
        <v>824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3">
      <c r="A20" s="82">
        <v>45993</v>
      </c>
      <c r="B20" s="83">
        <v>4</v>
      </c>
      <c r="C20" s="83" t="s">
        <v>697</v>
      </c>
      <c r="D20" s="83" t="s">
        <v>795</v>
      </c>
      <c r="E20" s="86">
        <v>125</v>
      </c>
      <c r="F20" s="86">
        <f t="shared" si="2"/>
        <v>500</v>
      </c>
      <c r="G20" s="83" t="s">
        <v>796</v>
      </c>
      <c r="H20" s="83"/>
      <c r="I20" s="83" t="s">
        <v>824</v>
      </c>
      <c r="R20" t="s">
        <v>898</v>
      </c>
      <c r="S20">
        <v>20</v>
      </c>
      <c r="U20">
        <v>20</v>
      </c>
      <c r="V20">
        <f t="shared" si="1"/>
        <v>400</v>
      </c>
    </row>
    <row r="21" spans="1:22" x14ac:dyDescent="0.3">
      <c r="A21" s="82">
        <v>45993</v>
      </c>
      <c r="B21" s="83">
        <v>2</v>
      </c>
      <c r="C21" s="83" t="s">
        <v>716</v>
      </c>
      <c r="D21" s="83" t="s">
        <v>795</v>
      </c>
      <c r="E21" s="86">
        <v>479</v>
      </c>
      <c r="F21" s="86">
        <f t="shared" si="2"/>
        <v>958</v>
      </c>
      <c r="G21" s="83" t="s">
        <v>796</v>
      </c>
      <c r="H21" s="83"/>
      <c r="I21" s="83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3">
      <c r="A22" s="82">
        <v>45993</v>
      </c>
      <c r="B22" s="83">
        <v>1</v>
      </c>
      <c r="C22" s="83" t="s">
        <v>664</v>
      </c>
      <c r="D22" s="83" t="s">
        <v>797</v>
      </c>
      <c r="E22" s="86">
        <v>299</v>
      </c>
      <c r="F22" s="86">
        <f t="shared" si="2"/>
        <v>299</v>
      </c>
      <c r="G22" s="83" t="s">
        <v>796</v>
      </c>
      <c r="H22" s="83"/>
      <c r="I22" s="83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3">
      <c r="A23" s="82">
        <v>45993</v>
      </c>
      <c r="B23" s="83">
        <v>2</v>
      </c>
      <c r="C23" s="83" t="s">
        <v>716</v>
      </c>
      <c r="D23" s="83" t="s">
        <v>797</v>
      </c>
      <c r="E23" s="86">
        <v>478</v>
      </c>
      <c r="F23" s="86">
        <f t="shared" si="2"/>
        <v>956</v>
      </c>
      <c r="G23" s="83" t="s">
        <v>796</v>
      </c>
      <c r="H23" s="83"/>
      <c r="I23" s="83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3">
      <c r="A24" s="82">
        <v>45993</v>
      </c>
      <c r="B24" s="83">
        <v>3</v>
      </c>
      <c r="C24" s="83" t="s">
        <v>664</v>
      </c>
      <c r="D24" s="83" t="s">
        <v>798</v>
      </c>
      <c r="E24" s="86">
        <v>399</v>
      </c>
      <c r="F24" s="86">
        <f t="shared" si="2"/>
        <v>1197</v>
      </c>
      <c r="G24" s="83" t="s">
        <v>796</v>
      </c>
      <c r="H24" s="83"/>
      <c r="I24" s="83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3">
      <c r="A25" s="82">
        <v>45994</v>
      </c>
      <c r="B25" s="83">
        <v>12</v>
      </c>
      <c r="C25" s="83" t="s">
        <v>664</v>
      </c>
      <c r="D25" s="83" t="s">
        <v>799</v>
      </c>
      <c r="E25" s="86">
        <v>398</v>
      </c>
      <c r="F25" s="86">
        <f t="shared" si="2"/>
        <v>4776</v>
      </c>
      <c r="G25" s="83" t="s">
        <v>365</v>
      </c>
      <c r="H25" s="83"/>
      <c r="I25" s="83" t="s">
        <v>824</v>
      </c>
      <c r="R25" t="s">
        <v>897</v>
      </c>
      <c r="S25">
        <v>75</v>
      </c>
      <c r="U25">
        <v>300</v>
      </c>
      <c r="V25">
        <f t="shared" si="1"/>
        <v>22500</v>
      </c>
    </row>
    <row r="26" spans="1:22" x14ac:dyDescent="0.3">
      <c r="A26" s="82">
        <v>45994</v>
      </c>
      <c r="B26" s="83">
        <v>1</v>
      </c>
      <c r="C26" s="83" t="s">
        <v>801</v>
      </c>
      <c r="D26" s="83" t="s">
        <v>442</v>
      </c>
      <c r="E26" s="86">
        <v>598</v>
      </c>
      <c r="F26" s="86">
        <f t="shared" si="2"/>
        <v>598</v>
      </c>
      <c r="G26" s="83" t="s">
        <v>365</v>
      </c>
      <c r="H26" s="83"/>
      <c r="I26" s="83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3">
      <c r="A27" s="82">
        <v>45994</v>
      </c>
      <c r="B27" s="83">
        <v>6</v>
      </c>
      <c r="C27" s="83" t="s">
        <v>707</v>
      </c>
      <c r="D27" s="83" t="s">
        <v>688</v>
      </c>
      <c r="E27" s="86">
        <v>103</v>
      </c>
      <c r="F27" s="86">
        <f t="shared" si="2"/>
        <v>618</v>
      </c>
      <c r="G27" s="83" t="s">
        <v>365</v>
      </c>
      <c r="H27" s="83"/>
      <c r="I27" s="83"/>
      <c r="R27" t="s">
        <v>893</v>
      </c>
      <c r="S27">
        <v>8</v>
      </c>
      <c r="U27">
        <v>200</v>
      </c>
      <c r="V27">
        <f t="shared" si="1"/>
        <v>1600</v>
      </c>
    </row>
    <row r="28" spans="1:22" x14ac:dyDescent="0.3">
      <c r="A28" s="82">
        <v>45994</v>
      </c>
      <c r="B28" s="83">
        <v>2</v>
      </c>
      <c r="C28" s="83" t="s">
        <v>717</v>
      </c>
      <c r="D28" s="83" t="s">
        <v>688</v>
      </c>
      <c r="E28" s="86">
        <v>629</v>
      </c>
      <c r="F28" s="86">
        <f t="shared" si="2"/>
        <v>1258</v>
      </c>
      <c r="G28" s="83" t="s">
        <v>365</v>
      </c>
      <c r="H28" s="83"/>
      <c r="I28" s="83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3">
      <c r="A29" s="82">
        <v>45994</v>
      </c>
      <c r="B29" s="83">
        <v>1</v>
      </c>
      <c r="C29" s="83" t="s">
        <v>802</v>
      </c>
      <c r="D29" s="83" t="s">
        <v>688</v>
      </c>
      <c r="E29" s="86">
        <v>69</v>
      </c>
      <c r="F29" s="86">
        <f t="shared" si="2"/>
        <v>69</v>
      </c>
      <c r="G29" s="83" t="s">
        <v>365</v>
      </c>
      <c r="H29" s="83"/>
      <c r="I29" s="83"/>
      <c r="J29" t="s">
        <v>812</v>
      </c>
      <c r="R29" t="s">
        <v>896</v>
      </c>
      <c r="S29">
        <v>42</v>
      </c>
      <c r="U29">
        <v>280</v>
      </c>
      <c r="V29">
        <f t="shared" si="1"/>
        <v>11760</v>
      </c>
    </row>
    <row r="30" spans="1:22" x14ac:dyDescent="0.3">
      <c r="A30" s="82">
        <v>45994</v>
      </c>
      <c r="B30" s="83">
        <v>1</v>
      </c>
      <c r="C30" s="83" t="s">
        <v>803</v>
      </c>
      <c r="D30" s="83" t="s">
        <v>688</v>
      </c>
      <c r="E30" s="86">
        <v>44</v>
      </c>
      <c r="F30" s="86">
        <f t="shared" si="2"/>
        <v>44</v>
      </c>
      <c r="G30" s="83" t="s">
        <v>365</v>
      </c>
      <c r="H30" s="83"/>
      <c r="I30" s="83"/>
      <c r="J30" t="s">
        <v>812</v>
      </c>
      <c r="R30" t="s">
        <v>910</v>
      </c>
      <c r="S30">
        <v>4</v>
      </c>
      <c r="U30">
        <v>200</v>
      </c>
      <c r="V30">
        <f t="shared" si="1"/>
        <v>800</v>
      </c>
    </row>
    <row r="31" spans="1:22" x14ac:dyDescent="0.3">
      <c r="A31" s="82">
        <v>45994</v>
      </c>
      <c r="B31" s="83">
        <v>2</v>
      </c>
      <c r="C31" s="83" t="s">
        <v>664</v>
      </c>
      <c r="D31" s="83" t="s">
        <v>688</v>
      </c>
      <c r="E31" s="86">
        <v>299</v>
      </c>
      <c r="F31" s="86">
        <f t="shared" si="2"/>
        <v>598</v>
      </c>
      <c r="G31" s="83" t="s">
        <v>365</v>
      </c>
      <c r="H31" s="83"/>
      <c r="I31" s="83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3">
      <c r="A32" s="82">
        <v>45994</v>
      </c>
      <c r="B32" s="83">
        <v>14</v>
      </c>
      <c r="C32" s="83" t="s">
        <v>697</v>
      </c>
      <c r="D32" s="83" t="s">
        <v>688</v>
      </c>
      <c r="E32" s="86">
        <v>125</v>
      </c>
      <c r="F32" s="86">
        <f t="shared" si="2"/>
        <v>1750</v>
      </c>
      <c r="G32" s="83" t="s">
        <v>365</v>
      </c>
      <c r="H32" s="83"/>
      <c r="I32" s="83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3">
      <c r="A33" s="82">
        <v>45994</v>
      </c>
      <c r="B33" s="83">
        <v>1</v>
      </c>
      <c r="C33" s="83" t="s">
        <v>661</v>
      </c>
      <c r="D33" s="83" t="s">
        <v>688</v>
      </c>
      <c r="E33" s="86">
        <v>419</v>
      </c>
      <c r="F33" s="86">
        <f t="shared" si="2"/>
        <v>419</v>
      </c>
      <c r="G33" s="83" t="s">
        <v>365</v>
      </c>
      <c r="H33" s="83"/>
      <c r="I33" s="83"/>
      <c r="R33" t="s">
        <v>80</v>
      </c>
      <c r="S33">
        <v>1223</v>
      </c>
      <c r="V33">
        <f>SUM(V3:V32)</f>
        <v>354925</v>
      </c>
    </row>
    <row r="34" spans="1:22" x14ac:dyDescent="0.3">
      <c r="A34" s="82">
        <v>45994</v>
      </c>
      <c r="B34" s="83">
        <v>5</v>
      </c>
      <c r="C34" s="83" t="s">
        <v>804</v>
      </c>
      <c r="D34" s="83" t="s">
        <v>688</v>
      </c>
      <c r="E34" s="86">
        <v>419</v>
      </c>
      <c r="F34" s="86">
        <f t="shared" si="2"/>
        <v>2095</v>
      </c>
      <c r="G34" s="83" t="s">
        <v>365</v>
      </c>
      <c r="H34" s="83"/>
      <c r="I34" s="83"/>
    </row>
    <row r="35" spans="1:22" x14ac:dyDescent="0.3">
      <c r="A35" s="82">
        <v>45994</v>
      </c>
      <c r="B35" s="83">
        <v>1</v>
      </c>
      <c r="C35" s="83" t="s">
        <v>664</v>
      </c>
      <c r="D35" s="83" t="s">
        <v>688</v>
      </c>
      <c r="E35" s="86">
        <v>299</v>
      </c>
      <c r="F35" s="86">
        <f t="shared" si="2"/>
        <v>299</v>
      </c>
      <c r="G35" s="83" t="s">
        <v>365</v>
      </c>
      <c r="H35" s="83"/>
      <c r="I35" s="83"/>
    </row>
    <row r="36" spans="1:22" x14ac:dyDescent="0.3">
      <c r="A36" s="82">
        <v>45994</v>
      </c>
      <c r="B36" s="83">
        <v>2</v>
      </c>
      <c r="C36" s="83" t="s">
        <v>664</v>
      </c>
      <c r="D36" s="83" t="s">
        <v>688</v>
      </c>
      <c r="E36" s="86">
        <v>299</v>
      </c>
      <c r="F36" s="86">
        <f t="shared" si="2"/>
        <v>598</v>
      </c>
      <c r="G36" s="83" t="s">
        <v>365</v>
      </c>
      <c r="H36" s="83"/>
      <c r="I36" s="83"/>
    </row>
    <row r="37" spans="1:22" x14ac:dyDescent="0.3">
      <c r="A37" s="82">
        <v>45994</v>
      </c>
      <c r="B37" s="83">
        <v>1</v>
      </c>
      <c r="C37" s="83" t="s">
        <v>664</v>
      </c>
      <c r="D37" s="83" t="s">
        <v>688</v>
      </c>
      <c r="E37" s="86">
        <v>299</v>
      </c>
      <c r="F37" s="86">
        <f t="shared" si="2"/>
        <v>299</v>
      </c>
      <c r="G37" s="83" t="s">
        <v>365</v>
      </c>
      <c r="H37" s="83"/>
      <c r="I37" s="83"/>
    </row>
    <row r="38" spans="1:22" x14ac:dyDescent="0.3">
      <c r="A38" s="82">
        <v>45994</v>
      </c>
      <c r="B38" s="83">
        <v>2</v>
      </c>
      <c r="C38" s="83" t="s">
        <v>716</v>
      </c>
      <c r="D38" s="83" t="s">
        <v>688</v>
      </c>
      <c r="E38" s="86">
        <v>479</v>
      </c>
      <c r="F38" s="86">
        <f t="shared" si="2"/>
        <v>958</v>
      </c>
      <c r="G38" s="83" t="s">
        <v>365</v>
      </c>
      <c r="H38" s="83"/>
      <c r="I38" s="83"/>
    </row>
    <row r="39" spans="1:22" x14ac:dyDescent="0.3">
      <c r="A39" s="82">
        <v>45994</v>
      </c>
      <c r="B39" s="83">
        <v>2</v>
      </c>
      <c r="C39" s="83" t="s">
        <v>716</v>
      </c>
      <c r="D39" s="83" t="s">
        <v>710</v>
      </c>
      <c r="E39" s="86">
        <v>479</v>
      </c>
      <c r="F39" s="86">
        <f t="shared" si="2"/>
        <v>958</v>
      </c>
      <c r="G39" s="83" t="s">
        <v>8</v>
      </c>
      <c r="H39" s="83"/>
      <c r="I39" s="83"/>
    </row>
    <row r="40" spans="1:22" x14ac:dyDescent="0.3">
      <c r="A40" s="82">
        <v>45994</v>
      </c>
      <c r="B40" s="83">
        <v>1</v>
      </c>
      <c r="C40" s="83" t="s">
        <v>716</v>
      </c>
      <c r="D40" s="83" t="s">
        <v>805</v>
      </c>
      <c r="E40" s="86">
        <v>499</v>
      </c>
      <c r="F40" s="86">
        <v>499</v>
      </c>
      <c r="G40" s="83" t="s">
        <v>8</v>
      </c>
      <c r="H40" s="83"/>
      <c r="I40" s="83"/>
      <c r="J40" t="s">
        <v>806</v>
      </c>
    </row>
    <row r="41" spans="1:22" x14ac:dyDescent="0.3">
      <c r="A41" s="82">
        <v>45994</v>
      </c>
      <c r="B41" s="83">
        <v>4</v>
      </c>
      <c r="C41" s="83" t="s">
        <v>664</v>
      </c>
      <c r="D41" s="83" t="s">
        <v>807</v>
      </c>
      <c r="E41" s="86">
        <v>398</v>
      </c>
      <c r="F41" s="86">
        <f t="shared" si="2"/>
        <v>1592</v>
      </c>
      <c r="G41" s="83" t="s">
        <v>8</v>
      </c>
      <c r="H41" s="83"/>
      <c r="I41" s="83"/>
    </row>
    <row r="42" spans="1:22" x14ac:dyDescent="0.3">
      <c r="A42" s="82">
        <v>45995</v>
      </c>
      <c r="B42" s="83">
        <v>1</v>
      </c>
      <c r="C42" s="83" t="s">
        <v>664</v>
      </c>
      <c r="D42" s="83" t="s">
        <v>688</v>
      </c>
      <c r="E42" s="86">
        <v>299</v>
      </c>
      <c r="F42" s="86">
        <f t="shared" si="2"/>
        <v>299</v>
      </c>
      <c r="G42" s="83" t="s">
        <v>8</v>
      </c>
      <c r="H42" s="83"/>
      <c r="I42" s="83"/>
    </row>
    <row r="43" spans="1:22" x14ac:dyDescent="0.3">
      <c r="A43" s="82">
        <v>45995</v>
      </c>
      <c r="B43" s="83">
        <v>2</v>
      </c>
      <c r="C43" s="83" t="s">
        <v>664</v>
      </c>
      <c r="D43" s="83" t="s">
        <v>793</v>
      </c>
      <c r="E43" s="86">
        <v>399</v>
      </c>
      <c r="F43" s="86">
        <f t="shared" si="2"/>
        <v>798</v>
      </c>
      <c r="G43" s="83" t="s">
        <v>8</v>
      </c>
      <c r="H43" s="83"/>
      <c r="I43" s="83"/>
    </row>
    <row r="44" spans="1:22" x14ac:dyDescent="0.3">
      <c r="A44" s="82">
        <v>45995</v>
      </c>
      <c r="B44" s="83">
        <v>3</v>
      </c>
      <c r="C44" s="83" t="s">
        <v>804</v>
      </c>
      <c r="D44" s="83" t="s">
        <v>840</v>
      </c>
      <c r="E44" s="86">
        <v>419</v>
      </c>
      <c r="F44" s="86">
        <f t="shared" si="2"/>
        <v>1257</v>
      </c>
      <c r="G44" s="83" t="s">
        <v>8</v>
      </c>
      <c r="H44" s="83"/>
      <c r="I44" s="83"/>
    </row>
    <row r="45" spans="1:22" x14ac:dyDescent="0.3">
      <c r="A45" s="82">
        <v>45995</v>
      </c>
      <c r="B45" s="83">
        <v>2</v>
      </c>
      <c r="C45" s="83" t="s">
        <v>664</v>
      </c>
      <c r="D45" s="83" t="s">
        <v>491</v>
      </c>
      <c r="E45" s="86">
        <v>299</v>
      </c>
      <c r="F45" s="86">
        <f t="shared" si="2"/>
        <v>598</v>
      </c>
      <c r="G45" s="83" t="s">
        <v>8</v>
      </c>
      <c r="H45" s="83"/>
      <c r="I45" s="83"/>
    </row>
    <row r="46" spans="1:22" x14ac:dyDescent="0.3">
      <c r="A46" s="82">
        <v>45995</v>
      </c>
      <c r="B46" s="83">
        <v>1</v>
      </c>
      <c r="C46" s="83" t="s">
        <v>829</v>
      </c>
      <c r="D46" s="83" t="s">
        <v>738</v>
      </c>
      <c r="E46" s="86">
        <v>221</v>
      </c>
      <c r="F46" s="86">
        <f t="shared" si="2"/>
        <v>221</v>
      </c>
      <c r="G46" s="83"/>
      <c r="H46" s="83"/>
      <c r="I46" s="83" t="s">
        <v>85</v>
      </c>
    </row>
    <row r="47" spans="1:22" x14ac:dyDescent="0.3">
      <c r="A47" s="82">
        <v>45995</v>
      </c>
      <c r="B47" s="83">
        <v>2</v>
      </c>
      <c r="C47" s="83" t="s">
        <v>664</v>
      </c>
      <c r="D47" s="83" t="s">
        <v>72</v>
      </c>
      <c r="E47" s="86">
        <v>398</v>
      </c>
      <c r="F47" s="86">
        <f t="shared" si="2"/>
        <v>796</v>
      </c>
      <c r="G47" s="83" t="s">
        <v>8</v>
      </c>
      <c r="H47" s="83"/>
      <c r="I47" s="83"/>
    </row>
    <row r="48" spans="1:22" x14ac:dyDescent="0.3">
      <c r="A48" s="82">
        <v>45995</v>
      </c>
      <c r="B48" s="83">
        <v>2</v>
      </c>
      <c r="C48" s="83" t="s">
        <v>664</v>
      </c>
      <c r="D48" s="83" t="s">
        <v>21</v>
      </c>
      <c r="E48" s="86">
        <v>398</v>
      </c>
      <c r="F48" s="86">
        <f t="shared" si="2"/>
        <v>796</v>
      </c>
      <c r="G48" s="83" t="s">
        <v>8</v>
      </c>
      <c r="H48" s="83"/>
      <c r="I48" s="83"/>
    </row>
    <row r="49" spans="1:13" x14ac:dyDescent="0.3">
      <c r="A49" s="82">
        <v>45995</v>
      </c>
      <c r="B49" s="83">
        <v>2</v>
      </c>
      <c r="C49" s="83" t="s">
        <v>664</v>
      </c>
      <c r="D49" s="83" t="s">
        <v>21</v>
      </c>
      <c r="E49" s="86">
        <v>398</v>
      </c>
      <c r="F49" s="86">
        <f t="shared" si="2"/>
        <v>796</v>
      </c>
      <c r="G49" s="83" t="s">
        <v>8</v>
      </c>
      <c r="H49" s="83"/>
      <c r="I49" s="83"/>
    </row>
    <row r="50" spans="1:13" x14ac:dyDescent="0.3">
      <c r="A50" s="82">
        <v>45995</v>
      </c>
      <c r="B50" s="83">
        <v>1</v>
      </c>
      <c r="C50" s="83" t="s">
        <v>664</v>
      </c>
      <c r="D50" s="83" t="s">
        <v>808</v>
      </c>
      <c r="E50" s="86">
        <v>399</v>
      </c>
      <c r="F50" s="86">
        <f t="shared" si="2"/>
        <v>399</v>
      </c>
      <c r="G50" s="83" t="s">
        <v>8</v>
      </c>
      <c r="H50" s="83"/>
      <c r="I50" s="83"/>
    </row>
    <row r="51" spans="1:13" x14ac:dyDescent="0.3">
      <c r="A51" s="82">
        <v>45995</v>
      </c>
      <c r="B51" s="83">
        <v>1</v>
      </c>
      <c r="C51" s="83" t="s">
        <v>664</v>
      </c>
      <c r="D51" s="83" t="s">
        <v>101</v>
      </c>
      <c r="E51" s="86">
        <v>299</v>
      </c>
      <c r="F51" s="86">
        <f t="shared" si="2"/>
        <v>299</v>
      </c>
      <c r="G51" s="83" t="s">
        <v>844</v>
      </c>
      <c r="H51" s="83"/>
      <c r="I51" s="83"/>
      <c r="J51">
        <v>924</v>
      </c>
    </row>
    <row r="52" spans="1:13" x14ac:dyDescent="0.3">
      <c r="A52" s="82">
        <v>45995</v>
      </c>
      <c r="B52" s="83">
        <v>5</v>
      </c>
      <c r="C52" s="83" t="s">
        <v>697</v>
      </c>
      <c r="D52" s="83" t="s">
        <v>101</v>
      </c>
      <c r="E52" s="86">
        <v>125</v>
      </c>
      <c r="F52" s="86">
        <f t="shared" si="2"/>
        <v>625</v>
      </c>
      <c r="G52" s="83" t="s">
        <v>365</v>
      </c>
      <c r="H52" s="83"/>
      <c r="I52" s="83"/>
    </row>
    <row r="53" spans="1:13" x14ac:dyDescent="0.3">
      <c r="A53" s="82">
        <v>45995</v>
      </c>
      <c r="B53" s="83">
        <v>1</v>
      </c>
      <c r="C53" s="83" t="s">
        <v>664</v>
      </c>
      <c r="D53" s="83" t="s">
        <v>101</v>
      </c>
      <c r="E53" s="86">
        <v>299</v>
      </c>
      <c r="F53" s="86">
        <f t="shared" si="2"/>
        <v>299</v>
      </c>
      <c r="G53" s="83" t="s">
        <v>914</v>
      </c>
      <c r="H53" s="83"/>
      <c r="I53" s="83"/>
    </row>
    <row r="54" spans="1:13" x14ac:dyDescent="0.3">
      <c r="A54" s="82">
        <v>45995</v>
      </c>
      <c r="B54" s="83">
        <v>4</v>
      </c>
      <c r="C54" s="83" t="s">
        <v>661</v>
      </c>
      <c r="D54" s="83" t="s">
        <v>101</v>
      </c>
      <c r="E54" s="86">
        <v>419</v>
      </c>
      <c r="F54" s="86">
        <f t="shared" si="2"/>
        <v>1676</v>
      </c>
      <c r="G54" s="83" t="s">
        <v>8</v>
      </c>
      <c r="H54" s="83"/>
      <c r="I54" s="83"/>
    </row>
    <row r="55" spans="1:13" x14ac:dyDescent="0.3">
      <c r="A55" s="82">
        <v>45995</v>
      </c>
      <c r="B55" s="83">
        <v>1</v>
      </c>
      <c r="C55" s="83" t="s">
        <v>664</v>
      </c>
      <c r="D55" s="83" t="s">
        <v>101</v>
      </c>
      <c r="E55" s="86">
        <v>299</v>
      </c>
      <c r="F55" s="86">
        <f t="shared" si="2"/>
        <v>299</v>
      </c>
      <c r="G55" s="83" t="s">
        <v>8</v>
      </c>
      <c r="H55" s="83"/>
      <c r="I55" s="83"/>
    </row>
    <row r="56" spans="1:13" x14ac:dyDescent="0.3">
      <c r="A56" s="82">
        <v>45995</v>
      </c>
      <c r="B56" s="83">
        <v>2</v>
      </c>
      <c r="C56" s="83" t="s">
        <v>843</v>
      </c>
      <c r="D56" s="83" t="s">
        <v>101</v>
      </c>
      <c r="E56" s="86">
        <v>479</v>
      </c>
      <c r="F56" s="86">
        <f t="shared" si="2"/>
        <v>958</v>
      </c>
      <c r="G56" s="83" t="s">
        <v>11</v>
      </c>
      <c r="H56" s="83"/>
      <c r="I56" s="83" t="s">
        <v>903</v>
      </c>
    </row>
    <row r="57" spans="1:13" x14ac:dyDescent="0.3">
      <c r="A57" s="82">
        <v>45996</v>
      </c>
      <c r="B57" s="83">
        <v>2</v>
      </c>
      <c r="C57" s="83" t="s">
        <v>697</v>
      </c>
      <c r="D57" s="83" t="s">
        <v>101</v>
      </c>
      <c r="E57" s="86">
        <v>125</v>
      </c>
      <c r="F57" s="86">
        <f t="shared" si="2"/>
        <v>250</v>
      </c>
      <c r="G57" s="83" t="s">
        <v>8</v>
      </c>
      <c r="H57" s="83"/>
      <c r="I57" s="83"/>
      <c r="J57">
        <v>3183</v>
      </c>
    </row>
    <row r="58" spans="1:13" x14ac:dyDescent="0.3">
      <c r="A58" s="82">
        <v>45996</v>
      </c>
      <c r="B58" s="83">
        <v>3</v>
      </c>
      <c r="C58" s="83" t="s">
        <v>664</v>
      </c>
      <c r="D58" s="83" t="s">
        <v>230</v>
      </c>
      <c r="E58" s="86">
        <v>329</v>
      </c>
      <c r="F58" s="86">
        <f t="shared" si="2"/>
        <v>987</v>
      </c>
      <c r="G58" s="83" t="s">
        <v>8</v>
      </c>
      <c r="H58" s="83"/>
      <c r="I58" s="83"/>
    </row>
    <row r="59" spans="1:13" x14ac:dyDescent="0.3">
      <c r="A59" s="82">
        <v>45996</v>
      </c>
      <c r="B59" s="83">
        <v>1</v>
      </c>
      <c r="C59" s="83" t="s">
        <v>804</v>
      </c>
      <c r="D59" s="83" t="s">
        <v>230</v>
      </c>
      <c r="E59" s="86">
        <v>429</v>
      </c>
      <c r="F59" s="86">
        <f t="shared" si="2"/>
        <v>429</v>
      </c>
      <c r="G59" s="83" t="s">
        <v>8</v>
      </c>
      <c r="H59" s="83"/>
      <c r="I59" s="83"/>
    </row>
    <row r="60" spans="1:13" x14ac:dyDescent="0.3">
      <c r="A60" s="82">
        <v>45996</v>
      </c>
      <c r="B60" s="83">
        <v>2</v>
      </c>
      <c r="C60" s="83" t="s">
        <v>717</v>
      </c>
      <c r="D60" s="83" t="s">
        <v>230</v>
      </c>
      <c r="E60" s="86">
        <v>629</v>
      </c>
      <c r="F60" s="86">
        <f t="shared" si="2"/>
        <v>1258</v>
      </c>
      <c r="G60" s="83" t="s">
        <v>8</v>
      </c>
      <c r="H60" s="83"/>
      <c r="I60" s="83"/>
    </row>
    <row r="61" spans="1:13" x14ac:dyDescent="0.3">
      <c r="A61" s="82">
        <v>45996</v>
      </c>
      <c r="B61" s="83">
        <v>2</v>
      </c>
      <c r="C61" s="83" t="s">
        <v>664</v>
      </c>
      <c r="D61" s="83" t="s">
        <v>19</v>
      </c>
      <c r="E61" s="86">
        <v>398</v>
      </c>
      <c r="F61" s="86">
        <f t="shared" si="2"/>
        <v>796</v>
      </c>
      <c r="G61" s="83" t="s">
        <v>8</v>
      </c>
      <c r="H61" s="83"/>
      <c r="I61" s="83"/>
      <c r="M61">
        <v>67</v>
      </c>
    </row>
    <row r="62" spans="1:13" x14ac:dyDescent="0.3">
      <c r="A62" s="82">
        <v>45996</v>
      </c>
      <c r="B62" s="83">
        <v>4</v>
      </c>
      <c r="C62" s="83" t="s">
        <v>664</v>
      </c>
      <c r="D62" s="83" t="s">
        <v>675</v>
      </c>
      <c r="E62" s="86">
        <v>398</v>
      </c>
      <c r="F62" s="86">
        <f t="shared" si="2"/>
        <v>1592</v>
      </c>
      <c r="G62" s="83" t="s">
        <v>8</v>
      </c>
      <c r="H62" s="83"/>
      <c r="I62" s="83"/>
      <c r="M62">
        <v>67</v>
      </c>
    </row>
    <row r="63" spans="1:13" x14ac:dyDescent="0.3">
      <c r="A63" s="82">
        <v>45996</v>
      </c>
      <c r="B63" s="83">
        <v>2</v>
      </c>
      <c r="C63" s="83" t="s">
        <v>664</v>
      </c>
      <c r="D63" s="83" t="s">
        <v>813</v>
      </c>
      <c r="E63" s="86">
        <v>398</v>
      </c>
      <c r="F63" s="86">
        <f t="shared" si="2"/>
        <v>796</v>
      </c>
      <c r="G63" s="83" t="s">
        <v>854</v>
      </c>
      <c r="H63" s="83"/>
      <c r="I63" s="83"/>
      <c r="M63">
        <v>20</v>
      </c>
    </row>
    <row r="64" spans="1:13" x14ac:dyDescent="0.3">
      <c r="A64" s="82">
        <v>45997</v>
      </c>
      <c r="B64" s="83">
        <v>20</v>
      </c>
      <c r="C64" s="83" t="s">
        <v>664</v>
      </c>
      <c r="D64" s="83" t="s">
        <v>118</v>
      </c>
      <c r="E64" s="86">
        <v>380</v>
      </c>
      <c r="F64" s="86">
        <f t="shared" si="2"/>
        <v>7600</v>
      </c>
      <c r="G64" s="83" t="s">
        <v>830</v>
      </c>
      <c r="H64" s="83"/>
      <c r="I64" s="83"/>
    </row>
    <row r="65" spans="1:9" x14ac:dyDescent="0.3">
      <c r="A65" s="82">
        <v>45998</v>
      </c>
      <c r="B65" s="83">
        <v>4</v>
      </c>
      <c r="C65" s="83" t="s">
        <v>664</v>
      </c>
      <c r="D65" s="83" t="s">
        <v>834</v>
      </c>
      <c r="E65" s="86">
        <v>398</v>
      </c>
      <c r="F65" s="86">
        <f t="shared" si="2"/>
        <v>1592</v>
      </c>
      <c r="G65" s="83" t="s">
        <v>8</v>
      </c>
      <c r="H65" s="83"/>
      <c r="I65" s="83"/>
    </row>
    <row r="66" spans="1:9" x14ac:dyDescent="0.3">
      <c r="A66" s="82">
        <v>45998</v>
      </c>
      <c r="B66" s="83">
        <v>2</v>
      </c>
      <c r="C66" s="83" t="s">
        <v>664</v>
      </c>
      <c r="D66" s="83" t="s">
        <v>835</v>
      </c>
      <c r="E66" s="86">
        <v>398</v>
      </c>
      <c r="F66" s="86">
        <f t="shared" si="2"/>
        <v>796</v>
      </c>
      <c r="G66" s="83" t="s">
        <v>8</v>
      </c>
      <c r="H66" s="83"/>
      <c r="I66" s="83"/>
    </row>
    <row r="67" spans="1:9" x14ac:dyDescent="0.3">
      <c r="A67" s="82">
        <v>45998</v>
      </c>
      <c r="B67" s="83">
        <v>2</v>
      </c>
      <c r="C67" s="83" t="s">
        <v>664</v>
      </c>
      <c r="D67" s="83" t="s">
        <v>819</v>
      </c>
      <c r="E67" s="86">
        <v>398</v>
      </c>
      <c r="F67" s="86">
        <f t="shared" si="2"/>
        <v>796</v>
      </c>
      <c r="G67" s="83" t="s">
        <v>8</v>
      </c>
      <c r="H67" s="83"/>
      <c r="I67" s="83"/>
    </row>
    <row r="68" spans="1:9" x14ac:dyDescent="0.3">
      <c r="A68" s="82">
        <v>45998</v>
      </c>
      <c r="B68" s="83">
        <v>2</v>
      </c>
      <c r="C68" s="83" t="s">
        <v>664</v>
      </c>
      <c r="D68" s="83" t="s">
        <v>819</v>
      </c>
      <c r="E68" s="86">
        <v>398</v>
      </c>
      <c r="F68" s="86">
        <f t="shared" si="2"/>
        <v>796</v>
      </c>
      <c r="G68" s="83" t="s">
        <v>836</v>
      </c>
      <c r="H68" s="83"/>
      <c r="I68" s="83"/>
    </row>
    <row r="69" spans="1:9" x14ac:dyDescent="0.3">
      <c r="A69" s="82">
        <v>45998</v>
      </c>
      <c r="B69" s="83">
        <v>3</v>
      </c>
      <c r="C69" s="83" t="s">
        <v>837</v>
      </c>
      <c r="D69" s="83" t="s">
        <v>838</v>
      </c>
      <c r="E69" s="86">
        <v>1400</v>
      </c>
      <c r="F69" s="86">
        <f t="shared" si="2"/>
        <v>4200</v>
      </c>
      <c r="G69" s="83" t="s">
        <v>8</v>
      </c>
      <c r="H69" s="83"/>
      <c r="I69" s="83"/>
    </row>
    <row r="70" spans="1:9" x14ac:dyDescent="0.3">
      <c r="A70" s="82">
        <v>45998</v>
      </c>
      <c r="B70" s="83">
        <v>1</v>
      </c>
      <c r="C70" s="83" t="s">
        <v>664</v>
      </c>
      <c r="D70" s="83" t="s">
        <v>491</v>
      </c>
      <c r="E70" s="86">
        <v>399</v>
      </c>
      <c r="F70" s="86">
        <f t="shared" si="2"/>
        <v>399</v>
      </c>
      <c r="G70" s="83" t="s">
        <v>8</v>
      </c>
      <c r="H70" s="83"/>
      <c r="I70" s="83"/>
    </row>
    <row r="71" spans="1:9" x14ac:dyDescent="0.3">
      <c r="A71" s="82">
        <v>45998</v>
      </c>
      <c r="B71" s="83">
        <v>7</v>
      </c>
      <c r="C71" s="83" t="s">
        <v>664</v>
      </c>
      <c r="D71" s="83" t="s">
        <v>839</v>
      </c>
      <c r="E71" s="86">
        <v>398</v>
      </c>
      <c r="F71" s="86">
        <f t="shared" si="2"/>
        <v>2786</v>
      </c>
      <c r="G71" s="83" t="s">
        <v>8</v>
      </c>
      <c r="H71" s="83"/>
      <c r="I71" s="83"/>
    </row>
    <row r="72" spans="1:9" x14ac:dyDescent="0.3">
      <c r="A72" s="82">
        <v>45998</v>
      </c>
      <c r="B72" s="83">
        <v>2</v>
      </c>
      <c r="C72" s="83" t="s">
        <v>664</v>
      </c>
      <c r="D72" s="83" t="s">
        <v>841</v>
      </c>
      <c r="E72" s="86">
        <v>379</v>
      </c>
      <c r="F72" s="86">
        <f t="shared" si="2"/>
        <v>758</v>
      </c>
      <c r="G72" s="83" t="s">
        <v>842</v>
      </c>
      <c r="H72" s="83"/>
      <c r="I72" s="83"/>
    </row>
    <row r="73" spans="1:9" x14ac:dyDescent="0.3">
      <c r="A73" s="82">
        <v>45998</v>
      </c>
      <c r="B73" s="83">
        <v>30</v>
      </c>
      <c r="C73" s="83" t="s">
        <v>664</v>
      </c>
      <c r="D73" s="83" t="s">
        <v>855</v>
      </c>
      <c r="E73" s="86">
        <v>399</v>
      </c>
      <c r="F73" s="86">
        <f t="shared" ref="F73:F75" si="3">E73*B73</f>
        <v>11970</v>
      </c>
      <c r="G73" s="83" t="s">
        <v>856</v>
      </c>
      <c r="H73" s="83"/>
      <c r="I73" s="83" t="s">
        <v>824</v>
      </c>
    </row>
    <row r="74" spans="1:9" x14ac:dyDescent="0.3">
      <c r="A74" s="82">
        <v>45998</v>
      </c>
      <c r="B74" s="83">
        <v>26</v>
      </c>
      <c r="C74" s="83" t="s">
        <v>664</v>
      </c>
      <c r="D74" s="83" t="s">
        <v>855</v>
      </c>
      <c r="E74" s="86">
        <v>399</v>
      </c>
      <c r="F74" s="86">
        <f t="shared" si="3"/>
        <v>10374</v>
      </c>
      <c r="G74" s="83" t="s">
        <v>856</v>
      </c>
      <c r="H74" s="83"/>
      <c r="I74" s="83" t="s">
        <v>824</v>
      </c>
    </row>
    <row r="75" spans="1:9" x14ac:dyDescent="0.3">
      <c r="A75" s="82">
        <v>45998</v>
      </c>
      <c r="B75" s="83">
        <v>1</v>
      </c>
      <c r="C75" s="83" t="s">
        <v>776</v>
      </c>
      <c r="D75" s="83" t="s">
        <v>857</v>
      </c>
      <c r="E75" s="86">
        <v>1020</v>
      </c>
      <c r="F75" s="86">
        <f t="shared" si="3"/>
        <v>1020</v>
      </c>
      <c r="G75" s="83" t="s">
        <v>858</v>
      </c>
      <c r="H75" s="83"/>
      <c r="I75" s="83" t="s">
        <v>85</v>
      </c>
    </row>
    <row r="76" spans="1:9" x14ac:dyDescent="0.3">
      <c r="A76" s="82">
        <v>45999</v>
      </c>
      <c r="B76" s="83">
        <v>15</v>
      </c>
      <c r="C76" s="83" t="s">
        <v>697</v>
      </c>
      <c r="D76" s="83" t="s">
        <v>688</v>
      </c>
      <c r="E76" s="86">
        <v>125</v>
      </c>
      <c r="F76" s="86">
        <f t="shared" si="2"/>
        <v>1875</v>
      </c>
      <c r="G76" s="83" t="s">
        <v>8</v>
      </c>
      <c r="H76" s="83"/>
      <c r="I76" s="83"/>
    </row>
    <row r="77" spans="1:9" x14ac:dyDescent="0.3">
      <c r="A77" s="82">
        <v>45999</v>
      </c>
      <c r="B77" s="83">
        <v>1</v>
      </c>
      <c r="C77" s="83" t="s">
        <v>664</v>
      </c>
      <c r="D77" s="83" t="s">
        <v>688</v>
      </c>
      <c r="E77" s="86">
        <v>299</v>
      </c>
      <c r="F77" s="86">
        <f t="shared" si="2"/>
        <v>299</v>
      </c>
      <c r="G77" s="83" t="s">
        <v>8</v>
      </c>
      <c r="H77" s="83"/>
      <c r="I77" s="83"/>
    </row>
    <row r="78" spans="1:9" x14ac:dyDescent="0.3">
      <c r="A78" s="82">
        <v>45999</v>
      </c>
      <c r="B78" s="83">
        <v>2</v>
      </c>
      <c r="C78" s="83" t="s">
        <v>664</v>
      </c>
      <c r="D78" s="83" t="s">
        <v>688</v>
      </c>
      <c r="E78" s="86">
        <v>299</v>
      </c>
      <c r="F78" s="86">
        <f t="shared" si="2"/>
        <v>598</v>
      </c>
      <c r="G78" s="83" t="s">
        <v>868</v>
      </c>
      <c r="H78" s="83"/>
      <c r="I78" s="83"/>
    </row>
    <row r="79" spans="1:9" x14ac:dyDescent="0.3">
      <c r="A79" s="82">
        <v>45999</v>
      </c>
      <c r="B79" s="83">
        <v>2</v>
      </c>
      <c r="C79" s="83" t="s">
        <v>804</v>
      </c>
      <c r="D79" s="83" t="s">
        <v>688</v>
      </c>
      <c r="E79" s="86">
        <v>419</v>
      </c>
      <c r="F79" s="86">
        <f t="shared" si="2"/>
        <v>838</v>
      </c>
      <c r="G79" s="83" t="s">
        <v>8</v>
      </c>
      <c r="H79" s="83"/>
      <c r="I79" s="83"/>
    </row>
    <row r="80" spans="1:9" x14ac:dyDescent="0.3">
      <c r="A80" s="82">
        <v>45999</v>
      </c>
      <c r="B80" s="83">
        <v>18</v>
      </c>
      <c r="C80" s="83" t="s">
        <v>697</v>
      </c>
      <c r="D80" s="83" t="s">
        <v>101</v>
      </c>
      <c r="E80" s="86">
        <v>125</v>
      </c>
      <c r="F80" s="86">
        <f t="shared" si="2"/>
        <v>2250</v>
      </c>
      <c r="G80" s="83" t="s">
        <v>8</v>
      </c>
      <c r="H80" s="83"/>
      <c r="I80" s="83"/>
    </row>
    <row r="81" spans="1:9" x14ac:dyDescent="0.3">
      <c r="A81" s="82">
        <v>45999</v>
      </c>
      <c r="B81" s="83">
        <v>2</v>
      </c>
      <c r="C81" s="83" t="s">
        <v>832</v>
      </c>
      <c r="D81" s="83" t="s">
        <v>101</v>
      </c>
      <c r="E81" s="86">
        <v>2059</v>
      </c>
      <c r="F81" s="86">
        <f t="shared" si="2"/>
        <v>4118</v>
      </c>
      <c r="G81" s="83" t="s">
        <v>8</v>
      </c>
      <c r="H81" s="83"/>
      <c r="I81" s="83"/>
    </row>
    <row r="82" spans="1:9" x14ac:dyDescent="0.3">
      <c r="A82" s="82">
        <v>45999</v>
      </c>
      <c r="B82" s="83">
        <v>1</v>
      </c>
      <c r="C82" s="83" t="s">
        <v>664</v>
      </c>
      <c r="D82" s="83" t="s">
        <v>101</v>
      </c>
      <c r="E82" s="86">
        <v>299</v>
      </c>
      <c r="F82" s="86">
        <f t="shared" si="2"/>
        <v>299</v>
      </c>
      <c r="G82" s="83" t="s">
        <v>914</v>
      </c>
      <c r="H82" s="83"/>
      <c r="I82" s="83"/>
    </row>
    <row r="83" spans="1:9" x14ac:dyDescent="0.3">
      <c r="A83" s="90">
        <v>45999</v>
      </c>
      <c r="B83" s="91">
        <v>1</v>
      </c>
      <c r="C83" s="91" t="s">
        <v>664</v>
      </c>
      <c r="D83" s="91" t="s">
        <v>101</v>
      </c>
      <c r="E83" s="92">
        <v>299</v>
      </c>
      <c r="F83" s="92">
        <f t="shared" si="2"/>
        <v>299</v>
      </c>
      <c r="G83" s="91" t="s">
        <v>833</v>
      </c>
      <c r="H83" s="91"/>
      <c r="I83" s="91"/>
    </row>
    <row r="84" spans="1:9" x14ac:dyDescent="0.3">
      <c r="A84" s="82">
        <v>46000</v>
      </c>
      <c r="B84" s="83">
        <v>12</v>
      </c>
      <c r="C84" s="83" t="s">
        <v>664</v>
      </c>
      <c r="D84" s="83" t="s">
        <v>494</v>
      </c>
      <c r="E84" s="86">
        <v>398</v>
      </c>
      <c r="F84" s="86">
        <f t="shared" si="2"/>
        <v>4776</v>
      </c>
      <c r="G84" s="83" t="s">
        <v>8</v>
      </c>
      <c r="H84" s="83"/>
      <c r="I84" s="83"/>
    </row>
    <row r="85" spans="1:9" x14ac:dyDescent="0.3">
      <c r="A85" s="82">
        <v>46000</v>
      </c>
      <c r="B85" s="83">
        <v>40</v>
      </c>
      <c r="C85" s="83" t="s">
        <v>664</v>
      </c>
      <c r="D85" s="83" t="s">
        <v>827</v>
      </c>
      <c r="E85" s="86">
        <v>398</v>
      </c>
      <c r="F85" s="86">
        <f t="shared" si="2"/>
        <v>15920</v>
      </c>
      <c r="G85" s="83" t="s">
        <v>859</v>
      </c>
      <c r="H85" s="83"/>
      <c r="I85" s="83" t="s">
        <v>860</v>
      </c>
    </row>
    <row r="86" spans="1:9" x14ac:dyDescent="0.3">
      <c r="A86" s="82">
        <v>46000</v>
      </c>
      <c r="B86" s="83">
        <v>1</v>
      </c>
      <c r="C86" s="83" t="s">
        <v>296</v>
      </c>
      <c r="D86" s="83" t="s">
        <v>827</v>
      </c>
      <c r="E86" s="86">
        <v>110</v>
      </c>
      <c r="F86" s="86">
        <f t="shared" si="2"/>
        <v>110</v>
      </c>
      <c r="G86" s="83" t="s">
        <v>859</v>
      </c>
      <c r="H86" s="83"/>
      <c r="I86" s="83"/>
    </row>
    <row r="87" spans="1:9" x14ac:dyDescent="0.3">
      <c r="A87" s="82">
        <v>46000</v>
      </c>
      <c r="B87" s="83">
        <v>1</v>
      </c>
      <c r="C87" s="83" t="s">
        <v>664</v>
      </c>
      <c r="D87" s="83" t="s">
        <v>828</v>
      </c>
      <c r="E87" s="86">
        <v>398</v>
      </c>
      <c r="F87" s="86">
        <f t="shared" si="2"/>
        <v>398</v>
      </c>
      <c r="G87" s="83" t="s">
        <v>8</v>
      </c>
      <c r="H87" s="83"/>
      <c r="I87" s="83"/>
    </row>
    <row r="88" spans="1:9" x14ac:dyDescent="0.3">
      <c r="A88" s="82">
        <v>46000</v>
      </c>
      <c r="B88" s="83">
        <v>1</v>
      </c>
      <c r="C88" s="83" t="s">
        <v>829</v>
      </c>
      <c r="D88" s="83" t="s">
        <v>738</v>
      </c>
      <c r="E88" s="86">
        <v>90</v>
      </c>
      <c r="F88" s="86">
        <f t="shared" si="2"/>
        <v>90</v>
      </c>
      <c r="G88" s="83"/>
      <c r="H88" s="83"/>
      <c r="I88" s="83" t="s">
        <v>85</v>
      </c>
    </row>
    <row r="89" spans="1:9" x14ac:dyDescent="0.3">
      <c r="A89" s="93">
        <v>46000</v>
      </c>
      <c r="B89" s="94">
        <v>1</v>
      </c>
      <c r="C89" s="94" t="s">
        <v>664</v>
      </c>
      <c r="D89" s="94" t="s">
        <v>492</v>
      </c>
      <c r="E89" s="95">
        <v>0</v>
      </c>
      <c r="F89" s="95">
        <f t="shared" si="2"/>
        <v>0</v>
      </c>
      <c r="G89" s="94" t="s">
        <v>831</v>
      </c>
      <c r="H89" s="94"/>
      <c r="I89" s="94"/>
    </row>
    <row r="90" spans="1:9" x14ac:dyDescent="0.3">
      <c r="A90" s="82">
        <v>46001</v>
      </c>
      <c r="B90" s="83">
        <v>10</v>
      </c>
      <c r="C90" s="83" t="s">
        <v>664</v>
      </c>
      <c r="D90" s="83" t="s">
        <v>740</v>
      </c>
      <c r="E90" s="86">
        <v>398</v>
      </c>
      <c r="F90" s="86">
        <f t="shared" si="2"/>
        <v>3980</v>
      </c>
      <c r="G90" s="83" t="s">
        <v>859</v>
      </c>
      <c r="H90" s="83"/>
      <c r="I90" s="83" t="s">
        <v>860</v>
      </c>
    </row>
    <row r="91" spans="1:9" x14ac:dyDescent="0.3">
      <c r="A91" s="82">
        <v>46001</v>
      </c>
      <c r="B91" s="83">
        <v>2</v>
      </c>
      <c r="C91" s="83" t="s">
        <v>664</v>
      </c>
      <c r="D91" s="83" t="s">
        <v>809</v>
      </c>
      <c r="E91" s="86">
        <v>399</v>
      </c>
      <c r="F91" s="86">
        <f t="shared" si="2"/>
        <v>798</v>
      </c>
      <c r="G91" s="83" t="s">
        <v>873</v>
      </c>
      <c r="H91" s="83"/>
      <c r="I91" s="83"/>
    </row>
    <row r="92" spans="1:9" x14ac:dyDescent="0.3">
      <c r="A92" s="82">
        <v>46001</v>
      </c>
      <c r="B92" s="83">
        <v>2</v>
      </c>
      <c r="C92" s="83" t="s">
        <v>664</v>
      </c>
      <c r="D92" s="83" t="s">
        <v>819</v>
      </c>
      <c r="E92" s="86">
        <v>398</v>
      </c>
      <c r="F92" s="86">
        <f t="shared" si="2"/>
        <v>796</v>
      </c>
      <c r="G92" s="83" t="s">
        <v>859</v>
      </c>
      <c r="H92" s="83"/>
      <c r="I92" s="83"/>
    </row>
    <row r="93" spans="1:9" x14ac:dyDescent="0.3">
      <c r="A93" s="82">
        <v>46001</v>
      </c>
      <c r="B93" s="83">
        <v>1</v>
      </c>
      <c r="C93" s="83" t="s">
        <v>664</v>
      </c>
      <c r="D93" s="83" t="s">
        <v>819</v>
      </c>
      <c r="E93" s="86">
        <v>398</v>
      </c>
      <c r="F93" s="86">
        <f t="shared" si="2"/>
        <v>398</v>
      </c>
      <c r="G93" s="83" t="s">
        <v>8</v>
      </c>
      <c r="H93" s="83"/>
      <c r="I93" s="83"/>
    </row>
    <row r="94" spans="1:9" x14ac:dyDescent="0.3">
      <c r="A94" s="82">
        <v>46002</v>
      </c>
      <c r="B94" s="83">
        <v>2</v>
      </c>
      <c r="C94" s="83" t="s">
        <v>804</v>
      </c>
      <c r="D94" s="83" t="s">
        <v>364</v>
      </c>
      <c r="E94" s="86">
        <v>419</v>
      </c>
      <c r="F94" s="86">
        <f t="shared" si="2"/>
        <v>838</v>
      </c>
      <c r="G94" s="83" t="s">
        <v>8</v>
      </c>
      <c r="H94" s="83"/>
      <c r="I94" s="83"/>
    </row>
    <row r="95" spans="1:9" x14ac:dyDescent="0.3">
      <c r="A95" s="90">
        <v>46002</v>
      </c>
      <c r="B95" s="91">
        <v>3</v>
      </c>
      <c r="C95" s="91" t="s">
        <v>664</v>
      </c>
      <c r="D95" s="91" t="s">
        <v>364</v>
      </c>
      <c r="E95" s="92">
        <v>340</v>
      </c>
      <c r="F95" s="92">
        <f t="shared" si="2"/>
        <v>1020</v>
      </c>
      <c r="G95" s="91" t="s">
        <v>861</v>
      </c>
      <c r="H95" s="91"/>
      <c r="I95" s="91"/>
    </row>
    <row r="96" spans="1:9" x14ac:dyDescent="0.3">
      <c r="A96" s="82">
        <v>46002</v>
      </c>
      <c r="B96" s="83">
        <v>4</v>
      </c>
      <c r="C96" s="83" t="s">
        <v>746</v>
      </c>
      <c r="D96" s="83" t="s">
        <v>364</v>
      </c>
      <c r="E96" s="86">
        <v>105</v>
      </c>
      <c r="F96" s="86">
        <f t="shared" si="2"/>
        <v>420</v>
      </c>
      <c r="G96" s="83" t="s">
        <v>8</v>
      </c>
      <c r="H96" s="83"/>
      <c r="I96" s="83"/>
    </row>
    <row r="97" spans="1:9" x14ac:dyDescent="0.3">
      <c r="A97" s="82">
        <v>46002</v>
      </c>
      <c r="B97" s="83">
        <v>1</v>
      </c>
      <c r="C97" s="83" t="s">
        <v>323</v>
      </c>
      <c r="D97" s="83" t="s">
        <v>364</v>
      </c>
      <c r="E97" s="86">
        <v>573</v>
      </c>
      <c r="F97" s="86">
        <f t="shared" si="2"/>
        <v>573</v>
      </c>
      <c r="G97" s="83" t="s">
        <v>8</v>
      </c>
      <c r="H97" s="83"/>
      <c r="I97" s="83"/>
    </row>
    <row r="98" spans="1:9" x14ac:dyDescent="0.3">
      <c r="A98" s="82">
        <v>46002</v>
      </c>
      <c r="B98" s="83">
        <v>10</v>
      </c>
      <c r="C98" s="83" t="s">
        <v>697</v>
      </c>
      <c r="D98" s="83" t="s">
        <v>364</v>
      </c>
      <c r="E98" s="86">
        <v>130</v>
      </c>
      <c r="F98" s="86">
        <f t="shared" si="2"/>
        <v>1300</v>
      </c>
      <c r="G98" s="83" t="s">
        <v>8</v>
      </c>
      <c r="H98" s="83"/>
      <c r="I98" s="83"/>
    </row>
    <row r="99" spans="1:9" x14ac:dyDescent="0.3">
      <c r="A99" s="82">
        <v>46002</v>
      </c>
      <c r="B99" s="83">
        <v>3</v>
      </c>
      <c r="C99" s="83" t="s">
        <v>378</v>
      </c>
      <c r="D99" s="83" t="s">
        <v>364</v>
      </c>
      <c r="E99" s="86">
        <v>573</v>
      </c>
      <c r="F99" s="86">
        <f t="shared" si="2"/>
        <v>1719</v>
      </c>
      <c r="G99" s="83" t="s">
        <v>873</v>
      </c>
      <c r="H99" s="83"/>
      <c r="I99" s="83"/>
    </row>
    <row r="100" spans="1:9" x14ac:dyDescent="0.3">
      <c r="A100" s="82">
        <v>46002</v>
      </c>
      <c r="B100" s="83">
        <v>3</v>
      </c>
      <c r="C100" s="83" t="s">
        <v>639</v>
      </c>
      <c r="D100" s="83" t="s">
        <v>364</v>
      </c>
      <c r="E100" s="86">
        <v>1095</v>
      </c>
      <c r="F100" s="86">
        <f t="shared" si="2"/>
        <v>3285</v>
      </c>
      <c r="G100" s="83" t="s">
        <v>873</v>
      </c>
      <c r="H100" s="83"/>
      <c r="I100" s="83"/>
    </row>
    <row r="101" spans="1:9" x14ac:dyDescent="0.3">
      <c r="A101" s="82">
        <v>46002</v>
      </c>
      <c r="B101" s="83">
        <v>2</v>
      </c>
      <c r="C101" s="83" t="s">
        <v>837</v>
      </c>
      <c r="D101" s="83" t="s">
        <v>101</v>
      </c>
      <c r="E101" s="86">
        <v>1400</v>
      </c>
      <c r="F101" s="86">
        <f t="shared" si="2"/>
        <v>2800</v>
      </c>
      <c r="G101" s="83" t="s">
        <v>862</v>
      </c>
      <c r="H101" s="83"/>
      <c r="I101" s="83"/>
    </row>
    <row r="102" spans="1:9" x14ac:dyDescent="0.3">
      <c r="A102" s="82">
        <v>46002</v>
      </c>
      <c r="B102" s="83">
        <v>2</v>
      </c>
      <c r="C102" s="83" t="s">
        <v>664</v>
      </c>
      <c r="D102" s="83" t="s">
        <v>101</v>
      </c>
      <c r="E102" s="86">
        <v>399</v>
      </c>
      <c r="F102" s="86">
        <f t="shared" si="2"/>
        <v>798</v>
      </c>
      <c r="G102" s="83" t="s">
        <v>862</v>
      </c>
      <c r="H102" s="83"/>
      <c r="I102" s="83"/>
    </row>
    <row r="103" spans="1:9" x14ac:dyDescent="0.3">
      <c r="A103" s="82">
        <v>46002</v>
      </c>
      <c r="B103" s="83">
        <v>10</v>
      </c>
      <c r="C103" s="83" t="s">
        <v>697</v>
      </c>
      <c r="D103" s="83" t="s">
        <v>101</v>
      </c>
      <c r="E103" s="86">
        <v>125</v>
      </c>
      <c r="F103" s="86">
        <f t="shared" si="2"/>
        <v>1250</v>
      </c>
      <c r="G103" s="83" t="s">
        <v>862</v>
      </c>
      <c r="H103" s="83"/>
      <c r="I103" s="83"/>
    </row>
    <row r="104" spans="1:9" x14ac:dyDescent="0.3">
      <c r="A104" s="82">
        <v>46002</v>
      </c>
      <c r="B104" s="83">
        <v>2</v>
      </c>
      <c r="C104" s="83" t="s">
        <v>837</v>
      </c>
      <c r="D104" s="83" t="s">
        <v>101</v>
      </c>
      <c r="E104" s="86">
        <v>1400</v>
      </c>
      <c r="F104" s="86">
        <f t="shared" si="2"/>
        <v>2800</v>
      </c>
      <c r="G104" s="83" t="s">
        <v>365</v>
      </c>
      <c r="H104" s="83"/>
      <c r="I104" s="83"/>
    </row>
    <row r="105" spans="1:9" x14ac:dyDescent="0.3">
      <c r="A105" s="82">
        <v>46003</v>
      </c>
      <c r="B105" s="83">
        <v>20</v>
      </c>
      <c r="C105" s="83" t="s">
        <v>664</v>
      </c>
      <c r="D105" s="83" t="s">
        <v>740</v>
      </c>
      <c r="E105" s="86">
        <v>398</v>
      </c>
      <c r="F105" s="86">
        <f t="shared" si="2"/>
        <v>7960</v>
      </c>
      <c r="G105" s="83" t="s">
        <v>904</v>
      </c>
      <c r="H105" s="83"/>
      <c r="I105" s="83"/>
    </row>
    <row r="106" spans="1:9" x14ac:dyDescent="0.3">
      <c r="A106" s="82">
        <v>46003</v>
      </c>
      <c r="B106" s="83">
        <v>10</v>
      </c>
      <c r="C106" s="83" t="s">
        <v>837</v>
      </c>
      <c r="D106" s="83" t="s">
        <v>864</v>
      </c>
      <c r="E106" s="86">
        <v>1400</v>
      </c>
      <c r="F106" s="86">
        <f t="shared" si="2"/>
        <v>14000</v>
      </c>
      <c r="G106" s="83" t="s">
        <v>867</v>
      </c>
      <c r="H106" s="83"/>
      <c r="I106" s="83"/>
    </row>
    <row r="107" spans="1:9" x14ac:dyDescent="0.3">
      <c r="A107" s="82">
        <v>46003</v>
      </c>
      <c r="B107" s="83">
        <v>3</v>
      </c>
      <c r="C107" s="83" t="s">
        <v>863</v>
      </c>
      <c r="D107" s="83" t="s">
        <v>864</v>
      </c>
      <c r="E107" s="86">
        <v>2490</v>
      </c>
      <c r="F107" s="86">
        <f t="shared" si="2"/>
        <v>7470</v>
      </c>
      <c r="G107" s="83" t="s">
        <v>867</v>
      </c>
      <c r="H107" s="83"/>
      <c r="I107" s="83"/>
    </row>
    <row r="108" spans="1:9" x14ac:dyDescent="0.3">
      <c r="A108" s="82">
        <v>46002</v>
      </c>
      <c r="B108" s="83">
        <v>100</v>
      </c>
      <c r="C108" s="83" t="s">
        <v>664</v>
      </c>
      <c r="D108" s="83" t="s">
        <v>865</v>
      </c>
      <c r="E108" s="86">
        <v>274</v>
      </c>
      <c r="F108" s="86">
        <f t="shared" si="2"/>
        <v>27400</v>
      </c>
      <c r="G108" s="83" t="s">
        <v>875</v>
      </c>
      <c r="H108" s="83"/>
      <c r="I108" s="83"/>
    </row>
    <row r="109" spans="1:9" x14ac:dyDescent="0.3">
      <c r="A109" s="82">
        <v>46002</v>
      </c>
      <c r="B109" s="83">
        <v>1</v>
      </c>
      <c r="C109" s="83" t="s">
        <v>296</v>
      </c>
      <c r="D109" s="83" t="s">
        <v>865</v>
      </c>
      <c r="E109" s="86">
        <v>110</v>
      </c>
      <c r="F109" s="86">
        <f t="shared" si="2"/>
        <v>110</v>
      </c>
      <c r="G109" s="83" t="s">
        <v>875</v>
      </c>
      <c r="H109" s="83"/>
      <c r="I109" s="83"/>
    </row>
    <row r="110" spans="1:9" x14ac:dyDescent="0.3">
      <c r="A110" s="90">
        <v>46003</v>
      </c>
      <c r="B110" s="91">
        <v>70</v>
      </c>
      <c r="C110" s="91" t="s">
        <v>697</v>
      </c>
      <c r="D110" s="91" t="s">
        <v>30</v>
      </c>
      <c r="E110" s="92">
        <v>132</v>
      </c>
      <c r="F110" s="92">
        <f t="shared" si="2"/>
        <v>9240</v>
      </c>
      <c r="G110" s="91" t="s">
        <v>62</v>
      </c>
      <c r="H110" s="91"/>
      <c r="I110" s="91"/>
    </row>
    <row r="111" spans="1:9" x14ac:dyDescent="0.3">
      <c r="A111" s="90">
        <v>46004</v>
      </c>
      <c r="B111" s="91">
        <v>10</v>
      </c>
      <c r="C111" s="91" t="s">
        <v>866</v>
      </c>
      <c r="D111" s="91" t="s">
        <v>677</v>
      </c>
      <c r="E111" s="92">
        <v>960</v>
      </c>
      <c r="F111" s="92">
        <f t="shared" si="2"/>
        <v>9600</v>
      </c>
      <c r="G111" s="91" t="s">
        <v>62</v>
      </c>
      <c r="H111" s="91"/>
      <c r="I111" s="91" t="s">
        <v>115</v>
      </c>
    </row>
    <row r="112" spans="1:9" x14ac:dyDescent="0.3">
      <c r="A112" s="82">
        <v>46005</v>
      </c>
      <c r="B112" s="83">
        <v>3</v>
      </c>
      <c r="C112" s="83" t="s">
        <v>874</v>
      </c>
      <c r="D112" s="83" t="s">
        <v>864</v>
      </c>
      <c r="E112" s="86">
        <v>3300</v>
      </c>
      <c r="F112" s="86">
        <f t="shared" si="2"/>
        <v>9900</v>
      </c>
      <c r="G112" s="83" t="s">
        <v>8</v>
      </c>
      <c r="H112" s="83"/>
      <c r="I112" s="83"/>
    </row>
    <row r="113" spans="1:9" x14ac:dyDescent="0.3">
      <c r="A113" s="82">
        <v>46005</v>
      </c>
      <c r="B113" s="83">
        <v>23</v>
      </c>
      <c r="C113" s="83" t="s">
        <v>664</v>
      </c>
      <c r="D113" s="83" t="s">
        <v>855</v>
      </c>
      <c r="E113" s="86">
        <v>399</v>
      </c>
      <c r="F113" s="86">
        <f t="shared" si="2"/>
        <v>9177</v>
      </c>
      <c r="G113" s="83" t="s">
        <v>869</v>
      </c>
      <c r="H113" s="83"/>
      <c r="I113" s="83"/>
    </row>
    <row r="114" spans="1:9" x14ac:dyDescent="0.3">
      <c r="A114" s="82">
        <v>46006</v>
      </c>
      <c r="B114" s="83">
        <v>12</v>
      </c>
      <c r="C114" s="83" t="s">
        <v>664</v>
      </c>
      <c r="D114" s="83" t="s">
        <v>497</v>
      </c>
      <c r="E114" s="86">
        <v>398</v>
      </c>
      <c r="F114" s="86">
        <f t="shared" si="2"/>
        <v>4776</v>
      </c>
      <c r="G114" s="83" t="s">
        <v>8</v>
      </c>
      <c r="H114" s="83"/>
      <c r="I114" s="83"/>
    </row>
    <row r="115" spans="1:9" x14ac:dyDescent="0.3">
      <c r="A115" s="82">
        <v>46006</v>
      </c>
      <c r="B115" s="83">
        <v>12</v>
      </c>
      <c r="C115" s="83" t="s">
        <v>664</v>
      </c>
      <c r="D115" s="83" t="s">
        <v>870</v>
      </c>
      <c r="E115" s="86">
        <v>398</v>
      </c>
      <c r="F115" s="86">
        <f t="shared" si="2"/>
        <v>4776</v>
      </c>
      <c r="G115" s="83" t="s">
        <v>8</v>
      </c>
      <c r="H115" s="83"/>
      <c r="I115" s="83"/>
    </row>
    <row r="116" spans="1:9" x14ac:dyDescent="0.3">
      <c r="A116" s="82">
        <v>46006</v>
      </c>
      <c r="B116" s="83">
        <v>15</v>
      </c>
      <c r="C116" s="83" t="s">
        <v>664</v>
      </c>
      <c r="D116" s="83" t="s">
        <v>740</v>
      </c>
      <c r="E116" s="86">
        <v>398</v>
      </c>
      <c r="F116" s="86">
        <f t="shared" si="2"/>
        <v>5970</v>
      </c>
      <c r="G116" s="83" t="s">
        <v>904</v>
      </c>
      <c r="H116" s="83"/>
      <c r="I116" s="83"/>
    </row>
    <row r="117" spans="1:9" x14ac:dyDescent="0.3">
      <c r="A117" s="82">
        <v>46006</v>
      </c>
      <c r="B117" s="83">
        <v>3</v>
      </c>
      <c r="C117" s="83" t="s">
        <v>409</v>
      </c>
      <c r="D117" s="83" t="s">
        <v>364</v>
      </c>
      <c r="E117" s="86">
        <v>1059</v>
      </c>
      <c r="F117" s="86">
        <f t="shared" si="2"/>
        <v>3177</v>
      </c>
      <c r="G117" s="83" t="s">
        <v>8</v>
      </c>
      <c r="H117" s="83"/>
      <c r="I117" s="83"/>
    </row>
    <row r="118" spans="1:9" x14ac:dyDescent="0.3">
      <c r="A118" s="82">
        <v>46006</v>
      </c>
      <c r="B118" s="83">
        <v>1</v>
      </c>
      <c r="C118" s="83" t="s">
        <v>871</v>
      </c>
      <c r="D118" s="83" t="s">
        <v>364</v>
      </c>
      <c r="E118" s="86">
        <v>573</v>
      </c>
      <c r="F118" s="86">
        <f t="shared" si="2"/>
        <v>573</v>
      </c>
      <c r="G118" s="83" t="s">
        <v>8</v>
      </c>
      <c r="H118" s="83"/>
      <c r="I118" s="83"/>
    </row>
    <row r="119" spans="1:9" x14ac:dyDescent="0.3">
      <c r="A119" s="93">
        <v>46006</v>
      </c>
      <c r="B119" s="94">
        <v>1</v>
      </c>
      <c r="C119" s="94" t="s">
        <v>664</v>
      </c>
      <c r="D119" s="94" t="s">
        <v>502</v>
      </c>
      <c r="E119" s="94"/>
      <c r="F119" s="95">
        <f t="shared" si="2"/>
        <v>0</v>
      </c>
      <c r="G119" s="94" t="s">
        <v>891</v>
      </c>
      <c r="H119" s="94"/>
      <c r="I119" s="94"/>
    </row>
    <row r="120" spans="1:9" x14ac:dyDescent="0.3">
      <c r="A120" s="82">
        <v>46006</v>
      </c>
      <c r="B120" s="83">
        <v>7</v>
      </c>
      <c r="C120" s="83" t="s">
        <v>664</v>
      </c>
      <c r="D120" s="83" t="s">
        <v>855</v>
      </c>
      <c r="E120" s="86">
        <v>398</v>
      </c>
      <c r="F120" s="86">
        <f t="shared" ref="F120:F158" si="4">E120*B120</f>
        <v>2786</v>
      </c>
      <c r="G120" s="83" t="s">
        <v>873</v>
      </c>
      <c r="H120" s="83"/>
      <c r="I120" s="83"/>
    </row>
    <row r="121" spans="1:9" x14ac:dyDescent="0.3">
      <c r="A121" s="82">
        <v>46006</v>
      </c>
      <c r="B121" s="83">
        <v>2</v>
      </c>
      <c r="C121" s="83" t="s">
        <v>832</v>
      </c>
      <c r="D121" s="83" t="s">
        <v>811</v>
      </c>
      <c r="E121" s="86">
        <v>2099</v>
      </c>
      <c r="F121" s="86">
        <f t="shared" si="4"/>
        <v>4198</v>
      </c>
      <c r="G121" s="83" t="s">
        <v>873</v>
      </c>
      <c r="H121" s="83"/>
      <c r="I121" s="83"/>
    </row>
    <row r="122" spans="1:9" x14ac:dyDescent="0.3">
      <c r="A122" s="82">
        <v>46006</v>
      </c>
      <c r="B122" s="83">
        <v>23</v>
      </c>
      <c r="C122" s="83" t="s">
        <v>664</v>
      </c>
      <c r="D122" s="83" t="s">
        <v>855</v>
      </c>
      <c r="E122" s="86">
        <v>399</v>
      </c>
      <c r="F122" s="86">
        <f t="shared" si="4"/>
        <v>9177</v>
      </c>
      <c r="G122" s="83" t="s">
        <v>365</v>
      </c>
      <c r="H122" s="83"/>
      <c r="I122" s="83"/>
    </row>
    <row r="123" spans="1:9" x14ac:dyDescent="0.3">
      <c r="A123" s="82">
        <v>46006</v>
      </c>
      <c r="B123" s="83">
        <v>1</v>
      </c>
      <c r="C123" s="83" t="s">
        <v>901</v>
      </c>
      <c r="D123" s="83" t="s">
        <v>857</v>
      </c>
      <c r="E123" s="86">
        <v>450</v>
      </c>
      <c r="F123" s="86">
        <f t="shared" si="4"/>
        <v>450</v>
      </c>
      <c r="G123" s="83" t="s">
        <v>905</v>
      </c>
      <c r="H123" s="83"/>
      <c r="I123" s="83" t="s">
        <v>85</v>
      </c>
    </row>
    <row r="124" spans="1:9" x14ac:dyDescent="0.3">
      <c r="A124" s="82">
        <v>46007</v>
      </c>
      <c r="B124" s="83">
        <v>4</v>
      </c>
      <c r="C124" s="83" t="s">
        <v>664</v>
      </c>
      <c r="D124" s="83" t="s">
        <v>877</v>
      </c>
      <c r="E124" s="86">
        <v>398</v>
      </c>
      <c r="F124" s="86">
        <f t="shared" si="4"/>
        <v>1592</v>
      </c>
      <c r="G124" s="83" t="s">
        <v>8</v>
      </c>
      <c r="H124" s="83"/>
      <c r="I124" s="83"/>
    </row>
    <row r="125" spans="1:9" x14ac:dyDescent="0.3">
      <c r="A125" s="82">
        <v>46008</v>
      </c>
      <c r="B125" s="83">
        <v>44</v>
      </c>
      <c r="C125" s="83" t="s">
        <v>664</v>
      </c>
      <c r="D125" s="83" t="s">
        <v>878</v>
      </c>
      <c r="E125" s="86">
        <v>398</v>
      </c>
      <c r="F125" s="86">
        <f t="shared" si="4"/>
        <v>17512</v>
      </c>
      <c r="G125" s="83" t="s">
        <v>348</v>
      </c>
      <c r="H125" s="83"/>
      <c r="I125" s="83" t="s">
        <v>860</v>
      </c>
    </row>
    <row r="126" spans="1:9" x14ac:dyDescent="0.3">
      <c r="A126" s="82">
        <v>46008</v>
      </c>
      <c r="B126" s="83">
        <v>1</v>
      </c>
      <c r="C126" s="83" t="s">
        <v>296</v>
      </c>
      <c r="D126" s="83" t="s">
        <v>878</v>
      </c>
      <c r="E126" s="86">
        <v>110</v>
      </c>
      <c r="F126" s="86">
        <f t="shared" si="4"/>
        <v>110</v>
      </c>
      <c r="G126" s="83" t="s">
        <v>85</v>
      </c>
      <c r="H126" s="83"/>
      <c r="I126" s="83"/>
    </row>
    <row r="127" spans="1:9" x14ac:dyDescent="0.3">
      <c r="A127" s="93">
        <v>46008</v>
      </c>
      <c r="B127" s="94">
        <v>1</v>
      </c>
      <c r="C127" s="94" t="s">
        <v>664</v>
      </c>
      <c r="D127" s="94" t="s">
        <v>878</v>
      </c>
      <c r="E127" s="95"/>
      <c r="F127" s="95"/>
      <c r="G127" s="94" t="s">
        <v>882</v>
      </c>
      <c r="H127" s="94"/>
      <c r="I127" s="94"/>
    </row>
    <row r="128" spans="1:9" x14ac:dyDescent="0.3">
      <c r="A128" s="93">
        <v>46008</v>
      </c>
      <c r="B128" s="94">
        <v>20</v>
      </c>
      <c r="C128" s="94" t="s">
        <v>664</v>
      </c>
      <c r="D128" s="94" t="s">
        <v>879</v>
      </c>
      <c r="E128" s="95"/>
      <c r="F128" s="95">
        <f t="shared" si="4"/>
        <v>0</v>
      </c>
      <c r="G128" s="94" t="s">
        <v>880</v>
      </c>
      <c r="H128" s="94"/>
      <c r="I128" s="94"/>
    </row>
    <row r="129" spans="1:12" x14ac:dyDescent="0.3">
      <c r="A129" s="82">
        <v>46008</v>
      </c>
      <c r="B129" s="83">
        <v>159</v>
      </c>
      <c r="C129" s="83" t="s">
        <v>664</v>
      </c>
      <c r="D129" s="83" t="s">
        <v>881</v>
      </c>
      <c r="E129" s="86">
        <v>398</v>
      </c>
      <c r="F129" s="86">
        <f t="shared" si="4"/>
        <v>63282</v>
      </c>
      <c r="G129" s="83" t="s">
        <v>888</v>
      </c>
      <c r="H129" s="83"/>
      <c r="I129" s="83" t="s">
        <v>860</v>
      </c>
    </row>
    <row r="130" spans="1:12" x14ac:dyDescent="0.3">
      <c r="A130" s="82">
        <v>46009</v>
      </c>
      <c r="B130" s="83">
        <v>9</v>
      </c>
      <c r="C130" s="83" t="s">
        <v>664</v>
      </c>
      <c r="D130" s="83" t="s">
        <v>881</v>
      </c>
      <c r="E130" s="86">
        <v>398</v>
      </c>
      <c r="F130" s="86">
        <f t="shared" si="4"/>
        <v>3582</v>
      </c>
      <c r="G130" s="83" t="s">
        <v>888</v>
      </c>
      <c r="H130" s="83"/>
      <c r="I130" s="83" t="s">
        <v>860</v>
      </c>
    </row>
    <row r="131" spans="1:12" x14ac:dyDescent="0.3">
      <c r="A131" s="93">
        <v>46009</v>
      </c>
      <c r="B131" s="94"/>
      <c r="C131" s="94" t="s">
        <v>664</v>
      </c>
      <c r="D131" s="94" t="s">
        <v>890</v>
      </c>
      <c r="E131" s="95"/>
      <c r="F131" s="95">
        <f t="shared" si="4"/>
        <v>0</v>
      </c>
      <c r="G131" s="94" t="s">
        <v>889</v>
      </c>
      <c r="H131" s="94"/>
      <c r="I131" s="94"/>
    </row>
    <row r="132" spans="1:12" x14ac:dyDescent="0.3">
      <c r="A132" s="82">
        <v>46010</v>
      </c>
      <c r="B132" s="83">
        <v>2</v>
      </c>
      <c r="C132" s="83" t="s">
        <v>883</v>
      </c>
      <c r="D132" s="83" t="s">
        <v>103</v>
      </c>
      <c r="E132" s="86">
        <v>477</v>
      </c>
      <c r="F132" s="86">
        <f t="shared" si="4"/>
        <v>954</v>
      </c>
      <c r="G132" s="83" t="s">
        <v>906</v>
      </c>
      <c r="H132" s="83"/>
      <c r="I132" s="83" t="s">
        <v>886</v>
      </c>
    </row>
    <row r="133" spans="1:12" x14ac:dyDescent="0.3">
      <c r="A133" s="82">
        <v>46010</v>
      </c>
      <c r="B133" s="83">
        <v>2</v>
      </c>
      <c r="C133" s="83" t="s">
        <v>883</v>
      </c>
      <c r="D133" s="83" t="s">
        <v>103</v>
      </c>
      <c r="E133" s="86">
        <v>477</v>
      </c>
      <c r="F133" s="86">
        <f t="shared" si="4"/>
        <v>954</v>
      </c>
      <c r="G133" s="83" t="s">
        <v>906</v>
      </c>
      <c r="H133" s="83"/>
      <c r="I133" s="83"/>
      <c r="K133">
        <v>242</v>
      </c>
      <c r="L133">
        <v>350</v>
      </c>
    </row>
    <row r="134" spans="1:12" x14ac:dyDescent="0.3">
      <c r="A134" s="82">
        <v>46010</v>
      </c>
      <c r="B134" s="83">
        <v>2</v>
      </c>
      <c r="C134" s="83" t="s">
        <v>883</v>
      </c>
      <c r="D134" s="83" t="s">
        <v>884</v>
      </c>
      <c r="E134" s="86">
        <v>477</v>
      </c>
      <c r="F134" s="86">
        <f t="shared" ref="F134" si="5">E134*B134</f>
        <v>954</v>
      </c>
      <c r="G134" s="83" t="s">
        <v>906</v>
      </c>
      <c r="H134" s="83"/>
      <c r="I134" s="83" t="s">
        <v>886</v>
      </c>
      <c r="K134">
        <v>50</v>
      </c>
    </row>
    <row r="135" spans="1:12" x14ac:dyDescent="0.3">
      <c r="A135" s="90">
        <v>46010</v>
      </c>
      <c r="B135" s="91">
        <v>2</v>
      </c>
      <c r="C135" s="91" t="s">
        <v>883</v>
      </c>
      <c r="D135" s="91" t="s">
        <v>887</v>
      </c>
      <c r="E135" s="92">
        <v>477</v>
      </c>
      <c r="F135" s="92">
        <f t="shared" si="4"/>
        <v>954</v>
      </c>
      <c r="G135" s="91" t="s">
        <v>24</v>
      </c>
      <c r="H135" s="91"/>
      <c r="I135" s="91" t="s">
        <v>885</v>
      </c>
    </row>
    <row r="136" spans="1:12" x14ac:dyDescent="0.3">
      <c r="A136" s="82">
        <v>46010</v>
      </c>
      <c r="B136" s="83">
        <v>2</v>
      </c>
      <c r="C136" s="83" t="s">
        <v>893</v>
      </c>
      <c r="D136" s="83" t="s">
        <v>894</v>
      </c>
      <c r="E136" s="86">
        <v>480</v>
      </c>
      <c r="F136" s="86">
        <f t="shared" si="4"/>
        <v>960</v>
      </c>
      <c r="G136" s="83" t="s">
        <v>907</v>
      </c>
      <c r="H136" s="83"/>
      <c r="I136" s="83"/>
    </row>
    <row r="137" spans="1:12" x14ac:dyDescent="0.3">
      <c r="A137" s="82">
        <v>46010</v>
      </c>
      <c r="B137" s="83">
        <v>2</v>
      </c>
      <c r="C137" s="83" t="s">
        <v>893</v>
      </c>
      <c r="D137" s="83" t="s">
        <v>895</v>
      </c>
      <c r="E137" s="86">
        <v>480</v>
      </c>
      <c r="F137" s="86">
        <f t="shared" si="4"/>
        <v>960</v>
      </c>
      <c r="G137" s="83" t="s">
        <v>8</v>
      </c>
      <c r="H137" s="83"/>
      <c r="I137" s="83"/>
    </row>
    <row r="138" spans="1:12" x14ac:dyDescent="0.3">
      <c r="A138" s="82">
        <v>46010</v>
      </c>
      <c r="B138" s="83">
        <v>2</v>
      </c>
      <c r="C138" s="83" t="s">
        <v>893</v>
      </c>
      <c r="D138" s="83" t="s">
        <v>714</v>
      </c>
      <c r="E138" s="86">
        <v>480</v>
      </c>
      <c r="F138" s="86">
        <f t="shared" si="4"/>
        <v>960</v>
      </c>
      <c r="G138" s="83" t="s">
        <v>348</v>
      </c>
      <c r="H138" s="83"/>
      <c r="I138" s="83"/>
      <c r="K138">
        <v>387</v>
      </c>
      <c r="L138">
        <f>K138*L133</f>
        <v>135450</v>
      </c>
    </row>
    <row r="139" spans="1:12" x14ac:dyDescent="0.3">
      <c r="A139" s="82">
        <v>46010</v>
      </c>
      <c r="B139" s="83">
        <v>2</v>
      </c>
      <c r="C139" s="83" t="s">
        <v>893</v>
      </c>
      <c r="D139" s="83" t="s">
        <v>714</v>
      </c>
      <c r="E139" s="86">
        <v>480</v>
      </c>
      <c r="F139" s="86">
        <f t="shared" si="4"/>
        <v>960</v>
      </c>
      <c r="G139" s="83" t="s">
        <v>348</v>
      </c>
      <c r="H139" s="83"/>
      <c r="I139" s="83"/>
      <c r="L139">
        <v>66000</v>
      </c>
    </row>
    <row r="140" spans="1:12" x14ac:dyDescent="0.3">
      <c r="A140" s="82">
        <v>46010</v>
      </c>
      <c r="B140" s="83">
        <v>4</v>
      </c>
      <c r="C140" s="83" t="s">
        <v>883</v>
      </c>
      <c r="D140" s="83" t="s">
        <v>103</v>
      </c>
      <c r="E140" s="86">
        <v>477</v>
      </c>
      <c r="F140" s="86">
        <f t="shared" si="4"/>
        <v>1908</v>
      </c>
      <c r="G140" s="83" t="s">
        <v>8</v>
      </c>
      <c r="H140" s="83"/>
      <c r="I140" s="83"/>
    </row>
    <row r="141" spans="1:12" x14ac:dyDescent="0.3">
      <c r="A141" s="82">
        <v>46010</v>
      </c>
      <c r="B141" s="83">
        <v>4</v>
      </c>
      <c r="C141" s="83" t="s">
        <v>896</v>
      </c>
      <c r="D141" s="83" t="s">
        <v>103</v>
      </c>
      <c r="E141" s="86">
        <v>629</v>
      </c>
      <c r="F141" s="86">
        <f t="shared" si="4"/>
        <v>2516</v>
      </c>
      <c r="G141" s="83" t="s">
        <v>8</v>
      </c>
      <c r="H141" s="83"/>
      <c r="I141" s="83"/>
    </row>
    <row r="142" spans="1:12" x14ac:dyDescent="0.3">
      <c r="A142" s="82">
        <v>46010</v>
      </c>
      <c r="B142" s="83">
        <v>4</v>
      </c>
      <c r="C142" s="83" t="s">
        <v>883</v>
      </c>
      <c r="D142" s="83" t="s">
        <v>884</v>
      </c>
      <c r="E142" s="86">
        <v>477</v>
      </c>
      <c r="F142" s="86">
        <f t="shared" si="4"/>
        <v>1908</v>
      </c>
      <c r="G142" s="83" t="s">
        <v>8</v>
      </c>
      <c r="H142" s="83"/>
      <c r="I142" s="83"/>
    </row>
    <row r="143" spans="1:12" x14ac:dyDescent="0.3">
      <c r="A143" s="82">
        <v>46010</v>
      </c>
      <c r="B143" s="83">
        <v>4</v>
      </c>
      <c r="C143" s="83" t="s">
        <v>896</v>
      </c>
      <c r="D143" s="83" t="s">
        <v>884</v>
      </c>
      <c r="E143" s="86">
        <v>629</v>
      </c>
      <c r="F143" s="86">
        <f t="shared" si="4"/>
        <v>2516</v>
      </c>
      <c r="G143" s="83" t="s">
        <v>8</v>
      </c>
      <c r="H143" s="83"/>
      <c r="I143" s="83"/>
    </row>
    <row r="144" spans="1:12" x14ac:dyDescent="0.3">
      <c r="A144" s="82">
        <v>46010</v>
      </c>
      <c r="B144" s="83">
        <v>3</v>
      </c>
      <c r="C144" s="83" t="s">
        <v>883</v>
      </c>
      <c r="D144" s="83" t="s">
        <v>887</v>
      </c>
      <c r="E144" s="86">
        <v>477</v>
      </c>
      <c r="F144" s="86">
        <f t="shared" si="4"/>
        <v>1431</v>
      </c>
      <c r="G144" s="83" t="s">
        <v>8</v>
      </c>
      <c r="H144" s="83"/>
      <c r="I144" s="83"/>
    </row>
    <row r="145" spans="1:15" x14ac:dyDescent="0.3">
      <c r="A145" s="82">
        <v>46010</v>
      </c>
      <c r="B145" s="83">
        <v>3</v>
      </c>
      <c r="C145" s="83" t="s">
        <v>896</v>
      </c>
      <c r="D145" s="83" t="s">
        <v>887</v>
      </c>
      <c r="E145" s="86">
        <v>629</v>
      </c>
      <c r="F145" s="86">
        <f t="shared" si="4"/>
        <v>1887</v>
      </c>
      <c r="G145" s="83" t="s">
        <v>8</v>
      </c>
      <c r="H145" s="83"/>
      <c r="I145" s="83"/>
    </row>
    <row r="146" spans="1:15" x14ac:dyDescent="0.3">
      <c r="A146" s="82">
        <v>46010</v>
      </c>
      <c r="B146" s="83">
        <v>2</v>
      </c>
      <c r="C146" s="83" t="s">
        <v>897</v>
      </c>
      <c r="D146" s="83" t="s">
        <v>318</v>
      </c>
      <c r="E146" s="86">
        <v>479</v>
      </c>
      <c r="F146" s="86">
        <f t="shared" si="4"/>
        <v>958</v>
      </c>
      <c r="G146" s="83" t="s">
        <v>8</v>
      </c>
      <c r="H146" s="83"/>
      <c r="I146" s="83"/>
      <c r="O146">
        <v>3735</v>
      </c>
    </row>
    <row r="147" spans="1:15" x14ac:dyDescent="0.3">
      <c r="A147" s="82">
        <v>46010</v>
      </c>
      <c r="B147" s="83">
        <v>10</v>
      </c>
      <c r="C147" s="83" t="s">
        <v>837</v>
      </c>
      <c r="D147" s="83" t="s">
        <v>864</v>
      </c>
      <c r="E147" s="86">
        <v>1400</v>
      </c>
      <c r="F147" s="86">
        <f t="shared" ref="F147" si="6">E147*B147</f>
        <v>14000</v>
      </c>
      <c r="G147" s="83" t="s">
        <v>906</v>
      </c>
      <c r="H147" s="83"/>
      <c r="I147" s="83"/>
      <c r="O147">
        <v>2490</v>
      </c>
    </row>
    <row r="148" spans="1:15" x14ac:dyDescent="0.3">
      <c r="A148" s="82">
        <v>46010</v>
      </c>
      <c r="B148" s="83">
        <v>10</v>
      </c>
      <c r="C148" s="83" t="s">
        <v>804</v>
      </c>
      <c r="D148" s="83" t="s">
        <v>864</v>
      </c>
      <c r="E148" s="86">
        <v>415</v>
      </c>
      <c r="F148" s="86">
        <f t="shared" si="4"/>
        <v>4150</v>
      </c>
      <c r="G148" s="83" t="s">
        <v>906</v>
      </c>
      <c r="H148" s="83"/>
      <c r="I148" s="83"/>
      <c r="O148">
        <f>(O147-O146)</f>
        <v>-1245</v>
      </c>
    </row>
    <row r="149" spans="1:15" x14ac:dyDescent="0.3">
      <c r="A149" s="82">
        <v>46010</v>
      </c>
      <c r="B149" s="83">
        <v>20</v>
      </c>
      <c r="C149" s="83" t="s">
        <v>898</v>
      </c>
      <c r="D149" s="83" t="s">
        <v>864</v>
      </c>
      <c r="E149" s="86">
        <v>765</v>
      </c>
      <c r="F149" s="86">
        <f t="shared" si="4"/>
        <v>15300</v>
      </c>
      <c r="G149" s="83" t="s">
        <v>906</v>
      </c>
      <c r="H149" s="83"/>
      <c r="I149" s="83"/>
    </row>
    <row r="150" spans="1:15" x14ac:dyDescent="0.3">
      <c r="A150" s="82">
        <v>46010</v>
      </c>
      <c r="B150" s="83">
        <v>3</v>
      </c>
      <c r="C150" s="83" t="s">
        <v>900</v>
      </c>
      <c r="D150" s="83" t="s">
        <v>864</v>
      </c>
      <c r="E150" s="86">
        <v>3300</v>
      </c>
      <c r="F150" s="86">
        <f t="shared" si="4"/>
        <v>9900</v>
      </c>
      <c r="G150" s="83" t="s">
        <v>906</v>
      </c>
      <c r="H150" s="83"/>
      <c r="I150" s="83"/>
    </row>
    <row r="151" spans="1:15" x14ac:dyDescent="0.3">
      <c r="A151" s="82">
        <v>46010</v>
      </c>
      <c r="B151" s="83">
        <v>2</v>
      </c>
      <c r="C151" s="83" t="s">
        <v>899</v>
      </c>
      <c r="D151" s="83" t="s">
        <v>864</v>
      </c>
      <c r="E151" s="86">
        <v>2500</v>
      </c>
      <c r="F151" s="86">
        <f t="shared" si="4"/>
        <v>5000</v>
      </c>
      <c r="G151" s="83" t="s">
        <v>906</v>
      </c>
      <c r="H151" s="83"/>
      <c r="I151" s="83"/>
    </row>
    <row r="152" spans="1:15" x14ac:dyDescent="0.3">
      <c r="A152" s="82">
        <v>46011</v>
      </c>
      <c r="B152" s="83">
        <v>1</v>
      </c>
      <c r="C152" s="83" t="s">
        <v>804</v>
      </c>
      <c r="D152" s="83" t="s">
        <v>864</v>
      </c>
      <c r="E152" s="86">
        <v>415</v>
      </c>
      <c r="F152" s="86">
        <f t="shared" si="4"/>
        <v>415</v>
      </c>
      <c r="G152" s="83" t="s">
        <v>8</v>
      </c>
      <c r="H152" s="83"/>
      <c r="I152" s="83"/>
    </row>
    <row r="153" spans="1:15" x14ac:dyDescent="0.3">
      <c r="A153" s="90">
        <v>46011</v>
      </c>
      <c r="B153" s="91">
        <v>5</v>
      </c>
      <c r="C153" s="91" t="s">
        <v>664</v>
      </c>
      <c r="D153" s="91" t="s">
        <v>677</v>
      </c>
      <c r="E153" s="92">
        <v>398</v>
      </c>
      <c r="F153" s="92">
        <f t="shared" si="4"/>
        <v>1990</v>
      </c>
      <c r="G153" s="91" t="s">
        <v>62</v>
      </c>
      <c r="H153" s="91"/>
      <c r="I153" s="91"/>
    </row>
    <row r="154" spans="1:15" x14ac:dyDescent="0.3">
      <c r="A154" s="82">
        <v>46011</v>
      </c>
      <c r="B154" s="83">
        <v>5</v>
      </c>
      <c r="C154" s="83" t="s">
        <v>897</v>
      </c>
      <c r="D154" s="83" t="s">
        <v>887</v>
      </c>
      <c r="E154" s="86">
        <v>477</v>
      </c>
      <c r="F154" s="86">
        <f t="shared" si="4"/>
        <v>2385</v>
      </c>
      <c r="G154" s="83" t="s">
        <v>8</v>
      </c>
      <c r="H154" s="83"/>
      <c r="I154" s="83"/>
    </row>
    <row r="155" spans="1:15" x14ac:dyDescent="0.3">
      <c r="A155" s="82">
        <v>46011</v>
      </c>
      <c r="B155" s="83">
        <v>1</v>
      </c>
      <c r="C155" s="83" t="s">
        <v>908</v>
      </c>
      <c r="D155" s="83" t="s">
        <v>884</v>
      </c>
      <c r="E155" s="86">
        <v>549</v>
      </c>
      <c r="F155" s="86">
        <f t="shared" si="4"/>
        <v>549</v>
      </c>
      <c r="G155" s="83" t="s">
        <v>8</v>
      </c>
      <c r="H155" s="83"/>
      <c r="I155" s="83"/>
    </row>
    <row r="156" spans="1:15" x14ac:dyDescent="0.3">
      <c r="A156" s="82">
        <v>46011</v>
      </c>
      <c r="B156" s="83">
        <v>2</v>
      </c>
      <c r="C156" s="83" t="s">
        <v>897</v>
      </c>
      <c r="D156" s="83" t="s">
        <v>884</v>
      </c>
      <c r="E156" s="86">
        <v>477</v>
      </c>
      <c r="F156" s="86">
        <f t="shared" si="4"/>
        <v>954</v>
      </c>
      <c r="G156" s="83" t="s">
        <v>8</v>
      </c>
      <c r="H156" s="83"/>
      <c r="I156" s="83"/>
    </row>
    <row r="157" spans="1:15" x14ac:dyDescent="0.3">
      <c r="A157" s="82">
        <v>46011</v>
      </c>
      <c r="B157" s="104">
        <v>2</v>
      </c>
      <c r="C157" s="104" t="s">
        <v>716</v>
      </c>
      <c r="D157" s="104" t="s">
        <v>103</v>
      </c>
      <c r="E157" s="105">
        <v>477</v>
      </c>
      <c r="F157" s="105">
        <f t="shared" si="4"/>
        <v>954</v>
      </c>
      <c r="G157" s="104" t="s">
        <v>37</v>
      </c>
      <c r="H157" s="104"/>
      <c r="I157" s="104" t="s">
        <v>634</v>
      </c>
    </row>
    <row r="158" spans="1:15" x14ac:dyDescent="0.3">
      <c r="A158" s="82">
        <v>46011</v>
      </c>
      <c r="B158" s="104">
        <v>2</v>
      </c>
      <c r="C158" s="104" t="s">
        <v>908</v>
      </c>
      <c r="D158" s="104" t="s">
        <v>103</v>
      </c>
      <c r="E158" s="105">
        <v>549</v>
      </c>
      <c r="F158" s="105">
        <f t="shared" si="4"/>
        <v>1098</v>
      </c>
      <c r="G158" s="104" t="s">
        <v>37</v>
      </c>
      <c r="H158" s="104"/>
      <c r="I158" s="104" t="s">
        <v>634</v>
      </c>
    </row>
    <row r="159" spans="1:15" x14ac:dyDescent="0.3">
      <c r="A159" s="82">
        <v>46011</v>
      </c>
      <c r="B159" s="104">
        <v>2</v>
      </c>
      <c r="C159" s="104" t="s">
        <v>908</v>
      </c>
      <c r="D159" s="104" t="s">
        <v>444</v>
      </c>
      <c r="E159" s="105">
        <v>549</v>
      </c>
      <c r="F159" s="105">
        <f t="shared" ref="F159:F165" si="7">E159*B159</f>
        <v>1098</v>
      </c>
      <c r="G159" s="104" t="s">
        <v>915</v>
      </c>
      <c r="H159" s="104"/>
      <c r="I159" s="104" t="s">
        <v>634</v>
      </c>
    </row>
    <row r="160" spans="1:15" x14ac:dyDescent="0.3">
      <c r="A160" s="90">
        <v>46011</v>
      </c>
      <c r="B160" s="91">
        <v>2</v>
      </c>
      <c r="C160" s="91" t="s">
        <v>896</v>
      </c>
      <c r="D160" s="91" t="s">
        <v>444</v>
      </c>
      <c r="E160" s="92">
        <v>629</v>
      </c>
      <c r="F160" s="92">
        <f t="shared" si="7"/>
        <v>1258</v>
      </c>
      <c r="G160" s="91" t="s">
        <v>24</v>
      </c>
      <c r="H160" s="91"/>
      <c r="I160" s="91"/>
    </row>
    <row r="161" spans="1:12" x14ac:dyDescent="0.3">
      <c r="A161" s="90">
        <v>46011</v>
      </c>
      <c r="B161" s="91">
        <v>2</v>
      </c>
      <c r="C161" s="91" t="s">
        <v>897</v>
      </c>
      <c r="D161" s="91" t="s">
        <v>444</v>
      </c>
      <c r="E161" s="92">
        <v>477</v>
      </c>
      <c r="F161" s="92">
        <f t="shared" si="7"/>
        <v>954</v>
      </c>
      <c r="G161" s="91" t="s">
        <v>24</v>
      </c>
      <c r="H161" s="91"/>
      <c r="I161" s="91"/>
    </row>
    <row r="162" spans="1:12" x14ac:dyDescent="0.3">
      <c r="A162" s="82">
        <v>46011</v>
      </c>
      <c r="B162" s="104">
        <v>5</v>
      </c>
      <c r="C162" s="104" t="s">
        <v>908</v>
      </c>
      <c r="D162" s="104" t="s">
        <v>103</v>
      </c>
      <c r="E162" s="105">
        <v>549</v>
      </c>
      <c r="F162" s="105">
        <f t="shared" si="7"/>
        <v>2745</v>
      </c>
      <c r="G162" s="104" t="s">
        <v>915</v>
      </c>
      <c r="H162" s="104"/>
      <c r="I162" s="104" t="s">
        <v>634</v>
      </c>
    </row>
    <row r="163" spans="1:12" x14ac:dyDescent="0.3">
      <c r="A163" s="90">
        <v>46011</v>
      </c>
      <c r="B163" s="91">
        <v>2</v>
      </c>
      <c r="C163" s="91" t="s">
        <v>897</v>
      </c>
      <c r="D163" s="91" t="s">
        <v>909</v>
      </c>
      <c r="E163" s="92">
        <v>477</v>
      </c>
      <c r="F163" s="92">
        <f t="shared" si="7"/>
        <v>954</v>
      </c>
      <c r="G163" s="91" t="s">
        <v>24</v>
      </c>
      <c r="H163" s="91"/>
      <c r="I163" s="91"/>
    </row>
    <row r="164" spans="1:12" x14ac:dyDescent="0.3">
      <c r="A164" s="82">
        <v>46011</v>
      </c>
      <c r="B164" s="83">
        <v>3</v>
      </c>
      <c r="C164" s="83" t="s">
        <v>908</v>
      </c>
      <c r="D164" s="83" t="s">
        <v>916</v>
      </c>
      <c r="E164" s="86">
        <v>549</v>
      </c>
      <c r="F164" s="86">
        <f t="shared" si="7"/>
        <v>1647</v>
      </c>
      <c r="G164" s="83" t="s">
        <v>914</v>
      </c>
      <c r="H164" s="83"/>
      <c r="I164" s="83"/>
    </row>
    <row r="165" spans="1:12" x14ac:dyDescent="0.3">
      <c r="A165" s="82">
        <v>46011</v>
      </c>
      <c r="B165" s="83">
        <v>2</v>
      </c>
      <c r="C165" s="83" t="s">
        <v>897</v>
      </c>
      <c r="D165" s="83" t="s">
        <v>916</v>
      </c>
      <c r="E165" s="86">
        <v>477</v>
      </c>
      <c r="F165" s="86">
        <f t="shared" si="7"/>
        <v>954</v>
      </c>
      <c r="G165" s="83" t="s">
        <v>914</v>
      </c>
      <c r="H165" s="83"/>
      <c r="I165" s="83"/>
    </row>
    <row r="166" spans="1:12" x14ac:dyDescent="0.3">
      <c r="A166" s="82">
        <v>46011</v>
      </c>
      <c r="B166" s="83">
        <v>3</v>
      </c>
      <c r="C166" s="83" t="s">
        <v>908</v>
      </c>
      <c r="D166" s="83" t="s">
        <v>103</v>
      </c>
      <c r="E166" s="86">
        <v>549</v>
      </c>
      <c r="F166" s="86">
        <f>B166*E166</f>
        <v>1647</v>
      </c>
      <c r="G166" s="83" t="s">
        <v>8</v>
      </c>
      <c r="H166" s="83"/>
      <c r="I166" s="83"/>
    </row>
    <row r="167" spans="1:12" x14ac:dyDescent="0.3">
      <c r="A167" s="82">
        <v>46011</v>
      </c>
      <c r="B167" s="83">
        <v>3</v>
      </c>
      <c r="C167" s="83" t="s">
        <v>897</v>
      </c>
      <c r="D167" s="83" t="s">
        <v>103</v>
      </c>
      <c r="E167" s="86">
        <v>477</v>
      </c>
      <c r="F167" s="86">
        <f t="shared" ref="F167:F168" si="8">B167*E167</f>
        <v>1431</v>
      </c>
      <c r="G167" s="83" t="s">
        <v>8</v>
      </c>
      <c r="H167" s="83"/>
      <c r="I167" s="83"/>
    </row>
    <row r="168" spans="1:12" x14ac:dyDescent="0.3">
      <c r="A168" s="82">
        <v>46011</v>
      </c>
      <c r="B168" s="83">
        <v>9</v>
      </c>
      <c r="C168" s="83" t="s">
        <v>896</v>
      </c>
      <c r="D168" s="83" t="s">
        <v>103</v>
      </c>
      <c r="E168" s="86">
        <v>629</v>
      </c>
      <c r="F168" s="86">
        <f t="shared" si="8"/>
        <v>5661</v>
      </c>
      <c r="G168" s="83" t="s">
        <v>8</v>
      </c>
      <c r="H168" s="83"/>
      <c r="I168" s="83"/>
      <c r="L168" s="2"/>
    </row>
    <row r="169" spans="1:12" x14ac:dyDescent="0.3">
      <c r="A169" s="82">
        <v>46011</v>
      </c>
      <c r="B169" s="83">
        <v>4</v>
      </c>
      <c r="C169" s="83" t="s">
        <v>908</v>
      </c>
      <c r="D169" s="83" t="s">
        <v>444</v>
      </c>
      <c r="E169" s="86">
        <v>549</v>
      </c>
      <c r="F169" s="86">
        <v>2196</v>
      </c>
      <c r="G169" s="83" t="s">
        <v>8</v>
      </c>
      <c r="H169" s="83"/>
      <c r="I169" s="83"/>
      <c r="L169" s="2"/>
    </row>
    <row r="170" spans="1:12" x14ac:dyDescent="0.3">
      <c r="A170" s="82">
        <v>46011</v>
      </c>
      <c r="B170" s="83">
        <v>2</v>
      </c>
      <c r="C170" s="83" t="s">
        <v>897</v>
      </c>
      <c r="D170" s="83" t="s">
        <v>444</v>
      </c>
      <c r="E170" s="86">
        <v>477</v>
      </c>
      <c r="F170" s="86">
        <v>954</v>
      </c>
      <c r="G170" s="83" t="s">
        <v>8</v>
      </c>
      <c r="H170" s="83"/>
      <c r="I170" s="83"/>
      <c r="L170" s="2"/>
    </row>
    <row r="171" spans="1:12" x14ac:dyDescent="0.3">
      <c r="A171" s="82">
        <v>46011</v>
      </c>
      <c r="B171" s="83">
        <v>2</v>
      </c>
      <c r="C171" s="83" t="s">
        <v>897</v>
      </c>
      <c r="D171" s="83" t="s">
        <v>230</v>
      </c>
      <c r="E171" s="86">
        <v>454</v>
      </c>
      <c r="F171" s="86">
        <f>B171*E171</f>
        <v>908</v>
      </c>
      <c r="G171" s="83" t="s">
        <v>8</v>
      </c>
      <c r="H171" s="83"/>
      <c r="I171" s="83"/>
    </row>
    <row r="172" spans="1:12" x14ac:dyDescent="0.3">
      <c r="A172" s="82">
        <v>46011</v>
      </c>
      <c r="B172" s="83">
        <v>2</v>
      </c>
      <c r="C172" s="83" t="s">
        <v>697</v>
      </c>
      <c r="D172" s="83" t="s">
        <v>230</v>
      </c>
      <c r="E172" s="86">
        <v>125</v>
      </c>
      <c r="F172" s="86">
        <f>B172*E172</f>
        <v>250</v>
      </c>
      <c r="G172" s="83" t="s">
        <v>8</v>
      </c>
      <c r="H172" s="83"/>
      <c r="I172" s="83"/>
    </row>
    <row r="173" spans="1:12" x14ac:dyDescent="0.3">
      <c r="A173" s="82">
        <v>46011</v>
      </c>
      <c r="B173" s="83">
        <v>7</v>
      </c>
      <c r="C173" s="83" t="s">
        <v>908</v>
      </c>
      <c r="D173" s="83" t="s">
        <v>909</v>
      </c>
      <c r="E173" s="86">
        <v>549</v>
      </c>
      <c r="F173" s="86">
        <f>B173*E173</f>
        <v>3843</v>
      </c>
      <c r="G173" s="83" t="s">
        <v>8</v>
      </c>
      <c r="H173" s="83"/>
      <c r="I173" s="83"/>
    </row>
    <row r="174" spans="1:12" x14ac:dyDescent="0.3">
      <c r="A174" s="82">
        <v>46011</v>
      </c>
      <c r="B174" s="83">
        <v>10</v>
      </c>
      <c r="C174" s="83" t="s">
        <v>897</v>
      </c>
      <c r="D174" s="83" t="s">
        <v>909</v>
      </c>
      <c r="E174" s="86">
        <v>477</v>
      </c>
      <c r="F174" s="86">
        <f t="shared" ref="F174:F182" si="9">B174*E174</f>
        <v>4770</v>
      </c>
      <c r="G174" s="83" t="s">
        <v>8</v>
      </c>
      <c r="H174" s="83"/>
      <c r="I174" s="83"/>
    </row>
    <row r="175" spans="1:12" x14ac:dyDescent="0.3">
      <c r="A175" s="82">
        <v>46011</v>
      </c>
      <c r="B175" s="83">
        <v>5</v>
      </c>
      <c r="C175" s="83" t="s">
        <v>896</v>
      </c>
      <c r="D175" s="83" t="s">
        <v>909</v>
      </c>
      <c r="E175" s="86">
        <v>629</v>
      </c>
      <c r="F175" s="86">
        <f t="shared" si="9"/>
        <v>3145</v>
      </c>
      <c r="G175" s="83" t="s">
        <v>8</v>
      </c>
      <c r="H175" s="83"/>
      <c r="I175" s="83"/>
    </row>
    <row r="176" spans="1:12" x14ac:dyDescent="0.3">
      <c r="A176" s="82">
        <v>46011</v>
      </c>
      <c r="B176" s="83">
        <v>2</v>
      </c>
      <c r="C176" s="83" t="s">
        <v>910</v>
      </c>
      <c r="D176" s="83" t="s">
        <v>909</v>
      </c>
      <c r="E176" s="86">
        <v>477</v>
      </c>
      <c r="F176" s="86">
        <f t="shared" si="9"/>
        <v>954</v>
      </c>
      <c r="G176" s="83" t="s">
        <v>8</v>
      </c>
      <c r="H176" s="83"/>
      <c r="I176" s="83"/>
    </row>
    <row r="177" spans="1:10" x14ac:dyDescent="0.3">
      <c r="A177" s="82">
        <v>46011</v>
      </c>
      <c r="B177" s="83">
        <v>4</v>
      </c>
      <c r="C177" s="83" t="s">
        <v>897</v>
      </c>
      <c r="D177" s="83" t="s">
        <v>491</v>
      </c>
      <c r="E177" s="86">
        <v>477</v>
      </c>
      <c r="F177" s="86">
        <f t="shared" si="9"/>
        <v>1908</v>
      </c>
      <c r="G177" s="83" t="s">
        <v>8</v>
      </c>
      <c r="H177" s="83"/>
      <c r="I177" s="83"/>
    </row>
    <row r="178" spans="1:10" x14ac:dyDescent="0.3">
      <c r="A178" s="82">
        <v>46011</v>
      </c>
      <c r="B178" s="83">
        <v>22</v>
      </c>
      <c r="C178" s="83" t="s">
        <v>664</v>
      </c>
      <c r="D178" s="83" t="s">
        <v>911</v>
      </c>
      <c r="E178" s="86">
        <v>399</v>
      </c>
      <c r="F178" s="86">
        <f t="shared" si="9"/>
        <v>8778</v>
      </c>
      <c r="G178" s="83" t="s">
        <v>912</v>
      </c>
      <c r="H178" s="83"/>
      <c r="I178" s="83"/>
    </row>
    <row r="179" spans="1:10" x14ac:dyDescent="0.3">
      <c r="A179" s="82">
        <v>46011</v>
      </c>
      <c r="B179" s="83">
        <v>3</v>
      </c>
      <c r="C179" s="83" t="s">
        <v>896</v>
      </c>
      <c r="D179" s="83" t="s">
        <v>911</v>
      </c>
      <c r="E179" s="86">
        <v>629</v>
      </c>
      <c r="F179" s="86">
        <f t="shared" si="9"/>
        <v>1887</v>
      </c>
      <c r="G179" s="83" t="s">
        <v>912</v>
      </c>
      <c r="H179" s="83"/>
      <c r="I179" s="83" t="s">
        <v>913</v>
      </c>
    </row>
    <row r="180" spans="1:10" x14ac:dyDescent="0.3">
      <c r="A180" s="82">
        <v>46011</v>
      </c>
      <c r="B180" s="83">
        <v>2</v>
      </c>
      <c r="C180" s="83" t="s">
        <v>897</v>
      </c>
      <c r="D180" s="83" t="s">
        <v>911</v>
      </c>
      <c r="E180" s="86">
        <v>477</v>
      </c>
      <c r="F180" s="86">
        <f t="shared" si="9"/>
        <v>954</v>
      </c>
      <c r="G180" s="83" t="s">
        <v>912</v>
      </c>
      <c r="H180" s="83"/>
      <c r="I180" s="83" t="s">
        <v>913</v>
      </c>
    </row>
    <row r="181" spans="1:10" x14ac:dyDescent="0.3">
      <c r="A181" s="110">
        <v>46012</v>
      </c>
      <c r="B181" s="104">
        <v>2</v>
      </c>
      <c r="C181" s="104" t="s">
        <v>897</v>
      </c>
      <c r="D181" s="104" t="s">
        <v>916</v>
      </c>
      <c r="E181" s="105">
        <v>477</v>
      </c>
      <c r="F181" s="105">
        <f t="shared" si="9"/>
        <v>954</v>
      </c>
      <c r="G181" s="104" t="s">
        <v>921</v>
      </c>
      <c r="H181" s="104"/>
      <c r="I181" s="104" t="s">
        <v>920</v>
      </c>
    </row>
    <row r="182" spans="1:10" x14ac:dyDescent="0.3">
      <c r="A182" s="82">
        <v>46012</v>
      </c>
      <c r="B182" s="83">
        <v>2</v>
      </c>
      <c r="C182" s="83" t="s">
        <v>896</v>
      </c>
      <c r="D182" s="83" t="s">
        <v>916</v>
      </c>
      <c r="E182" s="86">
        <v>629</v>
      </c>
      <c r="F182" s="86">
        <f t="shared" si="9"/>
        <v>1258</v>
      </c>
      <c r="G182" s="83" t="s">
        <v>914</v>
      </c>
      <c r="H182" s="83"/>
      <c r="I182" s="83"/>
    </row>
    <row r="183" spans="1:10" x14ac:dyDescent="0.3">
      <c r="A183" s="90">
        <v>46012</v>
      </c>
      <c r="B183" s="91">
        <v>2</v>
      </c>
      <c r="C183" s="91" t="s">
        <v>897</v>
      </c>
      <c r="D183" s="91" t="s">
        <v>884</v>
      </c>
      <c r="E183" s="92">
        <v>477</v>
      </c>
      <c r="F183" s="92">
        <f t="shared" ref="F183:F184" si="10">B183*E183</f>
        <v>954</v>
      </c>
      <c r="G183" s="91" t="s">
        <v>24</v>
      </c>
      <c r="H183" s="91"/>
      <c r="I183" s="91"/>
    </row>
    <row r="184" spans="1:10" x14ac:dyDescent="0.3">
      <c r="A184" s="90">
        <v>46012</v>
      </c>
      <c r="B184" s="91">
        <v>2</v>
      </c>
      <c r="C184" s="91" t="s">
        <v>897</v>
      </c>
      <c r="D184" s="91" t="s">
        <v>884</v>
      </c>
      <c r="E184" s="92">
        <v>629</v>
      </c>
      <c r="F184" s="92">
        <f t="shared" si="10"/>
        <v>1258</v>
      </c>
      <c r="G184" s="91" t="s">
        <v>24</v>
      </c>
      <c r="H184" s="91"/>
      <c r="I184" s="91"/>
    </row>
    <row r="185" spans="1:10" x14ac:dyDescent="0.3">
      <c r="A185" s="90">
        <v>46012</v>
      </c>
      <c r="B185" s="91">
        <v>2</v>
      </c>
      <c r="C185" s="91" t="s">
        <v>897</v>
      </c>
      <c r="D185" s="91" t="s">
        <v>887</v>
      </c>
      <c r="E185" s="92">
        <v>477</v>
      </c>
      <c r="F185" s="92">
        <v>954</v>
      </c>
      <c r="G185" s="91" t="s">
        <v>892</v>
      </c>
      <c r="H185" s="91"/>
      <c r="I185" s="91"/>
      <c r="J185">
        <v>5693</v>
      </c>
    </row>
    <row r="186" spans="1:10" x14ac:dyDescent="0.3">
      <c r="A186" s="106">
        <v>46012</v>
      </c>
      <c r="B186" s="107">
        <v>2</v>
      </c>
      <c r="C186" s="107" t="s">
        <v>897</v>
      </c>
      <c r="D186" s="107" t="s">
        <v>917</v>
      </c>
      <c r="E186" s="108">
        <v>477</v>
      </c>
      <c r="F186" s="108">
        <v>954</v>
      </c>
      <c r="G186" s="91" t="s">
        <v>24</v>
      </c>
      <c r="H186" s="107"/>
      <c r="I186" s="107"/>
    </row>
    <row r="187" spans="1:10" x14ac:dyDescent="0.3">
      <c r="A187" s="90">
        <v>46012</v>
      </c>
      <c r="B187" s="91">
        <v>2</v>
      </c>
      <c r="C187" s="91" t="s">
        <v>897</v>
      </c>
      <c r="D187" s="91" t="s">
        <v>917</v>
      </c>
      <c r="E187" s="92">
        <v>477</v>
      </c>
      <c r="F187" s="92">
        <v>954</v>
      </c>
      <c r="G187" s="91" t="s">
        <v>24</v>
      </c>
      <c r="H187" s="91"/>
      <c r="I187" s="91"/>
    </row>
    <row r="188" spans="1:10" x14ac:dyDescent="0.3">
      <c r="A188" s="90">
        <v>46012</v>
      </c>
      <c r="B188" s="91">
        <v>2</v>
      </c>
      <c r="C188" s="91" t="s">
        <v>897</v>
      </c>
      <c r="D188" s="91" t="s">
        <v>444</v>
      </c>
      <c r="E188" s="92">
        <v>477</v>
      </c>
      <c r="F188" s="92">
        <v>954</v>
      </c>
      <c r="G188" s="91" t="s">
        <v>24</v>
      </c>
      <c r="H188" s="91"/>
      <c r="I188" s="91"/>
    </row>
    <row r="189" spans="1:10" x14ac:dyDescent="0.3">
      <c r="A189" s="90">
        <v>46012</v>
      </c>
      <c r="B189" s="91">
        <v>2</v>
      </c>
      <c r="C189" s="91" t="s">
        <v>896</v>
      </c>
      <c r="D189" s="91" t="s">
        <v>444</v>
      </c>
      <c r="E189" s="92">
        <v>629</v>
      </c>
      <c r="F189" s="92">
        <v>1258</v>
      </c>
      <c r="G189" s="91" t="s">
        <v>24</v>
      </c>
      <c r="H189" s="91"/>
      <c r="I189" s="91"/>
    </row>
    <row r="190" spans="1:10" x14ac:dyDescent="0.3">
      <c r="A190" s="103">
        <v>46012</v>
      </c>
      <c r="B190" s="16">
        <v>2</v>
      </c>
      <c r="C190" s="10" t="s">
        <v>897</v>
      </c>
      <c r="D190" s="16" t="s">
        <v>916</v>
      </c>
      <c r="E190" s="70">
        <v>477</v>
      </c>
      <c r="F190" s="70">
        <v>954</v>
      </c>
      <c r="G190" s="16" t="s">
        <v>892</v>
      </c>
      <c r="H190" s="10"/>
      <c r="I190" s="10"/>
    </row>
    <row r="191" spans="1:10" x14ac:dyDescent="0.3">
      <c r="A191" s="90">
        <v>46012</v>
      </c>
      <c r="B191" s="91">
        <v>2</v>
      </c>
      <c r="C191" s="91" t="s">
        <v>897</v>
      </c>
      <c r="D191" s="91" t="s">
        <v>887</v>
      </c>
      <c r="E191" s="92">
        <v>477</v>
      </c>
      <c r="F191" s="92">
        <v>954</v>
      </c>
      <c r="G191" s="109" t="s">
        <v>892</v>
      </c>
      <c r="H191" s="91"/>
      <c r="I191" s="91"/>
      <c r="J191">
        <v>5816</v>
      </c>
    </row>
    <row r="192" spans="1:10" x14ac:dyDescent="0.3">
      <c r="A192" s="82">
        <v>46012</v>
      </c>
      <c r="B192" s="83">
        <v>2</v>
      </c>
      <c r="C192" s="83" t="s">
        <v>897</v>
      </c>
      <c r="D192" s="83" t="s">
        <v>918</v>
      </c>
      <c r="E192" s="86">
        <v>477</v>
      </c>
      <c r="F192" s="86">
        <v>954</v>
      </c>
      <c r="G192" s="83" t="s">
        <v>914</v>
      </c>
      <c r="H192" s="83"/>
      <c r="I192" s="83"/>
    </row>
    <row r="193" spans="1:9" x14ac:dyDescent="0.3">
      <c r="A193" s="82">
        <v>46012</v>
      </c>
      <c r="B193" s="83">
        <v>2</v>
      </c>
      <c r="C193" s="83" t="s">
        <v>897</v>
      </c>
      <c r="D193" s="83" t="s">
        <v>918</v>
      </c>
      <c r="E193" s="86">
        <v>477</v>
      </c>
      <c r="F193" s="86">
        <v>954</v>
      </c>
      <c r="G193" s="83" t="s">
        <v>914</v>
      </c>
      <c r="H193" s="83"/>
      <c r="I193" s="83"/>
    </row>
    <row r="194" spans="1:9" x14ac:dyDescent="0.3">
      <c r="A194" s="82">
        <v>46012</v>
      </c>
      <c r="B194" s="83">
        <v>2</v>
      </c>
      <c r="C194" s="83" t="s">
        <v>897</v>
      </c>
      <c r="D194" s="83" t="s">
        <v>919</v>
      </c>
      <c r="E194" s="86">
        <v>477</v>
      </c>
      <c r="F194" s="86">
        <v>954</v>
      </c>
      <c r="G194" s="83" t="s">
        <v>914</v>
      </c>
      <c r="H194" s="83"/>
      <c r="I194" s="83"/>
    </row>
    <row r="195" spans="1:9" x14ac:dyDescent="0.3">
      <c r="A195" s="82">
        <v>46012</v>
      </c>
      <c r="B195" s="83">
        <v>2</v>
      </c>
      <c r="C195" s="83" t="s">
        <v>897</v>
      </c>
      <c r="D195" s="83" t="s">
        <v>919</v>
      </c>
      <c r="E195" s="86">
        <v>477</v>
      </c>
      <c r="F195" s="86">
        <v>954</v>
      </c>
      <c r="G195" s="83" t="s">
        <v>914</v>
      </c>
      <c r="H195" s="83"/>
      <c r="I195" s="83"/>
    </row>
    <row r="196" spans="1:9" x14ac:dyDescent="0.3">
      <c r="A196" s="82">
        <v>46012</v>
      </c>
      <c r="B196" s="83">
        <v>2</v>
      </c>
      <c r="C196" s="83" t="s">
        <v>897</v>
      </c>
      <c r="D196" s="83" t="s">
        <v>918</v>
      </c>
      <c r="E196" s="86">
        <v>477</v>
      </c>
      <c r="F196" s="86">
        <v>954</v>
      </c>
      <c r="G196" s="83" t="s">
        <v>914</v>
      </c>
      <c r="H196" s="83"/>
      <c r="I196" s="83"/>
    </row>
    <row r="197" spans="1:9" x14ac:dyDescent="0.3">
      <c r="A197" s="82">
        <v>46012</v>
      </c>
      <c r="B197" s="83">
        <v>2</v>
      </c>
      <c r="C197" s="83" t="s">
        <v>897</v>
      </c>
      <c r="D197" s="83" t="s">
        <v>918</v>
      </c>
      <c r="E197" s="86">
        <v>477</v>
      </c>
      <c r="F197" s="86">
        <f>B197*E197</f>
        <v>954</v>
      </c>
      <c r="G197" s="83" t="s">
        <v>914</v>
      </c>
      <c r="H197" s="83"/>
      <c r="I197" s="83"/>
    </row>
    <row r="198" spans="1:9" x14ac:dyDescent="0.3">
      <c r="A198" s="82">
        <v>46012</v>
      </c>
      <c r="B198" s="83">
        <v>2</v>
      </c>
      <c r="C198" s="83" t="s">
        <v>896</v>
      </c>
      <c r="D198" s="83" t="s">
        <v>918</v>
      </c>
      <c r="E198" s="86">
        <v>629</v>
      </c>
      <c r="F198" s="86">
        <f>B198*E198</f>
        <v>1258</v>
      </c>
      <c r="G198" s="83" t="s">
        <v>914</v>
      </c>
      <c r="H198" s="83"/>
      <c r="I198" s="83"/>
    </row>
    <row r="199" spans="1:9" x14ac:dyDescent="0.3">
      <c r="A199" s="82">
        <v>46012</v>
      </c>
      <c r="B199" s="83">
        <v>2</v>
      </c>
      <c r="C199" s="83" t="s">
        <v>910</v>
      </c>
      <c r="D199" s="83" t="s">
        <v>918</v>
      </c>
      <c r="E199" s="86">
        <v>477</v>
      </c>
      <c r="F199" s="86">
        <f t="shared" ref="F199" si="11">B199*E199</f>
        <v>954</v>
      </c>
      <c r="G199" s="83" t="s">
        <v>914</v>
      </c>
      <c r="H199" s="83"/>
      <c r="I199" s="83"/>
    </row>
    <row r="200" spans="1:9" x14ac:dyDescent="0.3">
      <c r="A200" s="82">
        <v>46012</v>
      </c>
      <c r="B200" s="83">
        <v>4</v>
      </c>
      <c r="C200" s="83" t="s">
        <v>896</v>
      </c>
      <c r="D200" s="83" t="s">
        <v>916</v>
      </c>
      <c r="E200" s="86">
        <v>629</v>
      </c>
      <c r="F200" s="86">
        <v>2516</v>
      </c>
      <c r="G200" s="83" t="s">
        <v>914</v>
      </c>
      <c r="H200" s="83"/>
      <c r="I200" s="83"/>
    </row>
    <row r="201" spans="1:9" x14ac:dyDescent="0.3">
      <c r="A201" s="82">
        <v>46012</v>
      </c>
      <c r="B201" s="83">
        <v>2</v>
      </c>
      <c r="C201" s="83" t="s">
        <v>897</v>
      </c>
      <c r="D201" s="83" t="s">
        <v>922</v>
      </c>
      <c r="E201" s="86">
        <v>477</v>
      </c>
      <c r="F201" s="86">
        <v>954</v>
      </c>
      <c r="G201" s="83" t="s">
        <v>914</v>
      </c>
      <c r="H201" s="83"/>
      <c r="I201" s="83"/>
    </row>
    <row r="202" spans="1:9" x14ac:dyDescent="0.3">
      <c r="A202" s="82">
        <v>46012</v>
      </c>
      <c r="B202" s="83">
        <v>3</v>
      </c>
      <c r="C202" s="83" t="s">
        <v>897</v>
      </c>
      <c r="D202" s="83" t="s">
        <v>919</v>
      </c>
      <c r="E202" s="86">
        <v>477</v>
      </c>
      <c r="F202" s="86">
        <v>1431</v>
      </c>
      <c r="G202" s="83" t="s">
        <v>914</v>
      </c>
      <c r="H202" s="83"/>
      <c r="I202" s="83"/>
    </row>
    <row r="203" spans="1:9" x14ac:dyDescent="0.3">
      <c r="A203" s="82">
        <v>46012</v>
      </c>
      <c r="B203" s="83">
        <v>2</v>
      </c>
      <c r="C203" s="83" t="s">
        <v>896</v>
      </c>
      <c r="D203" s="83" t="s">
        <v>919</v>
      </c>
      <c r="E203" s="86">
        <v>629</v>
      </c>
      <c r="F203" s="86">
        <v>1258</v>
      </c>
      <c r="G203" s="83" t="s">
        <v>914</v>
      </c>
      <c r="H203" s="83"/>
      <c r="I203" s="83"/>
    </row>
    <row r="204" spans="1:9" x14ac:dyDescent="0.3">
      <c r="A204" s="82">
        <v>46012</v>
      </c>
      <c r="B204" s="83">
        <v>2</v>
      </c>
      <c r="C204" s="83" t="s">
        <v>897</v>
      </c>
      <c r="D204" s="83" t="s">
        <v>923</v>
      </c>
      <c r="E204" s="86">
        <v>477</v>
      </c>
      <c r="F204" s="86">
        <v>958</v>
      </c>
      <c r="G204" s="83" t="s">
        <v>914</v>
      </c>
      <c r="H204" s="83"/>
      <c r="I204" s="83"/>
    </row>
  </sheetData>
  <autoFilter ref="A1:O204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3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3">
      <c r="A2" s="78">
        <v>45992</v>
      </c>
      <c r="B2" s="81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3">
      <c r="A3" s="78">
        <v>45993</v>
      </c>
      <c r="B3" s="81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3">
      <c r="A4" s="78">
        <v>45993</v>
      </c>
      <c r="B4" s="81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3">
      <c r="A5" s="78">
        <v>45995</v>
      </c>
      <c r="B5" s="81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3">
      <c r="A6" s="78">
        <v>45993</v>
      </c>
      <c r="B6" s="81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3">
      <c r="A7" s="78">
        <v>45993</v>
      </c>
      <c r="B7" s="81">
        <v>399</v>
      </c>
      <c r="D7" t="s">
        <v>811</v>
      </c>
      <c r="M7">
        <f>SUM(M2:M6)</f>
        <v>28730</v>
      </c>
      <c r="O7" s="51">
        <v>150</v>
      </c>
    </row>
    <row r="8" spans="1:16" x14ac:dyDescent="0.3">
      <c r="A8" s="78">
        <v>45994</v>
      </c>
      <c r="B8" s="81">
        <v>399</v>
      </c>
      <c r="D8" t="s">
        <v>811</v>
      </c>
      <c r="O8" t="s">
        <v>852</v>
      </c>
      <c r="P8" t="s">
        <v>853</v>
      </c>
    </row>
    <row r="9" spans="1:16" x14ac:dyDescent="0.3">
      <c r="A9" s="78">
        <v>45994</v>
      </c>
      <c r="B9" s="81">
        <v>399</v>
      </c>
      <c r="D9" t="s">
        <v>811</v>
      </c>
    </row>
    <row r="10" spans="1:16" x14ac:dyDescent="0.3">
      <c r="A10" s="78">
        <v>45994</v>
      </c>
      <c r="B10" s="81">
        <v>399</v>
      </c>
      <c r="D10" t="s">
        <v>811</v>
      </c>
    </row>
    <row r="11" spans="1:16" x14ac:dyDescent="0.3">
      <c r="A11" s="78">
        <v>45994</v>
      </c>
      <c r="B11" s="81">
        <v>398</v>
      </c>
      <c r="D11" t="s">
        <v>302</v>
      </c>
    </row>
    <row r="12" spans="1:16" x14ac:dyDescent="0.3">
      <c r="A12" s="78">
        <v>45994</v>
      </c>
      <c r="B12" s="81">
        <v>398</v>
      </c>
      <c r="D12" s="11" t="s">
        <v>810</v>
      </c>
      <c r="L12" s="80">
        <f>H4-M7</f>
        <v>16887</v>
      </c>
    </row>
    <row r="13" spans="1:16" x14ac:dyDescent="0.3">
      <c r="A13" s="78">
        <v>45995</v>
      </c>
      <c r="B13" s="81">
        <v>796</v>
      </c>
      <c r="D13" s="11" t="s">
        <v>810</v>
      </c>
    </row>
    <row r="14" spans="1:16" x14ac:dyDescent="0.3">
      <c r="A14" s="78">
        <v>45995</v>
      </c>
      <c r="B14" s="81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3">
      <c r="A15" s="78">
        <v>45996</v>
      </c>
      <c r="B15" s="81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3">
      <c r="A16" s="78">
        <v>45996</v>
      </c>
      <c r="B16" s="81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3">
      <c r="A17" s="78">
        <v>45999</v>
      </c>
      <c r="B17" s="81">
        <v>299</v>
      </c>
      <c r="D17" s="11" t="s">
        <v>811</v>
      </c>
      <c r="O17">
        <f>SUM(O14:O16)</f>
        <v>14888</v>
      </c>
    </row>
    <row r="18" spans="1:15" x14ac:dyDescent="0.3">
      <c r="A18" s="78">
        <v>45999</v>
      </c>
      <c r="B18" s="81">
        <v>398</v>
      </c>
      <c r="D18" s="11" t="s">
        <v>674</v>
      </c>
      <c r="G18" t="s">
        <v>845</v>
      </c>
    </row>
    <row r="19" spans="1:15" x14ac:dyDescent="0.3">
      <c r="A19" s="78">
        <v>45999</v>
      </c>
      <c r="B19" s="81">
        <v>399</v>
      </c>
      <c r="D19" s="11" t="s">
        <v>811</v>
      </c>
    </row>
    <row r="20" spans="1:15" x14ac:dyDescent="0.3">
      <c r="A20" s="78">
        <v>45999</v>
      </c>
      <c r="B20" s="81">
        <v>399</v>
      </c>
      <c r="D20" s="11" t="s">
        <v>811</v>
      </c>
    </row>
    <row r="21" spans="1:15" x14ac:dyDescent="0.3">
      <c r="A21" s="78">
        <v>45999</v>
      </c>
      <c r="B21" s="81">
        <v>399</v>
      </c>
      <c r="D21" s="11" t="s">
        <v>811</v>
      </c>
    </row>
    <row r="22" spans="1:15" x14ac:dyDescent="0.3">
      <c r="A22" s="78">
        <v>45999</v>
      </c>
      <c r="B22" s="81">
        <v>399</v>
      </c>
      <c r="D22" s="11" t="s">
        <v>811</v>
      </c>
    </row>
    <row r="23" spans="1:15" x14ac:dyDescent="0.3">
      <c r="A23" s="78">
        <v>45999</v>
      </c>
      <c r="B23" s="81">
        <v>796</v>
      </c>
      <c r="D23" s="11" t="s">
        <v>846</v>
      </c>
    </row>
    <row r="24" spans="1:15" x14ac:dyDescent="0.3">
      <c r="A24" s="78">
        <v>45999</v>
      </c>
      <c r="B24" s="81">
        <v>3980</v>
      </c>
      <c r="D24" s="11" t="s">
        <v>302</v>
      </c>
    </row>
    <row r="25" spans="1:15" x14ac:dyDescent="0.3">
      <c r="A25" s="78">
        <v>46000</v>
      </c>
      <c r="B25" s="81">
        <v>299</v>
      </c>
      <c r="D25" s="11" t="s">
        <v>811</v>
      </c>
    </row>
    <row r="26" spans="1:15" x14ac:dyDescent="0.3">
      <c r="A26" s="78">
        <v>46000</v>
      </c>
      <c r="B26" s="81">
        <v>394</v>
      </c>
      <c r="D26" s="11" t="s">
        <v>811</v>
      </c>
    </row>
    <row r="27" spans="1:15" x14ac:dyDescent="0.3">
      <c r="A27" s="78">
        <v>46000</v>
      </c>
      <c r="B27" s="81">
        <v>399</v>
      </c>
      <c r="D27" s="11" t="s">
        <v>811</v>
      </c>
    </row>
    <row r="28" spans="1:15" x14ac:dyDescent="0.3">
      <c r="A28" s="78">
        <v>46000</v>
      </c>
      <c r="B28" s="81">
        <v>798</v>
      </c>
      <c r="D28" s="11" t="s">
        <v>809</v>
      </c>
    </row>
    <row r="29" spans="1:15" x14ac:dyDescent="0.3">
      <c r="A29" s="78">
        <v>46000</v>
      </c>
      <c r="B29" s="81">
        <v>798</v>
      </c>
      <c r="D29" s="11" t="s">
        <v>809</v>
      </c>
    </row>
    <row r="30" spans="1:15" x14ac:dyDescent="0.3">
      <c r="A30" s="78">
        <v>46000</v>
      </c>
      <c r="B30" s="81">
        <v>798</v>
      </c>
      <c r="D30" s="11" t="s">
        <v>809</v>
      </c>
    </row>
    <row r="31" spans="1:15" x14ac:dyDescent="0.3">
      <c r="A31" s="78">
        <v>46000</v>
      </c>
      <c r="B31" s="81">
        <v>798</v>
      </c>
      <c r="D31" s="11" t="s">
        <v>809</v>
      </c>
    </row>
    <row r="32" spans="1:15" x14ac:dyDescent="0.3">
      <c r="A32" s="78">
        <v>46000</v>
      </c>
      <c r="B32" s="81">
        <v>1197</v>
      </c>
      <c r="D32" s="11" t="s">
        <v>811</v>
      </c>
    </row>
    <row r="33" spans="1:4" x14ac:dyDescent="0.3">
      <c r="A33" s="78">
        <v>46000</v>
      </c>
      <c r="B33" s="81">
        <v>840.75</v>
      </c>
      <c r="D33" s="11" t="s">
        <v>810</v>
      </c>
    </row>
    <row r="34" spans="1:4" x14ac:dyDescent="0.3">
      <c r="A34" s="78">
        <v>46000</v>
      </c>
      <c r="B34" s="81">
        <v>798</v>
      </c>
      <c r="D34" s="11" t="s">
        <v>809</v>
      </c>
    </row>
    <row r="35" spans="1:4" x14ac:dyDescent="0.3">
      <c r="A35" s="78">
        <v>46000</v>
      </c>
      <c r="B35" s="81">
        <v>5245.99</v>
      </c>
      <c r="D35" s="11" t="s">
        <v>811</v>
      </c>
    </row>
    <row r="36" spans="1:4" x14ac:dyDescent="0.3">
      <c r="A36" s="78">
        <v>46000</v>
      </c>
      <c r="B36" s="81">
        <v>399</v>
      </c>
      <c r="D36" s="11" t="s">
        <v>811</v>
      </c>
    </row>
    <row r="37" spans="1:4" x14ac:dyDescent="0.3">
      <c r="A37" s="78">
        <v>46000</v>
      </c>
      <c r="B37" s="81">
        <v>399</v>
      </c>
      <c r="D37" s="11" t="s">
        <v>811</v>
      </c>
    </row>
    <row r="38" spans="1:4" x14ac:dyDescent="0.3">
      <c r="A38" s="78">
        <v>46000</v>
      </c>
      <c r="B38" s="81">
        <v>796</v>
      </c>
      <c r="D38" s="11" t="s">
        <v>810</v>
      </c>
    </row>
    <row r="39" spans="1:4" x14ac:dyDescent="0.3">
      <c r="A39" s="78">
        <v>46000</v>
      </c>
      <c r="B39" s="81">
        <v>796</v>
      </c>
      <c r="D39" s="11" t="s">
        <v>810</v>
      </c>
    </row>
    <row r="40" spans="1:4" x14ac:dyDescent="0.3">
      <c r="A40" s="78">
        <v>46000</v>
      </c>
      <c r="B40" s="81">
        <v>796</v>
      </c>
      <c r="D40" s="11" t="s">
        <v>810</v>
      </c>
    </row>
    <row r="41" spans="1:4" x14ac:dyDescent="0.3">
      <c r="A41" s="78">
        <v>46000</v>
      </c>
      <c r="B41" s="81">
        <v>796</v>
      </c>
      <c r="D41" s="11" t="s">
        <v>810</v>
      </c>
    </row>
    <row r="42" spans="1:4" x14ac:dyDescent="0.3">
      <c r="A42" s="78">
        <v>46000</v>
      </c>
      <c r="B42" s="81">
        <v>796</v>
      </c>
      <c r="D42" s="11" t="s">
        <v>810</v>
      </c>
    </row>
    <row r="43" spans="1:4" x14ac:dyDescent="0.3">
      <c r="B43" s="80">
        <f>SUM(B2:B42)</f>
        <v>37616.74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772</v>
      </c>
      <c r="C1" t="s">
        <v>773</v>
      </c>
    </row>
    <row r="2" spans="1:3" x14ac:dyDescent="0.3">
      <c r="A2" s="78">
        <v>45991</v>
      </c>
      <c r="B2">
        <v>2</v>
      </c>
      <c r="C2" s="80">
        <v>796</v>
      </c>
    </row>
    <row r="3" spans="1:3" x14ac:dyDescent="0.3">
      <c r="A3" s="78">
        <v>45991</v>
      </c>
      <c r="B3">
        <v>1</v>
      </c>
      <c r="C3" s="80">
        <v>398</v>
      </c>
    </row>
    <row r="4" spans="1:3" x14ac:dyDescent="0.3">
      <c r="A4" s="78">
        <v>45991</v>
      </c>
      <c r="B4">
        <v>2</v>
      </c>
      <c r="C4" s="80">
        <v>796</v>
      </c>
    </row>
    <row r="5" spans="1:3" x14ac:dyDescent="0.3">
      <c r="A5" s="78">
        <v>45991</v>
      </c>
      <c r="B5">
        <v>6</v>
      </c>
      <c r="C5" s="80">
        <v>2388</v>
      </c>
    </row>
    <row r="6" spans="1:3" x14ac:dyDescent="0.3">
      <c r="A6" s="78">
        <v>45991</v>
      </c>
      <c r="B6">
        <v>13</v>
      </c>
      <c r="C6" s="80">
        <v>5174</v>
      </c>
    </row>
    <row r="7" spans="1:3" x14ac:dyDescent="0.3">
      <c r="A7" s="78">
        <v>45991</v>
      </c>
      <c r="B7">
        <v>11</v>
      </c>
      <c r="C7" s="80">
        <v>4378</v>
      </c>
    </row>
    <row r="8" spans="1:3" x14ac:dyDescent="0.3">
      <c r="A8" s="78">
        <v>45991</v>
      </c>
      <c r="B8">
        <v>2</v>
      </c>
      <c r="C8" s="80">
        <v>796</v>
      </c>
    </row>
    <row r="9" spans="1:3" x14ac:dyDescent="0.3">
      <c r="A9" s="78">
        <v>45991</v>
      </c>
      <c r="B9">
        <v>3</v>
      </c>
      <c r="C9" s="80">
        <v>1194</v>
      </c>
    </row>
    <row r="10" spans="1:3" x14ac:dyDescent="0.3">
      <c r="A10" s="78">
        <v>45991</v>
      </c>
      <c r="B10">
        <v>4</v>
      </c>
      <c r="C10" s="80">
        <v>1592</v>
      </c>
    </row>
    <row r="11" spans="1:3" x14ac:dyDescent="0.3">
      <c r="A11" s="78">
        <v>45991</v>
      </c>
      <c r="B11">
        <v>3</v>
      </c>
      <c r="C11" s="80">
        <v>1200</v>
      </c>
    </row>
    <row r="12" spans="1:3" x14ac:dyDescent="0.3">
      <c r="B12">
        <f>SUM(B2:B11)</f>
        <v>47</v>
      </c>
      <c r="C12" s="80">
        <f>SUM(C2:C11)</f>
        <v>18712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3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3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3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3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3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3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3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3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3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3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3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747</v>
      </c>
      <c r="K22">
        <v>1</v>
      </c>
    </row>
    <row r="23" spans="1:11" x14ac:dyDescent="0.3">
      <c r="J23" s="14" t="s">
        <v>750</v>
      </c>
      <c r="K23">
        <v>10</v>
      </c>
    </row>
    <row r="24" spans="1:11" x14ac:dyDescent="0.3">
      <c r="J24" s="74" t="s">
        <v>744</v>
      </c>
      <c r="K24">
        <v>10</v>
      </c>
    </row>
    <row r="25" spans="1:11" x14ac:dyDescent="0.3">
      <c r="J25" s="14" t="s">
        <v>752</v>
      </c>
      <c r="K25">
        <v>10</v>
      </c>
    </row>
    <row r="26" spans="1:11" x14ac:dyDescent="0.3">
      <c r="J26" s="74" t="s">
        <v>716</v>
      </c>
      <c r="K26">
        <v>7</v>
      </c>
    </row>
    <row r="27" spans="1:11" x14ac:dyDescent="0.3">
      <c r="J27" s="74" t="s">
        <v>717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A6" sqref="A6:I12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5">
        <v>45964</v>
      </c>
      <c r="B2" s="83">
        <v>2</v>
      </c>
      <c r="C2" s="83" t="s">
        <v>582</v>
      </c>
      <c r="D2" s="83" t="s">
        <v>383</v>
      </c>
      <c r="E2" s="84">
        <v>1450</v>
      </c>
      <c r="F2" s="84">
        <f>B2*E2</f>
        <v>2900</v>
      </c>
      <c r="G2" s="83" t="s">
        <v>348</v>
      </c>
      <c r="H2" s="83" t="s">
        <v>464</v>
      </c>
      <c r="I2" s="83"/>
    </row>
    <row r="3" spans="1:9" x14ac:dyDescent="0.3">
      <c r="A3" s="85">
        <v>45964</v>
      </c>
      <c r="B3" s="83">
        <v>2</v>
      </c>
      <c r="C3" s="83" t="s">
        <v>580</v>
      </c>
      <c r="D3" s="83" t="s">
        <v>460</v>
      </c>
      <c r="E3" s="84">
        <v>1450</v>
      </c>
      <c r="F3" s="84">
        <f t="shared" ref="F3:F12" si="0">B3*E3</f>
        <v>2900</v>
      </c>
      <c r="G3" s="83" t="s">
        <v>348</v>
      </c>
      <c r="H3" s="83" t="s">
        <v>464</v>
      </c>
      <c r="I3" s="83"/>
    </row>
    <row r="4" spans="1:9" x14ac:dyDescent="0.3">
      <c r="A4" s="85">
        <v>45964</v>
      </c>
      <c r="B4" s="83">
        <v>1</v>
      </c>
      <c r="C4" s="83" t="s">
        <v>582</v>
      </c>
      <c r="D4" s="83" t="s">
        <v>635</v>
      </c>
      <c r="E4" s="84">
        <v>1480</v>
      </c>
      <c r="F4" s="84">
        <f t="shared" si="0"/>
        <v>1480</v>
      </c>
      <c r="G4" s="83" t="s">
        <v>348</v>
      </c>
      <c r="H4" s="83" t="s">
        <v>464</v>
      </c>
      <c r="I4" s="83"/>
    </row>
    <row r="5" spans="1:9" x14ac:dyDescent="0.3">
      <c r="A5" s="85">
        <v>45964</v>
      </c>
      <c r="B5" s="83">
        <v>4</v>
      </c>
      <c r="C5" s="83" t="s">
        <v>678</v>
      </c>
      <c r="D5" s="83" t="s">
        <v>383</v>
      </c>
      <c r="E5" s="84">
        <v>1399</v>
      </c>
      <c r="F5" s="84">
        <f t="shared" si="0"/>
        <v>5596</v>
      </c>
      <c r="G5" s="83" t="s">
        <v>348</v>
      </c>
      <c r="H5" s="83" t="s">
        <v>464</v>
      </c>
      <c r="I5" s="83"/>
    </row>
    <row r="6" spans="1:9" x14ac:dyDescent="0.3">
      <c r="A6" s="85">
        <v>45964</v>
      </c>
      <c r="B6" s="83">
        <v>2</v>
      </c>
      <c r="C6" s="83" t="s">
        <v>582</v>
      </c>
      <c r="D6" s="83" t="s">
        <v>383</v>
      </c>
      <c r="E6" s="84">
        <v>1399</v>
      </c>
      <c r="F6" s="84">
        <f t="shared" si="0"/>
        <v>2798</v>
      </c>
      <c r="G6" s="83" t="s">
        <v>348</v>
      </c>
      <c r="H6" s="83" t="s">
        <v>464</v>
      </c>
      <c r="I6" s="83"/>
    </row>
    <row r="7" spans="1:9" x14ac:dyDescent="0.3">
      <c r="A7" s="85">
        <v>45968</v>
      </c>
      <c r="B7" s="83">
        <v>60</v>
      </c>
      <c r="C7" s="83" t="s">
        <v>666</v>
      </c>
      <c r="D7" s="83" t="s">
        <v>667</v>
      </c>
      <c r="E7" s="84">
        <v>10</v>
      </c>
      <c r="F7" s="84">
        <f t="shared" si="0"/>
        <v>600</v>
      </c>
      <c r="G7" s="83"/>
      <c r="H7" s="83"/>
      <c r="I7" s="83"/>
    </row>
    <row r="8" spans="1:9" x14ac:dyDescent="0.3">
      <c r="A8" s="85">
        <v>45988</v>
      </c>
      <c r="B8" s="83">
        <v>1</v>
      </c>
      <c r="C8" s="83" t="s">
        <v>582</v>
      </c>
      <c r="D8" s="83" t="s">
        <v>522</v>
      </c>
      <c r="E8" s="84">
        <v>1348</v>
      </c>
      <c r="F8" s="84">
        <f t="shared" si="0"/>
        <v>1348</v>
      </c>
      <c r="G8" s="83" t="s">
        <v>348</v>
      </c>
      <c r="H8" s="83" t="s">
        <v>464</v>
      </c>
      <c r="I8" s="111">
        <v>46004</v>
      </c>
    </row>
    <row r="9" spans="1:9" x14ac:dyDescent="0.3">
      <c r="A9" s="85">
        <v>45988</v>
      </c>
      <c r="B9" s="83">
        <v>1</v>
      </c>
      <c r="C9" s="83" t="s">
        <v>678</v>
      </c>
      <c r="D9" s="83" t="s">
        <v>522</v>
      </c>
      <c r="E9" s="84">
        <v>1348</v>
      </c>
      <c r="F9" s="84">
        <f t="shared" si="0"/>
        <v>1348</v>
      </c>
      <c r="G9" s="83" t="s">
        <v>348</v>
      </c>
      <c r="H9" s="83" t="s">
        <v>464</v>
      </c>
      <c r="I9" s="111">
        <v>46004</v>
      </c>
    </row>
    <row r="10" spans="1:9" x14ac:dyDescent="0.3">
      <c r="A10" s="85">
        <v>45989</v>
      </c>
      <c r="B10" s="83">
        <v>3</v>
      </c>
      <c r="C10" s="83" t="s">
        <v>582</v>
      </c>
      <c r="D10" s="83" t="s">
        <v>466</v>
      </c>
      <c r="E10" s="84">
        <v>1380</v>
      </c>
      <c r="F10" s="84">
        <f t="shared" si="0"/>
        <v>4140</v>
      </c>
      <c r="G10" s="83" t="s">
        <v>348</v>
      </c>
      <c r="H10" s="83" t="s">
        <v>467</v>
      </c>
      <c r="I10" s="111">
        <v>46004</v>
      </c>
    </row>
    <row r="11" spans="1:9" x14ac:dyDescent="0.3">
      <c r="A11" s="85">
        <v>45989</v>
      </c>
      <c r="B11" s="83">
        <v>10</v>
      </c>
      <c r="C11" s="83" t="s">
        <v>678</v>
      </c>
      <c r="D11" s="83" t="s">
        <v>383</v>
      </c>
      <c r="E11" s="84">
        <v>1390</v>
      </c>
      <c r="F11" s="84">
        <f t="shared" si="0"/>
        <v>13900</v>
      </c>
      <c r="G11" s="83" t="s">
        <v>348</v>
      </c>
      <c r="H11" s="83" t="s">
        <v>464</v>
      </c>
      <c r="I11" s="111">
        <v>46004</v>
      </c>
    </row>
    <row r="12" spans="1:9" x14ac:dyDescent="0.3">
      <c r="A12" s="85">
        <v>45989</v>
      </c>
      <c r="B12" s="83">
        <v>12</v>
      </c>
      <c r="C12" s="83" t="s">
        <v>582</v>
      </c>
      <c r="D12" s="83" t="s">
        <v>383</v>
      </c>
      <c r="E12" s="84">
        <v>1390</v>
      </c>
      <c r="F12" s="84">
        <f t="shared" si="0"/>
        <v>16680</v>
      </c>
      <c r="G12" s="83" t="s">
        <v>348</v>
      </c>
      <c r="H12" s="83" t="s">
        <v>464</v>
      </c>
      <c r="I12" s="111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C17" sqref="C17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82">
        <v>45993</v>
      </c>
      <c r="B2" s="83">
        <v>10</v>
      </c>
      <c r="C2" s="83" t="s">
        <v>639</v>
      </c>
      <c r="D2" s="83" t="s">
        <v>460</v>
      </c>
      <c r="E2" s="83">
        <v>1260</v>
      </c>
      <c r="F2" s="83">
        <f>B2*E2</f>
        <v>12600</v>
      </c>
      <c r="G2" s="83" t="s">
        <v>348</v>
      </c>
      <c r="H2" s="83" t="s">
        <v>464</v>
      </c>
      <c r="I2" s="83"/>
      <c r="J2" s="78">
        <v>46004</v>
      </c>
    </row>
    <row r="3" spans="1:15" x14ac:dyDescent="0.3">
      <c r="A3" s="82">
        <v>45993</v>
      </c>
      <c r="B3" s="83">
        <v>1</v>
      </c>
      <c r="C3" s="83" t="s">
        <v>639</v>
      </c>
      <c r="D3" s="83" t="s">
        <v>433</v>
      </c>
      <c r="E3" s="83">
        <v>1348</v>
      </c>
      <c r="F3" s="83">
        <f>B3*E3</f>
        <v>1348</v>
      </c>
      <c r="G3" s="83" t="s">
        <v>348</v>
      </c>
      <c r="H3" s="83" t="s">
        <v>464</v>
      </c>
      <c r="I3" s="83"/>
      <c r="J3" s="78">
        <v>46004</v>
      </c>
    </row>
    <row r="4" spans="1:15" x14ac:dyDescent="0.3">
      <c r="A4" s="82">
        <v>45993</v>
      </c>
      <c r="B4" s="83">
        <v>3</v>
      </c>
      <c r="C4" s="83" t="s">
        <v>378</v>
      </c>
      <c r="D4" s="83" t="s">
        <v>433</v>
      </c>
      <c r="E4" s="83">
        <v>738</v>
      </c>
      <c r="F4" s="83">
        <f t="shared" ref="F4:F11" si="0">B4*E4</f>
        <v>2214</v>
      </c>
      <c r="G4" s="83" t="s">
        <v>348</v>
      </c>
      <c r="H4" s="83" t="s">
        <v>464</v>
      </c>
      <c r="I4" s="83"/>
      <c r="J4" s="78">
        <v>46004</v>
      </c>
    </row>
    <row r="5" spans="1:15" x14ac:dyDescent="0.3">
      <c r="A5" s="82">
        <v>45993</v>
      </c>
      <c r="B5" s="83">
        <v>2</v>
      </c>
      <c r="C5" s="83" t="s">
        <v>406</v>
      </c>
      <c r="D5" s="83" t="s">
        <v>433</v>
      </c>
      <c r="E5" s="83">
        <v>1348</v>
      </c>
      <c r="F5" s="83">
        <f t="shared" si="0"/>
        <v>2696</v>
      </c>
      <c r="G5" s="83" t="s">
        <v>348</v>
      </c>
      <c r="H5" s="83" t="s">
        <v>464</v>
      </c>
      <c r="I5" s="83"/>
      <c r="J5" s="78">
        <v>46004</v>
      </c>
    </row>
    <row r="6" spans="1:15" x14ac:dyDescent="0.3">
      <c r="A6" s="82">
        <v>45993</v>
      </c>
      <c r="B6" s="83">
        <v>2</v>
      </c>
      <c r="C6" s="83" t="s">
        <v>639</v>
      </c>
      <c r="D6" s="83" t="s">
        <v>433</v>
      </c>
      <c r="E6" s="83">
        <v>1348</v>
      </c>
      <c r="F6" s="83">
        <f t="shared" si="0"/>
        <v>2696</v>
      </c>
      <c r="G6" s="83" t="s">
        <v>348</v>
      </c>
      <c r="H6" s="83" t="s">
        <v>464</v>
      </c>
      <c r="I6" s="83"/>
      <c r="J6" s="78">
        <v>46004</v>
      </c>
    </row>
    <row r="7" spans="1:15" x14ac:dyDescent="0.3">
      <c r="A7" s="82">
        <v>46000</v>
      </c>
      <c r="B7" s="83">
        <v>500</v>
      </c>
      <c r="C7" s="83" t="s">
        <v>821</v>
      </c>
      <c r="D7" s="83" t="s">
        <v>291</v>
      </c>
      <c r="E7" s="83">
        <v>28</v>
      </c>
      <c r="F7" s="83">
        <f t="shared" si="0"/>
        <v>14000</v>
      </c>
      <c r="G7" s="83" t="s">
        <v>348</v>
      </c>
      <c r="H7" s="83" t="s">
        <v>543</v>
      </c>
      <c r="I7" s="82">
        <v>46003</v>
      </c>
      <c r="J7" s="78">
        <v>46004</v>
      </c>
    </row>
    <row r="8" spans="1:15" x14ac:dyDescent="0.3">
      <c r="A8" s="82">
        <v>46000</v>
      </c>
      <c r="B8" s="83">
        <v>100</v>
      </c>
      <c r="C8" s="83" t="s">
        <v>31</v>
      </c>
      <c r="D8" s="83" t="s">
        <v>291</v>
      </c>
      <c r="E8" s="83">
        <v>299</v>
      </c>
      <c r="F8" s="83">
        <f t="shared" si="0"/>
        <v>29900</v>
      </c>
      <c r="G8" s="83" t="s">
        <v>348</v>
      </c>
      <c r="H8" s="83" t="s">
        <v>543</v>
      </c>
      <c r="I8" s="82">
        <v>46004</v>
      </c>
      <c r="J8" s="78">
        <v>46004</v>
      </c>
      <c r="O8">
        <v>880</v>
      </c>
    </row>
    <row r="9" spans="1:15" x14ac:dyDescent="0.3">
      <c r="A9" s="82">
        <v>46000</v>
      </c>
      <c r="B9" s="83">
        <v>1</v>
      </c>
      <c r="C9" s="83" t="s">
        <v>822</v>
      </c>
      <c r="D9" s="83" t="s">
        <v>291</v>
      </c>
      <c r="E9" s="83">
        <v>89</v>
      </c>
      <c r="F9" s="83">
        <f t="shared" si="0"/>
        <v>89</v>
      </c>
      <c r="G9" s="83" t="s">
        <v>348</v>
      </c>
      <c r="H9" s="83" t="s">
        <v>543</v>
      </c>
      <c r="I9" s="82">
        <v>46005</v>
      </c>
      <c r="J9" s="78">
        <v>46004</v>
      </c>
    </row>
    <row r="10" spans="1:15" x14ac:dyDescent="0.3">
      <c r="A10" s="82">
        <v>46001</v>
      </c>
      <c r="B10" s="83">
        <v>100</v>
      </c>
      <c r="C10" s="83" t="s">
        <v>31</v>
      </c>
      <c r="D10" s="83" t="s">
        <v>291</v>
      </c>
      <c r="E10" s="83">
        <v>299</v>
      </c>
      <c r="F10" s="83">
        <f t="shared" si="0"/>
        <v>29900</v>
      </c>
      <c r="G10" s="83" t="s">
        <v>348</v>
      </c>
      <c r="H10" s="83" t="s">
        <v>543</v>
      </c>
      <c r="I10" s="82">
        <v>46006</v>
      </c>
      <c r="J10" s="78">
        <v>46004</v>
      </c>
    </row>
    <row r="11" spans="1:15" x14ac:dyDescent="0.3">
      <c r="A11" s="82">
        <v>46002</v>
      </c>
      <c r="B11" s="83">
        <v>2</v>
      </c>
      <c r="C11" s="83" t="s">
        <v>378</v>
      </c>
      <c r="D11" s="83" t="s">
        <v>460</v>
      </c>
      <c r="E11" s="83">
        <v>775</v>
      </c>
      <c r="F11" s="83">
        <f t="shared" si="0"/>
        <v>1550</v>
      </c>
      <c r="G11" s="83" t="s">
        <v>62</v>
      </c>
      <c r="H11" s="83" t="s">
        <v>464</v>
      </c>
      <c r="I11" s="83"/>
    </row>
    <row r="12" spans="1:15" x14ac:dyDescent="0.3">
      <c r="A12" s="82">
        <v>46005</v>
      </c>
      <c r="B12" s="83">
        <v>1</v>
      </c>
      <c r="C12" s="83" t="s">
        <v>872</v>
      </c>
      <c r="D12" s="83" t="s">
        <v>464</v>
      </c>
      <c r="E12" s="83">
        <v>550</v>
      </c>
      <c r="F12" s="83">
        <v>550</v>
      </c>
      <c r="G12" s="83"/>
      <c r="H12" s="83"/>
      <c r="I12" s="83" t="s">
        <v>85</v>
      </c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2025-12-22T17:53:53Z</dcterms:modified>
</cp:coreProperties>
</file>