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F6D5A989-4487-4135-80EB-D61B6B03D0CC}" xr6:coauthVersionLast="47" xr6:coauthVersionMax="47" xr10:uidLastSave="{00000000-0000-0000-0000-000000000000}"/>
  <bookViews>
    <workbookView xWindow="-108" yWindow="-108" windowWidth="23256" windowHeight="13896" firstSheet="23" activeTab="34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Sheet8" sheetId="42" state="hidden" r:id="rId25"/>
    <sheet name="AU JAN" sheetId="40" r:id="rId26"/>
    <sheet name="Sheet7" sheetId="39" state="hidden" r:id="rId27"/>
    <sheet name="Sheet6" sheetId="38" state="hidden" r:id="rId28"/>
    <sheet name="Gift Card" sheetId="37" state="hidden" r:id="rId29"/>
    <sheet name="Adil " sheetId="35" state="hidden" r:id="rId30"/>
    <sheet name="Waleed " sheetId="33" state="hidden" r:id="rId31"/>
    <sheet name="Sheet5" sheetId="32" state="hidden" r:id="rId32"/>
    <sheet name="NZ OCT" sheetId="25" state="hidden" r:id="rId33"/>
    <sheet name="NZ NOV" sheetId="26" state="hidden" r:id="rId34"/>
    <sheet name="NZ JAN" sheetId="41" r:id="rId35"/>
    <sheet name="NZ DEC" sheetId="36" r:id="rId36"/>
    <sheet name="Sheet3" sheetId="31" state="hidden" r:id="rId37"/>
    <sheet name="Sheet2" sheetId="30" state="hidden" r:id="rId38"/>
    <sheet name="NZ visit expense" sheetId="17" state="hidden" r:id="rId39"/>
    <sheet name="Abdul Rafey" sheetId="5" state="hidden" r:id="rId40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5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6" hidden="1">Sheet7!$A$1:$I$30</definedName>
  </definedNames>
  <calcPr calcId="191029"/>
  <pivotCaches>
    <pivotCache cacheId="0" r:id="rId41"/>
    <pivotCache cacheId="1" r:id="rId42"/>
    <pivotCache cacheId="2" r:id="rId43"/>
    <pivotCache cacheId="3" r:id="rId44"/>
    <pivotCache cacheId="4" r:id="rId45"/>
    <pivotCache cacheId="5" r:id="rId46"/>
    <pivotCache cacheId="6" r:id="rId47"/>
    <pivotCache cacheId="7" r:id="rId48"/>
    <pivotCache cacheId="8" r:id="rId49"/>
    <pivotCache cacheId="9" r:id="rId50"/>
    <pivotCache cacheId="10" r:id="rId5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0" i="40" l="1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<sst xmlns="http://schemas.openxmlformats.org/spreadsheetml/2006/main" count="4505" uniqueCount="1114">
  <si>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</si>
  <si>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</si>
  <si>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</si>
  <si>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</si>
  <si>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</si>
  <si>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</si>
  <si>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</si>
  <si>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</si>
  <si>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</si>
  <si>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</si>
  <si>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</si>
  <si>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</si>
  <si>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</si>
  <si>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</si>
  <si>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</si>
  <si>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</si>
  <si>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</si>
  <si>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</si>
  <si>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</si>
  <si>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</si>
  <si>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</si>
  <si>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</si>
  <si>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</si>
  <si>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</si>
  <si>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</si>
  <si>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</si>
  <si>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</si>
  <si>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</si>
  <si>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</si>
  <si>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</si>
  <si>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</si>
  <si>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</si>
  <si>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</si>
  <si>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</si>
  <si>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</si>
  <si>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</si>
  <si>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</si>
  <si>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</si>
  <si>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</si>
  <si>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</si>
  <si>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</si>
  <si>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</si>
  <si>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</si>
  <si>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</si>
  <si>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</si>
  <si>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</si>
  <si>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</si>
  <si>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</si>
  <si>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</si>
  <si>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</si>
  <si>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</si>
  <si>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</si>
  <si>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</si>
  <si>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</si>
  <si>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</si>
  <si>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</si>
  <si>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</si>
  <si>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</si>
  <si>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</si>
  <si>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</si>
  <si>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</si>
  <si>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</si>
  <si>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</si>
  <si>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</si>
  <si>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</si>
  <si>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</si>
  <si>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</si>
  <si>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</si>
  <si>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</si>
  <si>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</si>
  <si>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</si>
  <si>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</si>
  <si>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</si>
  <si>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</si>
  <si>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</si>
  <si>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</si>
  <si>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</si>
  <si>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</si>
  <si>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</si>
  <si>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</si>
  <si>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</si>
  <si>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</si>
  <si>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</si>
  <si>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</si>
  <si>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</si>
  <si>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</si>
  <si>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</si>
  <si>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</si>
  <si>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</si>
  <si>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</si>
  <si>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</si>
  <si>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</si>
  <si>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</si>
  <si>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</si>
  <si>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</si>
  <si>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</si>
  <si>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</si>
  <si>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</si>
  <si>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</si>
  <si>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</si>
  <si>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</si>
  <si>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</si>
  <si>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</si>
  <si>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</si>
  <si>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</si>
  <si>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</si>
  <si>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</si>
  <si>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</si>
  <si>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</si>
  <si>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</si>
  <si>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</si>
  <si>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</si>
  <si>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</si>
  <si>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</si>
  <si>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</si>
  <si>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</si>
  <si>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</si>
  <si>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</si>
  <si>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</si>
  <si>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</si>
  <si>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</si>
  <si>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</si>
  <si>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</si>
  <si>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</si>
  <si>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</si>
  <si>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</si>
  <si>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</si>
  <si>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</si>
  <si>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</si>
  <si>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</si>
  <si>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</si>
  <si>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</si>
  <si>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</si>
  <si>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</si>
  <si>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</si>
  <si>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</si>
  <si>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</si>
  <si>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</si>
  <si>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</si>
  <si>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</si>
  <si>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</si>
  <si>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</si>
  <si>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</si>
  <si>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</si>
  <si>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</si>
  <si>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</si>
  <si>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</si>
  <si>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</si>
  <si>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</si>
  <si>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</si>
  <si>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</si>
  <si>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</si>
  <si>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</si>
  <si>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</si>
  <si>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</si>
  <si>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</si>
  <si>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</si>
  <si>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</si>
  <si>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</si>
  <si>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</si>
  <si>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</si>
  <si>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</si>
  <si>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</si>
  <si>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</si>
  <si>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</si>
  <si>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</si>
  <si>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</si>
  <si>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</si>
  <si>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</si>
  <si>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</si>
  <si>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</si>
  <si>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</si>
  <si>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</si>
  <si>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</si>
  <si>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</si>
  <si>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</si>
  <si>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</si>
  <si>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</si>
  <si>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</si>
  <si>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</si>
  <si>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</si>
  <si>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</si>
  <si>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</si>
  <si>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</si>
  <si>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</si>
  <si>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</si>
  <si>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</si>
  <si>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</si>
  <si>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</si>
  <si>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</si>
  <si>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</si>
  <si>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</si>
  <si>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</si>
  <si>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</si>
  <si>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</si>
  <si>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</si>
  <si>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</si>
  <si>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</si>
  <si>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</si>
  <si>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</si>
  <si>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</si>
  <si>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</si>
  <si>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</si>
  <si>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</si>
  <si>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</si>
  <si>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</si>
  <si>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</si>
  <si>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</si>
  <si>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</si>
  <si>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</si>
  <si>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</si>
  <si>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</si>
  <si>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</si>
  <si>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</si>
  <si>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</si>
  <si>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</si>
  <si>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</si>
  <si>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</si>
  <si>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</si>
  <si>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</si>
  <si>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</si>
  <si>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</si>
  <si>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</si>
  <si>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</si>
  <si>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</si>
  <si>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</si>
  <si>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</si>
  <si>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</si>
  <si>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</si>
  <si>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</si>
  <si>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</si>
  <si>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</si>
  <si>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</si>
  <si>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</si>
  <si>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</si>
  <si>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</si>
  <si>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</si>
  <si>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</si>
  <si>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</si>
  <si>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</si>
  <si>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</si>
  <si>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</si>
  <si>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</si>
  <si>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</si>
  <si>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</si>
  <si>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</si>
  <si>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</si>
  <si>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</si>
  <si>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</si>
  <si>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</si>
  <si>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</si>
  <si>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</si>
  <si>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</si>
  <si>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</si>
  <si>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</si>
  <si>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</si>
  <si>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</si>
  <si>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</si>
  <si>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</si>
  <si>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</si>
  <si>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</si>
  <si>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</si>
  <si>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</si>
  <si>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</si>
  <si>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</si>
  <si>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</si>
  <si>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</si>
  <si>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</si>
  <si>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</si>
  <si>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</si>
  <si>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</si>
  <si>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</si>
  <si>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</si>
  <si>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</si>
  <si>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</si>
  <si>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</si>
  <si>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</si>
  <si>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</si>
  <si>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</si>
  <si>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</si>
  <si>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</si>
  <si>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</si>
  <si>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</si>
  <si>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</si>
  <si>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</si>
  <si>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</si>
  <si>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</si>
  <si>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</si>
  <si>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</si>
  <si>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</si>
  <si>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</si>
  <si>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</si>
  <si>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</si>
  <si>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</si>
  <si>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</si>
  <si>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</si>
  <si>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</si>
  <si>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</si>
  <si>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</si>
  <si>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</si>
  <si>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</si>
  <si>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</si>
  <si>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</si>
  <si>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</si>
  <si>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</si>
  <si>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</si>
  <si>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</si>
  <si>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</si>
  <si>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</si>
  <si>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</si>
  <si>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</si>
  <si>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</si>
  <si>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</si>
  <si>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</si>
  <si>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</si>
  <si>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</si>
  <si>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</si>
  <si>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</si>
  <si>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</si>
  <si>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</si>
  <si>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</si>
  <si>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</si>
  <si>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</si>
  <si>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</si>
  <si>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</si>
  <si>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</si>
  <si>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</si>
  <si>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</si>
  <si>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</si>
  <si>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</si>
  <si>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</si>
  <si>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</si>
  <si>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</si>
  <si>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</si>
  <si>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</si>
  <si>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</si>
  <si>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</si>
  <si>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</si>
  <si>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</si>
  <si>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</si>
  <si>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</si>
  <si>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</si>
  <si>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</si>
  <si>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</si>
  <si>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</si>
  <si>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</si>
  <si>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</si>
  <si>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</si>
  <si>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</si>
  <si>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</si>
  <si>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</si>
  <si>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</si>
  <si>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</si>
  <si>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</si>
  <si>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</si>
  <si>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</si>
  <si>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</si>
  <si>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</si>
  <si>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</si>
  <si>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</si>
  <si>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</si>
  <si>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</si>
  <si>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</si>
  <si>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</si>
  <si>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</si>
  <si>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</si>
  <si>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</si>
  <si>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</si>
  <si>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</si>
  <si>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</si>
  <si>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</si>
  <si>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</si>
  <si>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</si>
  <si>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</si>
  <si>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</si>
  <si>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</si>
  <si>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</si>
  <si>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</si>
  <si>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</si>
  <si>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</si>
  <si>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</si>
  <si>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</si>
  <si>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</si>
  <si>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</si>
  <si>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</si>
  <si>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</si>
  <si>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</si>
  <si>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</si>
  <si>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</si>
  <si>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</si>
  <si>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</si>
  <si>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</si>
  <si>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</si>
  <si>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</si>
  <si>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</si>
  <si>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</si>
  <si>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</si>
  <si>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</si>
  <si>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</si>
  <si>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</si>
  <si>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</si>
  <si>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</si>
  <si>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</si>
  <si>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</si>
  <si>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</si>
  <si>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</si>
  <si>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</si>
  <si>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</si>
  <si>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</si>
  <si>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</si>
  <si>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</si>
  <si>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</si>
  <si>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</si>
  <si>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</si>
  <si>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</si>
  <si>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</si>
  <si>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</si>
  <si>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</si>
  <si>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</si>
  <si>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</si>
  <si>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</si>
  <si>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</si>
  <si>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</si>
  <si>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</si>
  <si>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</si>
  <si>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</si>
  <si>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</si>
  <si>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</si>
  <si>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</si>
  <si>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</si>
  <si>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</si>
  <si>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</si>
  <si>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</si>
  <si>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</si>
  <si>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</si>
  <si>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</si>
  <si>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</si>
  <si>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</si>
  <si>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</si>
  <si>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</si>
  <si>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</si>
  <si>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</si>
  <si>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</si>
  <si>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</si>
  <si>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</si>
  <si>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</si>
  <si>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</si>
  <si>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</si>
  <si>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</si>
  <si>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</si>
  <si>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</si>
  <si>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</si>
  <si>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</si>
  <si>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</si>
  <si>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</si>
  <si>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</si>
  <si>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</si>
  <si>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</si>
  <si>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</si>
  <si>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</si>
  <si>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</si>
  <si>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</si>
  <si>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</si>
  <si>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</si>
  <si>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</si>
  <si>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</si>
  <si>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</si>
  <si>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</si>
  <si>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</si>
  <si>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</si>
  <si>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</si>
  <si>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</si>
  <si>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</si>
  <si>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</si>
  <si>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</si>
  <si>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</si>
  <si>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</si>
  <si>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</si>
  <si>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</si>
  <si>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</si>
  <si>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</si>
  <si>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</si>
  <si>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</si>
  <si>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</si>
  <si>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</si>
  <si>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</si>
  <si>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</si>
  <si>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</si>
  <si>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</si>
  <si>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</si>
  <si>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</si>
  <si>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</si>
  <si>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</si>
  <si>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</si>
  <si>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</si>
  <si>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</si>
  <si>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</si>
  <si>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</si>
  <si>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</si>
  <si>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</si>
  <si>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</si>
  <si>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</si>
  <si>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</si>
  <si>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</si>
  <si>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</si>
  <si>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</si>
  <si>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</si>
  <si>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</si>
  <si>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</si>
  <si>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</si>
  <si>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</si>
  <si>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</si>
  <si>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</si>
  <si>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</si>
  <si>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</si>
  <si>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</si>
  <si>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</si>
  <si>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</si>
  <si>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</si>
  <si>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</si>
  <si>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</si>
  <si>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</si>
  <si>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</si>
  <si>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</si>
  <si>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</si>
  <si>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</si>
  <si>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</si>
  <si>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</si>
  <si>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</si>
  <si>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</si>
  <si>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</si>
  <si>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</si>
  <si>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</si>
  <si>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</si>
  <si>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</si>
  <si>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</si>
  <si>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</si>
  <si>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</si>
  <si>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</si>
  <si>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</si>
  <si>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</si>
  <si>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</si>
  <si>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</si>
  <si>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</si>
  <si>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</si>
  <si>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</si>
  <si>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</si>
  <si>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</si>
  <si>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</si>
  <si>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</si>
  <si>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</si>
  <si>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</si>
  <si>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</si>
  <si>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</si>
  <si>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</si>
  <si>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</si>
  <si>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</si>
  <si>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</si>
  <si>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</si>
  <si>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</si>
  <si>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</si>
  <si>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</si>
  <si>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</si>
  <si>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</si>
  <si>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</si>
  <si>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</si>
  <si>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</si>
  <si>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</si>
  <si>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</si>
  <si>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</si>
  <si>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</si>
  <si>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</si>
  <si>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</si>
  <si>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</si>
  <si>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</si>
  <si>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</si>
  <si>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</si>
  <si>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</si>
  <si>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</si>
  <si>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</si>
  <si>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</si>
  <si>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</si>
  <si>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</si>
  <si>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</si>
  <si>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</si>
  <si>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</si>
  <si>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</si>
  <si>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</si>
  <si>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</si>
  <si>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</si>
  <si>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</si>
  <si>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</si>
  <si>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</si>
  <si>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</si>
  <si>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</si>
  <si>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</si>
  <si>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</si>
  <si>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</si>
  <si>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</si>
  <si>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</si>
  <si>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</si>
  <si>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</si>
  <si>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</si>
  <si>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</si>
  <si>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</si>
  <si>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</si>
  <si>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</si>
  <si>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</si>
  <si>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</si>
  <si>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</si>
  <si>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</si>
  <si>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</si>
  <si>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</si>
  <si>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</si>
  <si>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</si>
  <si>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</si>
  <si>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</si>
  <si>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</si>
  <si>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</si>
  <si>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</si>
  <si>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</si>
  <si>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</si>
  <si>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</si>
  <si>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</si>
  <si>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</si>
  <si>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</si>
  <si>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</si>
  <si>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</si>
  <si>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</si>
  <si>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</si>
  <si>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</si>
  <si>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</si>
  <si>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</si>
  <si>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</si>
  <si>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</si>
  <si>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</si>
  <si>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</si>
  <si>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</si>
  <si>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</si>
  <si>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</si>
  <si>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</si>
  <si>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</si>
  <si>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</si>
  <si>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</si>
  <si>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</si>
  <si>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</si>
  <si>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</si>
  <si>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</si>
  <si>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</si>
  <si>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</si>
  <si>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</si>
  <si>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</si>
  <si>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</si>
  <si>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</si>
  <si>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</si>
  <si>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</si>
  <si>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</si>
  <si>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</si>
  <si>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</si>
  <si>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</si>
  <si>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</si>
  <si>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</si>
  <si>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</si>
  <si>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</si>
  <si>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</si>
  <si>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</si>
  <si>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</si>
  <si>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</si>
  <si>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</si>
  <si>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</si>
  <si>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</si>
  <si>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</si>
  <si>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</si>
  <si>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</si>
  <si>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</si>
  <si>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</si>
  <si>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</si>
  <si>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</si>
  <si>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</si>
  <si>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</si>
  <si>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</si>
  <si>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</si>
  <si>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</si>
  <si>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</si>
  <si>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</si>
  <si>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</si>
  <si>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</si>
  <si>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</si>
  <si>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</si>
  <si>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</si>
  <si>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</si>
  <si>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</si>
  <si>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</si>
  <si>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</si>
  <si>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</si>
  <si>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</si>
  <si>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</si>
  <si>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</si>
  <si>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</si>
  <si>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</si>
  <si>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</si>
  <si>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</si>
  <si>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</si>
  <si>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</si>
  <si>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</si>
  <si>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</si>
  <si>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</si>
  <si>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</si>
  <si>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</si>
  <si>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</si>
  <si>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</si>
  <si>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</si>
  <si>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</si>
  <si>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</si>
  <si>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</si>
  <si>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</si>
  <si>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</si>
  <si>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</si>
  <si>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</si>
  <si>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</si>
  <si>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</si>
  <si>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</si>
  <si>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</si>
  <si>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</si>
  <si>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</si>
  <si>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</si>
  <si>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</si>
  <si>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</si>
  <si>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</si>
  <si>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</si>
  <si>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</si>
  <si>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</si>
  <si>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</si>
  <si>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</si>
  <si>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</si>
  <si>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</si>
  <si>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</si>
  <si>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</si>
  <si>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</si>
  <si>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</si>
  <si>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</si>
  <si>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</si>
  <si>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</si>
  <si>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</si>
  <si>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</si>
  <si>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</si>
  <si>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</si>
  <si>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</si>
  <si>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</si>
  <si>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</si>
  <si>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</si>
  <si>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</si>
  <si>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</si>
  <si>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</si>
  <si>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</si>
  <si>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</si>
  <si>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</si>
  <si>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</si>
  <si>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</si>
  <si>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</si>
  <si>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</si>
  <si>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</si>
  <si>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</si>
  <si>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</si>
  <si>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</si>
  <si>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</si>
  <si>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</si>
  <si>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</si>
  <si>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</si>
  <si>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</si>
  <si>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</si>
  <si>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</si>
  <si>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</si>
  <si>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</si>
  <si>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</si>
  <si>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</si>
  <si>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</si>
  <si>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</si>
  <si>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</si>
  <si>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</si>
  <si>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</si>
  <si>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</si>
  <si>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</si>
  <si>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</si>
  <si>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</si>
  <si>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</si>
  <si>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</si>
  <si>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</si>
  <si>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</si>
  <si>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</si>
  <si>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</si>
  <si>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</si>
  <si>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</si>
  <si>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</si>
  <si>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</si>
  <si>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</si>
  <si>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</si>
  <si>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</si>
  <si>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</si>
  <si>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</si>
  <si>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</si>
  <si>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</si>
  <si>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</si>
  <si>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</si>
  <si>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</si>
  <si>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</si>
  <si>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</si>
  <si>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</si>
  <si>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</si>
  <si>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</si>
  <si>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</si>
  <si>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</si>
  <si>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</si>
  <si>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</si>
  <si>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</si>
  <si>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</si>
  <si>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</si>
  <si>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</si>
  <si>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</si>
  <si>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</si>
  <si>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</si>
  <si>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</si>
  <si>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</si>
  <si>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</si>
  <si>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</si>
  <si>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</si>
  <si>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</si>
  <si>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</si>
  <si>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</si>
  <si>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</si>
  <si>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</si>
  <si>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</si>
  <si>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</si>
  <si>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</si>
  <si>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</si>
  <si>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</si>
  <si>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</si>
  <si>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</si>
  <si>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</si>
  <si>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</si>
  <si>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</si>
  <si>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</si>
  <si>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</si>
  <si>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</si>
  <si>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</si>
  <si>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</si>
  <si>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</si>
  <si>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</si>
  <si>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</si>
  <si>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</si>
  <si>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</si>
  <si>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</si>
  <si>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</si>
  <si>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</si>
  <si>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</si>
  <si>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</si>
  <si>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</si>
  <si>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</si>
  <si>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</si>
  <si>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</si>
  <si>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</si>
  <si>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</si>
  <si>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</si>
  <si>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</si>
  <si>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</si>
  <si>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</si>
  <si>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</si>
  <si>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</si>
  <si>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</si>
  <si>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</si>
  <si>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</si>
  <si>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</si>
  <si>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</si>
  <si>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</si>
  <si>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</si>
  <si>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</si>
  <si>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</si>
  <si>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</si>
  <si>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</si>
  <si>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</si>
  <si>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</si>
  <si>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</si>
  <si>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</si>
  <si>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</si>
  <si>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</si>
  <si>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</si>
  <si>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</si>
  <si>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</si>
  <si>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</si>
  <si>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</si>
  <si>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</si>
  <si>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</si>
  <si>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</si>
  <si>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</si>
  <si>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</si>
  <si>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</si>
  <si>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</si>
  <si>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</si>
  <si>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</si>
  <si>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</si>
  <si>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</si>
  <si>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</si>
  <si>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</si>
  <si>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</si>
  <si>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</si>
  <si>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</si>
  <si>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</si>
  <si>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</si>
  <si>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</si>
  <si>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</si>
  <si>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</si>
  <si>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</si>
  <si>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</si>
  <si>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</si>
  <si>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</si>
  <si>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</si>
  <si>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</si>
  <si>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</si>
  <si>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</si>
  <si>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</si>
  <si>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</si>
  <si>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</si>
  <si>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</si>
  <si>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</si>
  <si>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</si>
  <si>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</si>
  <si>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</si>
  <si>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</si>
  <si>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</si>
  <si>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</si>
  <si>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</si>
  <si>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</si>
  <si>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</si>
  <si>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</si>
  <si>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</si>
  <si>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</si>
  <si>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</si>
  <si>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</si>
  <si>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</si>
  <si>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</si>
  <si>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</si>
  <si>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</si>
  <si>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</si>
  <si>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</si>
  <si>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</si>
  <si>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</si>
  <si>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</si>
  <si>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</si>
  <si>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</si>
  <si>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</si>
  <si>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</si>
  <si>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</si>
  <si>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</si>
  <si>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</si>
  <si>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</si>
  <si>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</si>
  <si>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</si>
  <si>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</si>
  <si>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</si>
  <si>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</si>
  <si>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</si>
  <si>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</si>
  <si>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</si>
  <si>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</si>
  <si>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</si>
  <si>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</si>
  <si>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</si>
  <si>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</si>
  <si>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</si>
  <si>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</si>
  <si>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</si>
  <si>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</si>
  <si>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</si>
  <si>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</si>
  <si>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</si>
  <si>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</si>
  <si>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</si>
  <si>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</si>
  <si>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</si>
  <si>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</si>
  <si>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</si>
  <si>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</si>
  <si>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</si>
  <si>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</si>
  <si>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</si>
  <si>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</si>
  <si>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</si>
  <si>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</si>
  <si>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</si>
  <si>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</si>
  <si>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</si>
  <si>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</si>
  <si>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</si>
  <si>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</si>
  <si>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</si>
  <si>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</si>
  <si>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</si>
  <si>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</si>
  <si>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</si>
  <si>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</si>
  <si>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</si>
  <si>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</si>
  <si>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</si>
  <si>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</si>
  <si>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</si>
  <si>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</si>
  <si>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</si>
  <si>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</si>
  <si>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</si>
  <si>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</si>
  <si>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</si>
  <si>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</si>
  <si>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</si>
  <si>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</si>
  <si>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</si>
  <si>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</si>
  <si>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</si>
  <si>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</si>
  <si>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</si>
  <si>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</si>
  <si>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</si>
  <si>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</si>
  <si>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</si>
  <si>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</si>
  <si>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</si>
  <si>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</si>
  <si>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</si>
  <si>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</si>
  <si>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</si>
  <si>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</si>
  <si>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</si>
  <si>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</si>
  <si>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</si>
  <si>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</si>
  <si>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</si>
  <si>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</si>
  <si>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</si>
  <si>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</si>
  <si>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</si>
  <si>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</si>
  <si>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</si>
  <si>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</si>
  <si>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</si>
  <si>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</si>
  <si>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</si>
  <si>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</si>
  <si>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</si>
  <si>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</si>
  <si>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</si>
  <si>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</si>
  <si>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</si>
  <si>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</si>
  <si>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</si>
  <si>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</si>
  <si>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</si>
  <si>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</si>
  <si>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</si>
  <si>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</si>
  <si>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</si>
  <si>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</si>
  <si>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</si>
  <si>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</si>
  <si>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</si>
  <si>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</si>
  <si>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</si>
  <si>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</si>
  <si>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</si>
  <si>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</si>
  <si>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</si>
  <si>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</si>
  <si>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</si>
  <si>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Pending Delivery 27-01 Melbourne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</si>
  <si>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</si>
  <si>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</si>
  <si>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</si>
  <si>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</si>
  <si>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</si>
  <si>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</si>
  <si>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</si>
  <si>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</si>
  <si>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</si>
  <si>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</si>
  <si>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</si>
  <si>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</si>
  <si>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</si>
  <si>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</si>
  <si>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</si>
  <si>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</si>
  <si>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</si>
  <si>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</si>
  <si>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</si>
  <si>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</si>
  <si>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</si>
  <si>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</si>
  <si>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Awiating Stock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</si>
  <si>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</si>
  <si>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</si>
  <si>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</si>
  <si>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</si>
  <si>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</si>
  <si>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</si>
  <si>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</si>
  <si>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</si>
  <si>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</si>
  <si>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$500 + $449 GC deposit</t>
  </si>
  <si>
    <t>$580+62+62+125.60+298 GC Deposit</t>
  </si>
  <si>
    <t>Bunnings Epping Melbourne</t>
  </si>
  <si>
    <t>Pending Delivery 28-01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</si>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</sst>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8" fontId="0" fillId="2" borderId="0" xfId="0" applyNumberFormat="1" applyFill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" fontId="2" fillId="0" borderId="0" xfId="0" applyNumberFormat="1" applyFont="1"/>
    <xf numFmtId="16" fontId="0" fillId="2" borderId="0" xfId="0" applyNumberFormat="1" applyFill="1"/>
    <xf numFmtId="18" fontId="0" fillId="0" borderId="0" xfId="0" applyNumberFormat="1"/>
    <xf numFmtId="16" fontId="0" fillId="8" borderId="1" xfId="0" applyNumberFormat="1" applyFill="1" applyBorder="1"/>
    <xf numFmtId="0" fontId="0" fillId="8" borderId="1" xfId="0" applyFill="1" applyBorder="1"/>
    <xf numFmtId="168" fontId="0" fillId="8" borderId="1" xfId="0" applyNumberFormat="1" applyFill="1" applyBorder="1"/>
    <xf numFmtId="165" fontId="0" fillId="8" borderId="1" xfId="0" applyNumberFormat="1" applyFill="1" applyBorder="1"/>
    <xf numFmtId="164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" fontId="0" fillId="8" borderId="3" xfId="0" applyNumberFormat="1" applyFill="1" applyBorder="1"/>
    <xf numFmtId="0" fontId="0" fillId="8" borderId="3" xfId="0" applyFill="1" applyBorder="1"/>
    <xf numFmtId="168" fontId="0" fillId="8" borderId="3" xfId="0" applyNumberFormat="1" applyFill="1" applyBorder="1"/>
    <xf numFmtId="0" fontId="2" fillId="8" borderId="1" xfId="0" applyFont="1" applyFill="1" applyBorder="1"/>
    <xf numFmtId="16" fontId="2" fillId="8" borderId="1" xfId="0" applyNumberFormat="1" applyFont="1" applyFill="1" applyBorder="1"/>
    <xf numFmtId="168" fontId="2" fillId="8" borderId="1" xfId="0" applyNumberFormat="1" applyFont="1" applyFill="1" applyBorder="1"/>
    <xf numFmtId="16" fontId="0" fillId="8" borderId="14" xfId="0" applyNumberFormat="1" applyFill="1" applyBorder="1"/>
    <xf numFmtId="0" fontId="0" fillId="8" borderId="14" xfId="0" applyFill="1" applyBorder="1"/>
    <xf numFmtId="168" fontId="0" fillId="8" borderId="14" xfId="0" applyNumberFormat="1" applyFill="1" applyBorder="1"/>
    <xf numFmtId="0" fontId="0" fillId="8" borderId="1" xfId="0" applyFill="1" applyBorder="1" applyAlignment="1">
      <alignment horizontal="right"/>
    </xf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0" fontId="0" fillId="8" borderId="0" xfId="0" applyFill="1"/>
    <xf numFmtId="18" fontId="0" fillId="8" borderId="1" xfId="0" applyNumberFormat="1" applyFill="1" applyBorder="1"/>
    <xf numFmtId="164" fontId="0" fillId="10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2.xml"/><Relationship Id="rId47" Type="http://schemas.openxmlformats.org/officeDocument/2006/relationships/pivotCacheDefinition" Target="pivotCache/pivotCacheDefinition7.xml"/><Relationship Id="rId50" Type="http://schemas.openxmlformats.org/officeDocument/2006/relationships/pivotCacheDefinition" Target="pivotCache/pivotCacheDefinition1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3.xml"/><Relationship Id="rId48" Type="http://schemas.openxmlformats.org/officeDocument/2006/relationships/pivotCacheDefinition" Target="pivotCache/pivotCacheDefinition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6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4.xml"/><Relationship Id="rId5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120">
        <v>45746</v>
      </c>
      <c r="C1" s="120"/>
      <c r="D1" s="120"/>
      <c r="E1" s="120"/>
      <c r="F1" s="120"/>
      <c r="G1" s="120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21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21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2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2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2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2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3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3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662</v>
      </c>
      <c r="C1" s="44" t="s">
        <v>0</v>
      </c>
    </row>
    <row r="2" spans="2:7" x14ac:dyDescent="0.3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24" t="s">
        <v>299</v>
      </c>
      <c r="B1" s="124"/>
      <c r="C1" s="124"/>
      <c r="D1" s="124"/>
      <c r="E1" s="124"/>
      <c r="F1" s="124"/>
      <c r="G1" s="124"/>
      <c r="H1" s="124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25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25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25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26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26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workbookViewId="0">
      <selection activeCell="P83" sqref="P83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0" max="10" width="13.5546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3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3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3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3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3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3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3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3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3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3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3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3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3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3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3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3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3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3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3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3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3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3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3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3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3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3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3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3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3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3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3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3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3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3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3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3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3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3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3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3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3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3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3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3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3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3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3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3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3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3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3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3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1111</v>
      </c>
    </row>
    <row r="57" spans="1:10" x14ac:dyDescent="0.3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3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3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3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3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3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3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3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3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3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3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3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3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3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3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3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3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3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3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3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3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3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3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3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1112</v>
      </c>
    </row>
    <row r="81" spans="1:11" x14ac:dyDescent="0.3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3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3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3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3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3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3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3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3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3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3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3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3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3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3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3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3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3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3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3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3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3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3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3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3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3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3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3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3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3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3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3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3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3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3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3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3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3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3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3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3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3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3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3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3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3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3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3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3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3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3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3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3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3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3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5" workbookViewId="0">
      <selection activeCell="D274" sqref="D274"/>
    </sheetView>
  </sheetViews>
  <sheetFormatPr defaultRowHeight="14.4" x14ac:dyDescent="0.3"/>
  <cols>
    <col min="3" max="3" width="26.109375" bestFit="1" customWidth="1"/>
    <col min="4" max="4" width="28.21875" bestFit="1" customWidth="1"/>
    <col min="7" max="7" width="30.77734375" bestFit="1" customWidth="1"/>
    <col min="8" max="8" width="7.88671875" bestFit="1" customWidth="1"/>
    <col min="9" max="9" width="27.44140625" bestFit="1" customWidth="1"/>
    <col min="10" max="11" width="24.5546875" bestFit="1" customWidth="1"/>
    <col min="14" max="14" width="16.6640625" bestFit="1" customWidth="1"/>
    <col min="18" max="18" width="30.33203125" hidden="1" customWidth="1"/>
    <col min="19" max="19" width="10.44140625" hidden="1" customWidth="1"/>
    <col min="20" max="22" width="0" hidden="1" customWidth="1"/>
  </cols>
  <sheetData>
    <row r="1" spans="1:2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3">
      <c r="A2" s="96">
        <v>45992</v>
      </c>
      <c r="B2" s="97">
        <v>2</v>
      </c>
      <c r="C2" s="97" t="s">
        <v>664</v>
      </c>
      <c r="D2" s="97" t="s">
        <v>780</v>
      </c>
      <c r="E2" s="98">
        <v>399</v>
      </c>
      <c r="F2" s="98">
        <f t="shared" ref="F2:F15" si="0">E2*B2</f>
        <v>798</v>
      </c>
      <c r="G2" s="97" t="s">
        <v>792</v>
      </c>
      <c r="H2" s="97"/>
      <c r="I2" s="97" t="s">
        <v>824</v>
      </c>
      <c r="R2" t="s">
        <v>78</v>
      </c>
      <c r="S2" t="s">
        <v>81</v>
      </c>
    </row>
    <row r="3" spans="1:22" x14ac:dyDescent="0.3">
      <c r="A3" s="96">
        <v>45992</v>
      </c>
      <c r="B3" s="97">
        <v>2</v>
      </c>
      <c r="C3" s="97" t="s">
        <v>664</v>
      </c>
      <c r="D3" s="97" t="s">
        <v>794</v>
      </c>
      <c r="E3" s="98">
        <v>398</v>
      </c>
      <c r="F3" s="98">
        <f t="shared" si="0"/>
        <v>796</v>
      </c>
      <c r="G3" s="97" t="s">
        <v>8</v>
      </c>
      <c r="H3" s="97"/>
      <c r="I3" s="97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3">
      <c r="A4" s="96">
        <v>45992</v>
      </c>
      <c r="B4" s="97">
        <v>2</v>
      </c>
      <c r="C4" s="97" t="s">
        <v>784</v>
      </c>
      <c r="D4" s="97" t="s">
        <v>364</v>
      </c>
      <c r="E4" s="98">
        <v>479</v>
      </c>
      <c r="F4" s="98">
        <f t="shared" si="0"/>
        <v>958</v>
      </c>
      <c r="G4" s="97" t="s">
        <v>830</v>
      </c>
      <c r="H4" s="97"/>
      <c r="I4" s="97"/>
      <c r="R4" t="s">
        <v>803</v>
      </c>
      <c r="S4">
        <v>1</v>
      </c>
      <c r="V4">
        <f t="shared" ref="V4:V32" si="1">S4*U4</f>
        <v>0</v>
      </c>
    </row>
    <row r="5" spans="1:22" x14ac:dyDescent="0.3">
      <c r="A5" s="96">
        <v>45992</v>
      </c>
      <c r="B5" s="97">
        <v>2</v>
      </c>
      <c r="C5" s="97" t="s">
        <v>664</v>
      </c>
      <c r="D5" s="97" t="s">
        <v>364</v>
      </c>
      <c r="E5" s="98">
        <v>299</v>
      </c>
      <c r="F5" s="98">
        <f t="shared" si="0"/>
        <v>598</v>
      </c>
      <c r="G5" s="97" t="s">
        <v>830</v>
      </c>
      <c r="H5" s="97"/>
      <c r="I5" s="97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3">
      <c r="A6" s="96">
        <v>45992</v>
      </c>
      <c r="B6" s="97">
        <v>3</v>
      </c>
      <c r="C6" s="97" t="s">
        <v>661</v>
      </c>
      <c r="D6" s="97" t="s">
        <v>364</v>
      </c>
      <c r="E6" s="98">
        <v>419</v>
      </c>
      <c r="F6" s="98">
        <f t="shared" si="0"/>
        <v>1257</v>
      </c>
      <c r="G6" s="97" t="s">
        <v>830</v>
      </c>
      <c r="H6" s="97"/>
      <c r="I6" s="97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3">
      <c r="A7" s="96">
        <v>45992</v>
      </c>
      <c r="B7" s="97">
        <v>10</v>
      </c>
      <c r="C7" s="97" t="s">
        <v>697</v>
      </c>
      <c r="D7" s="97" t="s">
        <v>364</v>
      </c>
      <c r="E7" s="98">
        <v>125</v>
      </c>
      <c r="F7" s="98">
        <f t="shared" si="0"/>
        <v>1250</v>
      </c>
      <c r="G7" s="97" t="s">
        <v>830</v>
      </c>
      <c r="H7" s="97"/>
      <c r="I7" s="97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3">
      <c r="A8" s="96">
        <v>45992</v>
      </c>
      <c r="B8" s="97">
        <v>2</v>
      </c>
      <c r="C8" s="97" t="s">
        <v>784</v>
      </c>
      <c r="D8" s="97" t="s">
        <v>364</v>
      </c>
      <c r="E8" s="98">
        <v>479</v>
      </c>
      <c r="F8" s="98">
        <f t="shared" si="0"/>
        <v>958</v>
      </c>
      <c r="G8" s="97" t="s">
        <v>800</v>
      </c>
      <c r="H8" s="97"/>
      <c r="I8" s="97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3">
      <c r="A9" s="96">
        <v>45992</v>
      </c>
      <c r="B9" s="97">
        <v>1</v>
      </c>
      <c r="C9" s="97" t="s">
        <v>664</v>
      </c>
      <c r="D9" s="97" t="s">
        <v>364</v>
      </c>
      <c r="E9" s="98">
        <v>299</v>
      </c>
      <c r="F9" s="98">
        <f t="shared" si="0"/>
        <v>299</v>
      </c>
      <c r="G9" s="97" t="s">
        <v>800</v>
      </c>
      <c r="H9" s="97"/>
      <c r="I9" s="97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3">
      <c r="A10" s="104">
        <v>45992</v>
      </c>
      <c r="B10" s="105">
        <v>3</v>
      </c>
      <c r="C10" s="105" t="s">
        <v>661</v>
      </c>
      <c r="D10" s="105" t="s">
        <v>364</v>
      </c>
      <c r="E10" s="106">
        <v>419</v>
      </c>
      <c r="F10" s="106">
        <f t="shared" si="0"/>
        <v>1257</v>
      </c>
      <c r="G10" s="105" t="s">
        <v>800</v>
      </c>
      <c r="H10" s="105"/>
      <c r="I10" s="105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3">
      <c r="A11" s="96">
        <v>45992</v>
      </c>
      <c r="B11" s="97">
        <v>1</v>
      </c>
      <c r="C11" s="97" t="s">
        <v>785</v>
      </c>
      <c r="D11" s="97" t="s">
        <v>30</v>
      </c>
      <c r="E11" s="98">
        <v>659</v>
      </c>
      <c r="F11" s="98">
        <f t="shared" si="0"/>
        <v>659</v>
      </c>
      <c r="G11" s="97" t="s">
        <v>791</v>
      </c>
      <c r="H11" s="97"/>
      <c r="I11" s="97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3">
      <c r="A12" s="96">
        <v>45992</v>
      </c>
      <c r="B12" s="97">
        <v>1</v>
      </c>
      <c r="C12" s="97" t="s">
        <v>786</v>
      </c>
      <c r="D12" s="97" t="s">
        <v>30</v>
      </c>
      <c r="E12" s="98">
        <v>509</v>
      </c>
      <c r="F12" s="98">
        <f t="shared" si="0"/>
        <v>509</v>
      </c>
      <c r="G12" s="97" t="s">
        <v>791</v>
      </c>
      <c r="H12" s="97"/>
      <c r="I12" s="97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3">
      <c r="A13" s="96">
        <v>45992</v>
      </c>
      <c r="B13" s="97">
        <v>12</v>
      </c>
      <c r="C13" s="97" t="s">
        <v>664</v>
      </c>
      <c r="D13" s="97" t="s">
        <v>788</v>
      </c>
      <c r="E13" s="98">
        <v>398</v>
      </c>
      <c r="F13" s="98">
        <f t="shared" si="0"/>
        <v>4776</v>
      </c>
      <c r="G13" s="97" t="s">
        <v>428</v>
      </c>
      <c r="H13" s="97"/>
      <c r="I13" s="97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3">
      <c r="A14" s="96">
        <v>45993</v>
      </c>
      <c r="B14" s="97">
        <v>2</v>
      </c>
      <c r="C14" s="97" t="s">
        <v>664</v>
      </c>
      <c r="D14" s="97" t="s">
        <v>28</v>
      </c>
      <c r="E14" s="98">
        <v>398</v>
      </c>
      <c r="F14" s="98">
        <f t="shared" si="0"/>
        <v>796</v>
      </c>
      <c r="G14" s="97" t="s">
        <v>8</v>
      </c>
      <c r="H14" s="97"/>
      <c r="I14" s="97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3">
      <c r="A15" s="96">
        <v>45993</v>
      </c>
      <c r="B15" s="97">
        <v>2</v>
      </c>
      <c r="C15" s="97" t="s">
        <v>664</v>
      </c>
      <c r="D15" s="97" t="s">
        <v>793</v>
      </c>
      <c r="E15" s="98">
        <v>398</v>
      </c>
      <c r="F15" s="98">
        <f t="shared" si="0"/>
        <v>796</v>
      </c>
      <c r="G15" s="97" t="s">
        <v>8</v>
      </c>
      <c r="H15" s="97"/>
      <c r="I15" s="97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3">
      <c r="A16" s="96">
        <v>45993</v>
      </c>
      <c r="B16" s="97">
        <v>1</v>
      </c>
      <c r="C16" s="97" t="s">
        <v>664</v>
      </c>
      <c r="D16" s="97" t="s">
        <v>788</v>
      </c>
      <c r="E16" s="98">
        <v>398</v>
      </c>
      <c r="F16" s="98">
        <f t="shared" ref="F16:F119" si="2">E16*B16</f>
        <v>398</v>
      </c>
      <c r="G16" s="97" t="s">
        <v>428</v>
      </c>
      <c r="H16" s="97"/>
      <c r="I16" s="97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3">
      <c r="A17" s="96">
        <v>45993</v>
      </c>
      <c r="B17" s="97">
        <v>1</v>
      </c>
      <c r="C17" s="97" t="s">
        <v>776</v>
      </c>
      <c r="D17" s="97" t="s">
        <v>777</v>
      </c>
      <c r="E17" s="98">
        <v>130</v>
      </c>
      <c r="F17" s="98">
        <f t="shared" si="2"/>
        <v>130</v>
      </c>
      <c r="G17" s="97" t="s">
        <v>778</v>
      </c>
      <c r="H17" s="97"/>
      <c r="I17" s="97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3">
      <c r="A18" s="96">
        <v>45993</v>
      </c>
      <c r="B18" s="97">
        <v>5</v>
      </c>
      <c r="C18" s="97" t="s">
        <v>707</v>
      </c>
      <c r="D18" s="97" t="s">
        <v>795</v>
      </c>
      <c r="E18" s="98">
        <v>105</v>
      </c>
      <c r="F18" s="98">
        <f t="shared" si="2"/>
        <v>525</v>
      </c>
      <c r="G18" s="97" t="s">
        <v>796</v>
      </c>
      <c r="H18" s="97"/>
      <c r="I18" s="97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3">
      <c r="A19" s="96">
        <v>45993</v>
      </c>
      <c r="B19" s="97">
        <v>2</v>
      </c>
      <c r="C19" s="97" t="s">
        <v>664</v>
      </c>
      <c r="D19" s="97" t="s">
        <v>795</v>
      </c>
      <c r="E19" s="98">
        <v>299</v>
      </c>
      <c r="F19" s="98">
        <f t="shared" si="2"/>
        <v>598</v>
      </c>
      <c r="G19" s="97" t="s">
        <v>796</v>
      </c>
      <c r="H19" s="97"/>
      <c r="I19" s="97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3">
      <c r="A20" s="96">
        <v>45993</v>
      </c>
      <c r="B20" s="97">
        <v>4</v>
      </c>
      <c r="C20" s="97" t="s">
        <v>697</v>
      </c>
      <c r="D20" s="97" t="s">
        <v>795</v>
      </c>
      <c r="E20" s="98">
        <v>125</v>
      </c>
      <c r="F20" s="98">
        <f t="shared" si="2"/>
        <v>500</v>
      </c>
      <c r="G20" s="97" t="s">
        <v>796</v>
      </c>
      <c r="H20" s="97"/>
      <c r="I20" s="97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3">
      <c r="A21" s="96">
        <v>45993</v>
      </c>
      <c r="B21" s="97">
        <v>2</v>
      </c>
      <c r="C21" s="97" t="s">
        <v>716</v>
      </c>
      <c r="D21" s="97" t="s">
        <v>795</v>
      </c>
      <c r="E21" s="98">
        <v>479</v>
      </c>
      <c r="F21" s="98">
        <f t="shared" si="2"/>
        <v>958</v>
      </c>
      <c r="G21" s="97" t="s">
        <v>796</v>
      </c>
      <c r="H21" s="97"/>
      <c r="I21" s="97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3">
      <c r="A22" s="96">
        <v>45993</v>
      </c>
      <c r="B22" s="97">
        <v>1</v>
      </c>
      <c r="C22" s="97" t="s">
        <v>664</v>
      </c>
      <c r="D22" s="97" t="s">
        <v>797</v>
      </c>
      <c r="E22" s="98">
        <v>299</v>
      </c>
      <c r="F22" s="98">
        <f t="shared" si="2"/>
        <v>299</v>
      </c>
      <c r="G22" s="97" t="s">
        <v>796</v>
      </c>
      <c r="H22" s="97"/>
      <c r="I22" s="97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3">
      <c r="A23" s="96">
        <v>45993</v>
      </c>
      <c r="B23" s="97">
        <v>2</v>
      </c>
      <c r="C23" s="97" t="s">
        <v>716</v>
      </c>
      <c r="D23" s="97" t="s">
        <v>797</v>
      </c>
      <c r="E23" s="98">
        <v>478</v>
      </c>
      <c r="F23" s="98">
        <f t="shared" si="2"/>
        <v>956</v>
      </c>
      <c r="G23" s="97" t="s">
        <v>796</v>
      </c>
      <c r="H23" s="97"/>
      <c r="I23" s="97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3">
      <c r="A24" s="96">
        <v>45993</v>
      </c>
      <c r="B24" s="97">
        <v>3</v>
      </c>
      <c r="C24" s="97" t="s">
        <v>664</v>
      </c>
      <c r="D24" s="97" t="s">
        <v>798</v>
      </c>
      <c r="E24" s="98">
        <v>399</v>
      </c>
      <c r="F24" s="98">
        <f t="shared" si="2"/>
        <v>1197</v>
      </c>
      <c r="G24" s="97" t="s">
        <v>796</v>
      </c>
      <c r="H24" s="97"/>
      <c r="I24" s="97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3">
      <c r="A25" s="96">
        <v>45994</v>
      </c>
      <c r="B25" s="97">
        <v>12</v>
      </c>
      <c r="C25" s="97" t="s">
        <v>664</v>
      </c>
      <c r="D25" s="97" t="s">
        <v>799</v>
      </c>
      <c r="E25" s="98">
        <v>398</v>
      </c>
      <c r="F25" s="98">
        <f t="shared" si="2"/>
        <v>4776</v>
      </c>
      <c r="G25" s="97" t="s">
        <v>365</v>
      </c>
      <c r="H25" s="97"/>
      <c r="I25" s="97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3">
      <c r="A26" s="96">
        <v>45994</v>
      </c>
      <c r="B26" s="97">
        <v>1</v>
      </c>
      <c r="C26" s="97" t="s">
        <v>801</v>
      </c>
      <c r="D26" s="97" t="s">
        <v>442</v>
      </c>
      <c r="E26" s="98">
        <v>598</v>
      </c>
      <c r="F26" s="98">
        <f t="shared" si="2"/>
        <v>598</v>
      </c>
      <c r="G26" s="97" t="s">
        <v>365</v>
      </c>
      <c r="H26" s="97"/>
      <c r="I26" s="97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3">
      <c r="A27" s="96">
        <v>45994</v>
      </c>
      <c r="B27" s="97">
        <v>6</v>
      </c>
      <c r="C27" s="97" t="s">
        <v>707</v>
      </c>
      <c r="D27" s="97" t="s">
        <v>688</v>
      </c>
      <c r="E27" s="98">
        <v>103</v>
      </c>
      <c r="F27" s="98">
        <f t="shared" si="2"/>
        <v>618</v>
      </c>
      <c r="G27" s="97" t="s">
        <v>365</v>
      </c>
      <c r="H27" s="97"/>
      <c r="I27" s="97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3">
      <c r="A28" s="96">
        <v>45994</v>
      </c>
      <c r="B28" s="97">
        <v>2</v>
      </c>
      <c r="C28" s="97" t="s">
        <v>717</v>
      </c>
      <c r="D28" s="97" t="s">
        <v>688</v>
      </c>
      <c r="E28" s="98">
        <v>629</v>
      </c>
      <c r="F28" s="98">
        <f t="shared" si="2"/>
        <v>1258</v>
      </c>
      <c r="G28" s="97" t="s">
        <v>365</v>
      </c>
      <c r="H28" s="97"/>
      <c r="I28" s="97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3">
      <c r="A29" s="96">
        <v>45994</v>
      </c>
      <c r="B29" s="97">
        <v>1</v>
      </c>
      <c r="C29" s="97" t="s">
        <v>802</v>
      </c>
      <c r="D29" s="97" t="s">
        <v>688</v>
      </c>
      <c r="E29" s="98">
        <v>69</v>
      </c>
      <c r="F29" s="98">
        <f t="shared" si="2"/>
        <v>69</v>
      </c>
      <c r="G29" s="97" t="s">
        <v>365</v>
      </c>
      <c r="H29" s="97"/>
      <c r="I29" s="97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3">
      <c r="A30" s="96">
        <v>45994</v>
      </c>
      <c r="B30" s="97">
        <v>1</v>
      </c>
      <c r="C30" s="97" t="s">
        <v>803</v>
      </c>
      <c r="D30" s="97" t="s">
        <v>688</v>
      </c>
      <c r="E30" s="98">
        <v>44</v>
      </c>
      <c r="F30" s="98">
        <f t="shared" si="2"/>
        <v>44</v>
      </c>
      <c r="G30" s="97" t="s">
        <v>365</v>
      </c>
      <c r="H30" s="97"/>
      <c r="I30" s="97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3">
      <c r="A31" s="96">
        <v>45994</v>
      </c>
      <c r="B31" s="97">
        <v>2</v>
      </c>
      <c r="C31" s="97" t="s">
        <v>664</v>
      </c>
      <c r="D31" s="97" t="s">
        <v>688</v>
      </c>
      <c r="E31" s="98">
        <v>299</v>
      </c>
      <c r="F31" s="98">
        <f t="shared" si="2"/>
        <v>598</v>
      </c>
      <c r="G31" s="97" t="s">
        <v>365</v>
      </c>
      <c r="H31" s="97"/>
      <c r="I31" s="97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3">
      <c r="A32" s="96">
        <v>45994</v>
      </c>
      <c r="B32" s="97">
        <v>14</v>
      </c>
      <c r="C32" s="97" t="s">
        <v>697</v>
      </c>
      <c r="D32" s="97" t="s">
        <v>688</v>
      </c>
      <c r="E32" s="98">
        <v>125</v>
      </c>
      <c r="F32" s="98">
        <f t="shared" si="2"/>
        <v>1750</v>
      </c>
      <c r="G32" s="97" t="s">
        <v>365</v>
      </c>
      <c r="H32" s="97"/>
      <c r="I32" s="97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3">
      <c r="A33" s="96">
        <v>45994</v>
      </c>
      <c r="B33" s="97">
        <v>1</v>
      </c>
      <c r="C33" s="97" t="s">
        <v>661</v>
      </c>
      <c r="D33" s="97" t="s">
        <v>688</v>
      </c>
      <c r="E33" s="98">
        <v>419</v>
      </c>
      <c r="F33" s="98">
        <f t="shared" si="2"/>
        <v>419</v>
      </c>
      <c r="G33" s="97" t="s">
        <v>365</v>
      </c>
      <c r="H33" s="97"/>
      <c r="I33" s="97"/>
      <c r="R33" t="s">
        <v>80</v>
      </c>
      <c r="S33">
        <v>1223</v>
      </c>
      <c r="V33">
        <f>SUM(V3:V32)</f>
        <v>354925</v>
      </c>
    </row>
    <row r="34" spans="1:22" x14ac:dyDescent="0.3">
      <c r="A34" s="96">
        <v>45994</v>
      </c>
      <c r="B34" s="97">
        <v>5</v>
      </c>
      <c r="C34" s="97" t="s">
        <v>804</v>
      </c>
      <c r="D34" s="97" t="s">
        <v>688</v>
      </c>
      <c r="E34" s="98">
        <v>419</v>
      </c>
      <c r="F34" s="98">
        <f t="shared" si="2"/>
        <v>2095</v>
      </c>
      <c r="G34" s="97" t="s">
        <v>365</v>
      </c>
      <c r="H34" s="97"/>
      <c r="I34" s="97"/>
    </row>
    <row r="35" spans="1:22" x14ac:dyDescent="0.3">
      <c r="A35" s="96">
        <v>45994</v>
      </c>
      <c r="B35" s="97">
        <v>1</v>
      </c>
      <c r="C35" s="97" t="s">
        <v>664</v>
      </c>
      <c r="D35" s="97" t="s">
        <v>688</v>
      </c>
      <c r="E35" s="98">
        <v>299</v>
      </c>
      <c r="F35" s="98">
        <f t="shared" si="2"/>
        <v>299</v>
      </c>
      <c r="G35" s="97" t="s">
        <v>365</v>
      </c>
      <c r="H35" s="97"/>
      <c r="I35" s="97"/>
    </row>
    <row r="36" spans="1:22" x14ac:dyDescent="0.3">
      <c r="A36" s="96">
        <v>45994</v>
      </c>
      <c r="B36" s="97">
        <v>2</v>
      </c>
      <c r="C36" s="97" t="s">
        <v>664</v>
      </c>
      <c r="D36" s="97" t="s">
        <v>688</v>
      </c>
      <c r="E36" s="98">
        <v>299</v>
      </c>
      <c r="F36" s="98">
        <f t="shared" si="2"/>
        <v>598</v>
      </c>
      <c r="G36" s="97" t="s">
        <v>365</v>
      </c>
      <c r="H36" s="97"/>
      <c r="I36" s="97"/>
    </row>
    <row r="37" spans="1:22" x14ac:dyDescent="0.3">
      <c r="A37" s="96">
        <v>45994</v>
      </c>
      <c r="B37" s="97">
        <v>1</v>
      </c>
      <c r="C37" s="97" t="s">
        <v>664</v>
      </c>
      <c r="D37" s="97" t="s">
        <v>688</v>
      </c>
      <c r="E37" s="98">
        <v>299</v>
      </c>
      <c r="F37" s="98">
        <f t="shared" si="2"/>
        <v>299</v>
      </c>
      <c r="G37" s="97" t="s">
        <v>365</v>
      </c>
      <c r="H37" s="97"/>
      <c r="I37" s="97"/>
    </row>
    <row r="38" spans="1:22" x14ac:dyDescent="0.3">
      <c r="A38" s="96">
        <v>45994</v>
      </c>
      <c r="B38" s="97">
        <v>2</v>
      </c>
      <c r="C38" s="97" t="s">
        <v>716</v>
      </c>
      <c r="D38" s="97" t="s">
        <v>688</v>
      </c>
      <c r="E38" s="98">
        <v>479</v>
      </c>
      <c r="F38" s="98">
        <f t="shared" si="2"/>
        <v>958</v>
      </c>
      <c r="G38" s="97" t="s">
        <v>365</v>
      </c>
      <c r="H38" s="97"/>
      <c r="I38" s="97"/>
    </row>
    <row r="39" spans="1:22" x14ac:dyDescent="0.3">
      <c r="A39" s="96">
        <v>45994</v>
      </c>
      <c r="B39" s="97">
        <v>2</v>
      </c>
      <c r="C39" s="97" t="s">
        <v>716</v>
      </c>
      <c r="D39" s="97" t="s">
        <v>710</v>
      </c>
      <c r="E39" s="98">
        <v>479</v>
      </c>
      <c r="F39" s="98">
        <f t="shared" si="2"/>
        <v>958</v>
      </c>
      <c r="G39" s="97" t="s">
        <v>8</v>
      </c>
      <c r="H39" s="97"/>
      <c r="I39" s="97"/>
    </row>
    <row r="40" spans="1:22" x14ac:dyDescent="0.3">
      <c r="A40" s="96">
        <v>45994</v>
      </c>
      <c r="B40" s="97">
        <v>1</v>
      </c>
      <c r="C40" s="97" t="s">
        <v>716</v>
      </c>
      <c r="D40" s="97" t="s">
        <v>805</v>
      </c>
      <c r="E40" s="98">
        <v>499</v>
      </c>
      <c r="F40" s="98">
        <v>499</v>
      </c>
      <c r="G40" s="97" t="s">
        <v>8</v>
      </c>
      <c r="H40" s="97"/>
      <c r="I40" s="97"/>
      <c r="J40" t="s">
        <v>806</v>
      </c>
    </row>
    <row r="41" spans="1:22" x14ac:dyDescent="0.3">
      <c r="A41" s="96">
        <v>45994</v>
      </c>
      <c r="B41" s="97">
        <v>4</v>
      </c>
      <c r="C41" s="97" t="s">
        <v>664</v>
      </c>
      <c r="D41" s="97" t="s">
        <v>807</v>
      </c>
      <c r="E41" s="98">
        <v>398</v>
      </c>
      <c r="F41" s="98">
        <f t="shared" si="2"/>
        <v>1592</v>
      </c>
      <c r="G41" s="97" t="s">
        <v>8</v>
      </c>
      <c r="H41" s="97"/>
      <c r="I41" s="97"/>
    </row>
    <row r="42" spans="1:22" x14ac:dyDescent="0.3">
      <c r="A42" s="96">
        <v>45995</v>
      </c>
      <c r="B42" s="97">
        <v>1</v>
      </c>
      <c r="C42" s="97" t="s">
        <v>664</v>
      </c>
      <c r="D42" s="97" t="s">
        <v>688</v>
      </c>
      <c r="E42" s="98">
        <v>299</v>
      </c>
      <c r="F42" s="98">
        <f t="shared" si="2"/>
        <v>299</v>
      </c>
      <c r="G42" s="97" t="s">
        <v>8</v>
      </c>
      <c r="H42" s="97"/>
      <c r="I42" s="97"/>
    </row>
    <row r="43" spans="1:22" x14ac:dyDescent="0.3">
      <c r="A43" s="96">
        <v>45995</v>
      </c>
      <c r="B43" s="97">
        <v>2</v>
      </c>
      <c r="C43" s="97" t="s">
        <v>664</v>
      </c>
      <c r="D43" s="97" t="s">
        <v>793</v>
      </c>
      <c r="E43" s="98">
        <v>399</v>
      </c>
      <c r="F43" s="98">
        <f t="shared" si="2"/>
        <v>798</v>
      </c>
      <c r="G43" s="97" t="s">
        <v>8</v>
      </c>
      <c r="H43" s="97"/>
      <c r="I43" s="97"/>
    </row>
    <row r="44" spans="1:22" x14ac:dyDescent="0.3">
      <c r="A44" s="96">
        <v>45995</v>
      </c>
      <c r="B44" s="97">
        <v>3</v>
      </c>
      <c r="C44" s="97" t="s">
        <v>804</v>
      </c>
      <c r="D44" s="97" t="s">
        <v>840</v>
      </c>
      <c r="E44" s="98">
        <v>419</v>
      </c>
      <c r="F44" s="98">
        <f t="shared" si="2"/>
        <v>1257</v>
      </c>
      <c r="G44" s="97" t="s">
        <v>8</v>
      </c>
      <c r="H44" s="97"/>
      <c r="I44" s="97"/>
    </row>
    <row r="45" spans="1:22" x14ac:dyDescent="0.3">
      <c r="A45" s="96">
        <v>45995</v>
      </c>
      <c r="B45" s="97">
        <v>2</v>
      </c>
      <c r="C45" s="97" t="s">
        <v>664</v>
      </c>
      <c r="D45" s="97" t="s">
        <v>491</v>
      </c>
      <c r="E45" s="98">
        <v>299</v>
      </c>
      <c r="F45" s="98">
        <f t="shared" si="2"/>
        <v>598</v>
      </c>
      <c r="G45" s="97" t="s">
        <v>8</v>
      </c>
      <c r="H45" s="97"/>
      <c r="I45" s="97"/>
    </row>
    <row r="46" spans="1:22" x14ac:dyDescent="0.3">
      <c r="A46" s="96">
        <v>45995</v>
      </c>
      <c r="B46" s="97">
        <v>1</v>
      </c>
      <c r="C46" s="97" t="s">
        <v>829</v>
      </c>
      <c r="D46" s="97" t="s">
        <v>738</v>
      </c>
      <c r="E46" s="98">
        <v>221</v>
      </c>
      <c r="F46" s="98">
        <f t="shared" si="2"/>
        <v>221</v>
      </c>
      <c r="G46" s="97"/>
      <c r="H46" s="97"/>
      <c r="I46" s="97" t="s">
        <v>85</v>
      </c>
    </row>
    <row r="47" spans="1:22" x14ac:dyDescent="0.3">
      <c r="A47" s="96">
        <v>45995</v>
      </c>
      <c r="B47" s="97">
        <v>2</v>
      </c>
      <c r="C47" s="97" t="s">
        <v>664</v>
      </c>
      <c r="D47" s="97" t="s">
        <v>72</v>
      </c>
      <c r="E47" s="98">
        <v>398</v>
      </c>
      <c r="F47" s="98">
        <f t="shared" si="2"/>
        <v>796</v>
      </c>
      <c r="G47" s="97" t="s">
        <v>8</v>
      </c>
      <c r="H47" s="97"/>
      <c r="I47" s="97"/>
    </row>
    <row r="48" spans="1:22" x14ac:dyDescent="0.3">
      <c r="A48" s="96">
        <v>45995</v>
      </c>
      <c r="B48" s="97">
        <v>2</v>
      </c>
      <c r="C48" s="97" t="s">
        <v>664</v>
      </c>
      <c r="D48" s="97" t="s">
        <v>21</v>
      </c>
      <c r="E48" s="98">
        <v>398</v>
      </c>
      <c r="F48" s="98">
        <f t="shared" si="2"/>
        <v>796</v>
      </c>
      <c r="G48" s="97" t="s">
        <v>8</v>
      </c>
      <c r="H48" s="97"/>
      <c r="I48" s="97"/>
    </row>
    <row r="49" spans="1:13" x14ac:dyDescent="0.3">
      <c r="A49" s="96">
        <v>45995</v>
      </c>
      <c r="B49" s="97">
        <v>2</v>
      </c>
      <c r="C49" s="97" t="s">
        <v>664</v>
      </c>
      <c r="D49" s="97" t="s">
        <v>21</v>
      </c>
      <c r="E49" s="98">
        <v>398</v>
      </c>
      <c r="F49" s="98">
        <f t="shared" si="2"/>
        <v>796</v>
      </c>
      <c r="G49" s="97" t="s">
        <v>8</v>
      </c>
      <c r="H49" s="97"/>
      <c r="I49" s="97"/>
    </row>
    <row r="50" spans="1:13" x14ac:dyDescent="0.3">
      <c r="A50" s="96">
        <v>45995</v>
      </c>
      <c r="B50" s="97">
        <v>1</v>
      </c>
      <c r="C50" s="97" t="s">
        <v>664</v>
      </c>
      <c r="D50" s="97" t="s">
        <v>808</v>
      </c>
      <c r="E50" s="98">
        <v>399</v>
      </c>
      <c r="F50" s="98">
        <f t="shared" si="2"/>
        <v>399</v>
      </c>
      <c r="G50" s="97" t="s">
        <v>8</v>
      </c>
      <c r="H50" s="97"/>
      <c r="I50" s="97"/>
    </row>
    <row r="51" spans="1:13" x14ac:dyDescent="0.3">
      <c r="A51" s="96">
        <v>45995</v>
      </c>
      <c r="B51" s="97">
        <v>1</v>
      </c>
      <c r="C51" s="97" t="s">
        <v>664</v>
      </c>
      <c r="D51" s="97" t="s">
        <v>101</v>
      </c>
      <c r="E51" s="98">
        <v>299</v>
      </c>
      <c r="F51" s="98">
        <f t="shared" si="2"/>
        <v>299</v>
      </c>
      <c r="G51" s="97" t="s">
        <v>844</v>
      </c>
      <c r="H51" s="97"/>
      <c r="I51" s="97"/>
      <c r="J51">
        <v>924</v>
      </c>
    </row>
    <row r="52" spans="1:13" x14ac:dyDescent="0.3">
      <c r="A52" s="96">
        <v>45995</v>
      </c>
      <c r="B52" s="97">
        <v>5</v>
      </c>
      <c r="C52" s="97" t="s">
        <v>697</v>
      </c>
      <c r="D52" s="97" t="s">
        <v>101</v>
      </c>
      <c r="E52" s="98">
        <v>125</v>
      </c>
      <c r="F52" s="98">
        <f t="shared" si="2"/>
        <v>625</v>
      </c>
      <c r="G52" s="97" t="s">
        <v>365</v>
      </c>
      <c r="H52" s="97"/>
      <c r="I52" s="97"/>
    </row>
    <row r="53" spans="1:13" x14ac:dyDescent="0.3">
      <c r="A53" s="96">
        <v>45995</v>
      </c>
      <c r="B53" s="97">
        <v>1</v>
      </c>
      <c r="C53" s="97" t="s">
        <v>664</v>
      </c>
      <c r="D53" s="97" t="s">
        <v>101</v>
      </c>
      <c r="E53" s="98">
        <v>299</v>
      </c>
      <c r="F53" s="98">
        <f t="shared" si="2"/>
        <v>299</v>
      </c>
      <c r="G53" s="97" t="s">
        <v>913</v>
      </c>
      <c r="H53" s="97"/>
      <c r="I53" s="97"/>
    </row>
    <row r="54" spans="1:13" x14ac:dyDescent="0.3">
      <c r="A54" s="96">
        <v>45995</v>
      </c>
      <c r="B54" s="97">
        <v>4</v>
      </c>
      <c r="C54" s="97" t="s">
        <v>661</v>
      </c>
      <c r="D54" s="97" t="s">
        <v>101</v>
      </c>
      <c r="E54" s="98">
        <v>419</v>
      </c>
      <c r="F54" s="98">
        <f t="shared" si="2"/>
        <v>1676</v>
      </c>
      <c r="G54" s="97" t="s">
        <v>8</v>
      </c>
      <c r="H54" s="97"/>
      <c r="I54" s="97"/>
    </row>
    <row r="55" spans="1:13" x14ac:dyDescent="0.3">
      <c r="A55" s="96">
        <v>45995</v>
      </c>
      <c r="B55" s="97">
        <v>1</v>
      </c>
      <c r="C55" s="97" t="s">
        <v>664</v>
      </c>
      <c r="D55" s="97" t="s">
        <v>101</v>
      </c>
      <c r="E55" s="98">
        <v>299</v>
      </c>
      <c r="F55" s="98">
        <f t="shared" si="2"/>
        <v>299</v>
      </c>
      <c r="G55" s="97" t="s">
        <v>8</v>
      </c>
      <c r="H55" s="97"/>
      <c r="I55" s="97"/>
    </row>
    <row r="56" spans="1:13" x14ac:dyDescent="0.3">
      <c r="A56" s="96">
        <v>45995</v>
      </c>
      <c r="B56" s="97">
        <v>2</v>
      </c>
      <c r="C56" s="97" t="s">
        <v>843</v>
      </c>
      <c r="D56" s="97" t="s">
        <v>101</v>
      </c>
      <c r="E56" s="98">
        <v>479</v>
      </c>
      <c r="F56" s="98">
        <f t="shared" si="2"/>
        <v>958</v>
      </c>
      <c r="G56" s="97" t="s">
        <v>11</v>
      </c>
      <c r="H56" s="97"/>
      <c r="I56" s="97" t="s">
        <v>902</v>
      </c>
    </row>
    <row r="57" spans="1:13" x14ac:dyDescent="0.3">
      <c r="A57" s="96">
        <v>45996</v>
      </c>
      <c r="B57" s="97">
        <v>2</v>
      </c>
      <c r="C57" s="97" t="s">
        <v>697</v>
      </c>
      <c r="D57" s="97" t="s">
        <v>101</v>
      </c>
      <c r="E57" s="98">
        <v>125</v>
      </c>
      <c r="F57" s="98">
        <f t="shared" si="2"/>
        <v>250</v>
      </c>
      <c r="G57" s="97" t="s">
        <v>8</v>
      </c>
      <c r="H57" s="97"/>
      <c r="I57" s="97"/>
      <c r="J57">
        <v>3183</v>
      </c>
    </row>
    <row r="58" spans="1:13" x14ac:dyDescent="0.3">
      <c r="A58" s="96">
        <v>45996</v>
      </c>
      <c r="B58" s="97">
        <v>3</v>
      </c>
      <c r="C58" s="97" t="s">
        <v>664</v>
      </c>
      <c r="D58" s="97" t="s">
        <v>230</v>
      </c>
      <c r="E58" s="98">
        <v>329</v>
      </c>
      <c r="F58" s="98">
        <f t="shared" si="2"/>
        <v>987</v>
      </c>
      <c r="G58" s="97" t="s">
        <v>8</v>
      </c>
      <c r="H58" s="97"/>
      <c r="I58" s="97"/>
    </row>
    <row r="59" spans="1:13" x14ac:dyDescent="0.3">
      <c r="A59" s="96">
        <v>45996</v>
      </c>
      <c r="B59" s="97">
        <v>1</v>
      </c>
      <c r="C59" s="97" t="s">
        <v>804</v>
      </c>
      <c r="D59" s="97" t="s">
        <v>230</v>
      </c>
      <c r="E59" s="98">
        <v>429</v>
      </c>
      <c r="F59" s="98">
        <f t="shared" si="2"/>
        <v>429</v>
      </c>
      <c r="G59" s="97" t="s">
        <v>8</v>
      </c>
      <c r="H59" s="97"/>
      <c r="I59" s="97"/>
    </row>
    <row r="60" spans="1:13" x14ac:dyDescent="0.3">
      <c r="A60" s="96">
        <v>45996</v>
      </c>
      <c r="B60" s="97">
        <v>2</v>
      </c>
      <c r="C60" s="97" t="s">
        <v>717</v>
      </c>
      <c r="D60" s="97" t="s">
        <v>230</v>
      </c>
      <c r="E60" s="98">
        <v>629</v>
      </c>
      <c r="F60" s="98">
        <f t="shared" si="2"/>
        <v>1258</v>
      </c>
      <c r="G60" s="97" t="s">
        <v>8</v>
      </c>
      <c r="H60" s="97"/>
      <c r="I60" s="97"/>
    </row>
    <row r="61" spans="1:13" x14ac:dyDescent="0.3">
      <c r="A61" s="96">
        <v>45996</v>
      </c>
      <c r="B61" s="97">
        <v>2</v>
      </c>
      <c r="C61" s="97" t="s">
        <v>664</v>
      </c>
      <c r="D61" s="97" t="s">
        <v>19</v>
      </c>
      <c r="E61" s="98">
        <v>398</v>
      </c>
      <c r="F61" s="98">
        <f t="shared" si="2"/>
        <v>796</v>
      </c>
      <c r="G61" s="97" t="s">
        <v>8</v>
      </c>
      <c r="H61" s="97"/>
      <c r="I61" s="97"/>
      <c r="M61">
        <v>67</v>
      </c>
    </row>
    <row r="62" spans="1:13" x14ac:dyDescent="0.3">
      <c r="A62" s="96">
        <v>45996</v>
      </c>
      <c r="B62" s="97">
        <v>4</v>
      </c>
      <c r="C62" s="97" t="s">
        <v>664</v>
      </c>
      <c r="D62" s="97" t="s">
        <v>675</v>
      </c>
      <c r="E62" s="98">
        <v>398</v>
      </c>
      <c r="F62" s="98">
        <f t="shared" si="2"/>
        <v>1592</v>
      </c>
      <c r="G62" s="97" t="s">
        <v>8</v>
      </c>
      <c r="H62" s="97"/>
      <c r="I62" s="97"/>
      <c r="M62">
        <v>67</v>
      </c>
    </row>
    <row r="63" spans="1:13" x14ac:dyDescent="0.3">
      <c r="A63" s="96">
        <v>45996</v>
      </c>
      <c r="B63" s="97">
        <v>2</v>
      </c>
      <c r="C63" s="97" t="s">
        <v>664</v>
      </c>
      <c r="D63" s="97" t="s">
        <v>813</v>
      </c>
      <c r="E63" s="98">
        <v>398</v>
      </c>
      <c r="F63" s="98">
        <f t="shared" si="2"/>
        <v>796</v>
      </c>
      <c r="G63" s="97" t="s">
        <v>854</v>
      </c>
      <c r="H63" s="97"/>
      <c r="I63" s="97"/>
      <c r="M63">
        <v>20</v>
      </c>
    </row>
    <row r="64" spans="1:13" x14ac:dyDescent="0.3">
      <c r="A64" s="96">
        <v>45997</v>
      </c>
      <c r="B64" s="97">
        <v>20</v>
      </c>
      <c r="C64" s="97" t="s">
        <v>664</v>
      </c>
      <c r="D64" s="97" t="s">
        <v>118</v>
      </c>
      <c r="E64" s="98">
        <v>380</v>
      </c>
      <c r="F64" s="98">
        <f t="shared" si="2"/>
        <v>7600</v>
      </c>
      <c r="G64" s="97" t="s">
        <v>830</v>
      </c>
      <c r="H64" s="97"/>
      <c r="I64" s="97"/>
    </row>
    <row r="65" spans="1:9" x14ac:dyDescent="0.3">
      <c r="A65" s="96">
        <v>45998</v>
      </c>
      <c r="B65" s="97">
        <v>4</v>
      </c>
      <c r="C65" s="97" t="s">
        <v>664</v>
      </c>
      <c r="D65" s="97" t="s">
        <v>834</v>
      </c>
      <c r="E65" s="98">
        <v>398</v>
      </c>
      <c r="F65" s="98">
        <f t="shared" si="2"/>
        <v>1592</v>
      </c>
      <c r="G65" s="97" t="s">
        <v>8</v>
      </c>
      <c r="H65" s="97"/>
      <c r="I65" s="97"/>
    </row>
    <row r="66" spans="1:9" x14ac:dyDescent="0.3">
      <c r="A66" s="96">
        <v>45998</v>
      </c>
      <c r="B66" s="97">
        <v>2</v>
      </c>
      <c r="C66" s="97" t="s">
        <v>664</v>
      </c>
      <c r="D66" s="97" t="s">
        <v>835</v>
      </c>
      <c r="E66" s="98">
        <v>398</v>
      </c>
      <c r="F66" s="98">
        <f t="shared" si="2"/>
        <v>796</v>
      </c>
      <c r="G66" s="97" t="s">
        <v>8</v>
      </c>
      <c r="H66" s="97"/>
      <c r="I66" s="97"/>
    </row>
    <row r="67" spans="1:9" x14ac:dyDescent="0.3">
      <c r="A67" s="96">
        <v>45998</v>
      </c>
      <c r="B67" s="97">
        <v>2</v>
      </c>
      <c r="C67" s="97" t="s">
        <v>664</v>
      </c>
      <c r="D67" s="97" t="s">
        <v>819</v>
      </c>
      <c r="E67" s="98">
        <v>398</v>
      </c>
      <c r="F67" s="98">
        <f t="shared" si="2"/>
        <v>796</v>
      </c>
      <c r="G67" s="97" t="s">
        <v>8</v>
      </c>
      <c r="H67" s="97"/>
      <c r="I67" s="97"/>
    </row>
    <row r="68" spans="1:9" x14ac:dyDescent="0.3">
      <c r="A68" s="96">
        <v>45998</v>
      </c>
      <c r="B68" s="97">
        <v>2</v>
      </c>
      <c r="C68" s="97" t="s">
        <v>664</v>
      </c>
      <c r="D68" s="97" t="s">
        <v>819</v>
      </c>
      <c r="E68" s="98">
        <v>398</v>
      </c>
      <c r="F68" s="98">
        <f t="shared" si="2"/>
        <v>796</v>
      </c>
      <c r="G68" s="97" t="s">
        <v>836</v>
      </c>
      <c r="H68" s="97"/>
      <c r="I68" s="97"/>
    </row>
    <row r="69" spans="1:9" x14ac:dyDescent="0.3">
      <c r="A69" s="96">
        <v>45998</v>
      </c>
      <c r="B69" s="97">
        <v>3</v>
      </c>
      <c r="C69" s="97" t="s">
        <v>837</v>
      </c>
      <c r="D69" s="97" t="s">
        <v>838</v>
      </c>
      <c r="E69" s="98">
        <v>1400</v>
      </c>
      <c r="F69" s="98">
        <f t="shared" si="2"/>
        <v>4200</v>
      </c>
      <c r="G69" s="97" t="s">
        <v>8</v>
      </c>
      <c r="H69" s="97"/>
      <c r="I69" s="97"/>
    </row>
    <row r="70" spans="1:9" x14ac:dyDescent="0.3">
      <c r="A70" s="96">
        <v>45998</v>
      </c>
      <c r="B70" s="97">
        <v>1</v>
      </c>
      <c r="C70" s="97" t="s">
        <v>664</v>
      </c>
      <c r="D70" s="97" t="s">
        <v>491</v>
      </c>
      <c r="E70" s="98">
        <v>399</v>
      </c>
      <c r="F70" s="98">
        <f t="shared" si="2"/>
        <v>399</v>
      </c>
      <c r="G70" s="97" t="s">
        <v>8</v>
      </c>
      <c r="H70" s="97"/>
      <c r="I70" s="97"/>
    </row>
    <row r="71" spans="1:9" x14ac:dyDescent="0.3">
      <c r="A71" s="96">
        <v>45998</v>
      </c>
      <c r="B71" s="97">
        <v>7</v>
      </c>
      <c r="C71" s="97" t="s">
        <v>664</v>
      </c>
      <c r="D71" s="97" t="s">
        <v>839</v>
      </c>
      <c r="E71" s="98">
        <v>398</v>
      </c>
      <c r="F71" s="98">
        <f t="shared" si="2"/>
        <v>2786</v>
      </c>
      <c r="G71" s="97" t="s">
        <v>8</v>
      </c>
      <c r="H71" s="97"/>
      <c r="I71" s="97"/>
    </row>
    <row r="72" spans="1:9" x14ac:dyDescent="0.3">
      <c r="A72" s="96">
        <v>45998</v>
      </c>
      <c r="B72" s="97">
        <v>2</v>
      </c>
      <c r="C72" s="97" t="s">
        <v>664</v>
      </c>
      <c r="D72" s="97" t="s">
        <v>841</v>
      </c>
      <c r="E72" s="98">
        <v>379</v>
      </c>
      <c r="F72" s="98">
        <f t="shared" si="2"/>
        <v>758</v>
      </c>
      <c r="G72" s="97" t="s">
        <v>842</v>
      </c>
      <c r="H72" s="97"/>
      <c r="I72" s="97"/>
    </row>
    <row r="73" spans="1:9" x14ac:dyDescent="0.3">
      <c r="A73" s="96">
        <v>45998</v>
      </c>
      <c r="B73" s="97">
        <v>30</v>
      </c>
      <c r="C73" s="97" t="s">
        <v>664</v>
      </c>
      <c r="D73" s="97" t="s">
        <v>855</v>
      </c>
      <c r="E73" s="98">
        <v>399</v>
      </c>
      <c r="F73" s="98">
        <f t="shared" ref="F73:F75" si="3">E73*B73</f>
        <v>11970</v>
      </c>
      <c r="G73" s="97" t="s">
        <v>856</v>
      </c>
      <c r="H73" s="97"/>
      <c r="I73" s="97" t="s">
        <v>824</v>
      </c>
    </row>
    <row r="74" spans="1:9" x14ac:dyDescent="0.3">
      <c r="A74" s="96">
        <v>45998</v>
      </c>
      <c r="B74" s="97">
        <v>26</v>
      </c>
      <c r="C74" s="97" t="s">
        <v>664</v>
      </c>
      <c r="D74" s="97" t="s">
        <v>855</v>
      </c>
      <c r="E74" s="98">
        <v>399</v>
      </c>
      <c r="F74" s="98">
        <f t="shared" si="3"/>
        <v>10374</v>
      </c>
      <c r="G74" s="97" t="s">
        <v>856</v>
      </c>
      <c r="H74" s="97"/>
      <c r="I74" s="97" t="s">
        <v>824</v>
      </c>
    </row>
    <row r="75" spans="1:9" x14ac:dyDescent="0.3">
      <c r="A75" s="96">
        <v>45998</v>
      </c>
      <c r="B75" s="97">
        <v>1</v>
      </c>
      <c r="C75" s="97" t="s">
        <v>776</v>
      </c>
      <c r="D75" s="97" t="s">
        <v>857</v>
      </c>
      <c r="E75" s="98">
        <v>1020</v>
      </c>
      <c r="F75" s="98">
        <f t="shared" si="3"/>
        <v>1020</v>
      </c>
      <c r="G75" s="97" t="s">
        <v>858</v>
      </c>
      <c r="H75" s="97"/>
      <c r="I75" s="97" t="s">
        <v>85</v>
      </c>
    </row>
    <row r="76" spans="1:9" x14ac:dyDescent="0.3">
      <c r="A76" s="96">
        <v>45999</v>
      </c>
      <c r="B76" s="97">
        <v>15</v>
      </c>
      <c r="C76" s="97" t="s">
        <v>697</v>
      </c>
      <c r="D76" s="97" t="s">
        <v>688</v>
      </c>
      <c r="E76" s="98">
        <v>125</v>
      </c>
      <c r="F76" s="98">
        <f t="shared" si="2"/>
        <v>1875</v>
      </c>
      <c r="G76" s="97" t="s">
        <v>8</v>
      </c>
      <c r="H76" s="97"/>
      <c r="I76" s="97"/>
    </row>
    <row r="77" spans="1:9" x14ac:dyDescent="0.3">
      <c r="A77" s="96">
        <v>45999</v>
      </c>
      <c r="B77" s="97">
        <v>1</v>
      </c>
      <c r="C77" s="97" t="s">
        <v>664</v>
      </c>
      <c r="D77" s="97" t="s">
        <v>688</v>
      </c>
      <c r="E77" s="98">
        <v>299</v>
      </c>
      <c r="F77" s="98">
        <f t="shared" si="2"/>
        <v>299</v>
      </c>
      <c r="G77" s="97" t="s">
        <v>8</v>
      </c>
      <c r="H77" s="97"/>
      <c r="I77" s="97"/>
    </row>
    <row r="78" spans="1:9" x14ac:dyDescent="0.3">
      <c r="A78" s="96">
        <v>45999</v>
      </c>
      <c r="B78" s="97">
        <v>2</v>
      </c>
      <c r="C78" s="97" t="s">
        <v>664</v>
      </c>
      <c r="D78" s="97" t="s">
        <v>688</v>
      </c>
      <c r="E78" s="98">
        <v>299</v>
      </c>
      <c r="F78" s="98">
        <f t="shared" si="2"/>
        <v>598</v>
      </c>
      <c r="G78" s="97" t="s">
        <v>868</v>
      </c>
      <c r="H78" s="97"/>
      <c r="I78" s="97"/>
    </row>
    <row r="79" spans="1:9" x14ac:dyDescent="0.3">
      <c r="A79" s="96">
        <v>45999</v>
      </c>
      <c r="B79" s="97">
        <v>2</v>
      </c>
      <c r="C79" s="97" t="s">
        <v>804</v>
      </c>
      <c r="D79" s="97" t="s">
        <v>688</v>
      </c>
      <c r="E79" s="98">
        <v>419</v>
      </c>
      <c r="F79" s="98">
        <f t="shared" si="2"/>
        <v>838</v>
      </c>
      <c r="G79" s="97" t="s">
        <v>8</v>
      </c>
      <c r="H79" s="97"/>
      <c r="I79" s="97"/>
    </row>
    <row r="80" spans="1:9" x14ac:dyDescent="0.3">
      <c r="A80" s="96">
        <v>45999</v>
      </c>
      <c r="B80" s="97">
        <v>18</v>
      </c>
      <c r="C80" s="97" t="s">
        <v>697</v>
      </c>
      <c r="D80" s="97" t="s">
        <v>101</v>
      </c>
      <c r="E80" s="98">
        <v>125</v>
      </c>
      <c r="F80" s="98">
        <f t="shared" si="2"/>
        <v>2250</v>
      </c>
      <c r="G80" s="97" t="s">
        <v>8</v>
      </c>
      <c r="H80" s="97"/>
      <c r="I80" s="97"/>
    </row>
    <row r="81" spans="1:9" x14ac:dyDescent="0.3">
      <c r="A81" s="96">
        <v>45999</v>
      </c>
      <c r="B81" s="97">
        <v>2</v>
      </c>
      <c r="C81" s="97" t="s">
        <v>832</v>
      </c>
      <c r="D81" s="97" t="s">
        <v>101</v>
      </c>
      <c r="E81" s="98">
        <v>2059</v>
      </c>
      <c r="F81" s="98">
        <f t="shared" si="2"/>
        <v>4118</v>
      </c>
      <c r="G81" s="97" t="s">
        <v>8</v>
      </c>
      <c r="H81" s="97"/>
      <c r="I81" s="97"/>
    </row>
    <row r="82" spans="1:9" x14ac:dyDescent="0.3">
      <c r="A82" s="96">
        <v>45999</v>
      </c>
      <c r="B82" s="97">
        <v>1</v>
      </c>
      <c r="C82" s="97" t="s">
        <v>664</v>
      </c>
      <c r="D82" s="97" t="s">
        <v>101</v>
      </c>
      <c r="E82" s="98">
        <v>299</v>
      </c>
      <c r="F82" s="98">
        <f t="shared" si="2"/>
        <v>299</v>
      </c>
      <c r="G82" s="97" t="s">
        <v>913</v>
      </c>
      <c r="H82" s="97"/>
      <c r="I82" s="97"/>
    </row>
    <row r="83" spans="1:9" x14ac:dyDescent="0.3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x14ac:dyDescent="0.3">
      <c r="A84" s="96">
        <v>46000</v>
      </c>
      <c r="B84" s="97">
        <v>12</v>
      </c>
      <c r="C84" s="97" t="s">
        <v>664</v>
      </c>
      <c r="D84" s="97" t="s">
        <v>494</v>
      </c>
      <c r="E84" s="98">
        <v>398</v>
      </c>
      <c r="F84" s="98">
        <f t="shared" si="2"/>
        <v>4776</v>
      </c>
      <c r="G84" s="97" t="s">
        <v>8</v>
      </c>
      <c r="H84" s="97"/>
      <c r="I84" s="97"/>
    </row>
    <row r="85" spans="1:9" x14ac:dyDescent="0.3">
      <c r="A85" s="96">
        <v>46000</v>
      </c>
      <c r="B85" s="97">
        <v>40</v>
      </c>
      <c r="C85" s="97" t="s">
        <v>664</v>
      </c>
      <c r="D85" s="97" t="s">
        <v>827</v>
      </c>
      <c r="E85" s="98">
        <v>398</v>
      </c>
      <c r="F85" s="98">
        <f t="shared" si="2"/>
        <v>15920</v>
      </c>
      <c r="G85" s="97" t="s">
        <v>859</v>
      </c>
      <c r="H85" s="97"/>
      <c r="I85" s="97" t="s">
        <v>824</v>
      </c>
    </row>
    <row r="86" spans="1:9" x14ac:dyDescent="0.3">
      <c r="A86" s="96">
        <v>46000</v>
      </c>
      <c r="B86" s="97">
        <v>1</v>
      </c>
      <c r="C86" s="97" t="s">
        <v>296</v>
      </c>
      <c r="D86" s="97" t="s">
        <v>827</v>
      </c>
      <c r="E86" s="98">
        <v>110</v>
      </c>
      <c r="F86" s="98">
        <f t="shared" si="2"/>
        <v>110</v>
      </c>
      <c r="G86" s="97" t="s">
        <v>859</v>
      </c>
      <c r="H86" s="97"/>
      <c r="I86" s="97"/>
    </row>
    <row r="87" spans="1:9" x14ac:dyDescent="0.3">
      <c r="A87" s="96">
        <v>46000</v>
      </c>
      <c r="B87" s="97">
        <v>1</v>
      </c>
      <c r="C87" s="97" t="s">
        <v>664</v>
      </c>
      <c r="D87" s="97" t="s">
        <v>828</v>
      </c>
      <c r="E87" s="98">
        <v>398</v>
      </c>
      <c r="F87" s="98">
        <f t="shared" si="2"/>
        <v>398</v>
      </c>
      <c r="G87" s="97" t="s">
        <v>8</v>
      </c>
      <c r="H87" s="97"/>
      <c r="I87" s="97"/>
    </row>
    <row r="88" spans="1:9" x14ac:dyDescent="0.3">
      <c r="A88" s="96">
        <v>46000</v>
      </c>
      <c r="B88" s="97">
        <v>1</v>
      </c>
      <c r="C88" s="97" t="s">
        <v>829</v>
      </c>
      <c r="D88" s="97" t="s">
        <v>738</v>
      </c>
      <c r="E88" s="98">
        <v>90</v>
      </c>
      <c r="F88" s="98">
        <f t="shared" si="2"/>
        <v>90</v>
      </c>
      <c r="G88" s="97"/>
      <c r="H88" s="97"/>
      <c r="I88" s="97" t="s">
        <v>85</v>
      </c>
    </row>
    <row r="89" spans="1:9" x14ac:dyDescent="0.3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x14ac:dyDescent="0.3">
      <c r="A90" s="96">
        <v>46001</v>
      </c>
      <c r="B90" s="97">
        <v>10</v>
      </c>
      <c r="C90" s="97" t="s">
        <v>664</v>
      </c>
      <c r="D90" s="97" t="s">
        <v>740</v>
      </c>
      <c r="E90" s="98">
        <v>398</v>
      </c>
      <c r="F90" s="98">
        <f t="shared" si="2"/>
        <v>3980</v>
      </c>
      <c r="G90" s="97" t="s">
        <v>859</v>
      </c>
      <c r="H90" s="97"/>
      <c r="I90" s="97" t="s">
        <v>824</v>
      </c>
    </row>
    <row r="91" spans="1:9" x14ac:dyDescent="0.3">
      <c r="A91" s="96">
        <v>46001</v>
      </c>
      <c r="B91" s="97">
        <v>2</v>
      </c>
      <c r="C91" s="97" t="s">
        <v>664</v>
      </c>
      <c r="D91" s="97" t="s">
        <v>809</v>
      </c>
      <c r="E91" s="98">
        <v>399</v>
      </c>
      <c r="F91" s="98">
        <f t="shared" si="2"/>
        <v>798</v>
      </c>
      <c r="G91" s="97" t="s">
        <v>873</v>
      </c>
      <c r="H91" s="97"/>
      <c r="I91" s="97"/>
    </row>
    <row r="92" spans="1:9" x14ac:dyDescent="0.3">
      <c r="A92" s="96">
        <v>46001</v>
      </c>
      <c r="B92" s="97">
        <v>2</v>
      </c>
      <c r="C92" s="97" t="s">
        <v>664</v>
      </c>
      <c r="D92" s="97" t="s">
        <v>819</v>
      </c>
      <c r="E92" s="98">
        <v>398</v>
      </c>
      <c r="F92" s="98">
        <f t="shared" si="2"/>
        <v>796</v>
      </c>
      <c r="G92" s="97" t="s">
        <v>859</v>
      </c>
      <c r="H92" s="97"/>
      <c r="I92" s="97"/>
    </row>
    <row r="93" spans="1:9" x14ac:dyDescent="0.3">
      <c r="A93" s="96">
        <v>46001</v>
      </c>
      <c r="B93" s="97">
        <v>1</v>
      </c>
      <c r="C93" s="97" t="s">
        <v>664</v>
      </c>
      <c r="D93" s="97" t="s">
        <v>819</v>
      </c>
      <c r="E93" s="98">
        <v>398</v>
      </c>
      <c r="F93" s="98">
        <f t="shared" si="2"/>
        <v>398</v>
      </c>
      <c r="G93" s="97" t="s">
        <v>8</v>
      </c>
      <c r="H93" s="97"/>
      <c r="I93" s="97"/>
    </row>
    <row r="94" spans="1:9" x14ac:dyDescent="0.3">
      <c r="A94" s="96">
        <v>46002</v>
      </c>
      <c r="B94" s="97">
        <v>2</v>
      </c>
      <c r="C94" s="97" t="s">
        <v>804</v>
      </c>
      <c r="D94" s="97" t="s">
        <v>364</v>
      </c>
      <c r="E94" s="98">
        <v>419</v>
      </c>
      <c r="F94" s="98">
        <f t="shared" si="2"/>
        <v>838</v>
      </c>
      <c r="G94" s="97" t="s">
        <v>8</v>
      </c>
      <c r="H94" s="97"/>
      <c r="I94" s="97"/>
    </row>
    <row r="95" spans="1:9" x14ac:dyDescent="0.3">
      <c r="A95" s="96">
        <v>46002</v>
      </c>
      <c r="B95" s="97">
        <v>3</v>
      </c>
      <c r="C95" s="97" t="s">
        <v>664</v>
      </c>
      <c r="D95" s="97" t="s">
        <v>364</v>
      </c>
      <c r="E95" s="98">
        <v>340</v>
      </c>
      <c r="F95" s="98">
        <f t="shared" si="2"/>
        <v>1020</v>
      </c>
      <c r="G95" s="97" t="s">
        <v>1063</v>
      </c>
      <c r="H95" s="97"/>
      <c r="I95" s="97"/>
    </row>
    <row r="96" spans="1:9" x14ac:dyDescent="0.3">
      <c r="A96" s="96">
        <v>46002</v>
      </c>
      <c r="B96" s="97">
        <v>4</v>
      </c>
      <c r="C96" s="97" t="s">
        <v>746</v>
      </c>
      <c r="D96" s="97" t="s">
        <v>364</v>
      </c>
      <c r="E96" s="98">
        <v>105</v>
      </c>
      <c r="F96" s="98">
        <f t="shared" si="2"/>
        <v>420</v>
      </c>
      <c r="G96" s="97" t="s">
        <v>8</v>
      </c>
      <c r="H96" s="97"/>
      <c r="I96" s="97"/>
    </row>
    <row r="97" spans="1:9" x14ac:dyDescent="0.3">
      <c r="A97" s="96">
        <v>46002</v>
      </c>
      <c r="B97" s="97">
        <v>1</v>
      </c>
      <c r="C97" s="97" t="s">
        <v>323</v>
      </c>
      <c r="D97" s="97" t="s">
        <v>364</v>
      </c>
      <c r="E97" s="98">
        <v>573</v>
      </c>
      <c r="F97" s="98">
        <f t="shared" si="2"/>
        <v>573</v>
      </c>
      <c r="G97" s="97" t="s">
        <v>8</v>
      </c>
      <c r="H97" s="97"/>
      <c r="I97" s="97"/>
    </row>
    <row r="98" spans="1:9" x14ac:dyDescent="0.3">
      <c r="A98" s="96">
        <v>46002</v>
      </c>
      <c r="B98" s="97">
        <v>10</v>
      </c>
      <c r="C98" s="97" t="s">
        <v>697</v>
      </c>
      <c r="D98" s="97" t="s">
        <v>364</v>
      </c>
      <c r="E98" s="98">
        <v>130</v>
      </c>
      <c r="F98" s="98">
        <f t="shared" si="2"/>
        <v>1300</v>
      </c>
      <c r="G98" s="97" t="s">
        <v>8</v>
      </c>
      <c r="H98" s="97"/>
      <c r="I98" s="97"/>
    </row>
    <row r="99" spans="1:9" x14ac:dyDescent="0.3">
      <c r="A99" s="96">
        <v>46002</v>
      </c>
      <c r="B99" s="97">
        <v>3</v>
      </c>
      <c r="C99" s="97" t="s">
        <v>378</v>
      </c>
      <c r="D99" s="97" t="s">
        <v>364</v>
      </c>
      <c r="E99" s="98">
        <v>573</v>
      </c>
      <c r="F99" s="98">
        <f t="shared" si="2"/>
        <v>1719</v>
      </c>
      <c r="G99" s="97" t="s">
        <v>873</v>
      </c>
      <c r="H99" s="97"/>
      <c r="I99" s="97"/>
    </row>
    <row r="100" spans="1:9" x14ac:dyDescent="0.3">
      <c r="A100" s="96">
        <v>46002</v>
      </c>
      <c r="B100" s="97">
        <v>3</v>
      </c>
      <c r="C100" s="97" t="s">
        <v>639</v>
      </c>
      <c r="D100" s="97" t="s">
        <v>364</v>
      </c>
      <c r="E100" s="98">
        <v>1095</v>
      </c>
      <c r="F100" s="98">
        <f t="shared" si="2"/>
        <v>3285</v>
      </c>
      <c r="G100" s="97" t="s">
        <v>873</v>
      </c>
      <c r="H100" s="97"/>
      <c r="I100" s="97"/>
    </row>
    <row r="101" spans="1:9" x14ac:dyDescent="0.3">
      <c r="A101" s="96">
        <v>46002</v>
      </c>
      <c r="B101" s="97">
        <v>2</v>
      </c>
      <c r="C101" s="97" t="s">
        <v>837</v>
      </c>
      <c r="D101" s="97" t="s">
        <v>101</v>
      </c>
      <c r="E101" s="98">
        <v>1400</v>
      </c>
      <c r="F101" s="98">
        <f t="shared" si="2"/>
        <v>2800</v>
      </c>
      <c r="G101" s="97" t="s">
        <v>862</v>
      </c>
      <c r="H101" s="97"/>
      <c r="I101" s="97"/>
    </row>
    <row r="102" spans="1:9" x14ac:dyDescent="0.3">
      <c r="A102" s="96">
        <v>46002</v>
      </c>
      <c r="B102" s="97">
        <v>2</v>
      </c>
      <c r="C102" s="97" t="s">
        <v>664</v>
      </c>
      <c r="D102" s="97" t="s">
        <v>101</v>
      </c>
      <c r="E102" s="98">
        <v>399</v>
      </c>
      <c r="F102" s="98">
        <f t="shared" si="2"/>
        <v>798</v>
      </c>
      <c r="G102" s="97" t="s">
        <v>862</v>
      </c>
      <c r="H102" s="97"/>
      <c r="I102" s="97"/>
    </row>
    <row r="103" spans="1:9" x14ac:dyDescent="0.3">
      <c r="A103" s="96">
        <v>46002</v>
      </c>
      <c r="B103" s="97">
        <v>10</v>
      </c>
      <c r="C103" s="97" t="s">
        <v>697</v>
      </c>
      <c r="D103" s="97" t="s">
        <v>101</v>
      </c>
      <c r="E103" s="98">
        <v>125</v>
      </c>
      <c r="F103" s="98">
        <f t="shared" si="2"/>
        <v>1250</v>
      </c>
      <c r="G103" s="97" t="s">
        <v>862</v>
      </c>
      <c r="H103" s="97"/>
      <c r="I103" s="97"/>
    </row>
    <row r="104" spans="1:9" x14ac:dyDescent="0.3">
      <c r="A104" s="96">
        <v>46002</v>
      </c>
      <c r="B104" s="97">
        <v>2</v>
      </c>
      <c r="C104" s="97" t="s">
        <v>837</v>
      </c>
      <c r="D104" s="97" t="s">
        <v>101</v>
      </c>
      <c r="E104" s="98">
        <v>1400</v>
      </c>
      <c r="F104" s="98">
        <f t="shared" si="2"/>
        <v>2800</v>
      </c>
      <c r="G104" s="97" t="s">
        <v>365</v>
      </c>
      <c r="H104" s="97"/>
      <c r="I104" s="97"/>
    </row>
    <row r="105" spans="1:9" x14ac:dyDescent="0.3">
      <c r="A105" s="96">
        <v>46003</v>
      </c>
      <c r="B105" s="97">
        <v>20</v>
      </c>
      <c r="C105" s="97" t="s">
        <v>664</v>
      </c>
      <c r="D105" s="97" t="s">
        <v>740</v>
      </c>
      <c r="E105" s="98">
        <v>398</v>
      </c>
      <c r="F105" s="98">
        <f t="shared" si="2"/>
        <v>7960</v>
      </c>
      <c r="G105" s="97" t="s">
        <v>903</v>
      </c>
      <c r="H105" s="97"/>
      <c r="I105" s="97"/>
    </row>
    <row r="106" spans="1:9" x14ac:dyDescent="0.3">
      <c r="A106" s="96">
        <v>46003</v>
      </c>
      <c r="B106" s="97">
        <v>10</v>
      </c>
      <c r="C106" s="97" t="s">
        <v>837</v>
      </c>
      <c r="D106" s="97" t="s">
        <v>864</v>
      </c>
      <c r="E106" s="98">
        <v>1400</v>
      </c>
      <c r="F106" s="98">
        <f t="shared" si="2"/>
        <v>14000</v>
      </c>
      <c r="G106" s="97" t="s">
        <v>867</v>
      </c>
      <c r="H106" s="97"/>
      <c r="I106" s="97"/>
    </row>
    <row r="107" spans="1:9" x14ac:dyDescent="0.3">
      <c r="A107" s="96">
        <v>46003</v>
      </c>
      <c r="B107" s="97">
        <v>3</v>
      </c>
      <c r="C107" s="97" t="s">
        <v>863</v>
      </c>
      <c r="D107" s="97" t="s">
        <v>864</v>
      </c>
      <c r="E107" s="98">
        <v>2490</v>
      </c>
      <c r="F107" s="98">
        <f t="shared" si="2"/>
        <v>7470</v>
      </c>
      <c r="G107" s="97" t="s">
        <v>867</v>
      </c>
      <c r="H107" s="97"/>
      <c r="I107" s="97"/>
    </row>
    <row r="108" spans="1:9" x14ac:dyDescent="0.3">
      <c r="A108" s="96">
        <v>46002</v>
      </c>
      <c r="B108" s="97">
        <v>100</v>
      </c>
      <c r="C108" s="97" t="s">
        <v>664</v>
      </c>
      <c r="D108" s="97" t="s">
        <v>865</v>
      </c>
      <c r="E108" s="98">
        <v>274</v>
      </c>
      <c r="F108" s="98">
        <f t="shared" si="2"/>
        <v>27400</v>
      </c>
      <c r="G108" s="97" t="s">
        <v>875</v>
      </c>
      <c r="H108" s="97"/>
      <c r="I108" s="97"/>
    </row>
    <row r="109" spans="1:9" x14ac:dyDescent="0.3">
      <c r="A109" s="96">
        <v>46002</v>
      </c>
      <c r="B109" s="97">
        <v>1</v>
      </c>
      <c r="C109" s="97" t="s">
        <v>296</v>
      </c>
      <c r="D109" s="97" t="s">
        <v>865</v>
      </c>
      <c r="E109" s="98">
        <v>110</v>
      </c>
      <c r="F109" s="98">
        <f t="shared" si="2"/>
        <v>110</v>
      </c>
      <c r="G109" s="97" t="s">
        <v>875</v>
      </c>
      <c r="H109" s="97"/>
      <c r="I109" s="97"/>
    </row>
    <row r="110" spans="1:9" x14ac:dyDescent="0.3">
      <c r="A110" s="96">
        <v>46003</v>
      </c>
      <c r="B110" s="97">
        <v>70</v>
      </c>
      <c r="C110" s="97" t="s">
        <v>697</v>
      </c>
      <c r="D110" s="97" t="s">
        <v>30</v>
      </c>
      <c r="E110" s="98">
        <v>132</v>
      </c>
      <c r="F110" s="98">
        <f t="shared" si="2"/>
        <v>9240</v>
      </c>
      <c r="G110" s="97" t="s">
        <v>952</v>
      </c>
      <c r="H110" s="97"/>
      <c r="I110" s="97"/>
    </row>
    <row r="111" spans="1:9" x14ac:dyDescent="0.3">
      <c r="A111" s="96">
        <v>46004</v>
      </c>
      <c r="B111" s="97">
        <v>10</v>
      </c>
      <c r="C111" s="97" t="s">
        <v>866</v>
      </c>
      <c r="D111" s="97" t="s">
        <v>677</v>
      </c>
      <c r="E111" s="98">
        <v>960</v>
      </c>
      <c r="F111" s="98">
        <f t="shared" si="2"/>
        <v>9600</v>
      </c>
      <c r="G111" s="97" t="s">
        <v>952</v>
      </c>
      <c r="H111" s="97"/>
      <c r="I111" s="97" t="s">
        <v>115</v>
      </c>
    </row>
    <row r="112" spans="1:9" x14ac:dyDescent="0.3">
      <c r="A112" s="96">
        <v>46005</v>
      </c>
      <c r="B112" s="97">
        <v>3</v>
      </c>
      <c r="C112" s="97" t="s">
        <v>874</v>
      </c>
      <c r="D112" s="97" t="s">
        <v>864</v>
      </c>
      <c r="E112" s="98">
        <v>3300</v>
      </c>
      <c r="F112" s="98">
        <f t="shared" si="2"/>
        <v>9900</v>
      </c>
      <c r="G112" s="97" t="s">
        <v>8</v>
      </c>
      <c r="H112" s="97"/>
      <c r="I112" s="97"/>
    </row>
    <row r="113" spans="1:9" x14ac:dyDescent="0.3">
      <c r="A113" s="96">
        <v>46005</v>
      </c>
      <c r="B113" s="97">
        <v>23</v>
      </c>
      <c r="C113" s="97" t="s">
        <v>664</v>
      </c>
      <c r="D113" s="97" t="s">
        <v>855</v>
      </c>
      <c r="E113" s="98">
        <v>399</v>
      </c>
      <c r="F113" s="98">
        <f t="shared" si="2"/>
        <v>9177</v>
      </c>
      <c r="G113" s="97" t="s">
        <v>869</v>
      </c>
      <c r="H113" s="97"/>
      <c r="I113" s="97"/>
    </row>
    <row r="114" spans="1:9" x14ac:dyDescent="0.3">
      <c r="A114" s="96">
        <v>46006</v>
      </c>
      <c r="B114" s="97">
        <v>12</v>
      </c>
      <c r="C114" s="97" t="s">
        <v>664</v>
      </c>
      <c r="D114" s="97" t="s">
        <v>497</v>
      </c>
      <c r="E114" s="98">
        <v>398</v>
      </c>
      <c r="F114" s="98">
        <f t="shared" si="2"/>
        <v>4776</v>
      </c>
      <c r="G114" s="97" t="s">
        <v>8</v>
      </c>
      <c r="H114" s="97"/>
      <c r="I114" s="97"/>
    </row>
    <row r="115" spans="1:9" x14ac:dyDescent="0.3">
      <c r="A115" s="96">
        <v>46006</v>
      </c>
      <c r="B115" s="97">
        <v>12</v>
      </c>
      <c r="C115" s="97" t="s">
        <v>664</v>
      </c>
      <c r="D115" s="97" t="s">
        <v>870</v>
      </c>
      <c r="E115" s="98">
        <v>398</v>
      </c>
      <c r="F115" s="98">
        <f t="shared" si="2"/>
        <v>4776</v>
      </c>
      <c r="G115" s="97" t="s">
        <v>8</v>
      </c>
      <c r="H115" s="97"/>
      <c r="I115" s="97"/>
    </row>
    <row r="116" spans="1:9" x14ac:dyDescent="0.3">
      <c r="A116" s="96">
        <v>46006</v>
      </c>
      <c r="B116" s="97">
        <v>15</v>
      </c>
      <c r="C116" s="97" t="s">
        <v>664</v>
      </c>
      <c r="D116" s="97" t="s">
        <v>740</v>
      </c>
      <c r="E116" s="98">
        <v>398</v>
      </c>
      <c r="F116" s="98">
        <f t="shared" si="2"/>
        <v>5970</v>
      </c>
      <c r="G116" s="97" t="s">
        <v>903</v>
      </c>
      <c r="H116" s="97"/>
      <c r="I116" s="97"/>
    </row>
    <row r="117" spans="1:9" x14ac:dyDescent="0.3">
      <c r="A117" s="96">
        <v>46006</v>
      </c>
      <c r="B117" s="97">
        <v>3</v>
      </c>
      <c r="C117" s="97" t="s">
        <v>409</v>
      </c>
      <c r="D117" s="97" t="s">
        <v>364</v>
      </c>
      <c r="E117" s="98">
        <v>1059</v>
      </c>
      <c r="F117" s="98">
        <f t="shared" si="2"/>
        <v>3177</v>
      </c>
      <c r="G117" s="97" t="s">
        <v>8</v>
      </c>
      <c r="H117" s="97"/>
      <c r="I117" s="97"/>
    </row>
    <row r="118" spans="1:9" x14ac:dyDescent="0.3">
      <c r="A118" s="96">
        <v>46006</v>
      </c>
      <c r="B118" s="97">
        <v>1</v>
      </c>
      <c r="C118" s="97" t="s">
        <v>871</v>
      </c>
      <c r="D118" s="97" t="s">
        <v>364</v>
      </c>
      <c r="E118" s="98">
        <v>573</v>
      </c>
      <c r="F118" s="98">
        <f t="shared" si="2"/>
        <v>573</v>
      </c>
      <c r="G118" s="97" t="s">
        <v>8</v>
      </c>
      <c r="H118" s="97"/>
      <c r="I118" s="97"/>
    </row>
    <row r="119" spans="1:9" x14ac:dyDescent="0.3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x14ac:dyDescent="0.3">
      <c r="A120" s="96">
        <v>46006</v>
      </c>
      <c r="B120" s="97">
        <v>7</v>
      </c>
      <c r="C120" s="97" t="s">
        <v>664</v>
      </c>
      <c r="D120" s="97" t="s">
        <v>855</v>
      </c>
      <c r="E120" s="98">
        <v>398</v>
      </c>
      <c r="F120" s="98">
        <f t="shared" ref="F120:F158" si="4">E120*B120</f>
        <v>2786</v>
      </c>
      <c r="G120" s="97" t="s">
        <v>873</v>
      </c>
      <c r="H120" s="97"/>
      <c r="I120" s="97"/>
    </row>
    <row r="121" spans="1:9" x14ac:dyDescent="0.3">
      <c r="A121" s="96">
        <v>46006</v>
      </c>
      <c r="B121" s="97">
        <v>2</v>
      </c>
      <c r="C121" s="97" t="s">
        <v>832</v>
      </c>
      <c r="D121" s="97" t="s">
        <v>811</v>
      </c>
      <c r="E121" s="98">
        <v>2099</v>
      </c>
      <c r="F121" s="98">
        <f t="shared" si="4"/>
        <v>4198</v>
      </c>
      <c r="G121" s="97" t="s">
        <v>873</v>
      </c>
      <c r="H121" s="97"/>
      <c r="I121" s="97"/>
    </row>
    <row r="122" spans="1:9" x14ac:dyDescent="0.3">
      <c r="A122" s="96">
        <v>46006</v>
      </c>
      <c r="B122" s="97">
        <v>23</v>
      </c>
      <c r="C122" s="97" t="s">
        <v>664</v>
      </c>
      <c r="D122" s="97" t="s">
        <v>855</v>
      </c>
      <c r="E122" s="98">
        <v>399</v>
      </c>
      <c r="F122" s="98">
        <f t="shared" si="4"/>
        <v>9177</v>
      </c>
      <c r="G122" s="97" t="s">
        <v>365</v>
      </c>
      <c r="H122" s="97"/>
      <c r="I122" s="97"/>
    </row>
    <row r="123" spans="1:9" x14ac:dyDescent="0.3">
      <c r="A123" s="96">
        <v>46006</v>
      </c>
      <c r="B123" s="97">
        <v>1</v>
      </c>
      <c r="C123" s="97" t="s">
        <v>900</v>
      </c>
      <c r="D123" s="97" t="s">
        <v>857</v>
      </c>
      <c r="E123" s="98">
        <v>450</v>
      </c>
      <c r="F123" s="98">
        <f t="shared" si="4"/>
        <v>450</v>
      </c>
      <c r="G123" s="97" t="s">
        <v>904</v>
      </c>
      <c r="H123" s="97"/>
      <c r="I123" s="97" t="s">
        <v>85</v>
      </c>
    </row>
    <row r="124" spans="1:9" x14ac:dyDescent="0.3">
      <c r="A124" s="96">
        <v>46007</v>
      </c>
      <c r="B124" s="97">
        <v>4</v>
      </c>
      <c r="C124" s="97" t="s">
        <v>664</v>
      </c>
      <c r="D124" s="97" t="s">
        <v>877</v>
      </c>
      <c r="E124" s="98">
        <v>398</v>
      </c>
      <c r="F124" s="98">
        <f t="shared" si="4"/>
        <v>1592</v>
      </c>
      <c r="G124" s="97" t="s">
        <v>8</v>
      </c>
      <c r="H124" s="97"/>
      <c r="I124" s="97"/>
    </row>
    <row r="125" spans="1:9" x14ac:dyDescent="0.3">
      <c r="A125" s="96">
        <v>46008</v>
      </c>
      <c r="B125" s="97">
        <v>44</v>
      </c>
      <c r="C125" s="97" t="s">
        <v>664</v>
      </c>
      <c r="D125" s="97" t="s">
        <v>878</v>
      </c>
      <c r="E125" s="98">
        <v>398</v>
      </c>
      <c r="F125" s="98">
        <f t="shared" si="4"/>
        <v>17512</v>
      </c>
      <c r="G125" s="97" t="s">
        <v>348</v>
      </c>
      <c r="H125" s="97"/>
      <c r="I125" s="97" t="s">
        <v>860</v>
      </c>
    </row>
    <row r="126" spans="1:9" x14ac:dyDescent="0.3">
      <c r="A126" s="96">
        <v>46008</v>
      </c>
      <c r="B126" s="97">
        <v>1</v>
      </c>
      <c r="C126" s="97" t="s">
        <v>296</v>
      </c>
      <c r="D126" s="97" t="s">
        <v>878</v>
      </c>
      <c r="E126" s="98">
        <v>110</v>
      </c>
      <c r="F126" s="98">
        <f t="shared" si="4"/>
        <v>110</v>
      </c>
      <c r="G126" s="97" t="s">
        <v>85</v>
      </c>
      <c r="H126" s="97"/>
      <c r="I126" s="97"/>
    </row>
    <row r="127" spans="1:9" x14ac:dyDescent="0.3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x14ac:dyDescent="0.3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x14ac:dyDescent="0.3">
      <c r="A129" s="96">
        <v>46008</v>
      </c>
      <c r="B129" s="97">
        <v>159</v>
      </c>
      <c r="C129" s="97" t="s">
        <v>664</v>
      </c>
      <c r="D129" s="97" t="s">
        <v>881</v>
      </c>
      <c r="E129" s="98">
        <v>398</v>
      </c>
      <c r="F129" s="98">
        <f t="shared" si="4"/>
        <v>63282</v>
      </c>
      <c r="G129" s="97" t="s">
        <v>888</v>
      </c>
      <c r="H129" s="97"/>
      <c r="I129" s="97" t="s">
        <v>860</v>
      </c>
    </row>
    <row r="130" spans="1:12" x14ac:dyDescent="0.3">
      <c r="A130" s="96">
        <v>46009</v>
      </c>
      <c r="B130" s="97">
        <v>9</v>
      </c>
      <c r="C130" s="97" t="s">
        <v>664</v>
      </c>
      <c r="D130" s="97" t="s">
        <v>881</v>
      </c>
      <c r="E130" s="98">
        <v>398</v>
      </c>
      <c r="F130" s="98">
        <f t="shared" si="4"/>
        <v>3582</v>
      </c>
      <c r="G130" s="97" t="s">
        <v>888</v>
      </c>
      <c r="H130" s="97"/>
      <c r="I130" s="97" t="s">
        <v>860</v>
      </c>
    </row>
    <row r="131" spans="1:12" x14ac:dyDescent="0.3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x14ac:dyDescent="0.3">
      <c r="A132" s="96">
        <v>46010</v>
      </c>
      <c r="B132" s="97">
        <v>2</v>
      </c>
      <c r="C132" s="97" t="s">
        <v>883</v>
      </c>
      <c r="D132" s="97" t="s">
        <v>103</v>
      </c>
      <c r="E132" s="98">
        <v>477</v>
      </c>
      <c r="F132" s="98">
        <f t="shared" si="4"/>
        <v>954</v>
      </c>
      <c r="G132" s="97" t="s">
        <v>905</v>
      </c>
      <c r="H132" s="97"/>
      <c r="I132" s="97" t="s">
        <v>886</v>
      </c>
    </row>
    <row r="133" spans="1:12" x14ac:dyDescent="0.3">
      <c r="A133" s="96">
        <v>46010</v>
      </c>
      <c r="B133" s="97">
        <v>2</v>
      </c>
      <c r="C133" s="97" t="s">
        <v>883</v>
      </c>
      <c r="D133" s="97" t="s">
        <v>103</v>
      </c>
      <c r="E133" s="98">
        <v>477</v>
      </c>
      <c r="F133" s="98">
        <f t="shared" si="4"/>
        <v>954</v>
      </c>
      <c r="G133" s="97" t="s">
        <v>905</v>
      </c>
      <c r="H133" s="97"/>
      <c r="I133" s="97"/>
      <c r="K133">
        <v>242</v>
      </c>
      <c r="L133">
        <v>350</v>
      </c>
    </row>
    <row r="134" spans="1:12" x14ac:dyDescent="0.3">
      <c r="A134" s="96">
        <v>46010</v>
      </c>
      <c r="B134" s="97">
        <v>2</v>
      </c>
      <c r="C134" s="97" t="s">
        <v>883</v>
      </c>
      <c r="D134" s="97" t="s">
        <v>884</v>
      </c>
      <c r="E134" s="98">
        <v>477</v>
      </c>
      <c r="F134" s="98">
        <f t="shared" ref="F134" si="5">E134*B134</f>
        <v>954</v>
      </c>
      <c r="G134" s="97" t="s">
        <v>905</v>
      </c>
      <c r="H134" s="97"/>
      <c r="I134" s="97" t="s">
        <v>886</v>
      </c>
      <c r="K134">
        <v>50</v>
      </c>
    </row>
    <row r="135" spans="1:12" x14ac:dyDescent="0.3">
      <c r="A135" s="96">
        <v>46010</v>
      </c>
      <c r="B135" s="97">
        <v>2</v>
      </c>
      <c r="C135" s="97" t="s">
        <v>883</v>
      </c>
      <c r="D135" s="97" t="s">
        <v>887</v>
      </c>
      <c r="E135" s="98">
        <v>477</v>
      </c>
      <c r="F135" s="98">
        <f t="shared" si="4"/>
        <v>954</v>
      </c>
      <c r="G135" s="107" t="s">
        <v>992</v>
      </c>
      <c r="H135" s="97"/>
      <c r="I135" s="97" t="s">
        <v>991</v>
      </c>
      <c r="J135">
        <v>8129</v>
      </c>
    </row>
    <row r="136" spans="1:12" x14ac:dyDescent="0.3">
      <c r="A136" s="96">
        <v>46010</v>
      </c>
      <c r="B136" s="97">
        <v>2</v>
      </c>
      <c r="C136" s="97" t="s">
        <v>892</v>
      </c>
      <c r="D136" s="97" t="s">
        <v>893</v>
      </c>
      <c r="E136" s="98">
        <v>480</v>
      </c>
      <c r="F136" s="98">
        <f t="shared" si="4"/>
        <v>960</v>
      </c>
      <c r="G136" s="97" t="s">
        <v>906</v>
      </c>
      <c r="H136" s="97"/>
      <c r="I136" s="97"/>
    </row>
    <row r="137" spans="1:12" x14ac:dyDescent="0.3">
      <c r="A137" s="96">
        <v>46010</v>
      </c>
      <c r="B137" s="97">
        <v>2</v>
      </c>
      <c r="C137" s="97" t="s">
        <v>892</v>
      </c>
      <c r="D137" s="97" t="s">
        <v>894</v>
      </c>
      <c r="E137" s="98">
        <v>480</v>
      </c>
      <c r="F137" s="98">
        <f t="shared" si="4"/>
        <v>960</v>
      </c>
      <c r="G137" s="97" t="s">
        <v>8</v>
      </c>
      <c r="H137" s="97"/>
      <c r="I137" s="97"/>
    </row>
    <row r="138" spans="1:12" x14ac:dyDescent="0.3">
      <c r="A138" s="96">
        <v>46010</v>
      </c>
      <c r="B138" s="97">
        <v>2</v>
      </c>
      <c r="C138" s="97" t="s">
        <v>892</v>
      </c>
      <c r="D138" s="97" t="s">
        <v>714</v>
      </c>
      <c r="E138" s="98">
        <v>480</v>
      </c>
      <c r="F138" s="98">
        <f t="shared" si="4"/>
        <v>960</v>
      </c>
      <c r="G138" s="97" t="s">
        <v>348</v>
      </c>
      <c r="H138" s="97"/>
      <c r="I138" s="97"/>
      <c r="K138">
        <v>387</v>
      </c>
      <c r="L138">
        <f>K138*L133</f>
        <v>135450</v>
      </c>
    </row>
    <row r="139" spans="1:12" x14ac:dyDescent="0.3">
      <c r="A139" s="96">
        <v>46010</v>
      </c>
      <c r="B139" s="97">
        <v>2</v>
      </c>
      <c r="C139" s="97" t="s">
        <v>892</v>
      </c>
      <c r="D139" s="97" t="s">
        <v>714</v>
      </c>
      <c r="E139" s="98">
        <v>480</v>
      </c>
      <c r="F139" s="98">
        <f t="shared" si="4"/>
        <v>960</v>
      </c>
      <c r="G139" s="97" t="s">
        <v>348</v>
      </c>
      <c r="H139" s="97"/>
      <c r="I139" s="97"/>
      <c r="L139">
        <v>66000</v>
      </c>
    </row>
    <row r="140" spans="1:12" x14ac:dyDescent="0.3">
      <c r="A140" s="96">
        <v>46010</v>
      </c>
      <c r="B140" s="97">
        <v>4</v>
      </c>
      <c r="C140" s="97" t="s">
        <v>883</v>
      </c>
      <c r="D140" s="97" t="s">
        <v>103</v>
      </c>
      <c r="E140" s="98">
        <v>477</v>
      </c>
      <c r="F140" s="98">
        <f t="shared" si="4"/>
        <v>1908</v>
      </c>
      <c r="G140" s="97" t="s">
        <v>8</v>
      </c>
      <c r="H140" s="97"/>
      <c r="I140" s="97"/>
    </row>
    <row r="141" spans="1:12" x14ac:dyDescent="0.3">
      <c r="A141" s="96">
        <v>46010</v>
      </c>
      <c r="B141" s="97">
        <v>4</v>
      </c>
      <c r="C141" s="97" t="s">
        <v>895</v>
      </c>
      <c r="D141" s="97" t="s">
        <v>103</v>
      </c>
      <c r="E141" s="98">
        <v>629</v>
      </c>
      <c r="F141" s="98">
        <f t="shared" si="4"/>
        <v>2516</v>
      </c>
      <c r="G141" s="97" t="s">
        <v>8</v>
      </c>
      <c r="H141" s="97"/>
      <c r="I141" s="97"/>
    </row>
    <row r="142" spans="1:12" x14ac:dyDescent="0.3">
      <c r="A142" s="96">
        <v>46010</v>
      </c>
      <c r="B142" s="97">
        <v>4</v>
      </c>
      <c r="C142" s="97" t="s">
        <v>883</v>
      </c>
      <c r="D142" s="97" t="s">
        <v>884</v>
      </c>
      <c r="E142" s="98">
        <v>477</v>
      </c>
      <c r="F142" s="98">
        <f t="shared" si="4"/>
        <v>1908</v>
      </c>
      <c r="G142" s="97" t="s">
        <v>8</v>
      </c>
      <c r="H142" s="97"/>
      <c r="I142" s="97"/>
    </row>
    <row r="143" spans="1:12" x14ac:dyDescent="0.3">
      <c r="A143" s="96">
        <v>46010</v>
      </c>
      <c r="B143" s="97">
        <v>4</v>
      </c>
      <c r="C143" s="97" t="s">
        <v>895</v>
      </c>
      <c r="D143" s="97" t="s">
        <v>884</v>
      </c>
      <c r="E143" s="98">
        <v>629</v>
      </c>
      <c r="F143" s="98">
        <f t="shared" si="4"/>
        <v>2516</v>
      </c>
      <c r="G143" s="97" t="s">
        <v>8</v>
      </c>
      <c r="H143" s="97"/>
      <c r="I143" s="97"/>
    </row>
    <row r="144" spans="1:12" x14ac:dyDescent="0.3">
      <c r="A144" s="96">
        <v>46010</v>
      </c>
      <c r="B144" s="97">
        <v>3</v>
      </c>
      <c r="C144" s="97" t="s">
        <v>883</v>
      </c>
      <c r="D144" s="97" t="s">
        <v>887</v>
      </c>
      <c r="E144" s="98">
        <v>477</v>
      </c>
      <c r="F144" s="98">
        <f t="shared" si="4"/>
        <v>1431</v>
      </c>
      <c r="G144" s="97" t="s">
        <v>8</v>
      </c>
      <c r="H144" s="97"/>
      <c r="I144" s="97"/>
    </row>
    <row r="145" spans="1:15" x14ac:dyDescent="0.3">
      <c r="A145" s="96">
        <v>46010</v>
      </c>
      <c r="B145" s="97">
        <v>3</v>
      </c>
      <c r="C145" s="97" t="s">
        <v>895</v>
      </c>
      <c r="D145" s="97" t="s">
        <v>887</v>
      </c>
      <c r="E145" s="98">
        <v>629</v>
      </c>
      <c r="F145" s="98">
        <f t="shared" si="4"/>
        <v>1887</v>
      </c>
      <c r="G145" s="97" t="s">
        <v>8</v>
      </c>
      <c r="H145" s="97"/>
      <c r="I145" s="97"/>
    </row>
    <row r="146" spans="1:15" x14ac:dyDescent="0.3">
      <c r="A146" s="96">
        <v>46010</v>
      </c>
      <c r="B146" s="97">
        <v>2</v>
      </c>
      <c r="C146" s="97" t="s">
        <v>896</v>
      </c>
      <c r="D146" s="97" t="s">
        <v>318</v>
      </c>
      <c r="E146" s="98">
        <v>479</v>
      </c>
      <c r="F146" s="98">
        <f t="shared" si="4"/>
        <v>958</v>
      </c>
      <c r="G146" s="97" t="s">
        <v>8</v>
      </c>
      <c r="H146" s="97"/>
      <c r="I146" s="97"/>
      <c r="O146">
        <v>3735</v>
      </c>
    </row>
    <row r="147" spans="1:15" x14ac:dyDescent="0.3">
      <c r="A147" s="96">
        <v>46010</v>
      </c>
      <c r="B147" s="97">
        <v>10</v>
      </c>
      <c r="C147" s="97" t="s">
        <v>837</v>
      </c>
      <c r="D147" s="97" t="s">
        <v>864</v>
      </c>
      <c r="E147" s="98">
        <v>1400</v>
      </c>
      <c r="F147" s="98">
        <f t="shared" ref="F147" si="6">E147*B147</f>
        <v>14000</v>
      </c>
      <c r="G147" s="97" t="s">
        <v>905</v>
      </c>
      <c r="H147" s="97"/>
      <c r="I147" s="97"/>
      <c r="O147">
        <v>2490</v>
      </c>
    </row>
    <row r="148" spans="1:15" x14ac:dyDescent="0.3">
      <c r="A148" s="96">
        <v>46010</v>
      </c>
      <c r="B148" s="97">
        <v>10</v>
      </c>
      <c r="C148" s="97" t="s">
        <v>804</v>
      </c>
      <c r="D148" s="97" t="s">
        <v>864</v>
      </c>
      <c r="E148" s="98">
        <v>415</v>
      </c>
      <c r="F148" s="98">
        <f t="shared" si="4"/>
        <v>4150</v>
      </c>
      <c r="G148" s="97" t="s">
        <v>905</v>
      </c>
      <c r="H148" s="97"/>
      <c r="I148" s="97"/>
      <c r="O148">
        <f>(O147-O146)</f>
        <v>-1245</v>
      </c>
    </row>
    <row r="149" spans="1:15" x14ac:dyDescent="0.3">
      <c r="A149" s="96">
        <v>46010</v>
      </c>
      <c r="B149" s="97">
        <v>20</v>
      </c>
      <c r="C149" s="97" t="s">
        <v>897</v>
      </c>
      <c r="D149" s="97" t="s">
        <v>864</v>
      </c>
      <c r="E149" s="98">
        <v>765</v>
      </c>
      <c r="F149" s="98">
        <f t="shared" si="4"/>
        <v>15300</v>
      </c>
      <c r="G149" s="97" t="s">
        <v>905</v>
      </c>
      <c r="H149" s="97"/>
      <c r="I149" s="97"/>
    </row>
    <row r="150" spans="1:15" x14ac:dyDescent="0.3">
      <c r="A150" s="96">
        <v>46010</v>
      </c>
      <c r="B150" s="97">
        <v>3</v>
      </c>
      <c r="C150" s="97" t="s">
        <v>899</v>
      </c>
      <c r="D150" s="97" t="s">
        <v>864</v>
      </c>
      <c r="E150" s="98">
        <v>3300</v>
      </c>
      <c r="F150" s="98">
        <f t="shared" si="4"/>
        <v>9900</v>
      </c>
      <c r="G150" s="97" t="s">
        <v>905</v>
      </c>
      <c r="H150" s="97"/>
      <c r="I150" s="97"/>
    </row>
    <row r="151" spans="1:15" x14ac:dyDescent="0.3">
      <c r="A151" s="96">
        <v>46010</v>
      </c>
      <c r="B151" s="97">
        <v>2</v>
      </c>
      <c r="C151" s="97" t="s">
        <v>898</v>
      </c>
      <c r="D151" s="97" t="s">
        <v>864</v>
      </c>
      <c r="E151" s="98">
        <v>2500</v>
      </c>
      <c r="F151" s="98">
        <f t="shared" si="4"/>
        <v>5000</v>
      </c>
      <c r="G151" s="97" t="s">
        <v>905</v>
      </c>
      <c r="H151" s="97"/>
      <c r="I151" s="97"/>
    </row>
    <row r="152" spans="1:15" x14ac:dyDescent="0.3">
      <c r="A152" s="96">
        <v>46011</v>
      </c>
      <c r="B152" s="97">
        <v>1</v>
      </c>
      <c r="C152" s="97" t="s">
        <v>804</v>
      </c>
      <c r="D152" s="97" t="s">
        <v>864</v>
      </c>
      <c r="E152" s="98">
        <v>415</v>
      </c>
      <c r="F152" s="98">
        <f t="shared" si="4"/>
        <v>415</v>
      </c>
      <c r="G152" s="97" t="s">
        <v>8</v>
      </c>
      <c r="H152" s="97"/>
      <c r="I152" s="97"/>
    </row>
    <row r="153" spans="1:15" x14ac:dyDescent="0.3">
      <c r="A153" s="96">
        <v>46011</v>
      </c>
      <c r="B153" s="97">
        <v>4</v>
      </c>
      <c r="C153" s="97" t="s">
        <v>664</v>
      </c>
      <c r="D153" s="97" t="s">
        <v>677</v>
      </c>
      <c r="E153" s="98">
        <v>398</v>
      </c>
      <c r="F153" s="98">
        <f t="shared" si="4"/>
        <v>1592</v>
      </c>
      <c r="G153" s="97" t="s">
        <v>952</v>
      </c>
      <c r="H153" s="97"/>
      <c r="I153" s="97"/>
    </row>
    <row r="154" spans="1:15" x14ac:dyDescent="0.3">
      <c r="A154" s="96">
        <v>46011</v>
      </c>
      <c r="B154" s="97">
        <v>5</v>
      </c>
      <c r="C154" s="97" t="s">
        <v>896</v>
      </c>
      <c r="D154" s="97" t="s">
        <v>887</v>
      </c>
      <c r="E154" s="98">
        <v>477</v>
      </c>
      <c r="F154" s="98">
        <f t="shared" si="4"/>
        <v>2385</v>
      </c>
      <c r="G154" s="97" t="s">
        <v>8</v>
      </c>
      <c r="H154" s="97"/>
      <c r="I154" s="97"/>
    </row>
    <row r="155" spans="1:15" x14ac:dyDescent="0.3">
      <c r="A155" s="96">
        <v>46011</v>
      </c>
      <c r="B155" s="97">
        <v>1</v>
      </c>
      <c r="C155" s="97" t="s">
        <v>907</v>
      </c>
      <c r="D155" s="97" t="s">
        <v>884</v>
      </c>
      <c r="E155" s="98">
        <v>549</v>
      </c>
      <c r="F155" s="98">
        <f t="shared" si="4"/>
        <v>549</v>
      </c>
      <c r="G155" s="97" t="s">
        <v>8</v>
      </c>
      <c r="H155" s="97"/>
      <c r="I155" s="97"/>
    </row>
    <row r="156" spans="1:15" x14ac:dyDescent="0.3">
      <c r="A156" s="96">
        <v>46011</v>
      </c>
      <c r="B156" s="97">
        <v>2</v>
      </c>
      <c r="C156" s="97" t="s">
        <v>896</v>
      </c>
      <c r="D156" s="97" t="s">
        <v>884</v>
      </c>
      <c r="E156" s="98">
        <v>477</v>
      </c>
      <c r="F156" s="98">
        <f t="shared" si="4"/>
        <v>954</v>
      </c>
      <c r="G156" s="97" t="s">
        <v>8</v>
      </c>
      <c r="H156" s="97"/>
      <c r="I156" s="97"/>
    </row>
    <row r="157" spans="1:15" x14ac:dyDescent="0.3">
      <c r="A157" s="68">
        <v>46011</v>
      </c>
      <c r="B157" s="18">
        <v>2</v>
      </c>
      <c r="C157" s="18" t="s">
        <v>716</v>
      </c>
      <c r="D157" s="18" t="s">
        <v>103</v>
      </c>
      <c r="E157" s="83">
        <v>477</v>
      </c>
      <c r="F157" s="83">
        <f t="shared" si="4"/>
        <v>954</v>
      </c>
      <c r="G157" s="18" t="s">
        <v>37</v>
      </c>
      <c r="H157" s="18"/>
      <c r="I157" s="18" t="s">
        <v>634</v>
      </c>
    </row>
    <row r="158" spans="1:15" x14ac:dyDescent="0.3">
      <c r="A158" s="68">
        <v>46011</v>
      </c>
      <c r="B158" s="18">
        <v>2</v>
      </c>
      <c r="C158" s="18" t="s">
        <v>907</v>
      </c>
      <c r="D158" s="18" t="s">
        <v>103</v>
      </c>
      <c r="E158" s="83">
        <v>549</v>
      </c>
      <c r="F158" s="83">
        <f t="shared" si="4"/>
        <v>1098</v>
      </c>
      <c r="G158" s="18" t="s">
        <v>37</v>
      </c>
      <c r="H158" s="18"/>
      <c r="I158" s="18" t="s">
        <v>634</v>
      </c>
    </row>
    <row r="159" spans="1:15" x14ac:dyDescent="0.3">
      <c r="A159" s="68">
        <v>46011</v>
      </c>
      <c r="B159" s="18">
        <v>2</v>
      </c>
      <c r="C159" s="18" t="s">
        <v>907</v>
      </c>
      <c r="D159" s="18" t="s">
        <v>444</v>
      </c>
      <c r="E159" s="83">
        <v>549</v>
      </c>
      <c r="F159" s="83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3">
      <c r="A160" s="96">
        <v>46011</v>
      </c>
      <c r="B160" s="97">
        <v>2</v>
      </c>
      <c r="C160" s="97" t="s">
        <v>895</v>
      </c>
      <c r="D160" s="97" t="s">
        <v>444</v>
      </c>
      <c r="E160" s="98">
        <v>629</v>
      </c>
      <c r="F160" s="98">
        <f t="shared" si="7"/>
        <v>1258</v>
      </c>
      <c r="G160" s="97" t="s">
        <v>990</v>
      </c>
      <c r="H160" s="97"/>
      <c r="I160" s="97"/>
      <c r="J160">
        <v>4441</v>
      </c>
    </row>
    <row r="161" spans="1:12" x14ac:dyDescent="0.3">
      <c r="A161" s="96">
        <v>46011</v>
      </c>
      <c r="B161" s="97">
        <v>2</v>
      </c>
      <c r="C161" s="97" t="s">
        <v>896</v>
      </c>
      <c r="D161" s="97" t="s">
        <v>444</v>
      </c>
      <c r="E161" s="98">
        <v>477</v>
      </c>
      <c r="F161" s="98">
        <f t="shared" si="7"/>
        <v>954</v>
      </c>
      <c r="G161" s="97" t="s">
        <v>990</v>
      </c>
      <c r="H161" s="97"/>
      <c r="I161" s="97"/>
      <c r="J161">
        <v>4441</v>
      </c>
    </row>
    <row r="162" spans="1:12" x14ac:dyDescent="0.3">
      <c r="A162" s="68">
        <v>46011</v>
      </c>
      <c r="B162" s="18">
        <v>5</v>
      </c>
      <c r="C162" s="18" t="s">
        <v>907</v>
      </c>
      <c r="D162" s="18" t="s">
        <v>103</v>
      </c>
      <c r="E162" s="83">
        <v>549</v>
      </c>
      <c r="F162" s="83">
        <f t="shared" si="7"/>
        <v>2745</v>
      </c>
      <c r="G162" s="18" t="s">
        <v>914</v>
      </c>
      <c r="H162" s="18"/>
      <c r="I162" s="18" t="s">
        <v>634</v>
      </c>
    </row>
    <row r="163" spans="1:12" x14ac:dyDescent="0.3">
      <c r="A163" s="96">
        <v>46011</v>
      </c>
      <c r="B163" s="97">
        <v>2</v>
      </c>
      <c r="C163" s="97" t="s">
        <v>896</v>
      </c>
      <c r="D163" s="97" t="s">
        <v>908</v>
      </c>
      <c r="E163" s="98">
        <v>477</v>
      </c>
      <c r="F163" s="98">
        <f t="shared" si="7"/>
        <v>954</v>
      </c>
      <c r="G163" s="97" t="s">
        <v>1005</v>
      </c>
      <c r="H163" s="97"/>
      <c r="I163" s="97"/>
      <c r="J163">
        <v>9647</v>
      </c>
    </row>
    <row r="164" spans="1:12" x14ac:dyDescent="0.3">
      <c r="A164" s="96">
        <v>46011</v>
      </c>
      <c r="B164" s="97">
        <v>3</v>
      </c>
      <c r="C164" s="97" t="s">
        <v>907</v>
      </c>
      <c r="D164" s="97" t="s">
        <v>915</v>
      </c>
      <c r="E164" s="98">
        <v>549</v>
      </c>
      <c r="F164" s="98">
        <f t="shared" si="7"/>
        <v>1647</v>
      </c>
      <c r="G164" s="97" t="s">
        <v>913</v>
      </c>
      <c r="H164" s="97"/>
      <c r="I164" s="97"/>
      <c r="J164">
        <v>9670</v>
      </c>
    </row>
    <row r="165" spans="1:12" x14ac:dyDescent="0.3">
      <c r="A165" s="96">
        <v>46011</v>
      </c>
      <c r="B165" s="97">
        <v>2</v>
      </c>
      <c r="C165" s="97" t="s">
        <v>896</v>
      </c>
      <c r="D165" s="97" t="s">
        <v>915</v>
      </c>
      <c r="E165" s="98">
        <v>477</v>
      </c>
      <c r="F165" s="98">
        <f t="shared" si="7"/>
        <v>954</v>
      </c>
      <c r="G165" s="97" t="s">
        <v>913</v>
      </c>
      <c r="H165" s="97"/>
      <c r="I165" s="97"/>
      <c r="J165">
        <v>9670</v>
      </c>
    </row>
    <row r="166" spans="1:12" x14ac:dyDescent="0.3">
      <c r="A166" s="96">
        <v>46011</v>
      </c>
      <c r="B166" s="97">
        <v>3</v>
      </c>
      <c r="C166" s="97" t="s">
        <v>907</v>
      </c>
      <c r="D166" s="97" t="s">
        <v>103</v>
      </c>
      <c r="E166" s="98">
        <v>549</v>
      </c>
      <c r="F166" s="98">
        <f>B166*E166</f>
        <v>1647</v>
      </c>
      <c r="G166" s="97" t="s">
        <v>8</v>
      </c>
      <c r="H166" s="97"/>
      <c r="I166" s="97"/>
    </row>
    <row r="167" spans="1:12" x14ac:dyDescent="0.3">
      <c r="A167" s="96">
        <v>46011</v>
      </c>
      <c r="B167" s="97">
        <v>3</v>
      </c>
      <c r="C167" s="97" t="s">
        <v>896</v>
      </c>
      <c r="D167" s="97" t="s">
        <v>103</v>
      </c>
      <c r="E167" s="98">
        <v>477</v>
      </c>
      <c r="F167" s="98">
        <f t="shared" ref="F167:F168" si="8">B167*E167</f>
        <v>1431</v>
      </c>
      <c r="G167" s="97" t="s">
        <v>8</v>
      </c>
      <c r="H167" s="97"/>
      <c r="I167" s="97"/>
    </row>
    <row r="168" spans="1:12" x14ac:dyDescent="0.3">
      <c r="A168" s="96">
        <v>46011</v>
      </c>
      <c r="B168" s="97">
        <v>9</v>
      </c>
      <c r="C168" s="97" t="s">
        <v>895</v>
      </c>
      <c r="D168" s="97" t="s">
        <v>103</v>
      </c>
      <c r="E168" s="98">
        <v>629</v>
      </c>
      <c r="F168" s="98">
        <f t="shared" si="8"/>
        <v>5661</v>
      </c>
      <c r="G168" s="97" t="s">
        <v>8</v>
      </c>
      <c r="H168" s="97"/>
      <c r="I168" s="97"/>
      <c r="L168" s="2"/>
    </row>
    <row r="169" spans="1:12" x14ac:dyDescent="0.3">
      <c r="A169" s="96">
        <v>46011</v>
      </c>
      <c r="B169" s="97">
        <v>4</v>
      </c>
      <c r="C169" s="97" t="s">
        <v>907</v>
      </c>
      <c r="D169" s="97" t="s">
        <v>444</v>
      </c>
      <c r="E169" s="98">
        <v>549</v>
      </c>
      <c r="F169" s="98">
        <v>2196</v>
      </c>
      <c r="G169" s="97" t="s">
        <v>8</v>
      </c>
      <c r="H169" s="97"/>
      <c r="I169" s="97"/>
      <c r="L169" s="2"/>
    </row>
    <row r="170" spans="1:12" x14ac:dyDescent="0.3">
      <c r="A170" s="96">
        <v>46011</v>
      </c>
      <c r="B170" s="97">
        <v>2</v>
      </c>
      <c r="C170" s="97" t="s">
        <v>896</v>
      </c>
      <c r="D170" s="97" t="s">
        <v>444</v>
      </c>
      <c r="E170" s="98">
        <v>477</v>
      </c>
      <c r="F170" s="98">
        <v>954</v>
      </c>
      <c r="G170" s="97" t="s">
        <v>8</v>
      </c>
      <c r="H170" s="97"/>
      <c r="I170" s="97"/>
      <c r="L170" s="2"/>
    </row>
    <row r="171" spans="1:12" x14ac:dyDescent="0.3">
      <c r="A171" s="96">
        <v>46011</v>
      </c>
      <c r="B171" s="97">
        <v>2</v>
      </c>
      <c r="C171" s="97" t="s">
        <v>896</v>
      </c>
      <c r="D171" s="97" t="s">
        <v>230</v>
      </c>
      <c r="E171" s="98">
        <v>454</v>
      </c>
      <c r="F171" s="98">
        <f>B171*E171</f>
        <v>908</v>
      </c>
      <c r="G171" s="97" t="s">
        <v>8</v>
      </c>
      <c r="H171" s="97"/>
      <c r="I171" s="97"/>
    </row>
    <row r="172" spans="1:12" x14ac:dyDescent="0.3">
      <c r="A172" s="96">
        <v>46011</v>
      </c>
      <c r="B172" s="97">
        <v>2</v>
      </c>
      <c r="C172" s="97" t="s">
        <v>697</v>
      </c>
      <c r="D172" s="97" t="s">
        <v>230</v>
      </c>
      <c r="E172" s="98">
        <v>125</v>
      </c>
      <c r="F172" s="98">
        <f>B172*E172</f>
        <v>250</v>
      </c>
      <c r="G172" s="97" t="s">
        <v>8</v>
      </c>
      <c r="H172" s="97"/>
      <c r="I172" s="97"/>
    </row>
    <row r="173" spans="1:12" x14ac:dyDescent="0.3">
      <c r="A173" s="96">
        <v>46011</v>
      </c>
      <c r="B173" s="97">
        <v>7</v>
      </c>
      <c r="C173" s="97" t="s">
        <v>907</v>
      </c>
      <c r="D173" s="97" t="s">
        <v>908</v>
      </c>
      <c r="E173" s="98">
        <v>549</v>
      </c>
      <c r="F173" s="98">
        <f>B173*E173</f>
        <v>3843</v>
      </c>
      <c r="G173" s="97" t="s">
        <v>8</v>
      </c>
      <c r="H173" s="97"/>
      <c r="I173" s="97"/>
    </row>
    <row r="174" spans="1:12" x14ac:dyDescent="0.3">
      <c r="A174" s="96">
        <v>46011</v>
      </c>
      <c r="B174" s="97">
        <v>10</v>
      </c>
      <c r="C174" s="97" t="s">
        <v>896</v>
      </c>
      <c r="D174" s="97" t="s">
        <v>908</v>
      </c>
      <c r="E174" s="98">
        <v>477</v>
      </c>
      <c r="F174" s="98">
        <f t="shared" ref="F174:F182" si="9">B174*E174</f>
        <v>4770</v>
      </c>
      <c r="G174" s="97" t="s">
        <v>8</v>
      </c>
      <c r="H174" s="97"/>
      <c r="I174" s="97"/>
    </row>
    <row r="175" spans="1:12" x14ac:dyDescent="0.3">
      <c r="A175" s="96">
        <v>46011</v>
      </c>
      <c r="B175" s="97">
        <v>5</v>
      </c>
      <c r="C175" s="97" t="s">
        <v>895</v>
      </c>
      <c r="D175" s="97" t="s">
        <v>908</v>
      </c>
      <c r="E175" s="98">
        <v>629</v>
      </c>
      <c r="F175" s="98">
        <f t="shared" si="9"/>
        <v>3145</v>
      </c>
      <c r="G175" s="97" t="s">
        <v>8</v>
      </c>
      <c r="H175" s="97"/>
      <c r="I175" s="97"/>
    </row>
    <row r="176" spans="1:12" x14ac:dyDescent="0.3">
      <c r="A176" s="96">
        <v>46011</v>
      </c>
      <c r="B176" s="97">
        <v>2</v>
      </c>
      <c r="C176" s="97" t="s">
        <v>909</v>
      </c>
      <c r="D176" s="97" t="s">
        <v>908</v>
      </c>
      <c r="E176" s="98">
        <v>477</v>
      </c>
      <c r="F176" s="98">
        <f t="shared" si="9"/>
        <v>954</v>
      </c>
      <c r="G176" s="97" t="s">
        <v>8</v>
      </c>
      <c r="H176" s="97"/>
      <c r="I176" s="97"/>
    </row>
    <row r="177" spans="1:10" x14ac:dyDescent="0.3">
      <c r="A177" s="96">
        <v>46011</v>
      </c>
      <c r="B177" s="97">
        <v>4</v>
      </c>
      <c r="C177" s="97" t="s">
        <v>896</v>
      </c>
      <c r="D177" s="97" t="s">
        <v>491</v>
      </c>
      <c r="E177" s="98">
        <v>477</v>
      </c>
      <c r="F177" s="98">
        <f t="shared" si="9"/>
        <v>1908</v>
      </c>
      <c r="G177" s="97" t="s">
        <v>8</v>
      </c>
      <c r="H177" s="97"/>
      <c r="I177" s="97"/>
    </row>
    <row r="178" spans="1:10" x14ac:dyDescent="0.3">
      <c r="A178" s="96">
        <v>46011</v>
      </c>
      <c r="B178" s="97">
        <v>22</v>
      </c>
      <c r="C178" s="97" t="s">
        <v>664</v>
      </c>
      <c r="D178" s="97" t="s">
        <v>910</v>
      </c>
      <c r="E178" s="98">
        <v>399</v>
      </c>
      <c r="F178" s="98">
        <f t="shared" si="9"/>
        <v>8778</v>
      </c>
      <c r="G178" s="97" t="s">
        <v>911</v>
      </c>
      <c r="H178" s="97"/>
      <c r="I178" s="97"/>
    </row>
    <row r="179" spans="1:10" x14ac:dyDescent="0.3">
      <c r="A179" s="96">
        <v>46011</v>
      </c>
      <c r="B179" s="97">
        <v>3</v>
      </c>
      <c r="C179" s="97" t="s">
        <v>895</v>
      </c>
      <c r="D179" s="97" t="s">
        <v>910</v>
      </c>
      <c r="E179" s="98">
        <v>629</v>
      </c>
      <c r="F179" s="98">
        <f t="shared" si="9"/>
        <v>1887</v>
      </c>
      <c r="G179" s="97" t="s">
        <v>911</v>
      </c>
      <c r="H179" s="97"/>
      <c r="I179" s="97" t="s">
        <v>912</v>
      </c>
    </row>
    <row r="180" spans="1:10" x14ac:dyDescent="0.3">
      <c r="A180" s="96">
        <v>46011</v>
      </c>
      <c r="B180" s="97">
        <v>2</v>
      </c>
      <c r="C180" s="97" t="s">
        <v>896</v>
      </c>
      <c r="D180" s="97" t="s">
        <v>910</v>
      </c>
      <c r="E180" s="98">
        <v>477</v>
      </c>
      <c r="F180" s="98">
        <f t="shared" si="9"/>
        <v>954</v>
      </c>
      <c r="G180" s="97" t="s">
        <v>911</v>
      </c>
      <c r="H180" s="97"/>
      <c r="I180" s="97" t="s">
        <v>912</v>
      </c>
    </row>
    <row r="181" spans="1:10" x14ac:dyDescent="0.3">
      <c r="A181" s="108">
        <v>46012</v>
      </c>
      <c r="B181" s="107">
        <v>2</v>
      </c>
      <c r="C181" s="107" t="s">
        <v>896</v>
      </c>
      <c r="D181" s="107" t="s">
        <v>915</v>
      </c>
      <c r="E181" s="109">
        <v>477</v>
      </c>
      <c r="F181" s="109">
        <f t="shared" si="9"/>
        <v>954</v>
      </c>
      <c r="G181" s="107" t="s">
        <v>919</v>
      </c>
      <c r="H181" s="107"/>
      <c r="I181" s="107" t="s">
        <v>983</v>
      </c>
      <c r="J181">
        <v>35613</v>
      </c>
    </row>
    <row r="182" spans="1:10" x14ac:dyDescent="0.3">
      <c r="A182" s="96">
        <v>46012</v>
      </c>
      <c r="B182" s="97">
        <v>2</v>
      </c>
      <c r="C182" s="97" t="s">
        <v>895</v>
      </c>
      <c r="D182" s="97" t="s">
        <v>915</v>
      </c>
      <c r="E182" s="98">
        <v>629</v>
      </c>
      <c r="F182" s="98">
        <f t="shared" si="9"/>
        <v>1258</v>
      </c>
      <c r="G182" s="97" t="s">
        <v>913</v>
      </c>
      <c r="H182" s="97"/>
      <c r="I182" s="97"/>
      <c r="J182">
        <v>35613</v>
      </c>
    </row>
    <row r="183" spans="1:10" x14ac:dyDescent="0.3">
      <c r="A183" s="96">
        <v>46012</v>
      </c>
      <c r="B183" s="97">
        <v>2</v>
      </c>
      <c r="C183" s="97" t="s">
        <v>896</v>
      </c>
      <c r="D183" s="97" t="s">
        <v>884</v>
      </c>
      <c r="E183" s="98">
        <v>477</v>
      </c>
      <c r="F183" s="98">
        <f t="shared" ref="F183:F184" si="10">B183*E183</f>
        <v>954</v>
      </c>
      <c r="G183" s="97" t="s">
        <v>922</v>
      </c>
      <c r="H183" s="97"/>
      <c r="I183" s="97"/>
    </row>
    <row r="184" spans="1:10" x14ac:dyDescent="0.3">
      <c r="A184" s="96">
        <v>46012</v>
      </c>
      <c r="B184" s="97">
        <v>2</v>
      </c>
      <c r="C184" s="97" t="s">
        <v>896</v>
      </c>
      <c r="D184" s="97" t="s">
        <v>884</v>
      </c>
      <c r="E184" s="98">
        <v>629</v>
      </c>
      <c r="F184" s="98">
        <f t="shared" si="10"/>
        <v>1258</v>
      </c>
      <c r="G184" s="97" t="s">
        <v>922</v>
      </c>
      <c r="H184" s="97"/>
      <c r="I184" s="97"/>
    </row>
    <row r="185" spans="1:10" x14ac:dyDescent="0.3">
      <c r="A185" s="96">
        <v>46012</v>
      </c>
      <c r="B185" s="97">
        <v>2</v>
      </c>
      <c r="C185" s="97" t="s">
        <v>896</v>
      </c>
      <c r="D185" s="97" t="s">
        <v>887</v>
      </c>
      <c r="E185" s="98">
        <v>477</v>
      </c>
      <c r="F185" s="98">
        <v>954</v>
      </c>
      <c r="G185" s="107" t="s">
        <v>993</v>
      </c>
      <c r="H185" s="97"/>
      <c r="I185" s="97"/>
      <c r="J185">
        <v>5693</v>
      </c>
    </row>
    <row r="186" spans="1:10" x14ac:dyDescent="0.3">
      <c r="A186" s="110">
        <v>46012</v>
      </c>
      <c r="B186" s="111">
        <v>2</v>
      </c>
      <c r="C186" s="111" t="s">
        <v>896</v>
      </c>
      <c r="D186" s="111" t="s">
        <v>916</v>
      </c>
      <c r="E186" s="112">
        <v>477</v>
      </c>
      <c r="F186" s="112">
        <v>954</v>
      </c>
      <c r="G186" s="107" t="s">
        <v>993</v>
      </c>
      <c r="H186" s="111"/>
      <c r="I186" s="111"/>
    </row>
    <row r="187" spans="1:10" x14ac:dyDescent="0.3">
      <c r="A187" s="96">
        <v>46012</v>
      </c>
      <c r="B187" s="97">
        <v>2</v>
      </c>
      <c r="C187" s="97" t="s">
        <v>896</v>
      </c>
      <c r="D187" s="97" t="s">
        <v>916</v>
      </c>
      <c r="E187" s="98">
        <v>477</v>
      </c>
      <c r="F187" s="98">
        <v>954</v>
      </c>
      <c r="G187" s="107" t="s">
        <v>993</v>
      </c>
      <c r="H187" s="97"/>
      <c r="I187" s="97"/>
    </row>
    <row r="188" spans="1:10" x14ac:dyDescent="0.3">
      <c r="A188" s="96">
        <v>46012</v>
      </c>
      <c r="B188" s="97">
        <v>2</v>
      </c>
      <c r="C188" s="97" t="s">
        <v>896</v>
      </c>
      <c r="D188" s="97" t="s">
        <v>444</v>
      </c>
      <c r="E188" s="98">
        <v>477</v>
      </c>
      <c r="F188" s="98">
        <v>954</v>
      </c>
      <c r="G188" s="97" t="s">
        <v>990</v>
      </c>
      <c r="H188" s="97"/>
      <c r="I188" s="97"/>
      <c r="J188">
        <v>5757</v>
      </c>
    </row>
    <row r="189" spans="1:10" x14ac:dyDescent="0.3">
      <c r="A189" s="96">
        <v>46012</v>
      </c>
      <c r="B189" s="97">
        <v>2</v>
      </c>
      <c r="C189" s="97" t="s">
        <v>895</v>
      </c>
      <c r="D189" s="97" t="s">
        <v>444</v>
      </c>
      <c r="E189" s="98">
        <v>629</v>
      </c>
      <c r="F189" s="98">
        <v>1258</v>
      </c>
      <c r="G189" s="97" t="s">
        <v>990</v>
      </c>
      <c r="H189" s="97"/>
      <c r="I189" s="97"/>
      <c r="J189">
        <v>5767</v>
      </c>
    </row>
    <row r="190" spans="1:10" x14ac:dyDescent="0.3">
      <c r="A190" s="108">
        <v>46012</v>
      </c>
      <c r="B190" s="107">
        <v>2</v>
      </c>
      <c r="C190" s="97" t="s">
        <v>896</v>
      </c>
      <c r="D190" s="107" t="s">
        <v>915</v>
      </c>
      <c r="E190" s="109">
        <v>477</v>
      </c>
      <c r="F190" s="109">
        <v>954</v>
      </c>
      <c r="G190" s="107" t="s">
        <v>919</v>
      </c>
      <c r="H190" s="97"/>
      <c r="I190" s="107" t="s">
        <v>983</v>
      </c>
      <c r="J190">
        <v>35792</v>
      </c>
    </row>
    <row r="191" spans="1:10" x14ac:dyDescent="0.3">
      <c r="A191" s="96">
        <v>46012</v>
      </c>
      <c r="B191" s="97">
        <v>2</v>
      </c>
      <c r="C191" s="97" t="s">
        <v>896</v>
      </c>
      <c r="D191" s="97" t="s">
        <v>887</v>
      </c>
      <c r="E191" s="98">
        <v>477</v>
      </c>
      <c r="F191" s="98">
        <v>954</v>
      </c>
      <c r="G191" s="107" t="s">
        <v>993</v>
      </c>
      <c r="H191" s="97"/>
      <c r="I191" s="97"/>
      <c r="J191">
        <v>5816</v>
      </c>
    </row>
    <row r="192" spans="1:10" x14ac:dyDescent="0.3">
      <c r="A192" s="96">
        <v>46012</v>
      </c>
      <c r="B192" s="97">
        <v>2</v>
      </c>
      <c r="C192" s="97" t="s">
        <v>896</v>
      </c>
      <c r="D192" s="97" t="s">
        <v>917</v>
      </c>
      <c r="E192" s="98">
        <v>477</v>
      </c>
      <c r="F192" s="98">
        <v>954</v>
      </c>
      <c r="G192" s="97" t="s">
        <v>913</v>
      </c>
      <c r="H192" s="97"/>
      <c r="I192" s="97"/>
    </row>
    <row r="193" spans="1:9" x14ac:dyDescent="0.3">
      <c r="A193" s="96">
        <v>46012</v>
      </c>
      <c r="B193" s="97">
        <v>2</v>
      </c>
      <c r="C193" s="97" t="s">
        <v>896</v>
      </c>
      <c r="D193" s="97" t="s">
        <v>917</v>
      </c>
      <c r="E193" s="98">
        <v>477</v>
      </c>
      <c r="F193" s="98">
        <v>954</v>
      </c>
      <c r="G193" s="97" t="s">
        <v>913</v>
      </c>
      <c r="H193" s="97"/>
      <c r="I193" s="97"/>
    </row>
    <row r="194" spans="1:9" x14ac:dyDescent="0.3">
      <c r="A194" s="96">
        <v>46012</v>
      </c>
      <c r="B194" s="97">
        <v>2</v>
      </c>
      <c r="C194" s="97" t="s">
        <v>896</v>
      </c>
      <c r="D194" s="97" t="s">
        <v>918</v>
      </c>
      <c r="E194" s="98">
        <v>477</v>
      </c>
      <c r="F194" s="98">
        <v>954</v>
      </c>
      <c r="G194" s="97" t="s">
        <v>913</v>
      </c>
      <c r="H194" s="97"/>
      <c r="I194" s="97"/>
    </row>
    <row r="195" spans="1:9" x14ac:dyDescent="0.3">
      <c r="A195" s="96">
        <v>46012</v>
      </c>
      <c r="B195" s="97">
        <v>2</v>
      </c>
      <c r="C195" s="97" t="s">
        <v>896</v>
      </c>
      <c r="D195" s="97" t="s">
        <v>918</v>
      </c>
      <c r="E195" s="98">
        <v>477</v>
      </c>
      <c r="F195" s="98">
        <v>954</v>
      </c>
      <c r="G195" s="97" t="s">
        <v>913</v>
      </c>
      <c r="H195" s="97"/>
      <c r="I195" s="97"/>
    </row>
    <row r="196" spans="1:9" x14ac:dyDescent="0.3">
      <c r="A196" s="96">
        <v>46012</v>
      </c>
      <c r="B196" s="97">
        <v>2</v>
      </c>
      <c r="C196" s="97" t="s">
        <v>896</v>
      </c>
      <c r="D196" s="97" t="s">
        <v>917</v>
      </c>
      <c r="E196" s="98">
        <v>477</v>
      </c>
      <c r="F196" s="98">
        <v>954</v>
      </c>
      <c r="G196" s="97" t="s">
        <v>913</v>
      </c>
      <c r="H196" s="97"/>
      <c r="I196" s="97"/>
    </row>
    <row r="197" spans="1:9" x14ac:dyDescent="0.3">
      <c r="A197" s="96">
        <v>46012</v>
      </c>
      <c r="B197" s="97">
        <v>2</v>
      </c>
      <c r="C197" s="97" t="s">
        <v>896</v>
      </c>
      <c r="D197" s="97" t="s">
        <v>917</v>
      </c>
      <c r="E197" s="98">
        <v>477</v>
      </c>
      <c r="F197" s="98">
        <f>B197*E197</f>
        <v>954</v>
      </c>
      <c r="G197" s="97" t="s">
        <v>913</v>
      </c>
      <c r="H197" s="97"/>
      <c r="I197" s="97"/>
    </row>
    <row r="198" spans="1:9" x14ac:dyDescent="0.3">
      <c r="A198" s="96">
        <v>46012</v>
      </c>
      <c r="B198" s="97">
        <v>2</v>
      </c>
      <c r="C198" s="97" t="s">
        <v>895</v>
      </c>
      <c r="D198" s="97" t="s">
        <v>917</v>
      </c>
      <c r="E198" s="98">
        <v>629</v>
      </c>
      <c r="F198" s="98">
        <f>B198*E198</f>
        <v>1258</v>
      </c>
      <c r="G198" s="97" t="s">
        <v>913</v>
      </c>
      <c r="H198" s="97"/>
      <c r="I198" s="97"/>
    </row>
    <row r="199" spans="1:9" x14ac:dyDescent="0.3">
      <c r="A199" s="96">
        <v>46012</v>
      </c>
      <c r="B199" s="97">
        <v>2</v>
      </c>
      <c r="C199" s="97" t="s">
        <v>909</v>
      </c>
      <c r="D199" s="97" t="s">
        <v>917</v>
      </c>
      <c r="E199" s="98">
        <v>477</v>
      </c>
      <c r="F199" s="98">
        <f t="shared" ref="F199" si="11">B199*E199</f>
        <v>954</v>
      </c>
      <c r="G199" s="97" t="s">
        <v>913</v>
      </c>
      <c r="H199" s="97"/>
      <c r="I199" s="97"/>
    </row>
    <row r="200" spans="1:9" x14ac:dyDescent="0.3">
      <c r="A200" s="96">
        <v>46012</v>
      </c>
      <c r="B200" s="97">
        <v>4</v>
      </c>
      <c r="C200" s="97" t="s">
        <v>895</v>
      </c>
      <c r="D200" s="97" t="s">
        <v>915</v>
      </c>
      <c r="E200" s="98">
        <v>629</v>
      </c>
      <c r="F200" s="98">
        <v>2516</v>
      </c>
      <c r="G200" s="97" t="s">
        <v>913</v>
      </c>
      <c r="H200" s="97"/>
      <c r="I200" s="97"/>
    </row>
    <row r="201" spans="1:9" x14ac:dyDescent="0.3">
      <c r="A201" s="96">
        <v>46012</v>
      </c>
      <c r="B201" s="97">
        <v>2</v>
      </c>
      <c r="C201" s="97" t="s">
        <v>896</v>
      </c>
      <c r="D201" s="97" t="s">
        <v>920</v>
      </c>
      <c r="E201" s="98">
        <v>477</v>
      </c>
      <c r="F201" s="98">
        <v>954</v>
      </c>
      <c r="G201" s="97" t="s">
        <v>913</v>
      </c>
      <c r="H201" s="97"/>
      <c r="I201" s="97"/>
    </row>
    <row r="202" spans="1:9" x14ac:dyDescent="0.3">
      <c r="A202" s="96">
        <v>46012</v>
      </c>
      <c r="B202" s="97">
        <v>3</v>
      </c>
      <c r="C202" s="97" t="s">
        <v>896</v>
      </c>
      <c r="D202" s="97" t="s">
        <v>918</v>
      </c>
      <c r="E202" s="98">
        <v>477</v>
      </c>
      <c r="F202" s="98">
        <v>1431</v>
      </c>
      <c r="G202" s="97" t="s">
        <v>913</v>
      </c>
      <c r="H202" s="97"/>
      <c r="I202" s="97"/>
    </row>
    <row r="203" spans="1:9" x14ac:dyDescent="0.3">
      <c r="A203" s="96">
        <v>46012</v>
      </c>
      <c r="B203" s="97">
        <v>2</v>
      </c>
      <c r="C203" s="97" t="s">
        <v>895</v>
      </c>
      <c r="D203" s="97" t="s">
        <v>918</v>
      </c>
      <c r="E203" s="98">
        <v>629</v>
      </c>
      <c r="F203" s="98">
        <v>1258</v>
      </c>
      <c r="G203" s="97" t="s">
        <v>913</v>
      </c>
      <c r="H203" s="97"/>
      <c r="I203" s="97"/>
    </row>
    <row r="204" spans="1:9" x14ac:dyDescent="0.3">
      <c r="A204" s="96">
        <v>46012</v>
      </c>
      <c r="B204" s="97">
        <v>2</v>
      </c>
      <c r="C204" s="97" t="s">
        <v>896</v>
      </c>
      <c r="D204" s="97" t="s">
        <v>921</v>
      </c>
      <c r="E204" s="98">
        <v>477</v>
      </c>
      <c r="F204" s="98">
        <v>958</v>
      </c>
      <c r="G204" s="97" t="s">
        <v>913</v>
      </c>
      <c r="H204" s="97"/>
      <c r="I204" s="97"/>
    </row>
    <row r="205" spans="1:9" x14ac:dyDescent="0.3">
      <c r="A205" s="96">
        <v>46013</v>
      </c>
      <c r="B205" s="97">
        <v>1</v>
      </c>
      <c r="C205" s="97" t="s">
        <v>923</v>
      </c>
      <c r="D205" s="97" t="s">
        <v>924</v>
      </c>
      <c r="E205" s="98">
        <v>1500</v>
      </c>
      <c r="F205" s="98">
        <v>1500</v>
      </c>
      <c r="G205" s="97"/>
      <c r="H205" s="97"/>
      <c r="I205" s="97"/>
    </row>
    <row r="206" spans="1:9" x14ac:dyDescent="0.3">
      <c r="A206" s="96">
        <v>46013</v>
      </c>
      <c r="B206" s="97">
        <v>2</v>
      </c>
      <c r="C206" s="97" t="s">
        <v>896</v>
      </c>
      <c r="D206" s="97" t="s">
        <v>916</v>
      </c>
      <c r="E206" s="98">
        <v>477</v>
      </c>
      <c r="F206" s="98">
        <v>954</v>
      </c>
      <c r="G206" s="107" t="s">
        <v>993</v>
      </c>
      <c r="H206" s="97"/>
      <c r="I206" s="97"/>
    </row>
    <row r="207" spans="1:9" x14ac:dyDescent="0.3">
      <c r="A207" s="96">
        <v>46013</v>
      </c>
      <c r="B207" s="97">
        <v>2</v>
      </c>
      <c r="C207" s="97" t="s">
        <v>896</v>
      </c>
      <c r="D207" s="97" t="s">
        <v>926</v>
      </c>
      <c r="E207" s="98">
        <v>477</v>
      </c>
      <c r="F207" s="98">
        <v>954</v>
      </c>
      <c r="G207" s="107" t="s">
        <v>993</v>
      </c>
      <c r="H207" s="97"/>
      <c r="I207" s="97"/>
    </row>
    <row r="208" spans="1:9" x14ac:dyDescent="0.3">
      <c r="A208" s="96">
        <v>46013</v>
      </c>
      <c r="B208" s="97">
        <v>2</v>
      </c>
      <c r="C208" s="97" t="s">
        <v>896</v>
      </c>
      <c r="D208" s="97" t="s">
        <v>916</v>
      </c>
      <c r="E208" s="98">
        <v>477</v>
      </c>
      <c r="F208" s="98">
        <v>954</v>
      </c>
      <c r="G208" s="107" t="s">
        <v>993</v>
      </c>
      <c r="H208" s="97"/>
      <c r="I208" s="97"/>
    </row>
    <row r="209" spans="1:9" x14ac:dyDescent="0.3">
      <c r="A209" s="96">
        <v>46013</v>
      </c>
      <c r="B209" s="97">
        <v>2</v>
      </c>
      <c r="C209" s="97" t="s">
        <v>896</v>
      </c>
      <c r="D209" s="97" t="s">
        <v>916</v>
      </c>
      <c r="E209" s="98">
        <v>477</v>
      </c>
      <c r="F209" s="98">
        <v>954</v>
      </c>
      <c r="G209" s="107" t="s">
        <v>993</v>
      </c>
      <c r="H209" s="97"/>
      <c r="I209" s="97"/>
    </row>
    <row r="210" spans="1:9" x14ac:dyDescent="0.3">
      <c r="A210" s="96">
        <v>46013</v>
      </c>
      <c r="B210" s="97">
        <v>2</v>
      </c>
      <c r="C210" s="97" t="s">
        <v>896</v>
      </c>
      <c r="D210" s="97" t="s">
        <v>917</v>
      </c>
      <c r="E210" s="98">
        <v>477</v>
      </c>
      <c r="F210" s="98">
        <v>954</v>
      </c>
      <c r="G210" s="97" t="s">
        <v>982</v>
      </c>
      <c r="H210" s="97"/>
      <c r="I210" s="97"/>
    </row>
    <row r="211" spans="1:9" x14ac:dyDescent="0.3">
      <c r="A211" s="96">
        <v>46013</v>
      </c>
      <c r="B211" s="97">
        <v>2</v>
      </c>
      <c r="C211" s="97" t="s">
        <v>896</v>
      </c>
      <c r="D211" s="97" t="s">
        <v>917</v>
      </c>
      <c r="E211" s="98">
        <v>477</v>
      </c>
      <c r="F211" s="98">
        <v>954</v>
      </c>
      <c r="G211" s="97" t="s">
        <v>982</v>
      </c>
      <c r="H211" s="97"/>
      <c r="I211" s="97"/>
    </row>
    <row r="212" spans="1:9" x14ac:dyDescent="0.3">
      <c r="A212" s="96">
        <v>46013</v>
      </c>
      <c r="B212" s="97">
        <v>2</v>
      </c>
      <c r="C212" s="97" t="s">
        <v>947</v>
      </c>
      <c r="D212" s="97" t="s">
        <v>908</v>
      </c>
      <c r="E212" s="98">
        <v>629</v>
      </c>
      <c r="F212" s="98">
        <v>1258</v>
      </c>
      <c r="G212" s="97" t="s">
        <v>1005</v>
      </c>
      <c r="H212" s="97"/>
      <c r="I212" s="97"/>
    </row>
    <row r="213" spans="1:9" x14ac:dyDescent="0.3">
      <c r="A213" s="96">
        <v>46013</v>
      </c>
      <c r="B213" s="97">
        <v>2</v>
      </c>
      <c r="C213" s="97" t="s">
        <v>947</v>
      </c>
      <c r="D213" s="97" t="s">
        <v>908</v>
      </c>
      <c r="E213" s="98">
        <v>629</v>
      </c>
      <c r="F213" s="98">
        <v>1258</v>
      </c>
      <c r="G213" s="97" t="s">
        <v>1005</v>
      </c>
      <c r="H213" s="97"/>
      <c r="I213" s="97"/>
    </row>
    <row r="214" spans="1:9" x14ac:dyDescent="0.3">
      <c r="A214" s="96">
        <v>46013</v>
      </c>
      <c r="B214" s="97">
        <v>2</v>
      </c>
      <c r="C214" s="97" t="s">
        <v>896</v>
      </c>
      <c r="D214" s="97" t="s">
        <v>884</v>
      </c>
      <c r="E214" s="98">
        <v>477</v>
      </c>
      <c r="F214" s="98">
        <v>954</v>
      </c>
      <c r="G214" s="97" t="s">
        <v>927</v>
      </c>
      <c r="H214" s="97"/>
      <c r="I214" s="97"/>
    </row>
    <row r="215" spans="1:9" x14ac:dyDescent="0.3">
      <c r="A215" s="96">
        <v>46013</v>
      </c>
      <c r="B215" s="97">
        <v>2</v>
      </c>
      <c r="C215" s="97" t="s">
        <v>896</v>
      </c>
      <c r="D215" s="97" t="s">
        <v>884</v>
      </c>
      <c r="E215" s="98">
        <v>477</v>
      </c>
      <c r="F215" s="98">
        <v>954</v>
      </c>
      <c r="G215" s="97" t="s">
        <v>927</v>
      </c>
      <c r="H215" s="97"/>
      <c r="I215" s="97"/>
    </row>
    <row r="216" spans="1:9" x14ac:dyDescent="0.3">
      <c r="A216" s="96">
        <v>46013</v>
      </c>
      <c r="B216" s="97">
        <v>1</v>
      </c>
      <c r="C216" s="97" t="s">
        <v>925</v>
      </c>
      <c r="D216" s="97" t="s">
        <v>85</v>
      </c>
      <c r="E216" s="97"/>
      <c r="F216" s="98">
        <v>160</v>
      </c>
      <c r="G216" s="97"/>
      <c r="H216" s="97"/>
      <c r="I216" s="97"/>
    </row>
    <row r="217" spans="1:9" x14ac:dyDescent="0.3">
      <c r="A217" s="96">
        <v>46014</v>
      </c>
      <c r="B217" s="97">
        <v>20</v>
      </c>
      <c r="C217" s="97" t="s">
        <v>933</v>
      </c>
      <c r="D217" s="97" t="s">
        <v>492</v>
      </c>
      <c r="E217" s="98">
        <v>398</v>
      </c>
      <c r="F217" s="97">
        <v>7960</v>
      </c>
      <c r="G217" s="97" t="s">
        <v>927</v>
      </c>
      <c r="H217" s="97"/>
      <c r="I217" s="97"/>
    </row>
    <row r="218" spans="1:9" x14ac:dyDescent="0.3">
      <c r="A218" s="114">
        <v>46014</v>
      </c>
      <c r="B218" s="115">
        <v>40</v>
      </c>
      <c r="C218" s="115" t="s">
        <v>933</v>
      </c>
      <c r="D218" s="115" t="s">
        <v>934</v>
      </c>
      <c r="E218" s="115"/>
      <c r="F218" s="115"/>
      <c r="G218" s="115" t="s">
        <v>935</v>
      </c>
      <c r="H218" s="115"/>
      <c r="I218" s="115"/>
    </row>
    <row r="219" spans="1:9" x14ac:dyDescent="0.3">
      <c r="A219" s="96">
        <v>46014</v>
      </c>
      <c r="B219" s="97">
        <v>16</v>
      </c>
      <c r="C219" s="97" t="s">
        <v>933</v>
      </c>
      <c r="D219" s="97" t="s">
        <v>934</v>
      </c>
      <c r="E219" s="98">
        <v>398</v>
      </c>
      <c r="F219" s="113" t="s">
        <v>936</v>
      </c>
      <c r="G219" s="97" t="s">
        <v>927</v>
      </c>
      <c r="H219" s="97"/>
      <c r="I219" s="97"/>
    </row>
    <row r="220" spans="1:9" x14ac:dyDescent="0.3">
      <c r="A220" s="96">
        <v>46014</v>
      </c>
      <c r="B220" s="97">
        <v>1</v>
      </c>
      <c r="C220" s="97" t="s">
        <v>937</v>
      </c>
      <c r="D220" s="97" t="s">
        <v>938</v>
      </c>
      <c r="E220" s="113" t="s">
        <v>939</v>
      </c>
      <c r="F220" s="113" t="s">
        <v>939</v>
      </c>
      <c r="G220" s="97" t="s">
        <v>952</v>
      </c>
      <c r="H220" s="97"/>
      <c r="I220" s="97"/>
    </row>
    <row r="221" spans="1:9" x14ac:dyDescent="0.3">
      <c r="A221" s="96">
        <v>46014</v>
      </c>
      <c r="B221" s="97">
        <v>1</v>
      </c>
      <c r="C221" s="97" t="s">
        <v>937</v>
      </c>
      <c r="D221" s="97" t="s">
        <v>940</v>
      </c>
      <c r="E221" s="113" t="s">
        <v>939</v>
      </c>
      <c r="F221" s="113" t="s">
        <v>939</v>
      </c>
      <c r="G221" s="97" t="s">
        <v>952</v>
      </c>
      <c r="H221" s="97"/>
      <c r="I221" s="97"/>
    </row>
    <row r="222" spans="1:9" x14ac:dyDescent="0.3">
      <c r="A222" s="96">
        <v>46014</v>
      </c>
      <c r="B222" s="97">
        <v>20</v>
      </c>
      <c r="C222" s="97" t="s">
        <v>933</v>
      </c>
      <c r="D222" s="97" t="s">
        <v>941</v>
      </c>
      <c r="E222" s="113" t="s">
        <v>942</v>
      </c>
      <c r="F222" s="113" t="s">
        <v>943</v>
      </c>
      <c r="G222" s="97" t="s">
        <v>954</v>
      </c>
      <c r="H222" s="97"/>
      <c r="I222" s="97"/>
    </row>
    <row r="223" spans="1:9" x14ac:dyDescent="0.3">
      <c r="A223" s="96">
        <v>46014</v>
      </c>
      <c r="B223" s="97">
        <v>9</v>
      </c>
      <c r="C223" s="97" t="s">
        <v>896</v>
      </c>
      <c r="D223" s="97" t="s">
        <v>910</v>
      </c>
      <c r="E223" s="113" t="s">
        <v>944</v>
      </c>
      <c r="F223" s="113" t="s">
        <v>945</v>
      </c>
      <c r="G223" s="97" t="s">
        <v>946</v>
      </c>
      <c r="H223" s="97"/>
      <c r="I223" s="97"/>
    </row>
    <row r="224" spans="1:9" x14ac:dyDescent="0.3">
      <c r="A224" s="96">
        <v>46014</v>
      </c>
      <c r="B224" s="97">
        <v>11</v>
      </c>
      <c r="C224" s="97" t="s">
        <v>947</v>
      </c>
      <c r="D224" s="97" t="s">
        <v>910</v>
      </c>
      <c r="E224" s="113" t="s">
        <v>948</v>
      </c>
      <c r="F224" s="113" t="s">
        <v>949</v>
      </c>
      <c r="G224" s="97" t="s">
        <v>946</v>
      </c>
      <c r="H224" s="97"/>
      <c r="I224" s="97"/>
    </row>
    <row r="225" spans="1:13" x14ac:dyDescent="0.3">
      <c r="A225" s="96">
        <v>46014</v>
      </c>
      <c r="B225" s="97">
        <v>2</v>
      </c>
      <c r="C225" s="97" t="s">
        <v>950</v>
      </c>
      <c r="D225" s="97" t="s">
        <v>910</v>
      </c>
      <c r="E225" s="113" t="s">
        <v>948</v>
      </c>
      <c r="F225" s="113" t="s">
        <v>951</v>
      </c>
      <c r="G225" s="97" t="s">
        <v>946</v>
      </c>
      <c r="H225" s="97"/>
      <c r="I225" s="97"/>
    </row>
    <row r="226" spans="1:13" x14ac:dyDescent="0.3">
      <c r="A226" s="96">
        <v>46015</v>
      </c>
      <c r="B226" s="97">
        <v>6</v>
      </c>
      <c r="C226" s="97" t="s">
        <v>933</v>
      </c>
      <c r="D226" s="97" t="s">
        <v>665</v>
      </c>
      <c r="E226" s="98">
        <v>398</v>
      </c>
      <c r="F226" s="98">
        <f>B226*E226</f>
        <v>2388</v>
      </c>
      <c r="G226" s="97" t="s">
        <v>8</v>
      </c>
      <c r="H226" s="97"/>
      <c r="I226" s="97"/>
    </row>
    <row r="227" spans="1:13" x14ac:dyDescent="0.3">
      <c r="A227" s="96">
        <v>46015</v>
      </c>
      <c r="B227" s="97">
        <v>20</v>
      </c>
      <c r="C227" s="97" t="s">
        <v>933</v>
      </c>
      <c r="D227" s="97" t="s">
        <v>490</v>
      </c>
      <c r="E227" s="98">
        <v>398</v>
      </c>
      <c r="F227" s="98">
        <f t="shared" ref="F227:F285" si="12">B227*E227</f>
        <v>7960</v>
      </c>
      <c r="G227" s="97" t="s">
        <v>8</v>
      </c>
      <c r="H227" s="97"/>
      <c r="I227" s="97"/>
    </row>
    <row r="228" spans="1:13" x14ac:dyDescent="0.3">
      <c r="A228" s="114">
        <v>46015</v>
      </c>
      <c r="B228" s="115">
        <v>1</v>
      </c>
      <c r="C228" s="115" t="s">
        <v>933</v>
      </c>
      <c r="D228" s="115" t="s">
        <v>955</v>
      </c>
      <c r="E228" s="116"/>
      <c r="F228" s="116">
        <f t="shared" si="12"/>
        <v>0</v>
      </c>
      <c r="G228" s="115" t="s">
        <v>956</v>
      </c>
      <c r="H228" s="115"/>
      <c r="I228" s="115"/>
    </row>
    <row r="229" spans="1:13" x14ac:dyDescent="0.3">
      <c r="A229" s="114">
        <v>46015</v>
      </c>
      <c r="B229" s="115"/>
      <c r="C229" s="115" t="s">
        <v>933</v>
      </c>
      <c r="D229" s="115" t="s">
        <v>865</v>
      </c>
      <c r="E229" s="116"/>
      <c r="F229" s="116">
        <f t="shared" si="12"/>
        <v>0</v>
      </c>
      <c r="G229" s="115" t="s">
        <v>957</v>
      </c>
      <c r="H229" s="115"/>
      <c r="I229" s="115"/>
    </row>
    <row r="230" spans="1:13" x14ac:dyDescent="0.3">
      <c r="A230" s="114">
        <v>46015</v>
      </c>
      <c r="B230" s="115"/>
      <c r="C230" s="115" t="s">
        <v>933</v>
      </c>
      <c r="D230" s="115" t="s">
        <v>959</v>
      </c>
      <c r="E230" s="116"/>
      <c r="F230" s="116">
        <f t="shared" si="12"/>
        <v>0</v>
      </c>
      <c r="G230" s="115" t="s">
        <v>958</v>
      </c>
      <c r="H230" s="115"/>
      <c r="I230" s="115"/>
    </row>
    <row r="231" spans="1:13" x14ac:dyDescent="0.3">
      <c r="A231" s="114">
        <v>46015</v>
      </c>
      <c r="B231" s="115"/>
      <c r="C231" s="115" t="s">
        <v>933</v>
      </c>
      <c r="D231" s="115" t="s">
        <v>959</v>
      </c>
      <c r="E231" s="116"/>
      <c r="F231" s="116">
        <f t="shared" si="12"/>
        <v>0</v>
      </c>
      <c r="G231" s="115" t="s">
        <v>958</v>
      </c>
      <c r="H231" s="115"/>
      <c r="I231" s="115"/>
    </row>
    <row r="232" spans="1:13" x14ac:dyDescent="0.3">
      <c r="A232" s="96">
        <v>46015</v>
      </c>
      <c r="B232" s="97">
        <v>1</v>
      </c>
      <c r="C232" s="97" t="s">
        <v>933</v>
      </c>
      <c r="D232" s="97" t="s">
        <v>124</v>
      </c>
      <c r="E232" s="98">
        <v>398</v>
      </c>
      <c r="F232" s="98">
        <f t="shared" si="12"/>
        <v>398</v>
      </c>
      <c r="G232" s="97" t="s">
        <v>8</v>
      </c>
      <c r="H232" s="97"/>
      <c r="I232" s="97"/>
    </row>
    <row r="233" spans="1:13" x14ac:dyDescent="0.3">
      <c r="A233" s="96">
        <v>46015</v>
      </c>
      <c r="B233" s="97">
        <v>12</v>
      </c>
      <c r="C233" s="97" t="s">
        <v>933</v>
      </c>
      <c r="D233" s="97" t="s">
        <v>960</v>
      </c>
      <c r="E233" s="98">
        <v>398</v>
      </c>
      <c r="F233" s="98">
        <f t="shared" si="12"/>
        <v>4776</v>
      </c>
      <c r="G233" s="97" t="s">
        <v>8</v>
      </c>
      <c r="H233" s="97"/>
      <c r="I233" s="97"/>
      <c r="K233" s="11">
        <v>7650</v>
      </c>
    </row>
    <row r="234" spans="1:13" x14ac:dyDescent="0.3">
      <c r="A234" s="114">
        <v>46015</v>
      </c>
      <c r="B234" s="115"/>
      <c r="C234" s="115" t="s">
        <v>933</v>
      </c>
      <c r="D234" s="115" t="s">
        <v>961</v>
      </c>
      <c r="E234" s="116"/>
      <c r="F234" s="116">
        <f t="shared" si="12"/>
        <v>0</v>
      </c>
      <c r="G234" s="115" t="s">
        <v>962</v>
      </c>
      <c r="H234" s="115"/>
      <c r="I234" s="115"/>
      <c r="K234" s="11">
        <v>19700</v>
      </c>
    </row>
    <row r="235" spans="1:13" x14ac:dyDescent="0.3">
      <c r="A235" s="96">
        <v>46017</v>
      </c>
      <c r="B235" s="97">
        <v>2</v>
      </c>
      <c r="C235" s="97" t="s">
        <v>832</v>
      </c>
      <c r="D235" s="97" t="s">
        <v>677</v>
      </c>
      <c r="E235" s="98">
        <v>2197</v>
      </c>
      <c r="F235" s="98">
        <f t="shared" si="12"/>
        <v>4394</v>
      </c>
      <c r="G235" s="97" t="s">
        <v>1009</v>
      </c>
      <c r="H235" s="97"/>
      <c r="I235" s="97" t="s">
        <v>115</v>
      </c>
      <c r="K235">
        <v>10900</v>
      </c>
    </row>
    <row r="236" spans="1:13" x14ac:dyDescent="0.3">
      <c r="A236" s="96">
        <v>46017</v>
      </c>
      <c r="B236" s="97">
        <v>3</v>
      </c>
      <c r="C236" s="97" t="s">
        <v>963</v>
      </c>
      <c r="D236" s="97" t="s">
        <v>864</v>
      </c>
      <c r="E236" s="98">
        <v>4400</v>
      </c>
      <c r="F236" s="98">
        <f>B236*E236</f>
        <v>13200</v>
      </c>
      <c r="G236" s="97" t="s">
        <v>1073</v>
      </c>
      <c r="H236" s="97"/>
      <c r="I236" s="97" t="s">
        <v>1074</v>
      </c>
    </row>
    <row r="237" spans="1:13" x14ac:dyDescent="0.3">
      <c r="A237" s="96">
        <v>46017</v>
      </c>
      <c r="B237" s="97">
        <v>2</v>
      </c>
      <c r="C237" s="97" t="s">
        <v>874</v>
      </c>
      <c r="D237" s="97" t="s">
        <v>864</v>
      </c>
      <c r="E237" s="98">
        <v>3250</v>
      </c>
      <c r="F237" s="98">
        <f t="shared" si="12"/>
        <v>6500</v>
      </c>
      <c r="G237" s="97" t="s">
        <v>1005</v>
      </c>
      <c r="H237" s="97"/>
      <c r="I237" s="97"/>
    </row>
    <row r="238" spans="1:13" x14ac:dyDescent="0.3">
      <c r="A238" s="96">
        <v>46017</v>
      </c>
      <c r="B238" s="97">
        <v>1</v>
      </c>
      <c r="C238" s="97" t="s">
        <v>963</v>
      </c>
      <c r="D238" s="97" t="s">
        <v>864</v>
      </c>
      <c r="E238" s="98">
        <v>4400</v>
      </c>
      <c r="F238" s="98">
        <f t="shared" si="12"/>
        <v>4400</v>
      </c>
      <c r="G238" s="97" t="s">
        <v>1075</v>
      </c>
      <c r="H238" s="97"/>
      <c r="I238" s="97"/>
      <c r="M238">
        <v>753000</v>
      </c>
    </row>
    <row r="239" spans="1:13" x14ac:dyDescent="0.3">
      <c r="A239" s="96">
        <v>46017</v>
      </c>
      <c r="B239" s="97">
        <v>1</v>
      </c>
      <c r="C239" s="97" t="s">
        <v>874</v>
      </c>
      <c r="D239" s="97" t="s">
        <v>864</v>
      </c>
      <c r="E239" s="98">
        <v>3250</v>
      </c>
      <c r="F239" s="98">
        <f t="shared" si="12"/>
        <v>3250</v>
      </c>
      <c r="G239" s="97" t="s">
        <v>1075</v>
      </c>
      <c r="H239" s="97"/>
      <c r="I239" s="97"/>
      <c r="M239">
        <v>524000</v>
      </c>
    </row>
    <row r="240" spans="1:13" x14ac:dyDescent="0.3">
      <c r="A240" s="96">
        <v>46017</v>
      </c>
      <c r="B240" s="97">
        <v>1</v>
      </c>
      <c r="C240" s="97" t="s">
        <v>963</v>
      </c>
      <c r="D240" s="97" t="s">
        <v>864</v>
      </c>
      <c r="E240" s="98">
        <v>4400</v>
      </c>
      <c r="F240" s="98">
        <f t="shared" si="12"/>
        <v>4400</v>
      </c>
      <c r="G240" s="97" t="s">
        <v>1075</v>
      </c>
      <c r="H240" s="97"/>
      <c r="I240" s="97"/>
      <c r="M240">
        <v>173000</v>
      </c>
    </row>
    <row r="241" spans="1:14" x14ac:dyDescent="0.3">
      <c r="A241" s="96">
        <v>46017</v>
      </c>
      <c r="B241" s="97">
        <v>2</v>
      </c>
      <c r="C241" s="97" t="s">
        <v>874</v>
      </c>
      <c r="D241" s="97" t="s">
        <v>864</v>
      </c>
      <c r="E241" s="98">
        <v>3250</v>
      </c>
      <c r="F241" s="98">
        <f t="shared" si="12"/>
        <v>6500</v>
      </c>
      <c r="G241" s="97" t="s">
        <v>1075</v>
      </c>
      <c r="H241" s="97"/>
      <c r="I241" s="97"/>
      <c r="M241">
        <v>270000</v>
      </c>
    </row>
    <row r="242" spans="1:14" x14ac:dyDescent="0.3">
      <c r="A242" s="96">
        <v>46017</v>
      </c>
      <c r="B242" s="97">
        <v>8</v>
      </c>
      <c r="C242" s="97" t="s">
        <v>933</v>
      </c>
      <c r="D242" s="97" t="s">
        <v>760</v>
      </c>
      <c r="E242" s="98">
        <v>398</v>
      </c>
      <c r="F242" s="98">
        <f t="shared" si="12"/>
        <v>3184</v>
      </c>
      <c r="G242" s="97" t="s">
        <v>8</v>
      </c>
      <c r="H242" s="97"/>
      <c r="I242" s="97"/>
      <c r="M242">
        <f>SUM(M238:M241)</f>
        <v>1720000</v>
      </c>
      <c r="N242">
        <f>M242*10%</f>
        <v>172000</v>
      </c>
    </row>
    <row r="243" spans="1:14" x14ac:dyDescent="0.3">
      <c r="A243" s="96">
        <v>46017</v>
      </c>
      <c r="B243" s="97">
        <v>3</v>
      </c>
      <c r="C243" s="97" t="s">
        <v>964</v>
      </c>
      <c r="D243" s="97" t="s">
        <v>364</v>
      </c>
      <c r="E243" s="98">
        <v>642</v>
      </c>
      <c r="F243" s="98">
        <f t="shared" si="12"/>
        <v>1926</v>
      </c>
      <c r="G243" s="107" t="s">
        <v>1001</v>
      </c>
      <c r="H243" s="97"/>
      <c r="I243" s="97"/>
    </row>
    <row r="244" spans="1:14" x14ac:dyDescent="0.3">
      <c r="A244" s="96">
        <v>46017</v>
      </c>
      <c r="B244" s="97">
        <v>3</v>
      </c>
      <c r="C244" s="97" t="s">
        <v>661</v>
      </c>
      <c r="D244" s="97" t="s">
        <v>364</v>
      </c>
      <c r="E244" s="98">
        <v>419</v>
      </c>
      <c r="F244" s="98">
        <f t="shared" si="12"/>
        <v>1257</v>
      </c>
      <c r="G244" s="97" t="s">
        <v>8</v>
      </c>
      <c r="H244" s="97"/>
      <c r="I244" s="97"/>
    </row>
    <row r="245" spans="1:14" x14ac:dyDescent="0.3">
      <c r="A245" s="96">
        <v>46017</v>
      </c>
      <c r="B245" s="97">
        <v>3</v>
      </c>
      <c r="C245" s="97" t="s">
        <v>746</v>
      </c>
      <c r="D245" s="97" t="s">
        <v>364</v>
      </c>
      <c r="E245" s="98">
        <v>105</v>
      </c>
      <c r="F245" s="98">
        <f t="shared" si="12"/>
        <v>315</v>
      </c>
      <c r="G245" s="97" t="s">
        <v>8</v>
      </c>
      <c r="H245" s="97"/>
      <c r="I245" s="97"/>
    </row>
    <row r="246" spans="1:14" x14ac:dyDescent="0.3">
      <c r="A246" s="96">
        <v>46017</v>
      </c>
      <c r="B246" s="97">
        <v>1</v>
      </c>
      <c r="C246" s="97" t="s">
        <v>965</v>
      </c>
      <c r="D246" s="97" t="s">
        <v>364</v>
      </c>
      <c r="E246" s="98">
        <v>218</v>
      </c>
      <c r="F246" s="98">
        <f t="shared" si="12"/>
        <v>218</v>
      </c>
      <c r="G246" s="97" t="s">
        <v>8</v>
      </c>
      <c r="H246" s="97" t="s">
        <v>812</v>
      </c>
      <c r="I246" s="97"/>
    </row>
    <row r="247" spans="1:14" x14ac:dyDescent="0.3">
      <c r="A247" s="96">
        <v>46017</v>
      </c>
      <c r="B247" s="97">
        <v>3</v>
      </c>
      <c r="C247" s="97" t="s">
        <v>586</v>
      </c>
      <c r="D247" s="97" t="s">
        <v>364</v>
      </c>
      <c r="E247" s="98">
        <v>779</v>
      </c>
      <c r="F247" s="98">
        <f t="shared" si="12"/>
        <v>2337</v>
      </c>
      <c r="G247" s="97" t="s">
        <v>8</v>
      </c>
      <c r="H247" s="97"/>
      <c r="I247" s="97"/>
    </row>
    <row r="248" spans="1:14" x14ac:dyDescent="0.3">
      <c r="A248" s="96">
        <v>46017</v>
      </c>
      <c r="B248" s="97">
        <v>3</v>
      </c>
      <c r="C248" s="97" t="s">
        <v>966</v>
      </c>
      <c r="D248" s="97" t="s">
        <v>364</v>
      </c>
      <c r="E248" s="98">
        <v>105</v>
      </c>
      <c r="F248" s="98">
        <f t="shared" si="12"/>
        <v>315</v>
      </c>
      <c r="G248" s="97" t="s">
        <v>8</v>
      </c>
      <c r="H248" s="97"/>
      <c r="I248" s="97"/>
    </row>
    <row r="249" spans="1:14" x14ac:dyDescent="0.3">
      <c r="A249" s="96">
        <v>46017</v>
      </c>
      <c r="B249" s="97">
        <v>3</v>
      </c>
      <c r="C249" s="97" t="s">
        <v>967</v>
      </c>
      <c r="D249" s="97" t="s">
        <v>364</v>
      </c>
      <c r="E249" s="98">
        <v>2597</v>
      </c>
      <c r="F249" s="98">
        <f t="shared" si="12"/>
        <v>7791</v>
      </c>
      <c r="G249" s="97" t="s">
        <v>8</v>
      </c>
      <c r="H249" s="97"/>
      <c r="I249" s="97" t="s">
        <v>115</v>
      </c>
    </row>
    <row r="250" spans="1:14" x14ac:dyDescent="0.3">
      <c r="A250" s="96">
        <v>46017</v>
      </c>
      <c r="B250" s="97">
        <v>1</v>
      </c>
      <c r="C250" s="97" t="s">
        <v>968</v>
      </c>
      <c r="D250" s="97" t="s">
        <v>364</v>
      </c>
      <c r="E250" s="98">
        <v>1789</v>
      </c>
      <c r="F250" s="98">
        <f t="shared" si="12"/>
        <v>1789</v>
      </c>
      <c r="G250" s="97" t="s">
        <v>8</v>
      </c>
      <c r="H250" s="97" t="s">
        <v>812</v>
      </c>
      <c r="I250" s="97"/>
    </row>
    <row r="251" spans="1:14" x14ac:dyDescent="0.3">
      <c r="A251" s="96">
        <v>46017</v>
      </c>
      <c r="B251" s="97">
        <v>6</v>
      </c>
      <c r="C251" s="97" t="s">
        <v>969</v>
      </c>
      <c r="D251" s="97" t="s">
        <v>364</v>
      </c>
      <c r="E251" s="98">
        <v>2197</v>
      </c>
      <c r="F251" s="98">
        <f t="shared" si="12"/>
        <v>13182</v>
      </c>
      <c r="G251" s="107" t="s">
        <v>1002</v>
      </c>
      <c r="H251" s="97"/>
      <c r="I251" s="97" t="s">
        <v>1028</v>
      </c>
      <c r="J251" s="117" t="s">
        <v>1035</v>
      </c>
      <c r="K251" s="117" t="s">
        <v>1100</v>
      </c>
    </row>
    <row r="252" spans="1:14" x14ac:dyDescent="0.3">
      <c r="A252" s="96">
        <v>46017</v>
      </c>
      <c r="B252" s="97">
        <v>9</v>
      </c>
      <c r="C252" s="97" t="s">
        <v>697</v>
      </c>
      <c r="D252" s="97" t="s">
        <v>364</v>
      </c>
      <c r="E252" s="98">
        <v>135</v>
      </c>
      <c r="F252" s="98">
        <f t="shared" si="12"/>
        <v>1215</v>
      </c>
      <c r="G252" s="107" t="s">
        <v>1003</v>
      </c>
      <c r="H252" s="97"/>
      <c r="I252" s="102" t="s">
        <v>1029</v>
      </c>
      <c r="M252">
        <v>8311</v>
      </c>
    </row>
    <row r="253" spans="1:14" x14ac:dyDescent="0.3">
      <c r="A253" s="96">
        <v>46017</v>
      </c>
      <c r="B253" s="97">
        <v>6</v>
      </c>
      <c r="C253" s="97" t="s">
        <v>970</v>
      </c>
      <c r="D253" s="97" t="s">
        <v>364</v>
      </c>
      <c r="E253" s="98">
        <v>407</v>
      </c>
      <c r="F253" s="98">
        <f t="shared" si="12"/>
        <v>2442</v>
      </c>
      <c r="G253" s="107" t="s">
        <v>1008</v>
      </c>
      <c r="H253" s="118" t="s">
        <v>812</v>
      </c>
      <c r="I253" s="97" t="s">
        <v>1041</v>
      </c>
      <c r="J253" s="95"/>
      <c r="M253">
        <v>9061</v>
      </c>
    </row>
    <row r="254" spans="1:14" x14ac:dyDescent="0.3">
      <c r="A254" s="96">
        <v>46017</v>
      </c>
      <c r="B254" s="97">
        <v>9</v>
      </c>
      <c r="C254" s="97" t="s">
        <v>971</v>
      </c>
      <c r="D254" s="97" t="s">
        <v>364</v>
      </c>
      <c r="E254" s="98">
        <v>629</v>
      </c>
      <c r="F254" s="98">
        <f t="shared" si="12"/>
        <v>5661</v>
      </c>
      <c r="G254" s="107" t="s">
        <v>1003</v>
      </c>
      <c r="H254" s="97"/>
      <c r="I254" s="102" t="s">
        <v>1030</v>
      </c>
    </row>
    <row r="255" spans="1:14" x14ac:dyDescent="0.3">
      <c r="A255" s="96">
        <v>46018</v>
      </c>
      <c r="B255" s="97">
        <v>6</v>
      </c>
      <c r="C255" s="97" t="s">
        <v>697</v>
      </c>
      <c r="D255" s="97" t="s">
        <v>101</v>
      </c>
      <c r="E255" s="98">
        <v>125</v>
      </c>
      <c r="F255" s="98">
        <f t="shared" si="12"/>
        <v>750</v>
      </c>
      <c r="G255" s="107" t="s">
        <v>993</v>
      </c>
      <c r="H255" s="97"/>
      <c r="I255" s="97"/>
    </row>
    <row r="256" spans="1:14" x14ac:dyDescent="0.3">
      <c r="A256" s="96">
        <v>46018</v>
      </c>
      <c r="B256" s="97">
        <v>3</v>
      </c>
      <c r="C256" s="97" t="s">
        <v>661</v>
      </c>
      <c r="D256" s="97" t="s">
        <v>101</v>
      </c>
      <c r="E256" s="98">
        <v>419</v>
      </c>
      <c r="F256" s="98">
        <f t="shared" si="12"/>
        <v>1257</v>
      </c>
      <c r="G256" s="107" t="s">
        <v>993</v>
      </c>
      <c r="H256" s="97"/>
      <c r="I256" s="97"/>
    </row>
    <row r="257" spans="1:13" x14ac:dyDescent="0.3">
      <c r="A257" s="96">
        <v>46018</v>
      </c>
      <c r="B257" s="97">
        <v>2</v>
      </c>
      <c r="C257" s="97" t="s">
        <v>971</v>
      </c>
      <c r="D257" s="97" t="s">
        <v>101</v>
      </c>
      <c r="E257" s="98">
        <v>629</v>
      </c>
      <c r="F257" s="98">
        <f t="shared" si="12"/>
        <v>1258</v>
      </c>
      <c r="G257" s="107" t="s">
        <v>993</v>
      </c>
      <c r="H257" s="97"/>
      <c r="I257" s="97"/>
    </row>
    <row r="258" spans="1:13" x14ac:dyDescent="0.3">
      <c r="A258" s="96">
        <v>46018</v>
      </c>
      <c r="B258" s="97">
        <v>2</v>
      </c>
      <c r="C258" s="97" t="s">
        <v>972</v>
      </c>
      <c r="D258" s="97" t="s">
        <v>101</v>
      </c>
      <c r="E258" s="98">
        <v>2599</v>
      </c>
      <c r="F258" s="98">
        <f t="shared" si="12"/>
        <v>5198</v>
      </c>
      <c r="G258" s="97" t="s">
        <v>973</v>
      </c>
      <c r="H258" s="97"/>
      <c r="I258" s="97" t="s">
        <v>115</v>
      </c>
    </row>
    <row r="259" spans="1:13" x14ac:dyDescent="0.3">
      <c r="A259" s="114">
        <v>46018</v>
      </c>
      <c r="B259" s="115">
        <v>1</v>
      </c>
      <c r="C259" s="115" t="s">
        <v>975</v>
      </c>
      <c r="D259" s="115" t="s">
        <v>101</v>
      </c>
      <c r="E259" s="116">
        <v>299</v>
      </c>
      <c r="F259" s="116">
        <f t="shared" si="12"/>
        <v>299</v>
      </c>
      <c r="G259" s="115" t="s">
        <v>974</v>
      </c>
      <c r="H259" s="115"/>
      <c r="I259" s="115" t="s">
        <v>634</v>
      </c>
    </row>
    <row r="260" spans="1:13" x14ac:dyDescent="0.3">
      <c r="A260" s="96">
        <v>46018</v>
      </c>
      <c r="B260" s="97">
        <v>2</v>
      </c>
      <c r="C260" s="97" t="s">
        <v>971</v>
      </c>
      <c r="D260" s="97" t="s">
        <v>101</v>
      </c>
      <c r="E260" s="98">
        <v>629</v>
      </c>
      <c r="F260" s="98">
        <f t="shared" si="12"/>
        <v>1258</v>
      </c>
      <c r="G260" s="97" t="s">
        <v>8</v>
      </c>
      <c r="H260" s="97"/>
      <c r="I260" s="97" t="s">
        <v>115</v>
      </c>
    </row>
    <row r="261" spans="1:13" x14ac:dyDescent="0.3">
      <c r="A261" s="96">
        <v>46018</v>
      </c>
      <c r="B261" s="97">
        <v>3</v>
      </c>
      <c r="C261" s="97" t="s">
        <v>804</v>
      </c>
      <c r="D261" s="97" t="s">
        <v>101</v>
      </c>
      <c r="E261" s="98">
        <v>419</v>
      </c>
      <c r="F261" s="98">
        <f t="shared" si="12"/>
        <v>1257</v>
      </c>
      <c r="G261" s="97" t="s">
        <v>8</v>
      </c>
      <c r="H261" s="97"/>
      <c r="I261" s="97"/>
    </row>
    <row r="262" spans="1:13" x14ac:dyDescent="0.3">
      <c r="A262" s="96">
        <v>46018</v>
      </c>
      <c r="B262" s="97">
        <v>2</v>
      </c>
      <c r="C262" s="97" t="s">
        <v>972</v>
      </c>
      <c r="D262" s="97" t="s">
        <v>101</v>
      </c>
      <c r="E262" s="98">
        <v>2599</v>
      </c>
      <c r="F262" s="98">
        <f t="shared" si="12"/>
        <v>5198</v>
      </c>
      <c r="G262" s="97" t="s">
        <v>973</v>
      </c>
      <c r="H262" s="97"/>
      <c r="I262" s="97" t="s">
        <v>115</v>
      </c>
    </row>
    <row r="263" spans="1:13" x14ac:dyDescent="0.3">
      <c r="A263" s="96">
        <v>46018</v>
      </c>
      <c r="B263" s="97">
        <v>2</v>
      </c>
      <c r="C263" s="97" t="s">
        <v>977</v>
      </c>
      <c r="D263" s="97" t="s">
        <v>101</v>
      </c>
      <c r="E263" s="98">
        <v>180</v>
      </c>
      <c r="F263" s="98">
        <f t="shared" si="12"/>
        <v>360</v>
      </c>
      <c r="G263" s="97" t="s">
        <v>8</v>
      </c>
      <c r="H263" s="97"/>
      <c r="I263" s="97"/>
    </row>
    <row r="264" spans="1:13" x14ac:dyDescent="0.3">
      <c r="A264" s="96">
        <v>46018</v>
      </c>
      <c r="B264" s="97">
        <v>1</v>
      </c>
      <c r="C264" s="97" t="s">
        <v>976</v>
      </c>
      <c r="D264" s="97" t="s">
        <v>101</v>
      </c>
      <c r="E264" s="98">
        <v>135</v>
      </c>
      <c r="F264" s="98">
        <f t="shared" si="12"/>
        <v>135</v>
      </c>
      <c r="G264" s="97" t="s">
        <v>8</v>
      </c>
      <c r="H264" s="97"/>
      <c r="I264" s="97"/>
    </row>
    <row r="265" spans="1:13" x14ac:dyDescent="0.3">
      <c r="A265" s="96">
        <v>46018</v>
      </c>
      <c r="B265" s="97">
        <v>1</v>
      </c>
      <c r="C265" s="97" t="s">
        <v>971</v>
      </c>
      <c r="D265" s="97" t="s">
        <v>101</v>
      </c>
      <c r="E265" s="98">
        <v>629</v>
      </c>
      <c r="F265" s="98">
        <f t="shared" si="12"/>
        <v>629</v>
      </c>
      <c r="G265" s="97" t="s">
        <v>8</v>
      </c>
      <c r="H265" s="97"/>
      <c r="I265" s="97"/>
      <c r="M265">
        <v>219.7</v>
      </c>
    </row>
    <row r="266" spans="1:13" x14ac:dyDescent="0.3">
      <c r="A266" s="96">
        <v>46018</v>
      </c>
      <c r="B266" s="97">
        <v>3</v>
      </c>
      <c r="C266" s="97" t="s">
        <v>972</v>
      </c>
      <c r="D266" s="97" t="s">
        <v>710</v>
      </c>
      <c r="E266" s="98">
        <v>2599</v>
      </c>
      <c r="F266" s="98">
        <f t="shared" si="12"/>
        <v>7797</v>
      </c>
      <c r="G266" s="97" t="s">
        <v>8</v>
      </c>
      <c r="H266" s="97"/>
      <c r="I266" s="97" t="s">
        <v>115</v>
      </c>
      <c r="M266">
        <v>439.4</v>
      </c>
    </row>
    <row r="267" spans="1:13" x14ac:dyDescent="0.3">
      <c r="A267" s="96">
        <v>46018</v>
      </c>
      <c r="B267" s="97">
        <v>3</v>
      </c>
      <c r="C267" s="97" t="s">
        <v>971</v>
      </c>
      <c r="D267" s="97" t="s">
        <v>710</v>
      </c>
      <c r="E267" s="98">
        <v>629</v>
      </c>
      <c r="F267" s="98">
        <f t="shared" si="12"/>
        <v>1887</v>
      </c>
      <c r="G267" s="97" t="s">
        <v>8</v>
      </c>
      <c r="H267" s="97"/>
      <c r="I267" s="97" t="s">
        <v>115</v>
      </c>
      <c r="M267">
        <v>439.4</v>
      </c>
    </row>
    <row r="268" spans="1:13" x14ac:dyDescent="0.3">
      <c r="A268" s="114">
        <v>46018</v>
      </c>
      <c r="B268" s="115">
        <v>7</v>
      </c>
      <c r="C268" s="115" t="s">
        <v>978</v>
      </c>
      <c r="D268" s="115" t="s">
        <v>677</v>
      </c>
      <c r="E268" s="116"/>
      <c r="F268" s="116">
        <f t="shared" si="12"/>
        <v>0</v>
      </c>
      <c r="G268" s="115" t="s">
        <v>1006</v>
      </c>
      <c r="H268" s="115"/>
      <c r="I268" s="115" t="s">
        <v>1043</v>
      </c>
      <c r="M268">
        <v>439.4</v>
      </c>
    </row>
    <row r="269" spans="1:13" x14ac:dyDescent="0.3">
      <c r="A269" s="96">
        <v>46018</v>
      </c>
      <c r="B269" s="97">
        <v>50</v>
      </c>
      <c r="C269" s="97" t="s">
        <v>979</v>
      </c>
      <c r="D269" s="97" t="s">
        <v>980</v>
      </c>
      <c r="E269" s="98">
        <v>477</v>
      </c>
      <c r="F269" s="98">
        <f t="shared" si="12"/>
        <v>23850</v>
      </c>
      <c r="G269" s="97" t="s">
        <v>981</v>
      </c>
      <c r="H269" s="97">
        <v>20</v>
      </c>
      <c r="I269" s="97"/>
      <c r="J269">
        <f>B269*H269</f>
        <v>1000</v>
      </c>
      <c r="M269">
        <f>SUM(M265:M268)</f>
        <v>1537.9</v>
      </c>
    </row>
    <row r="270" spans="1:13" x14ac:dyDescent="0.3">
      <c r="A270" s="96">
        <v>46018</v>
      </c>
      <c r="B270" s="97">
        <v>37</v>
      </c>
      <c r="C270" s="97" t="s">
        <v>971</v>
      </c>
      <c r="D270" s="97" t="s">
        <v>980</v>
      </c>
      <c r="E270" s="98">
        <v>629</v>
      </c>
      <c r="F270" s="98">
        <f t="shared" si="12"/>
        <v>23273</v>
      </c>
      <c r="G270" s="97" t="s">
        <v>981</v>
      </c>
      <c r="H270" s="97">
        <v>20</v>
      </c>
      <c r="I270" s="97"/>
      <c r="J270">
        <f t="shared" ref="J270:J271" si="13">B270*H270</f>
        <v>740</v>
      </c>
    </row>
    <row r="271" spans="1:13" x14ac:dyDescent="0.3">
      <c r="A271" s="96">
        <v>46018</v>
      </c>
      <c r="B271" s="97">
        <v>50</v>
      </c>
      <c r="C271" s="97" t="s">
        <v>933</v>
      </c>
      <c r="D271" s="97" t="s">
        <v>980</v>
      </c>
      <c r="E271" s="98">
        <v>398</v>
      </c>
      <c r="F271" s="98">
        <f t="shared" si="12"/>
        <v>19900</v>
      </c>
      <c r="G271" s="97" t="s">
        <v>981</v>
      </c>
      <c r="H271" s="97">
        <v>15</v>
      </c>
      <c r="I271" s="97"/>
      <c r="J271">
        <f t="shared" si="13"/>
        <v>750</v>
      </c>
    </row>
    <row r="272" spans="1:13" x14ac:dyDescent="0.3">
      <c r="A272" s="96">
        <v>46019</v>
      </c>
      <c r="B272" s="97">
        <v>40</v>
      </c>
      <c r="C272" s="97" t="s">
        <v>723</v>
      </c>
      <c r="D272" s="97" t="s">
        <v>677</v>
      </c>
      <c r="E272" s="100">
        <v>145</v>
      </c>
      <c r="F272" s="98">
        <f t="shared" si="12"/>
        <v>5800</v>
      </c>
      <c r="G272" s="97" t="s">
        <v>1065</v>
      </c>
      <c r="H272" s="97"/>
      <c r="I272" s="97" t="s">
        <v>115</v>
      </c>
      <c r="J272" s="117" t="s">
        <v>1113</v>
      </c>
    </row>
    <row r="273" spans="1:10" x14ac:dyDescent="0.3">
      <c r="A273" s="96">
        <v>46019</v>
      </c>
      <c r="B273" s="97">
        <v>2</v>
      </c>
      <c r="C273" s="97" t="s">
        <v>971</v>
      </c>
      <c r="D273" s="97" t="s">
        <v>364</v>
      </c>
      <c r="E273" s="100">
        <v>629</v>
      </c>
      <c r="F273" s="98">
        <f t="shared" si="12"/>
        <v>1258</v>
      </c>
      <c r="G273" s="97" t="s">
        <v>8</v>
      </c>
      <c r="H273" s="97"/>
      <c r="I273" s="97" t="s">
        <v>115</v>
      </c>
    </row>
    <row r="274" spans="1:10" x14ac:dyDescent="0.3">
      <c r="A274" s="96">
        <v>46019</v>
      </c>
      <c r="B274" s="97">
        <v>3</v>
      </c>
      <c r="C274" s="97" t="s">
        <v>976</v>
      </c>
      <c r="D274" s="97" t="s">
        <v>364</v>
      </c>
      <c r="E274" s="100">
        <v>149</v>
      </c>
      <c r="F274" s="98">
        <f t="shared" si="12"/>
        <v>447</v>
      </c>
      <c r="G274" s="97" t="s">
        <v>8</v>
      </c>
      <c r="H274" s="97"/>
      <c r="I274" s="97" t="s">
        <v>115</v>
      </c>
    </row>
    <row r="275" spans="1:10" x14ac:dyDescent="0.3">
      <c r="A275" s="96">
        <v>46019</v>
      </c>
      <c r="B275" s="97">
        <v>1</v>
      </c>
      <c r="C275" s="97" t="s">
        <v>984</v>
      </c>
      <c r="D275" s="97" t="s">
        <v>364</v>
      </c>
      <c r="E275" s="100">
        <v>159</v>
      </c>
      <c r="F275" s="98">
        <f t="shared" si="12"/>
        <v>159</v>
      </c>
      <c r="G275" s="97" t="s">
        <v>8</v>
      </c>
      <c r="H275" s="97"/>
      <c r="I275" s="97" t="s">
        <v>115</v>
      </c>
    </row>
    <row r="276" spans="1:10" x14ac:dyDescent="0.3">
      <c r="A276" s="96">
        <v>46019</v>
      </c>
      <c r="B276" s="97">
        <v>2</v>
      </c>
      <c r="C276" s="97" t="s">
        <v>985</v>
      </c>
      <c r="D276" s="97" t="s">
        <v>364</v>
      </c>
      <c r="E276" s="100">
        <v>199</v>
      </c>
      <c r="F276" s="98">
        <f t="shared" si="12"/>
        <v>398</v>
      </c>
      <c r="G276" s="97" t="s">
        <v>8</v>
      </c>
      <c r="H276" s="97"/>
      <c r="I276" s="97" t="s">
        <v>115</v>
      </c>
    </row>
    <row r="277" spans="1:10" x14ac:dyDescent="0.3">
      <c r="A277" s="96">
        <v>46019</v>
      </c>
      <c r="B277" s="97">
        <v>3</v>
      </c>
      <c r="C277" s="97" t="s">
        <v>986</v>
      </c>
      <c r="D277" s="97" t="s">
        <v>364</v>
      </c>
      <c r="E277" s="100">
        <v>109</v>
      </c>
      <c r="F277" s="98">
        <f t="shared" si="12"/>
        <v>327</v>
      </c>
      <c r="G277" s="97" t="s">
        <v>8</v>
      </c>
      <c r="H277" s="97"/>
      <c r="I277" s="97" t="s">
        <v>115</v>
      </c>
    </row>
    <row r="278" spans="1:10" x14ac:dyDescent="0.3">
      <c r="A278" s="96">
        <v>46019</v>
      </c>
      <c r="B278" s="97">
        <v>3</v>
      </c>
      <c r="C278" s="97" t="s">
        <v>987</v>
      </c>
      <c r="D278" s="97" t="s">
        <v>364</v>
      </c>
      <c r="E278" s="100">
        <v>189</v>
      </c>
      <c r="F278" s="98">
        <f t="shared" si="12"/>
        <v>567</v>
      </c>
      <c r="G278" s="97" t="s">
        <v>8</v>
      </c>
      <c r="H278" s="97"/>
      <c r="I278" s="97" t="s">
        <v>115</v>
      </c>
    </row>
    <row r="279" spans="1:10" x14ac:dyDescent="0.3">
      <c r="A279" s="96">
        <v>46019</v>
      </c>
      <c r="B279" s="97">
        <v>2</v>
      </c>
      <c r="C279" s="97" t="s">
        <v>988</v>
      </c>
      <c r="D279" s="97" t="s">
        <v>364</v>
      </c>
      <c r="E279" s="100">
        <v>488</v>
      </c>
      <c r="F279" s="98">
        <f t="shared" si="12"/>
        <v>976</v>
      </c>
      <c r="G279" s="97" t="s">
        <v>1007</v>
      </c>
      <c r="H279" s="97"/>
      <c r="I279" s="97" t="s">
        <v>115</v>
      </c>
    </row>
    <row r="280" spans="1:10" x14ac:dyDescent="0.3">
      <c r="A280" s="96">
        <v>46019</v>
      </c>
      <c r="B280" s="97">
        <v>2</v>
      </c>
      <c r="C280" s="97" t="s">
        <v>971</v>
      </c>
      <c r="D280" s="97" t="s">
        <v>688</v>
      </c>
      <c r="E280" s="100">
        <v>629</v>
      </c>
      <c r="F280" s="98">
        <f t="shared" si="12"/>
        <v>1258</v>
      </c>
      <c r="G280" s="97" t="s">
        <v>8</v>
      </c>
      <c r="H280" s="97"/>
      <c r="I280" s="97" t="s">
        <v>115</v>
      </c>
    </row>
    <row r="281" spans="1:10" x14ac:dyDescent="0.3">
      <c r="A281" s="96">
        <v>46019</v>
      </c>
      <c r="B281" s="97">
        <v>2</v>
      </c>
      <c r="C281" s="97" t="s">
        <v>967</v>
      </c>
      <c r="D281" s="97" t="s">
        <v>688</v>
      </c>
      <c r="E281" s="100">
        <v>2599</v>
      </c>
      <c r="F281" s="98">
        <f t="shared" si="12"/>
        <v>5198</v>
      </c>
      <c r="G281" s="97" t="s">
        <v>1010</v>
      </c>
      <c r="H281" s="97"/>
      <c r="I281" s="97" t="s">
        <v>115</v>
      </c>
    </row>
    <row r="282" spans="1:10" x14ac:dyDescent="0.3">
      <c r="A282" s="96">
        <v>46387</v>
      </c>
      <c r="B282" s="97">
        <v>8</v>
      </c>
      <c r="C282" s="97" t="s">
        <v>933</v>
      </c>
      <c r="D282" s="97" t="s">
        <v>496</v>
      </c>
      <c r="E282" s="98">
        <v>398</v>
      </c>
      <c r="F282" s="98">
        <f t="shared" si="12"/>
        <v>3184</v>
      </c>
      <c r="G282" s="97" t="s">
        <v>8</v>
      </c>
      <c r="H282" s="97"/>
      <c r="I282" s="97"/>
    </row>
    <row r="283" spans="1:10" x14ac:dyDescent="0.3">
      <c r="A283" s="96">
        <v>46387</v>
      </c>
      <c r="B283" s="97">
        <v>2</v>
      </c>
      <c r="C283" s="97" t="s">
        <v>979</v>
      </c>
      <c r="D283" s="97" t="s">
        <v>887</v>
      </c>
      <c r="E283" s="98">
        <v>477</v>
      </c>
      <c r="F283" s="98">
        <f t="shared" si="12"/>
        <v>954</v>
      </c>
      <c r="G283" s="97" t="s">
        <v>993</v>
      </c>
      <c r="H283" s="97"/>
      <c r="I283" s="97"/>
    </row>
    <row r="284" spans="1:10" x14ac:dyDescent="0.3">
      <c r="A284" s="96">
        <v>46384</v>
      </c>
      <c r="B284" s="97">
        <v>1</v>
      </c>
      <c r="C284" s="97" t="s">
        <v>971</v>
      </c>
      <c r="D284" s="97" t="s">
        <v>994</v>
      </c>
      <c r="E284" s="98">
        <v>628</v>
      </c>
      <c r="F284" s="98">
        <f t="shared" si="12"/>
        <v>628</v>
      </c>
      <c r="G284" s="97" t="s">
        <v>981</v>
      </c>
      <c r="H284" s="97">
        <v>40</v>
      </c>
      <c r="I284" s="97" t="s">
        <v>115</v>
      </c>
      <c r="J284">
        <f t="shared" ref="J284:J285" si="14">B284*H284</f>
        <v>40</v>
      </c>
    </row>
    <row r="285" spans="1:10" x14ac:dyDescent="0.3">
      <c r="A285" s="96">
        <v>46384</v>
      </c>
      <c r="B285" s="97">
        <v>3</v>
      </c>
      <c r="C285" s="97" t="s">
        <v>933</v>
      </c>
      <c r="D285" s="97" t="s">
        <v>994</v>
      </c>
      <c r="E285" s="98">
        <v>328</v>
      </c>
      <c r="F285" s="98">
        <f t="shared" si="12"/>
        <v>984</v>
      </c>
      <c r="G285" s="97" t="s">
        <v>981</v>
      </c>
      <c r="H285" s="97">
        <v>20</v>
      </c>
      <c r="I285" s="97" t="s">
        <v>115</v>
      </c>
      <c r="J285">
        <f t="shared" si="14"/>
        <v>60</v>
      </c>
    </row>
    <row r="286" spans="1:10" x14ac:dyDescent="0.3">
      <c r="A286" s="96">
        <v>46387</v>
      </c>
      <c r="B286" s="97">
        <v>1</v>
      </c>
      <c r="C286" s="97" t="s">
        <v>999</v>
      </c>
      <c r="D286" s="97" t="s">
        <v>857</v>
      </c>
      <c r="E286" s="98">
        <v>850</v>
      </c>
      <c r="F286" s="98">
        <v>850</v>
      </c>
      <c r="G286" s="97" t="s">
        <v>1000</v>
      </c>
      <c r="H286" s="97"/>
      <c r="I286" s="97" t="s">
        <v>85</v>
      </c>
    </row>
    <row r="287" spans="1:10" x14ac:dyDescent="0.3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3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3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3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3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3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3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3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3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3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3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3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3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3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3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3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3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3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3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3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3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3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3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3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3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3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3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3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3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3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3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3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3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3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3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3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3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3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3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3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3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3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3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3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3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3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3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4.4" x14ac:dyDescent="0.3"/>
  <cols>
    <col min="1" max="1" width="28" bestFit="1" customWidth="1"/>
    <col min="3" max="3" width="9.77734375" bestFit="1" customWidth="1"/>
  </cols>
  <sheetData>
    <row r="1" spans="1:18" x14ac:dyDescent="0.3">
      <c r="A1" s="2" t="s">
        <v>1085</v>
      </c>
      <c r="B1" s="2" t="s">
        <v>0</v>
      </c>
      <c r="C1" s="2" t="s">
        <v>564</v>
      </c>
      <c r="H1" t="s">
        <v>311</v>
      </c>
      <c r="I1" t="s">
        <v>1086</v>
      </c>
      <c r="J1" t="s">
        <v>1087</v>
      </c>
    </row>
    <row r="2" spans="1:18" x14ac:dyDescent="0.3">
      <c r="A2" s="2" t="s">
        <v>1077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3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3">
      <c r="A4" s="2" t="s">
        <v>1078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3">
      <c r="A5" s="2" t="s">
        <v>1079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3">
      <c r="A6" s="2" t="s">
        <v>1080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3">
      <c r="A7" s="2" t="s">
        <v>1081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3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3">
      <c r="A9" s="2" t="s">
        <v>1082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3">
      <c r="A10" s="2" t="s">
        <v>1083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3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3">
      <c r="A12" s="2" t="s">
        <v>1084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3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3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3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3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3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3">
      <c r="K18">
        <f>K17-H17</f>
        <v>109147.22818181814</v>
      </c>
    </row>
    <row r="19" spans="1:11" x14ac:dyDescent="0.3">
      <c r="A19" s="2" t="s">
        <v>1088</v>
      </c>
      <c r="B19" s="2" t="s">
        <v>0</v>
      </c>
      <c r="C19" s="2" t="s">
        <v>564</v>
      </c>
    </row>
    <row r="20" spans="1:11" x14ac:dyDescent="0.3">
      <c r="A20" s="2" t="s">
        <v>1077</v>
      </c>
      <c r="B20" s="2">
        <v>88</v>
      </c>
      <c r="C20" s="2"/>
    </row>
    <row r="21" spans="1:11" x14ac:dyDescent="0.3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81"/>
  <sheetViews>
    <sheetView topLeftCell="A58" workbookViewId="0">
      <selection activeCell="C76" sqref="C76"/>
    </sheetView>
  </sheetViews>
  <sheetFormatPr defaultRowHeight="14.4" x14ac:dyDescent="0.3"/>
  <cols>
    <col min="1" max="1" width="6.6640625" bestFit="1" customWidth="1"/>
    <col min="2" max="2" width="4" bestFit="1" customWidth="1"/>
    <col min="3" max="3" width="36.21875" bestFit="1" customWidth="1"/>
    <col min="4" max="4" width="25.5546875" bestFit="1" customWidth="1"/>
    <col min="5" max="6" width="10" bestFit="1" customWidth="1"/>
    <col min="7" max="7" width="34" bestFit="1" customWidth="1"/>
    <col min="8" max="8" width="7.88671875" bestFit="1" customWidth="1"/>
    <col min="9" max="9" width="12.109375" bestFit="1" customWidth="1"/>
  </cols>
  <sheetData>
    <row r="1" spans="1:1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3">
      <c r="A2" s="96">
        <v>46026</v>
      </c>
      <c r="B2" s="97">
        <v>2</v>
      </c>
      <c r="C2" s="97" t="s">
        <v>969</v>
      </c>
      <c r="D2" s="97" t="s">
        <v>674</v>
      </c>
      <c r="E2" s="98">
        <v>2010</v>
      </c>
      <c r="F2" s="98">
        <f t="shared" ref="F2:F15" si="0">E2*B2</f>
        <v>4020</v>
      </c>
      <c r="G2" s="97" t="s">
        <v>1034</v>
      </c>
      <c r="H2" s="97"/>
      <c r="I2" s="97"/>
      <c r="J2" s="97"/>
    </row>
    <row r="3" spans="1:18" x14ac:dyDescent="0.3">
      <c r="A3" s="96">
        <v>46026</v>
      </c>
      <c r="B3" s="97">
        <v>2</v>
      </c>
      <c r="C3" s="97" t="s">
        <v>969</v>
      </c>
      <c r="D3" s="97" t="s">
        <v>19</v>
      </c>
      <c r="E3" s="98">
        <v>2010</v>
      </c>
      <c r="F3" s="98">
        <f t="shared" si="0"/>
        <v>4020</v>
      </c>
      <c r="G3" s="97" t="s">
        <v>1039</v>
      </c>
      <c r="H3" s="97"/>
      <c r="I3" s="97"/>
      <c r="J3" s="97"/>
    </row>
    <row r="4" spans="1:18" x14ac:dyDescent="0.3">
      <c r="A4" s="96">
        <v>46024</v>
      </c>
      <c r="B4" s="97">
        <v>1</v>
      </c>
      <c r="C4" s="97" t="s">
        <v>1011</v>
      </c>
      <c r="D4" s="97" t="s">
        <v>1012</v>
      </c>
      <c r="E4" s="98">
        <v>104</v>
      </c>
      <c r="F4" s="98">
        <f t="shared" si="0"/>
        <v>104</v>
      </c>
      <c r="G4" s="97" t="s">
        <v>85</v>
      </c>
      <c r="H4" s="97"/>
      <c r="I4" s="97"/>
      <c r="J4" s="97"/>
    </row>
    <row r="5" spans="1:18" x14ac:dyDescent="0.3">
      <c r="A5" s="96">
        <v>46025</v>
      </c>
      <c r="B5" s="97">
        <v>2</v>
      </c>
      <c r="C5" s="97" t="s">
        <v>1013</v>
      </c>
      <c r="D5" s="97" t="s">
        <v>857</v>
      </c>
      <c r="E5" s="98">
        <v>398</v>
      </c>
      <c r="F5" s="98">
        <f t="shared" si="0"/>
        <v>796</v>
      </c>
      <c r="G5" s="97" t="s">
        <v>1023</v>
      </c>
      <c r="H5" s="97"/>
      <c r="I5" s="97"/>
      <c r="J5" s="97"/>
    </row>
    <row r="6" spans="1:18" x14ac:dyDescent="0.3">
      <c r="A6" s="96">
        <v>46025</v>
      </c>
      <c r="B6" s="97">
        <v>8</v>
      </c>
      <c r="C6" s="97" t="s">
        <v>971</v>
      </c>
      <c r="D6" s="97" t="s">
        <v>857</v>
      </c>
      <c r="E6" s="98">
        <v>629</v>
      </c>
      <c r="F6" s="98">
        <f t="shared" si="0"/>
        <v>5032</v>
      </c>
      <c r="G6" s="97" t="s">
        <v>1023</v>
      </c>
      <c r="H6" s="97"/>
      <c r="I6" s="97" t="s">
        <v>115</v>
      </c>
      <c r="J6" s="97"/>
      <c r="P6" s="79"/>
    </row>
    <row r="7" spans="1:18" x14ac:dyDescent="0.3">
      <c r="A7" s="96">
        <v>46025</v>
      </c>
      <c r="B7" s="97">
        <v>2</v>
      </c>
      <c r="C7" s="97" t="s">
        <v>971</v>
      </c>
      <c r="D7" s="97" t="s">
        <v>857</v>
      </c>
      <c r="E7" s="98">
        <v>629</v>
      </c>
      <c r="F7" s="98">
        <f t="shared" si="0"/>
        <v>1258</v>
      </c>
      <c r="G7" s="97" t="s">
        <v>1023</v>
      </c>
      <c r="H7" s="97"/>
      <c r="I7" s="97"/>
      <c r="J7" s="97"/>
      <c r="P7" s="79"/>
    </row>
    <row r="8" spans="1:18" x14ac:dyDescent="0.3">
      <c r="A8" s="96">
        <v>46025</v>
      </c>
      <c r="B8" s="97">
        <v>4</v>
      </c>
      <c r="C8" s="97" t="s">
        <v>979</v>
      </c>
      <c r="D8" s="97" t="s">
        <v>857</v>
      </c>
      <c r="E8" s="98">
        <v>477</v>
      </c>
      <c r="F8" s="98">
        <f t="shared" si="0"/>
        <v>1908</v>
      </c>
      <c r="G8" s="97" t="s">
        <v>1023</v>
      </c>
      <c r="H8" s="97"/>
      <c r="I8" s="97"/>
      <c r="J8" s="97"/>
      <c r="O8" s="11"/>
      <c r="P8" s="94"/>
      <c r="Q8" s="11"/>
      <c r="R8" s="11"/>
    </row>
    <row r="9" spans="1:18" x14ac:dyDescent="0.3">
      <c r="A9" s="101">
        <v>46025</v>
      </c>
      <c r="B9" s="102">
        <v>2</v>
      </c>
      <c r="C9" s="102" t="s">
        <v>971</v>
      </c>
      <c r="D9" s="102" t="s">
        <v>1024</v>
      </c>
      <c r="E9" s="103">
        <v>629</v>
      </c>
      <c r="F9" s="103">
        <f t="shared" si="0"/>
        <v>1258</v>
      </c>
      <c r="G9" s="102" t="s">
        <v>1022</v>
      </c>
      <c r="H9" s="102"/>
      <c r="I9" s="102"/>
      <c r="J9" s="102"/>
      <c r="O9" s="20"/>
      <c r="P9" s="93"/>
      <c r="Q9" s="20"/>
      <c r="R9" s="20"/>
    </row>
    <row r="10" spans="1:18" x14ac:dyDescent="0.3">
      <c r="A10" s="96">
        <v>46027</v>
      </c>
      <c r="B10" s="97">
        <v>1</v>
      </c>
      <c r="C10" s="97" t="s">
        <v>1026</v>
      </c>
      <c r="D10" s="97" t="s">
        <v>857</v>
      </c>
      <c r="E10" s="98">
        <v>510</v>
      </c>
      <c r="F10" s="98">
        <f t="shared" si="0"/>
        <v>510</v>
      </c>
      <c r="G10" s="97" t="s">
        <v>1027</v>
      </c>
      <c r="H10" s="97"/>
      <c r="I10" s="97" t="s">
        <v>85</v>
      </c>
      <c r="J10" s="97"/>
      <c r="O10" s="20"/>
      <c r="P10" s="93"/>
      <c r="Q10" s="20"/>
      <c r="R10" s="20"/>
    </row>
    <row r="11" spans="1:18" x14ac:dyDescent="0.3">
      <c r="A11" s="96">
        <v>46028</v>
      </c>
      <c r="B11" s="97">
        <v>2</v>
      </c>
      <c r="C11" s="97" t="s">
        <v>969</v>
      </c>
      <c r="D11" s="97" t="s">
        <v>19</v>
      </c>
      <c r="E11" s="98">
        <v>2010</v>
      </c>
      <c r="F11" s="98">
        <f t="shared" si="0"/>
        <v>4020</v>
      </c>
      <c r="G11" s="97" t="s">
        <v>1039</v>
      </c>
      <c r="H11" s="97"/>
      <c r="I11" s="97"/>
      <c r="J11" s="97"/>
      <c r="P11" s="79"/>
    </row>
    <row r="12" spans="1:18" x14ac:dyDescent="0.3">
      <c r="A12" s="96">
        <v>46028</v>
      </c>
      <c r="B12" s="97">
        <v>2</v>
      </c>
      <c r="C12" s="97" t="s">
        <v>969</v>
      </c>
      <c r="D12" s="97" t="s">
        <v>70</v>
      </c>
      <c r="E12" s="98">
        <v>2010</v>
      </c>
      <c r="F12" s="98">
        <f t="shared" si="0"/>
        <v>4020</v>
      </c>
      <c r="G12" s="97" t="s">
        <v>1038</v>
      </c>
      <c r="H12" s="97"/>
      <c r="I12" s="97"/>
      <c r="J12" s="97"/>
      <c r="P12" s="79"/>
    </row>
    <row r="13" spans="1:18" x14ac:dyDescent="0.3">
      <c r="A13" s="96">
        <v>46028</v>
      </c>
      <c r="B13" s="97">
        <v>2</v>
      </c>
      <c r="C13" s="97" t="s">
        <v>969</v>
      </c>
      <c r="D13" s="97" t="s">
        <v>70</v>
      </c>
      <c r="E13" s="98">
        <v>2010</v>
      </c>
      <c r="F13" s="98">
        <f t="shared" si="0"/>
        <v>4020</v>
      </c>
      <c r="G13" s="97" t="s">
        <v>1036</v>
      </c>
      <c r="H13" s="97"/>
      <c r="I13" s="97"/>
      <c r="J13" s="97"/>
      <c r="P13" s="79"/>
    </row>
    <row r="14" spans="1:18" x14ac:dyDescent="0.3">
      <c r="A14" s="96">
        <v>46028</v>
      </c>
      <c r="B14" s="97">
        <v>2</v>
      </c>
      <c r="C14" s="97" t="s">
        <v>969</v>
      </c>
      <c r="D14" s="97" t="s">
        <v>1031</v>
      </c>
      <c r="E14" s="98">
        <v>2010</v>
      </c>
      <c r="F14" s="98">
        <f t="shared" si="0"/>
        <v>4020</v>
      </c>
      <c r="G14" s="97" t="s">
        <v>1037</v>
      </c>
      <c r="H14" s="97"/>
      <c r="I14" s="97"/>
      <c r="J14" s="97"/>
      <c r="P14" s="79"/>
    </row>
    <row r="15" spans="1:18" x14ac:dyDescent="0.3">
      <c r="A15" s="96">
        <v>46028</v>
      </c>
      <c r="B15" s="97">
        <v>1</v>
      </c>
      <c r="C15" s="97" t="s">
        <v>969</v>
      </c>
      <c r="D15" s="97" t="s">
        <v>675</v>
      </c>
      <c r="E15" s="98">
        <v>2010</v>
      </c>
      <c r="F15" s="98">
        <f t="shared" si="0"/>
        <v>2010</v>
      </c>
      <c r="G15" s="97" t="s">
        <v>1042</v>
      </c>
      <c r="H15" s="97"/>
      <c r="I15" s="97"/>
      <c r="J15" s="97"/>
      <c r="O15">
        <v>642</v>
      </c>
      <c r="P15" s="79"/>
    </row>
    <row r="16" spans="1:18" x14ac:dyDescent="0.3">
      <c r="A16" s="96">
        <v>46029</v>
      </c>
      <c r="B16" s="97">
        <v>1</v>
      </c>
      <c r="C16" s="97" t="s">
        <v>542</v>
      </c>
      <c r="D16" s="97" t="s">
        <v>1032</v>
      </c>
      <c r="E16" s="99">
        <v>11423.05</v>
      </c>
      <c r="F16" s="99">
        <v>11423.05</v>
      </c>
      <c r="G16" s="97" t="s">
        <v>1033</v>
      </c>
      <c r="H16" s="97"/>
      <c r="I16" s="97"/>
      <c r="J16" s="97"/>
      <c r="P16" s="79"/>
    </row>
    <row r="17" spans="1:16" x14ac:dyDescent="0.3">
      <c r="A17" s="96">
        <v>46031</v>
      </c>
      <c r="B17" s="97">
        <v>2</v>
      </c>
      <c r="C17" s="97" t="s">
        <v>969</v>
      </c>
      <c r="D17" s="97" t="s">
        <v>674</v>
      </c>
      <c r="E17" s="98">
        <v>2010</v>
      </c>
      <c r="F17" s="98">
        <f>B17*E17</f>
        <v>4020</v>
      </c>
      <c r="G17" s="97" t="s">
        <v>1064</v>
      </c>
      <c r="H17" s="97"/>
      <c r="I17" s="97"/>
      <c r="J17" s="97"/>
      <c r="P17" s="79"/>
    </row>
    <row r="18" spans="1:16" x14ac:dyDescent="0.3">
      <c r="A18" s="96">
        <v>46031</v>
      </c>
      <c r="B18" s="97">
        <v>2</v>
      </c>
      <c r="C18" s="97" t="s">
        <v>969</v>
      </c>
      <c r="D18" s="97" t="s">
        <v>1031</v>
      </c>
      <c r="E18" s="98">
        <v>2010</v>
      </c>
      <c r="F18" s="98">
        <f t="shared" ref="F18:F21" si="1">B18*E18</f>
        <v>4020</v>
      </c>
      <c r="G18" s="97" t="s">
        <v>1063</v>
      </c>
      <c r="H18" s="97"/>
      <c r="I18" s="97"/>
      <c r="J18" s="97"/>
      <c r="P18" s="79"/>
    </row>
    <row r="19" spans="1:16" x14ac:dyDescent="0.3">
      <c r="A19" s="96">
        <v>46031</v>
      </c>
      <c r="B19" s="97">
        <v>2</v>
      </c>
      <c r="C19" s="97" t="s">
        <v>969</v>
      </c>
      <c r="D19" s="97" t="s">
        <v>1040</v>
      </c>
      <c r="E19" s="98">
        <v>2010</v>
      </c>
      <c r="F19" s="98">
        <f t="shared" si="1"/>
        <v>4020</v>
      </c>
      <c r="G19" s="97" t="s">
        <v>1064</v>
      </c>
      <c r="H19" s="97"/>
      <c r="I19" s="97"/>
      <c r="J19" s="97"/>
      <c r="P19" s="79"/>
    </row>
    <row r="20" spans="1:16" x14ac:dyDescent="0.3">
      <c r="A20" s="96">
        <v>46031</v>
      </c>
      <c r="B20" s="97">
        <v>1</v>
      </c>
      <c r="C20" s="97" t="s">
        <v>969</v>
      </c>
      <c r="D20" s="97" t="s">
        <v>27</v>
      </c>
      <c r="E20" s="98">
        <v>2010</v>
      </c>
      <c r="F20" s="98">
        <f t="shared" si="1"/>
        <v>2010</v>
      </c>
      <c r="G20" s="97" t="s">
        <v>1042</v>
      </c>
      <c r="H20" s="97"/>
      <c r="I20" s="97"/>
      <c r="J20" s="97"/>
      <c r="P20" s="79"/>
    </row>
    <row r="21" spans="1:16" x14ac:dyDescent="0.3">
      <c r="A21" s="96">
        <v>46031</v>
      </c>
      <c r="B21" s="97">
        <v>2</v>
      </c>
      <c r="C21" s="97" t="s">
        <v>969</v>
      </c>
      <c r="D21" s="97" t="s">
        <v>813</v>
      </c>
      <c r="E21" s="98">
        <v>2010</v>
      </c>
      <c r="F21" s="98">
        <f t="shared" si="1"/>
        <v>4020</v>
      </c>
      <c r="G21" s="97" t="s">
        <v>1042</v>
      </c>
      <c r="H21" s="97"/>
      <c r="I21" s="97"/>
      <c r="J21" s="97"/>
      <c r="P21" s="79"/>
    </row>
    <row r="22" spans="1:16" x14ac:dyDescent="0.3">
      <c r="A22" s="96">
        <v>46033</v>
      </c>
      <c r="B22" s="97">
        <v>7</v>
      </c>
      <c r="C22" s="97" t="s">
        <v>1062</v>
      </c>
      <c r="D22" s="97" t="s">
        <v>677</v>
      </c>
      <c r="E22" s="100">
        <v>2197</v>
      </c>
      <c r="F22" s="100">
        <f>B22*E22</f>
        <v>15379</v>
      </c>
      <c r="G22" s="97" t="s">
        <v>1061</v>
      </c>
      <c r="H22" s="97"/>
      <c r="I22" s="97"/>
      <c r="J22" s="97"/>
    </row>
    <row r="23" spans="1:16" x14ac:dyDescent="0.3">
      <c r="A23" s="96">
        <v>46036</v>
      </c>
      <c r="B23" s="97">
        <v>8</v>
      </c>
      <c r="C23" s="97" t="s">
        <v>1046</v>
      </c>
      <c r="D23" s="97" t="s">
        <v>335</v>
      </c>
      <c r="E23" s="98">
        <v>2490</v>
      </c>
      <c r="F23" s="98">
        <f>B23*E23</f>
        <v>19920</v>
      </c>
      <c r="G23" s="97" t="s">
        <v>1072</v>
      </c>
      <c r="H23" s="97"/>
      <c r="I23" s="97"/>
      <c r="J23" s="97"/>
    </row>
    <row r="24" spans="1:16" x14ac:dyDescent="0.3">
      <c r="A24" s="96">
        <v>46036</v>
      </c>
      <c r="B24" s="97">
        <v>25</v>
      </c>
      <c r="C24" s="97" t="s">
        <v>1047</v>
      </c>
      <c r="D24" s="97" t="s">
        <v>335</v>
      </c>
      <c r="E24" s="98">
        <v>415</v>
      </c>
      <c r="F24" s="98">
        <f>B24*E24</f>
        <v>10375</v>
      </c>
      <c r="G24" s="97" t="s">
        <v>1072</v>
      </c>
      <c r="H24" s="97"/>
      <c r="I24" s="97"/>
      <c r="J24" s="97"/>
    </row>
    <row r="25" spans="1:16" x14ac:dyDescent="0.3">
      <c r="A25" s="96">
        <v>46037</v>
      </c>
      <c r="B25" s="97">
        <v>3</v>
      </c>
      <c r="C25" s="97" t="s">
        <v>1048</v>
      </c>
      <c r="D25" s="97" t="s">
        <v>101</v>
      </c>
      <c r="E25" s="98">
        <v>2690</v>
      </c>
      <c r="F25" s="98">
        <f t="shared" ref="F25:F67" si="2">B25*E25</f>
        <v>8070</v>
      </c>
      <c r="G25" s="97" t="s">
        <v>1051</v>
      </c>
      <c r="H25" s="97"/>
      <c r="I25" s="97"/>
      <c r="J25" s="97"/>
    </row>
    <row r="26" spans="1:16" x14ac:dyDescent="0.3">
      <c r="A26" s="96">
        <v>46037</v>
      </c>
      <c r="B26" s="97">
        <v>3</v>
      </c>
      <c r="C26" s="97" t="s">
        <v>1049</v>
      </c>
      <c r="D26" s="97" t="s">
        <v>101</v>
      </c>
      <c r="E26" s="98">
        <v>259</v>
      </c>
      <c r="F26" s="98">
        <f t="shared" si="2"/>
        <v>777</v>
      </c>
      <c r="G26" s="97" t="s">
        <v>1051</v>
      </c>
      <c r="H26" s="97"/>
      <c r="I26" s="97"/>
      <c r="J26" s="97"/>
    </row>
    <row r="27" spans="1:16" x14ac:dyDescent="0.3">
      <c r="A27" s="96">
        <v>46037</v>
      </c>
      <c r="B27" s="97">
        <v>3</v>
      </c>
      <c r="C27" s="97" t="s">
        <v>1050</v>
      </c>
      <c r="D27" s="97" t="s">
        <v>101</v>
      </c>
      <c r="E27" s="98">
        <v>519</v>
      </c>
      <c r="F27" s="98">
        <f t="shared" si="2"/>
        <v>1557</v>
      </c>
      <c r="G27" s="97" t="s">
        <v>8</v>
      </c>
      <c r="H27" s="97"/>
      <c r="I27" s="97"/>
      <c r="J27" s="97"/>
    </row>
    <row r="28" spans="1:16" x14ac:dyDescent="0.3">
      <c r="A28" s="96">
        <v>46037</v>
      </c>
      <c r="B28" s="97">
        <v>3</v>
      </c>
      <c r="C28" s="97" t="s">
        <v>1047</v>
      </c>
      <c r="D28" s="97" t="s">
        <v>101</v>
      </c>
      <c r="E28" s="98">
        <v>419</v>
      </c>
      <c r="F28" s="98">
        <f t="shared" si="2"/>
        <v>1257</v>
      </c>
      <c r="G28" s="97" t="s">
        <v>8</v>
      </c>
      <c r="H28" s="97"/>
      <c r="I28" s="97"/>
      <c r="J28" s="97"/>
    </row>
    <row r="29" spans="1:16" x14ac:dyDescent="0.3">
      <c r="A29" s="96">
        <v>46037</v>
      </c>
      <c r="B29" s="97">
        <v>1</v>
      </c>
      <c r="C29" s="97" t="s">
        <v>542</v>
      </c>
      <c r="D29" s="97" t="s">
        <v>1052</v>
      </c>
      <c r="E29" s="98">
        <v>7980</v>
      </c>
      <c r="F29" s="98">
        <f t="shared" si="2"/>
        <v>7980</v>
      </c>
      <c r="G29" s="97" t="s">
        <v>1033</v>
      </c>
      <c r="H29" s="97"/>
      <c r="I29" s="97"/>
      <c r="J29" s="97"/>
    </row>
    <row r="30" spans="1:16" x14ac:dyDescent="0.3">
      <c r="A30" s="96">
        <v>46038</v>
      </c>
      <c r="B30" s="97">
        <v>2</v>
      </c>
      <c r="C30" s="97" t="s">
        <v>1060</v>
      </c>
      <c r="D30" s="97" t="s">
        <v>813</v>
      </c>
      <c r="E30" s="98">
        <v>1397</v>
      </c>
      <c r="F30" s="98">
        <f t="shared" si="2"/>
        <v>2794</v>
      </c>
      <c r="G30" s="97" t="s">
        <v>1089</v>
      </c>
      <c r="H30" s="97"/>
      <c r="I30" s="97"/>
      <c r="J30" s="97"/>
    </row>
    <row r="31" spans="1:16" x14ac:dyDescent="0.3">
      <c r="A31" s="96">
        <v>46038</v>
      </c>
      <c r="B31" s="97">
        <v>2</v>
      </c>
      <c r="C31" s="97" t="s">
        <v>1058</v>
      </c>
      <c r="D31" s="97" t="s">
        <v>1055</v>
      </c>
      <c r="E31" s="98">
        <v>1397</v>
      </c>
      <c r="F31" s="98">
        <f t="shared" si="2"/>
        <v>2794</v>
      </c>
      <c r="G31" s="97" t="s">
        <v>1056</v>
      </c>
      <c r="H31" s="97"/>
      <c r="I31" s="97"/>
      <c r="J31" s="97"/>
    </row>
    <row r="32" spans="1:16" x14ac:dyDescent="0.3">
      <c r="A32" s="96">
        <v>46038</v>
      </c>
      <c r="B32" s="97">
        <v>4</v>
      </c>
      <c r="C32" s="97" t="s">
        <v>323</v>
      </c>
      <c r="D32" s="97" t="s">
        <v>358</v>
      </c>
      <c r="E32" s="98">
        <v>648</v>
      </c>
      <c r="F32" s="98">
        <f t="shared" si="2"/>
        <v>2592</v>
      </c>
      <c r="G32" s="97" t="s">
        <v>1056</v>
      </c>
      <c r="H32" s="97"/>
      <c r="I32" s="97"/>
      <c r="J32" s="97"/>
    </row>
    <row r="33" spans="1:10" x14ac:dyDescent="0.3">
      <c r="A33" s="96">
        <v>46039</v>
      </c>
      <c r="B33" s="97">
        <v>2</v>
      </c>
      <c r="C33" s="97" t="s">
        <v>1060</v>
      </c>
      <c r="D33" s="97" t="s">
        <v>1057</v>
      </c>
      <c r="E33" s="98">
        <v>1398</v>
      </c>
      <c r="F33" s="98">
        <f t="shared" si="2"/>
        <v>2796</v>
      </c>
      <c r="G33" s="97" t="s">
        <v>8</v>
      </c>
      <c r="H33" s="97"/>
      <c r="I33" s="97"/>
      <c r="J33" s="97"/>
    </row>
    <row r="34" spans="1:10" x14ac:dyDescent="0.3">
      <c r="A34" s="96">
        <v>46039</v>
      </c>
      <c r="B34" s="97">
        <v>2</v>
      </c>
      <c r="C34" s="97" t="s">
        <v>323</v>
      </c>
      <c r="D34" s="97" t="s">
        <v>358</v>
      </c>
      <c r="E34" s="98">
        <v>648</v>
      </c>
      <c r="F34" s="98">
        <f t="shared" si="2"/>
        <v>1296</v>
      </c>
      <c r="G34" s="97" t="s">
        <v>8</v>
      </c>
      <c r="H34" s="97"/>
      <c r="I34" s="97"/>
      <c r="J34" s="97"/>
    </row>
    <row r="35" spans="1:10" x14ac:dyDescent="0.3">
      <c r="A35" s="96">
        <v>46039</v>
      </c>
      <c r="B35" s="97">
        <v>2</v>
      </c>
      <c r="C35" s="97" t="s">
        <v>1059</v>
      </c>
      <c r="D35" s="97" t="s">
        <v>1031</v>
      </c>
      <c r="E35" s="98">
        <v>1397</v>
      </c>
      <c r="F35" s="98">
        <f t="shared" si="2"/>
        <v>2794</v>
      </c>
      <c r="G35" s="97" t="s">
        <v>1066</v>
      </c>
      <c r="H35" s="97"/>
      <c r="I35" s="97"/>
      <c r="J35" s="97"/>
    </row>
    <row r="36" spans="1:10" x14ac:dyDescent="0.3">
      <c r="A36" s="96">
        <v>46039</v>
      </c>
      <c r="B36" s="97">
        <v>2</v>
      </c>
      <c r="C36" s="97" t="s">
        <v>1058</v>
      </c>
      <c r="D36" s="97" t="s">
        <v>674</v>
      </c>
      <c r="E36" s="98">
        <v>1397</v>
      </c>
      <c r="F36" s="98">
        <f t="shared" si="2"/>
        <v>2794</v>
      </c>
      <c r="G36" s="97" t="s">
        <v>8</v>
      </c>
      <c r="H36" s="97"/>
      <c r="I36" s="97"/>
      <c r="J36" s="97"/>
    </row>
    <row r="37" spans="1:10" x14ac:dyDescent="0.3">
      <c r="A37" s="96">
        <v>46041</v>
      </c>
      <c r="B37" s="97">
        <v>40</v>
      </c>
      <c r="C37" s="97" t="s">
        <v>1013</v>
      </c>
      <c r="D37" s="97" t="s">
        <v>1067</v>
      </c>
      <c r="E37" s="98">
        <v>402</v>
      </c>
      <c r="F37" s="98">
        <f t="shared" si="2"/>
        <v>16080</v>
      </c>
      <c r="G37" s="97" t="s">
        <v>1068</v>
      </c>
      <c r="H37" s="97"/>
      <c r="I37" s="97"/>
      <c r="J37" s="97"/>
    </row>
    <row r="38" spans="1:10" x14ac:dyDescent="0.3">
      <c r="A38" s="96">
        <v>46041</v>
      </c>
      <c r="B38" s="97">
        <v>32</v>
      </c>
      <c r="C38" s="97" t="s">
        <v>1013</v>
      </c>
      <c r="D38" s="97" t="s">
        <v>500</v>
      </c>
      <c r="E38" s="98">
        <v>402</v>
      </c>
      <c r="F38" s="98">
        <f t="shared" si="2"/>
        <v>12864</v>
      </c>
      <c r="G38" s="97" t="s">
        <v>1068</v>
      </c>
      <c r="H38" s="97"/>
      <c r="I38" s="97"/>
      <c r="J38" s="97"/>
    </row>
    <row r="39" spans="1:10" x14ac:dyDescent="0.3">
      <c r="A39" s="96">
        <v>46041</v>
      </c>
      <c r="B39" s="97">
        <v>60</v>
      </c>
      <c r="C39" s="97" t="s">
        <v>1013</v>
      </c>
      <c r="D39" s="97" t="s">
        <v>492</v>
      </c>
      <c r="E39" s="98">
        <v>402</v>
      </c>
      <c r="F39" s="98">
        <f t="shared" si="2"/>
        <v>24120</v>
      </c>
      <c r="G39" s="97" t="s">
        <v>1068</v>
      </c>
      <c r="H39" s="97"/>
      <c r="I39" s="97"/>
      <c r="J39" s="97"/>
    </row>
    <row r="40" spans="1:10" x14ac:dyDescent="0.3">
      <c r="A40" s="114"/>
      <c r="B40" s="115"/>
      <c r="C40" s="115" t="s">
        <v>1013</v>
      </c>
      <c r="D40" s="115" t="s">
        <v>492</v>
      </c>
      <c r="E40" s="116">
        <v>500</v>
      </c>
      <c r="F40" s="116">
        <v>500</v>
      </c>
      <c r="G40" s="115" t="s">
        <v>1092</v>
      </c>
      <c r="H40" s="115"/>
      <c r="I40" s="115"/>
      <c r="J40" s="115"/>
    </row>
    <row r="41" spans="1:10" x14ac:dyDescent="0.3">
      <c r="A41" s="114">
        <v>46042</v>
      </c>
      <c r="B41" s="115"/>
      <c r="C41" s="115" t="s">
        <v>1013</v>
      </c>
      <c r="D41" s="115" t="s">
        <v>1067</v>
      </c>
      <c r="E41" s="116">
        <v>500</v>
      </c>
      <c r="F41" s="116">
        <v>500</v>
      </c>
      <c r="G41" s="115" t="s">
        <v>1069</v>
      </c>
      <c r="H41" s="115"/>
      <c r="I41" s="115"/>
      <c r="J41" s="115"/>
    </row>
    <row r="42" spans="1:10" x14ac:dyDescent="0.3">
      <c r="A42" s="96">
        <v>46042</v>
      </c>
      <c r="B42" s="97">
        <v>1</v>
      </c>
      <c r="C42" s="97" t="s">
        <v>1070</v>
      </c>
      <c r="D42" s="97" t="s">
        <v>1076</v>
      </c>
      <c r="E42" s="98">
        <v>100</v>
      </c>
      <c r="F42" s="98">
        <f t="shared" si="2"/>
        <v>100</v>
      </c>
      <c r="G42" s="97" t="s">
        <v>85</v>
      </c>
      <c r="H42" s="97"/>
      <c r="I42" s="97"/>
      <c r="J42" s="97"/>
    </row>
    <row r="43" spans="1:10" x14ac:dyDescent="0.3">
      <c r="A43" s="101">
        <v>46043</v>
      </c>
      <c r="B43" s="102">
        <v>80</v>
      </c>
      <c r="C43" s="102" t="s">
        <v>1013</v>
      </c>
      <c r="D43" s="102" t="s">
        <v>608</v>
      </c>
      <c r="E43" s="103">
        <v>398</v>
      </c>
      <c r="F43" s="103">
        <f t="shared" si="2"/>
        <v>31840</v>
      </c>
      <c r="G43" s="102" t="s">
        <v>1071</v>
      </c>
      <c r="H43" s="102"/>
      <c r="I43" s="102"/>
      <c r="J43" s="102"/>
    </row>
    <row r="44" spans="1:10" x14ac:dyDescent="0.3">
      <c r="A44" s="96">
        <v>46044</v>
      </c>
      <c r="B44" s="97">
        <v>2</v>
      </c>
      <c r="C44" s="97" t="s">
        <v>1090</v>
      </c>
      <c r="D44" s="97" t="s">
        <v>318</v>
      </c>
      <c r="E44" s="98">
        <v>1397</v>
      </c>
      <c r="F44" s="98">
        <f t="shared" si="2"/>
        <v>2794</v>
      </c>
      <c r="G44" s="97" t="s">
        <v>8</v>
      </c>
      <c r="H44" s="97"/>
      <c r="I44" s="97"/>
      <c r="J44" s="97"/>
    </row>
    <row r="45" spans="1:10" x14ac:dyDescent="0.3">
      <c r="A45" s="96">
        <v>46044</v>
      </c>
      <c r="B45" s="97">
        <v>1</v>
      </c>
      <c r="C45" s="97" t="s">
        <v>1090</v>
      </c>
      <c r="D45" s="97" t="s">
        <v>1091</v>
      </c>
      <c r="E45" s="98">
        <v>1397</v>
      </c>
      <c r="F45" s="98">
        <f t="shared" si="2"/>
        <v>1397</v>
      </c>
      <c r="G45" s="97" t="s">
        <v>8</v>
      </c>
      <c r="H45" s="97"/>
      <c r="I45" s="97"/>
      <c r="J45" s="97"/>
    </row>
    <row r="46" spans="1:10" x14ac:dyDescent="0.3">
      <c r="A46" s="96">
        <v>46044</v>
      </c>
      <c r="B46" s="97">
        <v>1</v>
      </c>
      <c r="C46" s="97" t="s">
        <v>1013</v>
      </c>
      <c r="D46" s="97" t="s">
        <v>934</v>
      </c>
      <c r="E46" s="98">
        <v>439</v>
      </c>
      <c r="F46" s="98">
        <f t="shared" si="2"/>
        <v>439</v>
      </c>
      <c r="G46" s="97" t="s">
        <v>8</v>
      </c>
      <c r="H46" s="97"/>
      <c r="I46" s="97"/>
      <c r="J46" s="97"/>
    </row>
    <row r="47" spans="1:10" ht="14.4" customHeight="1" x14ac:dyDescent="0.3">
      <c r="A47" s="114">
        <v>46044</v>
      </c>
      <c r="B47" s="115"/>
      <c r="C47" s="115" t="s">
        <v>1013</v>
      </c>
      <c r="D47" s="115" t="s">
        <v>1093</v>
      </c>
      <c r="E47" s="116"/>
      <c r="F47" s="116">
        <f t="shared" si="2"/>
        <v>0</v>
      </c>
      <c r="G47" s="115" t="s">
        <v>758</v>
      </c>
      <c r="H47" s="115"/>
      <c r="I47" s="115"/>
      <c r="J47" s="115"/>
    </row>
    <row r="48" spans="1:10" x14ac:dyDescent="0.3">
      <c r="A48" s="101">
        <v>46045</v>
      </c>
      <c r="B48" s="102">
        <v>40</v>
      </c>
      <c r="C48" s="102" t="s">
        <v>1013</v>
      </c>
      <c r="D48" s="102" t="s">
        <v>490</v>
      </c>
      <c r="E48" s="103">
        <v>398</v>
      </c>
      <c r="F48" s="103">
        <f t="shared" si="2"/>
        <v>15920</v>
      </c>
      <c r="G48" s="102" t="s">
        <v>1094</v>
      </c>
      <c r="H48" s="102"/>
      <c r="I48" s="102"/>
      <c r="J48" s="102"/>
    </row>
    <row r="49" spans="1:10" x14ac:dyDescent="0.3">
      <c r="A49" s="96">
        <v>46045</v>
      </c>
      <c r="B49" s="97">
        <v>10</v>
      </c>
      <c r="C49" s="97" t="s">
        <v>1013</v>
      </c>
      <c r="D49" s="97" t="s">
        <v>494</v>
      </c>
      <c r="E49" s="98">
        <v>431</v>
      </c>
      <c r="F49" s="98">
        <f t="shared" si="2"/>
        <v>4310</v>
      </c>
      <c r="G49" s="97" t="s">
        <v>8</v>
      </c>
      <c r="H49" s="97"/>
      <c r="I49" s="97"/>
      <c r="J49" s="97"/>
    </row>
    <row r="50" spans="1:10" x14ac:dyDescent="0.3">
      <c r="A50" s="96">
        <v>46046</v>
      </c>
      <c r="B50" s="97">
        <v>4</v>
      </c>
      <c r="C50" s="97" t="s">
        <v>1013</v>
      </c>
      <c r="D50" s="97" t="s">
        <v>1095</v>
      </c>
      <c r="E50" s="98">
        <v>431</v>
      </c>
      <c r="F50" s="98">
        <f t="shared" si="2"/>
        <v>1724</v>
      </c>
      <c r="G50" s="97" t="s">
        <v>8</v>
      </c>
      <c r="H50" s="97"/>
      <c r="I50" s="97"/>
      <c r="J50" s="97"/>
    </row>
    <row r="51" spans="1:10" x14ac:dyDescent="0.3">
      <c r="A51" s="96">
        <v>46046</v>
      </c>
      <c r="B51" s="97">
        <v>10</v>
      </c>
      <c r="C51" s="97" t="s">
        <v>1013</v>
      </c>
      <c r="D51" s="97" t="s">
        <v>934</v>
      </c>
      <c r="E51" s="98">
        <v>451</v>
      </c>
      <c r="F51" s="98">
        <f t="shared" si="2"/>
        <v>4510</v>
      </c>
      <c r="G51" s="97" t="s">
        <v>8</v>
      </c>
      <c r="H51" s="97"/>
      <c r="I51" s="97"/>
      <c r="J51" s="97"/>
    </row>
    <row r="52" spans="1:10" x14ac:dyDescent="0.3">
      <c r="A52" s="96">
        <v>46046</v>
      </c>
      <c r="B52" s="97">
        <v>4</v>
      </c>
      <c r="C52" s="97" t="s">
        <v>969</v>
      </c>
      <c r="D52" s="97" t="s">
        <v>331</v>
      </c>
      <c r="E52" s="98">
        <v>2199</v>
      </c>
      <c r="F52" s="98">
        <f t="shared" si="2"/>
        <v>8796</v>
      </c>
      <c r="G52" s="97" t="s">
        <v>8</v>
      </c>
      <c r="H52" s="97"/>
      <c r="I52" s="97" t="s">
        <v>115</v>
      </c>
      <c r="J52" s="97"/>
    </row>
    <row r="53" spans="1:10" x14ac:dyDescent="0.3">
      <c r="A53" s="96">
        <v>46046</v>
      </c>
      <c r="B53" s="97">
        <v>4</v>
      </c>
      <c r="C53" s="97" t="s">
        <v>969</v>
      </c>
      <c r="D53" s="97" t="s">
        <v>71</v>
      </c>
      <c r="E53" s="98">
        <v>2199</v>
      </c>
      <c r="F53" s="98">
        <f t="shared" si="2"/>
        <v>8796</v>
      </c>
      <c r="G53" s="97" t="s">
        <v>8</v>
      </c>
      <c r="H53" s="97"/>
      <c r="I53" s="97" t="s">
        <v>115</v>
      </c>
      <c r="J53" s="97"/>
    </row>
    <row r="54" spans="1:10" x14ac:dyDescent="0.3">
      <c r="A54" s="96">
        <v>46046</v>
      </c>
      <c r="B54" s="97">
        <v>2</v>
      </c>
      <c r="C54" s="97" t="s">
        <v>969</v>
      </c>
      <c r="D54" s="97" t="s">
        <v>1096</v>
      </c>
      <c r="E54" s="98">
        <v>2199</v>
      </c>
      <c r="F54" s="98">
        <f t="shared" si="2"/>
        <v>4398</v>
      </c>
      <c r="G54" s="97" t="s">
        <v>8</v>
      </c>
      <c r="H54" s="97"/>
      <c r="I54" s="97" t="s">
        <v>115</v>
      </c>
      <c r="J54" s="97"/>
    </row>
    <row r="55" spans="1:10" x14ac:dyDescent="0.3">
      <c r="A55" s="96">
        <v>46046</v>
      </c>
      <c r="B55" s="97">
        <v>4</v>
      </c>
      <c r="C55" s="97" t="s">
        <v>969</v>
      </c>
      <c r="D55" s="97" t="s">
        <v>1098</v>
      </c>
      <c r="E55" s="98">
        <v>2199</v>
      </c>
      <c r="F55" s="98">
        <f t="shared" si="2"/>
        <v>8796</v>
      </c>
      <c r="G55" s="97" t="s">
        <v>8</v>
      </c>
      <c r="H55" s="97"/>
      <c r="I55" s="97" t="s">
        <v>115</v>
      </c>
      <c r="J55" s="97"/>
    </row>
    <row r="56" spans="1:10" x14ac:dyDescent="0.3">
      <c r="A56" s="96">
        <v>46046</v>
      </c>
      <c r="B56" s="97">
        <v>2</v>
      </c>
      <c r="C56" s="97" t="s">
        <v>1097</v>
      </c>
      <c r="D56" s="97" t="s">
        <v>1098</v>
      </c>
      <c r="E56" s="98">
        <v>2199</v>
      </c>
      <c r="F56" s="98">
        <f t="shared" si="2"/>
        <v>4398</v>
      </c>
      <c r="G56" s="97" t="s">
        <v>8</v>
      </c>
      <c r="H56" s="97"/>
      <c r="I56" s="97" t="s">
        <v>115</v>
      </c>
      <c r="J56" s="97"/>
    </row>
    <row r="57" spans="1:10" x14ac:dyDescent="0.3">
      <c r="A57" s="96">
        <v>46046</v>
      </c>
      <c r="B57" s="97">
        <v>2</v>
      </c>
      <c r="C57" s="97" t="s">
        <v>1099</v>
      </c>
      <c r="D57" s="97" t="s">
        <v>1098</v>
      </c>
      <c r="E57" s="98">
        <v>1497</v>
      </c>
      <c r="F57" s="98">
        <f t="shared" si="2"/>
        <v>2994</v>
      </c>
      <c r="G57" s="97" t="s">
        <v>8</v>
      </c>
      <c r="H57" s="97"/>
      <c r="I57" s="97" t="s">
        <v>115</v>
      </c>
      <c r="J57" s="97"/>
    </row>
    <row r="58" spans="1:10" x14ac:dyDescent="0.3">
      <c r="A58" s="96">
        <v>46046</v>
      </c>
      <c r="B58" s="97">
        <v>3</v>
      </c>
      <c r="C58" s="97" t="s">
        <v>1099</v>
      </c>
      <c r="D58" s="97" t="s">
        <v>120</v>
      </c>
      <c r="E58" s="98">
        <v>1497</v>
      </c>
      <c r="F58" s="98">
        <f t="shared" si="2"/>
        <v>4491</v>
      </c>
      <c r="G58" s="97" t="s">
        <v>8</v>
      </c>
      <c r="H58" s="97"/>
      <c r="I58" s="97" t="s">
        <v>115</v>
      </c>
      <c r="J58" s="97"/>
    </row>
    <row r="59" spans="1:10" x14ac:dyDescent="0.3">
      <c r="A59" s="96">
        <v>46047</v>
      </c>
      <c r="B59" s="97">
        <v>4</v>
      </c>
      <c r="C59" s="97" t="s">
        <v>969</v>
      </c>
      <c r="D59" s="97" t="s">
        <v>230</v>
      </c>
      <c r="E59" s="98">
        <v>2199</v>
      </c>
      <c r="F59" s="98">
        <f t="shared" si="2"/>
        <v>8796</v>
      </c>
      <c r="G59" s="97" t="s">
        <v>8</v>
      </c>
      <c r="H59" s="97"/>
      <c r="I59" s="97" t="s">
        <v>115</v>
      </c>
      <c r="J59" s="97"/>
    </row>
    <row r="60" spans="1:10" x14ac:dyDescent="0.3">
      <c r="A60" s="96">
        <v>46047</v>
      </c>
      <c r="B60" s="97">
        <v>2</v>
      </c>
      <c r="C60" s="97" t="s">
        <v>1097</v>
      </c>
      <c r="D60" s="97" t="s">
        <v>230</v>
      </c>
      <c r="E60" s="98">
        <v>2199</v>
      </c>
      <c r="F60" s="98">
        <f t="shared" si="2"/>
        <v>4398</v>
      </c>
      <c r="G60" s="97" t="s">
        <v>8</v>
      </c>
      <c r="H60" s="97"/>
      <c r="I60" s="97" t="s">
        <v>115</v>
      </c>
      <c r="J60" s="97"/>
    </row>
    <row r="61" spans="1:10" x14ac:dyDescent="0.3">
      <c r="A61" s="96">
        <v>46047</v>
      </c>
      <c r="B61" s="97">
        <v>2</v>
      </c>
      <c r="C61" s="97" t="s">
        <v>1101</v>
      </c>
      <c r="D61" s="97" t="s">
        <v>230</v>
      </c>
      <c r="E61" s="98">
        <v>1499</v>
      </c>
      <c r="F61" s="98">
        <f t="shared" si="2"/>
        <v>2998</v>
      </c>
      <c r="G61" s="97" t="s">
        <v>8</v>
      </c>
      <c r="H61" s="97"/>
      <c r="I61" s="97" t="s">
        <v>115</v>
      </c>
      <c r="J61" s="97"/>
    </row>
    <row r="62" spans="1:10" x14ac:dyDescent="0.3">
      <c r="A62" s="96">
        <v>46047</v>
      </c>
      <c r="B62" s="97">
        <v>2</v>
      </c>
      <c r="C62" s="97" t="s">
        <v>1059</v>
      </c>
      <c r="D62" s="97" t="s">
        <v>230</v>
      </c>
      <c r="E62" s="98">
        <v>1499</v>
      </c>
      <c r="F62" s="98">
        <f t="shared" si="2"/>
        <v>2998</v>
      </c>
      <c r="G62" s="97" t="s">
        <v>8</v>
      </c>
      <c r="H62" s="97"/>
      <c r="I62" s="97" t="s">
        <v>115</v>
      </c>
      <c r="J62" s="97"/>
    </row>
    <row r="63" spans="1:10" x14ac:dyDescent="0.3">
      <c r="A63" s="96">
        <v>46047</v>
      </c>
      <c r="B63" s="97">
        <v>3</v>
      </c>
      <c r="C63" s="97" t="s">
        <v>969</v>
      </c>
      <c r="D63" s="97" t="s">
        <v>808</v>
      </c>
      <c r="E63" s="98">
        <v>2199</v>
      </c>
      <c r="F63" s="98">
        <f t="shared" si="2"/>
        <v>6597</v>
      </c>
      <c r="G63" s="97" t="s">
        <v>8</v>
      </c>
      <c r="H63" s="97"/>
      <c r="I63" s="97" t="s">
        <v>115</v>
      </c>
      <c r="J63" s="97"/>
    </row>
    <row r="64" spans="1:10" x14ac:dyDescent="0.3">
      <c r="A64" s="96">
        <v>46047</v>
      </c>
      <c r="B64" s="97">
        <v>4</v>
      </c>
      <c r="C64" s="97" t="s">
        <v>969</v>
      </c>
      <c r="D64" s="97" t="s">
        <v>101</v>
      </c>
      <c r="E64" s="98">
        <v>2199</v>
      </c>
      <c r="F64" s="98">
        <f t="shared" si="2"/>
        <v>8796</v>
      </c>
      <c r="G64" s="97" t="s">
        <v>8</v>
      </c>
      <c r="H64" s="97"/>
      <c r="I64" s="97" t="s">
        <v>115</v>
      </c>
      <c r="J64" s="97"/>
    </row>
    <row r="65" spans="1:12" x14ac:dyDescent="0.3">
      <c r="A65" s="96">
        <v>46047</v>
      </c>
      <c r="B65" s="97">
        <v>4</v>
      </c>
      <c r="C65" s="97" t="s">
        <v>1097</v>
      </c>
      <c r="D65" s="97" t="s">
        <v>101</v>
      </c>
      <c r="E65" s="98">
        <v>2199</v>
      </c>
      <c r="F65" s="98">
        <f t="shared" si="2"/>
        <v>8796</v>
      </c>
      <c r="G65" s="97" t="s">
        <v>8</v>
      </c>
      <c r="H65" s="97"/>
      <c r="I65" s="97" t="s">
        <v>115</v>
      </c>
      <c r="J65" s="97"/>
    </row>
    <row r="66" spans="1:12" x14ac:dyDescent="0.3">
      <c r="A66" s="96">
        <v>46047</v>
      </c>
      <c r="B66" s="97">
        <v>4</v>
      </c>
      <c r="C66" s="97" t="s">
        <v>1101</v>
      </c>
      <c r="D66" s="97" t="s">
        <v>101</v>
      </c>
      <c r="E66" s="98">
        <v>1499</v>
      </c>
      <c r="F66" s="98">
        <f t="shared" si="2"/>
        <v>5996</v>
      </c>
      <c r="G66" s="97" t="s">
        <v>8</v>
      </c>
      <c r="H66" s="97"/>
      <c r="I66" s="97" t="s">
        <v>115</v>
      </c>
      <c r="J66" s="97"/>
    </row>
    <row r="67" spans="1:12" x14ac:dyDescent="0.3">
      <c r="A67" s="96">
        <v>46047</v>
      </c>
      <c r="B67" s="97">
        <v>4</v>
      </c>
      <c r="C67" s="97" t="s">
        <v>1059</v>
      </c>
      <c r="D67" s="97" t="s">
        <v>101</v>
      </c>
      <c r="E67" s="98">
        <v>1499</v>
      </c>
      <c r="F67" s="98">
        <f t="shared" si="2"/>
        <v>5996</v>
      </c>
      <c r="G67" s="97" t="s">
        <v>8</v>
      </c>
      <c r="H67" s="97"/>
      <c r="I67" s="97" t="s">
        <v>115</v>
      </c>
      <c r="J67" s="97"/>
    </row>
    <row r="68" spans="1:12" x14ac:dyDescent="0.3">
      <c r="A68" s="114">
        <v>46047</v>
      </c>
      <c r="B68" s="115">
        <v>2</v>
      </c>
      <c r="C68" s="115" t="s">
        <v>969</v>
      </c>
      <c r="D68" s="115" t="s">
        <v>677</v>
      </c>
      <c r="E68" s="115" t="s">
        <v>47</v>
      </c>
      <c r="F68" s="115" t="s">
        <v>391</v>
      </c>
      <c r="G68" s="115" t="s">
        <v>1105</v>
      </c>
      <c r="H68" s="119">
        <v>1127</v>
      </c>
      <c r="I68" s="115" t="s">
        <v>115</v>
      </c>
      <c r="J68" s="115"/>
      <c r="L68">
        <v>580</v>
      </c>
    </row>
    <row r="69" spans="1:12" x14ac:dyDescent="0.3">
      <c r="A69" s="114">
        <v>46047</v>
      </c>
      <c r="B69" s="115">
        <v>2</v>
      </c>
      <c r="C69" s="115" t="s">
        <v>1103</v>
      </c>
      <c r="D69" s="115" t="s">
        <v>677</v>
      </c>
      <c r="E69" s="115" t="s">
        <v>47</v>
      </c>
      <c r="F69" s="115" t="s">
        <v>391</v>
      </c>
      <c r="G69" s="115" t="s">
        <v>1104</v>
      </c>
      <c r="H69" s="119">
        <v>949</v>
      </c>
      <c r="I69" s="115" t="s">
        <v>115</v>
      </c>
      <c r="J69" s="115"/>
      <c r="L69">
        <v>62</v>
      </c>
    </row>
    <row r="70" spans="1:12" x14ac:dyDescent="0.3">
      <c r="A70" s="101">
        <v>46049</v>
      </c>
      <c r="B70" s="102">
        <v>24</v>
      </c>
      <c r="C70" s="102" t="s">
        <v>1013</v>
      </c>
      <c r="D70" s="102" t="s">
        <v>1106</v>
      </c>
      <c r="E70" s="102">
        <v>403</v>
      </c>
      <c r="F70" s="102">
        <f>B70*E70</f>
        <v>9672</v>
      </c>
      <c r="G70" s="102" t="s">
        <v>1107</v>
      </c>
      <c r="H70" s="102"/>
      <c r="I70" s="102"/>
      <c r="J70" s="102"/>
      <c r="L70">
        <v>62</v>
      </c>
    </row>
    <row r="71" spans="1:12" x14ac:dyDescent="0.3">
      <c r="A71" s="96">
        <v>46049</v>
      </c>
      <c r="B71" s="97">
        <v>1</v>
      </c>
      <c r="C71" s="97" t="s">
        <v>1108</v>
      </c>
      <c r="D71" s="97" t="s">
        <v>1110</v>
      </c>
      <c r="E71" s="100">
        <v>2800</v>
      </c>
      <c r="F71" s="100">
        <v>2800</v>
      </c>
      <c r="G71" s="97" t="s">
        <v>1109</v>
      </c>
      <c r="H71" s="97"/>
      <c r="I71" s="97"/>
      <c r="J71" s="97"/>
      <c r="L71">
        <v>125.6</v>
      </c>
    </row>
    <row r="72" spans="1:12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L72">
        <v>298</v>
      </c>
    </row>
    <row r="73" spans="1:12" x14ac:dyDescent="0.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2" x14ac:dyDescent="0.3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2" x14ac:dyDescent="0.3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2" x14ac:dyDescent="0.3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2" x14ac:dyDescent="0.3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2" x14ac:dyDescent="0.3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2" x14ac:dyDescent="0.3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2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4.4" x14ac:dyDescent="0.3"/>
  <cols>
    <col min="1" max="1" width="6.77734375" bestFit="1" customWidth="1"/>
    <col min="2" max="2" width="4" bestFit="1" customWidth="1"/>
    <col min="3" max="3" width="27.1093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27.5546875" bestFit="1" customWidth="1"/>
    <col min="8" max="8" width="7.88671875" bestFit="1" customWidth="1"/>
    <col min="9" max="9" width="27.44140625" bestFit="1" customWidth="1"/>
    <col min="11" max="11" width="33.6640625" bestFit="1" customWidth="1"/>
    <col min="12" max="12" width="10.44140625" bestFit="1" customWidth="1"/>
    <col min="13" max="13" width="13.88671875" bestFit="1" customWidth="1"/>
    <col min="14" max="14" width="27.109375" bestFit="1" customWidth="1"/>
    <col min="15" max="15" width="25.109375" bestFit="1" customWidth="1"/>
    <col min="16" max="16" width="25.44140625" bestFit="1" customWidth="1"/>
    <col min="17" max="17" width="7" bestFit="1" customWidth="1"/>
    <col min="18" max="18" width="10.77734375" bestFit="1" customWidth="1"/>
  </cols>
  <sheetData>
    <row r="1" spans="1:1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3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3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3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88" t="s">
        <v>24</v>
      </c>
      <c r="L4">
        <v>10</v>
      </c>
    </row>
    <row r="5" spans="1:12" x14ac:dyDescent="0.3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3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3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88" t="s">
        <v>24</v>
      </c>
      <c r="L7">
        <v>4</v>
      </c>
    </row>
    <row r="8" spans="1:12" x14ac:dyDescent="0.3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3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88" t="s">
        <v>24</v>
      </c>
      <c r="L9">
        <v>2</v>
      </c>
    </row>
    <row r="10" spans="1:12" x14ac:dyDescent="0.3">
      <c r="A10" s="84">
        <v>46012</v>
      </c>
      <c r="B10" s="85">
        <v>2</v>
      </c>
      <c r="C10" s="85" t="s">
        <v>896</v>
      </c>
      <c r="D10" s="85" t="s">
        <v>916</v>
      </c>
      <c r="E10" s="86">
        <v>477</v>
      </c>
      <c r="F10" s="86">
        <v>954</v>
      </c>
      <c r="G10" s="2" t="s">
        <v>24</v>
      </c>
      <c r="H10" s="85"/>
      <c r="I10" s="85"/>
      <c r="K10" s="14" t="s">
        <v>926</v>
      </c>
      <c r="L10">
        <v>2</v>
      </c>
    </row>
    <row r="11" spans="1:12" x14ac:dyDescent="0.3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3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88" t="s">
        <v>24</v>
      </c>
      <c r="L12">
        <v>2</v>
      </c>
    </row>
    <row r="13" spans="1:12" x14ac:dyDescent="0.3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3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3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88" t="s">
        <v>24</v>
      </c>
      <c r="L15">
        <v>2</v>
      </c>
    </row>
    <row r="16" spans="1:12" x14ac:dyDescent="0.3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3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3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88" t="s">
        <v>24</v>
      </c>
      <c r="L18">
        <v>4</v>
      </c>
    </row>
    <row r="19" spans="1:12" x14ac:dyDescent="0.3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3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88" t="s">
        <v>24</v>
      </c>
      <c r="L20">
        <v>4</v>
      </c>
    </row>
    <row r="21" spans="1:12" x14ac:dyDescent="0.3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3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88" t="s">
        <v>24</v>
      </c>
      <c r="L22">
        <v>4</v>
      </c>
    </row>
    <row r="23" spans="1:12" x14ac:dyDescent="0.3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3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3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88" t="s">
        <v>24</v>
      </c>
      <c r="L25">
        <v>5</v>
      </c>
    </row>
    <row r="26" spans="1:12" x14ac:dyDescent="0.3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3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88" t="s">
        <v>24</v>
      </c>
      <c r="L27">
        <v>5</v>
      </c>
    </row>
    <row r="28" spans="1:12" x14ac:dyDescent="0.3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3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3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88" t="s">
        <v>24</v>
      </c>
      <c r="L30">
        <v>3</v>
      </c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K32" s="88" t="s">
        <v>24</v>
      </c>
      <c r="L32">
        <v>6</v>
      </c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K34" s="88" t="s">
        <v>11</v>
      </c>
      <c r="L34">
        <v>2</v>
      </c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K36" s="88" t="s">
        <v>24</v>
      </c>
      <c r="L36">
        <v>2</v>
      </c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K38" s="88" t="s">
        <v>833</v>
      </c>
      <c r="L38">
        <v>1</v>
      </c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K41" s="88" t="s">
        <v>861</v>
      </c>
      <c r="L41">
        <v>3</v>
      </c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K44" s="88" t="s">
        <v>989</v>
      </c>
      <c r="L44">
        <v>2</v>
      </c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4.4" x14ac:dyDescent="0.3"/>
  <cols>
    <col min="3" max="3" width="4.5546875" customWidth="1"/>
    <col min="4" max="4" width="34" bestFit="1" customWidth="1"/>
  </cols>
  <sheetData>
    <row r="2" spans="3:6" x14ac:dyDescent="0.3">
      <c r="C2" s="4" t="s">
        <v>0</v>
      </c>
      <c r="D2" s="4" t="s">
        <v>159</v>
      </c>
      <c r="E2" s="4" t="s">
        <v>3</v>
      </c>
      <c r="F2" s="4" t="s">
        <v>4</v>
      </c>
    </row>
    <row r="3" spans="3:6" ht="16.8" customHeight="1" x14ac:dyDescent="0.3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3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3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3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3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3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3">
      <c r="C9" s="2"/>
      <c r="D9" s="2"/>
      <c r="E9" s="87" t="s">
        <v>4</v>
      </c>
      <c r="F9" s="65">
        <v>97800</v>
      </c>
    </row>
    <row r="10" spans="3:6" x14ac:dyDescent="0.3">
      <c r="D10" s="2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3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4.4" x14ac:dyDescent="0.3"/>
  <cols>
    <col min="3" max="3" width="17.21875" bestFit="1" customWidth="1"/>
    <col min="4" max="4" width="15.77734375" bestFit="1" customWidth="1"/>
    <col min="6" max="6" width="14.44140625" bestFit="1" customWidth="1"/>
    <col min="15" max="15" width="24.77734375" bestFit="1" customWidth="1"/>
  </cols>
  <sheetData>
    <row r="1" spans="1:16" x14ac:dyDescent="0.3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3">
      <c r="A2" s="79">
        <v>45992</v>
      </c>
      <c r="B2" s="82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3">
      <c r="A3" s="79">
        <v>45993</v>
      </c>
      <c r="B3" s="82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3">
      <c r="A4" s="79">
        <v>45993</v>
      </c>
      <c r="B4" s="82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3">
      <c r="A5" s="79">
        <v>45995</v>
      </c>
      <c r="B5" s="82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3">
      <c r="A6" s="79">
        <v>45993</v>
      </c>
      <c r="B6" s="82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3">
      <c r="A7" s="79">
        <v>45993</v>
      </c>
      <c r="B7" s="82">
        <v>399</v>
      </c>
      <c r="D7" t="s">
        <v>811</v>
      </c>
      <c r="M7">
        <f>SUM(M2:M6)</f>
        <v>28730</v>
      </c>
      <c r="O7" s="51">
        <v>150</v>
      </c>
    </row>
    <row r="8" spans="1:16" x14ac:dyDescent="0.3">
      <c r="A8" s="79">
        <v>45994</v>
      </c>
      <c r="B8" s="82">
        <v>399</v>
      </c>
      <c r="D8" t="s">
        <v>811</v>
      </c>
      <c r="O8" t="s">
        <v>852</v>
      </c>
      <c r="P8" t="s">
        <v>853</v>
      </c>
    </row>
    <row r="9" spans="1:16" x14ac:dyDescent="0.3">
      <c r="A9" s="79">
        <v>45994</v>
      </c>
      <c r="B9" s="82">
        <v>399</v>
      </c>
      <c r="D9" t="s">
        <v>811</v>
      </c>
    </row>
    <row r="10" spans="1:16" x14ac:dyDescent="0.3">
      <c r="A10" s="79">
        <v>45994</v>
      </c>
      <c r="B10" s="82">
        <v>399</v>
      </c>
      <c r="D10" t="s">
        <v>811</v>
      </c>
    </row>
    <row r="11" spans="1:16" x14ac:dyDescent="0.3">
      <c r="A11" s="79">
        <v>45994</v>
      </c>
      <c r="B11" s="82">
        <v>398</v>
      </c>
      <c r="D11" t="s">
        <v>302</v>
      </c>
    </row>
    <row r="12" spans="1:16" x14ac:dyDescent="0.3">
      <c r="A12" s="79">
        <v>45994</v>
      </c>
      <c r="B12" s="82">
        <v>398</v>
      </c>
      <c r="D12" s="11" t="s">
        <v>810</v>
      </c>
      <c r="L12" s="81">
        <f>H4-M7</f>
        <v>16887</v>
      </c>
    </row>
    <row r="13" spans="1:16" x14ac:dyDescent="0.3">
      <c r="A13" s="79">
        <v>45995</v>
      </c>
      <c r="B13" s="82">
        <v>796</v>
      </c>
      <c r="D13" s="11" t="s">
        <v>810</v>
      </c>
    </row>
    <row r="14" spans="1:16" x14ac:dyDescent="0.3">
      <c r="A14" s="79">
        <v>45995</v>
      </c>
      <c r="B14" s="82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3">
      <c r="A15" s="79">
        <v>45996</v>
      </c>
      <c r="B15" s="82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3">
      <c r="A16" s="79">
        <v>45996</v>
      </c>
      <c r="B16" s="82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3">
      <c r="A17" s="79">
        <v>45999</v>
      </c>
      <c r="B17" s="82">
        <v>299</v>
      </c>
      <c r="D17" s="11" t="s">
        <v>811</v>
      </c>
      <c r="O17">
        <f>SUM(O14:O16)</f>
        <v>14888</v>
      </c>
    </row>
    <row r="18" spans="1:15" x14ac:dyDescent="0.3">
      <c r="A18" s="79">
        <v>45999</v>
      </c>
      <c r="B18" s="82">
        <v>398</v>
      </c>
      <c r="D18" s="11" t="s">
        <v>674</v>
      </c>
      <c r="G18" t="s">
        <v>845</v>
      </c>
    </row>
    <row r="19" spans="1:15" x14ac:dyDescent="0.3">
      <c r="A19" s="79">
        <v>45999</v>
      </c>
      <c r="B19" s="82">
        <v>399</v>
      </c>
      <c r="D19" s="11" t="s">
        <v>811</v>
      </c>
    </row>
    <row r="20" spans="1:15" x14ac:dyDescent="0.3">
      <c r="A20" s="79">
        <v>45999</v>
      </c>
      <c r="B20" s="82">
        <v>399</v>
      </c>
      <c r="D20" s="11" t="s">
        <v>811</v>
      </c>
    </row>
    <row r="21" spans="1:15" x14ac:dyDescent="0.3">
      <c r="A21" s="79">
        <v>45999</v>
      </c>
      <c r="B21" s="82">
        <v>399</v>
      </c>
      <c r="D21" s="11" t="s">
        <v>811</v>
      </c>
    </row>
    <row r="22" spans="1:15" x14ac:dyDescent="0.3">
      <c r="A22" s="79">
        <v>45999</v>
      </c>
      <c r="B22" s="82">
        <v>399</v>
      </c>
      <c r="D22" s="11" t="s">
        <v>811</v>
      </c>
    </row>
    <row r="23" spans="1:15" x14ac:dyDescent="0.3">
      <c r="A23" s="79">
        <v>45999</v>
      </c>
      <c r="B23" s="82">
        <v>796</v>
      </c>
      <c r="D23" s="11" t="s">
        <v>846</v>
      </c>
    </row>
    <row r="24" spans="1:15" x14ac:dyDescent="0.3">
      <c r="A24" s="79">
        <v>45999</v>
      </c>
      <c r="B24" s="82">
        <v>3980</v>
      </c>
      <c r="D24" s="11" t="s">
        <v>302</v>
      </c>
    </row>
    <row r="25" spans="1:15" x14ac:dyDescent="0.3">
      <c r="A25" s="79">
        <v>46000</v>
      </c>
      <c r="B25" s="82">
        <v>299</v>
      </c>
      <c r="D25" s="11" t="s">
        <v>811</v>
      </c>
    </row>
    <row r="26" spans="1:15" x14ac:dyDescent="0.3">
      <c r="A26" s="79">
        <v>46000</v>
      </c>
      <c r="B26" s="82">
        <v>394</v>
      </c>
      <c r="D26" s="11" t="s">
        <v>811</v>
      </c>
    </row>
    <row r="27" spans="1:15" x14ac:dyDescent="0.3">
      <c r="A27" s="79">
        <v>46000</v>
      </c>
      <c r="B27" s="82">
        <v>399</v>
      </c>
      <c r="D27" s="11" t="s">
        <v>811</v>
      </c>
    </row>
    <row r="28" spans="1:15" x14ac:dyDescent="0.3">
      <c r="A28" s="79">
        <v>46000</v>
      </c>
      <c r="B28" s="82">
        <v>798</v>
      </c>
      <c r="D28" s="11" t="s">
        <v>809</v>
      </c>
    </row>
    <row r="29" spans="1:15" x14ac:dyDescent="0.3">
      <c r="A29" s="79">
        <v>46000</v>
      </c>
      <c r="B29" s="82">
        <v>798</v>
      </c>
      <c r="D29" s="11" t="s">
        <v>809</v>
      </c>
    </row>
    <row r="30" spans="1:15" x14ac:dyDescent="0.3">
      <c r="A30" s="79">
        <v>46000</v>
      </c>
      <c r="B30" s="82">
        <v>798</v>
      </c>
      <c r="D30" s="11" t="s">
        <v>809</v>
      </c>
    </row>
    <row r="31" spans="1:15" x14ac:dyDescent="0.3">
      <c r="A31" s="79">
        <v>46000</v>
      </c>
      <c r="B31" s="82">
        <v>798</v>
      </c>
      <c r="D31" s="11" t="s">
        <v>809</v>
      </c>
    </row>
    <row r="32" spans="1:15" x14ac:dyDescent="0.3">
      <c r="A32" s="79">
        <v>46000</v>
      </c>
      <c r="B32" s="82">
        <v>1197</v>
      </c>
      <c r="D32" s="11" t="s">
        <v>811</v>
      </c>
    </row>
    <row r="33" spans="1:5" x14ac:dyDescent="0.3">
      <c r="A33" s="79">
        <v>46000</v>
      </c>
      <c r="B33" s="82">
        <v>840.75</v>
      </c>
      <c r="D33" s="11" t="s">
        <v>810</v>
      </c>
    </row>
    <row r="34" spans="1:5" x14ac:dyDescent="0.3">
      <c r="A34" s="79">
        <v>46000</v>
      </c>
      <c r="B34" s="82">
        <v>798</v>
      </c>
      <c r="D34" s="11" t="s">
        <v>809</v>
      </c>
    </row>
    <row r="35" spans="1:5" x14ac:dyDescent="0.3">
      <c r="A35" s="79">
        <v>46000</v>
      </c>
      <c r="B35" s="82">
        <v>5245.99</v>
      </c>
      <c r="D35" s="11" t="s">
        <v>811</v>
      </c>
    </row>
    <row r="36" spans="1:5" x14ac:dyDescent="0.3">
      <c r="A36" s="79">
        <v>46000</v>
      </c>
      <c r="B36" s="82">
        <v>399</v>
      </c>
      <c r="D36" s="11" t="s">
        <v>811</v>
      </c>
    </row>
    <row r="37" spans="1:5" x14ac:dyDescent="0.3">
      <c r="A37" s="79">
        <v>46000</v>
      </c>
      <c r="B37" s="82">
        <v>399</v>
      </c>
      <c r="D37" s="11" t="s">
        <v>811</v>
      </c>
    </row>
    <row r="38" spans="1:5" x14ac:dyDescent="0.3">
      <c r="A38" s="79">
        <v>46000</v>
      </c>
      <c r="B38" s="82">
        <v>796</v>
      </c>
      <c r="D38" s="11" t="s">
        <v>810</v>
      </c>
    </row>
    <row r="39" spans="1:5" x14ac:dyDescent="0.3">
      <c r="A39" s="79">
        <v>46000</v>
      </c>
      <c r="B39" s="82">
        <v>796</v>
      </c>
      <c r="D39" s="11" t="s">
        <v>810</v>
      </c>
    </row>
    <row r="40" spans="1:5" x14ac:dyDescent="0.3">
      <c r="A40" s="79">
        <v>46000</v>
      </c>
      <c r="B40" s="82">
        <v>796</v>
      </c>
      <c r="D40" s="11" t="s">
        <v>810</v>
      </c>
    </row>
    <row r="41" spans="1:5" x14ac:dyDescent="0.3">
      <c r="A41" s="79">
        <v>46000</v>
      </c>
      <c r="B41" s="82">
        <v>796</v>
      </c>
      <c r="D41" s="11" t="s">
        <v>810</v>
      </c>
    </row>
    <row r="42" spans="1:5" x14ac:dyDescent="0.3">
      <c r="A42" s="79">
        <v>46000</v>
      </c>
      <c r="B42" s="82">
        <v>796</v>
      </c>
      <c r="D42" s="11" t="s">
        <v>810</v>
      </c>
    </row>
    <row r="43" spans="1:5" x14ac:dyDescent="0.3">
      <c r="B43" s="81">
        <f>SUM(B2:B42)</f>
        <v>37616.74</v>
      </c>
    </row>
    <row r="46" spans="1:5" x14ac:dyDescent="0.3">
      <c r="A46" s="4" t="s">
        <v>65</v>
      </c>
      <c r="B46" s="91" t="s">
        <v>0</v>
      </c>
      <c r="C46" s="4" t="s">
        <v>1</v>
      </c>
      <c r="D46" s="4" t="s">
        <v>872</v>
      </c>
      <c r="E46" s="4" t="s">
        <v>4</v>
      </c>
    </row>
    <row r="47" spans="1:5" x14ac:dyDescent="0.3">
      <c r="A47" s="89">
        <v>46376</v>
      </c>
      <c r="B47" s="45">
        <v>22</v>
      </c>
      <c r="C47" s="45" t="s">
        <v>789</v>
      </c>
      <c r="D47" s="90">
        <v>15</v>
      </c>
      <c r="E47" s="90">
        <f>B47*D47</f>
        <v>330</v>
      </c>
    </row>
    <row r="48" spans="1:5" x14ac:dyDescent="0.3">
      <c r="A48" s="89">
        <v>46376</v>
      </c>
      <c r="B48" s="45">
        <v>3</v>
      </c>
      <c r="C48" s="45" t="s">
        <v>995</v>
      </c>
      <c r="D48" s="90">
        <v>20</v>
      </c>
      <c r="E48" s="90">
        <f>B48*D48</f>
        <v>60</v>
      </c>
    </row>
    <row r="49" spans="1:12" x14ac:dyDescent="0.3">
      <c r="A49" s="89">
        <v>46376</v>
      </c>
      <c r="B49" s="45">
        <v>2</v>
      </c>
      <c r="C49" s="45" t="s">
        <v>996</v>
      </c>
      <c r="D49" s="90">
        <v>20</v>
      </c>
      <c r="E49" s="90">
        <f t="shared" ref="E49:E52" si="1">B49*D49</f>
        <v>40</v>
      </c>
    </row>
    <row r="50" spans="1:12" x14ac:dyDescent="0.3">
      <c r="A50" s="89">
        <v>46379</v>
      </c>
      <c r="B50" s="45">
        <v>9</v>
      </c>
      <c r="C50" s="45" t="s">
        <v>996</v>
      </c>
      <c r="D50" s="90">
        <v>20</v>
      </c>
      <c r="E50" s="90">
        <f t="shared" si="1"/>
        <v>180</v>
      </c>
    </row>
    <row r="51" spans="1:12" x14ac:dyDescent="0.3">
      <c r="A51" s="89">
        <v>46379</v>
      </c>
      <c r="B51" s="45">
        <v>11</v>
      </c>
      <c r="C51" s="45" t="s">
        <v>995</v>
      </c>
      <c r="D51" s="90">
        <v>20</v>
      </c>
      <c r="E51" s="90">
        <f t="shared" si="1"/>
        <v>220</v>
      </c>
    </row>
    <row r="52" spans="1:12" x14ac:dyDescent="0.3">
      <c r="A52" s="89">
        <v>46379</v>
      </c>
      <c r="B52" s="45">
        <v>2</v>
      </c>
      <c r="C52" s="45" t="s">
        <v>997</v>
      </c>
      <c r="D52" s="90">
        <v>10</v>
      </c>
      <c r="E52" s="90">
        <f t="shared" si="1"/>
        <v>20</v>
      </c>
    </row>
    <row r="53" spans="1:12" x14ac:dyDescent="0.3">
      <c r="A53" s="45"/>
      <c r="B53" s="45"/>
      <c r="C53" s="45" t="s">
        <v>998</v>
      </c>
      <c r="D53" s="92" t="s">
        <v>80</v>
      </c>
      <c r="E53" s="90">
        <f>SUM(E47:E52)</f>
        <v>850</v>
      </c>
    </row>
    <row r="54" spans="1:12" x14ac:dyDescent="0.3">
      <c r="A54" s="127" t="s">
        <v>1025</v>
      </c>
      <c r="B54" s="127"/>
      <c r="C54" s="127"/>
      <c r="D54" s="127"/>
      <c r="E54" s="127"/>
    </row>
    <row r="55" spans="1:12" x14ac:dyDescent="0.3">
      <c r="A55" s="4" t="s">
        <v>65</v>
      </c>
      <c r="B55" s="91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3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3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4">
        <v>46385</v>
      </c>
      <c r="K57" s="11">
        <v>1256</v>
      </c>
      <c r="L57" s="11" t="s">
        <v>1015</v>
      </c>
    </row>
    <row r="58" spans="1:12" x14ac:dyDescent="0.3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3">
        <v>46385</v>
      </c>
      <c r="K58" s="20">
        <v>628</v>
      </c>
      <c r="L58" s="20" t="s">
        <v>1014</v>
      </c>
    </row>
    <row r="59" spans="1:12" x14ac:dyDescent="0.3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3">
        <v>46385</v>
      </c>
      <c r="K59" s="20">
        <v>628</v>
      </c>
      <c r="L59" s="20" t="s">
        <v>1014</v>
      </c>
    </row>
    <row r="60" spans="1:12" x14ac:dyDescent="0.3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3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3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3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3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3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3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3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3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3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3">
      <c r="J70" s="79">
        <v>46380</v>
      </c>
      <c r="K70">
        <v>2216</v>
      </c>
      <c r="L70" t="s">
        <v>1020</v>
      </c>
    </row>
    <row r="75" spans="8:13" x14ac:dyDescent="0.3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772</v>
      </c>
      <c r="C1" t="s">
        <v>773</v>
      </c>
    </row>
    <row r="2" spans="1:3" x14ac:dyDescent="0.3">
      <c r="A2" s="79">
        <v>45991</v>
      </c>
      <c r="B2">
        <v>2</v>
      </c>
      <c r="C2" s="81">
        <v>796</v>
      </c>
    </row>
    <row r="3" spans="1:3" x14ac:dyDescent="0.3">
      <c r="A3" s="79">
        <v>45991</v>
      </c>
      <c r="B3">
        <v>1</v>
      </c>
      <c r="C3" s="81">
        <v>398</v>
      </c>
    </row>
    <row r="4" spans="1:3" x14ac:dyDescent="0.3">
      <c r="A4" s="79">
        <v>45991</v>
      </c>
      <c r="B4">
        <v>2</v>
      </c>
      <c r="C4" s="81">
        <v>796</v>
      </c>
    </row>
    <row r="5" spans="1:3" x14ac:dyDescent="0.3">
      <c r="A5" s="79">
        <v>45991</v>
      </c>
      <c r="B5">
        <v>6</v>
      </c>
      <c r="C5" s="81">
        <v>2388</v>
      </c>
    </row>
    <row r="6" spans="1:3" x14ac:dyDescent="0.3">
      <c r="A6" s="79">
        <v>45991</v>
      </c>
      <c r="B6">
        <v>13</v>
      </c>
      <c r="C6" s="81">
        <v>5174</v>
      </c>
    </row>
    <row r="7" spans="1:3" x14ac:dyDescent="0.3">
      <c r="A7" s="79">
        <v>45991</v>
      </c>
      <c r="B7">
        <v>11</v>
      </c>
      <c r="C7" s="81">
        <v>4378</v>
      </c>
    </row>
    <row r="8" spans="1:3" x14ac:dyDescent="0.3">
      <c r="A8" s="79">
        <v>45991</v>
      </c>
      <c r="B8">
        <v>2</v>
      </c>
      <c r="C8" s="81">
        <v>796</v>
      </c>
    </row>
    <row r="9" spans="1:3" x14ac:dyDescent="0.3">
      <c r="A9" s="79">
        <v>45991</v>
      </c>
      <c r="B9">
        <v>3</v>
      </c>
      <c r="C9" s="81">
        <v>1194</v>
      </c>
    </row>
    <row r="10" spans="1:3" x14ac:dyDescent="0.3">
      <c r="A10" s="79">
        <v>45991</v>
      </c>
      <c r="B10">
        <v>4</v>
      </c>
      <c r="C10" s="81">
        <v>1592</v>
      </c>
    </row>
    <row r="11" spans="1:3" x14ac:dyDescent="0.3">
      <c r="A11" s="79">
        <v>45991</v>
      </c>
      <c r="B11">
        <v>3</v>
      </c>
      <c r="C11" s="81">
        <v>1200</v>
      </c>
    </row>
    <row r="12" spans="1:3" x14ac:dyDescent="0.3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3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3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3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3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3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3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3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3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3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3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3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747</v>
      </c>
      <c r="K22">
        <v>1</v>
      </c>
    </row>
    <row r="23" spans="1:11" x14ac:dyDescent="0.3">
      <c r="J23" s="14" t="s">
        <v>750</v>
      </c>
      <c r="K23">
        <v>10</v>
      </c>
    </row>
    <row r="24" spans="1:11" x14ac:dyDescent="0.3">
      <c r="J24" s="74" t="s">
        <v>744</v>
      </c>
      <c r="K24">
        <v>10</v>
      </c>
    </row>
    <row r="25" spans="1:11" x14ac:dyDescent="0.3">
      <c r="J25" s="14" t="s">
        <v>752</v>
      </c>
      <c r="K25">
        <v>10</v>
      </c>
    </row>
    <row r="26" spans="1:11" x14ac:dyDescent="0.3">
      <c r="J26" s="74" t="s">
        <v>716</v>
      </c>
      <c r="K26">
        <v>7</v>
      </c>
    </row>
    <row r="27" spans="1:11" x14ac:dyDescent="0.3">
      <c r="J27" s="74" t="s">
        <v>717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3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3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3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3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3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7"/>
  <sheetViews>
    <sheetView tabSelected="1" workbookViewId="0">
      <selection activeCell="D19" sqref="D19"/>
    </sheetView>
  </sheetViews>
  <sheetFormatPr defaultRowHeight="14.4" x14ac:dyDescent="0.3"/>
  <cols>
    <col min="3" max="3" width="20" bestFit="1" customWidth="1"/>
    <col min="4" max="4" width="12.109375" bestFit="1" customWidth="1"/>
    <col min="8" max="8" width="23.33203125" bestFit="1" customWidth="1"/>
    <col min="9" max="9" width="15" bestFit="1" customWidth="1"/>
    <col min="10" max="10" width="12.1093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3">
      <c r="A2" s="68">
        <v>46034</v>
      </c>
      <c r="B2" s="2">
        <v>10</v>
      </c>
      <c r="C2" s="2" t="s">
        <v>405</v>
      </c>
      <c r="D2" s="2" t="s">
        <v>291</v>
      </c>
      <c r="E2" s="2">
        <v>1449</v>
      </c>
      <c r="F2" s="2">
        <f>B2*E2</f>
        <v>14490</v>
      </c>
      <c r="G2" s="2" t="s">
        <v>1044</v>
      </c>
      <c r="H2" s="2"/>
      <c r="I2" s="2"/>
      <c r="J2" s="2"/>
    </row>
    <row r="3" spans="1:10" x14ac:dyDescent="0.3">
      <c r="A3" s="68">
        <v>46034</v>
      </c>
      <c r="B3" s="2">
        <v>30</v>
      </c>
      <c r="C3" s="2" t="s">
        <v>933</v>
      </c>
      <c r="D3" s="2" t="s">
        <v>291</v>
      </c>
      <c r="E3" s="2">
        <v>460</v>
      </c>
      <c r="F3" s="2">
        <f t="shared" ref="F3:F7" si="0">B3*E3</f>
        <v>13800</v>
      </c>
      <c r="G3" s="2" t="s">
        <v>1044</v>
      </c>
      <c r="H3" s="2" t="s">
        <v>1045</v>
      </c>
      <c r="I3" s="2"/>
      <c r="J3" s="2"/>
    </row>
    <row r="4" spans="1:10" x14ac:dyDescent="0.3">
      <c r="A4" s="68">
        <v>46035</v>
      </c>
      <c r="B4" s="2">
        <v>1</v>
      </c>
      <c r="C4" s="2" t="s">
        <v>542</v>
      </c>
      <c r="D4" s="2" t="s">
        <v>1053</v>
      </c>
      <c r="E4" s="2">
        <v>3408</v>
      </c>
      <c r="F4" s="2">
        <f t="shared" si="0"/>
        <v>3408</v>
      </c>
      <c r="G4" s="2"/>
      <c r="H4" s="2" t="s">
        <v>1033</v>
      </c>
      <c r="I4" s="2"/>
      <c r="J4" s="2"/>
    </row>
    <row r="5" spans="1:10" x14ac:dyDescent="0.3">
      <c r="A5" s="96">
        <v>46048</v>
      </c>
      <c r="B5" s="97"/>
      <c r="C5" s="97" t="s">
        <v>622</v>
      </c>
      <c r="D5" s="97" t="s">
        <v>464</v>
      </c>
      <c r="E5" s="97"/>
      <c r="F5" s="97">
        <v>5000</v>
      </c>
      <c r="G5" s="97"/>
      <c r="H5" s="97" t="s">
        <v>1102</v>
      </c>
      <c r="I5" s="97"/>
      <c r="J5" s="97"/>
    </row>
    <row r="6" spans="1:10" x14ac:dyDescent="0.3">
      <c r="A6" s="2"/>
      <c r="B6" s="2"/>
      <c r="C6" s="2"/>
      <c r="D6" s="2"/>
      <c r="E6" s="2"/>
      <c r="F6" s="2">
        <f t="shared" si="0"/>
        <v>0</v>
      </c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>
        <f t="shared" si="0"/>
        <v>0</v>
      </c>
      <c r="G7" s="2"/>
      <c r="H7" s="2"/>
      <c r="I7" s="2"/>
      <c r="J7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A13" sqref="A13:I14"/>
    </sheetView>
  </sheetViews>
  <sheetFormatPr defaultRowHeight="14.4" x14ac:dyDescent="0.3"/>
  <cols>
    <col min="1" max="1" width="10.5546875" bestFit="1" customWidth="1"/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22.3320312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3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3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3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3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3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3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3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3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3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3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3">
      <c r="A13" s="101">
        <v>46014</v>
      </c>
      <c r="B13" s="102">
        <v>5</v>
      </c>
      <c r="C13" s="102" t="s">
        <v>928</v>
      </c>
      <c r="D13" s="102" t="s">
        <v>291</v>
      </c>
      <c r="E13" s="102">
        <v>1449</v>
      </c>
      <c r="F13" s="102">
        <f t="shared" si="0"/>
        <v>7245</v>
      </c>
      <c r="G13" s="102" t="s">
        <v>62</v>
      </c>
      <c r="H13" s="102" t="s">
        <v>543</v>
      </c>
      <c r="I13" s="102"/>
    </row>
    <row r="14" spans="1:15" x14ac:dyDescent="0.3">
      <c r="A14" s="101">
        <v>46014</v>
      </c>
      <c r="B14" s="102">
        <v>4</v>
      </c>
      <c r="C14" s="102" t="s">
        <v>928</v>
      </c>
      <c r="D14" s="102" t="s">
        <v>291</v>
      </c>
      <c r="E14" s="102">
        <v>1449</v>
      </c>
      <c r="F14" s="102">
        <v>5796</v>
      </c>
      <c r="G14" s="102" t="s">
        <v>62</v>
      </c>
      <c r="H14" s="102" t="s">
        <v>543</v>
      </c>
      <c r="I14" s="102"/>
    </row>
    <row r="15" spans="1:15" x14ac:dyDescent="0.3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3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2026-02-02T11:55:12Z</dcterms:modified>
</cp:coreProperties>
</file>