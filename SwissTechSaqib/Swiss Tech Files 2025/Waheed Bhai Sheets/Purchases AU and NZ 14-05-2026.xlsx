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Waheed Bhai Sheets\"/>
    </mc:Choice>
  </mc:AlternateContent>
  <xr:revisionPtr revIDLastSave="0" documentId="13_ncr:1_{15DD0212-FDF6-4416-8D9A-79D09CFA877B}" xr6:coauthVersionLast="47" xr6:coauthVersionMax="47" xr10:uidLastSave="{00000000-0000-0000-0000-000000000000}"/>
  <bookViews>
    <workbookView xWindow="-120" yWindow="-120" windowWidth="29040" windowHeight="15720" firstSheet="16" activeTab="28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Melbourne Company" sheetId="21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state="hidden" r:id="rId23"/>
    <sheet name="AU DEC" sheetId="34" state="hidden" r:id="rId24"/>
    <sheet name="AU FEB" sheetId="43" r:id="rId25"/>
    <sheet name="AU MAR" sheetId="45" state="hidden" r:id="rId26"/>
    <sheet name="APR NZ" sheetId="46" r:id="rId27"/>
    <sheet name="APR AU" sheetId="47" r:id="rId28"/>
    <sheet name="MAY AU" sheetId="48" r:id="rId29"/>
    <sheet name="Sheet8" sheetId="42" state="hidden" r:id="rId30"/>
    <sheet name="AU JAN" sheetId="40" state="hidden" r:id="rId31"/>
    <sheet name="Sheet7" sheetId="39" state="hidden" r:id="rId32"/>
    <sheet name="Sheet6" sheetId="38" state="hidden" r:id="rId33"/>
    <sheet name="Gift Card" sheetId="37" state="hidden" r:id="rId34"/>
    <sheet name="Adil " sheetId="35" state="hidden" r:id="rId35"/>
    <sheet name="Waleed " sheetId="33" state="hidden" r:id="rId36"/>
    <sheet name="Sheet5" sheetId="32" state="hidden" r:id="rId37"/>
    <sheet name="NZ OCT" sheetId="25" state="hidden" r:id="rId38"/>
    <sheet name="NZ NOV" sheetId="26" state="hidden" r:id="rId39"/>
    <sheet name="NZ JAN" sheetId="41" state="hidden" r:id="rId40"/>
    <sheet name="NZ FEB" sheetId="44" state="hidden" r:id="rId41"/>
    <sheet name="NZ DEC" sheetId="36" state="hidden" r:id="rId42"/>
    <sheet name="Sheet3" sheetId="31" state="hidden" r:id="rId43"/>
    <sheet name="Sheet2" sheetId="30" state="hidden" r:id="rId44"/>
    <sheet name="NZ visit expense" sheetId="17" state="hidden" r:id="rId45"/>
    <sheet name="Abdul Rafey" sheetId="5" state="hidden" r:id="rId46"/>
  </sheets>
  <definedNames>
    <definedName name="_xlnm._FilterDatabase" localSheetId="27" hidden="1">'APR AU'!$A$1:$K$66</definedName>
    <definedName name="_xlnm._FilterDatabase" localSheetId="26" hidden="1">'APR NZ'!$A$1:$Q$19</definedName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DEC'!$A$1:$O$286</definedName>
    <definedName name="_xlnm._FilterDatabase" localSheetId="30" hidden="1">'AU JAN'!$A$1:$R$43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OCT'!$A$1:$I$28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  <definedName name="_xlnm._FilterDatabase" localSheetId="28" hidden="1">'MAY AU'!$A$1:$O$43</definedName>
    <definedName name="_xlnm._FilterDatabase" localSheetId="31" hidden="1">Sheet7!$A$1:$I$30</definedName>
  </definedNames>
  <calcPr calcId="191029"/>
  <pivotCaches>
    <pivotCache cacheId="0" r:id="rId47"/>
    <pivotCache cacheId="1" r:id="rId48"/>
    <pivotCache cacheId="2" r:id="rId49"/>
    <pivotCache cacheId="3" r:id="rId50"/>
    <pivotCache cacheId="4" r:id="rId51"/>
    <pivotCache cacheId="5" r:id="rId52"/>
    <pivotCache cacheId="6" r:id="rId53"/>
    <pivotCache cacheId="7" r:id="rId54"/>
    <pivotCache cacheId="8" r:id="rId55"/>
    <pivotCache cacheId="9" r:id="rId56"/>
    <pivotCache cacheId="10" r:id="rId5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4" i="46" l="1"/>
  <c r="H33" i="46"/>
  <c r="F50" i="48"/>
  <c r="F49" i="48"/>
  <c r="F44" i="48"/>
  <c r="F45" i="48"/>
  <c r="F46" i="48"/>
  <c r="F47" i="48"/>
  <c r="F48" i="48"/>
  <c r="F42" i="48"/>
  <c r="F43" i="48"/>
  <c r="F41" i="48"/>
  <c r="H28" i="46"/>
  <c r="H26" i="46"/>
  <c r="H27" i="46"/>
  <c r="F34" i="48"/>
  <c r="F33" i="48"/>
  <c r="F32" i="48"/>
  <c r="F31" i="48"/>
  <c r="F30" i="48"/>
  <c r="H25" i="46"/>
  <c r="F29" i="48"/>
  <c r="F28" i="48"/>
  <c r="F27" i="48"/>
  <c r="F26" i="48"/>
  <c r="F25" i="48"/>
  <c r="F24" i="48"/>
  <c r="F23" i="48"/>
  <c r="F22" i="48"/>
  <c r="H24" i="46"/>
  <c r="F21" i="48"/>
  <c r="F16" i="48" l="1"/>
  <c r="F17" i="48"/>
  <c r="F18" i="48"/>
  <c r="F19" i="48"/>
  <c r="F20" i="48"/>
  <c r="F12" i="48"/>
  <c r="F13" i="48"/>
  <c r="F14" i="48"/>
  <c r="F15" i="48"/>
  <c r="F11" i="48"/>
  <c r="F10" i="48"/>
  <c r="F9" i="48"/>
  <c r="F8" i="48"/>
  <c r="F7" i="48"/>
  <c r="F6" i="48"/>
  <c r="F5" i="48"/>
  <c r="F4" i="48"/>
  <c r="F3" i="48"/>
  <c r="F2" i="48"/>
  <c r="H23" i="46"/>
  <c r="H22" i="46"/>
  <c r="H21" i="46"/>
  <c r="H20" i="46"/>
  <c r="F66" i="47"/>
  <c r="F62" i="47"/>
  <c r="F63" i="47"/>
  <c r="F64" i="47"/>
  <c r="F65" i="47"/>
  <c r="R19" i="46"/>
  <c r="R17" i="46"/>
  <c r="R16" i="46"/>
  <c r="R18" i="46" s="1"/>
  <c r="R20" i="46" s="1"/>
  <c r="R22" i="46" s="1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1" i="47"/>
  <c r="F42" i="47"/>
  <c r="F43" i="47"/>
  <c r="F40" i="47"/>
  <c r="F39" i="47"/>
  <c r="F37" i="47"/>
  <c r="F38" i="47"/>
  <c r="F34" i="47"/>
  <c r="F35" i="47"/>
  <c r="F36" i="47"/>
  <c r="F32" i="47"/>
  <c r="F33" i="47"/>
  <c r="F31" i="47"/>
  <c r="F30" i="47"/>
  <c r="H17" i="46"/>
  <c r="H18" i="46"/>
  <c r="H19" i="46"/>
  <c r="F29" i="47" l="1"/>
  <c r="F27" i="47"/>
  <c r="F26" i="47"/>
  <c r="F25" i="47"/>
  <c r="F24" i="47"/>
  <c r="F22" i="47"/>
  <c r="F21" i="47"/>
  <c r="H16" i="46"/>
  <c r="F20" i="47"/>
  <c r="F19" i="47"/>
  <c r="F18" i="47"/>
  <c r="F17" i="47"/>
  <c r="F16" i="47"/>
  <c r="F15" i="47"/>
  <c r="F14" i="47"/>
  <c r="F13" i="47"/>
  <c r="F12" i="47"/>
  <c r="F11" i="47"/>
  <c r="F10" i="47"/>
  <c r="F9" i="47"/>
  <c r="F8" i="47"/>
  <c r="F4" i="47"/>
  <c r="F5" i="47"/>
  <c r="F6" i="47"/>
  <c r="F7" i="47"/>
  <c r="F2" i="47"/>
  <c r="H12" i="46"/>
  <c r="H2" i="46"/>
  <c r="H11" i="46"/>
  <c r="H10" i="46"/>
  <c r="H9" i="46"/>
  <c r="H4" i="46"/>
  <c r="H5" i="46"/>
  <c r="H3" i="46"/>
  <c r="H8" i="46"/>
  <c r="H7" i="46"/>
  <c r="H6" i="46"/>
  <c r="F3" i="45"/>
  <c r="F2" i="45"/>
  <c r="F35" i="43"/>
  <c r="F36" i="43"/>
  <c r="F37" i="43"/>
  <c r="F34" i="43"/>
  <c r="F6" i="44"/>
  <c r="F5" i="44"/>
  <c r="F4" i="44"/>
  <c r="F3" i="44"/>
  <c r="F2" i="44"/>
  <c r="N25" i="43"/>
  <c r="F31" i="43"/>
  <c r="F32" i="43"/>
  <c r="F30" i="43"/>
  <c r="F29" i="43"/>
  <c r="F28" i="43"/>
  <c r="F27" i="43"/>
  <c r="F26" i="43"/>
  <c r="F20" i="43"/>
  <c r="F21" i="43"/>
  <c r="F22" i="43"/>
  <c r="F23" i="43"/>
  <c r="F24" i="43"/>
  <c r="F25" i="43"/>
  <c r="F19" i="43"/>
  <c r="F69" i="40"/>
  <c r="F14" i="43"/>
  <c r="F15" i="43"/>
  <c r="F16" i="43"/>
  <c r="F17" i="43"/>
  <c r="F18" i="43"/>
  <c r="F3" i="43"/>
  <c r="F4" i="43"/>
  <c r="F5" i="43"/>
  <c r="F6" i="43"/>
  <c r="F7" i="43"/>
  <c r="F8" i="43"/>
  <c r="F9" i="43"/>
  <c r="F10" i="43"/>
  <c r="F11" i="43"/>
  <c r="F12" i="43"/>
  <c r="F13" i="43"/>
  <c r="F2" i="43"/>
  <c r="F91" i="40"/>
  <c r="F90" i="40"/>
  <c r="F89" i="40"/>
  <c r="F88" i="40"/>
  <c r="F87" i="40"/>
  <c r="F86" i="40"/>
  <c r="F73" i="40"/>
  <c r="F74" i="40"/>
  <c r="F75" i="40"/>
  <c r="F76" i="40"/>
  <c r="F77" i="40"/>
  <c r="F78" i="40"/>
  <c r="F79" i="40"/>
  <c r="F80" i="40"/>
  <c r="F81" i="40"/>
  <c r="F82" i="40"/>
  <c r="F83" i="40"/>
  <c r="F84" i="40"/>
  <c r="F85" i="40"/>
  <c r="F72" i="40"/>
  <c r="F70" i="40"/>
  <c r="F64" i="40"/>
  <c r="F65" i="40"/>
  <c r="F66" i="40"/>
  <c r="F67" i="40"/>
  <c r="F63" i="40"/>
  <c r="F62" i="40"/>
  <c r="F61" i="40"/>
  <c r="F60" i="40"/>
  <c r="F59" i="40"/>
  <c r="F58" i="40"/>
  <c r="F55" i="40"/>
  <c r="F56" i="40"/>
  <c r="F57" i="40"/>
  <c r="F54" i="40"/>
  <c r="F53" i="40"/>
  <c r="F47" i="40"/>
  <c r="F48" i="40"/>
  <c r="F49" i="40"/>
  <c r="F50" i="40"/>
  <c r="F51" i="40"/>
  <c r="F52" i="40"/>
  <c r="F46" i="40"/>
  <c r="F45" i="40"/>
  <c r="F44" i="40"/>
  <c r="R14" i="42" l="1"/>
  <c r="R13" i="42"/>
  <c r="R12" i="42"/>
  <c r="R11" i="42"/>
  <c r="R10" i="42"/>
  <c r="K18" i="42"/>
  <c r="K17" i="42"/>
  <c r="H17" i="42"/>
  <c r="K9" i="42"/>
  <c r="K10" i="42"/>
  <c r="K11" i="42"/>
  <c r="K14" i="42"/>
  <c r="J5" i="42"/>
  <c r="K5" i="42" s="1"/>
  <c r="J6" i="42"/>
  <c r="K6" i="42" s="1"/>
  <c r="H5" i="42"/>
  <c r="H6" i="42"/>
  <c r="H7" i="42"/>
  <c r="J7" i="42" s="1"/>
  <c r="K7" i="42" s="1"/>
  <c r="H2" i="42"/>
  <c r="J2" i="42" s="1"/>
  <c r="K2" i="42" s="1"/>
  <c r="G3" i="42"/>
  <c r="H3" i="42" s="1"/>
  <c r="J3" i="42" s="1"/>
  <c r="K3" i="42" s="1"/>
  <c r="G4" i="42"/>
  <c r="H4" i="42" s="1"/>
  <c r="J4" i="42" s="1"/>
  <c r="K4" i="42" s="1"/>
  <c r="G5" i="42"/>
  <c r="G6" i="42"/>
  <c r="G7" i="42"/>
  <c r="G8" i="42"/>
  <c r="H8" i="42" s="1"/>
  <c r="J8" i="42" s="1"/>
  <c r="K8" i="42" s="1"/>
  <c r="G9" i="42"/>
  <c r="H9" i="42" s="1"/>
  <c r="G10" i="42"/>
  <c r="H10" i="42" s="1"/>
  <c r="G11" i="42"/>
  <c r="H11" i="42" s="1"/>
  <c r="G12" i="42"/>
  <c r="H12" i="42" s="1"/>
  <c r="J12" i="42" s="1"/>
  <c r="K12" i="42" s="1"/>
  <c r="G13" i="42"/>
  <c r="H13" i="42" s="1"/>
  <c r="J13" i="42" s="1"/>
  <c r="K13" i="42" s="1"/>
  <c r="G14" i="42"/>
  <c r="H14" i="42" s="1"/>
  <c r="G15" i="42"/>
  <c r="H15" i="42" s="1"/>
  <c r="J15" i="42" s="1"/>
  <c r="K15" i="42" s="1"/>
  <c r="G16" i="42"/>
  <c r="H16" i="42" s="1"/>
  <c r="J16" i="42" s="1"/>
  <c r="K16" i="42" s="1"/>
  <c r="G2" i="42"/>
  <c r="O3" i="42"/>
  <c r="O2" i="42"/>
  <c r="O4" i="42" s="1"/>
  <c r="O5" i="42" s="1"/>
  <c r="E3" i="42"/>
  <c r="F3" i="42" s="1"/>
  <c r="E4" i="42"/>
  <c r="F4" i="42" s="1"/>
  <c r="E5" i="42"/>
  <c r="F5" i="42" s="1"/>
  <c r="E6" i="42"/>
  <c r="F6" i="42" s="1"/>
  <c r="E7" i="42"/>
  <c r="F7" i="42" s="1"/>
  <c r="E8" i="42"/>
  <c r="F8" i="42" s="1"/>
  <c r="E9" i="42"/>
  <c r="F9" i="42" s="1"/>
  <c r="E10" i="42"/>
  <c r="F10" i="42" s="1"/>
  <c r="E11" i="42"/>
  <c r="F11" i="42" s="1"/>
  <c r="E12" i="42"/>
  <c r="F12" i="42" s="1"/>
  <c r="E13" i="42"/>
  <c r="F13" i="42" s="1"/>
  <c r="E14" i="42"/>
  <c r="F14" i="42" s="1"/>
  <c r="E15" i="42"/>
  <c r="F15" i="42" s="1"/>
  <c r="E16" i="42"/>
  <c r="F16" i="42" s="1"/>
  <c r="E2" i="42"/>
  <c r="F2" i="42" s="1"/>
  <c r="F42" i="40"/>
  <c r="F43" i="40"/>
  <c r="F39" i="40"/>
  <c r="F38" i="40"/>
  <c r="F37" i="40"/>
  <c r="F17" i="42" l="1"/>
  <c r="E17" i="42"/>
  <c r="F36" i="40"/>
  <c r="F35" i="40"/>
  <c r="F34" i="40"/>
  <c r="F33" i="40"/>
  <c r="F32" i="40"/>
  <c r="F31" i="40"/>
  <c r="F30" i="40"/>
  <c r="F29" i="40"/>
  <c r="F25" i="40"/>
  <c r="F26" i="40"/>
  <c r="F27" i="40"/>
  <c r="F28" i="40"/>
  <c r="F24" i="40"/>
  <c r="F23" i="40"/>
  <c r="F22" i="40"/>
  <c r="F3" i="41"/>
  <c r="F4" i="41"/>
  <c r="F6" i="41"/>
  <c r="F7" i="41"/>
  <c r="F2" i="41"/>
  <c r="A1" i="24" a="1"/>
  <c r="A1" i="24" s="1"/>
  <c r="J285" i="34"/>
  <c r="J284" i="34"/>
  <c r="J271" i="34"/>
  <c r="J270" i="34"/>
  <c r="J269" i="34"/>
  <c r="F18" i="40"/>
  <c r="F19" i="40"/>
  <c r="F20" i="40"/>
  <c r="F21" i="40"/>
  <c r="F17" i="40"/>
  <c r="F5" i="40"/>
  <c r="F6" i="40"/>
  <c r="F7" i="40"/>
  <c r="F8" i="40"/>
  <c r="F9" i="40"/>
  <c r="F10" i="40"/>
  <c r="F11" i="40"/>
  <c r="F12" i="40"/>
  <c r="F13" i="40"/>
  <c r="F14" i="40"/>
  <c r="F15" i="40"/>
  <c r="E61" i="35"/>
  <c r="E57" i="35"/>
  <c r="E58" i="35"/>
  <c r="E59" i="35"/>
  <c r="E60" i="35"/>
  <c r="E56" i="35"/>
  <c r="F3" i="40"/>
  <c r="F4" i="40"/>
  <c r="F2" i="40"/>
  <c r="F16" i="36"/>
  <c r="E53" i="35"/>
  <c r="E47" i="35"/>
  <c r="E49" i="35"/>
  <c r="E50" i="35"/>
  <c r="E51" i="35"/>
  <c r="E52" i="35"/>
  <c r="E48" i="35"/>
  <c r="F285" i="34"/>
  <c r="F284" i="34"/>
  <c r="F283" i="34"/>
  <c r="F272" i="34"/>
  <c r="F273" i="34"/>
  <c r="F274" i="34"/>
  <c r="F275" i="34"/>
  <c r="F276" i="34"/>
  <c r="F277" i="34"/>
  <c r="F278" i="34"/>
  <c r="F279" i="34"/>
  <c r="F280" i="34"/>
  <c r="F281" i="34"/>
  <c r="F282" i="34"/>
  <c r="F268" i="34"/>
  <c r="F269" i="34"/>
  <c r="F270" i="34"/>
  <c r="F271" i="34"/>
  <c r="M269" i="34"/>
  <c r="F263" i="34"/>
  <c r="F264" i="34"/>
  <c r="F265" i="34"/>
  <c r="F266" i="34"/>
  <c r="F267" i="34"/>
  <c r="F262" i="34"/>
  <c r="F261" i="34"/>
  <c r="F260" i="34"/>
  <c r="F259" i="34"/>
  <c r="F258" i="34"/>
  <c r="F257" i="34"/>
  <c r="F256" i="34"/>
  <c r="F255" i="34"/>
  <c r="F254" i="34"/>
  <c r="F253" i="34"/>
  <c r="F252" i="34"/>
  <c r="F251" i="34"/>
  <c r="F250" i="34"/>
  <c r="F249" i="34"/>
  <c r="F248" i="34"/>
  <c r="F247" i="34"/>
  <c r="F246" i="34"/>
  <c r="F245" i="34"/>
  <c r="F244" i="34"/>
  <c r="F243" i="34"/>
  <c r="F242" i="34"/>
  <c r="F236" i="34"/>
  <c r="F234" i="34"/>
  <c r="F235" i="34"/>
  <c r="F237" i="34"/>
  <c r="F238" i="34"/>
  <c r="F239" i="34"/>
  <c r="F240" i="34"/>
  <c r="F241" i="34"/>
  <c r="M242" i="34"/>
  <c r="N242" i="34" s="1"/>
  <c r="F228" i="34"/>
  <c r="F229" i="34"/>
  <c r="F230" i="34"/>
  <c r="F231" i="34"/>
  <c r="F232" i="34"/>
  <c r="F233" i="34"/>
  <c r="F227" i="34"/>
  <c r="F226" i="34"/>
  <c r="F12" i="36"/>
  <c r="F13" i="36"/>
  <c r="V4" i="34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" i="34"/>
  <c r="F199" i="34"/>
  <c r="F198" i="34"/>
  <c r="F197" i="34"/>
  <c r="F165" i="34"/>
  <c r="F184" i="34"/>
  <c r="F183" i="34"/>
  <c r="F181" i="34"/>
  <c r="F182" i="34"/>
  <c r="F180" i="34"/>
  <c r="F179" i="34"/>
  <c r="F178" i="34"/>
  <c r="F162" i="34"/>
  <c r="F163" i="34"/>
  <c r="F164" i="34"/>
  <c r="F160" i="34"/>
  <c r="F161" i="34"/>
  <c r="F159" i="34"/>
  <c r="F157" i="34"/>
  <c r="F158" i="34"/>
  <c r="F167" i="34"/>
  <c r="F168" i="34"/>
  <c r="F166" i="34"/>
  <c r="F177" i="34"/>
  <c r="F176" i="34"/>
  <c r="F174" i="34"/>
  <c r="F175" i="34"/>
  <c r="F173" i="34"/>
  <c r="F172" i="34"/>
  <c r="F171" i="34"/>
  <c r="F156" i="34"/>
  <c r="F155" i="34"/>
  <c r="F154" i="34"/>
  <c r="F153" i="34"/>
  <c r="F152" i="34"/>
  <c r="F123" i="34"/>
  <c r="F122" i="34"/>
  <c r="O148" i="34"/>
  <c r="F147" i="34"/>
  <c r="F145" i="34"/>
  <c r="F146" i="34"/>
  <c r="F148" i="34"/>
  <c r="F149" i="34"/>
  <c r="F150" i="34"/>
  <c r="F151" i="34"/>
  <c r="F135" i="34"/>
  <c r="F134" i="34"/>
  <c r="F130" i="34"/>
  <c r="F131" i="34"/>
  <c r="F132" i="34"/>
  <c r="F133" i="34"/>
  <c r="F136" i="34"/>
  <c r="F137" i="34"/>
  <c r="F138" i="34"/>
  <c r="F139" i="34"/>
  <c r="F140" i="34"/>
  <c r="F141" i="34"/>
  <c r="F142" i="34"/>
  <c r="F143" i="34"/>
  <c r="F144" i="34"/>
  <c r="L138" i="34"/>
  <c r="F128" i="34"/>
  <c r="F129" i="34"/>
  <c r="F126" i="34"/>
  <c r="F125" i="34"/>
  <c r="F124" i="34"/>
  <c r="F121" i="34"/>
  <c r="F119" i="34"/>
  <c r="F120" i="34"/>
  <c r="F118" i="34"/>
  <c r="F117" i="34"/>
  <c r="F116" i="34"/>
  <c r="F115" i="34"/>
  <c r="F114" i="34"/>
  <c r="F113" i="34"/>
  <c r="F112" i="34"/>
  <c r="F111" i="34"/>
  <c r="F110" i="34"/>
  <c r="F109" i="34"/>
  <c r="F108" i="34"/>
  <c r="F11" i="36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75" i="34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V33" i="34" l="1"/>
  <c r="O12" i="27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<sst xmlns="http://schemas.openxmlformats.org/spreadsheetml/2006/main" count="5345" uniqueCount="1280">
  <si>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</si>
  <si>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</si>
  <si>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</si>
  <si>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</si>
  <si>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</si>
  <si>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</si>
  <si>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</si>
  <si>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</si>
  <si>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</si>
  <si>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</si>
  <si>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</si>
  <si>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</si>
  <si>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</si>
  <si>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</si>
  <si>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</si>
  <si>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</si>
  <si>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</si>
  <si>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</si>
  <si>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</si>
  <si>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</si>
  <si>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</si>
  <si>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</si>
  <si>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</si>
  <si>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</si>
  <si>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</si>
  <si>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</si>
  <si>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</si>
  <si>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</si>
  <si>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</si>
  <si>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</si>
  <si>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</si>
  <si>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</si>
  <si>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</si>
  <si>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</si>
  <si>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</si>
  <si>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</si>
  <si>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</si>
  <si>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</si>
  <si>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</si>
  <si>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</si>
  <si>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</si>
  <si>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</si>
  <si>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</si>
  <si>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</si>
  <si>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</si>
  <si>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</si>
  <si>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</si>
  <si>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</si>
  <si>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</si>
  <si>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</si>
  <si>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</si>
  <si>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</si>
  <si>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</si>
  <si>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</si>
  <si>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</si>
  <si>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</si>
  <si>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</si>
  <si>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</si>
  <si>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</si>
  <si>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</si>
  <si>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</si>
  <si>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</si>
  <si>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</si>
  <si>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</si>
  <si>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</si>
  <si>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</si>
  <si>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</si>
  <si>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</si>
  <si>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</si>
  <si>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</si>
  <si>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</si>
  <si>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</si>
  <si>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</si>
  <si>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</si>
  <si>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</si>
  <si>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</si>
  <si>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</si>
  <si>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</si>
  <si>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</si>
  <si>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</si>
  <si>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</si>
  <si>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</si>
  <si>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</si>
  <si>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</si>
  <si>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</si>
  <si>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</si>
  <si>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</si>
  <si>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</si>
  <si>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</si>
  <si>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</si>
  <si>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</si>
  <si>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</si>
  <si>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</si>
  <si>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</si>
  <si>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</si>
  <si>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</si>
  <si>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</si>
  <si>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</si>
  <si>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</si>
  <si>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</si>
  <si>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</si>
  <si>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</si>
  <si>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</si>
  <si>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</si>
  <si>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</si>
  <si>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</si>
  <si>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</si>
  <si>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</si>
  <si>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</si>
  <si>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</si>
  <si>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</si>
  <si>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</si>
  <si>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</si>
  <si>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</si>
  <si>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</si>
  <si>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</si>
  <si>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</si>
  <si>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</si>
  <si>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</si>
  <si>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</si>
  <si>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</si>
  <si>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</si>
  <si>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</si>
  <si>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</si>
  <si>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</si>
  <si>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</si>
  <si>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</si>
  <si>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</si>
  <si>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</si>
  <si>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</si>
  <si>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</si>
  <si>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</si>
  <si>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</si>
  <si>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</si>
  <si>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</si>
  <si>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</si>
  <si>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</si>
  <si>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</si>
  <si>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</si>
  <si>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</si>
  <si>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</si>
  <si>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</si>
  <si>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</si>
  <si>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</si>
  <si>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</si>
  <si>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</si>
  <si>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</si>
  <si>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</si>
  <si>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</si>
  <si>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</si>
  <si>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</si>
  <si>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</si>
  <si>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</si>
  <si>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</si>
  <si>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</si>
  <si>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</si>
  <si>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</si>
  <si>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</si>
  <si>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</si>
  <si>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</si>
  <si>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</si>
  <si>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</si>
  <si>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</si>
  <si>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</si>
  <si>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</si>
  <si>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</si>
  <si>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</si>
  <si>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</si>
  <si>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</si>
  <si>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</si>
  <si>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</si>
  <si>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</si>
  <si>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</si>
  <si>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</si>
  <si>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</si>
  <si>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</si>
  <si>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</si>
  <si>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</si>
  <si>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</si>
  <si>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</si>
  <si>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</si>
  <si>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</si>
  <si>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</si>
  <si>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</si>
  <si>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</si>
  <si>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</si>
  <si>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</si>
  <si>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</si>
  <si>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</si>
  <si>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</si>
  <si>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</si>
  <si>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</si>
  <si>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</si>
  <si>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</si>
  <si>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</si>
  <si>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</si>
  <si>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</si>
  <si>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</si>
  <si>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</si>
  <si>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</si>
  <si>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</si>
  <si>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</si>
  <si>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</si>
  <si>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</si>
  <si>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</si>
  <si>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</si>
  <si>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</si>
  <si>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</si>
  <si>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</si>
  <si>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</si>
  <si>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</si>
  <si>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</si>
  <si>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</si>
  <si>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</si>
  <si>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</si>
  <si>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</si>
  <si>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</si>
  <si>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</si>
  <si>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</si>
  <si>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</si>
  <si>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</si>
  <si>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</si>
  <si>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</si>
  <si>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</si>
  <si>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</si>
  <si>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</si>
  <si>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</si>
  <si>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</si>
  <si>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</si>
  <si>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</si>
  <si>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</si>
  <si>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</si>
  <si>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</si>
  <si>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</si>
  <si>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</si>
  <si>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</si>
  <si>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</si>
  <si>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</si>
  <si>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</si>
  <si>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</si>
  <si>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</si>
  <si>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</si>
  <si>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</si>
  <si>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</si>
  <si>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</si>
  <si>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</si>
  <si>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</si>
  <si>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</si>
  <si>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</si>
  <si>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</si>
  <si>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</si>
  <si>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</si>
  <si>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</si>
  <si>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</si>
  <si>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</si>
  <si>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</si>
  <si>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</si>
  <si>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</si>
  <si>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</si>
  <si>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</si>
  <si>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</si>
  <si>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</si>
  <si>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</si>
  <si>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</si>
  <si>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</si>
  <si>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</si>
  <si>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</si>
  <si>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</si>
  <si>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</si>
  <si>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</si>
  <si>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</si>
  <si>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</si>
  <si>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</si>
  <si>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</si>
  <si>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</si>
  <si>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</si>
  <si>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</si>
  <si>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</si>
  <si>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</si>
  <si>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</si>
  <si>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</si>
  <si>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</si>
  <si>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</si>
  <si>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</si>
  <si>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</si>
  <si>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</si>
  <si>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</si>
  <si>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</si>
  <si>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</si>
  <si>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</si>
  <si>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</si>
  <si>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</si>
  <si>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</si>
  <si>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</si>
  <si>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</si>
  <si>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</si>
  <si>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</si>
  <si>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</si>
  <si>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</si>
  <si>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</si>
  <si>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</si>
  <si>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</si>
  <si>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</si>
  <si>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</si>
  <si>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</si>
  <si>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</si>
  <si>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</si>
  <si>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</si>
  <si>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</si>
  <si>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</si>
  <si>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</si>
  <si>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</si>
  <si>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</si>
  <si>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</si>
  <si>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</si>
  <si>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</si>
  <si>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</si>
  <si>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</si>
  <si>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</si>
  <si>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</si>
  <si>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</si>
  <si>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</si>
  <si>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</si>
  <si>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</si>
  <si>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</si>
  <si>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</si>
  <si>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</si>
  <si>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</si>
  <si>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</si>
  <si>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</si>
  <si>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</si>
  <si>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</si>
  <si>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</si>
  <si>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</si>
  <si>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</si>
  <si>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</si>
  <si>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</si>
  <si>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</si>
  <si>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</si>
  <si>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</si>
  <si>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</si>
  <si>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</si>
  <si>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</si>
  <si>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</si>
  <si>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</si>
  <si>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</si>
  <si>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</si>
  <si>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</si>
  <si>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</si>
  <si>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</si>
  <si>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</si>
  <si>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</si>
  <si>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</si>
  <si>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</si>
  <si>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</si>
  <si>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</si>
  <si>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</si>
  <si>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</si>
  <si>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</si>
  <si>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</si>
  <si>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</si>
  <si>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</si>
  <si>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</si>
  <si>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</si>
  <si>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</si>
  <si>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</si>
  <si>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</si>
  <si>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</si>
  <si>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</si>
  <si>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</si>
  <si>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</si>
  <si>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</si>
  <si>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</si>
  <si>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</si>
  <si>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</si>
  <si>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</si>
  <si>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</si>
  <si>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</si>
  <si>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</si>
  <si>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</si>
  <si>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</si>
  <si>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</si>
  <si>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</si>
  <si>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</si>
  <si>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</si>
  <si>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</si>
  <si>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</si>
  <si>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</si>
  <si>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</si>
  <si>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</si>
  <si>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</si>
  <si>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</si>
  <si>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</si>
  <si>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</si>
  <si>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</si>
  <si>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</si>
  <si>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</si>
  <si>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</si>
  <si>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</si>
  <si>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</si>
  <si>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</si>
  <si>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</si>
  <si>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</si>
  <si>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</si>
  <si>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</si>
  <si>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</si>
  <si>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</si>
  <si>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</si>
  <si>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</si>
  <si>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</si>
  <si>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</si>
  <si>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</si>
  <si>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</si>
  <si>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</si>
  <si>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</si>
  <si>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</si>
  <si>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</si>
  <si>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</si>
  <si>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</si>
  <si>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</si>
  <si>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</si>
  <si>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</si>
  <si>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</si>
  <si>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</si>
  <si>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</si>
  <si>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</si>
  <si>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</si>
  <si>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</si>
  <si>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</si>
  <si>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</si>
  <si>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</si>
  <si>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</si>
  <si>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</si>
  <si>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</si>
  <si>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</si>
  <si>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</si>
  <si>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</si>
  <si>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</si>
  <si>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</si>
  <si>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</si>
  <si>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</si>
  <si>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</si>
  <si>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</si>
  <si>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</si>
  <si>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</si>
  <si>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</si>
  <si>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</si>
  <si>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</si>
  <si>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</si>
  <si>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</si>
  <si>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</si>
  <si>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</si>
  <si>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</si>
  <si>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</si>
  <si>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</si>
  <si>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</si>
  <si>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</si>
  <si>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</si>
  <si>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</si>
  <si>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</si>
  <si>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</si>
  <si>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</si>
  <si>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</si>
  <si>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</si>
  <si>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</si>
  <si>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</si>
  <si>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</si>
  <si>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</si>
  <si>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</si>
  <si>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</si>
  <si>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</si>
  <si>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</si>
  <si>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</si>
  <si>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</si>
  <si>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</si>
  <si>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</si>
  <si>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</si>
  <si>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</si>
  <si>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</si>
  <si>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</si>
  <si>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</si>
  <si>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</si>
  <si>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</si>
  <si>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</si>
  <si>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</si>
  <si>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</si>
  <si>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</si>
  <si>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</si>
  <si>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</si>
  <si>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</si>
  <si>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</si>
  <si>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</si>
  <si>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</si>
  <si>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</si>
  <si>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</si>
  <si>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</si>
  <si>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</si>
  <si>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</si>
  <si>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</si>
  <si>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</si>
  <si>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</si>
  <si>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</si>
  <si>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</si>
  <si>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</si>
  <si>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</si>
  <si>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</si>
  <si>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</si>
  <si>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</si>
  <si>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</si>
  <si>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</si>
  <si>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</si>
  <si>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</si>
  <si>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</si>
  <si>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</si>
  <si>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</si>
  <si>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</si>
  <si>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</si>
  <si>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</si>
  <si>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</si>
  <si>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</si>
  <si>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</si>
  <si>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</si>
  <si>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</si>
  <si>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</si>
  <si>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</si>
  <si>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</si>
  <si>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</si>
  <si>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</si>
  <si>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</si>
  <si>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</si>
  <si>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</si>
  <si>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</si>
  <si>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</si>
  <si>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</si>
  <si>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</si>
  <si>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</si>
  <si>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</si>
  <si>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</si>
  <si>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</si>
  <si>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</si>
  <si>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</si>
  <si>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</si>
  <si>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</si>
  <si>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</si>
  <si>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</si>
  <si>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</si>
  <si>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</si>
  <si>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</si>
  <si>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</si>
  <si>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</si>
  <si>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</si>
  <si>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</si>
  <si>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</si>
  <si>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</si>
  <si>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</si>
  <si>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</si>
  <si>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</si>
  <si>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</si>
  <si>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</si>
  <si>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</si>
  <si>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</si>
  <si>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</si>
  <si>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</si>
  <si>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</si>
  <si>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</si>
  <si>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</si>
  <si>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</si>
  <si>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</si>
  <si>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</si>
  <si>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</si>
  <si>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</si>
  <si>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</si>
  <si>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</si>
  <si>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</si>
  <si>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</si>
  <si>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</si>
  <si>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</si>
  <si>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</si>
  <si>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</si>
  <si>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</si>
  <si>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</si>
  <si>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</si>
  <si>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</si>
  <si>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</si>
  <si>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</si>
  <si>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</si>
  <si>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</si>
  <si>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</si>
  <si>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</si>
  <si>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</si>
  <si>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</si>
  <si>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</si>
  <si>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</si>
  <si>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</si>
  <si>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</si>
  <si>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</si>
  <si>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</si>
  <si>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</si>
  <si>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</si>
  <si>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</si>
  <si>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</si>
  <si>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</si>
  <si>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</si>
  <si>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</si>
  <si>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</si>
  <si>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</si>
  <si>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</si>
  <si>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</si>
  <si>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</si>
  <si>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</si>
  <si>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</si>
  <si>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</si>
  <si>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</si>
  <si>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</si>
  <si>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</si>
  <si>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</si>
  <si>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</si>
  <si>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</si>
  <si>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</si>
  <si>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</si>
  <si>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</si>
  <si>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</si>
  <si>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</si>
  <si>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</si>
  <si>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</si>
  <si>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</si>
  <si>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</si>
  <si>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</si>
  <si>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</si>
  <si>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</si>
  <si>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</si>
  <si>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</si>
  <si>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</si>
  <si>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</si>
  <si>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</si>
  <si>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</si>
  <si>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</si>
  <si>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</si>
  <si>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</si>
  <si>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</si>
  <si>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</si>
  <si>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</si>
  <si>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</si>
  <si>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</si>
  <si>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</si>
  <si>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</si>
  <si>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</si>
  <si>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</si>
  <si>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</si>
  <si>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</si>
  <si>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</si>
  <si>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</si>
  <si>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</si>
  <si>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</si>
  <si>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</si>
  <si>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</si>
  <si>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</si>
  <si>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</si>
  <si>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</si>
  <si>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</si>
  <si>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</si>
  <si>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</si>
  <si>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</si>
  <si>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</si>
  <si>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</si>
  <si>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</si>
  <si>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</si>
  <si>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</si>
  <si>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</si>
  <si>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</si>
  <si>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</si>
  <si>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</si>
  <si>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</si>
  <si>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</si>
  <si>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</si>
  <si>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</si>
  <si>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</si>
  <si>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</si>
  <si>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</si>
  <si>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</si>
  <si>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</si>
  <si>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</si>
  <si>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</si>
  <si>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</si>
  <si>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</si>
  <si>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</si>
  <si>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</si>
  <si>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</si>
  <si>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</si>
  <si>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</si>
  <si>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</si>
  <si>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</si>
  <si>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</si>
  <si>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</si>
  <si>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</si>
  <si>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</si>
  <si>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</si>
  <si>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</si>
  <si>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</si>
  <si>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</si>
  <si>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</si>
  <si>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</si>
  <si>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</si>
  <si>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</si>
  <si>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</si>
  <si>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</si>
  <si>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</si>
  <si>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</si>
  <si>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</si>
  <si>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</si>
  <si>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</si>
  <si>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</si>
  <si>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</si>
  <si>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</si>
  <si>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</si>
  <si>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</si>
  <si>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</si>
  <si>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</si>
  <si>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</si>
  <si>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</si>
  <si>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</si>
  <si>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</si>
  <si>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</si>
  <si>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</si>
  <si>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</si>
  <si>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</si>
  <si>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</si>
  <si>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</si>
  <si>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</si>
  <si>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</si>
  <si>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</si>
  <si>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</si>
  <si>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</si>
  <si>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</si>
  <si>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</si>
  <si>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</si>
  <si>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</si>
  <si>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</si>
  <si>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</si>
  <si>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</si>
  <si>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</si>
  <si>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</si>
  <si>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</si>
  <si>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</si>
  <si>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</si>
  <si>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</si>
  <si>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</si>
  <si>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</si>
  <si>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</si>
  <si>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</si>
  <si>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</si>
  <si>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</si>
  <si>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</si>
  <si>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</si>
  <si>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</si>
  <si>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</si>
  <si>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</si>
  <si>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</si>
  <si>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</si>
  <si>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</si>
  <si>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</si>
  <si>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</si>
  <si>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</si>
  <si>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</si>
  <si>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</si>
  <si>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</si>
  <si>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</si>
  <si>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</si>
  <si>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</si>
  <si>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</si>
  <si>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</si>
  <si>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</si>
  <si>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</si>
  <si>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</si>
  <si>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</si>
  <si>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</si>
  <si>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</si>
  <si>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</si>
  <si>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</si>
  <si>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</si>
  <si>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</si>
  <si>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</si>
  <si>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</si>
  <si>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</si>
  <si>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</si>
  <si>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</si>
  <si>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</si>
  <si>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</si>
  <si>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</si>
  <si>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</si>
  <si>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</si>
  <si>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</si>
  <si>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</si>
  <si>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</si>
  <si>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</si>
  <si>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</si>
  <si>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</si>
  <si>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</si>
  <si>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</si>
  <si>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</si>
  <si>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</si>
  <si>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</si>
  <si>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</si>
  <si>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</si>
  <si>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</si>
  <si>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</si>
  <si>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</si>
  <si>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</si>
  <si>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</si>
  <si>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</si>
  <si>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</si>
  <si>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</si>
  <si>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</si>
  <si>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</si>
  <si>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</si>
  <si>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</si>
  <si>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</si>
  <si>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</si>
  <si>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</si>
  <si>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</si>
  <si>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</si>
  <si>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</si>
  <si>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</si>
  <si>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</si>
  <si>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</si>
  <si>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</si>
  <si>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</si>
  <si>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</si>
  <si>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</si>
  <si>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</si>
  <si>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</si>
  <si>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</si>
  <si>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</si>
  <si>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</si>
  <si>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</si>
  <si>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</si>
  <si>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</si>
  <si>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</si>
  <si>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</si>
  <si>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</si>
  <si>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</si>
  <si>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</si>
  <si>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</si>
  <si>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</si>
  <si>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</si>
  <si>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</si>
  <si>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</si>
  <si>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</si>
  <si>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</si>
  <si>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</si>
  <si>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</si>
  <si>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</si>
  <si>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</si>
  <si>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</si>
  <si>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Collected 10-12</t>
  </si>
  <si>
    <t>Multiple Stores Adil</t>
  </si>
  <si>
    <t>Delivered 07-12</t>
  </si>
  <si>
    <t>Adil Bhai</t>
  </si>
  <si>
    <t>Cash Paid</t>
  </si>
  <si>
    <t>Delivered 12-12</t>
  </si>
  <si>
    <t>CT Freight M</t>
  </si>
  <si>
    <t>Pending Collection Mt Druitt</t>
  </si>
  <si>
    <t>Collected Burwood</t>
  </si>
  <si>
    <t>DJI Mavic 4 RC2 Standard</t>
  </si>
  <si>
    <t>DJI Macquarie</t>
  </si>
  <si>
    <t>Bunnings East Pakenham</t>
  </si>
  <si>
    <t>Acer A7 Laptop</t>
  </si>
  <si>
    <t>Collected 14-12</t>
  </si>
  <si>
    <t>Collected 13-12</t>
  </si>
  <si>
    <t>Delivered 14-12</t>
  </si>
  <si>
    <t>Bunnings  Bankstown</t>
  </si>
  <si>
    <t>Sx740</t>
  </si>
  <si>
    <t>Commision</t>
  </si>
  <si>
    <t>Collected 15-12</t>
  </si>
  <si>
    <t>DJI mavic 4 pro fly more combo</t>
  </si>
  <si>
    <t>Delivered 15-12</t>
  </si>
  <si>
    <t>DJI Mini 4</t>
  </si>
  <si>
    <t>Bunnings Maribyrnong</t>
  </si>
  <si>
    <t>Bunnings Epping</t>
  </si>
  <si>
    <t>Bunnings Sevenhills</t>
  </si>
  <si>
    <t xml:space="preserve">$1000 Deposit Only </t>
  </si>
  <si>
    <t>Bunnings Sunshine</t>
  </si>
  <si>
    <t>$1500 Deposit for 224 units</t>
  </si>
  <si>
    <t>PS5 Slims Digital Bundle</t>
  </si>
  <si>
    <t>Big W Winston hills</t>
  </si>
  <si>
    <t>Direct to boot</t>
  </si>
  <si>
    <t>Service Desk</t>
  </si>
  <si>
    <t>Big W Blacktown</t>
  </si>
  <si>
    <t>Collected 18-12</t>
  </si>
  <si>
    <t>$1500 Deposit for 60 units</t>
  </si>
  <si>
    <t>Bunnings Footrscray</t>
  </si>
  <si>
    <t>500 Deposit 40units</t>
  </si>
  <si>
    <t xml:space="preserve">PS5 Slims Digital </t>
  </si>
  <si>
    <t>Eb games Parramatta</t>
  </si>
  <si>
    <t>Eb games Merrylands</t>
  </si>
  <si>
    <t>PS5 Slims Disc Bundle</t>
  </si>
  <si>
    <t>PS5 Slim Digital Bundle</t>
  </si>
  <si>
    <t>Pocket 3 Creator combo</t>
  </si>
  <si>
    <t>Mavic 4 pro Standard</t>
  </si>
  <si>
    <t>Mavic 4 pro fly more combo 42 min</t>
  </si>
  <si>
    <t>Starlink Commission</t>
  </si>
  <si>
    <t>Collcted 19-12</t>
  </si>
  <si>
    <t>Order Cancelled Pending Refund</t>
  </si>
  <si>
    <t>Delivered 18-12</t>
  </si>
  <si>
    <t>30 Starlink</t>
  </si>
  <si>
    <t>Collected 20-12</t>
  </si>
  <si>
    <t>Delivered 20-12</t>
  </si>
  <si>
    <t>Canon IXUS285</t>
  </si>
  <si>
    <t>Big W Macquarie</t>
  </si>
  <si>
    <t>PS5 VR2</t>
  </si>
  <si>
    <t>Multiple Stores Adil Bhai</t>
  </si>
  <si>
    <t>Received 20-12</t>
  </si>
  <si>
    <t>Price Check</t>
  </si>
  <si>
    <t>Collected 21-12</t>
  </si>
  <si>
    <t>Order Cancelled 21-12</t>
  </si>
  <si>
    <t>Big W Wetherill Park</t>
  </si>
  <si>
    <t>Big W Bankstown</t>
  </si>
  <si>
    <t>Big W Bonnyrigg</t>
  </si>
  <si>
    <t>Big W Liverpool</t>
  </si>
  <si>
    <t xml:space="preserve">1 Collected </t>
  </si>
  <si>
    <t>JBHIFI Wetherill Park</t>
  </si>
  <si>
    <t>JBHIFI Liverpool</t>
  </si>
  <si>
    <t>Collected 22-12</t>
  </si>
  <si>
    <t>Melbourne Trip Expense</t>
  </si>
  <si>
    <t>Ticket+Car+Delivery+Hotel+Food</t>
  </si>
  <si>
    <t>Sydney Van Hire</t>
  </si>
  <si>
    <t>Big W Campsie</t>
  </si>
  <si>
    <t>Collected 23-12</t>
  </si>
  <si>
    <t>G7XMark III black</t>
  </si>
  <si>
    <t>DJI Mavic 4 Pro Creator Combo (512GB)</t>
  </si>
  <si>
    <t xml:space="preserve">DJI Mavic 4 Pro </t>
  </si>
  <si>
    <t>DJI mini 5 Pro Combo plus</t>
  </si>
  <si>
    <t>DJI mini 5 Pro Combo</t>
  </si>
  <si>
    <t>Starlink Standard Kit V4</t>
  </si>
  <si>
    <t>Bunnings Greenacre</t>
  </si>
  <si>
    <t>$500 deposit Only</t>
  </si>
  <si>
    <t>$6398</t>
  </si>
  <si>
    <t xml:space="preserve">PS5 Fortnite FC Bundle </t>
  </si>
  <si>
    <t>EB Games parramatta</t>
  </si>
  <si>
    <t>$610</t>
  </si>
  <si>
    <t>EB Games  parramatta</t>
  </si>
  <si>
    <t>Bunnings Pakenham Melbourne</t>
  </si>
  <si>
    <t>$398</t>
  </si>
  <si>
    <t>$7960</t>
  </si>
  <si>
    <t>$479</t>
  </si>
  <si>
    <t>$4311</t>
  </si>
  <si>
    <t>Received 23-12</t>
  </si>
  <si>
    <t>PS5 Slim Disc Bundle</t>
  </si>
  <si>
    <t>$629</t>
  </si>
  <si>
    <t>$6919</t>
  </si>
  <si>
    <t>PS5 Slim Disc</t>
  </si>
  <si>
    <t>$1258</t>
  </si>
  <si>
    <t>Delivered 24-12</t>
  </si>
  <si>
    <t>Starlink Deposit</t>
  </si>
  <si>
    <t>Delivered CT Freight 24-12</t>
  </si>
  <si>
    <t xml:space="preserve">Bunnings Lidcomb </t>
  </si>
  <si>
    <t>500 Deposit 60 units</t>
  </si>
  <si>
    <t>1000 Dposit 500 units</t>
  </si>
  <si>
    <t>500 Deposit 250 units</t>
  </si>
  <si>
    <t>Bunnings Morayfield QLD</t>
  </si>
  <si>
    <t>Bunnings Frenshesforest</t>
  </si>
  <si>
    <t>Bunnings Alexandria</t>
  </si>
  <si>
    <t>60 Units , No Deposit</t>
  </si>
  <si>
    <t>DJI Mavic 4 pro 512</t>
  </si>
  <si>
    <t>Wafarer Gen2 Transition</t>
  </si>
  <si>
    <t>Braun 9 in 1</t>
  </si>
  <si>
    <t>JBL Flip 7</t>
  </si>
  <si>
    <t>Iphone 17 pro max 512 Silver</t>
  </si>
  <si>
    <t>Samsung Ultra 512</t>
  </si>
  <si>
    <t>Iphone 17 pro max 256 Silver</t>
  </si>
  <si>
    <t>Braun IPL 5137 Hair Remover</t>
  </si>
  <si>
    <t>PS5 Disc Bundle</t>
  </si>
  <si>
    <t>Iphone 17 pro max Silver 512</t>
  </si>
  <si>
    <t>Collected Burwood 27-12</t>
  </si>
  <si>
    <t xml:space="preserve">Cancelled </t>
  </si>
  <si>
    <t>Starlink standard kit</t>
  </si>
  <si>
    <t>Braun Shaver Series 6</t>
  </si>
  <si>
    <t>Braun Silk Epil</t>
  </si>
  <si>
    <t xml:space="preserve">Iphone 17 pro max 256 Silver </t>
  </si>
  <si>
    <t>PS5 Digital Bundle</t>
  </si>
  <si>
    <t>Perth Collection Multiple Stores</t>
  </si>
  <si>
    <t>Waleed Perth</t>
  </si>
  <si>
    <t>Collected 26-12</t>
  </si>
  <si>
    <t>Refunded</t>
  </si>
  <si>
    <t>Braun AIO7540 all in one Series 7</t>
  </si>
  <si>
    <t>Braun SES9-041 3D SILK epil9</t>
  </si>
  <si>
    <t>BRAUN AIO5520 ALL IN ONE</t>
  </si>
  <si>
    <t>BRAUN SES7-081 SILK EPIL 7</t>
  </si>
  <si>
    <t>BRAUN IPL 5137</t>
  </si>
  <si>
    <t>Pending Collection Castle Tower</t>
  </si>
  <si>
    <t>Collected 30-12</t>
  </si>
  <si>
    <t>Pending refund</t>
  </si>
  <si>
    <t>Order cancelled 31-12</t>
  </si>
  <si>
    <t>Collected 31-12</t>
  </si>
  <si>
    <t>Harvey Norman Perth</t>
  </si>
  <si>
    <t>Disc</t>
  </si>
  <si>
    <t>Digital</t>
  </si>
  <si>
    <t>Plain</t>
  </si>
  <si>
    <t>Paid on 01/01/2026</t>
  </si>
  <si>
    <t xml:space="preserve"> Collection Commision</t>
  </si>
  <si>
    <t>22 Units Starlink + 27 Units PS5</t>
  </si>
  <si>
    <t>Delivered 31-12</t>
  </si>
  <si>
    <t>2 Delivered 31-12/ 4 Pending</t>
  </si>
  <si>
    <t>6 Delivered 31-12/ 3 Pending</t>
  </si>
  <si>
    <t xml:space="preserve">Old Purchase 27/07/2025 </t>
  </si>
  <si>
    <t>Collected 03-01</t>
  </si>
  <si>
    <t>$1537.9 + $968 GC ( Deposit )</t>
  </si>
  <si>
    <t>2 Delivered 05-01</t>
  </si>
  <si>
    <t>5 Delivered 31-12/ 1 Pending</t>
  </si>
  <si>
    <t>Delivered 02-01</t>
  </si>
  <si>
    <t>Collected 04-01</t>
  </si>
  <si>
    <t>Swiss Tech</t>
  </si>
  <si>
    <t>Business Name Renew Fees</t>
  </si>
  <si>
    <t>Starlink Standard kit</t>
  </si>
  <si>
    <t>HN Online</t>
  </si>
  <si>
    <t>HN Alex</t>
  </si>
  <si>
    <t>HN Liverpool</t>
  </si>
  <si>
    <t>OW</t>
  </si>
  <si>
    <t>Big W Bank</t>
  </si>
  <si>
    <t>Eb Games</t>
  </si>
  <si>
    <t>Jbhi Fi Merrylands</t>
  </si>
  <si>
    <t xml:space="preserve">Disc </t>
  </si>
  <si>
    <t>Pending Delivery Adil Bhai</t>
  </si>
  <si>
    <t>Received 03-01</t>
  </si>
  <si>
    <t>Adil Bhai Harvey Norman Alex</t>
  </si>
  <si>
    <t>Stock Received 03-01</t>
  </si>
  <si>
    <t>Commission Paid</t>
  </si>
  <si>
    <t>Collection Commission</t>
  </si>
  <si>
    <t>2 Delivered 06-01/ 2 pending</t>
  </si>
  <si>
    <t>2 Delivered 06-01/ 1 pending</t>
  </si>
  <si>
    <t>2 Delivered 06-01/1 Pending</t>
  </si>
  <si>
    <t>Officeworks Blacktown</t>
  </si>
  <si>
    <t>Megatop Sydney</t>
  </si>
  <si>
    <t>Shipping Expense</t>
  </si>
  <si>
    <t>Collected 06-01</t>
  </si>
  <si>
    <t>1 Delivered 09-01/ 1 pending</t>
  </si>
  <si>
    <t>Delivered 09-01</t>
  </si>
  <si>
    <t>Collected 10-01</t>
  </si>
  <si>
    <t>Collected 09-01</t>
  </si>
  <si>
    <t>Collected 08-01</t>
  </si>
  <si>
    <t>Officeworks Wetheill Park</t>
  </si>
  <si>
    <t>1 delivered 09-01/0 pending</t>
  </si>
  <si>
    <t>Collected 12-01</t>
  </si>
  <si>
    <t>Update on 11-01-26</t>
  </si>
  <si>
    <t>Abdul K</t>
  </si>
  <si>
    <t>$8300 Paid/ $5500 Balance</t>
  </si>
  <si>
    <t>DJI Mavic 4 Pro</t>
  </si>
  <si>
    <t>DJI Mic 3 combo</t>
  </si>
  <si>
    <t>Mac Book Pro M5 24/1TB</t>
  </si>
  <si>
    <t>Apple Air Pods 4 ANC</t>
  </si>
  <si>
    <t>DJI Mini 4K combo</t>
  </si>
  <si>
    <t>Collected JB Hurstville</t>
  </si>
  <si>
    <t>CT Frieight Melbourne</t>
  </si>
  <si>
    <t>CT Frieght NZ</t>
  </si>
  <si>
    <t>Iphone Air 256</t>
  </si>
  <si>
    <t>Officeworks Old Guildford</t>
  </si>
  <si>
    <t>Collected 16-01</t>
  </si>
  <si>
    <t>JBHIFI Mount Druitt</t>
  </si>
  <si>
    <t>Iphone Air 256 Sky Blue</t>
  </si>
  <si>
    <t>Iphone Air 256 White</t>
  </si>
  <si>
    <t>Iphone Air 256 Gold &amp; White</t>
  </si>
  <si>
    <t>Delivered 16-01/ 27-12 Deposit Update</t>
  </si>
  <si>
    <t>Iphone 17 pro max 256 (2 Orange/ 5 Silver)</t>
  </si>
  <si>
    <t>Collected 17-01</t>
  </si>
  <si>
    <t>Delivered 15-01</t>
  </si>
  <si>
    <t>16 Blue Delivered 16-01/ 24 Pending</t>
  </si>
  <si>
    <t>Delivered 21-01</t>
  </si>
  <si>
    <t>Bunnungs Pymbal</t>
  </si>
  <si>
    <t>Delivered 20-01</t>
  </si>
  <si>
    <t>Deposit Only for 40 Units</t>
  </si>
  <si>
    <t>VanHire + Petrol</t>
  </si>
  <si>
    <t>Collected 19-01</t>
  </si>
  <si>
    <t>2 Collected 03-01 /1 Collected 19-01/</t>
  </si>
  <si>
    <t>0 pending</t>
  </si>
  <si>
    <t>Collected 19-01 / 0 pending</t>
  </si>
  <si>
    <t>Anis Car Rental</t>
  </si>
  <si>
    <t>PS5 Bundle Disc and slims</t>
  </si>
  <si>
    <t>Dji Mavic 4 pro 512 GB</t>
  </si>
  <si>
    <t>Dji Mavic 4 pro FMC</t>
  </si>
  <si>
    <t>DJI Mavic 4 pro RC</t>
  </si>
  <si>
    <t>Iphone 17 pro Max 256 &amp; 512</t>
  </si>
  <si>
    <t>Mac Book Pro M5 24/1 TB</t>
  </si>
  <si>
    <t>Gen2 Transitions Meta</t>
  </si>
  <si>
    <t>JBL Speakers</t>
  </si>
  <si>
    <t>Sydney shipment Items 21/01/26</t>
  </si>
  <si>
    <t>Sale</t>
  </si>
  <si>
    <t>Difference</t>
  </si>
  <si>
    <t>Perth shipment Items 21/01/26</t>
  </si>
  <si>
    <t>Collected 21-01</t>
  </si>
  <si>
    <t>Iphone Air  256</t>
  </si>
  <si>
    <t>JHIFI Bankstown</t>
  </si>
  <si>
    <t>Deposit Only for 60 Units</t>
  </si>
  <si>
    <t>Bunnings Sunbury</t>
  </si>
  <si>
    <t>Bunnings Castle Hill</t>
  </si>
  <si>
    <t>JBHIFI Castle Tower</t>
  </si>
  <si>
    <t>Iphone 17 pro max 256 Orange</t>
  </si>
  <si>
    <t>JBHIFI Castle Hills Home</t>
  </si>
  <si>
    <t>Iphone Air 256 (Gold &amp; White)</t>
  </si>
  <si>
    <t>1 Delivered 23-01/ 0 Pending</t>
  </si>
  <si>
    <t xml:space="preserve">Iphone Air 256 Gold </t>
  </si>
  <si>
    <t>(Ref 12 Jan  $500 balance)</t>
  </si>
  <si>
    <t>Iphone Air 256 Blue</t>
  </si>
  <si>
    <t>$580+62+62+125.60+298 GC Deposit</t>
  </si>
  <si>
    <t>Bunnings Epping Melbourne</t>
  </si>
  <si>
    <t>Perth Collection Commision</t>
  </si>
  <si>
    <t>($2300 +$500)</t>
  </si>
  <si>
    <t>Waleed (Dec Month)</t>
  </si>
  <si>
    <t>refunded</t>
  </si>
  <si>
    <t>Whetherill park</t>
  </si>
  <si>
    <t xml:space="preserve"> 24 delivered 21-01/ 0 Pending</t>
  </si>
  <si>
    <t>$500 + $449 GC deposit +($1048+$997) 31-01</t>
  </si>
  <si>
    <t>Pending Delivery 28-01 Delivered</t>
  </si>
  <si>
    <t>Delivered 29-01</t>
  </si>
  <si>
    <t>Bunnings Footscray Melbourne</t>
  </si>
  <si>
    <t>Bunnings Thomastown Melbourne</t>
  </si>
  <si>
    <t>Bunnings Fairfield Melbourne</t>
  </si>
  <si>
    <t>Bunnings Craigiburn Melbourne</t>
  </si>
  <si>
    <t>Bunnings Tarnett Melbourne</t>
  </si>
  <si>
    <t>Bunnings Hoppers Cross Melbourne</t>
  </si>
  <si>
    <t>Bunnings Coburg Melbourne</t>
  </si>
  <si>
    <t>Bunnings Caroline Spring Melbourne</t>
  </si>
  <si>
    <t>Bunnings Taylors Lakes Melbourne</t>
  </si>
  <si>
    <t>Bunnings Melton East Melbourne</t>
  </si>
  <si>
    <t>Bunnings Broadmedows Melbourne</t>
  </si>
  <si>
    <t>Melbourne</t>
  </si>
  <si>
    <t>Mini EVO</t>
  </si>
  <si>
    <t xml:space="preserve">Starlink Mini </t>
  </si>
  <si>
    <t>Javed Bhai Investment Profit</t>
  </si>
  <si>
    <t>Year 2025</t>
  </si>
  <si>
    <t>Javed Bhai</t>
  </si>
  <si>
    <t>Pending Delivery 27-01 Melbourne Delivered</t>
  </si>
  <si>
    <t>Delivered 02-02</t>
  </si>
  <si>
    <t>Iphone 17 pro max</t>
  </si>
  <si>
    <t>Update 03/02</t>
  </si>
  <si>
    <t>Bunnings Hoxtonpark</t>
  </si>
  <si>
    <t>Starlink Mini</t>
  </si>
  <si>
    <t>Bunnings Bonnyrigg</t>
  </si>
  <si>
    <t>Starlink V2</t>
  </si>
  <si>
    <t>25/01 Deposit Update</t>
  </si>
  <si>
    <t>Online</t>
  </si>
  <si>
    <t>Updated</t>
  </si>
  <si>
    <t>Collected 09-02</t>
  </si>
  <si>
    <t>Macbook Pro M5 24/1TB</t>
  </si>
  <si>
    <t>DJI Mavic 4 Pro RC2</t>
  </si>
  <si>
    <t>DJI Mni 5 pro Combo Plus</t>
  </si>
  <si>
    <t>Apple Watch Ultra 3</t>
  </si>
  <si>
    <t>Kodak Camera</t>
  </si>
  <si>
    <t>Apple Airpods ANC</t>
  </si>
  <si>
    <t>Merrylands</t>
  </si>
  <si>
    <t>Collected  Broadway 14-02</t>
  </si>
  <si>
    <t xml:space="preserve"> 20,000 Paid </t>
  </si>
  <si>
    <t>Bunings Westfootscray Melbourne</t>
  </si>
  <si>
    <t>JHIFI Roselands</t>
  </si>
  <si>
    <t>Canon Mark III Black</t>
  </si>
  <si>
    <t>Cancelled Refund received 19-02</t>
  </si>
  <si>
    <t>Cancelled Refund Received 19-02</t>
  </si>
  <si>
    <t>Starlink Mini Commision</t>
  </si>
  <si>
    <t>Old Balance Paid</t>
  </si>
  <si>
    <t>Bunnings Morayfiled Queensland</t>
  </si>
  <si>
    <t>CT Freight Melbourne</t>
  </si>
  <si>
    <t>Megatop Cargo</t>
  </si>
  <si>
    <t>Meta Rayban transitions</t>
  </si>
  <si>
    <t>Return 28-02</t>
  </si>
  <si>
    <t>Missing</t>
  </si>
  <si>
    <t>Yes</t>
  </si>
  <si>
    <t>Delivered Logistics</t>
  </si>
  <si>
    <t>OrderNumer</t>
  </si>
  <si>
    <t>Peding Confirmation</t>
  </si>
  <si>
    <t>Ruber Monkey</t>
  </si>
  <si>
    <t>Abdul Noel Leeming</t>
  </si>
  <si>
    <t>CT Freight New Zealand</t>
  </si>
  <si>
    <t>10 V4 Payment</t>
  </si>
  <si>
    <t>Minelab 1000</t>
  </si>
  <si>
    <t>Annaconda</t>
  </si>
  <si>
    <t xml:space="preserve">Waleed  collection </t>
  </si>
  <si>
    <t>Perth</t>
  </si>
  <si>
    <t>Bunnings  Pakenham</t>
  </si>
  <si>
    <t>Iphone 17 pro max 256 Orange &amp; Silver</t>
  </si>
  <si>
    <t>Meta Gen2 Transitios</t>
  </si>
  <si>
    <t>Bunnings  Perth</t>
  </si>
  <si>
    <t>BCF ONLINE</t>
  </si>
  <si>
    <t>In Perth</t>
  </si>
  <si>
    <t>Zunera</t>
  </si>
  <si>
    <t>Waheed</t>
  </si>
  <si>
    <t>Minelab GPZ 8000</t>
  </si>
  <si>
    <t>Jacobs Digital</t>
  </si>
  <si>
    <t>Abdul Rehman Card</t>
  </si>
  <si>
    <t>BAU005200829</t>
  </si>
  <si>
    <t>Order Number</t>
  </si>
  <si>
    <t>BAU005200857</t>
  </si>
  <si>
    <t>VVHGYYIHT</t>
  </si>
  <si>
    <t>Lucky stricke gold</t>
  </si>
  <si>
    <t>GPZ8000 Deposit</t>
  </si>
  <si>
    <t>Gold Ballarat</t>
  </si>
  <si>
    <t>Deposit Only</t>
  </si>
  <si>
    <t>BAU005203314</t>
  </si>
  <si>
    <t>Bunnings Stores</t>
  </si>
  <si>
    <t>Storage Hire</t>
  </si>
  <si>
    <t>Storage King</t>
  </si>
  <si>
    <t>$8000 18th April  +7790 22th April</t>
  </si>
  <si>
    <t>Collected Abdul Khan</t>
  </si>
  <si>
    <t>Anaconda</t>
  </si>
  <si>
    <t>Luckystrike</t>
  </si>
  <si>
    <t> BAU005211686</t>
  </si>
  <si>
    <t> BAU005211702</t>
  </si>
  <si>
    <t>GC</t>
  </si>
  <si>
    <t>BAU005211725</t>
  </si>
  <si>
    <t>Anaconda Online</t>
  </si>
  <si>
    <t> 1429956175</t>
  </si>
  <si>
    <t> BAU005211862</t>
  </si>
  <si>
    <t>Bunings Bankstown</t>
  </si>
  <si>
    <t>Iphone pro max 256 Silver</t>
  </si>
  <si>
    <t>Iphone pro max 256 Orange</t>
  </si>
  <si>
    <t>DJI mini 5 pro RC2</t>
  </si>
  <si>
    <t>Meta Gen2 Transitions</t>
  </si>
  <si>
    <t>Iphone 17 pro max Silver</t>
  </si>
  <si>
    <t>Collected Homebush</t>
  </si>
  <si>
    <t>DJI Mavic 4 Pro FMC</t>
  </si>
  <si>
    <t>DJI Mavic 4 Pro RC2 512 GB</t>
  </si>
  <si>
    <t>Jbhifi Homebush</t>
  </si>
  <si>
    <t>260 units</t>
  </si>
  <si>
    <t>G7X</t>
  </si>
  <si>
    <t>Mega Top</t>
  </si>
  <si>
    <t>Starlink Actuated kit</t>
  </si>
  <si>
    <t>Qantas Marketplace</t>
  </si>
  <si>
    <t>Photogear Online</t>
  </si>
  <si>
    <t>:1432352721</t>
  </si>
  <si>
    <t>Macbook Pro M5 16/512</t>
  </si>
  <si>
    <t> 1433849400</t>
  </si>
  <si>
    <t> 1433849843</t>
  </si>
  <si>
    <t>Anaconda Chullora</t>
  </si>
  <si>
    <t>Bond money Deposit</t>
  </si>
  <si>
    <t xml:space="preserve">Abdul Basit Accountant </t>
  </si>
  <si>
    <t>Store/Person</t>
  </si>
  <si>
    <t>Company formation fee</t>
  </si>
  <si>
    <t>1 Delivered/ 1 to be refund</t>
  </si>
  <si>
    <t>Goldmonster 2000</t>
  </si>
  <si>
    <t>BAU005229887</t>
  </si>
  <si>
    <t>BCF Online</t>
  </si>
  <si>
    <t>BAU005229891</t>
  </si>
  <si>
    <t>BAU005229897</t>
  </si>
  <si>
    <t>BAU005229901</t>
  </si>
  <si>
    <t xml:space="preserve">Shipping Charges </t>
  </si>
  <si>
    <t>A</t>
  </si>
  <si>
    <t>B</t>
  </si>
  <si>
    <t>S</t>
  </si>
  <si>
    <t>2 Pending</t>
  </si>
  <si>
    <t>BAU005234462</t>
  </si>
  <si>
    <t>BAU005234590</t>
  </si>
  <si>
    <t>BAU005234594</t>
  </si>
  <si>
    <t>BAU005234602</t>
  </si>
  <si>
    <t>BAU005234608</t>
  </si>
  <si>
    <t>Relocation Expense</t>
  </si>
  <si>
    <t>Collection Charges</t>
  </si>
  <si>
    <t>NL05365513</t>
  </si>
  <si>
    <t>Instax Mini 13</t>
  </si>
  <si>
    <t>Noel Leeming Online</t>
  </si>
  <si>
    <t>2000 Paid only</t>
  </si>
  <si>
    <t> BAU005236793</t>
  </si>
  <si>
    <t> BAU005236826</t>
  </si>
  <si>
    <t>BAU005236836</t>
  </si>
  <si>
    <t>BAU005236844</t>
  </si>
  <si>
    <t> BAU005236854</t>
  </si>
  <si>
    <t>E45WIG3AQ</t>
  </si>
  <si>
    <t>Anaconda Marsden Park</t>
  </si>
  <si>
    <t>Eastern Creek</t>
  </si>
  <si>
    <t>Penrith</t>
  </si>
  <si>
    <t>BAU005238756</t>
  </si>
  <si>
    <t> BAU005238760</t>
  </si>
  <si>
    <t>BAU005238763</t>
  </si>
  <si>
    <t>BAU005238767</t>
  </si>
  <si>
    <t>BAU005238770</t>
  </si>
  <si>
    <t>All previous bal clear</t>
  </si>
  <si>
    <t>collection commission</t>
  </si>
  <si>
    <t>Iphoe 17 pro max</t>
  </si>
  <si>
    <t>Collection</t>
  </si>
  <si>
    <t>BCF Online Adil Bhai</t>
  </si>
  <si>
    <t>Harvey Norman Adil Bhai</t>
  </si>
  <si>
    <t>Asfand Perth Deposit</t>
  </si>
  <si>
    <t>G7X MakIII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</si>
</sst>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[Red]\-&quot;$&quot;#,##0"/>
    <numFmt numFmtId="165" formatCode="&quot;$&quot;#,##0.00;[Red]\-&quot;$&quot;#,##0.00"/>
    <numFmt numFmtId="166" formatCode="_-&quot;$&quot;* #,##0_-;\-&quot;$&quot;* #,##0_-;_-&quot;$&quot;* &quot;-&quot;_-;_-@_-"/>
    <numFmt numFmtId="167" formatCode="&quot;$&quot;#,##0.00"/>
    <numFmt numFmtId="168" formatCode="&quot;$&quot;#,##0"/>
    <numFmt numFmtId="169" formatCode="[$-C09]dd\-mmm\-yy;@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  <font>
      <b/>
      <sz val="11"/>
      <color rgb="FF333333"/>
      <name val="Arial"/>
      <family val="2"/>
    </font>
    <font>
      <sz val="8"/>
      <color rgb="FF2D2D2D"/>
      <name val="Arial"/>
      <family val="2"/>
    </font>
    <font>
      <sz val="8"/>
      <color rgb="FF333333"/>
      <name val="Arial"/>
      <family val="2"/>
    </font>
    <font>
      <sz val="8"/>
      <color rgb="FF707070"/>
      <name val="Segoe UI"/>
      <family val="2"/>
    </font>
    <font>
      <sz val="8"/>
      <color rgb="FF333333"/>
      <name val="Arial"/>
      <family val="2"/>
    </font>
    <font>
      <sz val="8"/>
      <color rgb="FF4A4A4A"/>
      <name val="Arial"/>
      <family val="2"/>
    </font>
    <font>
      <b/>
      <sz val="9"/>
      <color rgb="FFE87722"/>
      <name val="Calibri"/>
      <family val="2"/>
      <scheme val="minor"/>
    </font>
    <font>
      <sz val="8"/>
      <color rgb="FF2D2D2D"/>
      <name val="Arial"/>
      <family val="2"/>
    </font>
    <font>
      <sz val="7"/>
      <color rgb="FF4A4A4A"/>
      <name val="Arial"/>
      <family val="2"/>
    </font>
    <font>
      <sz val="7"/>
      <color rgb="FF191919"/>
      <name val="Arial"/>
      <family val="2"/>
    </font>
    <font>
      <sz val="8"/>
      <color rgb="FF333333"/>
      <name val="Arial"/>
      <family val="2"/>
    </font>
    <font>
      <sz val="8"/>
      <color rgb="FF2D2D2D"/>
      <name val="Arial"/>
      <family val="2"/>
    </font>
    <font>
      <sz val="8"/>
      <color rgb="FF333333"/>
      <name val="Arial"/>
      <family val="2"/>
    </font>
    <font>
      <sz val="10"/>
      <color rgb="FF666666"/>
      <name val="Segoe UI"/>
      <family val="2"/>
    </font>
    <font>
      <sz val="8"/>
      <color theme="1"/>
      <name val="Arial"/>
      <family val="2"/>
    </font>
    <font>
      <sz val="8"/>
      <color rgb="FF333333"/>
      <name val="Arial"/>
      <family val="2"/>
    </font>
    <font>
      <b/>
      <sz val="10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1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7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7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7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7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7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7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7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7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  <xf numFmtId="167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7" fontId="2" fillId="2" borderId="1" xfId="0" applyNumberFormat="1" applyFont="1" applyFill="1" applyBorder="1"/>
    <xf numFmtId="0" fontId="0" fillId="7" borderId="1" xfId="0" applyFill="1" applyBorder="1"/>
    <xf numFmtId="168" fontId="0" fillId="0" borderId="1" xfId="0" applyNumberFormat="1" applyBorder="1"/>
    <xf numFmtId="168" fontId="0" fillId="2" borderId="1" xfId="0" applyNumberFormat="1" applyFill="1" applyBorder="1"/>
    <xf numFmtId="168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8" fontId="2" fillId="2" borderId="1" xfId="0" applyNumberFormat="1" applyFont="1" applyFill="1" applyBorder="1" applyAlignment="1">
      <alignment vertical="center"/>
    </xf>
    <xf numFmtId="168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8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9" fontId="0" fillId="0" borderId="1" xfId="0" applyNumberFormat="1" applyBorder="1"/>
    <xf numFmtId="16" fontId="0" fillId="0" borderId="0" xfId="0" applyNumberFormat="1"/>
    <xf numFmtId="16" fontId="0" fillId="2" borderId="1" xfId="0" applyNumberFormat="1" applyFill="1" applyBorder="1"/>
    <xf numFmtId="168" fontId="0" fillId="0" borderId="0" xfId="0" applyNumberFormat="1"/>
    <xf numFmtId="16" fontId="0" fillId="0" borderId="3" xfId="0" applyNumberFormat="1" applyBorder="1"/>
    <xf numFmtId="168" fontId="0" fillId="0" borderId="3" xfId="0" applyNumberFormat="1" applyBorder="1"/>
    <xf numFmtId="168" fontId="0" fillId="2" borderId="0" xfId="0" applyNumberFormat="1" applyFill="1"/>
    <xf numFmtId="16" fontId="2" fillId="0" borderId="1" xfId="0" applyNumberFormat="1" applyFont="1" applyBorder="1"/>
    <xf numFmtId="168" fontId="2" fillId="0" borderId="1" xfId="0" applyNumberFormat="1" applyFont="1" applyBorder="1"/>
    <xf numFmtId="16" fontId="0" fillId="0" borderId="14" xfId="0" applyNumberFormat="1" applyBorder="1"/>
    <xf numFmtId="0" fontId="0" fillId="0" borderId="14" xfId="0" applyBorder="1"/>
    <xf numFmtId="168" fontId="0" fillId="0" borderId="14" xfId="0" applyNumberFormat="1" applyBorder="1"/>
    <xf numFmtId="168" fontId="1" fillId="0" borderId="1" xfId="0" applyNumberFormat="1" applyFon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left" indent="2"/>
    </xf>
    <xf numFmtId="1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0" fillId="8" borderId="1" xfId="0" applyFill="1" applyBorder="1"/>
    <xf numFmtId="16" fontId="2" fillId="0" borderId="0" xfId="0" applyNumberFormat="1" applyFont="1"/>
    <xf numFmtId="16" fontId="0" fillId="2" borderId="0" xfId="0" applyNumberFormat="1" applyFill="1"/>
    <xf numFmtId="165" fontId="0" fillId="0" borderId="1" xfId="0" applyNumberFormat="1" applyBorder="1"/>
    <xf numFmtId="164" fontId="0" fillId="2" borderId="1" xfId="0" applyNumberFormat="1" applyFill="1" applyBorder="1"/>
    <xf numFmtId="18" fontId="0" fillId="0" borderId="1" xfId="0" applyNumberFormat="1" applyBorder="1"/>
    <xf numFmtId="18" fontId="0" fillId="0" borderId="0" xfId="0" applyNumberFormat="1"/>
    <xf numFmtId="16" fontId="0" fillId="7" borderId="1" xfId="0" applyNumberFormat="1" applyFill="1" applyBorder="1"/>
    <xf numFmtId="168" fontId="0" fillId="7" borderId="1" xfId="0" applyNumberFormat="1" applyFill="1" applyBorder="1"/>
    <xf numFmtId="16" fontId="2" fillId="2" borderId="1" xfId="0" applyNumberFormat="1" applyFont="1" applyFill="1" applyBorder="1"/>
    <xf numFmtId="9" fontId="0" fillId="0" borderId="1" xfId="0" applyNumberForma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10" xfId="0" applyBorder="1"/>
    <xf numFmtId="0" fontId="13" fillId="0" borderId="0" xfId="0" applyFont="1"/>
    <xf numFmtId="0" fontId="24" fillId="0" borderId="0" xfId="0" applyFont="1"/>
    <xf numFmtId="16" fontId="0" fillId="9" borderId="1" xfId="0" applyNumberFormat="1" applyFill="1" applyBorder="1"/>
    <xf numFmtId="0" fontId="0" fillId="9" borderId="1" xfId="0" applyFill="1" applyBorder="1"/>
    <xf numFmtId="168" fontId="0" fillId="9" borderId="1" xfId="0" applyNumberFormat="1" applyFill="1" applyBorder="1"/>
    <xf numFmtId="167" fontId="0" fillId="9" borderId="1" xfId="0" applyNumberFormat="1" applyFill="1" applyBorder="1"/>
    <xf numFmtId="0" fontId="2" fillId="9" borderId="1" xfId="0" applyFont="1" applyFill="1" applyBorder="1"/>
    <xf numFmtId="0" fontId="8" fillId="9" borderId="1" xfId="0" applyFont="1" applyFill="1" applyBorder="1"/>
    <xf numFmtId="0" fontId="9" fillId="9" borderId="1" xfId="0" applyFont="1" applyFill="1" applyBorder="1"/>
    <xf numFmtId="164" fontId="0" fillId="9" borderId="1" xfId="0" applyNumberFormat="1" applyFill="1" applyBorder="1"/>
    <xf numFmtId="0" fontId="10" fillId="9" borderId="1" xfId="0" applyFont="1" applyFill="1" applyBorder="1"/>
    <xf numFmtId="0" fontId="15" fillId="9" borderId="1" xfId="0" applyFont="1" applyFill="1" applyBorder="1"/>
    <xf numFmtId="16" fontId="0" fillId="10" borderId="1" xfId="0" applyNumberFormat="1" applyFill="1" applyBorder="1"/>
    <xf numFmtId="0" fontId="0" fillId="10" borderId="1" xfId="0" applyFill="1" applyBorder="1"/>
    <xf numFmtId="168" fontId="0" fillId="10" borderId="1" xfId="0" applyNumberFormat="1" applyFill="1" applyBorder="1"/>
    <xf numFmtId="0" fontId="21" fillId="10" borderId="0" xfId="0" applyFont="1" applyFill="1"/>
    <xf numFmtId="0" fontId="19" fillId="10" borderId="0" xfId="0" applyFont="1" applyFill="1"/>
    <xf numFmtId="0" fontId="22" fillId="10" borderId="0" xfId="0" applyFont="1" applyFill="1"/>
    <xf numFmtId="0" fontId="19" fillId="9" borderId="1" xfId="0" applyFont="1" applyFill="1" applyBorder="1"/>
    <xf numFmtId="9" fontId="0" fillId="10" borderId="1" xfId="0" applyNumberFormat="1" applyFill="1" applyBorder="1"/>
    <xf numFmtId="167" fontId="0" fillId="10" borderId="1" xfId="0" applyNumberFormat="1" applyFill="1" applyBorder="1"/>
    <xf numFmtId="0" fontId="12" fillId="10" borderId="0" xfId="0" applyFont="1" applyFill="1"/>
    <xf numFmtId="16" fontId="0" fillId="10" borderId="3" xfId="0" applyNumberFormat="1" applyFill="1" applyBorder="1"/>
    <xf numFmtId="0" fontId="0" fillId="10" borderId="3" xfId="0" applyFill="1" applyBorder="1"/>
    <xf numFmtId="167" fontId="0" fillId="10" borderId="3" xfId="0" applyNumberFormat="1" applyFill="1" applyBorder="1"/>
    <xf numFmtId="0" fontId="13" fillId="10" borderId="0" xfId="0" applyFont="1" applyFill="1"/>
    <xf numFmtId="0" fontId="13" fillId="10" borderId="1" xfId="0" applyFont="1" applyFill="1" applyBorder="1"/>
    <xf numFmtId="0" fontId="12" fillId="10" borderId="1" xfId="0" applyFont="1" applyFill="1" applyBorder="1"/>
    <xf numFmtId="0" fontId="14" fillId="9" borderId="1" xfId="0" applyFont="1" applyFill="1" applyBorder="1"/>
    <xf numFmtId="0" fontId="14" fillId="10" borderId="1" xfId="0" applyFont="1" applyFill="1" applyBorder="1"/>
    <xf numFmtId="0" fontId="16" fillId="10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6" fillId="10" borderId="0" xfId="0" applyFont="1" applyFill="1"/>
    <xf numFmtId="0" fontId="17" fillId="10" borderId="0" xfId="0" applyFont="1" applyFill="1"/>
    <xf numFmtId="0" fontId="18" fillId="10" borderId="1" xfId="0" applyFont="1" applyFill="1" applyBorder="1"/>
    <xf numFmtId="16" fontId="0" fillId="9" borderId="14" xfId="0" applyNumberFormat="1" applyFill="1" applyBorder="1"/>
    <xf numFmtId="0" fontId="0" fillId="9" borderId="14" xfId="0" applyFill="1" applyBorder="1"/>
    <xf numFmtId="167" fontId="0" fillId="9" borderId="14" xfId="0" applyNumberFormat="1" applyFill="1" applyBorder="1"/>
    <xf numFmtId="0" fontId="18" fillId="9" borderId="14" xfId="0" applyFont="1" applyFill="1" applyBorder="1"/>
    <xf numFmtId="0" fontId="20" fillId="10" borderId="1" xfId="0" applyFont="1" applyFill="1" applyBorder="1"/>
    <xf numFmtId="164" fontId="0" fillId="10" borderId="1" xfId="0" applyNumberFormat="1" applyFill="1" applyBorder="1"/>
    <xf numFmtId="0" fontId="20" fillId="10" borderId="0" xfId="0" applyFont="1" applyFill="1"/>
    <xf numFmtId="164" fontId="0" fillId="10" borderId="3" xfId="0" applyNumberFormat="1" applyFill="1" applyBorder="1"/>
    <xf numFmtId="0" fontId="23" fillId="10" borderId="1" xfId="0" applyFont="1" applyFill="1" applyBorder="1"/>
    <xf numFmtId="0" fontId="23" fillId="10" borderId="0" xfId="0" applyFont="1" applyFill="1"/>
    <xf numFmtId="0" fontId="20" fillId="9" borderId="1" xfId="0" applyFon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7" fontId="0" fillId="2" borderId="1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pivotCacheDefinition" Target="pivotCache/pivotCacheDefinition1.xml"/><Relationship Id="rId50" Type="http://schemas.openxmlformats.org/officeDocument/2006/relationships/pivotCacheDefinition" Target="pivotCache/pivotCacheDefinition4.xml"/><Relationship Id="rId55" Type="http://schemas.openxmlformats.org/officeDocument/2006/relationships/pivotCacheDefinition" Target="pivotCache/pivotCacheDefinition9.xml"/><Relationship Id="rId63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pivotCacheDefinition" Target="pivotCache/pivotCacheDefinition7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sheetMetadata" Target="metadata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pivotCacheDefinition" Target="pivotCache/pivotCacheDefinition2.xml"/><Relationship Id="rId56" Type="http://schemas.openxmlformats.org/officeDocument/2006/relationships/pivotCacheDefinition" Target="pivotCache/pivotCacheDefinition10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8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3.xml"/><Relationship Id="rId57" Type="http://schemas.openxmlformats.org/officeDocument/2006/relationships/pivotCacheDefinition" Target="pivotCache/pivotCacheDefinition1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pivotCacheDefinition" Target="pivotCache/pivotCacheDefinition6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7">
      <sharedItems containsBlank="1" containsMixedTypes="1" containsNumber="1" minValue="0" maxValue="10122.66"/>
    </cacheField>
    <cacheField name="Total" numFmtId="167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 count="4">
        <d v="2025-12-01T00:00:00"/>
        <d v="2025-12-02T00:00:00"/>
        <d v="2025-12-03T00:00:00"/>
        <m/>
      </sharedItems>
    </cacheField>
    <cacheField name="Qty" numFmtId="0">
      <sharedItems containsString="0" containsBlank="1" containsNumber="1" containsInteger="1" minValue="1" maxValue="14" count="10">
        <n v="2"/>
        <n v="3"/>
        <n v="10"/>
        <n v="1"/>
        <n v="12"/>
        <n v="5"/>
        <n v="4"/>
        <n v="6"/>
        <n v="14"/>
        <m/>
      </sharedItems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021.588136574072" createdVersion="8" refreshedVersion="8" minRefreshableVersion="3" recordCount="778" xr:uid="{5AEF0A9B-1413-46E3-8671-611EEA0AC8E1}">
  <cacheSource type="worksheet">
    <worksheetSource ref="A1:I1048576" sheet="Sheet7"/>
  </cacheSource>
  <cacheFields count="9">
    <cacheField name="Date" numFmtId="0">
      <sharedItems containsNonDate="0" containsDate="1" containsString="0" containsBlank="1" minDate="2025-12-04T00:00:00" maxDate="2025-12-29T00:00:00"/>
    </cacheField>
    <cacheField name="Qty" numFmtId="0">
      <sharedItems containsString="0" containsBlank="1" containsNumber="1" containsInteger="1" minValue="1" maxValue="6"/>
    </cacheField>
    <cacheField name="Descriptions" numFmtId="0">
      <sharedItems containsBlank="1" count="13">
        <s v="Ps5 Digital"/>
        <s v="Starlink Standard Kit"/>
        <s v="PS5 Slims Digital Bundle"/>
        <s v="PS5 Slims Disc Bundle"/>
        <s v="PS5 Slim Digital Bundle"/>
        <s v="PS5 Slim Disc Bundle"/>
        <s v="DJI Mavic 4 pro 512"/>
        <s v="DJI mavic 4 pro fly more combo"/>
        <s v="JBL Charge 6"/>
        <s v="DJI Mic 3"/>
        <s v="PS5 Disc Bundle"/>
        <s v="Iphone 17 pro max 512 Silver"/>
        <m/>
      </sharedItems>
    </cacheField>
    <cacheField name="Store" numFmtId="0">
      <sharedItems containsBlank="1" count="11">
        <s v="JBHIFI Bankstown"/>
        <s v="JBHIFI Parramatta"/>
        <s v="Big W Blacktown"/>
        <s v="Big W Top Ryde"/>
        <s v="Big W Macquarie"/>
        <s v="Big W Bankstown"/>
        <s v="Big W Campsie"/>
        <s v="DJI Macquarie"/>
        <s v="JBHIFI Roselands"/>
        <m/>
        <s v="Big W North Ryde" u="1"/>
      </sharedItems>
    </cacheField>
    <cacheField name="Price" numFmtId="0">
      <sharedItems containsString="0" containsBlank="1" containsNumber="1" containsInteger="1" minValue="125" maxValue="4400"/>
    </cacheField>
    <cacheField name="Total" numFmtId="0">
      <sharedItems containsString="0" containsBlank="1" containsNumber="1" containsInteger="1" minValue="299" maxValue="13200"/>
    </cacheField>
    <cacheField name="status" numFmtId="0">
      <sharedItems containsBlank="1" count="6">
        <s v="Pending Collection Merrylands"/>
        <s v="Pending Collection Top Ryde"/>
        <s v="Pending Collection Mt Druitt"/>
        <s v="Pending Collection"/>
        <s v="Pending Collection Castle Tower"/>
        <m/>
      </sharedItems>
    </cacheField>
    <cacheField name="Shipped" numFmtId="0">
      <sharedItems containsNonDate="0" containsString="0"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x v="0"/>
    <s v="BCF Wetherill Park"/>
    <n v="399"/>
    <n v="798"/>
    <s v=" Auburn Collected 02-12"/>
    <m/>
    <x v="0"/>
  </r>
  <r>
    <x v="0"/>
    <x v="0"/>
    <x v="0"/>
    <s v="Office Works Wetherill park"/>
    <n v="398"/>
    <n v="796"/>
    <s v="Collected"/>
    <m/>
    <x v="0"/>
  </r>
  <r>
    <x v="0"/>
    <x v="0"/>
    <x v="1"/>
    <s v="JBHIFI Parramatta"/>
    <n v="479"/>
    <n v="958"/>
    <s v="Pending Collection Bankstown"/>
    <m/>
    <x v="1"/>
  </r>
  <r>
    <x v="0"/>
    <x v="0"/>
    <x v="0"/>
    <s v="JBHIFI Parramatta"/>
    <n v="299"/>
    <n v="598"/>
    <s v="Pending Collection Bankstown"/>
    <m/>
    <x v="1"/>
  </r>
  <r>
    <x v="0"/>
    <x v="1"/>
    <x v="2"/>
    <s v="JBHIFI Parramatta"/>
    <n v="419"/>
    <n v="1257"/>
    <s v="Pending Collection Bankstown"/>
    <m/>
    <x v="1"/>
  </r>
  <r>
    <x v="0"/>
    <x v="2"/>
    <x v="3"/>
    <s v="JBHIFI Parramatta"/>
    <n v="125"/>
    <n v="1250"/>
    <s v="Pending Collection Bankstown"/>
    <m/>
    <x v="1"/>
  </r>
  <r>
    <x v="0"/>
    <x v="0"/>
    <x v="1"/>
    <s v="JBHIFI Parramatta"/>
    <n v="479"/>
    <n v="958"/>
    <s v="Collected 03-12"/>
    <m/>
    <x v="1"/>
  </r>
  <r>
    <x v="0"/>
    <x v="3"/>
    <x v="0"/>
    <s v="JBHIFI Parramatta"/>
    <n v="299"/>
    <n v="299"/>
    <s v="Collected 03-12"/>
    <m/>
    <x v="1"/>
  </r>
  <r>
    <x v="0"/>
    <x v="1"/>
    <x v="2"/>
    <s v="JBHIFI Parramatta"/>
    <n v="419"/>
    <n v="1257"/>
    <s v="Collected 03-12"/>
    <m/>
    <x v="1"/>
  </r>
  <r>
    <x v="0"/>
    <x v="3"/>
    <x v="4"/>
    <s v="Good Guys Auburn"/>
    <n v="659"/>
    <n v="659"/>
    <s v="Collected 02-12"/>
    <m/>
    <x v="0"/>
  </r>
  <r>
    <x v="0"/>
    <x v="3"/>
    <x v="5"/>
    <s v="Good Guys Auburn"/>
    <n v="509"/>
    <n v="509"/>
    <s v="Collected 02-12"/>
    <m/>
    <x v="0"/>
  </r>
  <r>
    <x v="0"/>
    <x v="4"/>
    <x v="0"/>
    <s v="Bunnings Perth"/>
    <n v="398"/>
    <n v="4776"/>
    <s v="Pending Delivery Waleed"/>
    <m/>
    <x v="2"/>
  </r>
  <r>
    <x v="1"/>
    <x v="0"/>
    <x v="0"/>
    <s v="Office Works Auburn"/>
    <n v="398"/>
    <n v="796"/>
    <s v="Collected"/>
    <m/>
    <x v="0"/>
  </r>
  <r>
    <x v="1"/>
    <x v="0"/>
    <x v="0"/>
    <s v="BCF Auburn"/>
    <n v="398"/>
    <n v="796"/>
    <s v="Collected"/>
    <m/>
    <x v="0"/>
  </r>
  <r>
    <x v="1"/>
    <x v="3"/>
    <x v="0"/>
    <s v="Bunnings Perth"/>
    <n v="398"/>
    <n v="398"/>
    <s v="Pending Delivery Waleed"/>
    <m/>
    <x v="2"/>
  </r>
  <r>
    <x v="1"/>
    <x v="3"/>
    <x v="6"/>
    <s v="Waleed"/>
    <n v="130"/>
    <n v="130"/>
    <s v="Perth Collection"/>
    <m/>
    <x v="1"/>
  </r>
  <r>
    <x v="1"/>
    <x v="5"/>
    <x v="7"/>
    <s v="JBHIFI Parramatta Adil"/>
    <n v="105"/>
    <n v="525"/>
    <s v="Delivered 02-12"/>
    <m/>
    <x v="0"/>
  </r>
  <r>
    <x v="1"/>
    <x v="0"/>
    <x v="0"/>
    <s v="JBHIFI Parramatta Adil"/>
    <n v="299"/>
    <n v="598"/>
    <s v="Delivered 02-12"/>
    <m/>
    <x v="0"/>
  </r>
  <r>
    <x v="1"/>
    <x v="6"/>
    <x v="3"/>
    <s v="JBHIFI Parramatta Adil"/>
    <n v="125"/>
    <n v="500"/>
    <s v="Delivered 02-12"/>
    <m/>
    <x v="1"/>
  </r>
  <r>
    <x v="1"/>
    <x v="0"/>
    <x v="8"/>
    <s v="JBHIFI Parramatta Adil"/>
    <n v="479"/>
    <n v="958"/>
    <s v="Delivered 02-12"/>
    <m/>
    <x v="0"/>
  </r>
  <r>
    <x v="1"/>
    <x v="3"/>
    <x v="0"/>
    <s v="JBHIFI Homebush Adil"/>
    <n v="299"/>
    <n v="299"/>
    <s v="Delivered 02-12"/>
    <m/>
    <x v="0"/>
  </r>
  <r>
    <x v="1"/>
    <x v="0"/>
    <x v="9"/>
    <s v="JBHIFI Homebush Adil"/>
    <n v="478"/>
    <n v="956"/>
    <s v="Delivered 02-12"/>
    <m/>
    <x v="0"/>
  </r>
  <r>
    <x v="1"/>
    <x v="1"/>
    <x v="0"/>
    <s v="BCF Adil"/>
    <n v="399"/>
    <n v="1197"/>
    <s v="Delivered 02-12"/>
    <m/>
    <x v="0"/>
  </r>
  <r>
    <x v="2"/>
    <x v="4"/>
    <x v="0"/>
    <s v="Bunnings Castle Hills"/>
    <n v="398"/>
    <n v="4776"/>
    <s v="Collected "/>
    <m/>
    <x v="0"/>
  </r>
  <r>
    <x v="2"/>
    <x v="3"/>
    <x v="10"/>
    <s v="EB Games Roselands"/>
    <n v="598"/>
    <n v="598"/>
    <s v="Collected "/>
    <m/>
    <x v="1"/>
  </r>
  <r>
    <x v="2"/>
    <x v="7"/>
    <x v="7"/>
    <s v="JBHIFI Roselands"/>
    <n v="103"/>
    <n v="618"/>
    <s v="Collected "/>
    <m/>
    <x v="1"/>
  </r>
  <r>
    <x v="2"/>
    <x v="0"/>
    <x v="10"/>
    <s v="JBHIFI Roselands"/>
    <n v="629"/>
    <n v="1258"/>
    <s v="Collected "/>
    <m/>
    <x v="1"/>
  </r>
  <r>
    <x v="2"/>
    <x v="3"/>
    <x v="11"/>
    <s v="JBHIFI Roselands"/>
    <n v="69"/>
    <n v="69"/>
    <s v="Collected "/>
    <m/>
    <x v="1"/>
  </r>
  <r>
    <x v="2"/>
    <x v="3"/>
    <x v="12"/>
    <s v="JBHIFI Roselands"/>
    <n v="44"/>
    <n v="44"/>
    <s v="Collected "/>
    <m/>
    <x v="1"/>
  </r>
  <r>
    <x v="2"/>
    <x v="0"/>
    <x v="0"/>
    <s v="JBHIFI Roselands"/>
    <n v="299"/>
    <n v="598"/>
    <s v="Collected "/>
    <m/>
    <x v="1"/>
  </r>
  <r>
    <x v="2"/>
    <x v="8"/>
    <x v="3"/>
    <s v="JBHIFI Roselands"/>
    <n v="125"/>
    <n v="1750"/>
    <s v="Collected "/>
    <m/>
    <x v="1"/>
  </r>
  <r>
    <x v="2"/>
    <x v="3"/>
    <x v="2"/>
    <s v="JBHIFI Roselands"/>
    <n v="419"/>
    <n v="419"/>
    <s v="Collected "/>
    <m/>
    <x v="1"/>
  </r>
  <r>
    <x v="2"/>
    <x v="5"/>
    <x v="13"/>
    <s v="JBHIFI Roselands"/>
    <n v="419"/>
    <n v="2095"/>
    <s v="Pending Collection Broadway"/>
    <m/>
    <x v="1"/>
  </r>
  <r>
    <x v="2"/>
    <x v="3"/>
    <x v="0"/>
    <s v="JBHIFI Roselands"/>
    <n v="299"/>
    <n v="299"/>
    <s v="Pending Collection Broadway"/>
    <m/>
    <x v="1"/>
  </r>
  <r>
    <x v="2"/>
    <x v="0"/>
    <x v="0"/>
    <s v="JBHIFI Roselands"/>
    <n v="299"/>
    <n v="598"/>
    <s v="Pending Collection Macquarie"/>
    <m/>
    <x v="1"/>
  </r>
  <r>
    <x v="2"/>
    <x v="3"/>
    <x v="0"/>
    <s v="JBHIFI Roselands"/>
    <n v="299"/>
    <n v="299"/>
    <s v="Pending Collection Bankstown"/>
    <m/>
    <x v="1"/>
  </r>
  <r>
    <x v="2"/>
    <x v="0"/>
    <x v="8"/>
    <s v="JBHIFI Roselands"/>
    <n v="479"/>
    <n v="958"/>
    <s v="Pending Collection Broadway"/>
    <m/>
    <x v="1"/>
  </r>
  <r>
    <x v="2"/>
    <x v="0"/>
    <x v="8"/>
    <s v="JBHIFI Hurstville"/>
    <n v="479"/>
    <n v="958"/>
    <s v="Collected"/>
    <m/>
    <x v="1"/>
  </r>
  <r>
    <x v="2"/>
    <x v="3"/>
    <x v="8"/>
    <s v="Eb Games Hurstville"/>
    <n v="499"/>
    <n v="499"/>
    <s v="Collected"/>
    <m/>
    <x v="1"/>
  </r>
  <r>
    <x v="2"/>
    <x v="6"/>
    <x v="0"/>
    <s v="Officeworks Hurstville"/>
    <n v="398"/>
    <n v="1592"/>
    <s v="Collected"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d v="2025-12-04T00:00:00"/>
    <n v="2"/>
    <x v="0"/>
    <x v="0"/>
    <n v="479"/>
    <n v="958"/>
    <x v="0"/>
    <m/>
    <s v="Order Cancelled Pending Refund"/>
  </r>
  <r>
    <d v="2025-12-08T00:00:00"/>
    <n v="1"/>
    <x v="1"/>
    <x v="0"/>
    <n v="299"/>
    <n v="299"/>
    <x v="1"/>
    <m/>
    <m/>
  </r>
  <r>
    <d v="2025-12-11T00:00:00"/>
    <n v="3"/>
    <x v="1"/>
    <x v="1"/>
    <n v="340"/>
    <n v="1020"/>
    <x v="2"/>
    <m/>
    <m/>
  </r>
  <r>
    <d v="2025-12-19T00:00:00"/>
    <n v="2"/>
    <x v="2"/>
    <x v="2"/>
    <n v="477"/>
    <n v="954"/>
    <x v="3"/>
    <m/>
    <s v="Direct to boot"/>
  </r>
  <r>
    <d v="2025-12-20T00:00:00"/>
    <n v="2"/>
    <x v="3"/>
    <x v="3"/>
    <n v="629"/>
    <n v="1258"/>
    <x v="3"/>
    <m/>
    <m/>
  </r>
  <r>
    <d v="2025-12-20T00:00:00"/>
    <n v="2"/>
    <x v="4"/>
    <x v="3"/>
    <n v="477"/>
    <n v="954"/>
    <x v="3"/>
    <m/>
    <m/>
  </r>
  <r>
    <d v="2025-12-20T00:00:00"/>
    <n v="2"/>
    <x v="4"/>
    <x v="4"/>
    <n v="477"/>
    <n v="954"/>
    <x v="3"/>
    <m/>
    <m/>
  </r>
  <r>
    <d v="2025-12-21T00:00:00"/>
    <n v="2"/>
    <x v="4"/>
    <x v="2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3"/>
    <n v="477"/>
    <n v="954"/>
    <x v="3"/>
    <m/>
    <m/>
  </r>
  <r>
    <d v="2025-12-21T00:00:00"/>
    <n v="2"/>
    <x v="3"/>
    <x v="3"/>
    <n v="629"/>
    <n v="1258"/>
    <x v="3"/>
    <m/>
    <m/>
  </r>
  <r>
    <d v="2025-12-21T00:00:00"/>
    <n v="2"/>
    <x v="4"/>
    <x v="2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6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5"/>
    <x v="3"/>
    <n v="629"/>
    <n v="1258"/>
    <x v="3"/>
    <m/>
    <m/>
  </r>
  <r>
    <d v="2025-12-22T00:00:00"/>
    <n v="2"/>
    <x v="5"/>
    <x v="3"/>
    <n v="629"/>
    <n v="1258"/>
    <x v="3"/>
    <m/>
    <m/>
  </r>
  <r>
    <d v="2025-12-26T00:00:00"/>
    <n v="3"/>
    <x v="6"/>
    <x v="7"/>
    <n v="4400"/>
    <n v="13200"/>
    <x v="3"/>
    <m/>
    <m/>
  </r>
  <r>
    <d v="2025-12-26T00:00:00"/>
    <n v="2"/>
    <x v="7"/>
    <x v="7"/>
    <n v="3250"/>
    <n v="6500"/>
    <x v="3"/>
    <m/>
    <m/>
  </r>
  <r>
    <d v="2025-12-26T00:00:00"/>
    <n v="1"/>
    <x v="6"/>
    <x v="7"/>
    <n v="4400"/>
    <n v="4400"/>
    <x v="3"/>
    <m/>
    <m/>
  </r>
  <r>
    <d v="2025-12-26T00:00:00"/>
    <n v="1"/>
    <x v="7"/>
    <x v="7"/>
    <n v="3250"/>
    <n v="3250"/>
    <x v="3"/>
    <m/>
    <m/>
  </r>
  <r>
    <d v="2025-12-26T00:00:00"/>
    <n v="1"/>
    <x v="6"/>
    <x v="7"/>
    <n v="4400"/>
    <n v="4400"/>
    <x v="3"/>
    <m/>
    <m/>
  </r>
  <r>
    <d v="2025-12-26T00:00:00"/>
    <n v="2"/>
    <x v="7"/>
    <x v="7"/>
    <n v="3250"/>
    <n v="6500"/>
    <x v="3"/>
    <m/>
    <m/>
  </r>
  <r>
    <d v="2025-12-27T00:00:00"/>
    <n v="6"/>
    <x v="8"/>
    <x v="0"/>
    <n v="125"/>
    <n v="750"/>
    <x v="3"/>
    <m/>
    <m/>
  </r>
  <r>
    <d v="2025-12-27T00:00:00"/>
    <n v="3"/>
    <x v="9"/>
    <x v="0"/>
    <n v="419"/>
    <n v="1257"/>
    <x v="3"/>
    <m/>
    <m/>
  </r>
  <r>
    <d v="2025-12-27T00:00:00"/>
    <n v="2"/>
    <x v="10"/>
    <x v="0"/>
    <n v="629"/>
    <n v="1258"/>
    <x v="3"/>
    <m/>
    <m/>
  </r>
  <r>
    <d v="2025-12-28T00:00:00"/>
    <n v="2"/>
    <x v="11"/>
    <x v="8"/>
    <n v="2599"/>
    <n v="5198"/>
    <x v="4"/>
    <m/>
    <s v="10% Gift Card"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9A7FA-A501-4B9D-A191-67DABC1501A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45" firstHeaderRow="1" firstDataRow="1" firstDataCol="1"/>
  <pivotFields count="9">
    <pivotField showAll="0"/>
    <pivotField dataField="1" showAll="0"/>
    <pivotField axis="axisRow" showAll="0">
      <items count="14">
        <item x="6"/>
        <item x="7"/>
        <item x="9"/>
        <item x="11"/>
        <item x="8"/>
        <item x="0"/>
        <item x="10"/>
        <item x="4"/>
        <item x="5"/>
        <item x="2"/>
        <item x="3"/>
        <item x="1"/>
        <item x="12"/>
        <item t="default"/>
      </items>
    </pivotField>
    <pivotField axis="axisRow" showAll="0">
      <items count="12">
        <item x="5"/>
        <item x="2"/>
        <item x="6"/>
        <item x="4"/>
        <item m="1" x="10"/>
        <item x="3"/>
        <item x="7"/>
        <item x="0"/>
        <item x="1"/>
        <item x="8"/>
        <item h="1" x="9"/>
        <item t="default"/>
      </items>
    </pivotField>
    <pivotField showAll="0"/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</pivotFields>
  <rowFields count="3">
    <field x="3"/>
    <field x="2"/>
    <field x="6"/>
  </rowFields>
  <rowItems count="44">
    <i>
      <x/>
    </i>
    <i r="1">
      <x v="7"/>
    </i>
    <i r="2">
      <x/>
    </i>
    <i>
      <x v="1"/>
    </i>
    <i r="1">
      <x v="7"/>
    </i>
    <i r="2">
      <x/>
    </i>
    <i r="1">
      <x v="9"/>
    </i>
    <i r="2">
      <x/>
    </i>
    <i>
      <x v="2"/>
    </i>
    <i r="1">
      <x v="7"/>
    </i>
    <i r="2">
      <x/>
    </i>
    <i>
      <x v="3"/>
    </i>
    <i r="1">
      <x v="7"/>
    </i>
    <i r="2">
      <x/>
    </i>
    <i>
      <x v="5"/>
    </i>
    <i r="1">
      <x v="7"/>
    </i>
    <i r="2">
      <x/>
    </i>
    <i r="1">
      <x v="8"/>
    </i>
    <i r="2">
      <x/>
    </i>
    <i r="1">
      <x v="10"/>
    </i>
    <i r="2">
      <x/>
    </i>
    <i>
      <x v="6"/>
    </i>
    <i r="1">
      <x/>
    </i>
    <i r="2">
      <x/>
    </i>
    <i r="1">
      <x v="1"/>
    </i>
    <i r="2">
      <x/>
    </i>
    <i>
      <x v="7"/>
    </i>
    <i r="1">
      <x v="2"/>
    </i>
    <i r="2">
      <x/>
    </i>
    <i r="1">
      <x v="4"/>
    </i>
    <i r="2">
      <x/>
    </i>
    <i r="1">
      <x v="5"/>
    </i>
    <i r="2">
      <x v="2"/>
    </i>
    <i r="1">
      <x v="6"/>
    </i>
    <i r="2">
      <x/>
    </i>
    <i r="1">
      <x v="11"/>
    </i>
    <i r="2">
      <x v="4"/>
    </i>
    <i>
      <x v="8"/>
    </i>
    <i r="1">
      <x v="11"/>
    </i>
    <i r="2">
      <x v="3"/>
    </i>
    <i>
      <x v="9"/>
    </i>
    <i r="1">
      <x v="3"/>
    </i>
    <i r="2">
      <x v="1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5" x14ac:dyDescent="0.25"/>
  <cols>
    <col min="1" max="1" width="14.7109375" bestFit="1" customWidth="1"/>
    <col min="2" max="2" width="18.5703125" bestFit="1" customWidth="1"/>
    <col min="3" max="3" width="16.140625" bestFit="1" customWidth="1"/>
    <col min="4" max="4" width="19.85546875" bestFit="1" customWidth="1"/>
    <col min="5" max="5" width="10.5703125" bestFit="1" customWidth="1"/>
    <col min="6" max="6" width="25.85546875" bestFit="1" customWidth="1"/>
  </cols>
  <sheetData>
    <row r="1" spans="1:6" x14ac:dyDescent="0.25">
      <c r="A1" t="s">
        <v>54</v>
      </c>
    </row>
    <row r="2" spans="1:6" x14ac:dyDescent="0.25">
      <c r="A2" t="s">
        <v>47</v>
      </c>
      <c r="B2" t="s">
        <v>48</v>
      </c>
      <c r="F2" t="s">
        <v>53</v>
      </c>
    </row>
    <row r="3" spans="1:6" x14ac:dyDescent="0.25">
      <c r="A3">
        <v>2</v>
      </c>
      <c r="B3" t="s">
        <v>46</v>
      </c>
      <c r="C3" t="s">
        <v>38</v>
      </c>
      <c r="F3" t="s">
        <v>51</v>
      </c>
    </row>
    <row r="4" spans="1:6" x14ac:dyDescent="0.25">
      <c r="A4">
        <v>6</v>
      </c>
      <c r="B4" t="s">
        <v>45</v>
      </c>
      <c r="C4" t="s">
        <v>38</v>
      </c>
      <c r="F4" t="s">
        <v>52</v>
      </c>
    </row>
    <row r="5" spans="1:6" x14ac:dyDescent="0.25">
      <c r="A5">
        <v>4</v>
      </c>
      <c r="B5" t="s">
        <v>44</v>
      </c>
      <c r="C5" t="s">
        <v>38</v>
      </c>
    </row>
    <row r="6" spans="1:6" x14ac:dyDescent="0.25">
      <c r="A6">
        <v>4</v>
      </c>
      <c r="B6" t="s">
        <v>43</v>
      </c>
      <c r="C6" t="s">
        <v>38</v>
      </c>
    </row>
    <row r="7" spans="1:6" x14ac:dyDescent="0.25">
      <c r="A7">
        <v>2</v>
      </c>
      <c r="B7" t="s">
        <v>42</v>
      </c>
      <c r="C7" t="s">
        <v>40</v>
      </c>
    </row>
    <row r="8" spans="1:6" x14ac:dyDescent="0.25">
      <c r="A8">
        <v>1</v>
      </c>
      <c r="B8" t="s">
        <v>41</v>
      </c>
      <c r="C8" t="s">
        <v>40</v>
      </c>
    </row>
    <row r="9" spans="1:6" x14ac:dyDescent="0.25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25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25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25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25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25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25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25">
      <c r="A17" s="6">
        <v>45381</v>
      </c>
    </row>
    <row r="18" spans="1:6" x14ac:dyDescent="0.25">
      <c r="A18">
        <v>4</v>
      </c>
      <c r="B18" t="s">
        <v>45</v>
      </c>
      <c r="C18" t="s">
        <v>38</v>
      </c>
    </row>
    <row r="19" spans="1:6" x14ac:dyDescent="0.25">
      <c r="A19">
        <v>4</v>
      </c>
      <c r="B19" t="s">
        <v>44</v>
      </c>
      <c r="C19" t="s">
        <v>38</v>
      </c>
    </row>
    <row r="20" spans="1:6" x14ac:dyDescent="0.25">
      <c r="A20">
        <v>4</v>
      </c>
      <c r="B20" t="s">
        <v>43</v>
      </c>
      <c r="C20" t="s">
        <v>38</v>
      </c>
    </row>
    <row r="21" spans="1:6" x14ac:dyDescent="0.25">
      <c r="A21">
        <v>2</v>
      </c>
      <c r="B21" t="s">
        <v>42</v>
      </c>
      <c r="C21" t="s">
        <v>40</v>
      </c>
    </row>
    <row r="22" spans="1:6" x14ac:dyDescent="0.25">
      <c r="A22">
        <v>1</v>
      </c>
      <c r="B22" t="s">
        <v>41</v>
      </c>
      <c r="C22" t="s">
        <v>40</v>
      </c>
    </row>
    <row r="23" spans="1:6" x14ac:dyDescent="0.25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25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25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25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25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25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25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5" x14ac:dyDescent="0.25"/>
  <cols>
    <col min="1" max="1" width="10.5703125" bestFit="1" customWidth="1"/>
    <col min="3" max="3" width="30.28515625" bestFit="1" customWidth="1"/>
    <col min="4" max="4" width="25" bestFit="1" customWidth="1"/>
    <col min="5" max="5" width="9" bestFit="1" customWidth="1"/>
    <col min="6" max="6" width="10" bestFit="1" customWidth="1"/>
    <col min="7" max="7" width="31.5703125" bestFit="1" customWidth="1"/>
    <col min="9" max="9" width="36.28515625" bestFit="1" customWidth="1"/>
    <col min="10" max="10" width="10.42578125" bestFit="1" customWidth="1"/>
  </cols>
  <sheetData>
    <row r="1" spans="1:10" x14ac:dyDescent="0.25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25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25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25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25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25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25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25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25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25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25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25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25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25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25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25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25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25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25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25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25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25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25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25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25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25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25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25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25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25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25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25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25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25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25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25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25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25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25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5" x14ac:dyDescent="0.25"/>
  <cols>
    <col min="1" max="1" width="9.5703125" bestFit="1" customWidth="1"/>
    <col min="3" max="3" width="28.7109375" bestFit="1" customWidth="1"/>
    <col min="4" max="4" width="20.7109375" bestFit="1" customWidth="1"/>
    <col min="7" max="7" width="14.42578125" bestFit="1" customWidth="1"/>
    <col min="8" max="8" width="9.5703125" bestFit="1" customWidth="1"/>
    <col min="9" max="9" width="22.28515625" bestFit="1" customWidth="1"/>
  </cols>
  <sheetData>
    <row r="1" spans="1:11" x14ac:dyDescent="0.25">
      <c r="B1" s="159">
        <v>45746</v>
      </c>
      <c r="C1" s="159"/>
      <c r="D1" s="159"/>
      <c r="E1" s="159"/>
      <c r="F1" s="159"/>
      <c r="G1" s="159"/>
    </row>
    <row r="2" spans="1:11" x14ac:dyDescent="0.25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25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160">
        <v>125</v>
      </c>
    </row>
    <row r="4" spans="1:11" x14ac:dyDescent="0.25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160"/>
    </row>
    <row r="5" spans="1:11" x14ac:dyDescent="0.25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25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25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25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25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5" x14ac:dyDescent="0.25"/>
  <cols>
    <col min="1" max="1" width="10.5703125" bestFit="1" customWidth="1"/>
    <col min="3" max="3" width="35.7109375" bestFit="1" customWidth="1"/>
    <col min="4" max="4" width="25.28515625" bestFit="1" customWidth="1"/>
    <col min="6" max="6" width="10" bestFit="1" customWidth="1"/>
    <col min="7" max="7" width="35.28515625" bestFit="1" customWidth="1"/>
    <col min="8" max="8" width="30.7109375" bestFit="1" customWidth="1"/>
    <col min="9" max="9" width="10" bestFit="1" customWidth="1"/>
    <col min="10" max="10" width="22" bestFit="1" customWidth="1"/>
    <col min="11" max="11" width="34.85546875" bestFit="1" customWidth="1"/>
    <col min="12" max="12" width="17.85546875" bestFit="1" customWidth="1"/>
    <col min="13" max="13" width="12" bestFit="1" customWidth="1"/>
    <col min="14" max="16" width="11.140625" bestFit="1" customWidth="1"/>
    <col min="17" max="17" width="12" bestFit="1" customWidth="1"/>
    <col min="18" max="21" width="11.140625" bestFit="1" customWidth="1"/>
    <col min="22" max="22" width="15.7109375" bestFit="1" customWidth="1"/>
    <col min="23" max="23" width="17" bestFit="1" customWidth="1"/>
  </cols>
  <sheetData>
    <row r="1" spans="1:2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25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25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25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25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25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25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25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25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25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25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25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25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25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25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25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25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25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25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25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25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25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25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25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25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25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25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25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25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25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25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25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25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25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25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25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25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25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25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25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25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25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25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25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25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25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25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25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25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25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25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25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25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25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25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25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25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25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25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25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25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25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25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25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25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25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25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25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25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25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25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25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25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25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25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25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25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25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25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25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25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25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25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25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25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25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25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25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25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25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25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25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25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25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25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25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25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25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25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25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25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25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25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25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25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25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25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25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25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25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25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25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25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25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25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25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25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25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25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25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25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25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25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25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25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25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25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25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25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25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25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25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25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25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25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25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25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25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25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25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25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25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25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25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25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25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25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25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25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25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25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25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25">
      <c r="A153" s="2"/>
      <c r="B153" s="2"/>
      <c r="C153" s="2"/>
      <c r="D153" s="2"/>
      <c r="E153" s="2"/>
      <c r="F153" s="2"/>
      <c r="G153" s="2"/>
      <c r="H153" s="2"/>
    </row>
    <row r="154" spans="1:10" x14ac:dyDescent="0.25">
      <c r="A154" s="2"/>
      <c r="B154" s="2"/>
      <c r="C154" s="2"/>
      <c r="D154" s="2"/>
      <c r="E154" s="2"/>
      <c r="F154" s="2"/>
      <c r="G154" s="2"/>
      <c r="H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25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25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25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25">
      <c r="A159" s="2"/>
      <c r="B159" s="2"/>
      <c r="C159" s="2"/>
      <c r="D159" s="2"/>
      <c r="E159" s="2"/>
      <c r="F159" s="2"/>
      <c r="G159" s="2"/>
      <c r="H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</row>
    <row r="161" spans="1:8" x14ac:dyDescent="0.25">
      <c r="A161" s="2"/>
      <c r="B161" s="2"/>
      <c r="C161" s="2"/>
      <c r="D161" s="2"/>
      <c r="E161" s="2"/>
      <c r="F161" s="2"/>
      <c r="G161" s="2"/>
      <c r="H161" s="2"/>
    </row>
    <row r="162" spans="1:8" x14ac:dyDescent="0.25">
      <c r="A162" s="2"/>
      <c r="B162" s="2"/>
      <c r="C162" s="2"/>
      <c r="D162" s="2"/>
      <c r="E162" s="2"/>
      <c r="F162" s="2"/>
      <c r="G162" s="2"/>
      <c r="H162" s="2"/>
    </row>
    <row r="163" spans="1:8" x14ac:dyDescent="0.25">
      <c r="A163" s="2"/>
      <c r="B163" s="2"/>
      <c r="C163" s="2"/>
      <c r="D163" s="2"/>
      <c r="E163" s="2"/>
      <c r="F163" s="2"/>
      <c r="G163" s="2"/>
      <c r="H163" s="2"/>
    </row>
    <row r="164" spans="1:8" x14ac:dyDescent="0.25">
      <c r="A164" s="2"/>
      <c r="B164" s="2"/>
      <c r="C164" s="2"/>
      <c r="D164" s="2"/>
      <c r="E164" s="2"/>
      <c r="F164" s="2"/>
      <c r="G164" s="2"/>
      <c r="H164" s="2"/>
    </row>
    <row r="165" spans="1:8" x14ac:dyDescent="0.25">
      <c r="A165" s="2"/>
      <c r="B165" s="2"/>
      <c r="C165" s="2"/>
      <c r="D165" s="2"/>
      <c r="E165" s="2"/>
      <c r="F165" s="2"/>
      <c r="G165" s="2"/>
      <c r="H165" s="2"/>
    </row>
    <row r="166" spans="1:8" x14ac:dyDescent="0.25">
      <c r="A166" s="2"/>
      <c r="B166" s="2"/>
      <c r="C166" s="2"/>
      <c r="D166" s="2"/>
      <c r="E166" s="2"/>
      <c r="F166" s="2"/>
      <c r="G166" s="2"/>
      <c r="H166" s="2"/>
    </row>
    <row r="167" spans="1:8" x14ac:dyDescent="0.25">
      <c r="A167" s="2"/>
      <c r="B167" s="2"/>
      <c r="C167" s="2"/>
      <c r="D167" s="2"/>
      <c r="E167" s="2"/>
      <c r="F167" s="2"/>
      <c r="G167" s="2"/>
      <c r="H167" s="2"/>
    </row>
    <row r="168" spans="1:8" x14ac:dyDescent="0.25">
      <c r="A168" s="2"/>
      <c r="B168" s="2"/>
      <c r="C168" s="2"/>
      <c r="D168" s="2"/>
      <c r="E168" s="2"/>
      <c r="F168" s="2"/>
      <c r="G168" s="2"/>
      <c r="H168" s="2"/>
    </row>
    <row r="169" spans="1:8" x14ac:dyDescent="0.25">
      <c r="A169" s="2"/>
      <c r="B169" s="2"/>
      <c r="C169" s="2"/>
      <c r="D169" s="2"/>
      <c r="E169" s="2"/>
      <c r="F169" s="2"/>
      <c r="G169" s="2"/>
      <c r="H169" s="2"/>
    </row>
    <row r="170" spans="1:8" x14ac:dyDescent="0.25">
      <c r="A170" s="2"/>
      <c r="B170" s="2"/>
      <c r="C170" s="2"/>
      <c r="D170" s="2"/>
      <c r="E170" s="2"/>
      <c r="F170" s="2"/>
      <c r="G170" s="2"/>
      <c r="H170" s="2"/>
    </row>
    <row r="171" spans="1:8" x14ac:dyDescent="0.25">
      <c r="A171" s="2"/>
      <c r="B171" s="2"/>
      <c r="C171" s="2"/>
      <c r="D171" s="2"/>
      <c r="E171" s="2"/>
      <c r="F171" s="2"/>
      <c r="G171" s="2"/>
      <c r="H171" s="2"/>
    </row>
    <row r="172" spans="1:8" x14ac:dyDescent="0.25">
      <c r="A172" s="2"/>
      <c r="B172" s="2"/>
      <c r="C172" s="2"/>
      <c r="D172" s="2"/>
      <c r="E172" s="2"/>
      <c r="F172" s="2"/>
      <c r="G172" s="2"/>
      <c r="H172" s="2"/>
    </row>
    <row r="173" spans="1:8" x14ac:dyDescent="0.25">
      <c r="A173" s="2"/>
      <c r="B173" s="2"/>
      <c r="C173" s="2"/>
      <c r="D173" s="2"/>
      <c r="E173" s="2"/>
      <c r="F173" s="2"/>
      <c r="G173" s="2"/>
      <c r="H173" s="2"/>
    </row>
    <row r="174" spans="1:8" x14ac:dyDescent="0.25">
      <c r="A174" s="2"/>
      <c r="B174" s="2"/>
      <c r="C174" s="2"/>
      <c r="D174" s="2"/>
      <c r="E174" s="2"/>
      <c r="F174" s="2"/>
      <c r="G174" s="2"/>
      <c r="H174" s="2"/>
    </row>
    <row r="175" spans="1:8" x14ac:dyDescent="0.25">
      <c r="A175" s="2"/>
      <c r="B175" s="2"/>
      <c r="C175" s="2"/>
      <c r="D175" s="2"/>
      <c r="E175" s="2"/>
      <c r="F175" s="2"/>
      <c r="G175" s="2"/>
      <c r="H175" s="2"/>
    </row>
    <row r="176" spans="1:8" x14ac:dyDescent="0.25">
      <c r="A176" s="2"/>
      <c r="B176" s="2"/>
      <c r="C176" s="2"/>
      <c r="D176" s="2"/>
      <c r="E176" s="2"/>
      <c r="F176" s="2"/>
      <c r="G176" s="2"/>
      <c r="H176" s="2"/>
    </row>
    <row r="177" spans="1:8" x14ac:dyDescent="0.25">
      <c r="A177" s="2"/>
      <c r="B177" s="2"/>
      <c r="C177" s="2"/>
      <c r="D177" s="2"/>
      <c r="E177" s="2"/>
      <c r="F177" s="2"/>
      <c r="G177" s="2"/>
      <c r="H177" s="2"/>
    </row>
    <row r="178" spans="1:8" x14ac:dyDescent="0.25">
      <c r="A178" s="2"/>
      <c r="B178" s="2"/>
      <c r="C178" s="2"/>
      <c r="D178" s="2"/>
      <c r="E178" s="2"/>
      <c r="F178" s="2"/>
      <c r="G178" s="2"/>
      <c r="H178" s="2"/>
    </row>
    <row r="179" spans="1:8" x14ac:dyDescent="0.25">
      <c r="A179" s="2"/>
      <c r="B179" s="2"/>
      <c r="C179" s="2"/>
      <c r="D179" s="2"/>
      <c r="E179" s="2"/>
      <c r="F179" s="2"/>
      <c r="G179" s="2"/>
      <c r="H179" s="2"/>
    </row>
    <row r="180" spans="1:8" x14ac:dyDescent="0.25">
      <c r="A180" s="2"/>
      <c r="B180" s="2"/>
      <c r="C180" s="2"/>
      <c r="D180" s="2"/>
      <c r="E180" s="2"/>
      <c r="F180" s="2"/>
      <c r="G180" s="2"/>
      <c r="H180" s="2"/>
    </row>
    <row r="181" spans="1:8" x14ac:dyDescent="0.25">
      <c r="A181" s="2"/>
      <c r="B181" s="2"/>
      <c r="C181" s="2"/>
      <c r="D181" s="2"/>
      <c r="E181" s="2"/>
      <c r="F181" s="2"/>
      <c r="G181" s="2"/>
      <c r="H181" s="2"/>
    </row>
    <row r="182" spans="1:8" x14ac:dyDescent="0.25">
      <c r="A182" s="2"/>
      <c r="B182" s="2"/>
      <c r="C182" s="2"/>
      <c r="D182" s="2"/>
      <c r="E182" s="2"/>
      <c r="F182" s="2"/>
      <c r="G182" s="2"/>
      <c r="H182" s="2"/>
    </row>
    <row r="183" spans="1:8" x14ac:dyDescent="0.25">
      <c r="A183" s="2"/>
      <c r="B183" s="2"/>
      <c r="C183" s="2"/>
      <c r="D183" s="2"/>
      <c r="E183" s="2"/>
      <c r="F183" s="2"/>
      <c r="G183" s="2"/>
      <c r="H183" s="2"/>
    </row>
    <row r="184" spans="1:8" x14ac:dyDescent="0.25">
      <c r="A184" s="2"/>
      <c r="B184" s="2"/>
      <c r="C184" s="2"/>
      <c r="D184" s="2"/>
      <c r="E184" s="2"/>
      <c r="F184" s="2"/>
      <c r="G184" s="2"/>
      <c r="H184" s="2"/>
    </row>
    <row r="185" spans="1:8" x14ac:dyDescent="0.25">
      <c r="A185" s="2"/>
      <c r="B185" s="2"/>
      <c r="C185" s="2"/>
      <c r="D185" s="2"/>
      <c r="E185" s="2"/>
      <c r="F185" s="2"/>
      <c r="G185" s="2"/>
      <c r="H185" s="2"/>
    </row>
    <row r="186" spans="1:8" x14ac:dyDescent="0.25">
      <c r="A186" s="2"/>
      <c r="B186" s="2"/>
      <c r="C186" s="2"/>
      <c r="D186" s="2"/>
      <c r="E186" s="2"/>
      <c r="F186" s="2"/>
      <c r="G186" s="2"/>
      <c r="H186" s="2"/>
    </row>
    <row r="187" spans="1:8" x14ac:dyDescent="0.25">
      <c r="A187" s="2"/>
      <c r="B187" s="2"/>
      <c r="C187" s="2"/>
      <c r="D187" s="2"/>
      <c r="E187" s="2"/>
      <c r="F187" s="2"/>
      <c r="G187" s="2"/>
      <c r="H187" s="2"/>
    </row>
    <row r="188" spans="1:8" x14ac:dyDescent="0.25">
      <c r="A188" s="2"/>
      <c r="B188" s="2"/>
      <c r="C188" s="2"/>
      <c r="D188" s="2"/>
      <c r="E188" s="2"/>
      <c r="F188" s="2"/>
      <c r="G188" s="2"/>
      <c r="H188" s="2"/>
    </row>
    <row r="189" spans="1:8" x14ac:dyDescent="0.25">
      <c r="A189" s="2"/>
      <c r="B189" s="2"/>
      <c r="C189" s="2"/>
      <c r="D189" s="2"/>
      <c r="E189" s="2"/>
      <c r="F189" s="2"/>
      <c r="G189" s="2"/>
      <c r="H189" s="2"/>
    </row>
    <row r="190" spans="1:8" x14ac:dyDescent="0.25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5" x14ac:dyDescent="0.25"/>
  <cols>
    <col min="1" max="1" width="10.5703125" bestFit="1" customWidth="1"/>
    <col min="3" max="3" width="27.7109375" bestFit="1" customWidth="1"/>
    <col min="4" max="4" width="23.7109375" bestFit="1" customWidth="1"/>
    <col min="5" max="5" width="9" bestFit="1" customWidth="1"/>
    <col min="6" max="6" width="10" bestFit="1" customWidth="1"/>
    <col min="7" max="7" width="16.140625" bestFit="1" customWidth="1"/>
    <col min="8" max="8" width="19.140625" bestFit="1" customWidth="1"/>
    <col min="14" max="14" width="10.57031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25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25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25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25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25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25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25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25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25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25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25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25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25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25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25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161" t="s">
        <v>330</v>
      </c>
      <c r="O16">
        <v>6250</v>
      </c>
    </row>
    <row r="17" spans="1:15" x14ac:dyDescent="0.25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161"/>
      <c r="O17">
        <v>9000</v>
      </c>
    </row>
    <row r="18" spans="1:15" x14ac:dyDescent="0.25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161"/>
      <c r="O18">
        <v>9000</v>
      </c>
    </row>
    <row r="19" spans="1:15" x14ac:dyDescent="0.25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161"/>
      <c r="O19">
        <v>9000</v>
      </c>
    </row>
    <row r="20" spans="1:15" x14ac:dyDescent="0.25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25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25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25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25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25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25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25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5" x14ac:dyDescent="0.25"/>
  <cols>
    <col min="1" max="1" width="19.7109375" bestFit="1" customWidth="1"/>
    <col min="2" max="2" width="10.42578125" bestFit="1" customWidth="1"/>
  </cols>
  <sheetData>
    <row r="1" spans="1:2" x14ac:dyDescent="0.25">
      <c r="A1" s="52" t="s">
        <v>367</v>
      </c>
      <c r="B1" s="52" t="s">
        <v>0</v>
      </c>
    </row>
    <row r="2" spans="1:2" x14ac:dyDescent="0.25">
      <c r="A2" s="14" t="s">
        <v>323</v>
      </c>
      <c r="B2">
        <v>13</v>
      </c>
    </row>
    <row r="3" spans="1:2" x14ac:dyDescent="0.25">
      <c r="A3" s="14" t="s">
        <v>317</v>
      </c>
      <c r="B3">
        <v>73</v>
      </c>
    </row>
    <row r="4" spans="1:2" x14ac:dyDescent="0.25">
      <c r="A4" s="14" t="s">
        <v>353</v>
      </c>
      <c r="B4">
        <v>6</v>
      </c>
    </row>
    <row r="5" spans="1:2" x14ac:dyDescent="0.25">
      <c r="A5" s="14" t="s">
        <v>354</v>
      </c>
      <c r="B5">
        <v>6</v>
      </c>
    </row>
    <row r="6" spans="1:2" x14ac:dyDescent="0.25">
      <c r="A6" s="14" t="s">
        <v>351</v>
      </c>
      <c r="B6">
        <v>11</v>
      </c>
    </row>
    <row r="7" spans="1:2" x14ac:dyDescent="0.25">
      <c r="A7" s="14" t="s">
        <v>352</v>
      </c>
      <c r="B7">
        <v>8</v>
      </c>
    </row>
    <row r="8" spans="1:2" x14ac:dyDescent="0.25">
      <c r="A8" s="14" t="s">
        <v>350</v>
      </c>
      <c r="B8">
        <v>3</v>
      </c>
    </row>
    <row r="9" spans="1:2" x14ac:dyDescent="0.25">
      <c r="A9" s="14" t="s">
        <v>334</v>
      </c>
      <c r="B9">
        <v>6</v>
      </c>
    </row>
    <row r="10" spans="1:2" x14ac:dyDescent="0.25">
      <c r="A10" s="14" t="s">
        <v>356</v>
      </c>
      <c r="B10">
        <v>38</v>
      </c>
    </row>
    <row r="11" spans="1:2" x14ac:dyDescent="0.25">
      <c r="A11" s="14" t="s">
        <v>357</v>
      </c>
      <c r="B11">
        <v>1</v>
      </c>
    </row>
    <row r="12" spans="1:2" x14ac:dyDescent="0.25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5" x14ac:dyDescent="0.25"/>
  <cols>
    <col min="1" max="1" width="17.85546875" bestFit="1" customWidth="1"/>
  </cols>
  <sheetData>
    <row r="1" spans="1:13" x14ac:dyDescent="0.25">
      <c r="A1" s="2" t="s">
        <v>1</v>
      </c>
      <c r="B1" s="2" t="s">
        <v>0</v>
      </c>
      <c r="M1">
        <v>3</v>
      </c>
    </row>
    <row r="2" spans="1:13" x14ac:dyDescent="0.25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25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25">
      <c r="A4" s="2" t="s">
        <v>339</v>
      </c>
      <c r="B4" s="18">
        <v>8</v>
      </c>
      <c r="C4">
        <v>4</v>
      </c>
      <c r="M4">
        <v>2</v>
      </c>
    </row>
    <row r="5" spans="1:13" x14ac:dyDescent="0.25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25">
      <c r="A6" s="2" t="s">
        <v>341</v>
      </c>
      <c r="B6" s="2">
        <v>1</v>
      </c>
      <c r="M6">
        <v>1</v>
      </c>
    </row>
    <row r="7" spans="1:13" x14ac:dyDescent="0.25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25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25">
      <c r="A9" s="2" t="s">
        <v>343</v>
      </c>
      <c r="B9" s="2">
        <v>4</v>
      </c>
      <c r="M9">
        <v>2</v>
      </c>
    </row>
    <row r="10" spans="1:13" x14ac:dyDescent="0.25">
      <c r="A10" s="2" t="s">
        <v>345</v>
      </c>
      <c r="B10" s="2">
        <v>48</v>
      </c>
      <c r="C10">
        <v>20</v>
      </c>
      <c r="M10">
        <v>2</v>
      </c>
    </row>
    <row r="11" spans="1:13" x14ac:dyDescent="0.25">
      <c r="A11" s="2" t="s">
        <v>165</v>
      </c>
      <c r="B11" s="2">
        <v>3</v>
      </c>
      <c r="C11">
        <v>1</v>
      </c>
      <c r="M11">
        <v>8</v>
      </c>
    </row>
    <row r="12" spans="1:13" x14ac:dyDescent="0.25">
      <c r="A12" s="2" t="s">
        <v>183</v>
      </c>
      <c r="B12" s="2">
        <v>26</v>
      </c>
      <c r="M12">
        <v>2</v>
      </c>
    </row>
    <row r="13" spans="1:13" x14ac:dyDescent="0.25">
      <c r="M13">
        <v>3</v>
      </c>
    </row>
    <row r="14" spans="1:13" x14ac:dyDescent="0.25">
      <c r="M14">
        <v>4</v>
      </c>
    </row>
    <row r="15" spans="1:13" x14ac:dyDescent="0.25">
      <c r="M15">
        <v>1</v>
      </c>
    </row>
    <row r="16" spans="1:13" x14ac:dyDescent="0.25">
      <c r="M16">
        <v>4</v>
      </c>
    </row>
    <row r="17" spans="1:13" x14ac:dyDescent="0.25">
      <c r="M17">
        <v>2</v>
      </c>
    </row>
    <row r="18" spans="1:13" x14ac:dyDescent="0.25">
      <c r="M18">
        <v>4</v>
      </c>
    </row>
    <row r="19" spans="1:13" x14ac:dyDescent="0.25">
      <c r="A19" t="s">
        <v>183</v>
      </c>
      <c r="B19">
        <v>26</v>
      </c>
      <c r="M19">
        <v>2</v>
      </c>
    </row>
    <row r="20" spans="1:13" x14ac:dyDescent="0.25">
      <c r="A20" t="s">
        <v>346</v>
      </c>
      <c r="B20">
        <v>14</v>
      </c>
      <c r="M20">
        <v>2</v>
      </c>
    </row>
    <row r="21" spans="1:13" x14ac:dyDescent="0.25">
      <c r="A21" t="s">
        <v>347</v>
      </c>
      <c r="B21">
        <v>154</v>
      </c>
      <c r="M21">
        <v>2</v>
      </c>
    </row>
    <row r="22" spans="1:13" x14ac:dyDescent="0.25">
      <c r="M22">
        <v>11</v>
      </c>
    </row>
    <row r="23" spans="1:13" x14ac:dyDescent="0.25">
      <c r="M23">
        <v>14</v>
      </c>
    </row>
    <row r="24" spans="1:13" x14ac:dyDescent="0.25">
      <c r="M24">
        <v>2</v>
      </c>
    </row>
    <row r="25" spans="1:13" x14ac:dyDescent="0.25">
      <c r="M25">
        <v>28</v>
      </c>
    </row>
    <row r="26" spans="1:13" x14ac:dyDescent="0.25">
      <c r="M26">
        <v>20</v>
      </c>
    </row>
    <row r="27" spans="1:13" x14ac:dyDescent="0.25">
      <c r="M27">
        <v>2</v>
      </c>
    </row>
    <row r="28" spans="1:13" x14ac:dyDescent="0.25">
      <c r="M28">
        <v>4</v>
      </c>
    </row>
    <row r="29" spans="1:13" x14ac:dyDescent="0.25">
      <c r="M29">
        <v>12</v>
      </c>
    </row>
    <row r="30" spans="1:13" x14ac:dyDescent="0.25">
      <c r="M30">
        <v>4</v>
      </c>
    </row>
    <row r="31" spans="1:13" x14ac:dyDescent="0.25">
      <c r="M31">
        <v>3</v>
      </c>
    </row>
    <row r="32" spans="1:13" x14ac:dyDescent="0.25">
      <c r="M32">
        <v>1</v>
      </c>
    </row>
    <row r="33" spans="13:13" x14ac:dyDescent="0.25">
      <c r="M33">
        <v>26</v>
      </c>
    </row>
    <row r="34" spans="13:13" x14ac:dyDescent="0.25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5" x14ac:dyDescent="0.25"/>
  <cols>
    <col min="1" max="1" width="10.5703125" bestFit="1" customWidth="1"/>
    <col min="3" max="3" width="32" bestFit="1" customWidth="1"/>
    <col min="5" max="5" width="31.5703125" bestFit="1" customWidth="1"/>
    <col min="6" max="6" width="10" bestFit="1" customWidth="1"/>
    <col min="7" max="7" width="18.85546875" bestFit="1" customWidth="1"/>
    <col min="8" max="8" width="10.28515625" bestFit="1" customWidth="1"/>
  </cols>
  <sheetData>
    <row r="1" spans="1:12" x14ac:dyDescent="0.25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25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162">
        <v>95960</v>
      </c>
    </row>
    <row r="3" spans="1:12" x14ac:dyDescent="0.25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162"/>
    </row>
    <row r="4" spans="1:12" x14ac:dyDescent="0.25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25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25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25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25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25">
      <c r="C9" s="2"/>
      <c r="D9" s="2"/>
      <c r="E9" s="2" t="s">
        <v>260</v>
      </c>
      <c r="F9" s="2"/>
      <c r="G9" s="2"/>
      <c r="H9" s="18">
        <v>157</v>
      </c>
    </row>
    <row r="10" spans="1:12" x14ac:dyDescent="0.25">
      <c r="E10" s="22" t="s">
        <v>290</v>
      </c>
      <c r="F10">
        <v>520</v>
      </c>
      <c r="G10">
        <v>1560</v>
      </c>
      <c r="H10" s="22">
        <v>1560</v>
      </c>
    </row>
    <row r="11" spans="1:12" x14ac:dyDescent="0.25">
      <c r="E11" t="s">
        <v>288</v>
      </c>
    </row>
    <row r="15" spans="1:12" x14ac:dyDescent="0.25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25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25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25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25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5" x14ac:dyDescent="0.25"/>
  <cols>
    <col min="1" max="1" width="10.5703125" bestFit="1" customWidth="1"/>
    <col min="3" max="3" width="20" bestFit="1" customWidth="1"/>
    <col min="4" max="4" width="22.7109375" bestFit="1" customWidth="1"/>
    <col min="6" max="6" width="10" bestFit="1" customWidth="1"/>
    <col min="7" max="7" width="16.140625" bestFit="1" customWidth="1"/>
    <col min="8" max="8" width="13.7109375" bestFit="1" customWidth="1"/>
    <col min="12" max="12" width="24.140625" bestFit="1" customWidth="1"/>
    <col min="13" max="13" width="11.5703125" bestFit="1" customWidth="1"/>
  </cols>
  <sheetData>
    <row r="1" spans="1:1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25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25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25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25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25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25">
      <c r="L7" s="74" t="s">
        <v>352</v>
      </c>
      <c r="M7">
        <v>3750</v>
      </c>
    </row>
    <row r="8" spans="1:13" x14ac:dyDescent="0.25">
      <c r="L8" s="14">
        <v>8</v>
      </c>
      <c r="M8">
        <v>6635</v>
      </c>
    </row>
    <row r="9" spans="1:13" x14ac:dyDescent="0.25">
      <c r="L9" s="74" t="s">
        <v>508</v>
      </c>
      <c r="M9">
        <v>3750</v>
      </c>
    </row>
    <row r="10" spans="1:13" x14ac:dyDescent="0.25">
      <c r="L10" s="74" t="s">
        <v>351</v>
      </c>
      <c r="M10">
        <v>2885</v>
      </c>
    </row>
    <row r="11" spans="1:13" x14ac:dyDescent="0.25">
      <c r="L11" s="14" t="s">
        <v>80</v>
      </c>
      <c r="M11">
        <v>13544</v>
      </c>
    </row>
    <row r="16" spans="1:13" x14ac:dyDescent="0.25">
      <c r="F16">
        <v>84235</v>
      </c>
    </row>
    <row r="17" spans="6:6" x14ac:dyDescent="0.25">
      <c r="F17">
        <f>F16*10%</f>
        <v>8423.5</v>
      </c>
    </row>
    <row r="18" spans="6:6" x14ac:dyDescent="0.25">
      <c r="F18">
        <v>9000</v>
      </c>
    </row>
    <row r="19" spans="6:6" x14ac:dyDescent="0.25">
      <c r="F19">
        <f>F17+F18</f>
        <v>17423.5</v>
      </c>
    </row>
    <row r="20" spans="6:6" x14ac:dyDescent="0.25">
      <c r="F20">
        <v>6000</v>
      </c>
    </row>
    <row r="21" spans="6:6" x14ac:dyDescent="0.25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5" x14ac:dyDescent="0.25"/>
  <cols>
    <col min="2" max="2" width="32.7109375" bestFit="1" customWidth="1"/>
  </cols>
  <sheetData>
    <row r="1" spans="2:7" x14ac:dyDescent="0.25">
      <c r="B1" s="44" t="s">
        <v>662</v>
      </c>
      <c r="C1" s="44" t="s">
        <v>0</v>
      </c>
    </row>
    <row r="2" spans="2:7" x14ac:dyDescent="0.25">
      <c r="B2" s="2" t="s">
        <v>658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25">
      <c r="B3" s="2" t="s">
        <v>659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25">
      <c r="B4" s="2" t="s">
        <v>660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25">
      <c r="B5" s="2" t="s">
        <v>661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25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25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25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25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25">
      <c r="B10" s="2" t="s">
        <v>657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25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5" x14ac:dyDescent="0.25"/>
  <cols>
    <col min="1" max="1" width="20" bestFit="1" customWidth="1"/>
    <col min="2" max="2" width="25.7109375" bestFit="1" customWidth="1"/>
    <col min="5" max="5" width="24.7109375" bestFit="1" customWidth="1"/>
    <col min="6" max="6" width="10.42578125" bestFit="1" customWidth="1"/>
  </cols>
  <sheetData>
    <row r="1" spans="1:6" x14ac:dyDescent="0.25">
      <c r="A1" t="s">
        <v>0</v>
      </c>
      <c r="B1" t="s">
        <v>159</v>
      </c>
      <c r="E1" s="13" t="s">
        <v>1</v>
      </c>
      <c r="F1" t="s">
        <v>81</v>
      </c>
    </row>
    <row r="2" spans="1:6" x14ac:dyDescent="0.25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25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25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25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25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25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25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25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25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25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25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25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25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25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25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25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25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25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25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25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25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25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25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25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25">
      <c r="A26">
        <v>1</v>
      </c>
      <c r="B26" t="s">
        <v>171</v>
      </c>
      <c r="C26">
        <v>6</v>
      </c>
    </row>
    <row r="27" spans="1:6" x14ac:dyDescent="0.25">
      <c r="A27">
        <v>1</v>
      </c>
      <c r="B27" t="s">
        <v>173</v>
      </c>
      <c r="C27">
        <v>6</v>
      </c>
    </row>
    <row r="28" spans="1:6" x14ac:dyDescent="0.25">
      <c r="A28">
        <v>2</v>
      </c>
      <c r="B28" t="s">
        <v>174</v>
      </c>
      <c r="C28">
        <v>7</v>
      </c>
    </row>
    <row r="29" spans="1:6" x14ac:dyDescent="0.25">
      <c r="A29">
        <v>1</v>
      </c>
      <c r="B29" t="s">
        <v>175</v>
      </c>
      <c r="C29">
        <v>7</v>
      </c>
    </row>
    <row r="30" spans="1:6" x14ac:dyDescent="0.25">
      <c r="A30">
        <v>2</v>
      </c>
      <c r="B30" t="s">
        <v>176</v>
      </c>
      <c r="C30">
        <v>8</v>
      </c>
    </row>
    <row r="31" spans="1:6" x14ac:dyDescent="0.25">
      <c r="A31">
        <v>3</v>
      </c>
      <c r="B31" t="s">
        <v>174</v>
      </c>
      <c r="C31">
        <v>8</v>
      </c>
    </row>
    <row r="32" spans="1:6" x14ac:dyDescent="0.25">
      <c r="A32">
        <v>1</v>
      </c>
      <c r="B32" t="s">
        <v>177</v>
      </c>
      <c r="C32">
        <v>8</v>
      </c>
    </row>
    <row r="33" spans="1:3" x14ac:dyDescent="0.25">
      <c r="A33">
        <v>2</v>
      </c>
      <c r="B33" t="s">
        <v>168</v>
      </c>
      <c r="C33">
        <v>8</v>
      </c>
    </row>
    <row r="34" spans="1:3" x14ac:dyDescent="0.25">
      <c r="A34">
        <v>5</v>
      </c>
      <c r="B34" t="s">
        <v>160</v>
      </c>
      <c r="C34">
        <v>9</v>
      </c>
    </row>
    <row r="35" spans="1:3" x14ac:dyDescent="0.25">
      <c r="A35">
        <v>1</v>
      </c>
      <c r="B35" t="s">
        <v>178</v>
      </c>
      <c r="C35">
        <v>9</v>
      </c>
    </row>
    <row r="36" spans="1:3" x14ac:dyDescent="0.25">
      <c r="A36">
        <v>1</v>
      </c>
      <c r="B36" t="s">
        <v>179</v>
      </c>
      <c r="C36">
        <v>10</v>
      </c>
    </row>
    <row r="37" spans="1:3" x14ac:dyDescent="0.25">
      <c r="A37">
        <v>1</v>
      </c>
      <c r="B37" t="s">
        <v>172</v>
      </c>
      <c r="C37">
        <v>10</v>
      </c>
    </row>
    <row r="38" spans="1:3" x14ac:dyDescent="0.25">
      <c r="A38">
        <v>1</v>
      </c>
      <c r="B38" t="s">
        <v>180</v>
      </c>
      <c r="C38">
        <v>10</v>
      </c>
    </row>
    <row r="39" spans="1:3" x14ac:dyDescent="0.25">
      <c r="A39">
        <v>2</v>
      </c>
      <c r="B39" t="s">
        <v>160</v>
      </c>
      <c r="C39" t="s">
        <v>181</v>
      </c>
    </row>
    <row r="40" spans="1:3" x14ac:dyDescent="0.25">
      <c r="A40">
        <v>6</v>
      </c>
      <c r="B40" t="s">
        <v>182</v>
      </c>
      <c r="C40">
        <v>11</v>
      </c>
    </row>
    <row r="41" spans="1:3" x14ac:dyDescent="0.25">
      <c r="A41">
        <v>33</v>
      </c>
      <c r="B41" t="s">
        <v>183</v>
      </c>
      <c r="C41" t="s">
        <v>185</v>
      </c>
    </row>
    <row r="42" spans="1:3" x14ac:dyDescent="0.25">
      <c r="A42">
        <v>6</v>
      </c>
      <c r="B42" t="s">
        <v>183</v>
      </c>
      <c r="C42" t="s">
        <v>184</v>
      </c>
    </row>
    <row r="43" spans="1:3" x14ac:dyDescent="0.25">
      <c r="A43">
        <v>8</v>
      </c>
      <c r="B43" t="s">
        <v>183</v>
      </c>
    </row>
    <row r="44" spans="1:3" x14ac:dyDescent="0.25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5" x14ac:dyDescent="0.25"/>
  <cols>
    <col min="2" max="2" width="24.7109375" bestFit="1" customWidth="1"/>
    <col min="8" max="8" width="24.7109375" bestFit="1" customWidth="1"/>
    <col min="9" max="9" width="10" bestFit="1" customWidth="1"/>
    <col min="10" max="10" width="10" customWidth="1"/>
  </cols>
  <sheetData>
    <row r="1" spans="1:14" x14ac:dyDescent="0.25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25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25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25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25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25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25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25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25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25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25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25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25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25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25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25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25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25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25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25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25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25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25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25">
      <c r="A24">
        <v>2</v>
      </c>
      <c r="B24" t="s">
        <v>264</v>
      </c>
      <c r="C24">
        <v>9</v>
      </c>
    </row>
    <row r="25" spans="1:14" x14ac:dyDescent="0.25">
      <c r="A25">
        <v>2</v>
      </c>
      <c r="B25" t="s">
        <v>264</v>
      </c>
      <c r="C25">
        <v>10</v>
      </c>
    </row>
    <row r="26" spans="1:14" x14ac:dyDescent="0.25">
      <c r="A26">
        <v>1</v>
      </c>
      <c r="B26" t="s">
        <v>160</v>
      </c>
      <c r="C26">
        <v>10</v>
      </c>
    </row>
    <row r="27" spans="1:14" x14ac:dyDescent="0.25">
      <c r="A27">
        <v>1</v>
      </c>
      <c r="B27" t="s">
        <v>161</v>
      </c>
      <c r="C27">
        <v>10</v>
      </c>
    </row>
    <row r="28" spans="1:14" x14ac:dyDescent="0.25">
      <c r="A28">
        <v>5</v>
      </c>
      <c r="B28" t="s">
        <v>161</v>
      </c>
      <c r="C28">
        <v>11</v>
      </c>
    </row>
    <row r="29" spans="1:14" x14ac:dyDescent="0.25">
      <c r="A29">
        <v>4</v>
      </c>
      <c r="B29" t="s">
        <v>265</v>
      </c>
      <c r="C29">
        <v>11</v>
      </c>
    </row>
    <row r="30" spans="1:14" x14ac:dyDescent="0.25">
      <c r="A30">
        <v>5</v>
      </c>
      <c r="B30" t="s">
        <v>225</v>
      </c>
      <c r="C30">
        <v>11</v>
      </c>
    </row>
    <row r="31" spans="1:14" x14ac:dyDescent="0.25">
      <c r="A31">
        <v>1</v>
      </c>
      <c r="B31" t="s">
        <v>263</v>
      </c>
      <c r="C31">
        <v>11</v>
      </c>
    </row>
    <row r="32" spans="1:14" x14ac:dyDescent="0.25">
      <c r="A32">
        <v>2</v>
      </c>
      <c r="B32" t="s">
        <v>170</v>
      </c>
      <c r="C32">
        <v>11</v>
      </c>
    </row>
    <row r="33" spans="1:3" x14ac:dyDescent="0.25">
      <c r="A33">
        <v>1</v>
      </c>
      <c r="B33" t="s">
        <v>269</v>
      </c>
      <c r="C33">
        <v>11</v>
      </c>
    </row>
    <row r="34" spans="1:3" x14ac:dyDescent="0.25">
      <c r="A34">
        <v>2</v>
      </c>
      <c r="B34" t="s">
        <v>161</v>
      </c>
      <c r="C34">
        <v>12</v>
      </c>
    </row>
    <row r="35" spans="1:3" x14ac:dyDescent="0.25">
      <c r="A35">
        <v>1</v>
      </c>
      <c r="B35" t="s">
        <v>265</v>
      </c>
      <c r="C35">
        <v>13</v>
      </c>
    </row>
    <row r="36" spans="1:3" x14ac:dyDescent="0.25">
      <c r="A36">
        <v>2</v>
      </c>
      <c r="B36" t="s">
        <v>161</v>
      </c>
      <c r="C36">
        <v>13</v>
      </c>
    </row>
    <row r="37" spans="1:3" x14ac:dyDescent="0.25">
      <c r="A37">
        <v>5</v>
      </c>
      <c r="B37" t="s">
        <v>268</v>
      </c>
      <c r="C37">
        <v>13</v>
      </c>
    </row>
    <row r="38" spans="1:3" x14ac:dyDescent="0.25">
      <c r="A38">
        <v>5</v>
      </c>
      <c r="B38" t="s">
        <v>161</v>
      </c>
      <c r="C38">
        <v>14</v>
      </c>
    </row>
    <row r="39" spans="1:3" x14ac:dyDescent="0.25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5" x14ac:dyDescent="0.25"/>
  <cols>
    <col min="1" max="1" width="10.7109375" bestFit="1" customWidth="1"/>
    <col min="3" max="3" width="26.7109375" bestFit="1" customWidth="1"/>
    <col min="4" max="4" width="22.7109375" bestFit="1" customWidth="1"/>
    <col min="5" max="5" width="9" bestFit="1" customWidth="1"/>
    <col min="6" max="6" width="11" bestFit="1" customWidth="1"/>
    <col min="7" max="7" width="12.7109375" bestFit="1" customWidth="1"/>
    <col min="8" max="8" width="13.7109375" bestFit="1" customWidth="1"/>
    <col min="10" max="10" width="10.2851562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25">
      <c r="A1" s="163" t="s">
        <v>299</v>
      </c>
      <c r="B1" s="163"/>
      <c r="C1" s="163"/>
      <c r="D1" s="163"/>
      <c r="E1" s="163"/>
      <c r="F1" s="163"/>
      <c r="G1" s="163"/>
      <c r="H1" s="163"/>
      <c r="I1" s="2"/>
      <c r="J1" s="2"/>
    </row>
    <row r="2" spans="1:17" x14ac:dyDescent="0.25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25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25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25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25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25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25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25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25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25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25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25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25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25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25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25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25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25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25">
      <c r="F20" s="43">
        <f t="shared" si="8"/>
        <v>0</v>
      </c>
      <c r="O20">
        <v>120000</v>
      </c>
    </row>
    <row r="21" spans="1:15" x14ac:dyDescent="0.25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25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topLeftCell="A20" workbookViewId="0">
      <selection activeCell="A43" sqref="A43:G43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7109375" bestFit="1" customWidth="1"/>
    <col min="5" max="5" width="9" style="60" bestFit="1" customWidth="1"/>
    <col min="6" max="6" width="11" style="60" bestFit="1" customWidth="1"/>
    <col min="7" max="7" width="23.85546875" bestFit="1" customWidth="1"/>
    <col min="8" max="8" width="22.28515625" bestFit="1" customWidth="1"/>
    <col min="10" max="10" width="10.28515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25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25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25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25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25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25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25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25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25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25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25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25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25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25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25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25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25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25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25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25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25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25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25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25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25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25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25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25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25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25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25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25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25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25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25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25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25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164" t="s">
        <v>471</v>
      </c>
      <c r="H38" s="10" t="s">
        <v>470</v>
      </c>
      <c r="I38" s="2"/>
    </row>
    <row r="39" spans="1:9" x14ac:dyDescent="0.25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164"/>
      <c r="H39" s="10" t="s">
        <v>470</v>
      </c>
      <c r="I39" s="2"/>
    </row>
    <row r="40" spans="1:9" x14ac:dyDescent="0.25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164"/>
      <c r="H40" s="10" t="s">
        <v>470</v>
      </c>
      <c r="I40" s="2"/>
    </row>
    <row r="41" spans="1:9" x14ac:dyDescent="0.25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25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25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25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C27" sqref="C27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5703125" bestFit="1" customWidth="1"/>
    <col min="5" max="5" width="9" bestFit="1" customWidth="1"/>
    <col min="6" max="6" width="10" bestFit="1" customWidth="1"/>
    <col min="7" max="7" width="17.5703125" bestFit="1" customWidth="1"/>
    <col min="8" max="8" width="15" bestFit="1" customWidth="1"/>
    <col min="9" max="9" width="21.8554687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25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25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25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25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25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25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25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25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25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25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25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25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25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25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25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25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25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25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25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25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25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25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25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C18" sqref="C18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18.7109375" bestFit="1" customWidth="1"/>
    <col min="4" max="4" width="15.28515625" bestFit="1" customWidth="1"/>
    <col min="5" max="5" width="9" bestFit="1" customWidth="1"/>
    <col min="6" max="6" width="11" bestFit="1" customWidth="1"/>
    <col min="7" max="7" width="18.710937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25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25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25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25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25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25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25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25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25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1:E16"/>
  <sheetViews>
    <sheetView workbookViewId="0">
      <selection activeCell="H14" sqref="H14"/>
    </sheetView>
  </sheetViews>
  <sheetFormatPr defaultRowHeight="15" x14ac:dyDescent="0.25"/>
  <cols>
    <col min="1" max="1" width="8.5703125" customWidth="1"/>
    <col min="2" max="2" width="24" customWidth="1"/>
    <col min="3" max="3" width="22.5703125" customWidth="1"/>
    <col min="4" max="4" width="7.42578125" bestFit="1" customWidth="1"/>
    <col min="5" max="5" width="6" bestFit="1" customWidth="1"/>
  </cols>
  <sheetData>
    <row r="1" spans="1:5" x14ac:dyDescent="0.25">
      <c r="A1" s="2" t="s">
        <v>65</v>
      </c>
      <c r="B1" s="2" t="s">
        <v>159</v>
      </c>
      <c r="C1" s="2" t="s">
        <v>1233</v>
      </c>
      <c r="D1" s="2" t="s">
        <v>773</v>
      </c>
      <c r="E1" s="2" t="s">
        <v>787</v>
      </c>
    </row>
    <row r="2" spans="1:5" x14ac:dyDescent="0.25">
      <c r="A2" s="68">
        <v>46142</v>
      </c>
      <c r="B2" s="2" t="s">
        <v>1231</v>
      </c>
      <c r="C2" s="2" t="s">
        <v>777</v>
      </c>
      <c r="D2" s="2">
        <v>5000</v>
      </c>
      <c r="E2" s="2"/>
    </row>
    <row r="3" spans="1:5" x14ac:dyDescent="0.25">
      <c r="A3" s="68">
        <v>46148</v>
      </c>
      <c r="B3" s="2" t="s">
        <v>1234</v>
      </c>
      <c r="C3" s="2" t="s">
        <v>1232</v>
      </c>
      <c r="D3" s="2">
        <v>850</v>
      </c>
      <c r="E3" s="2"/>
    </row>
    <row r="4" spans="1:5" x14ac:dyDescent="0.25">
      <c r="A4" s="68">
        <v>46153</v>
      </c>
      <c r="B4" s="2" t="s">
        <v>1252</v>
      </c>
      <c r="C4" s="2" t="s">
        <v>777</v>
      </c>
      <c r="D4" s="2">
        <v>1000</v>
      </c>
      <c r="E4" s="2"/>
    </row>
    <row r="5" spans="1:5" x14ac:dyDescent="0.25">
      <c r="A5" s="2"/>
      <c r="B5" s="2" t="s">
        <v>1175</v>
      </c>
      <c r="C5" s="2" t="s">
        <v>1273</v>
      </c>
      <c r="D5" s="2">
        <v>450</v>
      </c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5" x14ac:dyDescent="0.25"/>
  <cols>
    <col min="1" max="1" width="10.5703125" bestFit="1" customWidth="1"/>
    <col min="3" max="3" width="19.7109375" bestFit="1" customWidth="1"/>
    <col min="4" max="4" width="23.7109375" bestFit="1" customWidth="1"/>
    <col min="6" max="6" width="10" bestFit="1" customWidth="1"/>
    <col min="7" max="7" width="28.28515625" bestFit="1" customWidth="1"/>
    <col min="8" max="8" width="27.140625" bestFit="1" customWidth="1"/>
    <col min="9" max="9" width="19.1406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25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25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25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25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25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25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25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25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25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25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25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25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25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25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25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25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25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25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25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25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25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25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25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25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25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25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25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2" workbookViewId="0">
      <selection activeCell="D49" sqref="D49"/>
    </sheetView>
  </sheetViews>
  <sheetFormatPr defaultRowHeight="15" x14ac:dyDescent="0.25"/>
  <cols>
    <col min="1" max="1" width="11.5703125" bestFit="1" customWidth="1"/>
    <col min="2" max="2" width="12" bestFit="1" customWidth="1"/>
    <col min="3" max="3" width="26.42578125" bestFit="1" customWidth="1"/>
    <col min="4" max="4" width="30.7109375" bestFit="1" customWidth="1"/>
    <col min="5" max="5" width="8.85546875" style="60"/>
    <col min="6" max="6" width="15.85546875" style="60" bestFit="1" customWidth="1"/>
    <col min="7" max="7" width="33.28515625" bestFit="1" customWidth="1"/>
    <col min="8" max="8" width="20.7109375" bestFit="1" customWidth="1"/>
  </cols>
  <sheetData>
    <row r="1" spans="1: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25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25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25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25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25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25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25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25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25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25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25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25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25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25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25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25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25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25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25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25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25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25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25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25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25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25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25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25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25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25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25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25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25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25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25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25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25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25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25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25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25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25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25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25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8" zoomScaleNormal="100" workbookViewId="0">
      <selection activeCell="D49" sqref="D49"/>
    </sheetView>
  </sheetViews>
  <sheetFormatPr defaultRowHeight="15" x14ac:dyDescent="0.25"/>
  <cols>
    <col min="1" max="1" width="10.5703125" bestFit="1" customWidth="1"/>
    <col min="3" max="3" width="26.7109375" bestFit="1" customWidth="1"/>
    <col min="4" max="4" width="29.7109375" bestFit="1" customWidth="1"/>
    <col min="5" max="5" width="10" style="60" bestFit="1" customWidth="1"/>
    <col min="6" max="6" width="10" bestFit="1" customWidth="1"/>
    <col min="7" max="7" width="26.140625" bestFit="1" customWidth="1"/>
    <col min="8" max="8" width="13.5703125" bestFit="1" customWidth="1"/>
    <col min="10" max="10" width="10.28515625" bestFit="1" customWidth="1"/>
    <col min="11" max="11" width="19.140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25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25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25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25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25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25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25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25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25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25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25">
      <c r="A12" s="49">
        <v>45860</v>
      </c>
      <c r="B12" s="10">
        <v>4</v>
      </c>
      <c r="C12" s="10" t="s">
        <v>419</v>
      </c>
      <c r="D12" s="10" t="s">
        <v>424</v>
      </c>
      <c r="E12" s="165">
        <v>400</v>
      </c>
      <c r="F12" s="50">
        <v>400</v>
      </c>
      <c r="G12" s="10" t="s">
        <v>565</v>
      </c>
      <c r="H12" s="2"/>
    </row>
    <row r="13" spans="1:13" x14ac:dyDescent="0.25">
      <c r="A13" s="49">
        <v>45860</v>
      </c>
      <c r="B13" s="10">
        <v>4</v>
      </c>
      <c r="C13" s="10" t="s">
        <v>425</v>
      </c>
      <c r="D13" s="10" t="s">
        <v>424</v>
      </c>
      <c r="E13" s="165"/>
      <c r="F13" s="50">
        <f t="shared" si="0"/>
        <v>0</v>
      </c>
      <c r="G13" s="10" t="s">
        <v>565</v>
      </c>
      <c r="H13" s="2"/>
    </row>
    <row r="14" spans="1:13" x14ac:dyDescent="0.25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25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25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25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25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25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25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25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25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25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25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25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25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25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25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25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25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25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25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25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25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25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25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25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25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25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25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25">
      <c r="C42" s="2"/>
      <c r="D42" s="2"/>
    </row>
    <row r="43" spans="1:8" x14ac:dyDescent="0.25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3" workbookViewId="0">
      <selection activeCell="D49" sqref="D49"/>
    </sheetView>
  </sheetViews>
  <sheetFormatPr defaultRowHeight="15" x14ac:dyDescent="0.25"/>
  <cols>
    <col min="1" max="2" width="10.5703125" bestFit="1" customWidth="1"/>
    <col min="3" max="3" width="33" bestFit="1" customWidth="1"/>
    <col min="4" max="4" width="31.140625" bestFit="1" customWidth="1"/>
    <col min="5" max="5" width="7.5703125" customWidth="1"/>
    <col min="6" max="6" width="10" customWidth="1"/>
    <col min="7" max="7" width="34" bestFit="1" customWidth="1"/>
    <col min="8" max="8" width="10.5703125" customWidth="1"/>
    <col min="9" max="9" width="18.28515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25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25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25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25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25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25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25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25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25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25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25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25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25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25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25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25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25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25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25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25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25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25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25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25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25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25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25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25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25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25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25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25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25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workbookViewId="0">
      <selection activeCell="D48" sqref="D48"/>
    </sheetView>
  </sheetViews>
  <sheetFormatPr defaultRowHeight="15" x14ac:dyDescent="0.25"/>
  <cols>
    <col min="1" max="1" width="10.5703125" bestFit="1" customWidth="1"/>
    <col min="2" max="2" width="8.42578125" bestFit="1" customWidth="1"/>
    <col min="3" max="3" width="32.7109375" bestFit="1" customWidth="1"/>
    <col min="4" max="4" width="29" bestFit="1" customWidth="1"/>
    <col min="5" max="5" width="9" bestFit="1" customWidth="1"/>
    <col min="6" max="6" width="10" bestFit="1" customWidth="1"/>
    <col min="7" max="7" width="19.140625" bestFit="1" customWidth="1"/>
    <col min="8" max="8" width="15.140625" bestFit="1" customWidth="1"/>
    <col min="9" max="9" width="17.5703125" bestFit="1" customWidth="1"/>
  </cols>
  <sheetData>
    <row r="1" spans="1:9" x14ac:dyDescent="0.25">
      <c r="A1" s="44" t="e" cm="1">
        <f t="array" ref="A1">A1:G28Date</f>
        <v>#NAME?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25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25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25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25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25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25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25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25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25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25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25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25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25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25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25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25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25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25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25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25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25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25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25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25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690</v>
      </c>
    </row>
    <row r="26" spans="1:9" x14ac:dyDescent="0.25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690</v>
      </c>
    </row>
    <row r="27" spans="1:9" x14ac:dyDescent="0.25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690</v>
      </c>
    </row>
    <row r="28" spans="1:9" x14ac:dyDescent="0.25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690</v>
      </c>
    </row>
    <row r="29" spans="1:9" x14ac:dyDescent="0.25">
      <c r="A29" s="68"/>
      <c r="B29" s="2"/>
      <c r="C29" s="2"/>
      <c r="D29" s="2"/>
      <c r="E29" s="65"/>
      <c r="F29" s="65"/>
      <c r="G29" s="2"/>
      <c r="H29" s="2"/>
      <c r="I29" s="2"/>
    </row>
  </sheetData>
  <autoFilter ref="A1:I28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topLeftCell="A121" workbookViewId="0">
      <selection activeCell="G18" sqref="G18"/>
    </sheetView>
  </sheetViews>
  <sheetFormatPr defaultRowHeight="15" x14ac:dyDescent="0.25"/>
  <cols>
    <col min="1" max="1" width="7" bestFit="1" customWidth="1"/>
    <col min="2" max="2" width="8.42578125" bestFit="1" customWidth="1"/>
    <col min="3" max="3" width="32.7109375" bestFit="1" customWidth="1"/>
    <col min="4" max="4" width="23.7109375" bestFit="1" customWidth="1"/>
    <col min="5" max="6" width="10" style="60" bestFit="1" customWidth="1"/>
    <col min="7" max="7" width="31.5703125" bestFit="1" customWidth="1"/>
    <col min="8" max="8" width="12.28515625" bestFit="1" customWidth="1"/>
    <col min="9" max="9" width="22.28515625" bestFit="1" customWidth="1"/>
    <col min="10" max="10" width="13.5703125" bestFit="1" customWidth="1"/>
    <col min="12" max="12" width="22.42578125" hidden="1" customWidth="1"/>
    <col min="13" max="13" width="12.7109375" hidden="1" customWidth="1"/>
    <col min="14" max="15" width="0" hidden="1" customWidth="1"/>
    <col min="16" max="16" width="30" bestFit="1" customWidth="1"/>
    <col min="17" max="17" width="10.42578125" bestFit="1" customWidth="1"/>
    <col min="19" max="19" width="21.42578125" bestFit="1" customWidth="1"/>
    <col min="20" max="20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25">
      <c r="A2" s="68">
        <v>45964</v>
      </c>
      <c r="B2" s="2">
        <v>10</v>
      </c>
      <c r="C2" s="2" t="s">
        <v>647</v>
      </c>
      <c r="D2" s="2" t="s">
        <v>335</v>
      </c>
      <c r="E2" s="3">
        <v>410</v>
      </c>
      <c r="F2" s="3">
        <f>E2*B2</f>
        <v>4100</v>
      </c>
      <c r="G2" s="2" t="s">
        <v>648</v>
      </c>
      <c r="H2" s="68">
        <v>45966</v>
      </c>
      <c r="I2" s="2" t="s">
        <v>824</v>
      </c>
      <c r="L2" s="76" t="s">
        <v>692</v>
      </c>
      <c r="M2" s="77">
        <v>45979</v>
      </c>
      <c r="P2" s="14" t="s">
        <v>768</v>
      </c>
      <c r="Q2">
        <v>8</v>
      </c>
      <c r="S2" s="14" t="s">
        <v>686</v>
      </c>
      <c r="T2">
        <v>37</v>
      </c>
      <c r="W2">
        <v>299</v>
      </c>
    </row>
    <row r="3" spans="1:23" x14ac:dyDescent="0.25">
      <c r="A3" s="68">
        <v>45964</v>
      </c>
      <c r="B3" s="2">
        <v>7</v>
      </c>
      <c r="C3" s="2" t="s">
        <v>723</v>
      </c>
      <c r="D3" s="2" t="s">
        <v>59</v>
      </c>
      <c r="E3" s="3">
        <v>150</v>
      </c>
      <c r="F3" s="3">
        <f>E3*B3</f>
        <v>1050</v>
      </c>
      <c r="G3" s="2" t="s">
        <v>648</v>
      </c>
      <c r="H3" s="68">
        <v>45966</v>
      </c>
      <c r="I3" s="2" t="s">
        <v>824</v>
      </c>
      <c r="L3" s="44"/>
      <c r="M3" s="44"/>
      <c r="P3" s="74" t="s">
        <v>722</v>
      </c>
      <c r="Q3">
        <v>8</v>
      </c>
      <c r="S3" s="74" t="s">
        <v>707</v>
      </c>
      <c r="T3">
        <v>5</v>
      </c>
      <c r="W3">
        <v>821</v>
      </c>
    </row>
    <row r="4" spans="1:23" x14ac:dyDescent="0.25">
      <c r="A4" s="68">
        <v>45963</v>
      </c>
      <c r="B4" s="2">
        <v>4</v>
      </c>
      <c r="C4" s="2" t="s">
        <v>697</v>
      </c>
      <c r="D4" s="2" t="s">
        <v>30</v>
      </c>
      <c r="E4" s="3">
        <v>150</v>
      </c>
      <c r="F4" s="3">
        <f t="shared" ref="F4:F68" si="0">E4*B4</f>
        <v>600</v>
      </c>
      <c r="G4" s="2" t="s">
        <v>649</v>
      </c>
      <c r="H4" s="68">
        <v>45966</v>
      </c>
      <c r="I4" s="2" t="s">
        <v>824</v>
      </c>
      <c r="L4" s="44" t="s">
        <v>1</v>
      </c>
      <c r="M4" s="44" t="s">
        <v>81</v>
      </c>
      <c r="P4" s="14" t="s">
        <v>766</v>
      </c>
      <c r="Q4">
        <v>23</v>
      </c>
      <c r="S4" s="74" t="s">
        <v>183</v>
      </c>
      <c r="T4">
        <v>2</v>
      </c>
      <c r="W4">
        <v>2394</v>
      </c>
    </row>
    <row r="5" spans="1:23" x14ac:dyDescent="0.25">
      <c r="A5" s="68">
        <v>45963</v>
      </c>
      <c r="B5" s="2">
        <v>4</v>
      </c>
      <c r="C5" s="2" t="s">
        <v>723</v>
      </c>
      <c r="D5" s="2" t="s">
        <v>30</v>
      </c>
      <c r="E5" s="3">
        <v>150</v>
      </c>
      <c r="F5" s="3">
        <f t="shared" si="0"/>
        <v>600</v>
      </c>
      <c r="G5" s="2" t="s">
        <v>649</v>
      </c>
      <c r="H5" s="68">
        <v>45966</v>
      </c>
      <c r="I5" s="2" t="s">
        <v>824</v>
      </c>
      <c r="L5" s="2" t="s">
        <v>681</v>
      </c>
      <c r="M5" s="2">
        <v>10</v>
      </c>
      <c r="N5">
        <v>3300</v>
      </c>
      <c r="O5">
        <f>M5*N5</f>
        <v>33000</v>
      </c>
      <c r="P5" s="74" t="s">
        <v>697</v>
      </c>
      <c r="Q5">
        <v>23</v>
      </c>
      <c r="S5" s="74" t="s">
        <v>716</v>
      </c>
      <c r="T5">
        <v>2</v>
      </c>
      <c r="W5">
        <v>958</v>
      </c>
    </row>
    <row r="6" spans="1:23" x14ac:dyDescent="0.25">
      <c r="A6" s="68">
        <v>45965</v>
      </c>
      <c r="B6" s="2">
        <v>20</v>
      </c>
      <c r="C6" s="2" t="s">
        <v>876</v>
      </c>
      <c r="D6" s="2" t="s">
        <v>349</v>
      </c>
      <c r="E6" s="3">
        <v>1063</v>
      </c>
      <c r="F6" s="3">
        <f t="shared" si="0"/>
        <v>21260</v>
      </c>
      <c r="G6" s="2" t="s">
        <v>656</v>
      </c>
      <c r="H6" s="68">
        <v>45966</v>
      </c>
      <c r="I6" s="2" t="s">
        <v>654</v>
      </c>
      <c r="L6" s="2" t="s">
        <v>680</v>
      </c>
      <c r="M6" s="2">
        <v>5</v>
      </c>
      <c r="N6">
        <v>2500</v>
      </c>
      <c r="O6">
        <f t="shared" ref="O6:O11" si="1">M6*N6</f>
        <v>12500</v>
      </c>
      <c r="P6" s="14" t="s">
        <v>783</v>
      </c>
      <c r="Q6">
        <v>7</v>
      </c>
      <c r="S6" s="74" t="s">
        <v>786</v>
      </c>
      <c r="T6">
        <v>1</v>
      </c>
      <c r="W6">
        <v>505</v>
      </c>
    </row>
    <row r="7" spans="1:23" x14ac:dyDescent="0.25">
      <c r="A7" s="68">
        <v>45965</v>
      </c>
      <c r="B7" s="2">
        <v>12</v>
      </c>
      <c r="C7" s="2" t="s">
        <v>653</v>
      </c>
      <c r="D7" s="2" t="s">
        <v>118</v>
      </c>
      <c r="E7" s="3">
        <v>3375</v>
      </c>
      <c r="F7" s="3">
        <f t="shared" si="0"/>
        <v>40500</v>
      </c>
      <c r="G7" s="2" t="s">
        <v>656</v>
      </c>
      <c r="H7" s="68">
        <v>45966</v>
      </c>
      <c r="I7" s="2" t="s">
        <v>824</v>
      </c>
      <c r="L7" s="2" t="s">
        <v>691</v>
      </c>
      <c r="M7" s="2">
        <v>62</v>
      </c>
      <c r="N7">
        <v>410</v>
      </c>
      <c r="O7">
        <f t="shared" si="1"/>
        <v>25420</v>
      </c>
      <c r="P7" s="74" t="s">
        <v>716</v>
      </c>
      <c r="Q7">
        <v>7</v>
      </c>
      <c r="S7" s="74" t="s">
        <v>785</v>
      </c>
      <c r="T7">
        <v>1</v>
      </c>
      <c r="W7">
        <v>1680</v>
      </c>
    </row>
    <row r="8" spans="1:23" x14ac:dyDescent="0.25">
      <c r="A8" s="68">
        <v>45965</v>
      </c>
      <c r="B8" s="2">
        <v>2</v>
      </c>
      <c r="C8" s="2" t="s">
        <v>663</v>
      </c>
      <c r="D8" s="2" t="s">
        <v>118</v>
      </c>
      <c r="E8" s="3">
        <v>88</v>
      </c>
      <c r="F8" s="3">
        <f t="shared" si="0"/>
        <v>176</v>
      </c>
      <c r="G8" s="2" t="s">
        <v>656</v>
      </c>
      <c r="H8" s="68">
        <v>45966</v>
      </c>
      <c r="I8" s="2" t="s">
        <v>655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686</v>
      </c>
      <c r="Q8">
        <v>138</v>
      </c>
      <c r="S8" s="74" t="s">
        <v>664</v>
      </c>
      <c r="T8">
        <v>26</v>
      </c>
      <c r="W8">
        <v>500</v>
      </c>
    </row>
    <row r="9" spans="1:23" x14ac:dyDescent="0.25">
      <c r="A9" s="68">
        <v>45966</v>
      </c>
      <c r="B9" s="2">
        <v>30</v>
      </c>
      <c r="C9" s="2" t="s">
        <v>691</v>
      </c>
      <c r="D9" s="2" t="s">
        <v>335</v>
      </c>
      <c r="E9" s="3">
        <v>410</v>
      </c>
      <c r="F9" s="3">
        <f t="shared" si="0"/>
        <v>12300</v>
      </c>
      <c r="G9" s="2" t="s">
        <v>679</v>
      </c>
      <c r="H9" s="68">
        <v>45979</v>
      </c>
      <c r="I9" s="2" t="s">
        <v>824</v>
      </c>
      <c r="L9" s="2" t="s">
        <v>672</v>
      </c>
      <c r="M9" s="2">
        <v>1</v>
      </c>
      <c r="N9">
        <v>1257</v>
      </c>
      <c r="O9">
        <f t="shared" si="1"/>
        <v>1257</v>
      </c>
      <c r="P9" s="74" t="s">
        <v>691</v>
      </c>
      <c r="Q9">
        <v>1</v>
      </c>
      <c r="S9" s="14" t="s">
        <v>80</v>
      </c>
      <c r="T9">
        <v>37</v>
      </c>
      <c r="W9">
        <v>625</v>
      </c>
    </row>
    <row r="10" spans="1:23" x14ac:dyDescent="0.25">
      <c r="A10" s="68">
        <v>45969</v>
      </c>
      <c r="B10" s="2">
        <v>1</v>
      </c>
      <c r="C10" s="2" t="s">
        <v>664</v>
      </c>
      <c r="D10" s="2" t="s">
        <v>496</v>
      </c>
      <c r="E10" s="3">
        <v>450</v>
      </c>
      <c r="F10" s="3">
        <f t="shared" si="0"/>
        <v>450</v>
      </c>
      <c r="G10" s="2" t="s">
        <v>365</v>
      </c>
      <c r="H10" s="68">
        <v>45979</v>
      </c>
      <c r="I10" s="2" t="s">
        <v>824</v>
      </c>
      <c r="L10" s="2" t="s">
        <v>673</v>
      </c>
      <c r="M10" s="2">
        <v>7</v>
      </c>
      <c r="N10">
        <v>1357</v>
      </c>
      <c r="O10">
        <f t="shared" si="1"/>
        <v>9499</v>
      </c>
      <c r="P10" s="74" t="s">
        <v>697</v>
      </c>
      <c r="Q10">
        <v>16</v>
      </c>
      <c r="W10">
        <v>625</v>
      </c>
    </row>
    <row r="11" spans="1:23" x14ac:dyDescent="0.25">
      <c r="A11" s="68">
        <v>45969</v>
      </c>
      <c r="B11" s="2">
        <v>1</v>
      </c>
      <c r="C11" s="2" t="s">
        <v>664</v>
      </c>
      <c r="D11" s="2" t="s">
        <v>492</v>
      </c>
      <c r="E11" s="3">
        <v>450</v>
      </c>
      <c r="F11" s="3">
        <f t="shared" si="0"/>
        <v>450</v>
      </c>
      <c r="G11" s="2" t="s">
        <v>365</v>
      </c>
      <c r="H11" s="68">
        <v>45979</v>
      </c>
      <c r="I11" s="2" t="s">
        <v>824</v>
      </c>
      <c r="L11" s="2" t="s">
        <v>664</v>
      </c>
      <c r="M11" s="2">
        <v>36</v>
      </c>
      <c r="N11">
        <v>449</v>
      </c>
      <c r="O11">
        <f t="shared" si="1"/>
        <v>16164</v>
      </c>
      <c r="P11" s="74" t="s">
        <v>687</v>
      </c>
      <c r="Q11">
        <v>10</v>
      </c>
      <c r="W11">
        <v>598</v>
      </c>
    </row>
    <row r="12" spans="1:23" x14ac:dyDescent="0.25">
      <c r="A12" s="68">
        <v>45969</v>
      </c>
      <c r="B12" s="2">
        <v>4</v>
      </c>
      <c r="C12" s="2" t="s">
        <v>664</v>
      </c>
      <c r="D12" s="2" t="s">
        <v>493</v>
      </c>
      <c r="E12" s="3">
        <v>450</v>
      </c>
      <c r="F12" s="3">
        <f t="shared" si="0"/>
        <v>1800</v>
      </c>
      <c r="G12" s="2" t="s">
        <v>365</v>
      </c>
      <c r="H12" s="68">
        <v>45979</v>
      </c>
      <c r="I12" s="2" t="s">
        <v>824</v>
      </c>
      <c r="L12" s="2" t="s">
        <v>80</v>
      </c>
      <c r="M12" s="2">
        <v>128</v>
      </c>
      <c r="O12">
        <f>SUM(O5:O11)</f>
        <v>104840</v>
      </c>
      <c r="P12" s="74" t="s">
        <v>762</v>
      </c>
      <c r="Q12">
        <v>1</v>
      </c>
    </row>
    <row r="13" spans="1:23" x14ac:dyDescent="0.25">
      <c r="A13" s="68">
        <v>45969</v>
      </c>
      <c r="B13" s="2">
        <v>5</v>
      </c>
      <c r="C13" s="2" t="s">
        <v>664</v>
      </c>
      <c r="D13" s="2" t="s">
        <v>665</v>
      </c>
      <c r="E13" s="3">
        <v>450</v>
      </c>
      <c r="F13" s="3">
        <f t="shared" si="0"/>
        <v>2250</v>
      </c>
      <c r="G13" s="2" t="s">
        <v>365</v>
      </c>
      <c r="H13" s="68">
        <v>45979</v>
      </c>
      <c r="I13" s="2" t="s">
        <v>824</v>
      </c>
      <c r="P13" s="74" t="s">
        <v>647</v>
      </c>
      <c r="Q13">
        <v>19</v>
      </c>
    </row>
    <row r="14" spans="1:23" x14ac:dyDescent="0.25">
      <c r="A14" s="68">
        <v>45969</v>
      </c>
      <c r="B14" s="2">
        <v>11</v>
      </c>
      <c r="C14" s="2" t="s">
        <v>664</v>
      </c>
      <c r="D14" s="2" t="s">
        <v>494</v>
      </c>
      <c r="E14" s="3">
        <v>450</v>
      </c>
      <c r="F14" s="3">
        <f t="shared" si="0"/>
        <v>4950</v>
      </c>
      <c r="G14" s="2" t="s">
        <v>365</v>
      </c>
      <c r="H14" s="68">
        <v>45979</v>
      </c>
      <c r="I14" s="2" t="s">
        <v>824</v>
      </c>
      <c r="P14" s="74" t="s">
        <v>746</v>
      </c>
      <c r="Q14">
        <v>3</v>
      </c>
    </row>
    <row r="15" spans="1:23" x14ac:dyDescent="0.25">
      <c r="A15" s="68">
        <v>45970</v>
      </c>
      <c r="B15" s="2">
        <v>10</v>
      </c>
      <c r="C15" s="2" t="s">
        <v>664</v>
      </c>
      <c r="D15" s="2" t="s">
        <v>501</v>
      </c>
      <c r="E15" s="3">
        <v>450</v>
      </c>
      <c r="F15" s="3">
        <f t="shared" si="0"/>
        <v>4500</v>
      </c>
      <c r="G15" s="2" t="s">
        <v>365</v>
      </c>
      <c r="H15" s="68">
        <v>45979</v>
      </c>
      <c r="I15" s="2" t="s">
        <v>824</v>
      </c>
      <c r="P15" s="74" t="s">
        <v>716</v>
      </c>
      <c r="Q15">
        <v>9</v>
      </c>
      <c r="W15">
        <v>800</v>
      </c>
    </row>
    <row r="16" spans="1:23" x14ac:dyDescent="0.25">
      <c r="A16" s="68">
        <v>45970</v>
      </c>
      <c r="B16" s="2">
        <v>1</v>
      </c>
      <c r="C16" s="2" t="s">
        <v>725</v>
      </c>
      <c r="D16" s="2" t="s">
        <v>120</v>
      </c>
      <c r="E16" s="3">
        <v>1358</v>
      </c>
      <c r="F16" s="3">
        <f t="shared" si="0"/>
        <v>1358</v>
      </c>
      <c r="G16" s="2" t="s">
        <v>365</v>
      </c>
      <c r="H16" s="68">
        <v>45979</v>
      </c>
      <c r="I16" s="2" t="s">
        <v>115</v>
      </c>
      <c r="P16" s="74" t="s">
        <v>711</v>
      </c>
      <c r="Q16">
        <v>3</v>
      </c>
      <c r="W16">
        <v>796</v>
      </c>
    </row>
    <row r="17" spans="1:23" x14ac:dyDescent="0.25">
      <c r="A17" s="68">
        <v>45970</v>
      </c>
      <c r="B17" s="2">
        <v>2</v>
      </c>
      <c r="C17" s="2" t="s">
        <v>726</v>
      </c>
      <c r="D17" s="2" t="s">
        <v>674</v>
      </c>
      <c r="E17" s="3">
        <v>1403</v>
      </c>
      <c r="F17" s="3">
        <f t="shared" si="0"/>
        <v>2806</v>
      </c>
      <c r="G17" s="2" t="s">
        <v>365</v>
      </c>
      <c r="H17" s="68">
        <v>45979</v>
      </c>
      <c r="I17" s="2" t="s">
        <v>824</v>
      </c>
      <c r="P17" s="74" t="s">
        <v>747</v>
      </c>
      <c r="Q17">
        <v>7</v>
      </c>
      <c r="W17">
        <v>499</v>
      </c>
    </row>
    <row r="18" spans="1:23" x14ac:dyDescent="0.25">
      <c r="A18" s="68">
        <v>45970</v>
      </c>
      <c r="B18" s="2">
        <v>1</v>
      </c>
      <c r="C18" s="2" t="s">
        <v>664</v>
      </c>
      <c r="D18" s="2" t="s">
        <v>674</v>
      </c>
      <c r="E18" s="3">
        <v>474</v>
      </c>
      <c r="F18" s="3">
        <f t="shared" si="0"/>
        <v>474</v>
      </c>
      <c r="G18" s="2" t="s">
        <v>365</v>
      </c>
      <c r="H18" s="68">
        <v>45979</v>
      </c>
      <c r="I18" s="2" t="s">
        <v>824</v>
      </c>
      <c r="P18" s="74" t="s">
        <v>664</v>
      </c>
      <c r="Q18">
        <v>69</v>
      </c>
      <c r="W18">
        <v>598</v>
      </c>
    </row>
    <row r="19" spans="1:23" x14ac:dyDescent="0.25">
      <c r="A19" s="68">
        <v>45970</v>
      </c>
      <c r="B19" s="2">
        <v>1</v>
      </c>
      <c r="C19" s="2" t="s">
        <v>726</v>
      </c>
      <c r="D19" s="2" t="s">
        <v>19</v>
      </c>
      <c r="E19" s="3">
        <v>1403</v>
      </c>
      <c r="F19" s="3">
        <f t="shared" si="0"/>
        <v>1403</v>
      </c>
      <c r="G19" s="2" t="s">
        <v>8</v>
      </c>
      <c r="H19" s="68">
        <v>45979</v>
      </c>
      <c r="I19" s="2" t="s">
        <v>824</v>
      </c>
      <c r="P19" s="14" t="s">
        <v>80</v>
      </c>
      <c r="Q19">
        <v>176</v>
      </c>
      <c r="W19">
        <v>958</v>
      </c>
    </row>
    <row r="20" spans="1:23" x14ac:dyDescent="0.25">
      <c r="A20" s="68">
        <v>45970</v>
      </c>
      <c r="B20" s="2">
        <v>1</v>
      </c>
      <c r="C20" s="2" t="s">
        <v>726</v>
      </c>
      <c r="D20" s="2" t="s">
        <v>19</v>
      </c>
      <c r="E20" s="3">
        <v>1403</v>
      </c>
      <c r="F20" s="3">
        <f t="shared" si="0"/>
        <v>1403</v>
      </c>
      <c r="G20" s="2" t="s">
        <v>683</v>
      </c>
      <c r="H20" s="68">
        <v>45979</v>
      </c>
      <c r="I20" s="2" t="s">
        <v>824</v>
      </c>
    </row>
    <row r="21" spans="1:23" x14ac:dyDescent="0.25">
      <c r="A21" s="68">
        <v>45970</v>
      </c>
      <c r="B21" s="2">
        <v>2</v>
      </c>
      <c r="C21" s="2" t="s">
        <v>664</v>
      </c>
      <c r="D21" s="2" t="s">
        <v>496</v>
      </c>
      <c r="E21" s="3">
        <v>450</v>
      </c>
      <c r="F21" s="3">
        <f t="shared" si="0"/>
        <v>900</v>
      </c>
      <c r="G21" s="2" t="s">
        <v>8</v>
      </c>
      <c r="H21" s="68">
        <v>45979</v>
      </c>
      <c r="I21" s="2" t="s">
        <v>824</v>
      </c>
    </row>
    <row r="22" spans="1:23" x14ac:dyDescent="0.25">
      <c r="A22" s="68">
        <v>45970</v>
      </c>
      <c r="B22" s="2">
        <v>1</v>
      </c>
      <c r="C22" s="2" t="s">
        <v>726</v>
      </c>
      <c r="D22" s="2" t="s">
        <v>675</v>
      </c>
      <c r="E22" s="3">
        <v>1403</v>
      </c>
      <c r="F22" s="3">
        <f t="shared" si="0"/>
        <v>1403</v>
      </c>
      <c r="G22" s="2" t="s">
        <v>8</v>
      </c>
      <c r="H22" s="68">
        <v>45979</v>
      </c>
      <c r="I22" s="2" t="s">
        <v>824</v>
      </c>
    </row>
    <row r="23" spans="1:23" x14ac:dyDescent="0.25">
      <c r="A23" s="68">
        <v>45970</v>
      </c>
      <c r="B23" s="2">
        <v>1</v>
      </c>
      <c r="C23" s="2" t="s">
        <v>726</v>
      </c>
      <c r="D23" s="2" t="s">
        <v>676</v>
      </c>
      <c r="E23" s="3">
        <v>1403</v>
      </c>
      <c r="F23" s="3">
        <f t="shared" si="0"/>
        <v>1403</v>
      </c>
      <c r="G23" s="2" t="s">
        <v>8</v>
      </c>
      <c r="H23" s="68">
        <v>45979</v>
      </c>
      <c r="I23" s="2" t="s">
        <v>824</v>
      </c>
    </row>
    <row r="24" spans="1:23" x14ac:dyDescent="0.25">
      <c r="A24" s="68">
        <v>45970</v>
      </c>
      <c r="B24" s="2">
        <v>1</v>
      </c>
      <c r="C24" s="2" t="s">
        <v>726</v>
      </c>
      <c r="D24" s="2" t="s">
        <v>676</v>
      </c>
      <c r="E24" s="3">
        <v>1403</v>
      </c>
      <c r="F24" s="3">
        <f t="shared" si="0"/>
        <v>1403</v>
      </c>
      <c r="G24" s="2" t="s">
        <v>8</v>
      </c>
      <c r="H24" s="68">
        <v>45979</v>
      </c>
      <c r="I24" s="2" t="s">
        <v>824</v>
      </c>
    </row>
    <row r="25" spans="1:23" x14ac:dyDescent="0.25">
      <c r="A25" s="68">
        <v>45970</v>
      </c>
      <c r="B25" s="2">
        <v>5</v>
      </c>
      <c r="C25" s="2" t="s">
        <v>664</v>
      </c>
      <c r="D25" s="2" t="s">
        <v>495</v>
      </c>
      <c r="E25" s="3">
        <v>450</v>
      </c>
      <c r="F25" s="3">
        <f t="shared" si="0"/>
        <v>2250</v>
      </c>
      <c r="G25" s="2" t="s">
        <v>8</v>
      </c>
      <c r="H25" s="68">
        <v>45982</v>
      </c>
      <c r="I25" s="2" t="s">
        <v>824</v>
      </c>
    </row>
    <row r="26" spans="1:23" x14ac:dyDescent="0.25">
      <c r="A26" s="68">
        <v>45970</v>
      </c>
      <c r="B26" s="2">
        <v>3</v>
      </c>
      <c r="C26" s="2" t="s">
        <v>725</v>
      </c>
      <c r="D26" s="2" t="s">
        <v>677</v>
      </c>
      <c r="E26" s="3">
        <v>1358</v>
      </c>
      <c r="F26" s="3">
        <f t="shared" si="0"/>
        <v>4074</v>
      </c>
      <c r="G26" s="2" t="s">
        <v>715</v>
      </c>
      <c r="H26" s="68">
        <v>45982</v>
      </c>
      <c r="I26" s="2" t="s">
        <v>115</v>
      </c>
    </row>
    <row r="27" spans="1:23" x14ac:dyDescent="0.25">
      <c r="A27" s="68">
        <v>45970</v>
      </c>
      <c r="B27" s="2">
        <v>3</v>
      </c>
      <c r="C27" s="2" t="s">
        <v>726</v>
      </c>
      <c r="D27" s="2" t="s">
        <v>677</v>
      </c>
      <c r="E27" s="3">
        <v>1477</v>
      </c>
      <c r="F27" s="3">
        <f t="shared" si="0"/>
        <v>4431</v>
      </c>
      <c r="G27" s="2" t="s">
        <v>715</v>
      </c>
      <c r="H27" s="68">
        <v>45982</v>
      </c>
      <c r="I27" s="2" t="s">
        <v>115</v>
      </c>
    </row>
    <row r="28" spans="1:23" x14ac:dyDescent="0.25">
      <c r="A28" s="68">
        <v>45970</v>
      </c>
      <c r="B28" s="2">
        <v>5</v>
      </c>
      <c r="C28" s="2" t="s">
        <v>691</v>
      </c>
      <c r="D28" s="2" t="s">
        <v>335</v>
      </c>
      <c r="E28" s="3">
        <v>410</v>
      </c>
      <c r="F28" s="3">
        <f t="shared" si="0"/>
        <v>2050</v>
      </c>
      <c r="G28" s="2" t="s">
        <v>689</v>
      </c>
      <c r="H28" s="68">
        <v>45979</v>
      </c>
      <c r="I28" s="2" t="s">
        <v>824</v>
      </c>
    </row>
    <row r="29" spans="1:23" x14ac:dyDescent="0.25">
      <c r="A29" s="68">
        <v>45972</v>
      </c>
      <c r="B29" s="2">
        <v>30</v>
      </c>
      <c r="C29" s="2" t="s">
        <v>691</v>
      </c>
      <c r="D29" s="2" t="s">
        <v>335</v>
      </c>
      <c r="E29" s="3">
        <v>410</v>
      </c>
      <c r="F29" s="3">
        <f t="shared" si="0"/>
        <v>12300</v>
      </c>
      <c r="G29" s="2" t="s">
        <v>682</v>
      </c>
      <c r="H29" s="68">
        <v>45979</v>
      </c>
      <c r="I29" s="2" t="s">
        <v>824</v>
      </c>
    </row>
    <row r="30" spans="1:23" x14ac:dyDescent="0.25">
      <c r="A30" s="68">
        <v>45972</v>
      </c>
      <c r="B30" s="2">
        <v>5</v>
      </c>
      <c r="C30" s="2" t="s">
        <v>645</v>
      </c>
      <c r="D30" s="2" t="s">
        <v>335</v>
      </c>
      <c r="E30" s="3">
        <v>1400</v>
      </c>
      <c r="F30" s="3">
        <f t="shared" si="0"/>
        <v>7000</v>
      </c>
      <c r="G30" s="2" t="s">
        <v>682</v>
      </c>
      <c r="H30" s="68">
        <v>45979</v>
      </c>
      <c r="I30" s="2" t="s">
        <v>824</v>
      </c>
    </row>
    <row r="31" spans="1:23" x14ac:dyDescent="0.25">
      <c r="A31" s="68">
        <v>45972</v>
      </c>
      <c r="B31" s="2">
        <v>5</v>
      </c>
      <c r="C31" s="2" t="s">
        <v>680</v>
      </c>
      <c r="D31" s="2" t="s">
        <v>335</v>
      </c>
      <c r="E31" s="3">
        <v>2500</v>
      </c>
      <c r="F31" s="3">
        <f t="shared" si="0"/>
        <v>12500</v>
      </c>
      <c r="G31" s="2" t="s">
        <v>682</v>
      </c>
      <c r="H31" s="68">
        <v>45979</v>
      </c>
      <c r="I31" s="2" t="s">
        <v>824</v>
      </c>
    </row>
    <row r="32" spans="1:23" x14ac:dyDescent="0.25">
      <c r="A32" s="68">
        <v>45972</v>
      </c>
      <c r="B32" s="2">
        <v>10</v>
      </c>
      <c r="C32" s="2" t="s">
        <v>681</v>
      </c>
      <c r="D32" s="2" t="s">
        <v>335</v>
      </c>
      <c r="E32" s="3">
        <v>3300</v>
      </c>
      <c r="F32" s="3">
        <f t="shared" si="0"/>
        <v>33000</v>
      </c>
      <c r="G32" s="2" t="s">
        <v>682</v>
      </c>
      <c r="H32" s="68">
        <v>45979</v>
      </c>
      <c r="I32" s="2" t="s">
        <v>824</v>
      </c>
    </row>
    <row r="33" spans="1:9" x14ac:dyDescent="0.25">
      <c r="A33" s="68">
        <v>45978</v>
      </c>
      <c r="B33" s="2">
        <v>9</v>
      </c>
      <c r="C33" s="2" t="s">
        <v>727</v>
      </c>
      <c r="D33" s="2" t="s">
        <v>677</v>
      </c>
      <c r="E33" s="3">
        <v>625</v>
      </c>
      <c r="F33" s="3">
        <f t="shared" si="0"/>
        <v>5625</v>
      </c>
      <c r="G33" s="2" t="s">
        <v>728</v>
      </c>
      <c r="H33" s="68">
        <v>45982</v>
      </c>
      <c r="I33" s="2" t="s">
        <v>115</v>
      </c>
    </row>
    <row r="34" spans="1:9" x14ac:dyDescent="0.25">
      <c r="A34" s="68">
        <v>45978</v>
      </c>
      <c r="B34" s="2">
        <v>1</v>
      </c>
      <c r="C34" s="2" t="s">
        <v>685</v>
      </c>
      <c r="D34" s="2" t="s">
        <v>684</v>
      </c>
      <c r="E34" s="3">
        <v>329</v>
      </c>
      <c r="F34" s="3">
        <f t="shared" si="0"/>
        <v>329</v>
      </c>
      <c r="G34" s="2"/>
      <c r="H34" s="2"/>
      <c r="I34" s="2" t="s">
        <v>85</v>
      </c>
    </row>
    <row r="35" spans="1:9" x14ac:dyDescent="0.25">
      <c r="A35" s="68">
        <v>45978</v>
      </c>
      <c r="B35" s="2">
        <v>1</v>
      </c>
      <c r="C35" s="2" t="s">
        <v>542</v>
      </c>
      <c r="D35" s="2" t="s">
        <v>686</v>
      </c>
      <c r="E35" s="3">
        <v>5000</v>
      </c>
      <c r="F35" s="3">
        <f t="shared" si="0"/>
        <v>5000</v>
      </c>
      <c r="G35" s="2"/>
      <c r="H35" s="2"/>
      <c r="I35" s="2" t="s">
        <v>85</v>
      </c>
    </row>
    <row r="36" spans="1:9" x14ac:dyDescent="0.25">
      <c r="A36" s="68">
        <v>45979</v>
      </c>
      <c r="B36" s="2">
        <v>2</v>
      </c>
      <c r="C36" s="2" t="s">
        <v>687</v>
      </c>
      <c r="D36" s="2" t="s">
        <v>101</v>
      </c>
      <c r="E36" s="3">
        <v>454</v>
      </c>
      <c r="F36" s="3">
        <f t="shared" si="0"/>
        <v>908</v>
      </c>
      <c r="G36" s="2" t="s">
        <v>700</v>
      </c>
      <c r="H36" s="68">
        <v>45982</v>
      </c>
      <c r="I36" s="2" t="s">
        <v>824</v>
      </c>
    </row>
    <row r="37" spans="1:9" x14ac:dyDescent="0.25">
      <c r="A37" s="68">
        <v>45979</v>
      </c>
      <c r="B37" s="2">
        <v>2</v>
      </c>
      <c r="C37" s="2" t="s">
        <v>687</v>
      </c>
      <c r="D37" s="2" t="s">
        <v>101</v>
      </c>
      <c r="E37" s="3">
        <v>454</v>
      </c>
      <c r="F37" s="3">
        <f t="shared" si="0"/>
        <v>908</v>
      </c>
      <c r="G37" s="2" t="s">
        <v>700</v>
      </c>
      <c r="H37" s="68">
        <v>45982</v>
      </c>
      <c r="I37" s="2" t="s">
        <v>824</v>
      </c>
    </row>
    <row r="38" spans="1:9" x14ac:dyDescent="0.25">
      <c r="A38" s="68">
        <v>45979</v>
      </c>
      <c r="B38" s="2">
        <v>2</v>
      </c>
      <c r="C38" s="2" t="s">
        <v>687</v>
      </c>
      <c r="D38" s="2" t="s">
        <v>688</v>
      </c>
      <c r="E38" s="3">
        <v>454</v>
      </c>
      <c r="F38" s="3">
        <f t="shared" si="0"/>
        <v>908</v>
      </c>
      <c r="G38" s="2" t="s">
        <v>719</v>
      </c>
      <c r="H38" s="2"/>
      <c r="I38" s="2" t="s">
        <v>824</v>
      </c>
    </row>
    <row r="39" spans="1:9" x14ac:dyDescent="0.25">
      <c r="A39" s="68">
        <v>45979</v>
      </c>
      <c r="B39" s="2">
        <v>2</v>
      </c>
      <c r="C39" s="2" t="s">
        <v>687</v>
      </c>
      <c r="D39" s="2" t="s">
        <v>688</v>
      </c>
      <c r="E39" s="3">
        <v>454</v>
      </c>
      <c r="F39" s="3">
        <f t="shared" si="0"/>
        <v>908</v>
      </c>
      <c r="G39" s="2" t="s">
        <v>719</v>
      </c>
      <c r="H39" s="2"/>
      <c r="I39" s="2" t="s">
        <v>824</v>
      </c>
    </row>
    <row r="40" spans="1:9" x14ac:dyDescent="0.25">
      <c r="A40" s="68">
        <v>45979</v>
      </c>
      <c r="B40" s="2">
        <v>2</v>
      </c>
      <c r="C40" s="2" t="s">
        <v>687</v>
      </c>
      <c r="D40" s="2" t="s">
        <v>688</v>
      </c>
      <c r="E40" s="3">
        <v>454</v>
      </c>
      <c r="F40" s="3">
        <f t="shared" si="0"/>
        <v>908</v>
      </c>
      <c r="G40" s="2" t="s">
        <v>729</v>
      </c>
      <c r="H40" s="2"/>
      <c r="I40" s="2" t="s">
        <v>824</v>
      </c>
    </row>
    <row r="41" spans="1:9" x14ac:dyDescent="0.25">
      <c r="A41" s="68">
        <v>45979</v>
      </c>
      <c r="B41" s="2">
        <v>3</v>
      </c>
      <c r="C41" s="2" t="s">
        <v>723</v>
      </c>
      <c r="D41" s="2" t="s">
        <v>688</v>
      </c>
      <c r="E41" s="3">
        <v>130</v>
      </c>
      <c r="F41" s="3">
        <f t="shared" si="0"/>
        <v>390</v>
      </c>
      <c r="G41" s="2" t="s">
        <v>8</v>
      </c>
      <c r="H41" s="68">
        <v>45982</v>
      </c>
      <c r="I41" s="2" t="s">
        <v>824</v>
      </c>
    </row>
    <row r="42" spans="1:9" x14ac:dyDescent="0.25">
      <c r="A42" s="68">
        <v>45980</v>
      </c>
      <c r="B42" s="2">
        <v>6</v>
      </c>
      <c r="C42" s="2" t="s">
        <v>723</v>
      </c>
      <c r="D42" s="2" t="s">
        <v>688</v>
      </c>
      <c r="E42" s="3">
        <v>130</v>
      </c>
      <c r="F42" s="3">
        <f t="shared" si="0"/>
        <v>780</v>
      </c>
      <c r="G42" s="2" t="s">
        <v>8</v>
      </c>
      <c r="H42" s="68">
        <v>45982</v>
      </c>
      <c r="I42" s="2" t="s">
        <v>824</v>
      </c>
    </row>
    <row r="43" spans="1:9" x14ac:dyDescent="0.25">
      <c r="A43" s="68">
        <v>45980</v>
      </c>
      <c r="B43" s="2">
        <v>10</v>
      </c>
      <c r="C43" s="2" t="s">
        <v>559</v>
      </c>
      <c r="D43" s="2" t="s">
        <v>688</v>
      </c>
      <c r="E43" s="3">
        <v>39</v>
      </c>
      <c r="F43" s="3">
        <f t="shared" si="0"/>
        <v>390</v>
      </c>
      <c r="G43" s="2" t="s">
        <v>8</v>
      </c>
      <c r="H43" s="68">
        <v>45982</v>
      </c>
      <c r="I43" s="2" t="s">
        <v>824</v>
      </c>
    </row>
    <row r="44" spans="1:9" x14ac:dyDescent="0.25">
      <c r="A44" s="68">
        <v>45980</v>
      </c>
      <c r="B44" s="2">
        <v>6</v>
      </c>
      <c r="C44" s="2" t="s">
        <v>696</v>
      </c>
      <c r="D44" s="2" t="s">
        <v>688</v>
      </c>
      <c r="E44" s="3">
        <v>779</v>
      </c>
      <c r="F44" s="3">
        <f t="shared" si="0"/>
        <v>4674</v>
      </c>
      <c r="G44" s="2" t="s">
        <v>8</v>
      </c>
      <c r="H44" s="68">
        <v>45982</v>
      </c>
      <c r="I44" s="2" t="s">
        <v>824</v>
      </c>
    </row>
    <row r="45" spans="1:9" x14ac:dyDescent="0.25">
      <c r="A45" s="68">
        <v>45980</v>
      </c>
      <c r="B45" s="2">
        <v>6</v>
      </c>
      <c r="C45" s="2" t="s">
        <v>693</v>
      </c>
      <c r="D45" s="2" t="s">
        <v>688</v>
      </c>
      <c r="E45" s="3">
        <v>594</v>
      </c>
      <c r="F45" s="3">
        <f t="shared" si="0"/>
        <v>3564</v>
      </c>
      <c r="G45" s="2" t="s">
        <v>8</v>
      </c>
      <c r="H45" s="68">
        <v>45982</v>
      </c>
      <c r="I45" s="2" t="s">
        <v>824</v>
      </c>
    </row>
    <row r="46" spans="1:9" x14ac:dyDescent="0.25">
      <c r="A46" s="68">
        <v>45980</v>
      </c>
      <c r="B46" s="2">
        <v>3</v>
      </c>
      <c r="C46" s="2" t="s">
        <v>693</v>
      </c>
      <c r="D46" s="2" t="s">
        <v>688</v>
      </c>
      <c r="E46" s="3">
        <v>594</v>
      </c>
      <c r="F46" s="3">
        <f t="shared" si="0"/>
        <v>1782</v>
      </c>
      <c r="G46" s="2" t="s">
        <v>694</v>
      </c>
      <c r="H46" s="68">
        <v>45982</v>
      </c>
      <c r="I46" s="2" t="s">
        <v>824</v>
      </c>
    </row>
    <row r="47" spans="1:9" x14ac:dyDescent="0.25">
      <c r="A47" s="68">
        <v>45980</v>
      </c>
      <c r="B47" s="2">
        <v>4</v>
      </c>
      <c r="C47" s="2" t="s">
        <v>687</v>
      </c>
      <c r="D47" s="2" t="s">
        <v>688</v>
      </c>
      <c r="E47" s="3">
        <v>454</v>
      </c>
      <c r="F47" s="3">
        <f t="shared" si="0"/>
        <v>1816</v>
      </c>
      <c r="G47" s="2" t="s">
        <v>729</v>
      </c>
      <c r="H47" s="2"/>
      <c r="I47" s="2" t="s">
        <v>824</v>
      </c>
    </row>
    <row r="48" spans="1:9" x14ac:dyDescent="0.25">
      <c r="A48" s="68">
        <v>45980</v>
      </c>
      <c r="B48" s="2">
        <v>10</v>
      </c>
      <c r="C48" s="2" t="s">
        <v>695</v>
      </c>
      <c r="D48" s="2" t="s">
        <v>335</v>
      </c>
      <c r="E48" s="3">
        <v>777</v>
      </c>
      <c r="F48" s="3">
        <f t="shared" si="0"/>
        <v>7770</v>
      </c>
      <c r="G48" s="2" t="s">
        <v>742</v>
      </c>
      <c r="H48" s="68"/>
      <c r="I48" s="2" t="s">
        <v>824</v>
      </c>
    </row>
    <row r="49" spans="1:10" x14ac:dyDescent="0.25">
      <c r="A49" s="68">
        <v>45980</v>
      </c>
      <c r="B49" s="2">
        <v>10</v>
      </c>
      <c r="C49" s="2" t="s">
        <v>645</v>
      </c>
      <c r="D49" s="2" t="s">
        <v>335</v>
      </c>
      <c r="E49" s="3">
        <v>1400</v>
      </c>
      <c r="F49" s="3">
        <f t="shared" si="0"/>
        <v>14000</v>
      </c>
      <c r="G49" s="2" t="s">
        <v>742</v>
      </c>
      <c r="H49" s="2"/>
      <c r="I49" s="2" t="s">
        <v>824</v>
      </c>
    </row>
    <row r="50" spans="1:10" x14ac:dyDescent="0.25">
      <c r="A50" s="68">
        <v>45980</v>
      </c>
      <c r="B50" s="2">
        <v>7</v>
      </c>
      <c r="C50" s="2" t="s">
        <v>693</v>
      </c>
      <c r="D50" s="2" t="s">
        <v>101</v>
      </c>
      <c r="E50" s="3">
        <v>559</v>
      </c>
      <c r="F50" s="3">
        <f t="shared" si="0"/>
        <v>3913</v>
      </c>
      <c r="G50" s="2" t="s">
        <v>8</v>
      </c>
      <c r="H50" s="68">
        <v>45982</v>
      </c>
      <c r="I50" s="2" t="s">
        <v>824</v>
      </c>
    </row>
    <row r="51" spans="1:10" x14ac:dyDescent="0.25">
      <c r="A51" s="68">
        <v>45980</v>
      </c>
      <c r="B51" s="2">
        <v>6</v>
      </c>
      <c r="C51" s="2" t="s">
        <v>724</v>
      </c>
      <c r="D51" s="2" t="s">
        <v>101</v>
      </c>
      <c r="E51" s="3">
        <v>779</v>
      </c>
      <c r="F51" s="3">
        <f t="shared" si="0"/>
        <v>4674</v>
      </c>
      <c r="G51" s="2" t="s">
        <v>8</v>
      </c>
      <c r="H51" s="68">
        <v>45982</v>
      </c>
      <c r="I51" s="2" t="s">
        <v>824</v>
      </c>
    </row>
    <row r="52" spans="1:10" x14ac:dyDescent="0.25">
      <c r="A52" s="68">
        <v>45980</v>
      </c>
      <c r="B52" s="2">
        <v>4</v>
      </c>
      <c r="C52" s="2" t="s">
        <v>697</v>
      </c>
      <c r="D52" s="2" t="s">
        <v>101</v>
      </c>
      <c r="E52" s="3">
        <v>125</v>
      </c>
      <c r="F52" s="3">
        <f t="shared" si="0"/>
        <v>500</v>
      </c>
      <c r="G52" s="2" t="s">
        <v>8</v>
      </c>
      <c r="H52" s="68">
        <v>45982</v>
      </c>
      <c r="I52" s="2" t="s">
        <v>824</v>
      </c>
    </row>
    <row r="53" spans="1:10" x14ac:dyDescent="0.25">
      <c r="A53" s="68">
        <v>45980</v>
      </c>
      <c r="B53" s="2">
        <v>1</v>
      </c>
      <c r="C53" s="2" t="s">
        <v>698</v>
      </c>
      <c r="D53" s="2" t="s">
        <v>703</v>
      </c>
      <c r="E53" s="3">
        <v>699</v>
      </c>
      <c r="F53" s="3">
        <f t="shared" si="0"/>
        <v>699</v>
      </c>
      <c r="G53" s="2" t="s">
        <v>699</v>
      </c>
      <c r="H53" s="68">
        <v>45982</v>
      </c>
      <c r="I53" s="2" t="s">
        <v>824</v>
      </c>
    </row>
    <row r="54" spans="1:10" x14ac:dyDescent="0.25">
      <c r="A54" s="68">
        <v>45980</v>
      </c>
      <c r="B54" s="2">
        <v>15</v>
      </c>
      <c r="C54" s="2" t="s">
        <v>697</v>
      </c>
      <c r="D54" s="2" t="s">
        <v>30</v>
      </c>
      <c r="E54" s="3">
        <v>125</v>
      </c>
      <c r="F54" s="3">
        <f t="shared" si="0"/>
        <v>1875</v>
      </c>
      <c r="G54" s="2" t="s">
        <v>791</v>
      </c>
      <c r="H54" s="2"/>
      <c r="I54" s="2" t="s">
        <v>824</v>
      </c>
    </row>
    <row r="55" spans="1:10" x14ac:dyDescent="0.25">
      <c r="A55" s="68">
        <v>45981</v>
      </c>
      <c r="B55" s="2">
        <v>12</v>
      </c>
      <c r="C55" s="2" t="s">
        <v>697</v>
      </c>
      <c r="D55" s="2" t="s">
        <v>767</v>
      </c>
      <c r="E55" s="3">
        <v>125</v>
      </c>
      <c r="F55" s="3">
        <f t="shared" si="0"/>
        <v>1500</v>
      </c>
      <c r="G55" s="2" t="s">
        <v>781</v>
      </c>
      <c r="H55" s="2"/>
      <c r="I55" s="2" t="s">
        <v>824</v>
      </c>
    </row>
    <row r="56" spans="1:10" x14ac:dyDescent="0.25">
      <c r="A56" s="80">
        <v>45981</v>
      </c>
      <c r="B56" s="10">
        <v>23</v>
      </c>
      <c r="C56" s="10" t="s">
        <v>697</v>
      </c>
      <c r="D56" s="10" t="s">
        <v>702</v>
      </c>
      <c r="E56" s="50">
        <v>125</v>
      </c>
      <c r="F56" s="50">
        <f t="shared" si="0"/>
        <v>2875</v>
      </c>
      <c r="G56" s="10" t="s">
        <v>765</v>
      </c>
      <c r="H56" s="10"/>
      <c r="I56" s="10" t="s">
        <v>766</v>
      </c>
      <c r="J56" t="s">
        <v>1107</v>
      </c>
    </row>
    <row r="57" spans="1:10" x14ac:dyDescent="0.25">
      <c r="A57" s="68">
        <v>45981</v>
      </c>
      <c r="B57" s="2">
        <v>1</v>
      </c>
      <c r="C57" s="2" t="s">
        <v>698</v>
      </c>
      <c r="D57" s="2" t="s">
        <v>703</v>
      </c>
      <c r="E57" s="3">
        <v>699</v>
      </c>
      <c r="F57" s="3">
        <f t="shared" si="0"/>
        <v>699</v>
      </c>
      <c r="G57" s="2" t="s">
        <v>699</v>
      </c>
      <c r="H57" s="68">
        <v>45982</v>
      </c>
      <c r="I57" s="2" t="s">
        <v>824</v>
      </c>
    </row>
    <row r="58" spans="1:10" x14ac:dyDescent="0.25">
      <c r="A58" s="68">
        <v>45981</v>
      </c>
      <c r="B58" s="2">
        <v>2</v>
      </c>
      <c r="C58" s="2" t="s">
        <v>704</v>
      </c>
      <c r="D58" s="2" t="s">
        <v>364</v>
      </c>
      <c r="E58" s="3">
        <v>2100</v>
      </c>
      <c r="F58" s="3">
        <f t="shared" si="0"/>
        <v>4200</v>
      </c>
      <c r="G58" s="2" t="s">
        <v>8</v>
      </c>
      <c r="H58" s="68">
        <v>45982</v>
      </c>
      <c r="I58" s="2" t="s">
        <v>824</v>
      </c>
    </row>
    <row r="59" spans="1:10" x14ac:dyDescent="0.25">
      <c r="A59" s="68">
        <v>45981</v>
      </c>
      <c r="B59" s="2">
        <v>3</v>
      </c>
      <c r="C59" s="2" t="s">
        <v>705</v>
      </c>
      <c r="D59" s="2" t="s">
        <v>364</v>
      </c>
      <c r="E59" s="3">
        <v>2100</v>
      </c>
      <c r="F59" s="3">
        <f t="shared" si="0"/>
        <v>6300</v>
      </c>
      <c r="G59" s="2" t="s">
        <v>8</v>
      </c>
      <c r="H59" s="68">
        <v>45982</v>
      </c>
      <c r="I59" s="2" t="s">
        <v>824</v>
      </c>
    </row>
    <row r="60" spans="1:10" x14ac:dyDescent="0.25">
      <c r="A60" s="68">
        <v>45981</v>
      </c>
      <c r="B60" s="2">
        <v>2</v>
      </c>
      <c r="C60" s="2" t="s">
        <v>705</v>
      </c>
      <c r="D60" s="2" t="s">
        <v>318</v>
      </c>
      <c r="E60" s="3">
        <v>2100</v>
      </c>
      <c r="F60" s="3">
        <f t="shared" si="0"/>
        <v>4200</v>
      </c>
      <c r="G60" s="2" t="s">
        <v>709</v>
      </c>
      <c r="H60" s="68">
        <v>45982</v>
      </c>
      <c r="I60" s="2" t="s">
        <v>824</v>
      </c>
    </row>
    <row r="61" spans="1:10" x14ac:dyDescent="0.25">
      <c r="A61" s="68">
        <v>45981</v>
      </c>
      <c r="B61" s="2">
        <v>5</v>
      </c>
      <c r="C61" s="2" t="s">
        <v>706</v>
      </c>
      <c r="D61" s="2" t="s">
        <v>364</v>
      </c>
      <c r="E61" s="3">
        <v>574</v>
      </c>
      <c r="F61" s="3">
        <f t="shared" si="0"/>
        <v>2870</v>
      </c>
      <c r="G61" s="2" t="s">
        <v>8</v>
      </c>
      <c r="H61" s="68">
        <v>45982</v>
      </c>
      <c r="I61" s="2" t="s">
        <v>824</v>
      </c>
    </row>
    <row r="62" spans="1:10" x14ac:dyDescent="0.25">
      <c r="A62" s="68">
        <v>45981</v>
      </c>
      <c r="B62" s="2">
        <v>10</v>
      </c>
      <c r="C62" s="2" t="s">
        <v>707</v>
      </c>
      <c r="D62" s="2" t="s">
        <v>364</v>
      </c>
      <c r="E62" s="3">
        <v>103</v>
      </c>
      <c r="F62" s="3">
        <f t="shared" si="0"/>
        <v>1030</v>
      </c>
      <c r="G62" s="2" t="s">
        <v>8</v>
      </c>
      <c r="H62" s="68">
        <v>45982</v>
      </c>
      <c r="I62" s="2" t="s">
        <v>824</v>
      </c>
    </row>
    <row r="63" spans="1:10" x14ac:dyDescent="0.25">
      <c r="A63" s="68">
        <v>45981</v>
      </c>
      <c r="B63" s="2">
        <v>3</v>
      </c>
      <c r="C63" s="2" t="s">
        <v>697</v>
      </c>
      <c r="D63" s="2" t="s">
        <v>364</v>
      </c>
      <c r="E63" s="3">
        <v>125</v>
      </c>
      <c r="F63" s="3">
        <f t="shared" si="0"/>
        <v>375</v>
      </c>
      <c r="G63" s="2" t="s">
        <v>8</v>
      </c>
      <c r="H63" s="68">
        <v>45982</v>
      </c>
      <c r="I63" s="2" t="s">
        <v>824</v>
      </c>
    </row>
    <row r="64" spans="1:10" x14ac:dyDescent="0.25">
      <c r="A64" s="68">
        <v>45981</v>
      </c>
      <c r="B64" s="2">
        <v>3</v>
      </c>
      <c r="C64" s="2" t="s">
        <v>704</v>
      </c>
      <c r="D64" s="2" t="s">
        <v>364</v>
      </c>
      <c r="E64" s="3">
        <v>2100</v>
      </c>
      <c r="F64" s="3">
        <f t="shared" si="0"/>
        <v>6300</v>
      </c>
      <c r="G64" s="2" t="s">
        <v>8</v>
      </c>
      <c r="H64" s="68">
        <v>45982</v>
      </c>
      <c r="I64" s="2" t="s">
        <v>824</v>
      </c>
    </row>
    <row r="65" spans="1:10" x14ac:dyDescent="0.25">
      <c r="A65" s="68">
        <v>45981</v>
      </c>
      <c r="B65" s="2">
        <v>3</v>
      </c>
      <c r="C65" s="2" t="s">
        <v>705</v>
      </c>
      <c r="D65" s="2" t="s">
        <v>364</v>
      </c>
      <c r="E65" s="3">
        <v>2100</v>
      </c>
      <c r="F65" s="3">
        <f t="shared" si="0"/>
        <v>6300</v>
      </c>
      <c r="G65" s="2" t="s">
        <v>8</v>
      </c>
      <c r="H65" s="68">
        <v>45982</v>
      </c>
      <c r="I65" s="2" t="s">
        <v>824</v>
      </c>
    </row>
    <row r="66" spans="1:10" x14ac:dyDescent="0.25">
      <c r="A66" s="68">
        <v>45981</v>
      </c>
      <c r="B66" s="2">
        <v>12</v>
      </c>
      <c r="C66" s="2" t="s">
        <v>664</v>
      </c>
      <c r="D66" s="2" t="s">
        <v>708</v>
      </c>
      <c r="E66" s="3">
        <v>449</v>
      </c>
      <c r="F66" s="3">
        <f t="shared" si="0"/>
        <v>5388</v>
      </c>
      <c r="G66" s="2" t="s">
        <v>8</v>
      </c>
      <c r="H66" s="68">
        <v>45982</v>
      </c>
      <c r="I66" s="2" t="s">
        <v>824</v>
      </c>
    </row>
    <row r="67" spans="1:10" x14ac:dyDescent="0.25">
      <c r="A67" s="68">
        <v>45982</v>
      </c>
      <c r="B67" s="2">
        <v>4</v>
      </c>
      <c r="C67" s="2" t="s">
        <v>704</v>
      </c>
      <c r="D67" s="2" t="s">
        <v>364</v>
      </c>
      <c r="E67" s="3">
        <v>2100</v>
      </c>
      <c r="F67" s="3">
        <f t="shared" si="0"/>
        <v>8400</v>
      </c>
      <c r="G67" s="2" t="s">
        <v>8</v>
      </c>
      <c r="H67" s="68">
        <v>45982</v>
      </c>
      <c r="I67" s="2" t="s">
        <v>824</v>
      </c>
    </row>
    <row r="68" spans="1:10" x14ac:dyDescent="0.25">
      <c r="A68" s="68">
        <v>45982</v>
      </c>
      <c r="B68" s="2">
        <v>6</v>
      </c>
      <c r="C68" s="2" t="s">
        <v>704</v>
      </c>
      <c r="D68" s="2" t="s">
        <v>710</v>
      </c>
      <c r="E68" s="3">
        <v>2100</v>
      </c>
      <c r="F68" s="3">
        <f t="shared" si="0"/>
        <v>12600</v>
      </c>
      <c r="G68" s="2" t="s">
        <v>8</v>
      </c>
      <c r="H68" s="68">
        <v>45982</v>
      </c>
      <c r="I68" s="2" t="s">
        <v>824</v>
      </c>
    </row>
    <row r="69" spans="1:10" x14ac:dyDescent="0.25">
      <c r="A69" s="68">
        <v>45982</v>
      </c>
      <c r="B69" s="2">
        <v>6</v>
      </c>
      <c r="C69" s="2" t="s">
        <v>705</v>
      </c>
      <c r="D69" s="2" t="s">
        <v>710</v>
      </c>
      <c r="E69" s="3">
        <v>2100</v>
      </c>
      <c r="F69" s="3">
        <f t="shared" ref="F69:F135" si="2">E69*B69</f>
        <v>12600</v>
      </c>
      <c r="G69" s="2" t="s">
        <v>8</v>
      </c>
      <c r="H69" s="68">
        <v>45982</v>
      </c>
      <c r="I69" s="2" t="s">
        <v>824</v>
      </c>
    </row>
    <row r="70" spans="1:10" x14ac:dyDescent="0.25">
      <c r="A70" s="68">
        <v>45982</v>
      </c>
      <c r="B70" s="2">
        <v>16</v>
      </c>
      <c r="C70" s="2" t="s">
        <v>664</v>
      </c>
      <c r="D70" s="2" t="s">
        <v>686</v>
      </c>
      <c r="E70" s="3" t="s">
        <v>720</v>
      </c>
      <c r="F70" s="3">
        <v>0</v>
      </c>
      <c r="G70" s="2" t="s">
        <v>8</v>
      </c>
      <c r="H70" s="68">
        <v>45982</v>
      </c>
      <c r="I70" s="2" t="s">
        <v>824</v>
      </c>
    </row>
    <row r="71" spans="1:10" x14ac:dyDescent="0.25">
      <c r="A71" s="68">
        <v>45982</v>
      </c>
      <c r="B71" s="2">
        <v>5</v>
      </c>
      <c r="C71" s="2" t="s">
        <v>664</v>
      </c>
      <c r="D71" s="2" t="s">
        <v>686</v>
      </c>
      <c r="E71" s="3">
        <v>0</v>
      </c>
      <c r="F71" s="3">
        <v>0</v>
      </c>
      <c r="G71" s="2" t="s">
        <v>8</v>
      </c>
      <c r="H71" s="68">
        <v>45982</v>
      </c>
      <c r="I71" s="2" t="s">
        <v>736</v>
      </c>
    </row>
    <row r="72" spans="1:10" x14ac:dyDescent="0.25">
      <c r="A72" s="68">
        <v>45982</v>
      </c>
      <c r="B72" s="2">
        <v>20</v>
      </c>
      <c r="C72" s="2" t="s">
        <v>664</v>
      </c>
      <c r="D72" s="2" t="s">
        <v>490</v>
      </c>
      <c r="E72" s="3">
        <v>399</v>
      </c>
      <c r="F72" s="3">
        <f t="shared" si="2"/>
        <v>7980</v>
      </c>
      <c r="G72" s="2" t="s">
        <v>8</v>
      </c>
      <c r="H72" s="68">
        <v>45985</v>
      </c>
      <c r="I72" s="2" t="s">
        <v>824</v>
      </c>
    </row>
    <row r="73" spans="1:10" x14ac:dyDescent="0.25">
      <c r="A73" s="68">
        <v>45982</v>
      </c>
      <c r="B73" s="2">
        <v>9</v>
      </c>
      <c r="C73" s="2" t="s">
        <v>664</v>
      </c>
      <c r="D73" s="2" t="s">
        <v>494</v>
      </c>
      <c r="E73" s="3">
        <v>399</v>
      </c>
      <c r="F73" s="3">
        <f t="shared" si="2"/>
        <v>3591</v>
      </c>
      <c r="G73" s="2" t="s">
        <v>8</v>
      </c>
      <c r="H73" s="68">
        <v>45985</v>
      </c>
      <c r="I73" s="2" t="s">
        <v>824</v>
      </c>
    </row>
    <row r="74" spans="1:10" x14ac:dyDescent="0.25">
      <c r="A74" s="68">
        <v>45982</v>
      </c>
      <c r="B74" s="2">
        <v>3</v>
      </c>
      <c r="C74" s="2" t="s">
        <v>711</v>
      </c>
      <c r="D74" s="2" t="s">
        <v>712</v>
      </c>
      <c r="E74" s="3">
        <v>609.95000000000005</v>
      </c>
      <c r="F74" s="3">
        <f t="shared" si="2"/>
        <v>1829.8500000000001</v>
      </c>
      <c r="G74" s="2" t="s">
        <v>730</v>
      </c>
      <c r="H74" s="2"/>
      <c r="I74" s="2" t="s">
        <v>824</v>
      </c>
    </row>
    <row r="75" spans="1:10" x14ac:dyDescent="0.25">
      <c r="A75" s="68">
        <v>45982</v>
      </c>
      <c r="B75" s="2">
        <v>1</v>
      </c>
      <c r="C75" s="2" t="s">
        <v>711</v>
      </c>
      <c r="D75" s="2" t="s">
        <v>712</v>
      </c>
      <c r="E75" s="3">
        <v>598</v>
      </c>
      <c r="F75" s="3">
        <f t="shared" si="2"/>
        <v>598</v>
      </c>
      <c r="G75" s="2" t="s">
        <v>825</v>
      </c>
      <c r="H75" s="2"/>
      <c r="I75" s="2" t="s">
        <v>824</v>
      </c>
    </row>
    <row r="76" spans="1:10" x14ac:dyDescent="0.25">
      <c r="A76" s="68">
        <v>45982</v>
      </c>
      <c r="B76" s="2">
        <v>1</v>
      </c>
      <c r="C76" s="2" t="s">
        <v>713</v>
      </c>
      <c r="D76" s="2" t="s">
        <v>714</v>
      </c>
      <c r="E76" s="3">
        <v>598</v>
      </c>
      <c r="F76" s="3">
        <f t="shared" si="2"/>
        <v>598</v>
      </c>
      <c r="G76" s="2" t="s">
        <v>715</v>
      </c>
      <c r="H76" s="68">
        <v>45982</v>
      </c>
      <c r="I76" s="2" t="s">
        <v>824</v>
      </c>
    </row>
    <row r="77" spans="1:10" x14ac:dyDescent="0.25">
      <c r="A77" s="68">
        <v>45982</v>
      </c>
      <c r="B77" s="2">
        <v>5</v>
      </c>
      <c r="C77" s="2" t="s">
        <v>716</v>
      </c>
      <c r="D77" s="2" t="s">
        <v>87</v>
      </c>
      <c r="E77" s="3">
        <v>509</v>
      </c>
      <c r="F77" s="3">
        <f t="shared" si="2"/>
        <v>2545</v>
      </c>
      <c r="G77" s="2" t="s">
        <v>791</v>
      </c>
      <c r="H77" s="2"/>
      <c r="I77" s="2" t="s">
        <v>824</v>
      </c>
    </row>
    <row r="78" spans="1:10" x14ac:dyDescent="0.25">
      <c r="A78" s="68">
        <v>45982</v>
      </c>
      <c r="B78" s="2">
        <v>6</v>
      </c>
      <c r="C78" s="2" t="s">
        <v>717</v>
      </c>
      <c r="D78" s="2" t="s">
        <v>87</v>
      </c>
      <c r="E78" s="3">
        <v>659</v>
      </c>
      <c r="F78" s="3">
        <f t="shared" si="2"/>
        <v>3954</v>
      </c>
      <c r="G78" s="2" t="s">
        <v>791</v>
      </c>
      <c r="H78" s="2"/>
      <c r="I78" s="2" t="s">
        <v>824</v>
      </c>
    </row>
    <row r="79" spans="1:10" x14ac:dyDescent="0.25">
      <c r="A79" s="68">
        <v>45982</v>
      </c>
      <c r="B79" s="2">
        <v>3</v>
      </c>
      <c r="C79" s="2" t="s">
        <v>717</v>
      </c>
      <c r="D79" s="2" t="s">
        <v>87</v>
      </c>
      <c r="E79" s="3">
        <v>659</v>
      </c>
      <c r="F79" s="3">
        <f t="shared" si="2"/>
        <v>1977</v>
      </c>
      <c r="G79" s="2" t="s">
        <v>781</v>
      </c>
      <c r="H79" s="2"/>
      <c r="I79" s="2" t="s">
        <v>824</v>
      </c>
    </row>
    <row r="80" spans="1:10" x14ac:dyDescent="0.25">
      <c r="A80" s="68">
        <v>45982</v>
      </c>
      <c r="B80" s="2">
        <v>7</v>
      </c>
      <c r="C80" s="2" t="s">
        <v>716</v>
      </c>
      <c r="D80" s="2" t="s">
        <v>87</v>
      </c>
      <c r="E80" s="3">
        <v>509</v>
      </c>
      <c r="F80" s="3">
        <f t="shared" si="2"/>
        <v>3563</v>
      </c>
      <c r="G80" s="2" t="s">
        <v>782</v>
      </c>
      <c r="H80" s="2"/>
      <c r="I80" s="2" t="s">
        <v>783</v>
      </c>
      <c r="J80" t="s">
        <v>1108</v>
      </c>
    </row>
    <row r="81" spans="1:11" x14ac:dyDescent="0.25">
      <c r="A81" s="68">
        <v>45982</v>
      </c>
      <c r="B81" s="2">
        <v>5</v>
      </c>
      <c r="C81" s="2" t="s">
        <v>721</v>
      </c>
      <c r="D81" s="2" t="s">
        <v>87</v>
      </c>
      <c r="E81" s="3">
        <v>659</v>
      </c>
      <c r="F81" s="3">
        <f t="shared" si="2"/>
        <v>3295</v>
      </c>
      <c r="G81" s="2" t="s">
        <v>770</v>
      </c>
      <c r="H81" s="2"/>
      <c r="I81" s="2" t="s">
        <v>824</v>
      </c>
    </row>
    <row r="82" spans="1:11" x14ac:dyDescent="0.25">
      <c r="A82" s="68">
        <v>45982</v>
      </c>
      <c r="B82" s="2">
        <v>9</v>
      </c>
      <c r="C82" s="2" t="s">
        <v>722</v>
      </c>
      <c r="D82" s="2" t="s">
        <v>87</v>
      </c>
      <c r="E82" s="3">
        <v>509</v>
      </c>
      <c r="F82" s="3">
        <f t="shared" si="2"/>
        <v>4581</v>
      </c>
      <c r="G82" s="2" t="s">
        <v>770</v>
      </c>
      <c r="H82" s="2"/>
      <c r="I82" s="2" t="s">
        <v>824</v>
      </c>
    </row>
    <row r="83" spans="1:11" x14ac:dyDescent="0.25">
      <c r="A83" s="68">
        <v>45982</v>
      </c>
      <c r="B83" s="2">
        <v>8</v>
      </c>
      <c r="C83" s="2" t="s">
        <v>722</v>
      </c>
      <c r="D83" s="2" t="s">
        <v>87</v>
      </c>
      <c r="E83" s="3">
        <v>509</v>
      </c>
      <c r="F83" s="3">
        <f t="shared" si="2"/>
        <v>4072</v>
      </c>
      <c r="G83" s="2" t="s">
        <v>769</v>
      </c>
      <c r="H83" s="2"/>
      <c r="I83" s="2" t="s">
        <v>768</v>
      </c>
    </row>
    <row r="84" spans="1:11" x14ac:dyDescent="0.25">
      <c r="A84" s="68">
        <v>45984</v>
      </c>
      <c r="B84" s="2">
        <v>14</v>
      </c>
      <c r="C84" s="2" t="s">
        <v>664</v>
      </c>
      <c r="D84" s="2" t="s">
        <v>731</v>
      </c>
      <c r="E84" s="3">
        <v>398</v>
      </c>
      <c r="F84" s="3">
        <f t="shared" si="2"/>
        <v>5572</v>
      </c>
      <c r="G84" s="2" t="s">
        <v>8</v>
      </c>
      <c r="H84" s="68">
        <v>45985</v>
      </c>
      <c r="I84" s="2" t="s">
        <v>824</v>
      </c>
    </row>
    <row r="85" spans="1:11" x14ac:dyDescent="0.25">
      <c r="A85" s="68">
        <v>45984</v>
      </c>
      <c r="B85" s="2">
        <v>5</v>
      </c>
      <c r="C85" s="2" t="s">
        <v>664</v>
      </c>
      <c r="D85" s="2" t="s">
        <v>496</v>
      </c>
      <c r="E85" s="3">
        <v>398</v>
      </c>
      <c r="F85" s="3">
        <f t="shared" si="2"/>
        <v>1990</v>
      </c>
      <c r="G85" s="2" t="s">
        <v>8</v>
      </c>
      <c r="H85" s="68">
        <v>45985</v>
      </c>
      <c r="I85" s="2" t="s">
        <v>824</v>
      </c>
      <c r="K85" t="s">
        <v>739</v>
      </c>
    </row>
    <row r="86" spans="1:11" x14ac:dyDescent="0.25">
      <c r="A86" s="68">
        <v>45984</v>
      </c>
      <c r="B86" s="2">
        <v>27</v>
      </c>
      <c r="C86" s="2" t="s">
        <v>664</v>
      </c>
      <c r="D86" s="2" t="s">
        <v>492</v>
      </c>
      <c r="E86" s="3">
        <v>398</v>
      </c>
      <c r="F86" s="3">
        <f t="shared" si="2"/>
        <v>10746</v>
      </c>
      <c r="G86" s="2" t="s">
        <v>8</v>
      </c>
      <c r="H86" s="68">
        <v>45985</v>
      </c>
      <c r="I86" s="2" t="s">
        <v>824</v>
      </c>
    </row>
    <row r="87" spans="1:11" x14ac:dyDescent="0.25">
      <c r="A87" s="68">
        <v>45984</v>
      </c>
      <c r="B87" s="2">
        <v>20</v>
      </c>
      <c r="C87" s="2" t="s">
        <v>664</v>
      </c>
      <c r="D87" s="2" t="s">
        <v>498</v>
      </c>
      <c r="E87" s="3">
        <v>398</v>
      </c>
      <c r="F87" s="3">
        <f t="shared" si="2"/>
        <v>7960</v>
      </c>
      <c r="G87" s="2" t="s">
        <v>8</v>
      </c>
      <c r="H87" s="68">
        <v>45985</v>
      </c>
      <c r="I87" s="2" t="s">
        <v>824</v>
      </c>
    </row>
    <row r="88" spans="1:11" x14ac:dyDescent="0.25">
      <c r="A88" s="68">
        <v>45984</v>
      </c>
      <c r="B88" s="2">
        <v>12</v>
      </c>
      <c r="C88" s="2" t="s">
        <v>664</v>
      </c>
      <c r="D88" s="2" t="s">
        <v>497</v>
      </c>
      <c r="E88" s="3">
        <v>398</v>
      </c>
      <c r="F88" s="3">
        <f t="shared" si="2"/>
        <v>4776</v>
      </c>
      <c r="G88" s="2" t="s">
        <v>8</v>
      </c>
      <c r="H88" s="68">
        <v>45985</v>
      </c>
      <c r="I88" s="2" t="s">
        <v>824</v>
      </c>
    </row>
    <row r="89" spans="1:11" x14ac:dyDescent="0.25">
      <c r="A89" s="68">
        <v>45984</v>
      </c>
      <c r="B89" s="2">
        <v>19</v>
      </c>
      <c r="C89" s="2" t="s">
        <v>664</v>
      </c>
      <c r="D89" s="2" t="s">
        <v>733</v>
      </c>
      <c r="E89" s="3">
        <v>398</v>
      </c>
      <c r="F89" s="3">
        <f t="shared" si="2"/>
        <v>7562</v>
      </c>
      <c r="G89" s="2" t="s">
        <v>8</v>
      </c>
      <c r="H89" s="68">
        <v>45985</v>
      </c>
      <c r="I89" s="2" t="s">
        <v>824</v>
      </c>
    </row>
    <row r="90" spans="1:11" x14ac:dyDescent="0.25">
      <c r="A90" s="68">
        <v>45984</v>
      </c>
      <c r="B90" s="2">
        <v>10</v>
      </c>
      <c r="C90" s="2" t="s">
        <v>664</v>
      </c>
      <c r="D90" s="2" t="s">
        <v>734</v>
      </c>
      <c r="E90" s="3">
        <v>398</v>
      </c>
      <c r="F90" s="3">
        <f t="shared" si="2"/>
        <v>3980</v>
      </c>
      <c r="G90" s="2" t="s">
        <v>8</v>
      </c>
      <c r="H90" s="68">
        <v>45985</v>
      </c>
      <c r="I90" s="2" t="s">
        <v>824</v>
      </c>
    </row>
    <row r="91" spans="1:11" x14ac:dyDescent="0.25">
      <c r="A91" s="68">
        <v>45984</v>
      </c>
      <c r="B91" s="2">
        <v>17</v>
      </c>
      <c r="C91" s="2" t="s">
        <v>664</v>
      </c>
      <c r="D91" s="2" t="s">
        <v>735</v>
      </c>
      <c r="E91" s="3">
        <v>398</v>
      </c>
      <c r="F91" s="3">
        <f t="shared" si="2"/>
        <v>6766</v>
      </c>
      <c r="G91" s="2" t="s">
        <v>8</v>
      </c>
      <c r="H91" s="68">
        <v>45985</v>
      </c>
      <c r="I91" s="2" t="s">
        <v>824</v>
      </c>
    </row>
    <row r="92" spans="1:11" x14ac:dyDescent="0.25">
      <c r="A92" s="68">
        <v>45985</v>
      </c>
      <c r="B92" s="2">
        <v>27</v>
      </c>
      <c r="C92" s="2" t="s">
        <v>664</v>
      </c>
      <c r="D92" s="2" t="s">
        <v>732</v>
      </c>
      <c r="E92" s="3">
        <v>398</v>
      </c>
      <c r="F92" s="3">
        <f t="shared" si="2"/>
        <v>10746</v>
      </c>
      <c r="G92" s="2" t="s">
        <v>8</v>
      </c>
      <c r="H92" s="68">
        <v>45985</v>
      </c>
      <c r="I92" s="2" t="s">
        <v>824</v>
      </c>
    </row>
    <row r="93" spans="1:11" x14ac:dyDescent="0.25">
      <c r="A93" s="68">
        <v>45985</v>
      </c>
      <c r="B93" s="2">
        <v>11</v>
      </c>
      <c r="C93" s="2" t="s">
        <v>664</v>
      </c>
      <c r="D93" s="2" t="s">
        <v>732</v>
      </c>
      <c r="E93" s="3">
        <v>398</v>
      </c>
      <c r="F93" s="3">
        <f t="shared" si="2"/>
        <v>4378</v>
      </c>
      <c r="G93" s="2" t="s">
        <v>8</v>
      </c>
      <c r="H93" s="2"/>
      <c r="I93" s="2" t="s">
        <v>824</v>
      </c>
    </row>
    <row r="94" spans="1:11" x14ac:dyDescent="0.25">
      <c r="A94" s="68">
        <v>45985</v>
      </c>
      <c r="B94" s="2">
        <v>1</v>
      </c>
      <c r="C94" s="2" t="s">
        <v>737</v>
      </c>
      <c r="D94" s="2" t="s">
        <v>738</v>
      </c>
      <c r="E94" s="3">
        <v>105</v>
      </c>
      <c r="F94" s="3">
        <f t="shared" si="2"/>
        <v>105</v>
      </c>
      <c r="G94" s="2"/>
      <c r="H94" s="2"/>
      <c r="I94" s="2" t="s">
        <v>85</v>
      </c>
    </row>
    <row r="95" spans="1:11" x14ac:dyDescent="0.25">
      <c r="A95" s="68">
        <v>45985</v>
      </c>
      <c r="B95" s="2">
        <v>2</v>
      </c>
      <c r="C95" s="2" t="s">
        <v>323</v>
      </c>
      <c r="D95" s="2" t="s">
        <v>358</v>
      </c>
      <c r="E95" s="3">
        <v>679</v>
      </c>
      <c r="F95" s="3">
        <f t="shared" si="2"/>
        <v>1358</v>
      </c>
      <c r="G95" s="2" t="s">
        <v>365</v>
      </c>
      <c r="H95" s="2"/>
      <c r="I95" s="2" t="s">
        <v>654</v>
      </c>
    </row>
    <row r="96" spans="1:11" x14ac:dyDescent="0.25">
      <c r="A96" s="68">
        <v>45988</v>
      </c>
      <c r="B96" s="2">
        <v>50</v>
      </c>
      <c r="C96" s="2" t="s">
        <v>664</v>
      </c>
      <c r="D96" s="2" t="s">
        <v>740</v>
      </c>
      <c r="E96" s="3">
        <v>398</v>
      </c>
      <c r="F96" s="3">
        <f t="shared" si="2"/>
        <v>19900</v>
      </c>
      <c r="G96" s="2" t="s">
        <v>751</v>
      </c>
      <c r="H96" s="2"/>
      <c r="I96" s="2" t="s">
        <v>824</v>
      </c>
    </row>
    <row r="97" spans="1:9" x14ac:dyDescent="0.25">
      <c r="A97" s="68">
        <v>45988</v>
      </c>
      <c r="B97" s="2">
        <v>1</v>
      </c>
      <c r="C97" s="2" t="s">
        <v>741</v>
      </c>
      <c r="D97" s="2" t="s">
        <v>740</v>
      </c>
      <c r="E97" s="3">
        <v>200</v>
      </c>
      <c r="F97" s="3">
        <f t="shared" si="2"/>
        <v>200</v>
      </c>
      <c r="G97" s="2"/>
      <c r="H97" s="2"/>
      <c r="I97" s="2" t="s">
        <v>85</v>
      </c>
    </row>
    <row r="98" spans="1:9" x14ac:dyDescent="0.25">
      <c r="A98" s="68">
        <v>45988</v>
      </c>
      <c r="B98" s="2">
        <v>10</v>
      </c>
      <c r="C98" s="2" t="s">
        <v>647</v>
      </c>
      <c r="D98" s="2" t="s">
        <v>335</v>
      </c>
      <c r="E98" s="3">
        <v>410</v>
      </c>
      <c r="F98" s="3">
        <f t="shared" si="2"/>
        <v>4100</v>
      </c>
      <c r="G98" s="2" t="s">
        <v>742</v>
      </c>
      <c r="H98" s="2"/>
      <c r="I98" s="2" t="s">
        <v>824</v>
      </c>
    </row>
    <row r="99" spans="1:9" x14ac:dyDescent="0.25">
      <c r="A99" s="68">
        <v>45989</v>
      </c>
      <c r="B99" s="2">
        <v>6</v>
      </c>
      <c r="C99" s="2" t="s">
        <v>647</v>
      </c>
      <c r="D99" s="2" t="s">
        <v>364</v>
      </c>
      <c r="E99" s="3">
        <v>419</v>
      </c>
      <c r="F99" s="3">
        <f t="shared" si="2"/>
        <v>2514</v>
      </c>
      <c r="G99" s="2" t="s">
        <v>771</v>
      </c>
      <c r="H99" s="2"/>
      <c r="I99" s="2" t="s">
        <v>824</v>
      </c>
    </row>
    <row r="100" spans="1:9" x14ac:dyDescent="0.25">
      <c r="A100" s="68">
        <v>45989</v>
      </c>
      <c r="B100" s="2">
        <v>10</v>
      </c>
      <c r="C100" s="2" t="s">
        <v>744</v>
      </c>
      <c r="D100" s="2" t="s">
        <v>364</v>
      </c>
      <c r="E100" s="3">
        <v>125</v>
      </c>
      <c r="F100" s="3">
        <f t="shared" si="2"/>
        <v>1250</v>
      </c>
      <c r="G100" s="2" t="s">
        <v>873</v>
      </c>
      <c r="H100" s="2"/>
      <c r="I100" s="2"/>
    </row>
    <row r="101" spans="1:9" x14ac:dyDescent="0.25">
      <c r="A101" s="68">
        <v>45989</v>
      </c>
      <c r="B101" s="2">
        <v>3</v>
      </c>
      <c r="C101" s="2" t="s">
        <v>647</v>
      </c>
      <c r="D101" s="2" t="s">
        <v>364</v>
      </c>
      <c r="E101" s="3">
        <v>419</v>
      </c>
      <c r="F101" s="3">
        <f t="shared" si="2"/>
        <v>1257</v>
      </c>
      <c r="G101" s="2" t="s">
        <v>873</v>
      </c>
      <c r="H101" s="2"/>
      <c r="I101" s="2"/>
    </row>
    <row r="102" spans="1:9" x14ac:dyDescent="0.25">
      <c r="A102" s="68">
        <v>45989</v>
      </c>
      <c r="B102" s="2">
        <v>2</v>
      </c>
      <c r="C102" s="2" t="s">
        <v>647</v>
      </c>
      <c r="D102" s="2" t="s">
        <v>364</v>
      </c>
      <c r="E102" s="3">
        <v>419</v>
      </c>
      <c r="F102" s="3">
        <f t="shared" si="2"/>
        <v>838</v>
      </c>
      <c r="G102" s="2" t="s">
        <v>901</v>
      </c>
      <c r="H102" s="2"/>
      <c r="I102" s="2"/>
    </row>
    <row r="103" spans="1:9" x14ac:dyDescent="0.25">
      <c r="A103" s="68">
        <v>45990</v>
      </c>
      <c r="B103" s="2">
        <v>1</v>
      </c>
      <c r="C103" s="2" t="s">
        <v>716</v>
      </c>
      <c r="D103" s="2" t="s">
        <v>745</v>
      </c>
      <c r="E103" s="3">
        <v>467</v>
      </c>
      <c r="F103" s="3">
        <f t="shared" si="2"/>
        <v>467</v>
      </c>
      <c r="G103" s="2" t="s">
        <v>8</v>
      </c>
      <c r="H103" s="2"/>
      <c r="I103" s="2" t="s">
        <v>824</v>
      </c>
    </row>
    <row r="104" spans="1:9" x14ac:dyDescent="0.25">
      <c r="A104" s="68">
        <v>45990</v>
      </c>
      <c r="B104" s="2">
        <v>2</v>
      </c>
      <c r="C104" s="2" t="s">
        <v>716</v>
      </c>
      <c r="D104" s="2" t="s">
        <v>331</v>
      </c>
      <c r="E104" s="3">
        <v>479</v>
      </c>
      <c r="F104" s="3">
        <f t="shared" si="2"/>
        <v>958</v>
      </c>
      <c r="G104" s="2" t="s">
        <v>8</v>
      </c>
      <c r="H104" s="2"/>
      <c r="I104" s="2" t="s">
        <v>824</v>
      </c>
    </row>
    <row r="105" spans="1:9" x14ac:dyDescent="0.25">
      <c r="A105" s="68">
        <v>45990</v>
      </c>
      <c r="B105" s="2">
        <v>2</v>
      </c>
      <c r="C105" s="2" t="s">
        <v>664</v>
      </c>
      <c r="D105" s="2" t="s">
        <v>331</v>
      </c>
      <c r="E105" s="3">
        <v>399</v>
      </c>
      <c r="F105" s="3">
        <f t="shared" si="2"/>
        <v>798</v>
      </c>
      <c r="G105" s="2" t="s">
        <v>8</v>
      </c>
      <c r="H105" s="2"/>
      <c r="I105" s="2" t="s">
        <v>824</v>
      </c>
    </row>
    <row r="106" spans="1:9" x14ac:dyDescent="0.25">
      <c r="A106" s="68">
        <v>45990</v>
      </c>
      <c r="B106" s="2">
        <v>3</v>
      </c>
      <c r="C106" s="2" t="s">
        <v>647</v>
      </c>
      <c r="D106" s="2" t="s">
        <v>230</v>
      </c>
      <c r="E106" s="3">
        <v>419</v>
      </c>
      <c r="F106" s="3">
        <f t="shared" si="2"/>
        <v>1257</v>
      </c>
      <c r="G106" s="2" t="s">
        <v>8</v>
      </c>
      <c r="H106" s="2"/>
      <c r="I106" s="2" t="s">
        <v>824</v>
      </c>
    </row>
    <row r="107" spans="1:9" x14ac:dyDescent="0.25">
      <c r="A107" s="68">
        <v>45990</v>
      </c>
      <c r="B107" s="2">
        <v>2</v>
      </c>
      <c r="C107" s="2" t="s">
        <v>716</v>
      </c>
      <c r="D107" s="2" t="s">
        <v>230</v>
      </c>
      <c r="E107" s="3">
        <v>479</v>
      </c>
      <c r="F107" s="3">
        <f t="shared" si="2"/>
        <v>958</v>
      </c>
      <c r="G107" s="2" t="s">
        <v>8</v>
      </c>
      <c r="H107" s="2"/>
      <c r="I107" s="2" t="s">
        <v>824</v>
      </c>
    </row>
    <row r="108" spans="1:9" x14ac:dyDescent="0.25">
      <c r="A108" s="68">
        <v>45990</v>
      </c>
      <c r="B108" s="2">
        <v>3</v>
      </c>
      <c r="C108" s="2" t="s">
        <v>746</v>
      </c>
      <c r="D108" s="2" t="s">
        <v>230</v>
      </c>
      <c r="E108" s="3">
        <v>105</v>
      </c>
      <c r="F108" s="3">
        <f t="shared" si="2"/>
        <v>315</v>
      </c>
      <c r="G108" s="2" t="s">
        <v>8</v>
      </c>
      <c r="H108" s="2"/>
      <c r="I108" s="2" t="s">
        <v>824</v>
      </c>
    </row>
    <row r="109" spans="1:9" x14ac:dyDescent="0.25">
      <c r="A109" s="68">
        <v>45990</v>
      </c>
      <c r="B109" s="2">
        <v>2</v>
      </c>
      <c r="C109" s="2" t="s">
        <v>664</v>
      </c>
      <c r="D109" s="2" t="s">
        <v>230</v>
      </c>
      <c r="E109" s="3">
        <v>299</v>
      </c>
      <c r="F109" s="3">
        <f t="shared" si="2"/>
        <v>598</v>
      </c>
      <c r="G109" s="2" t="s">
        <v>8</v>
      </c>
      <c r="H109" s="2"/>
      <c r="I109" s="2" t="s">
        <v>824</v>
      </c>
    </row>
    <row r="110" spans="1:9" x14ac:dyDescent="0.25">
      <c r="A110" s="68">
        <v>45990</v>
      </c>
      <c r="B110" s="2">
        <v>1</v>
      </c>
      <c r="C110" s="2" t="s">
        <v>747</v>
      </c>
      <c r="D110" s="2" t="s">
        <v>230</v>
      </c>
      <c r="E110" s="3">
        <v>399</v>
      </c>
      <c r="F110" s="3">
        <f t="shared" si="2"/>
        <v>399</v>
      </c>
      <c r="G110" s="2" t="s">
        <v>873</v>
      </c>
      <c r="H110" s="2"/>
      <c r="I110" s="2"/>
    </row>
    <row r="111" spans="1:9" x14ac:dyDescent="0.25">
      <c r="A111" s="68">
        <v>45990</v>
      </c>
      <c r="B111" s="2">
        <v>4</v>
      </c>
      <c r="C111" s="2" t="s">
        <v>664</v>
      </c>
      <c r="D111" s="2" t="s">
        <v>748</v>
      </c>
      <c r="E111" s="3">
        <v>398</v>
      </c>
      <c r="F111" s="3">
        <f t="shared" si="2"/>
        <v>1592</v>
      </c>
      <c r="G111" s="2" t="s">
        <v>8</v>
      </c>
      <c r="H111" s="2"/>
      <c r="I111" s="2" t="s">
        <v>824</v>
      </c>
    </row>
    <row r="112" spans="1:9" x14ac:dyDescent="0.25">
      <c r="A112" s="68">
        <v>45990</v>
      </c>
      <c r="B112" s="2">
        <v>2</v>
      </c>
      <c r="C112" s="2" t="s">
        <v>664</v>
      </c>
      <c r="D112" s="2" t="s">
        <v>748</v>
      </c>
      <c r="E112" s="3">
        <v>398</v>
      </c>
      <c r="F112" s="3">
        <f t="shared" si="2"/>
        <v>796</v>
      </c>
      <c r="G112" s="2" t="s">
        <v>792</v>
      </c>
      <c r="H112" s="2"/>
      <c r="I112" s="2" t="s">
        <v>824</v>
      </c>
    </row>
    <row r="113" spans="1:9" x14ac:dyDescent="0.25">
      <c r="A113" s="68">
        <v>45990</v>
      </c>
      <c r="B113" s="2">
        <v>4</v>
      </c>
      <c r="C113" s="2" t="s">
        <v>664</v>
      </c>
      <c r="D113" s="2" t="s">
        <v>495</v>
      </c>
      <c r="E113" s="3">
        <v>398</v>
      </c>
      <c r="F113" s="3">
        <f t="shared" si="2"/>
        <v>1592</v>
      </c>
      <c r="G113" s="2" t="s">
        <v>8</v>
      </c>
      <c r="H113" s="2"/>
      <c r="I113" s="2" t="s">
        <v>824</v>
      </c>
    </row>
    <row r="114" spans="1:9" x14ac:dyDescent="0.25">
      <c r="A114" s="68">
        <v>45990</v>
      </c>
      <c r="B114" s="2">
        <v>3</v>
      </c>
      <c r="C114" s="2" t="s">
        <v>664</v>
      </c>
      <c r="D114" s="2" t="s">
        <v>749</v>
      </c>
      <c r="E114" s="3">
        <v>398</v>
      </c>
      <c r="F114" s="3">
        <f t="shared" si="2"/>
        <v>1194</v>
      </c>
      <c r="G114" s="2" t="s">
        <v>8</v>
      </c>
      <c r="H114" s="2"/>
      <c r="I114" s="2" t="s">
        <v>824</v>
      </c>
    </row>
    <row r="115" spans="1:9" x14ac:dyDescent="0.25">
      <c r="A115" s="80">
        <v>45990</v>
      </c>
      <c r="B115" s="10">
        <v>5</v>
      </c>
      <c r="C115" s="10" t="s">
        <v>664</v>
      </c>
      <c r="D115" s="10" t="s">
        <v>677</v>
      </c>
      <c r="E115" s="50">
        <v>398</v>
      </c>
      <c r="F115" s="50">
        <f t="shared" si="2"/>
        <v>1990</v>
      </c>
      <c r="G115" s="10" t="s">
        <v>62</v>
      </c>
      <c r="H115" s="10"/>
      <c r="I115" s="10" t="s">
        <v>823</v>
      </c>
    </row>
    <row r="116" spans="1:9" x14ac:dyDescent="0.25">
      <c r="A116" s="80">
        <v>45990</v>
      </c>
      <c r="B116" s="10">
        <v>35</v>
      </c>
      <c r="C116" s="10" t="s">
        <v>664</v>
      </c>
      <c r="D116" s="10" t="s">
        <v>677</v>
      </c>
      <c r="E116" s="50">
        <v>0</v>
      </c>
      <c r="F116" s="50">
        <f t="shared" si="2"/>
        <v>0</v>
      </c>
      <c r="G116" s="10" t="s">
        <v>758</v>
      </c>
      <c r="H116" s="10"/>
      <c r="I116" s="10" t="s">
        <v>823</v>
      </c>
    </row>
    <row r="117" spans="1:9" x14ac:dyDescent="0.25">
      <c r="A117" s="68">
        <v>45991</v>
      </c>
      <c r="B117" s="2">
        <v>18</v>
      </c>
      <c r="C117" s="2" t="s">
        <v>664</v>
      </c>
      <c r="D117" s="2" t="s">
        <v>759</v>
      </c>
      <c r="E117" s="3">
        <v>398</v>
      </c>
      <c r="F117" s="3">
        <f t="shared" si="2"/>
        <v>7164</v>
      </c>
      <c r="G117" s="2" t="s">
        <v>8</v>
      </c>
      <c r="H117" s="2"/>
      <c r="I117" s="2" t="s">
        <v>824</v>
      </c>
    </row>
    <row r="118" spans="1:9" x14ac:dyDescent="0.25">
      <c r="A118" s="68">
        <v>45991</v>
      </c>
      <c r="B118" s="2">
        <v>9</v>
      </c>
      <c r="C118" s="2" t="s">
        <v>664</v>
      </c>
      <c r="D118" s="2" t="s">
        <v>760</v>
      </c>
      <c r="E118" s="3">
        <v>398</v>
      </c>
      <c r="F118" s="3">
        <f t="shared" si="2"/>
        <v>3582</v>
      </c>
      <c r="G118" s="2" t="s">
        <v>8</v>
      </c>
      <c r="H118" s="2"/>
      <c r="I118" s="2" t="s">
        <v>824</v>
      </c>
    </row>
    <row r="119" spans="1:9" x14ac:dyDescent="0.25">
      <c r="A119" s="68">
        <v>45991</v>
      </c>
      <c r="B119" s="2">
        <v>1</v>
      </c>
      <c r="C119" s="2" t="s">
        <v>664</v>
      </c>
      <c r="D119" s="2" t="s">
        <v>761</v>
      </c>
      <c r="E119" s="3">
        <v>299</v>
      </c>
      <c r="F119" s="3">
        <f t="shared" si="2"/>
        <v>299</v>
      </c>
      <c r="G119" s="2" t="s">
        <v>8</v>
      </c>
      <c r="H119" s="2"/>
      <c r="I119" s="2" t="s">
        <v>824</v>
      </c>
    </row>
    <row r="120" spans="1:9" x14ac:dyDescent="0.25">
      <c r="A120" s="68">
        <v>45991</v>
      </c>
      <c r="B120" s="2">
        <v>2</v>
      </c>
      <c r="C120" s="2" t="s">
        <v>716</v>
      </c>
      <c r="D120" s="2" t="s">
        <v>761</v>
      </c>
      <c r="E120" s="3">
        <v>479</v>
      </c>
      <c r="F120" s="3">
        <f t="shared" si="2"/>
        <v>958</v>
      </c>
      <c r="G120" s="2" t="s">
        <v>8</v>
      </c>
      <c r="H120" s="2"/>
      <c r="I120" s="2" t="s">
        <v>824</v>
      </c>
    </row>
    <row r="121" spans="1:9" x14ac:dyDescent="0.25">
      <c r="A121" s="68">
        <v>45991</v>
      </c>
      <c r="B121" s="2">
        <v>8</v>
      </c>
      <c r="C121" s="2" t="s">
        <v>697</v>
      </c>
      <c r="D121" s="2" t="s">
        <v>761</v>
      </c>
      <c r="E121" s="3">
        <v>125</v>
      </c>
      <c r="F121" s="3">
        <f t="shared" si="2"/>
        <v>1000</v>
      </c>
      <c r="G121" s="2" t="s">
        <v>8</v>
      </c>
      <c r="H121" s="2"/>
      <c r="I121" s="2" t="s">
        <v>824</v>
      </c>
    </row>
    <row r="122" spans="1:9" x14ac:dyDescent="0.25">
      <c r="A122" s="68">
        <v>45991</v>
      </c>
      <c r="B122" s="2">
        <v>1</v>
      </c>
      <c r="C122" s="2" t="s">
        <v>762</v>
      </c>
      <c r="D122" s="2" t="s">
        <v>761</v>
      </c>
      <c r="E122" s="3">
        <v>380</v>
      </c>
      <c r="F122" s="3">
        <f t="shared" si="2"/>
        <v>380</v>
      </c>
      <c r="G122" s="2" t="s">
        <v>8</v>
      </c>
      <c r="H122" s="2"/>
      <c r="I122" s="2" t="s">
        <v>824</v>
      </c>
    </row>
    <row r="123" spans="1:9" x14ac:dyDescent="0.25">
      <c r="A123" s="68">
        <v>45991</v>
      </c>
      <c r="B123" s="2">
        <v>1</v>
      </c>
      <c r="C123" s="2" t="s">
        <v>691</v>
      </c>
      <c r="D123" s="2" t="s">
        <v>761</v>
      </c>
      <c r="E123" s="3">
        <v>419</v>
      </c>
      <c r="F123" s="3">
        <f t="shared" si="2"/>
        <v>419</v>
      </c>
      <c r="G123" s="2" t="s">
        <v>8</v>
      </c>
      <c r="H123" s="2"/>
      <c r="I123" s="2" t="s">
        <v>824</v>
      </c>
    </row>
    <row r="124" spans="1:9" x14ac:dyDescent="0.25">
      <c r="A124" s="68">
        <v>45991</v>
      </c>
      <c r="B124" s="2">
        <v>2</v>
      </c>
      <c r="C124" s="2" t="s">
        <v>664</v>
      </c>
      <c r="D124" s="2" t="s">
        <v>763</v>
      </c>
      <c r="E124" s="3">
        <v>398</v>
      </c>
      <c r="F124" s="3">
        <f t="shared" si="2"/>
        <v>796</v>
      </c>
      <c r="G124" s="2" t="s">
        <v>8</v>
      </c>
      <c r="H124" s="2"/>
      <c r="I124" s="2" t="s">
        <v>824</v>
      </c>
    </row>
    <row r="125" spans="1:9" x14ac:dyDescent="0.25">
      <c r="A125" s="68">
        <v>45991</v>
      </c>
      <c r="B125" s="2">
        <v>2</v>
      </c>
      <c r="C125" s="2" t="s">
        <v>664</v>
      </c>
      <c r="D125" s="2" t="s">
        <v>763</v>
      </c>
      <c r="E125" s="3">
        <v>398</v>
      </c>
      <c r="F125" s="3">
        <f t="shared" si="2"/>
        <v>796</v>
      </c>
      <c r="G125" s="2" t="s">
        <v>781</v>
      </c>
      <c r="H125" s="2"/>
      <c r="I125" s="2" t="s">
        <v>824</v>
      </c>
    </row>
    <row r="126" spans="1:9" x14ac:dyDescent="0.25">
      <c r="A126" s="68">
        <v>45991</v>
      </c>
      <c r="B126" s="2">
        <v>4</v>
      </c>
      <c r="C126" s="2" t="s">
        <v>664</v>
      </c>
      <c r="D126" s="2" t="s">
        <v>764</v>
      </c>
      <c r="E126" s="3">
        <v>398</v>
      </c>
      <c r="F126" s="3">
        <f t="shared" si="2"/>
        <v>1592</v>
      </c>
      <c r="G126" s="2" t="s">
        <v>781</v>
      </c>
      <c r="H126" s="2"/>
      <c r="I126" s="2" t="s">
        <v>824</v>
      </c>
    </row>
    <row r="127" spans="1:9" x14ac:dyDescent="0.25">
      <c r="A127" s="68">
        <v>45991</v>
      </c>
      <c r="B127" s="2">
        <v>2</v>
      </c>
      <c r="C127" s="2" t="s">
        <v>664</v>
      </c>
      <c r="D127" s="2" t="s">
        <v>764</v>
      </c>
      <c r="E127" s="3">
        <v>398</v>
      </c>
      <c r="F127" s="3">
        <f t="shared" si="2"/>
        <v>796</v>
      </c>
      <c r="G127" s="2" t="s">
        <v>8</v>
      </c>
      <c r="H127" s="2"/>
      <c r="I127" s="2" t="s">
        <v>824</v>
      </c>
    </row>
    <row r="128" spans="1:9" x14ac:dyDescent="0.25">
      <c r="A128" s="68">
        <v>45991</v>
      </c>
      <c r="B128" s="2">
        <v>3</v>
      </c>
      <c r="C128" s="2" t="s">
        <v>664</v>
      </c>
      <c r="D128" s="2" t="s">
        <v>364</v>
      </c>
      <c r="E128" s="3">
        <v>299</v>
      </c>
      <c r="F128" s="3">
        <f t="shared" si="2"/>
        <v>897</v>
      </c>
      <c r="G128" s="2" t="s">
        <v>8</v>
      </c>
      <c r="H128" s="2"/>
      <c r="I128" s="2" t="s">
        <v>824</v>
      </c>
    </row>
    <row r="129" spans="1:9" x14ac:dyDescent="0.25">
      <c r="A129" s="68">
        <v>45991</v>
      </c>
      <c r="B129" s="2">
        <v>2</v>
      </c>
      <c r="C129" s="2" t="s">
        <v>716</v>
      </c>
      <c r="D129" s="2" t="s">
        <v>364</v>
      </c>
      <c r="E129" s="3">
        <v>479</v>
      </c>
      <c r="F129" s="3">
        <f t="shared" si="2"/>
        <v>958</v>
      </c>
      <c r="G129" s="2" t="s">
        <v>8</v>
      </c>
      <c r="H129" s="2"/>
      <c r="I129" s="2" t="s">
        <v>824</v>
      </c>
    </row>
    <row r="130" spans="1:9" x14ac:dyDescent="0.25">
      <c r="A130" s="68">
        <v>45991</v>
      </c>
      <c r="B130" s="2">
        <v>8</v>
      </c>
      <c r="C130" s="2" t="s">
        <v>697</v>
      </c>
      <c r="D130" s="2" t="s">
        <v>364</v>
      </c>
      <c r="E130" s="3">
        <v>125</v>
      </c>
      <c r="F130" s="3">
        <f t="shared" si="2"/>
        <v>1000</v>
      </c>
      <c r="G130" s="2" t="s">
        <v>8</v>
      </c>
      <c r="H130" s="2"/>
      <c r="I130" s="2" t="s">
        <v>824</v>
      </c>
    </row>
    <row r="131" spans="1:9" x14ac:dyDescent="0.25">
      <c r="A131" s="68">
        <v>45991</v>
      </c>
      <c r="B131" s="2">
        <v>7</v>
      </c>
      <c r="C131" s="2" t="s">
        <v>747</v>
      </c>
      <c r="D131" s="2" t="s">
        <v>364</v>
      </c>
      <c r="E131" s="3">
        <v>380</v>
      </c>
      <c r="F131" s="3">
        <f t="shared" si="2"/>
        <v>2660</v>
      </c>
      <c r="G131" s="2" t="s">
        <v>8</v>
      </c>
      <c r="H131" s="2"/>
      <c r="I131" s="2" t="s">
        <v>824</v>
      </c>
    </row>
    <row r="132" spans="1:9" x14ac:dyDescent="0.25">
      <c r="A132" s="68">
        <v>45991</v>
      </c>
      <c r="B132" s="2">
        <v>3</v>
      </c>
      <c r="C132" s="2" t="s">
        <v>691</v>
      </c>
      <c r="D132" s="2" t="s">
        <v>364</v>
      </c>
      <c r="E132" s="3">
        <v>410</v>
      </c>
      <c r="F132" s="3">
        <f t="shared" si="2"/>
        <v>1230</v>
      </c>
      <c r="G132" s="2" t="s">
        <v>826</v>
      </c>
      <c r="H132" s="2"/>
      <c r="I132" s="2" t="s">
        <v>824</v>
      </c>
    </row>
    <row r="133" spans="1:9" x14ac:dyDescent="0.25">
      <c r="A133" s="68">
        <v>45991</v>
      </c>
      <c r="B133" s="2">
        <v>47</v>
      </c>
      <c r="C133" s="2" t="s">
        <v>664</v>
      </c>
      <c r="D133" s="2" t="s">
        <v>775</v>
      </c>
      <c r="E133" s="3">
        <v>398</v>
      </c>
      <c r="F133" s="3">
        <f t="shared" si="2"/>
        <v>18706</v>
      </c>
      <c r="G133" s="2" t="s">
        <v>774</v>
      </c>
      <c r="H133" s="2"/>
      <c r="I133" s="2" t="s">
        <v>824</v>
      </c>
    </row>
    <row r="134" spans="1:9" x14ac:dyDescent="0.25">
      <c r="A134" s="68">
        <v>45991</v>
      </c>
      <c r="B134" s="2">
        <v>1</v>
      </c>
      <c r="C134" s="2" t="s">
        <v>776</v>
      </c>
      <c r="D134" s="2" t="s">
        <v>777</v>
      </c>
      <c r="E134" s="3">
        <v>470</v>
      </c>
      <c r="F134" s="3">
        <f t="shared" si="2"/>
        <v>470</v>
      </c>
      <c r="G134" s="2" t="s">
        <v>778</v>
      </c>
      <c r="H134" s="2"/>
      <c r="I134" s="2" t="s">
        <v>85</v>
      </c>
    </row>
    <row r="135" spans="1:9" x14ac:dyDescent="0.25">
      <c r="A135" s="68">
        <v>45991</v>
      </c>
      <c r="B135" s="2">
        <v>1</v>
      </c>
      <c r="C135" s="2" t="s">
        <v>542</v>
      </c>
      <c r="D135" s="2" t="s">
        <v>686</v>
      </c>
      <c r="E135" s="3">
        <v>10122.66</v>
      </c>
      <c r="F135" s="3">
        <f t="shared" si="2"/>
        <v>10122.66</v>
      </c>
      <c r="G135" s="2" t="s">
        <v>779</v>
      </c>
      <c r="H135" s="2"/>
      <c r="I135" s="2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sheetPr filterMode="1"/>
  <dimension ref="A1:V1029"/>
  <sheetViews>
    <sheetView workbookViewId="0">
      <selection activeCell="A234" sqref="A234:I234"/>
    </sheetView>
  </sheetViews>
  <sheetFormatPr defaultRowHeight="15" x14ac:dyDescent="0.25"/>
  <cols>
    <col min="3" max="3" width="26.140625" bestFit="1" customWidth="1"/>
    <col min="4" max="4" width="28.28515625" bestFit="1" customWidth="1"/>
    <col min="7" max="7" width="30.7109375" bestFit="1" customWidth="1"/>
    <col min="8" max="8" width="7.85546875" bestFit="1" customWidth="1"/>
    <col min="9" max="9" width="27.42578125" bestFit="1" customWidth="1"/>
    <col min="10" max="11" width="24.5703125" bestFit="1" customWidth="1"/>
    <col min="14" max="14" width="16.7109375" bestFit="1" customWidth="1"/>
    <col min="18" max="18" width="30.28515625" hidden="1" customWidth="1"/>
    <col min="19" max="19" width="10.42578125" hidden="1" customWidth="1"/>
    <col min="20" max="22" width="0" hidden="1" customWidth="1"/>
  </cols>
  <sheetData>
    <row r="1" spans="1:2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22" hidden="1" x14ac:dyDescent="0.25">
      <c r="A2" s="68">
        <v>45992</v>
      </c>
      <c r="B2" s="2">
        <v>2</v>
      </c>
      <c r="C2" s="2" t="s">
        <v>664</v>
      </c>
      <c r="D2" s="2" t="s">
        <v>780</v>
      </c>
      <c r="E2" s="65">
        <v>399</v>
      </c>
      <c r="F2" s="65">
        <f t="shared" ref="F2:F15" si="0">E2*B2</f>
        <v>798</v>
      </c>
      <c r="G2" s="2" t="s">
        <v>792</v>
      </c>
      <c r="H2" s="2"/>
      <c r="I2" s="2" t="s">
        <v>824</v>
      </c>
      <c r="R2" t="s">
        <v>78</v>
      </c>
      <c r="S2" t="s">
        <v>81</v>
      </c>
    </row>
    <row r="3" spans="1:22" hidden="1" x14ac:dyDescent="0.25">
      <c r="A3" s="68">
        <v>45992</v>
      </c>
      <c r="B3" s="2">
        <v>2</v>
      </c>
      <c r="C3" s="2" t="s">
        <v>664</v>
      </c>
      <c r="D3" s="2" t="s">
        <v>794</v>
      </c>
      <c r="E3" s="65">
        <v>398</v>
      </c>
      <c r="F3" s="65">
        <f t="shared" si="0"/>
        <v>796</v>
      </c>
      <c r="G3" s="2" t="s">
        <v>8</v>
      </c>
      <c r="H3" s="2"/>
      <c r="I3" s="2" t="s">
        <v>824</v>
      </c>
      <c r="L3">
        <v>2</v>
      </c>
      <c r="M3" t="s">
        <v>789</v>
      </c>
      <c r="N3" t="s">
        <v>39</v>
      </c>
      <c r="O3" t="s">
        <v>790</v>
      </c>
      <c r="R3" t="s">
        <v>866</v>
      </c>
      <c r="S3">
        <v>10</v>
      </c>
      <c r="U3">
        <v>200</v>
      </c>
      <c r="V3">
        <f>S3*U3</f>
        <v>2000</v>
      </c>
    </row>
    <row r="4" spans="1:22" x14ac:dyDescent="0.25">
      <c r="A4" s="68">
        <v>45992</v>
      </c>
      <c r="B4" s="2">
        <v>2</v>
      </c>
      <c r="C4" s="2" t="s">
        <v>784</v>
      </c>
      <c r="D4" s="2" t="s">
        <v>364</v>
      </c>
      <c r="E4" s="65">
        <v>479</v>
      </c>
      <c r="F4" s="65">
        <f t="shared" si="0"/>
        <v>958</v>
      </c>
      <c r="G4" s="2" t="s">
        <v>830</v>
      </c>
      <c r="H4" s="2"/>
      <c r="I4" s="2"/>
      <c r="R4" t="s">
        <v>803</v>
      </c>
      <c r="S4">
        <v>1</v>
      </c>
      <c r="V4">
        <f t="shared" ref="V4:V32" si="1">S4*U4</f>
        <v>0</v>
      </c>
    </row>
    <row r="5" spans="1:22" x14ac:dyDescent="0.25">
      <c r="A5" s="68">
        <v>45992</v>
      </c>
      <c r="B5" s="2">
        <v>2</v>
      </c>
      <c r="C5" s="2" t="s">
        <v>664</v>
      </c>
      <c r="D5" s="2" t="s">
        <v>364</v>
      </c>
      <c r="E5" s="65">
        <v>299</v>
      </c>
      <c r="F5" s="65">
        <f t="shared" si="0"/>
        <v>598</v>
      </c>
      <c r="G5" s="2" t="s">
        <v>830</v>
      </c>
      <c r="H5" s="2"/>
      <c r="I5" s="2"/>
      <c r="R5" t="s">
        <v>907</v>
      </c>
      <c r="S5">
        <v>27</v>
      </c>
      <c r="U5">
        <v>125</v>
      </c>
      <c r="V5">
        <f t="shared" si="1"/>
        <v>3375</v>
      </c>
    </row>
    <row r="6" spans="1:22" x14ac:dyDescent="0.25">
      <c r="A6" s="68">
        <v>45992</v>
      </c>
      <c r="B6" s="2">
        <v>3</v>
      </c>
      <c r="C6" s="2" t="s">
        <v>661</v>
      </c>
      <c r="D6" s="2" t="s">
        <v>364</v>
      </c>
      <c r="E6" s="65">
        <v>419</v>
      </c>
      <c r="F6" s="65">
        <f t="shared" si="0"/>
        <v>1257</v>
      </c>
      <c r="G6" s="2" t="s">
        <v>830</v>
      </c>
      <c r="H6" s="2"/>
      <c r="I6" s="2"/>
      <c r="R6" t="s">
        <v>323</v>
      </c>
      <c r="S6">
        <v>1</v>
      </c>
      <c r="U6">
        <v>400</v>
      </c>
      <c r="V6">
        <f t="shared" si="1"/>
        <v>400</v>
      </c>
    </row>
    <row r="7" spans="1:22" x14ac:dyDescent="0.25">
      <c r="A7" s="68">
        <v>45992</v>
      </c>
      <c r="B7" s="2">
        <v>10</v>
      </c>
      <c r="C7" s="2" t="s">
        <v>697</v>
      </c>
      <c r="D7" s="2" t="s">
        <v>364</v>
      </c>
      <c r="E7" s="65">
        <v>125</v>
      </c>
      <c r="F7" s="65">
        <f t="shared" si="0"/>
        <v>1250</v>
      </c>
      <c r="G7" s="2" t="s">
        <v>830</v>
      </c>
      <c r="H7" s="2"/>
      <c r="I7" s="2"/>
      <c r="R7" t="s">
        <v>874</v>
      </c>
      <c r="S7">
        <v>3</v>
      </c>
      <c r="U7">
        <v>990</v>
      </c>
      <c r="V7">
        <f t="shared" si="1"/>
        <v>2970</v>
      </c>
    </row>
    <row r="8" spans="1:22" x14ac:dyDescent="0.25">
      <c r="A8" s="68">
        <v>45992</v>
      </c>
      <c r="B8" s="2">
        <v>2</v>
      </c>
      <c r="C8" s="2" t="s">
        <v>784</v>
      </c>
      <c r="D8" s="2" t="s">
        <v>364</v>
      </c>
      <c r="E8" s="65">
        <v>479</v>
      </c>
      <c r="F8" s="65">
        <f t="shared" si="0"/>
        <v>958</v>
      </c>
      <c r="G8" s="2" t="s">
        <v>800</v>
      </c>
      <c r="H8" s="2"/>
      <c r="I8" s="2"/>
      <c r="R8" t="s">
        <v>863</v>
      </c>
      <c r="S8">
        <v>3</v>
      </c>
      <c r="U8">
        <v>700</v>
      </c>
      <c r="V8">
        <f t="shared" si="1"/>
        <v>2100</v>
      </c>
    </row>
    <row r="9" spans="1:22" x14ac:dyDescent="0.25">
      <c r="A9" s="68">
        <v>45992</v>
      </c>
      <c r="B9" s="2">
        <v>1</v>
      </c>
      <c r="C9" s="2" t="s">
        <v>664</v>
      </c>
      <c r="D9" s="2" t="s">
        <v>364</v>
      </c>
      <c r="E9" s="65">
        <v>299</v>
      </c>
      <c r="F9" s="65">
        <f t="shared" si="0"/>
        <v>299</v>
      </c>
      <c r="G9" s="2" t="s">
        <v>800</v>
      </c>
      <c r="H9" s="2"/>
      <c r="I9" s="2"/>
      <c r="R9" t="s">
        <v>661</v>
      </c>
      <c r="S9">
        <v>11</v>
      </c>
      <c r="U9">
        <v>100</v>
      </c>
      <c r="V9">
        <f t="shared" si="1"/>
        <v>1100</v>
      </c>
    </row>
    <row r="10" spans="1:22" x14ac:dyDescent="0.25">
      <c r="A10" s="82">
        <v>45992</v>
      </c>
      <c r="B10" s="24">
        <v>3</v>
      </c>
      <c r="C10" s="24" t="s">
        <v>661</v>
      </c>
      <c r="D10" s="24" t="s">
        <v>364</v>
      </c>
      <c r="E10" s="83">
        <v>419</v>
      </c>
      <c r="F10" s="83">
        <f t="shared" si="0"/>
        <v>1257</v>
      </c>
      <c r="G10" s="24" t="s">
        <v>800</v>
      </c>
      <c r="H10" s="24"/>
      <c r="I10" s="24"/>
      <c r="K10">
        <v>173</v>
      </c>
      <c r="R10" t="s">
        <v>707</v>
      </c>
      <c r="S10">
        <v>11</v>
      </c>
      <c r="U10">
        <v>50</v>
      </c>
      <c r="V10">
        <f t="shared" si="1"/>
        <v>550</v>
      </c>
    </row>
    <row r="11" spans="1:22" hidden="1" x14ac:dyDescent="0.25">
      <c r="A11" s="68">
        <v>45992</v>
      </c>
      <c r="B11" s="2">
        <v>1</v>
      </c>
      <c r="C11" s="2" t="s">
        <v>785</v>
      </c>
      <c r="D11" s="2" t="s">
        <v>30</v>
      </c>
      <c r="E11" s="65">
        <v>659</v>
      </c>
      <c r="F11" s="65">
        <f t="shared" si="0"/>
        <v>659</v>
      </c>
      <c r="G11" s="2" t="s">
        <v>791</v>
      </c>
      <c r="H11" s="2"/>
      <c r="I11" s="2" t="s">
        <v>824</v>
      </c>
      <c r="K11">
        <v>525</v>
      </c>
      <c r="R11" t="s">
        <v>837</v>
      </c>
      <c r="S11">
        <v>27</v>
      </c>
      <c r="U11">
        <v>500</v>
      </c>
      <c r="V11">
        <f t="shared" si="1"/>
        <v>13500</v>
      </c>
    </row>
    <row r="12" spans="1:22" hidden="1" x14ac:dyDescent="0.25">
      <c r="A12" s="68">
        <v>45992</v>
      </c>
      <c r="B12" s="2">
        <v>1</v>
      </c>
      <c r="C12" s="2" t="s">
        <v>786</v>
      </c>
      <c r="D12" s="2" t="s">
        <v>30</v>
      </c>
      <c r="E12" s="65">
        <v>509</v>
      </c>
      <c r="F12" s="65">
        <f t="shared" si="0"/>
        <v>509</v>
      </c>
      <c r="G12" s="2" t="s">
        <v>791</v>
      </c>
      <c r="H12" s="2"/>
      <c r="I12" s="2" t="s">
        <v>824</v>
      </c>
      <c r="K12">
        <v>760</v>
      </c>
      <c r="M12">
        <v>30000</v>
      </c>
      <c r="N12">
        <v>185000</v>
      </c>
      <c r="R12" t="s">
        <v>639</v>
      </c>
      <c r="S12">
        <v>3</v>
      </c>
      <c r="U12">
        <v>1300</v>
      </c>
      <c r="V12">
        <f t="shared" si="1"/>
        <v>3900</v>
      </c>
    </row>
    <row r="13" spans="1:22" hidden="1" x14ac:dyDescent="0.25">
      <c r="A13" s="68">
        <v>45992</v>
      </c>
      <c r="B13" s="2">
        <v>12</v>
      </c>
      <c r="C13" s="2" t="s">
        <v>664</v>
      </c>
      <c r="D13" s="2" t="s">
        <v>788</v>
      </c>
      <c r="E13" s="65">
        <v>398</v>
      </c>
      <c r="F13" s="65">
        <f t="shared" si="0"/>
        <v>4776</v>
      </c>
      <c r="G13" s="2" t="s">
        <v>428</v>
      </c>
      <c r="H13" s="2"/>
      <c r="I13" s="2" t="s">
        <v>824</v>
      </c>
      <c r="M13">
        <v>85000</v>
      </c>
      <c r="R13" t="s">
        <v>832</v>
      </c>
      <c r="S13">
        <v>4</v>
      </c>
      <c r="U13">
        <v>350</v>
      </c>
      <c r="V13">
        <f t="shared" si="1"/>
        <v>1400</v>
      </c>
    </row>
    <row r="14" spans="1:22" hidden="1" x14ac:dyDescent="0.25">
      <c r="A14" s="68">
        <v>45993</v>
      </c>
      <c r="B14" s="2">
        <v>2</v>
      </c>
      <c r="C14" s="2" t="s">
        <v>664</v>
      </c>
      <c r="D14" s="2" t="s">
        <v>28</v>
      </c>
      <c r="E14" s="65">
        <v>398</v>
      </c>
      <c r="F14" s="65">
        <f t="shared" si="0"/>
        <v>796</v>
      </c>
      <c r="G14" s="2" t="s">
        <v>8</v>
      </c>
      <c r="H14" s="2"/>
      <c r="I14" s="2" t="s">
        <v>824</v>
      </c>
      <c r="M14">
        <v>45000</v>
      </c>
      <c r="R14" t="s">
        <v>697</v>
      </c>
      <c r="S14">
        <v>160</v>
      </c>
      <c r="U14">
        <v>50</v>
      </c>
      <c r="V14">
        <f t="shared" si="1"/>
        <v>8000</v>
      </c>
    </row>
    <row r="15" spans="1:22" hidden="1" x14ac:dyDescent="0.25">
      <c r="A15" s="68">
        <v>45993</v>
      </c>
      <c r="B15" s="2">
        <v>2</v>
      </c>
      <c r="C15" s="2" t="s">
        <v>664</v>
      </c>
      <c r="D15" s="2" t="s">
        <v>793</v>
      </c>
      <c r="E15" s="65">
        <v>398</v>
      </c>
      <c r="F15" s="65">
        <f t="shared" si="0"/>
        <v>796</v>
      </c>
      <c r="G15" s="2" t="s">
        <v>8</v>
      </c>
      <c r="H15" s="2"/>
      <c r="I15" s="2" t="s">
        <v>824</v>
      </c>
      <c r="R15" t="s">
        <v>409</v>
      </c>
      <c r="S15">
        <v>3</v>
      </c>
      <c r="U15">
        <v>1300</v>
      </c>
      <c r="V15">
        <f t="shared" si="1"/>
        <v>3900</v>
      </c>
    </row>
    <row r="16" spans="1:22" hidden="1" x14ac:dyDescent="0.25">
      <c r="A16" s="68">
        <v>45993</v>
      </c>
      <c r="B16" s="2">
        <v>1</v>
      </c>
      <c r="C16" s="2" t="s">
        <v>664</v>
      </c>
      <c r="D16" s="2" t="s">
        <v>788</v>
      </c>
      <c r="E16" s="65">
        <v>398</v>
      </c>
      <c r="F16" s="65">
        <f t="shared" ref="F16:F119" si="2">E16*B16</f>
        <v>398</v>
      </c>
      <c r="G16" s="2" t="s">
        <v>428</v>
      </c>
      <c r="H16" s="2"/>
      <c r="I16" s="2" t="s">
        <v>824</v>
      </c>
      <c r="R16" t="s">
        <v>899</v>
      </c>
      <c r="S16">
        <v>3</v>
      </c>
      <c r="U16">
        <v>990</v>
      </c>
      <c r="V16">
        <f t="shared" si="1"/>
        <v>2970</v>
      </c>
    </row>
    <row r="17" spans="1:22" hidden="1" x14ac:dyDescent="0.25">
      <c r="A17" s="68">
        <v>45993</v>
      </c>
      <c r="B17" s="2">
        <v>1</v>
      </c>
      <c r="C17" s="2" t="s">
        <v>776</v>
      </c>
      <c r="D17" s="2" t="s">
        <v>777</v>
      </c>
      <c r="E17" s="65">
        <v>130</v>
      </c>
      <c r="F17" s="65">
        <f t="shared" si="2"/>
        <v>130</v>
      </c>
      <c r="G17" s="2" t="s">
        <v>778</v>
      </c>
      <c r="H17" s="2"/>
      <c r="I17" s="2"/>
      <c r="R17" t="s">
        <v>898</v>
      </c>
      <c r="S17">
        <v>2</v>
      </c>
      <c r="U17">
        <v>700</v>
      </c>
      <c r="V17">
        <f t="shared" si="1"/>
        <v>1400</v>
      </c>
    </row>
    <row r="18" spans="1:22" x14ac:dyDescent="0.25">
      <c r="A18" s="68">
        <v>45993</v>
      </c>
      <c r="B18" s="2">
        <v>5</v>
      </c>
      <c r="C18" s="2" t="s">
        <v>707</v>
      </c>
      <c r="D18" s="2" t="s">
        <v>795</v>
      </c>
      <c r="E18" s="65">
        <v>105</v>
      </c>
      <c r="F18" s="65">
        <f t="shared" si="2"/>
        <v>525</v>
      </c>
      <c r="G18" s="2" t="s">
        <v>796</v>
      </c>
      <c r="H18" s="2"/>
      <c r="I18" s="2" t="s">
        <v>824</v>
      </c>
      <c r="K18">
        <v>129808</v>
      </c>
      <c r="R18" t="s">
        <v>804</v>
      </c>
      <c r="S18">
        <v>24</v>
      </c>
      <c r="U18">
        <v>100</v>
      </c>
      <c r="V18">
        <f t="shared" si="1"/>
        <v>2400</v>
      </c>
    </row>
    <row r="19" spans="1:22" x14ac:dyDescent="0.25">
      <c r="A19" s="68">
        <v>45993</v>
      </c>
      <c r="B19" s="2">
        <v>2</v>
      </c>
      <c r="C19" s="2" t="s">
        <v>664</v>
      </c>
      <c r="D19" s="2" t="s">
        <v>795</v>
      </c>
      <c r="E19" s="65">
        <v>299</v>
      </c>
      <c r="F19" s="65">
        <f t="shared" si="2"/>
        <v>598</v>
      </c>
      <c r="G19" s="2" t="s">
        <v>796</v>
      </c>
      <c r="H19" s="2"/>
      <c r="I19" s="2" t="s">
        <v>824</v>
      </c>
      <c r="K19">
        <v>30000</v>
      </c>
      <c r="R19" t="s">
        <v>746</v>
      </c>
      <c r="S19">
        <v>4</v>
      </c>
      <c r="U19">
        <v>50</v>
      </c>
      <c r="V19">
        <f t="shared" si="1"/>
        <v>200</v>
      </c>
    </row>
    <row r="20" spans="1:22" x14ac:dyDescent="0.25">
      <c r="A20" s="68">
        <v>45993</v>
      </c>
      <c r="B20" s="2">
        <v>4</v>
      </c>
      <c r="C20" s="2" t="s">
        <v>697</v>
      </c>
      <c r="D20" s="2" t="s">
        <v>795</v>
      </c>
      <c r="E20" s="65">
        <v>125</v>
      </c>
      <c r="F20" s="65">
        <f t="shared" si="2"/>
        <v>500</v>
      </c>
      <c r="G20" s="2" t="s">
        <v>796</v>
      </c>
      <c r="H20" s="2"/>
      <c r="I20" s="2" t="s">
        <v>824</v>
      </c>
      <c r="K20">
        <v>159808</v>
      </c>
      <c r="R20" t="s">
        <v>897</v>
      </c>
      <c r="S20">
        <v>20</v>
      </c>
      <c r="U20">
        <v>20</v>
      </c>
      <c r="V20">
        <f t="shared" si="1"/>
        <v>400</v>
      </c>
    </row>
    <row r="21" spans="1:22" x14ac:dyDescent="0.25">
      <c r="A21" s="68">
        <v>45993</v>
      </c>
      <c r="B21" s="2">
        <v>2</v>
      </c>
      <c r="C21" s="2" t="s">
        <v>716</v>
      </c>
      <c r="D21" s="2" t="s">
        <v>795</v>
      </c>
      <c r="E21" s="65">
        <v>479</v>
      </c>
      <c r="F21" s="65">
        <f t="shared" si="2"/>
        <v>958</v>
      </c>
      <c r="G21" s="2" t="s">
        <v>796</v>
      </c>
      <c r="H21" s="2"/>
      <c r="I21" s="2" t="s">
        <v>824</v>
      </c>
      <c r="R21" t="s">
        <v>716</v>
      </c>
      <c r="S21">
        <v>13</v>
      </c>
      <c r="U21">
        <v>200</v>
      </c>
      <c r="V21">
        <f t="shared" si="1"/>
        <v>2600</v>
      </c>
    </row>
    <row r="22" spans="1:22" hidden="1" x14ac:dyDescent="0.25">
      <c r="A22" s="68">
        <v>45993</v>
      </c>
      <c r="B22" s="2">
        <v>1</v>
      </c>
      <c r="C22" s="2" t="s">
        <v>664</v>
      </c>
      <c r="D22" s="2" t="s">
        <v>797</v>
      </c>
      <c r="E22" s="65">
        <v>299</v>
      </c>
      <c r="F22" s="65">
        <f t="shared" si="2"/>
        <v>299</v>
      </c>
      <c r="G22" s="2" t="s">
        <v>796</v>
      </c>
      <c r="H22" s="2"/>
      <c r="I22" s="2" t="s">
        <v>824</v>
      </c>
      <c r="R22" t="s">
        <v>801</v>
      </c>
      <c r="S22">
        <v>5</v>
      </c>
      <c r="U22">
        <v>200</v>
      </c>
      <c r="V22">
        <f t="shared" si="1"/>
        <v>1000</v>
      </c>
    </row>
    <row r="23" spans="1:22" hidden="1" x14ac:dyDescent="0.25">
      <c r="A23" s="68">
        <v>45993</v>
      </c>
      <c r="B23" s="2">
        <v>2</v>
      </c>
      <c r="C23" s="2" t="s">
        <v>716</v>
      </c>
      <c r="D23" s="2" t="s">
        <v>797</v>
      </c>
      <c r="E23" s="65">
        <v>478</v>
      </c>
      <c r="F23" s="65">
        <f t="shared" si="2"/>
        <v>956</v>
      </c>
      <c r="G23" s="2" t="s">
        <v>796</v>
      </c>
      <c r="H23" s="2"/>
      <c r="I23" s="2" t="s">
        <v>824</v>
      </c>
      <c r="R23" t="s">
        <v>784</v>
      </c>
      <c r="S23">
        <v>4</v>
      </c>
      <c r="U23">
        <v>200</v>
      </c>
      <c r="V23">
        <f t="shared" si="1"/>
        <v>800</v>
      </c>
    </row>
    <row r="24" spans="1:22" hidden="1" x14ac:dyDescent="0.25">
      <c r="A24" s="68">
        <v>45993</v>
      </c>
      <c r="B24" s="2">
        <v>3</v>
      </c>
      <c r="C24" s="2" t="s">
        <v>664</v>
      </c>
      <c r="D24" s="2" t="s">
        <v>798</v>
      </c>
      <c r="E24" s="65">
        <v>399</v>
      </c>
      <c r="F24" s="65">
        <f t="shared" si="2"/>
        <v>1197</v>
      </c>
      <c r="G24" s="2" t="s">
        <v>796</v>
      </c>
      <c r="H24" s="2"/>
      <c r="I24" s="2" t="s">
        <v>824</v>
      </c>
      <c r="R24" t="s">
        <v>786</v>
      </c>
      <c r="S24">
        <v>1</v>
      </c>
      <c r="U24">
        <v>200</v>
      </c>
      <c r="V24">
        <f t="shared" si="1"/>
        <v>200</v>
      </c>
    </row>
    <row r="25" spans="1:22" hidden="1" x14ac:dyDescent="0.25">
      <c r="A25" s="68">
        <v>45994</v>
      </c>
      <c r="B25" s="2">
        <v>12</v>
      </c>
      <c r="C25" s="2" t="s">
        <v>664</v>
      </c>
      <c r="D25" s="2" t="s">
        <v>799</v>
      </c>
      <c r="E25" s="65">
        <v>398</v>
      </c>
      <c r="F25" s="65">
        <f t="shared" si="2"/>
        <v>4776</v>
      </c>
      <c r="G25" s="2" t="s">
        <v>365</v>
      </c>
      <c r="H25" s="2"/>
      <c r="I25" s="2" t="s">
        <v>824</v>
      </c>
      <c r="R25" t="s">
        <v>896</v>
      </c>
      <c r="S25">
        <v>75</v>
      </c>
      <c r="U25">
        <v>300</v>
      </c>
      <c r="V25">
        <f t="shared" si="1"/>
        <v>22500</v>
      </c>
    </row>
    <row r="26" spans="1:22" hidden="1" x14ac:dyDescent="0.25">
      <c r="A26" s="68">
        <v>45994</v>
      </c>
      <c r="B26" s="2">
        <v>1</v>
      </c>
      <c r="C26" s="2" t="s">
        <v>801</v>
      </c>
      <c r="D26" s="2" t="s">
        <v>442</v>
      </c>
      <c r="E26" s="65">
        <v>598</v>
      </c>
      <c r="F26" s="65">
        <f t="shared" si="2"/>
        <v>598</v>
      </c>
      <c r="G26" s="2" t="s">
        <v>365</v>
      </c>
      <c r="H26" s="2"/>
      <c r="I26" s="2"/>
      <c r="J26" t="s">
        <v>812</v>
      </c>
      <c r="R26" t="s">
        <v>785</v>
      </c>
      <c r="S26">
        <v>1</v>
      </c>
      <c r="U26">
        <v>300</v>
      </c>
      <c r="V26">
        <f t="shared" si="1"/>
        <v>300</v>
      </c>
    </row>
    <row r="27" spans="1:22" hidden="1" x14ac:dyDescent="0.25">
      <c r="A27" s="68">
        <v>45994</v>
      </c>
      <c r="B27" s="2">
        <v>6</v>
      </c>
      <c r="C27" s="2" t="s">
        <v>707</v>
      </c>
      <c r="D27" s="2" t="s">
        <v>688</v>
      </c>
      <c r="E27" s="65">
        <v>103</v>
      </c>
      <c r="F27" s="65">
        <f t="shared" si="2"/>
        <v>618</v>
      </c>
      <c r="G27" s="2" t="s">
        <v>365</v>
      </c>
      <c r="H27" s="2"/>
      <c r="I27" s="2"/>
      <c r="R27" t="s">
        <v>892</v>
      </c>
      <c r="S27">
        <v>8</v>
      </c>
      <c r="U27">
        <v>200</v>
      </c>
      <c r="V27">
        <f t="shared" si="1"/>
        <v>1600</v>
      </c>
    </row>
    <row r="28" spans="1:22" hidden="1" x14ac:dyDescent="0.25">
      <c r="A28" s="68">
        <v>45994</v>
      </c>
      <c r="B28" s="2">
        <v>2</v>
      </c>
      <c r="C28" s="2" t="s">
        <v>717</v>
      </c>
      <c r="D28" s="2" t="s">
        <v>688</v>
      </c>
      <c r="E28" s="65">
        <v>629</v>
      </c>
      <c r="F28" s="65">
        <f t="shared" si="2"/>
        <v>1258</v>
      </c>
      <c r="G28" s="2" t="s">
        <v>365</v>
      </c>
      <c r="H28" s="2"/>
      <c r="I28" s="2"/>
      <c r="R28" t="s">
        <v>883</v>
      </c>
      <c r="S28">
        <v>19</v>
      </c>
      <c r="U28">
        <v>300</v>
      </c>
      <c r="V28">
        <f t="shared" si="1"/>
        <v>5700</v>
      </c>
    </row>
    <row r="29" spans="1:22" hidden="1" x14ac:dyDescent="0.25">
      <c r="A29" s="68">
        <v>45994</v>
      </c>
      <c r="B29" s="2">
        <v>1</v>
      </c>
      <c r="C29" s="2" t="s">
        <v>802</v>
      </c>
      <c r="D29" s="2" t="s">
        <v>688</v>
      </c>
      <c r="E29" s="65">
        <v>69</v>
      </c>
      <c r="F29" s="65">
        <f t="shared" si="2"/>
        <v>69</v>
      </c>
      <c r="G29" s="2" t="s">
        <v>365</v>
      </c>
      <c r="H29" s="2"/>
      <c r="I29" s="2"/>
      <c r="J29" t="s">
        <v>812</v>
      </c>
      <c r="R29" t="s">
        <v>895</v>
      </c>
      <c r="S29">
        <v>42</v>
      </c>
      <c r="U29">
        <v>280</v>
      </c>
      <c r="V29">
        <f t="shared" si="1"/>
        <v>11760</v>
      </c>
    </row>
    <row r="30" spans="1:22" hidden="1" x14ac:dyDescent="0.25">
      <c r="A30" s="68">
        <v>45994</v>
      </c>
      <c r="B30" s="2">
        <v>1</v>
      </c>
      <c r="C30" s="2" t="s">
        <v>803</v>
      </c>
      <c r="D30" s="2" t="s">
        <v>688</v>
      </c>
      <c r="E30" s="65">
        <v>44</v>
      </c>
      <c r="F30" s="65">
        <f t="shared" si="2"/>
        <v>44</v>
      </c>
      <c r="G30" s="2" t="s">
        <v>365</v>
      </c>
      <c r="H30" s="2"/>
      <c r="I30" s="2"/>
      <c r="J30" t="s">
        <v>812</v>
      </c>
      <c r="R30" t="s">
        <v>909</v>
      </c>
      <c r="S30">
        <v>4</v>
      </c>
      <c r="U30">
        <v>200</v>
      </c>
      <c r="V30">
        <f t="shared" si="1"/>
        <v>800</v>
      </c>
    </row>
    <row r="31" spans="1:22" hidden="1" x14ac:dyDescent="0.25">
      <c r="A31" s="68">
        <v>45994</v>
      </c>
      <c r="B31" s="2">
        <v>2</v>
      </c>
      <c r="C31" s="2" t="s">
        <v>664</v>
      </c>
      <c r="D31" s="2" t="s">
        <v>688</v>
      </c>
      <c r="E31" s="65">
        <v>299</v>
      </c>
      <c r="F31" s="65">
        <f t="shared" si="2"/>
        <v>598</v>
      </c>
      <c r="G31" s="2" t="s">
        <v>365</v>
      </c>
      <c r="H31" s="2"/>
      <c r="I31" s="2"/>
      <c r="R31" t="s">
        <v>664</v>
      </c>
      <c r="S31">
        <v>730</v>
      </c>
      <c r="U31">
        <v>350</v>
      </c>
      <c r="V31">
        <f t="shared" si="1"/>
        <v>255500</v>
      </c>
    </row>
    <row r="32" spans="1:22" hidden="1" x14ac:dyDescent="0.25">
      <c r="A32" s="68">
        <v>45994</v>
      </c>
      <c r="B32" s="2">
        <v>14</v>
      </c>
      <c r="C32" s="2" t="s">
        <v>697</v>
      </c>
      <c r="D32" s="2" t="s">
        <v>688</v>
      </c>
      <c r="E32" s="65">
        <v>125</v>
      </c>
      <c r="F32" s="65">
        <f t="shared" si="2"/>
        <v>1750</v>
      </c>
      <c r="G32" s="2" t="s">
        <v>365</v>
      </c>
      <c r="H32" s="2"/>
      <c r="I32" s="2"/>
      <c r="R32" t="s">
        <v>378</v>
      </c>
      <c r="S32">
        <v>4</v>
      </c>
      <c r="U32">
        <v>400</v>
      </c>
      <c r="V32">
        <f t="shared" si="1"/>
        <v>1600</v>
      </c>
    </row>
    <row r="33" spans="1:22" hidden="1" x14ac:dyDescent="0.25">
      <c r="A33" s="68">
        <v>45994</v>
      </c>
      <c r="B33" s="2">
        <v>1</v>
      </c>
      <c r="C33" s="2" t="s">
        <v>661</v>
      </c>
      <c r="D33" s="2" t="s">
        <v>688</v>
      </c>
      <c r="E33" s="65">
        <v>419</v>
      </c>
      <c r="F33" s="65">
        <f t="shared" si="2"/>
        <v>419</v>
      </c>
      <c r="G33" s="2" t="s">
        <v>365</v>
      </c>
      <c r="H33" s="2"/>
      <c r="I33" s="2"/>
      <c r="R33" t="s">
        <v>80</v>
      </c>
      <c r="S33">
        <v>1223</v>
      </c>
      <c r="V33">
        <f>SUM(V3:V32)</f>
        <v>354925</v>
      </c>
    </row>
    <row r="34" spans="1:22" hidden="1" x14ac:dyDescent="0.25">
      <c r="A34" s="104">
        <v>45994</v>
      </c>
      <c r="B34" s="64">
        <v>5</v>
      </c>
      <c r="C34" s="64" t="s">
        <v>804</v>
      </c>
      <c r="D34" s="64" t="s">
        <v>688</v>
      </c>
      <c r="E34" s="105">
        <v>419</v>
      </c>
      <c r="F34" s="105">
        <f t="shared" si="2"/>
        <v>2095</v>
      </c>
      <c r="G34" s="64" t="s">
        <v>1149</v>
      </c>
      <c r="H34" s="2"/>
      <c r="I34" s="2"/>
    </row>
    <row r="35" spans="1:22" hidden="1" x14ac:dyDescent="0.25">
      <c r="A35" s="104">
        <v>45994</v>
      </c>
      <c r="B35" s="64">
        <v>1</v>
      </c>
      <c r="C35" s="64" t="s">
        <v>664</v>
      </c>
      <c r="D35" s="64" t="s">
        <v>688</v>
      </c>
      <c r="E35" s="105">
        <v>299</v>
      </c>
      <c r="F35" s="105">
        <f t="shared" si="2"/>
        <v>299</v>
      </c>
      <c r="G35" s="64" t="s">
        <v>1149</v>
      </c>
      <c r="H35" s="2"/>
      <c r="I35" s="2"/>
    </row>
    <row r="36" spans="1:22" hidden="1" x14ac:dyDescent="0.25">
      <c r="A36" s="68">
        <v>45994</v>
      </c>
      <c r="B36" s="2">
        <v>2</v>
      </c>
      <c r="C36" s="2" t="s">
        <v>664</v>
      </c>
      <c r="D36" s="2" t="s">
        <v>688</v>
      </c>
      <c r="E36" s="65">
        <v>299</v>
      </c>
      <c r="F36" s="65">
        <f t="shared" si="2"/>
        <v>598</v>
      </c>
      <c r="G36" s="2" t="s">
        <v>365</v>
      </c>
      <c r="H36" s="2"/>
      <c r="I36" s="2"/>
    </row>
    <row r="37" spans="1:22" hidden="1" x14ac:dyDescent="0.25">
      <c r="A37" s="68">
        <v>45994</v>
      </c>
      <c r="B37" s="2">
        <v>1</v>
      </c>
      <c r="C37" s="2" t="s">
        <v>664</v>
      </c>
      <c r="D37" s="2" t="s">
        <v>688</v>
      </c>
      <c r="E37" s="65">
        <v>299</v>
      </c>
      <c r="F37" s="65">
        <f t="shared" si="2"/>
        <v>299</v>
      </c>
      <c r="G37" s="2" t="s">
        <v>365</v>
      </c>
      <c r="H37" s="2"/>
      <c r="I37" s="2"/>
    </row>
    <row r="38" spans="1:22" hidden="1" x14ac:dyDescent="0.25">
      <c r="A38" s="68">
        <v>45994</v>
      </c>
      <c r="B38" s="2">
        <v>2</v>
      </c>
      <c r="C38" s="2" t="s">
        <v>716</v>
      </c>
      <c r="D38" s="2" t="s">
        <v>688</v>
      </c>
      <c r="E38" s="65">
        <v>479</v>
      </c>
      <c r="F38" s="65">
        <f t="shared" si="2"/>
        <v>958</v>
      </c>
      <c r="G38" s="2" t="s">
        <v>365</v>
      </c>
      <c r="H38" s="2"/>
      <c r="I38" s="2"/>
    </row>
    <row r="39" spans="1:22" hidden="1" x14ac:dyDescent="0.25">
      <c r="A39" s="68">
        <v>45994</v>
      </c>
      <c r="B39" s="2">
        <v>2</v>
      </c>
      <c r="C39" s="2" t="s">
        <v>716</v>
      </c>
      <c r="D39" s="2" t="s">
        <v>710</v>
      </c>
      <c r="E39" s="65">
        <v>479</v>
      </c>
      <c r="F39" s="65">
        <f t="shared" si="2"/>
        <v>958</v>
      </c>
      <c r="G39" s="2" t="s">
        <v>8</v>
      </c>
      <c r="H39" s="2"/>
      <c r="I39" s="2"/>
    </row>
    <row r="40" spans="1:22" hidden="1" x14ac:dyDescent="0.25">
      <c r="A40" s="68">
        <v>45994</v>
      </c>
      <c r="B40" s="2">
        <v>1</v>
      </c>
      <c r="C40" s="2" t="s">
        <v>716</v>
      </c>
      <c r="D40" s="2" t="s">
        <v>805</v>
      </c>
      <c r="E40" s="65">
        <v>499</v>
      </c>
      <c r="F40" s="65">
        <v>499</v>
      </c>
      <c r="G40" s="2" t="s">
        <v>8</v>
      </c>
      <c r="H40" s="2"/>
      <c r="I40" s="2"/>
      <c r="J40" t="s">
        <v>806</v>
      </c>
    </row>
    <row r="41" spans="1:22" hidden="1" x14ac:dyDescent="0.25">
      <c r="A41" s="68">
        <v>45994</v>
      </c>
      <c r="B41" s="2">
        <v>4</v>
      </c>
      <c r="C41" s="2" t="s">
        <v>664</v>
      </c>
      <c r="D41" s="2" t="s">
        <v>807</v>
      </c>
      <c r="E41" s="65">
        <v>398</v>
      </c>
      <c r="F41" s="65">
        <f t="shared" si="2"/>
        <v>1592</v>
      </c>
      <c r="G41" s="2" t="s">
        <v>8</v>
      </c>
      <c r="H41" s="2"/>
      <c r="I41" s="2"/>
    </row>
    <row r="42" spans="1:22" hidden="1" x14ac:dyDescent="0.25">
      <c r="A42" s="68">
        <v>45995</v>
      </c>
      <c r="B42" s="2">
        <v>1</v>
      </c>
      <c r="C42" s="2" t="s">
        <v>664</v>
      </c>
      <c r="D42" s="2" t="s">
        <v>688</v>
      </c>
      <c r="E42" s="65">
        <v>299</v>
      </c>
      <c r="F42" s="65">
        <f t="shared" si="2"/>
        <v>299</v>
      </c>
      <c r="G42" s="2" t="s">
        <v>8</v>
      </c>
      <c r="H42" s="2"/>
      <c r="I42" s="2"/>
    </row>
    <row r="43" spans="1:22" hidden="1" x14ac:dyDescent="0.25">
      <c r="A43" s="68">
        <v>45995</v>
      </c>
      <c r="B43" s="2">
        <v>2</v>
      </c>
      <c r="C43" s="2" t="s">
        <v>664</v>
      </c>
      <c r="D43" s="2" t="s">
        <v>793</v>
      </c>
      <c r="E43" s="65">
        <v>399</v>
      </c>
      <c r="F43" s="65">
        <f t="shared" si="2"/>
        <v>798</v>
      </c>
      <c r="G43" s="2" t="s">
        <v>8</v>
      </c>
      <c r="H43" s="2"/>
      <c r="I43" s="2"/>
    </row>
    <row r="44" spans="1:22" hidden="1" x14ac:dyDescent="0.25">
      <c r="A44" s="68">
        <v>45995</v>
      </c>
      <c r="B44" s="2">
        <v>3</v>
      </c>
      <c r="C44" s="2" t="s">
        <v>804</v>
      </c>
      <c r="D44" s="2" t="s">
        <v>840</v>
      </c>
      <c r="E44" s="65">
        <v>419</v>
      </c>
      <c r="F44" s="65">
        <f t="shared" si="2"/>
        <v>1257</v>
      </c>
      <c r="G44" s="2" t="s">
        <v>8</v>
      </c>
      <c r="H44" s="2"/>
      <c r="I44" s="2"/>
    </row>
    <row r="45" spans="1:22" hidden="1" x14ac:dyDescent="0.25">
      <c r="A45" s="68">
        <v>45995</v>
      </c>
      <c r="B45" s="2">
        <v>2</v>
      </c>
      <c r="C45" s="2" t="s">
        <v>664</v>
      </c>
      <c r="D45" s="2" t="s">
        <v>491</v>
      </c>
      <c r="E45" s="65">
        <v>299</v>
      </c>
      <c r="F45" s="65">
        <f t="shared" si="2"/>
        <v>598</v>
      </c>
      <c r="G45" s="2" t="s">
        <v>8</v>
      </c>
      <c r="H45" s="2"/>
      <c r="I45" s="2"/>
    </row>
    <row r="46" spans="1:22" hidden="1" x14ac:dyDescent="0.25">
      <c r="A46" s="68">
        <v>45995</v>
      </c>
      <c r="B46" s="2">
        <v>1</v>
      </c>
      <c r="C46" s="2" t="s">
        <v>829</v>
      </c>
      <c r="D46" s="2" t="s">
        <v>738</v>
      </c>
      <c r="E46" s="65">
        <v>221</v>
      </c>
      <c r="F46" s="65">
        <f t="shared" si="2"/>
        <v>221</v>
      </c>
      <c r="G46" s="2"/>
      <c r="H46" s="2"/>
      <c r="I46" s="2" t="s">
        <v>85</v>
      </c>
    </row>
    <row r="47" spans="1:22" hidden="1" x14ac:dyDescent="0.25">
      <c r="A47" s="68">
        <v>45995</v>
      </c>
      <c r="B47" s="2">
        <v>2</v>
      </c>
      <c r="C47" s="2" t="s">
        <v>664</v>
      </c>
      <c r="D47" s="2" t="s">
        <v>72</v>
      </c>
      <c r="E47" s="65">
        <v>398</v>
      </c>
      <c r="F47" s="65">
        <f t="shared" si="2"/>
        <v>796</v>
      </c>
      <c r="G47" s="2" t="s">
        <v>8</v>
      </c>
      <c r="H47" s="2"/>
      <c r="I47" s="2"/>
    </row>
    <row r="48" spans="1:22" hidden="1" x14ac:dyDescent="0.25">
      <c r="A48" s="68">
        <v>45995</v>
      </c>
      <c r="B48" s="2">
        <v>2</v>
      </c>
      <c r="C48" s="2" t="s">
        <v>664</v>
      </c>
      <c r="D48" s="2" t="s">
        <v>21</v>
      </c>
      <c r="E48" s="65">
        <v>398</v>
      </c>
      <c r="F48" s="65">
        <f t="shared" si="2"/>
        <v>796</v>
      </c>
      <c r="G48" s="2" t="s">
        <v>8</v>
      </c>
      <c r="H48" s="2"/>
      <c r="I48" s="2"/>
    </row>
    <row r="49" spans="1:13" hidden="1" x14ac:dyDescent="0.25">
      <c r="A49" s="68">
        <v>45995</v>
      </c>
      <c r="B49" s="2">
        <v>2</v>
      </c>
      <c r="C49" s="2" t="s">
        <v>664</v>
      </c>
      <c r="D49" s="2" t="s">
        <v>21</v>
      </c>
      <c r="E49" s="65">
        <v>398</v>
      </c>
      <c r="F49" s="65">
        <f t="shared" si="2"/>
        <v>796</v>
      </c>
      <c r="G49" s="2" t="s">
        <v>8</v>
      </c>
      <c r="H49" s="2"/>
      <c r="I49" s="2"/>
    </row>
    <row r="50" spans="1:13" hidden="1" x14ac:dyDescent="0.25">
      <c r="A50" s="68">
        <v>45995</v>
      </c>
      <c r="B50" s="2">
        <v>1</v>
      </c>
      <c r="C50" s="2" t="s">
        <v>664</v>
      </c>
      <c r="D50" s="2" t="s">
        <v>808</v>
      </c>
      <c r="E50" s="65">
        <v>399</v>
      </c>
      <c r="F50" s="65">
        <f t="shared" si="2"/>
        <v>399</v>
      </c>
      <c r="G50" s="2" t="s">
        <v>8</v>
      </c>
      <c r="H50" s="2"/>
      <c r="I50" s="2"/>
    </row>
    <row r="51" spans="1:13" hidden="1" x14ac:dyDescent="0.25">
      <c r="A51" s="68">
        <v>45995</v>
      </c>
      <c r="B51" s="2">
        <v>1</v>
      </c>
      <c r="C51" s="2" t="s">
        <v>664</v>
      </c>
      <c r="D51" s="2" t="s">
        <v>101</v>
      </c>
      <c r="E51" s="65">
        <v>299</v>
      </c>
      <c r="F51" s="65">
        <f t="shared" si="2"/>
        <v>299</v>
      </c>
      <c r="G51" s="2" t="s">
        <v>844</v>
      </c>
      <c r="H51" s="2"/>
      <c r="I51" s="2"/>
      <c r="J51">
        <v>924</v>
      </c>
    </row>
    <row r="52" spans="1:13" hidden="1" x14ac:dyDescent="0.25">
      <c r="A52" s="68">
        <v>45995</v>
      </c>
      <c r="B52" s="2">
        <v>5</v>
      </c>
      <c r="C52" s="2" t="s">
        <v>697</v>
      </c>
      <c r="D52" s="2" t="s">
        <v>101</v>
      </c>
      <c r="E52" s="65">
        <v>125</v>
      </c>
      <c r="F52" s="65">
        <f t="shared" si="2"/>
        <v>625</v>
      </c>
      <c r="G52" s="2" t="s">
        <v>365</v>
      </c>
      <c r="H52" s="2"/>
      <c r="I52" s="2"/>
    </row>
    <row r="53" spans="1:13" hidden="1" x14ac:dyDescent="0.25">
      <c r="A53" s="68">
        <v>45995</v>
      </c>
      <c r="B53" s="2">
        <v>1</v>
      </c>
      <c r="C53" s="2" t="s">
        <v>664</v>
      </c>
      <c r="D53" s="2" t="s">
        <v>101</v>
      </c>
      <c r="E53" s="65">
        <v>299</v>
      </c>
      <c r="F53" s="65">
        <f t="shared" si="2"/>
        <v>299</v>
      </c>
      <c r="G53" s="2" t="s">
        <v>913</v>
      </c>
      <c r="H53" s="2"/>
      <c r="I53" s="2"/>
    </row>
    <row r="54" spans="1:13" hidden="1" x14ac:dyDescent="0.25">
      <c r="A54" s="68">
        <v>45995</v>
      </c>
      <c r="B54" s="2">
        <v>4</v>
      </c>
      <c r="C54" s="2" t="s">
        <v>661</v>
      </c>
      <c r="D54" s="2" t="s">
        <v>101</v>
      </c>
      <c r="E54" s="65">
        <v>419</v>
      </c>
      <c r="F54" s="65">
        <f t="shared" si="2"/>
        <v>1676</v>
      </c>
      <c r="G54" s="2" t="s">
        <v>8</v>
      </c>
      <c r="H54" s="2"/>
      <c r="I54" s="2"/>
    </row>
    <row r="55" spans="1:13" hidden="1" x14ac:dyDescent="0.25">
      <c r="A55" s="68">
        <v>45995</v>
      </c>
      <c r="B55" s="2">
        <v>1</v>
      </c>
      <c r="C55" s="2" t="s">
        <v>664</v>
      </c>
      <c r="D55" s="2" t="s">
        <v>101</v>
      </c>
      <c r="E55" s="65">
        <v>299</v>
      </c>
      <c r="F55" s="65">
        <f t="shared" si="2"/>
        <v>299</v>
      </c>
      <c r="G55" s="2" t="s">
        <v>8</v>
      </c>
      <c r="H55" s="2"/>
      <c r="I55" s="2"/>
    </row>
    <row r="56" spans="1:13" hidden="1" x14ac:dyDescent="0.25">
      <c r="A56" s="68">
        <v>45995</v>
      </c>
      <c r="B56" s="2">
        <v>2</v>
      </c>
      <c r="C56" s="2" t="s">
        <v>843</v>
      </c>
      <c r="D56" s="2" t="s">
        <v>101</v>
      </c>
      <c r="E56" s="65">
        <v>479</v>
      </c>
      <c r="F56" s="65">
        <f t="shared" si="2"/>
        <v>958</v>
      </c>
      <c r="G56" s="2" t="s">
        <v>11</v>
      </c>
      <c r="H56" s="2"/>
      <c r="I56" s="2" t="s">
        <v>902</v>
      </c>
    </row>
    <row r="57" spans="1:13" hidden="1" x14ac:dyDescent="0.25">
      <c r="A57" s="68">
        <v>45996</v>
      </c>
      <c r="B57" s="2">
        <v>2</v>
      </c>
      <c r="C57" s="2" t="s">
        <v>697</v>
      </c>
      <c r="D57" s="2" t="s">
        <v>101</v>
      </c>
      <c r="E57" s="65">
        <v>125</v>
      </c>
      <c r="F57" s="65">
        <f t="shared" si="2"/>
        <v>250</v>
      </c>
      <c r="G57" s="2" t="s">
        <v>8</v>
      </c>
      <c r="H57" s="2"/>
      <c r="I57" s="2"/>
      <c r="J57">
        <v>3183</v>
      </c>
    </row>
    <row r="58" spans="1:13" hidden="1" x14ac:dyDescent="0.25">
      <c r="A58" s="68">
        <v>45996</v>
      </c>
      <c r="B58" s="2">
        <v>3</v>
      </c>
      <c r="C58" s="2" t="s">
        <v>664</v>
      </c>
      <c r="D58" s="2" t="s">
        <v>230</v>
      </c>
      <c r="E58" s="65">
        <v>329</v>
      </c>
      <c r="F58" s="65">
        <f t="shared" si="2"/>
        <v>987</v>
      </c>
      <c r="G58" s="2" t="s">
        <v>8</v>
      </c>
      <c r="H58" s="2"/>
      <c r="I58" s="2"/>
    </row>
    <row r="59" spans="1:13" hidden="1" x14ac:dyDescent="0.25">
      <c r="A59" s="68">
        <v>45996</v>
      </c>
      <c r="B59" s="2">
        <v>1</v>
      </c>
      <c r="C59" s="2" t="s">
        <v>804</v>
      </c>
      <c r="D59" s="2" t="s">
        <v>230</v>
      </c>
      <c r="E59" s="65">
        <v>429</v>
      </c>
      <c r="F59" s="65">
        <f t="shared" si="2"/>
        <v>429</v>
      </c>
      <c r="G59" s="2" t="s">
        <v>8</v>
      </c>
      <c r="H59" s="2"/>
      <c r="I59" s="2"/>
    </row>
    <row r="60" spans="1:13" hidden="1" x14ac:dyDescent="0.25">
      <c r="A60" s="68">
        <v>45996</v>
      </c>
      <c r="B60" s="2">
        <v>2</v>
      </c>
      <c r="C60" s="2" t="s">
        <v>717</v>
      </c>
      <c r="D60" s="2" t="s">
        <v>230</v>
      </c>
      <c r="E60" s="65">
        <v>629</v>
      </c>
      <c r="F60" s="65">
        <f t="shared" si="2"/>
        <v>1258</v>
      </c>
      <c r="G60" s="2" t="s">
        <v>8</v>
      </c>
      <c r="H60" s="2"/>
      <c r="I60" s="2"/>
    </row>
    <row r="61" spans="1:13" hidden="1" x14ac:dyDescent="0.25">
      <c r="A61" s="68">
        <v>45996</v>
      </c>
      <c r="B61" s="2">
        <v>2</v>
      </c>
      <c r="C61" s="2" t="s">
        <v>664</v>
      </c>
      <c r="D61" s="2" t="s">
        <v>19</v>
      </c>
      <c r="E61" s="65">
        <v>398</v>
      </c>
      <c r="F61" s="65">
        <f t="shared" si="2"/>
        <v>796</v>
      </c>
      <c r="G61" s="2" t="s">
        <v>8</v>
      </c>
      <c r="H61" s="2"/>
      <c r="I61" s="2"/>
      <c r="M61">
        <v>67</v>
      </c>
    </row>
    <row r="62" spans="1:13" hidden="1" x14ac:dyDescent="0.25">
      <c r="A62" s="68">
        <v>45996</v>
      </c>
      <c r="B62" s="2">
        <v>4</v>
      </c>
      <c r="C62" s="2" t="s">
        <v>664</v>
      </c>
      <c r="D62" s="2" t="s">
        <v>675</v>
      </c>
      <c r="E62" s="65">
        <v>398</v>
      </c>
      <c r="F62" s="65">
        <f t="shared" si="2"/>
        <v>1592</v>
      </c>
      <c r="G62" s="2" t="s">
        <v>8</v>
      </c>
      <c r="H62" s="2"/>
      <c r="I62" s="2"/>
      <c r="M62">
        <v>67</v>
      </c>
    </row>
    <row r="63" spans="1:13" hidden="1" x14ac:dyDescent="0.25">
      <c r="A63" s="68">
        <v>45996</v>
      </c>
      <c r="B63" s="2">
        <v>2</v>
      </c>
      <c r="C63" s="2" t="s">
        <v>664</v>
      </c>
      <c r="D63" s="2" t="s">
        <v>813</v>
      </c>
      <c r="E63" s="65">
        <v>398</v>
      </c>
      <c r="F63" s="65">
        <f t="shared" si="2"/>
        <v>796</v>
      </c>
      <c r="G63" s="2" t="s">
        <v>854</v>
      </c>
      <c r="H63" s="2"/>
      <c r="I63" s="2"/>
      <c r="M63">
        <v>20</v>
      </c>
    </row>
    <row r="64" spans="1:13" hidden="1" x14ac:dyDescent="0.25">
      <c r="A64" s="68">
        <v>45997</v>
      </c>
      <c r="B64" s="2">
        <v>20</v>
      </c>
      <c r="C64" s="2" t="s">
        <v>664</v>
      </c>
      <c r="D64" s="2" t="s">
        <v>118</v>
      </c>
      <c r="E64" s="65">
        <v>380</v>
      </c>
      <c r="F64" s="65">
        <f t="shared" si="2"/>
        <v>7600</v>
      </c>
      <c r="G64" s="2" t="s">
        <v>830</v>
      </c>
      <c r="H64" s="2"/>
      <c r="I64" s="2"/>
    </row>
    <row r="65" spans="1:9" hidden="1" x14ac:dyDescent="0.25">
      <c r="A65" s="68">
        <v>45998</v>
      </c>
      <c r="B65" s="2">
        <v>4</v>
      </c>
      <c r="C65" s="2" t="s">
        <v>664</v>
      </c>
      <c r="D65" s="2" t="s">
        <v>834</v>
      </c>
      <c r="E65" s="65">
        <v>398</v>
      </c>
      <c r="F65" s="65">
        <f t="shared" si="2"/>
        <v>1592</v>
      </c>
      <c r="G65" s="2" t="s">
        <v>8</v>
      </c>
      <c r="H65" s="2"/>
      <c r="I65" s="2"/>
    </row>
    <row r="66" spans="1:9" hidden="1" x14ac:dyDescent="0.25">
      <c r="A66" s="68">
        <v>45998</v>
      </c>
      <c r="B66" s="2">
        <v>2</v>
      </c>
      <c r="C66" s="2" t="s">
        <v>664</v>
      </c>
      <c r="D66" s="2" t="s">
        <v>835</v>
      </c>
      <c r="E66" s="65">
        <v>398</v>
      </c>
      <c r="F66" s="65">
        <f t="shared" si="2"/>
        <v>796</v>
      </c>
      <c r="G66" s="2" t="s">
        <v>8</v>
      </c>
      <c r="H66" s="2"/>
      <c r="I66" s="2"/>
    </row>
    <row r="67" spans="1:9" hidden="1" x14ac:dyDescent="0.25">
      <c r="A67" s="68">
        <v>45998</v>
      </c>
      <c r="B67" s="2">
        <v>2</v>
      </c>
      <c r="C67" s="2" t="s">
        <v>664</v>
      </c>
      <c r="D67" s="2" t="s">
        <v>819</v>
      </c>
      <c r="E67" s="65">
        <v>398</v>
      </c>
      <c r="F67" s="65">
        <f t="shared" si="2"/>
        <v>796</v>
      </c>
      <c r="G67" s="2" t="s">
        <v>8</v>
      </c>
      <c r="H67" s="2"/>
      <c r="I67" s="2"/>
    </row>
    <row r="68" spans="1:9" hidden="1" x14ac:dyDescent="0.25">
      <c r="A68" s="68">
        <v>45998</v>
      </c>
      <c r="B68" s="2">
        <v>2</v>
      </c>
      <c r="C68" s="2" t="s">
        <v>664</v>
      </c>
      <c r="D68" s="2" t="s">
        <v>819</v>
      </c>
      <c r="E68" s="65">
        <v>398</v>
      </c>
      <c r="F68" s="65">
        <f t="shared" si="2"/>
        <v>796</v>
      </c>
      <c r="G68" s="2" t="s">
        <v>836</v>
      </c>
      <c r="H68" s="2"/>
      <c r="I68" s="2"/>
    </row>
    <row r="69" spans="1:9" hidden="1" x14ac:dyDescent="0.25">
      <c r="A69" s="68">
        <v>45998</v>
      </c>
      <c r="B69" s="2">
        <v>3</v>
      </c>
      <c r="C69" s="2" t="s">
        <v>837</v>
      </c>
      <c r="D69" s="2" t="s">
        <v>838</v>
      </c>
      <c r="E69" s="65">
        <v>1400</v>
      </c>
      <c r="F69" s="65">
        <f t="shared" si="2"/>
        <v>4200</v>
      </c>
      <c r="G69" s="2" t="s">
        <v>8</v>
      </c>
      <c r="H69" s="2"/>
      <c r="I69" s="2"/>
    </row>
    <row r="70" spans="1:9" hidden="1" x14ac:dyDescent="0.25">
      <c r="A70" s="68">
        <v>45998</v>
      </c>
      <c r="B70" s="2">
        <v>1</v>
      </c>
      <c r="C70" s="2" t="s">
        <v>664</v>
      </c>
      <c r="D70" s="2" t="s">
        <v>491</v>
      </c>
      <c r="E70" s="65">
        <v>399</v>
      </c>
      <c r="F70" s="65">
        <f t="shared" si="2"/>
        <v>399</v>
      </c>
      <c r="G70" s="2" t="s">
        <v>8</v>
      </c>
      <c r="H70" s="2"/>
      <c r="I70" s="2"/>
    </row>
    <row r="71" spans="1:9" hidden="1" x14ac:dyDescent="0.25">
      <c r="A71" s="68">
        <v>45998</v>
      </c>
      <c r="B71" s="2">
        <v>7</v>
      </c>
      <c r="C71" s="2" t="s">
        <v>664</v>
      </c>
      <c r="D71" s="2" t="s">
        <v>839</v>
      </c>
      <c r="E71" s="65">
        <v>398</v>
      </c>
      <c r="F71" s="65">
        <f t="shared" si="2"/>
        <v>2786</v>
      </c>
      <c r="G71" s="2" t="s">
        <v>8</v>
      </c>
      <c r="H71" s="2"/>
      <c r="I71" s="2"/>
    </row>
    <row r="72" spans="1:9" hidden="1" x14ac:dyDescent="0.25">
      <c r="A72" s="68">
        <v>45998</v>
      </c>
      <c r="B72" s="2">
        <v>2</v>
      </c>
      <c r="C72" s="2" t="s">
        <v>664</v>
      </c>
      <c r="D72" s="2" t="s">
        <v>841</v>
      </c>
      <c r="E72" s="65">
        <v>379</v>
      </c>
      <c r="F72" s="65">
        <f t="shared" si="2"/>
        <v>758</v>
      </c>
      <c r="G72" s="2" t="s">
        <v>842</v>
      </c>
      <c r="H72" s="2"/>
      <c r="I72" s="2"/>
    </row>
    <row r="73" spans="1:9" hidden="1" x14ac:dyDescent="0.25">
      <c r="A73" s="68">
        <v>45998</v>
      </c>
      <c r="B73" s="2">
        <v>30</v>
      </c>
      <c r="C73" s="2" t="s">
        <v>664</v>
      </c>
      <c r="D73" s="2" t="s">
        <v>855</v>
      </c>
      <c r="E73" s="65">
        <v>399</v>
      </c>
      <c r="F73" s="65">
        <f t="shared" ref="F73:F75" si="3">E73*B73</f>
        <v>11970</v>
      </c>
      <c r="G73" s="2" t="s">
        <v>856</v>
      </c>
      <c r="H73" s="2"/>
      <c r="I73" s="2" t="s">
        <v>824</v>
      </c>
    </row>
    <row r="74" spans="1:9" hidden="1" x14ac:dyDescent="0.25">
      <c r="A74" s="68">
        <v>45998</v>
      </c>
      <c r="B74" s="2">
        <v>26</v>
      </c>
      <c r="C74" s="2" t="s">
        <v>664</v>
      </c>
      <c r="D74" s="2" t="s">
        <v>855</v>
      </c>
      <c r="E74" s="65">
        <v>399</v>
      </c>
      <c r="F74" s="65">
        <f t="shared" si="3"/>
        <v>10374</v>
      </c>
      <c r="G74" s="2" t="s">
        <v>856</v>
      </c>
      <c r="H74" s="2"/>
      <c r="I74" s="2" t="s">
        <v>824</v>
      </c>
    </row>
    <row r="75" spans="1:9" hidden="1" x14ac:dyDescent="0.25">
      <c r="A75" s="68">
        <v>45998</v>
      </c>
      <c r="B75" s="2">
        <v>1</v>
      </c>
      <c r="C75" s="2" t="s">
        <v>776</v>
      </c>
      <c r="D75" s="2" t="s">
        <v>857</v>
      </c>
      <c r="E75" s="65">
        <v>1020</v>
      </c>
      <c r="F75" s="65">
        <f t="shared" si="3"/>
        <v>1020</v>
      </c>
      <c r="G75" s="2" t="s">
        <v>858</v>
      </c>
      <c r="H75" s="2"/>
      <c r="I75" s="2" t="s">
        <v>85</v>
      </c>
    </row>
    <row r="76" spans="1:9" hidden="1" x14ac:dyDescent="0.25">
      <c r="A76" s="68">
        <v>45999</v>
      </c>
      <c r="B76" s="2">
        <v>15</v>
      </c>
      <c r="C76" s="2" t="s">
        <v>697</v>
      </c>
      <c r="D76" s="2" t="s">
        <v>688</v>
      </c>
      <c r="E76" s="65">
        <v>125</v>
      </c>
      <c r="F76" s="65">
        <f t="shared" si="2"/>
        <v>1875</v>
      </c>
      <c r="G76" s="2" t="s">
        <v>8</v>
      </c>
      <c r="H76" s="2"/>
      <c r="I76" s="2"/>
    </row>
    <row r="77" spans="1:9" hidden="1" x14ac:dyDescent="0.25">
      <c r="A77" s="68">
        <v>45999</v>
      </c>
      <c r="B77" s="2">
        <v>1</v>
      </c>
      <c r="C77" s="2" t="s">
        <v>664</v>
      </c>
      <c r="D77" s="2" t="s">
        <v>688</v>
      </c>
      <c r="E77" s="65">
        <v>299</v>
      </c>
      <c r="F77" s="65">
        <f t="shared" si="2"/>
        <v>299</v>
      </c>
      <c r="G77" s="2" t="s">
        <v>8</v>
      </c>
      <c r="H77" s="2"/>
      <c r="I77" s="2"/>
    </row>
    <row r="78" spans="1:9" hidden="1" x14ac:dyDescent="0.25">
      <c r="A78" s="68">
        <v>45999</v>
      </c>
      <c r="B78" s="2">
        <v>2</v>
      </c>
      <c r="C78" s="2" t="s">
        <v>664</v>
      </c>
      <c r="D78" s="2" t="s">
        <v>688</v>
      </c>
      <c r="E78" s="65">
        <v>299</v>
      </c>
      <c r="F78" s="65">
        <f t="shared" si="2"/>
        <v>598</v>
      </c>
      <c r="G78" s="2" t="s">
        <v>868</v>
      </c>
      <c r="H78" s="2"/>
      <c r="I78" s="2"/>
    </row>
    <row r="79" spans="1:9" hidden="1" x14ac:dyDescent="0.25">
      <c r="A79" s="68">
        <v>45999</v>
      </c>
      <c r="B79" s="2">
        <v>2</v>
      </c>
      <c r="C79" s="2" t="s">
        <v>804</v>
      </c>
      <c r="D79" s="2" t="s">
        <v>688</v>
      </c>
      <c r="E79" s="65">
        <v>419</v>
      </c>
      <c r="F79" s="65">
        <f t="shared" si="2"/>
        <v>838</v>
      </c>
      <c r="G79" s="2" t="s">
        <v>8</v>
      </c>
      <c r="H79" s="2"/>
      <c r="I79" s="2"/>
    </row>
    <row r="80" spans="1:9" hidden="1" x14ac:dyDescent="0.25">
      <c r="A80" s="68">
        <v>45999</v>
      </c>
      <c r="B80" s="2">
        <v>18</v>
      </c>
      <c r="C80" s="2" t="s">
        <v>697</v>
      </c>
      <c r="D80" s="2" t="s">
        <v>101</v>
      </c>
      <c r="E80" s="65">
        <v>125</v>
      </c>
      <c r="F80" s="65">
        <f t="shared" si="2"/>
        <v>2250</v>
      </c>
      <c r="G80" s="2" t="s">
        <v>8</v>
      </c>
      <c r="H80" s="2"/>
      <c r="I80" s="2"/>
    </row>
    <row r="81" spans="1:9" hidden="1" x14ac:dyDescent="0.25">
      <c r="A81" s="68">
        <v>45999</v>
      </c>
      <c r="B81" s="2">
        <v>2</v>
      </c>
      <c r="C81" s="2" t="s">
        <v>832</v>
      </c>
      <c r="D81" s="2" t="s">
        <v>101</v>
      </c>
      <c r="E81" s="65">
        <v>2059</v>
      </c>
      <c r="F81" s="65">
        <f t="shared" si="2"/>
        <v>4118</v>
      </c>
      <c r="G81" s="2" t="s">
        <v>8</v>
      </c>
      <c r="H81" s="2"/>
      <c r="I81" s="2"/>
    </row>
    <row r="82" spans="1:9" hidden="1" x14ac:dyDescent="0.25">
      <c r="A82" s="68">
        <v>45999</v>
      </c>
      <c r="B82" s="2">
        <v>1</v>
      </c>
      <c r="C82" s="2" t="s">
        <v>664</v>
      </c>
      <c r="D82" s="2" t="s">
        <v>101</v>
      </c>
      <c r="E82" s="65">
        <v>299</v>
      </c>
      <c r="F82" s="65">
        <f t="shared" si="2"/>
        <v>299</v>
      </c>
      <c r="G82" s="2" t="s">
        <v>913</v>
      </c>
      <c r="H82" s="2"/>
      <c r="I82" s="2"/>
    </row>
    <row r="83" spans="1:9" hidden="1" x14ac:dyDescent="0.25">
      <c r="A83" s="68">
        <v>45999</v>
      </c>
      <c r="B83" s="2">
        <v>1</v>
      </c>
      <c r="C83" s="2" t="s">
        <v>664</v>
      </c>
      <c r="D83" s="2" t="s">
        <v>101</v>
      </c>
      <c r="E83" s="65">
        <v>299</v>
      </c>
      <c r="F83" s="65">
        <f t="shared" si="2"/>
        <v>299</v>
      </c>
      <c r="G83" s="2" t="s">
        <v>833</v>
      </c>
      <c r="H83" s="2"/>
      <c r="I83" s="2"/>
    </row>
    <row r="84" spans="1:9" hidden="1" x14ac:dyDescent="0.25">
      <c r="A84" s="68">
        <v>46000</v>
      </c>
      <c r="B84" s="2">
        <v>12</v>
      </c>
      <c r="C84" s="2" t="s">
        <v>664</v>
      </c>
      <c r="D84" s="2" t="s">
        <v>494</v>
      </c>
      <c r="E84" s="65">
        <v>398</v>
      </c>
      <c r="F84" s="65">
        <f t="shared" si="2"/>
        <v>4776</v>
      </c>
      <c r="G84" s="2" t="s">
        <v>8</v>
      </c>
      <c r="H84" s="2"/>
      <c r="I84" s="2"/>
    </row>
    <row r="85" spans="1:9" hidden="1" x14ac:dyDescent="0.25">
      <c r="A85" s="68">
        <v>46000</v>
      </c>
      <c r="B85" s="2">
        <v>40</v>
      </c>
      <c r="C85" s="2" t="s">
        <v>664</v>
      </c>
      <c r="D85" s="2" t="s">
        <v>827</v>
      </c>
      <c r="E85" s="65">
        <v>398</v>
      </c>
      <c r="F85" s="65">
        <f t="shared" si="2"/>
        <v>15920</v>
      </c>
      <c r="G85" s="2" t="s">
        <v>859</v>
      </c>
      <c r="H85" s="2"/>
      <c r="I85" s="2" t="s">
        <v>824</v>
      </c>
    </row>
    <row r="86" spans="1:9" hidden="1" x14ac:dyDescent="0.25">
      <c r="A86" s="68">
        <v>46000</v>
      </c>
      <c r="B86" s="2">
        <v>1</v>
      </c>
      <c r="C86" s="2" t="s">
        <v>296</v>
      </c>
      <c r="D86" s="2" t="s">
        <v>827</v>
      </c>
      <c r="E86" s="65">
        <v>110</v>
      </c>
      <c r="F86" s="65">
        <f t="shared" si="2"/>
        <v>110</v>
      </c>
      <c r="G86" s="2" t="s">
        <v>859</v>
      </c>
      <c r="H86" s="2"/>
      <c r="I86" s="2"/>
    </row>
    <row r="87" spans="1:9" hidden="1" x14ac:dyDescent="0.25">
      <c r="A87" s="68">
        <v>46000</v>
      </c>
      <c r="B87" s="2">
        <v>1</v>
      </c>
      <c r="C87" s="2" t="s">
        <v>664</v>
      </c>
      <c r="D87" s="2" t="s">
        <v>828</v>
      </c>
      <c r="E87" s="65">
        <v>398</v>
      </c>
      <c r="F87" s="65">
        <f t="shared" si="2"/>
        <v>398</v>
      </c>
      <c r="G87" s="2" t="s">
        <v>8</v>
      </c>
      <c r="H87" s="2"/>
      <c r="I87" s="2"/>
    </row>
    <row r="88" spans="1:9" hidden="1" x14ac:dyDescent="0.25">
      <c r="A88" s="68">
        <v>46000</v>
      </c>
      <c r="B88" s="2">
        <v>1</v>
      </c>
      <c r="C88" s="2" t="s">
        <v>829</v>
      </c>
      <c r="D88" s="2" t="s">
        <v>738</v>
      </c>
      <c r="E88" s="65">
        <v>90</v>
      </c>
      <c r="F88" s="65">
        <f t="shared" si="2"/>
        <v>90</v>
      </c>
      <c r="G88" s="2"/>
      <c r="H88" s="2"/>
      <c r="I88" s="2" t="s">
        <v>85</v>
      </c>
    </row>
    <row r="89" spans="1:9" hidden="1" x14ac:dyDescent="0.25">
      <c r="A89" s="68">
        <v>46000</v>
      </c>
      <c r="B89" s="2">
        <v>1</v>
      </c>
      <c r="C89" s="2" t="s">
        <v>664</v>
      </c>
      <c r="D89" s="2" t="s">
        <v>492</v>
      </c>
      <c r="E89" s="65">
        <v>0</v>
      </c>
      <c r="F89" s="65">
        <f t="shared" si="2"/>
        <v>0</v>
      </c>
      <c r="G89" s="2" t="s">
        <v>831</v>
      </c>
      <c r="H89" s="2"/>
      <c r="I89" s="2"/>
    </row>
    <row r="90" spans="1:9" hidden="1" x14ac:dyDescent="0.25">
      <c r="A90" s="68">
        <v>46001</v>
      </c>
      <c r="B90" s="2">
        <v>10</v>
      </c>
      <c r="C90" s="2" t="s">
        <v>664</v>
      </c>
      <c r="D90" s="2" t="s">
        <v>740</v>
      </c>
      <c r="E90" s="65">
        <v>398</v>
      </c>
      <c r="F90" s="65">
        <f t="shared" si="2"/>
        <v>3980</v>
      </c>
      <c r="G90" s="2" t="s">
        <v>859</v>
      </c>
      <c r="H90" s="2"/>
      <c r="I90" s="2" t="s">
        <v>824</v>
      </c>
    </row>
    <row r="91" spans="1:9" hidden="1" x14ac:dyDescent="0.25">
      <c r="A91" s="68">
        <v>46001</v>
      </c>
      <c r="B91" s="2">
        <v>2</v>
      </c>
      <c r="C91" s="2" t="s">
        <v>664</v>
      </c>
      <c r="D91" s="2" t="s">
        <v>809</v>
      </c>
      <c r="E91" s="65">
        <v>399</v>
      </c>
      <c r="F91" s="65">
        <f t="shared" si="2"/>
        <v>798</v>
      </c>
      <c r="G91" s="2" t="s">
        <v>873</v>
      </c>
      <c r="H91" s="2"/>
      <c r="I91" s="2"/>
    </row>
    <row r="92" spans="1:9" hidden="1" x14ac:dyDescent="0.25">
      <c r="A92" s="68">
        <v>46001</v>
      </c>
      <c r="B92" s="2">
        <v>2</v>
      </c>
      <c r="C92" s="2" t="s">
        <v>664</v>
      </c>
      <c r="D92" s="2" t="s">
        <v>819</v>
      </c>
      <c r="E92" s="65">
        <v>398</v>
      </c>
      <c r="F92" s="65">
        <f t="shared" si="2"/>
        <v>796</v>
      </c>
      <c r="G92" s="2" t="s">
        <v>859</v>
      </c>
      <c r="H92" s="2"/>
      <c r="I92" s="2"/>
    </row>
    <row r="93" spans="1:9" hidden="1" x14ac:dyDescent="0.25">
      <c r="A93" s="68">
        <v>46001</v>
      </c>
      <c r="B93" s="2">
        <v>1</v>
      </c>
      <c r="C93" s="2" t="s">
        <v>664</v>
      </c>
      <c r="D93" s="2" t="s">
        <v>819</v>
      </c>
      <c r="E93" s="65">
        <v>398</v>
      </c>
      <c r="F93" s="65">
        <f t="shared" si="2"/>
        <v>398</v>
      </c>
      <c r="G93" s="2" t="s">
        <v>8</v>
      </c>
      <c r="H93" s="2"/>
      <c r="I93" s="2"/>
    </row>
    <row r="94" spans="1:9" x14ac:dyDescent="0.25">
      <c r="A94" s="68">
        <v>46002</v>
      </c>
      <c r="B94" s="2">
        <v>2</v>
      </c>
      <c r="C94" s="2" t="s">
        <v>804</v>
      </c>
      <c r="D94" s="2" t="s">
        <v>364</v>
      </c>
      <c r="E94" s="65">
        <v>419</v>
      </c>
      <c r="F94" s="65">
        <f t="shared" si="2"/>
        <v>838</v>
      </c>
      <c r="G94" s="2" t="s">
        <v>8</v>
      </c>
      <c r="H94" s="2"/>
      <c r="I94" s="2"/>
    </row>
    <row r="95" spans="1:9" x14ac:dyDescent="0.25">
      <c r="A95" s="80">
        <v>46002</v>
      </c>
      <c r="B95" s="10">
        <v>3</v>
      </c>
      <c r="C95" s="10" t="s">
        <v>664</v>
      </c>
      <c r="D95" s="10" t="s">
        <v>364</v>
      </c>
      <c r="E95" s="66">
        <v>340</v>
      </c>
      <c r="F95" s="66">
        <f t="shared" si="2"/>
        <v>1020</v>
      </c>
      <c r="G95" s="10" t="s">
        <v>1063</v>
      </c>
      <c r="H95" s="10"/>
      <c r="I95" s="10"/>
    </row>
    <row r="96" spans="1:9" x14ac:dyDescent="0.25">
      <c r="A96" s="68">
        <v>46002</v>
      </c>
      <c r="B96" s="2">
        <v>4</v>
      </c>
      <c r="C96" s="2" t="s">
        <v>746</v>
      </c>
      <c r="D96" s="2" t="s">
        <v>364</v>
      </c>
      <c r="E96" s="65">
        <v>105</v>
      </c>
      <c r="F96" s="65">
        <f t="shared" si="2"/>
        <v>420</v>
      </c>
      <c r="G96" s="2" t="s">
        <v>8</v>
      </c>
      <c r="H96" s="2"/>
      <c r="I96" s="2"/>
    </row>
    <row r="97" spans="1:9" x14ac:dyDescent="0.25">
      <c r="A97" s="68">
        <v>46002</v>
      </c>
      <c r="B97" s="2">
        <v>1</v>
      </c>
      <c r="C97" s="2" t="s">
        <v>323</v>
      </c>
      <c r="D97" s="2" t="s">
        <v>364</v>
      </c>
      <c r="E97" s="65">
        <v>573</v>
      </c>
      <c r="F97" s="65">
        <f t="shared" si="2"/>
        <v>573</v>
      </c>
      <c r="G97" s="2" t="s">
        <v>8</v>
      </c>
      <c r="H97" s="2"/>
      <c r="I97" s="2"/>
    </row>
    <row r="98" spans="1:9" x14ac:dyDescent="0.25">
      <c r="A98" s="68">
        <v>46002</v>
      </c>
      <c r="B98" s="2">
        <v>10</v>
      </c>
      <c r="C98" s="2" t="s">
        <v>697</v>
      </c>
      <c r="D98" s="2" t="s">
        <v>364</v>
      </c>
      <c r="E98" s="65">
        <v>130</v>
      </c>
      <c r="F98" s="65">
        <f t="shared" si="2"/>
        <v>1300</v>
      </c>
      <c r="G98" s="2" t="s">
        <v>8</v>
      </c>
      <c r="H98" s="2"/>
      <c r="I98" s="2"/>
    </row>
    <row r="99" spans="1:9" x14ac:dyDescent="0.25">
      <c r="A99" s="68">
        <v>46002</v>
      </c>
      <c r="B99" s="2">
        <v>3</v>
      </c>
      <c r="C99" s="2" t="s">
        <v>378</v>
      </c>
      <c r="D99" s="2" t="s">
        <v>364</v>
      </c>
      <c r="E99" s="65">
        <v>573</v>
      </c>
      <c r="F99" s="65">
        <f t="shared" si="2"/>
        <v>1719</v>
      </c>
      <c r="G99" s="2" t="s">
        <v>873</v>
      </c>
      <c r="H99" s="2"/>
      <c r="I99" s="2"/>
    </row>
    <row r="100" spans="1:9" x14ac:dyDescent="0.25">
      <c r="A100" s="68">
        <v>46002</v>
      </c>
      <c r="B100" s="2">
        <v>3</v>
      </c>
      <c r="C100" s="2" t="s">
        <v>639</v>
      </c>
      <c r="D100" s="2" t="s">
        <v>364</v>
      </c>
      <c r="E100" s="65">
        <v>1095</v>
      </c>
      <c r="F100" s="65">
        <f t="shared" si="2"/>
        <v>3285</v>
      </c>
      <c r="G100" s="2" t="s">
        <v>873</v>
      </c>
      <c r="H100" s="2"/>
      <c r="I100" s="2"/>
    </row>
    <row r="101" spans="1:9" hidden="1" x14ac:dyDescent="0.25">
      <c r="A101" s="68">
        <v>46002</v>
      </c>
      <c r="B101" s="2">
        <v>2</v>
      </c>
      <c r="C101" s="2" t="s">
        <v>837</v>
      </c>
      <c r="D101" s="2" t="s">
        <v>101</v>
      </c>
      <c r="E101" s="65">
        <v>1400</v>
      </c>
      <c r="F101" s="65">
        <f t="shared" si="2"/>
        <v>2800</v>
      </c>
      <c r="G101" s="2" t="s">
        <v>862</v>
      </c>
      <c r="H101" s="2"/>
      <c r="I101" s="2"/>
    </row>
    <row r="102" spans="1:9" hidden="1" x14ac:dyDescent="0.25">
      <c r="A102" s="68">
        <v>46002</v>
      </c>
      <c r="B102" s="2">
        <v>2</v>
      </c>
      <c r="C102" s="2" t="s">
        <v>664</v>
      </c>
      <c r="D102" s="2" t="s">
        <v>101</v>
      </c>
      <c r="E102" s="65">
        <v>399</v>
      </c>
      <c r="F102" s="65">
        <f t="shared" si="2"/>
        <v>798</v>
      </c>
      <c r="G102" s="2" t="s">
        <v>862</v>
      </c>
      <c r="H102" s="2"/>
      <c r="I102" s="2"/>
    </row>
    <row r="103" spans="1:9" hidden="1" x14ac:dyDescent="0.25">
      <c r="A103" s="68">
        <v>46002</v>
      </c>
      <c r="B103" s="2">
        <v>10</v>
      </c>
      <c r="C103" s="2" t="s">
        <v>697</v>
      </c>
      <c r="D103" s="2" t="s">
        <v>101</v>
      </c>
      <c r="E103" s="65">
        <v>125</v>
      </c>
      <c r="F103" s="65">
        <f t="shared" si="2"/>
        <v>1250</v>
      </c>
      <c r="G103" s="2" t="s">
        <v>862</v>
      </c>
      <c r="H103" s="2"/>
      <c r="I103" s="2"/>
    </row>
    <row r="104" spans="1:9" hidden="1" x14ac:dyDescent="0.25">
      <c r="A104" s="68">
        <v>46002</v>
      </c>
      <c r="B104" s="2">
        <v>2</v>
      </c>
      <c r="C104" s="2" t="s">
        <v>837</v>
      </c>
      <c r="D104" s="2" t="s">
        <v>101</v>
      </c>
      <c r="E104" s="65">
        <v>1400</v>
      </c>
      <c r="F104" s="65">
        <f t="shared" si="2"/>
        <v>2800</v>
      </c>
      <c r="G104" s="2" t="s">
        <v>365</v>
      </c>
      <c r="H104" s="2"/>
      <c r="I104" s="2"/>
    </row>
    <row r="105" spans="1:9" hidden="1" x14ac:dyDescent="0.25">
      <c r="A105" s="68">
        <v>46003</v>
      </c>
      <c r="B105" s="97">
        <v>20</v>
      </c>
      <c r="C105" s="2" t="s">
        <v>664</v>
      </c>
      <c r="D105" s="2" t="s">
        <v>740</v>
      </c>
      <c r="E105" s="65">
        <v>398</v>
      </c>
      <c r="F105" s="65">
        <f t="shared" si="2"/>
        <v>7960</v>
      </c>
      <c r="G105" s="2" t="s">
        <v>903</v>
      </c>
      <c r="H105" s="2"/>
      <c r="I105" s="2"/>
    </row>
    <row r="106" spans="1:9" hidden="1" x14ac:dyDescent="0.25">
      <c r="A106" s="68">
        <v>46003</v>
      </c>
      <c r="B106" s="2">
        <v>10</v>
      </c>
      <c r="C106" s="2" t="s">
        <v>837</v>
      </c>
      <c r="D106" s="2" t="s">
        <v>864</v>
      </c>
      <c r="E106" s="65">
        <v>1400</v>
      </c>
      <c r="F106" s="65">
        <f t="shared" si="2"/>
        <v>14000</v>
      </c>
      <c r="G106" s="2" t="s">
        <v>867</v>
      </c>
      <c r="H106" s="2"/>
      <c r="I106" s="2"/>
    </row>
    <row r="107" spans="1:9" hidden="1" x14ac:dyDescent="0.25">
      <c r="A107" s="68">
        <v>46003</v>
      </c>
      <c r="B107" s="2">
        <v>3</v>
      </c>
      <c r="C107" s="2" t="s">
        <v>863</v>
      </c>
      <c r="D107" s="2" t="s">
        <v>864</v>
      </c>
      <c r="E107" s="65">
        <v>2490</v>
      </c>
      <c r="F107" s="65">
        <f t="shared" si="2"/>
        <v>7470</v>
      </c>
      <c r="G107" s="2" t="s">
        <v>867</v>
      </c>
      <c r="H107" s="2"/>
      <c r="I107" s="2"/>
    </row>
    <row r="108" spans="1:9" hidden="1" x14ac:dyDescent="0.25">
      <c r="A108" s="68">
        <v>46002</v>
      </c>
      <c r="B108" s="2">
        <v>100</v>
      </c>
      <c r="C108" s="2" t="s">
        <v>664</v>
      </c>
      <c r="D108" s="2" t="s">
        <v>865</v>
      </c>
      <c r="E108" s="65">
        <v>274</v>
      </c>
      <c r="F108" s="65">
        <f t="shared" si="2"/>
        <v>27400</v>
      </c>
      <c r="G108" s="2" t="s">
        <v>875</v>
      </c>
      <c r="H108" s="2"/>
      <c r="I108" s="2"/>
    </row>
    <row r="109" spans="1:9" hidden="1" x14ac:dyDescent="0.25">
      <c r="A109" s="68">
        <v>46002</v>
      </c>
      <c r="B109" s="2">
        <v>1</v>
      </c>
      <c r="C109" s="2" t="s">
        <v>296</v>
      </c>
      <c r="D109" s="2" t="s">
        <v>865</v>
      </c>
      <c r="E109" s="65">
        <v>110</v>
      </c>
      <c r="F109" s="65">
        <f t="shared" si="2"/>
        <v>110</v>
      </c>
      <c r="G109" s="2" t="s">
        <v>875</v>
      </c>
      <c r="H109" s="2"/>
      <c r="I109" s="2"/>
    </row>
    <row r="110" spans="1:9" hidden="1" x14ac:dyDescent="0.25">
      <c r="A110" s="68">
        <v>46003</v>
      </c>
      <c r="B110" s="2">
        <v>70</v>
      </c>
      <c r="C110" s="2" t="s">
        <v>697</v>
      </c>
      <c r="D110" s="2" t="s">
        <v>30</v>
      </c>
      <c r="E110" s="65">
        <v>132</v>
      </c>
      <c r="F110" s="65">
        <f t="shared" si="2"/>
        <v>9240</v>
      </c>
      <c r="G110" s="2" t="s">
        <v>952</v>
      </c>
      <c r="H110" s="2"/>
      <c r="I110" s="2"/>
    </row>
    <row r="111" spans="1:9" hidden="1" x14ac:dyDescent="0.25">
      <c r="A111" s="68">
        <v>46004</v>
      </c>
      <c r="B111" s="2">
        <v>10</v>
      </c>
      <c r="C111" s="10" t="s">
        <v>866</v>
      </c>
      <c r="D111" s="2" t="s">
        <v>677</v>
      </c>
      <c r="E111" s="65">
        <v>960</v>
      </c>
      <c r="F111" s="65">
        <f t="shared" si="2"/>
        <v>9600</v>
      </c>
      <c r="G111" s="2" t="s">
        <v>952</v>
      </c>
      <c r="H111" s="2"/>
      <c r="I111" s="2" t="s">
        <v>115</v>
      </c>
    </row>
    <row r="112" spans="1:9" hidden="1" x14ac:dyDescent="0.25">
      <c r="A112" s="68">
        <v>46005</v>
      </c>
      <c r="B112" s="2">
        <v>3</v>
      </c>
      <c r="C112" s="10" t="s">
        <v>874</v>
      </c>
      <c r="D112" s="2" t="s">
        <v>864</v>
      </c>
      <c r="E112" s="65">
        <v>3300</v>
      </c>
      <c r="F112" s="65">
        <f t="shared" si="2"/>
        <v>9900</v>
      </c>
      <c r="G112" s="2" t="s">
        <v>8</v>
      </c>
      <c r="H112" s="2"/>
      <c r="I112" s="2"/>
    </row>
    <row r="113" spans="1:9" hidden="1" x14ac:dyDescent="0.25">
      <c r="A113" s="68">
        <v>46005</v>
      </c>
      <c r="B113" s="2">
        <v>23</v>
      </c>
      <c r="C113" s="2" t="s">
        <v>664</v>
      </c>
      <c r="D113" s="2" t="s">
        <v>855</v>
      </c>
      <c r="E113" s="65">
        <v>399</v>
      </c>
      <c r="F113" s="65">
        <f t="shared" si="2"/>
        <v>9177</v>
      </c>
      <c r="G113" s="2" t="s">
        <v>869</v>
      </c>
      <c r="H113" s="2"/>
      <c r="I113" s="2"/>
    </row>
    <row r="114" spans="1:9" hidden="1" x14ac:dyDescent="0.25">
      <c r="A114" s="68">
        <v>46006</v>
      </c>
      <c r="B114" s="2">
        <v>12</v>
      </c>
      <c r="C114" s="2" t="s">
        <v>664</v>
      </c>
      <c r="D114" s="2" t="s">
        <v>497</v>
      </c>
      <c r="E114" s="65">
        <v>398</v>
      </c>
      <c r="F114" s="65">
        <f t="shared" si="2"/>
        <v>4776</v>
      </c>
      <c r="G114" s="2" t="s">
        <v>8</v>
      </c>
      <c r="H114" s="2"/>
      <c r="I114" s="2"/>
    </row>
    <row r="115" spans="1:9" hidden="1" x14ac:dyDescent="0.25">
      <c r="A115" s="68">
        <v>46006</v>
      </c>
      <c r="B115" s="2">
        <v>12</v>
      </c>
      <c r="C115" s="2" t="s">
        <v>664</v>
      </c>
      <c r="D115" s="2" t="s">
        <v>870</v>
      </c>
      <c r="E115" s="65">
        <v>398</v>
      </c>
      <c r="F115" s="65">
        <f t="shared" si="2"/>
        <v>4776</v>
      </c>
      <c r="G115" s="2" t="s">
        <v>8</v>
      </c>
      <c r="H115" s="2"/>
      <c r="I115" s="2"/>
    </row>
    <row r="116" spans="1:9" hidden="1" x14ac:dyDescent="0.25">
      <c r="A116" s="68">
        <v>46006</v>
      </c>
      <c r="B116" s="97">
        <v>15</v>
      </c>
      <c r="C116" s="2" t="s">
        <v>664</v>
      </c>
      <c r="D116" s="2" t="s">
        <v>740</v>
      </c>
      <c r="E116" s="65">
        <v>398</v>
      </c>
      <c r="F116" s="65">
        <f t="shared" si="2"/>
        <v>5970</v>
      </c>
      <c r="G116" s="2" t="s">
        <v>903</v>
      </c>
      <c r="H116" s="2"/>
      <c r="I116" s="2"/>
    </row>
    <row r="117" spans="1:9" x14ac:dyDescent="0.25">
      <c r="A117" s="68">
        <v>46006</v>
      </c>
      <c r="B117" s="2">
        <v>3</v>
      </c>
      <c r="C117" s="10" t="s">
        <v>409</v>
      </c>
      <c r="D117" s="2" t="s">
        <v>364</v>
      </c>
      <c r="E117" s="65">
        <v>1059</v>
      </c>
      <c r="F117" s="65">
        <f t="shared" si="2"/>
        <v>3177</v>
      </c>
      <c r="G117" s="2" t="s">
        <v>8</v>
      </c>
      <c r="H117" s="2"/>
      <c r="I117" s="2"/>
    </row>
    <row r="118" spans="1:9" x14ac:dyDescent="0.25">
      <c r="A118" s="68">
        <v>46006</v>
      </c>
      <c r="B118" s="2">
        <v>1</v>
      </c>
      <c r="C118" s="10" t="s">
        <v>871</v>
      </c>
      <c r="D118" s="2" t="s">
        <v>364</v>
      </c>
      <c r="E118" s="65">
        <v>573</v>
      </c>
      <c r="F118" s="65">
        <f t="shared" si="2"/>
        <v>573</v>
      </c>
      <c r="G118" s="2" t="s">
        <v>8</v>
      </c>
      <c r="H118" s="2"/>
      <c r="I118" s="2"/>
    </row>
    <row r="119" spans="1:9" hidden="1" x14ac:dyDescent="0.25">
      <c r="A119" s="68">
        <v>46006</v>
      </c>
      <c r="B119" s="2">
        <v>1</v>
      </c>
      <c r="C119" s="2" t="s">
        <v>664</v>
      </c>
      <c r="D119" s="2" t="s">
        <v>502</v>
      </c>
      <c r="E119" s="2"/>
      <c r="F119" s="65">
        <f t="shared" si="2"/>
        <v>0</v>
      </c>
      <c r="G119" s="2" t="s">
        <v>891</v>
      </c>
      <c r="H119" s="2"/>
      <c r="I119" s="2"/>
    </row>
    <row r="120" spans="1:9" hidden="1" x14ac:dyDescent="0.25">
      <c r="A120" s="68">
        <v>46006</v>
      </c>
      <c r="B120" s="2">
        <v>7</v>
      </c>
      <c r="C120" s="2" t="s">
        <v>664</v>
      </c>
      <c r="D120" s="2" t="s">
        <v>855</v>
      </c>
      <c r="E120" s="65">
        <v>398</v>
      </c>
      <c r="F120" s="65">
        <f t="shared" ref="F120:F158" si="4">E120*B120</f>
        <v>2786</v>
      </c>
      <c r="G120" s="2" t="s">
        <v>873</v>
      </c>
      <c r="H120" s="2"/>
      <c r="I120" s="2"/>
    </row>
    <row r="121" spans="1:9" hidden="1" x14ac:dyDescent="0.25">
      <c r="A121" s="68">
        <v>46006</v>
      </c>
      <c r="B121" s="2">
        <v>2</v>
      </c>
      <c r="C121" s="2" t="s">
        <v>832</v>
      </c>
      <c r="D121" s="2" t="s">
        <v>811</v>
      </c>
      <c r="E121" s="65">
        <v>2099</v>
      </c>
      <c r="F121" s="65">
        <f t="shared" si="4"/>
        <v>4198</v>
      </c>
      <c r="G121" s="2" t="s">
        <v>873</v>
      </c>
      <c r="H121" s="2"/>
      <c r="I121" s="2"/>
    </row>
    <row r="122" spans="1:9" hidden="1" x14ac:dyDescent="0.25">
      <c r="A122" s="68">
        <v>46006</v>
      </c>
      <c r="B122" s="2">
        <v>23</v>
      </c>
      <c r="C122" s="2" t="s">
        <v>664</v>
      </c>
      <c r="D122" s="2" t="s">
        <v>855</v>
      </c>
      <c r="E122" s="65">
        <v>399</v>
      </c>
      <c r="F122" s="65">
        <f t="shared" si="4"/>
        <v>9177</v>
      </c>
      <c r="G122" s="2" t="s">
        <v>365</v>
      </c>
      <c r="H122" s="2"/>
      <c r="I122" s="2"/>
    </row>
    <row r="123" spans="1:9" hidden="1" x14ac:dyDescent="0.25">
      <c r="A123" s="68">
        <v>46006</v>
      </c>
      <c r="B123" s="2">
        <v>1</v>
      </c>
      <c r="C123" s="2" t="s">
        <v>900</v>
      </c>
      <c r="D123" s="2" t="s">
        <v>857</v>
      </c>
      <c r="E123" s="65">
        <v>450</v>
      </c>
      <c r="F123" s="65">
        <f t="shared" si="4"/>
        <v>450</v>
      </c>
      <c r="G123" s="2" t="s">
        <v>904</v>
      </c>
      <c r="H123" s="2"/>
      <c r="I123" s="2" t="s">
        <v>85</v>
      </c>
    </row>
    <row r="124" spans="1:9" hidden="1" x14ac:dyDescent="0.25">
      <c r="A124" s="68">
        <v>46007</v>
      </c>
      <c r="B124" s="97">
        <v>4</v>
      </c>
      <c r="C124" s="2" t="s">
        <v>664</v>
      </c>
      <c r="D124" s="2" t="s">
        <v>877</v>
      </c>
      <c r="E124" s="65">
        <v>398</v>
      </c>
      <c r="F124" s="65">
        <f t="shared" si="4"/>
        <v>1592</v>
      </c>
      <c r="G124" s="2" t="s">
        <v>8</v>
      </c>
      <c r="H124" s="2"/>
      <c r="I124" s="2"/>
    </row>
    <row r="125" spans="1:9" hidden="1" x14ac:dyDescent="0.25">
      <c r="A125" s="68">
        <v>46008</v>
      </c>
      <c r="B125" s="97">
        <v>44</v>
      </c>
      <c r="C125" s="2" t="s">
        <v>664</v>
      </c>
      <c r="D125" s="2" t="s">
        <v>878</v>
      </c>
      <c r="E125" s="65">
        <v>398</v>
      </c>
      <c r="F125" s="65">
        <f t="shared" si="4"/>
        <v>17512</v>
      </c>
      <c r="G125" s="2" t="s">
        <v>348</v>
      </c>
      <c r="H125" s="2"/>
      <c r="I125" s="2" t="s">
        <v>860</v>
      </c>
    </row>
    <row r="126" spans="1:9" hidden="1" x14ac:dyDescent="0.25">
      <c r="A126" s="68">
        <v>46008</v>
      </c>
      <c r="B126" s="2">
        <v>1</v>
      </c>
      <c r="C126" s="2" t="s">
        <v>296</v>
      </c>
      <c r="D126" s="2" t="s">
        <v>878</v>
      </c>
      <c r="E126" s="65">
        <v>110</v>
      </c>
      <c r="F126" s="65">
        <f t="shared" si="4"/>
        <v>110</v>
      </c>
      <c r="G126" s="2" t="s">
        <v>85</v>
      </c>
      <c r="H126" s="2"/>
      <c r="I126" s="2"/>
    </row>
    <row r="127" spans="1:9" hidden="1" x14ac:dyDescent="0.25">
      <c r="A127" s="68">
        <v>46008</v>
      </c>
      <c r="B127" s="2">
        <v>1</v>
      </c>
      <c r="C127" s="2" t="s">
        <v>664</v>
      </c>
      <c r="D127" s="2" t="s">
        <v>878</v>
      </c>
      <c r="E127" s="65"/>
      <c r="F127" s="65"/>
      <c r="G127" s="2" t="s">
        <v>882</v>
      </c>
      <c r="H127" s="2"/>
      <c r="I127" s="2"/>
    </row>
    <row r="128" spans="1:9" hidden="1" x14ac:dyDescent="0.25">
      <c r="A128" s="68">
        <v>46008</v>
      </c>
      <c r="B128" s="2">
        <v>20</v>
      </c>
      <c r="C128" s="2" t="s">
        <v>664</v>
      </c>
      <c r="D128" s="2" t="s">
        <v>879</v>
      </c>
      <c r="E128" s="65"/>
      <c r="F128" s="65">
        <f t="shared" si="4"/>
        <v>0</v>
      </c>
      <c r="G128" s="2" t="s">
        <v>880</v>
      </c>
      <c r="H128" s="2"/>
      <c r="I128" s="2"/>
    </row>
    <row r="129" spans="1:12" hidden="1" x14ac:dyDescent="0.25">
      <c r="A129" s="68">
        <v>46008</v>
      </c>
      <c r="B129" s="97">
        <v>159</v>
      </c>
      <c r="C129" s="2" t="s">
        <v>664</v>
      </c>
      <c r="D129" s="2" t="s">
        <v>881</v>
      </c>
      <c r="E129" s="65">
        <v>398</v>
      </c>
      <c r="F129" s="65">
        <f t="shared" si="4"/>
        <v>63282</v>
      </c>
      <c r="G129" s="2" t="s">
        <v>888</v>
      </c>
      <c r="H129" s="2"/>
      <c r="I129" s="2" t="s">
        <v>860</v>
      </c>
    </row>
    <row r="130" spans="1:12" hidden="1" x14ac:dyDescent="0.25">
      <c r="A130" s="68">
        <v>46009</v>
      </c>
      <c r="B130" s="97">
        <v>9</v>
      </c>
      <c r="C130" s="2" t="s">
        <v>664</v>
      </c>
      <c r="D130" s="2" t="s">
        <v>881</v>
      </c>
      <c r="E130" s="65">
        <v>398</v>
      </c>
      <c r="F130" s="65">
        <f t="shared" si="4"/>
        <v>3582</v>
      </c>
      <c r="G130" s="2" t="s">
        <v>888</v>
      </c>
      <c r="H130" s="2"/>
      <c r="I130" s="2" t="s">
        <v>860</v>
      </c>
    </row>
    <row r="131" spans="1:12" hidden="1" x14ac:dyDescent="0.25">
      <c r="A131" s="68">
        <v>46009</v>
      </c>
      <c r="B131" s="2"/>
      <c r="C131" s="2" t="s">
        <v>664</v>
      </c>
      <c r="D131" s="2" t="s">
        <v>890</v>
      </c>
      <c r="E131" s="65"/>
      <c r="F131" s="65">
        <f t="shared" si="4"/>
        <v>0</v>
      </c>
      <c r="G131" s="2" t="s">
        <v>889</v>
      </c>
      <c r="H131" s="2"/>
      <c r="I131" s="2"/>
    </row>
    <row r="132" spans="1:12" hidden="1" x14ac:dyDescent="0.25">
      <c r="A132" s="68">
        <v>46010</v>
      </c>
      <c r="B132" s="2">
        <v>2</v>
      </c>
      <c r="C132" s="2" t="s">
        <v>883</v>
      </c>
      <c r="D132" s="2" t="s">
        <v>103</v>
      </c>
      <c r="E132" s="65">
        <v>477</v>
      </c>
      <c r="F132" s="65">
        <f t="shared" si="4"/>
        <v>954</v>
      </c>
      <c r="G132" s="2" t="s">
        <v>905</v>
      </c>
      <c r="H132" s="2"/>
      <c r="I132" s="2" t="s">
        <v>886</v>
      </c>
    </row>
    <row r="133" spans="1:12" hidden="1" x14ac:dyDescent="0.25">
      <c r="A133" s="68">
        <v>46010</v>
      </c>
      <c r="B133" s="2">
        <v>2</v>
      </c>
      <c r="C133" s="2" t="s">
        <v>883</v>
      </c>
      <c r="D133" s="2" t="s">
        <v>103</v>
      </c>
      <c r="E133" s="65">
        <v>477</v>
      </c>
      <c r="F133" s="65">
        <f t="shared" si="4"/>
        <v>954</v>
      </c>
      <c r="G133" s="2" t="s">
        <v>905</v>
      </c>
      <c r="H133" s="2"/>
      <c r="I133" s="2"/>
      <c r="K133">
        <v>242</v>
      </c>
      <c r="L133">
        <v>350</v>
      </c>
    </row>
    <row r="134" spans="1:12" hidden="1" x14ac:dyDescent="0.25">
      <c r="A134" s="68">
        <v>46010</v>
      </c>
      <c r="B134" s="2">
        <v>2</v>
      </c>
      <c r="C134" s="2" t="s">
        <v>883</v>
      </c>
      <c r="D134" s="2" t="s">
        <v>884</v>
      </c>
      <c r="E134" s="65">
        <v>477</v>
      </c>
      <c r="F134" s="65">
        <f t="shared" ref="F134" si="5">E134*B134</f>
        <v>954</v>
      </c>
      <c r="G134" s="2" t="s">
        <v>905</v>
      </c>
      <c r="H134" s="2"/>
      <c r="I134" s="2" t="s">
        <v>886</v>
      </c>
      <c r="K134">
        <v>50</v>
      </c>
    </row>
    <row r="135" spans="1:12" hidden="1" x14ac:dyDescent="0.25">
      <c r="A135" s="68">
        <v>46010</v>
      </c>
      <c r="B135" s="2">
        <v>2</v>
      </c>
      <c r="C135" s="2" t="s">
        <v>883</v>
      </c>
      <c r="D135" s="2" t="s">
        <v>887</v>
      </c>
      <c r="E135" s="65">
        <v>477</v>
      </c>
      <c r="F135" s="65">
        <f t="shared" si="4"/>
        <v>954</v>
      </c>
      <c r="G135" s="18" t="s">
        <v>992</v>
      </c>
      <c r="H135" s="2"/>
      <c r="I135" s="2" t="s">
        <v>991</v>
      </c>
      <c r="J135">
        <v>8129</v>
      </c>
    </row>
    <row r="136" spans="1:12" hidden="1" x14ac:dyDescent="0.25">
      <c r="A136" s="68">
        <v>46010</v>
      </c>
      <c r="B136" s="2">
        <v>2</v>
      </c>
      <c r="C136" s="2" t="s">
        <v>892</v>
      </c>
      <c r="D136" s="2" t="s">
        <v>893</v>
      </c>
      <c r="E136" s="65">
        <v>480</v>
      </c>
      <c r="F136" s="65">
        <f t="shared" si="4"/>
        <v>960</v>
      </c>
      <c r="G136" s="2" t="s">
        <v>906</v>
      </c>
      <c r="H136" s="2"/>
      <c r="I136" s="2"/>
    </row>
    <row r="137" spans="1:12" hidden="1" x14ac:dyDescent="0.25">
      <c r="A137" s="68">
        <v>46010</v>
      </c>
      <c r="B137" s="2">
        <v>2</v>
      </c>
      <c r="C137" s="2" t="s">
        <v>892</v>
      </c>
      <c r="D137" s="2" t="s">
        <v>894</v>
      </c>
      <c r="E137" s="65">
        <v>480</v>
      </c>
      <c r="F137" s="65">
        <f t="shared" si="4"/>
        <v>960</v>
      </c>
      <c r="G137" s="2" t="s">
        <v>8</v>
      </c>
      <c r="H137" s="2"/>
      <c r="I137" s="2"/>
    </row>
    <row r="138" spans="1:12" hidden="1" x14ac:dyDescent="0.25">
      <c r="A138" s="68">
        <v>46010</v>
      </c>
      <c r="B138" s="2">
        <v>2</v>
      </c>
      <c r="C138" s="2" t="s">
        <v>892</v>
      </c>
      <c r="D138" s="2" t="s">
        <v>714</v>
      </c>
      <c r="E138" s="65">
        <v>480</v>
      </c>
      <c r="F138" s="65">
        <f t="shared" si="4"/>
        <v>960</v>
      </c>
      <c r="G138" s="2" t="s">
        <v>348</v>
      </c>
      <c r="H138" s="2"/>
      <c r="I138" s="2"/>
      <c r="K138">
        <v>387</v>
      </c>
      <c r="L138">
        <f>K138*L133</f>
        <v>135450</v>
      </c>
    </row>
    <row r="139" spans="1:12" hidden="1" x14ac:dyDescent="0.25">
      <c r="A139" s="68">
        <v>46010</v>
      </c>
      <c r="B139" s="2">
        <v>2</v>
      </c>
      <c r="C139" s="2" t="s">
        <v>892</v>
      </c>
      <c r="D139" s="2" t="s">
        <v>714</v>
      </c>
      <c r="E139" s="65">
        <v>480</v>
      </c>
      <c r="F139" s="65">
        <f t="shared" si="4"/>
        <v>960</v>
      </c>
      <c r="G139" s="2" t="s">
        <v>348</v>
      </c>
      <c r="H139" s="2"/>
      <c r="I139" s="2"/>
      <c r="L139">
        <v>66000</v>
      </c>
    </row>
    <row r="140" spans="1:12" hidden="1" x14ac:dyDescent="0.25">
      <c r="A140" s="68">
        <v>46010</v>
      </c>
      <c r="B140" s="2">
        <v>4</v>
      </c>
      <c r="C140" s="2" t="s">
        <v>883</v>
      </c>
      <c r="D140" s="2" t="s">
        <v>103</v>
      </c>
      <c r="E140" s="65">
        <v>477</v>
      </c>
      <c r="F140" s="65">
        <f t="shared" si="4"/>
        <v>1908</v>
      </c>
      <c r="G140" s="2" t="s">
        <v>8</v>
      </c>
      <c r="H140" s="2"/>
      <c r="I140" s="2"/>
    </row>
    <row r="141" spans="1:12" hidden="1" x14ac:dyDescent="0.25">
      <c r="A141" s="68">
        <v>46010</v>
      </c>
      <c r="B141" s="2">
        <v>4</v>
      </c>
      <c r="C141" s="2" t="s">
        <v>895</v>
      </c>
      <c r="D141" s="2" t="s">
        <v>103</v>
      </c>
      <c r="E141" s="65">
        <v>629</v>
      </c>
      <c r="F141" s="65">
        <f t="shared" si="4"/>
        <v>2516</v>
      </c>
      <c r="G141" s="2" t="s">
        <v>8</v>
      </c>
      <c r="H141" s="2"/>
      <c r="I141" s="2"/>
    </row>
    <row r="142" spans="1:12" hidden="1" x14ac:dyDescent="0.25">
      <c r="A142" s="68">
        <v>46010</v>
      </c>
      <c r="B142" s="2">
        <v>4</v>
      </c>
      <c r="C142" s="2" t="s">
        <v>883</v>
      </c>
      <c r="D142" s="2" t="s">
        <v>884</v>
      </c>
      <c r="E142" s="65">
        <v>477</v>
      </c>
      <c r="F142" s="65">
        <f t="shared" si="4"/>
        <v>1908</v>
      </c>
      <c r="G142" s="2" t="s">
        <v>8</v>
      </c>
      <c r="H142" s="2"/>
      <c r="I142" s="2"/>
    </row>
    <row r="143" spans="1:12" hidden="1" x14ac:dyDescent="0.25">
      <c r="A143" s="68">
        <v>46010</v>
      </c>
      <c r="B143" s="2">
        <v>4</v>
      </c>
      <c r="C143" s="2" t="s">
        <v>895</v>
      </c>
      <c r="D143" s="2" t="s">
        <v>884</v>
      </c>
      <c r="E143" s="65">
        <v>629</v>
      </c>
      <c r="F143" s="65">
        <f t="shared" si="4"/>
        <v>2516</v>
      </c>
      <c r="G143" s="2" t="s">
        <v>8</v>
      </c>
      <c r="H143" s="2"/>
      <c r="I143" s="2"/>
    </row>
    <row r="144" spans="1:12" hidden="1" x14ac:dyDescent="0.25">
      <c r="A144" s="68">
        <v>46010</v>
      </c>
      <c r="B144" s="2">
        <v>3</v>
      </c>
      <c r="C144" s="2" t="s">
        <v>883</v>
      </c>
      <c r="D144" s="2" t="s">
        <v>887</v>
      </c>
      <c r="E144" s="65">
        <v>477</v>
      </c>
      <c r="F144" s="65">
        <f t="shared" si="4"/>
        <v>1431</v>
      </c>
      <c r="G144" s="2" t="s">
        <v>8</v>
      </c>
      <c r="H144" s="2"/>
      <c r="I144" s="2"/>
    </row>
    <row r="145" spans="1:15" hidden="1" x14ac:dyDescent="0.25">
      <c r="A145" s="68">
        <v>46010</v>
      </c>
      <c r="B145" s="2">
        <v>3</v>
      </c>
      <c r="C145" s="2" t="s">
        <v>895</v>
      </c>
      <c r="D145" s="2" t="s">
        <v>887</v>
      </c>
      <c r="E145" s="65">
        <v>629</v>
      </c>
      <c r="F145" s="65">
        <f t="shared" si="4"/>
        <v>1887</v>
      </c>
      <c r="G145" s="2" t="s">
        <v>8</v>
      </c>
      <c r="H145" s="2"/>
      <c r="I145" s="2"/>
    </row>
    <row r="146" spans="1:15" hidden="1" x14ac:dyDescent="0.25">
      <c r="A146" s="68">
        <v>46010</v>
      </c>
      <c r="B146" s="2">
        <v>2</v>
      </c>
      <c r="C146" s="2" t="s">
        <v>896</v>
      </c>
      <c r="D146" s="2" t="s">
        <v>318</v>
      </c>
      <c r="E146" s="65">
        <v>479</v>
      </c>
      <c r="F146" s="65">
        <f t="shared" si="4"/>
        <v>958</v>
      </c>
      <c r="G146" s="2" t="s">
        <v>8</v>
      </c>
      <c r="H146" s="2"/>
      <c r="I146" s="2"/>
      <c r="O146">
        <v>3735</v>
      </c>
    </row>
    <row r="147" spans="1:15" hidden="1" x14ac:dyDescent="0.25">
      <c r="A147" s="68">
        <v>46010</v>
      </c>
      <c r="B147" s="2">
        <v>10</v>
      </c>
      <c r="C147" s="2" t="s">
        <v>837</v>
      </c>
      <c r="D147" s="2" t="s">
        <v>864</v>
      </c>
      <c r="E147" s="65">
        <v>1400</v>
      </c>
      <c r="F147" s="65">
        <f t="shared" ref="F147" si="6">E147*B147</f>
        <v>14000</v>
      </c>
      <c r="G147" s="2" t="s">
        <v>905</v>
      </c>
      <c r="H147" s="2"/>
      <c r="I147" s="2"/>
      <c r="O147">
        <v>2490</v>
      </c>
    </row>
    <row r="148" spans="1:15" hidden="1" x14ac:dyDescent="0.25">
      <c r="A148" s="68">
        <v>46010</v>
      </c>
      <c r="B148" s="2">
        <v>10</v>
      </c>
      <c r="C148" s="2" t="s">
        <v>804</v>
      </c>
      <c r="D148" s="2" t="s">
        <v>864</v>
      </c>
      <c r="E148" s="65">
        <v>415</v>
      </c>
      <c r="F148" s="65">
        <f t="shared" si="4"/>
        <v>4150</v>
      </c>
      <c r="G148" s="2" t="s">
        <v>905</v>
      </c>
      <c r="H148" s="2"/>
      <c r="I148" s="2"/>
      <c r="O148">
        <f>(O147-O146)</f>
        <v>-1245</v>
      </c>
    </row>
    <row r="149" spans="1:15" hidden="1" x14ac:dyDescent="0.25">
      <c r="A149" s="68">
        <v>46010</v>
      </c>
      <c r="B149" s="2">
        <v>20</v>
      </c>
      <c r="C149" s="2" t="s">
        <v>897</v>
      </c>
      <c r="D149" s="2" t="s">
        <v>864</v>
      </c>
      <c r="E149" s="65">
        <v>765</v>
      </c>
      <c r="F149" s="65">
        <f t="shared" si="4"/>
        <v>15300</v>
      </c>
      <c r="G149" s="2" t="s">
        <v>905</v>
      </c>
      <c r="H149" s="2"/>
      <c r="I149" s="2"/>
    </row>
    <row r="150" spans="1:15" hidden="1" x14ac:dyDescent="0.25">
      <c r="A150" s="68">
        <v>46010</v>
      </c>
      <c r="B150" s="2">
        <v>3</v>
      </c>
      <c r="C150" s="2" t="s">
        <v>899</v>
      </c>
      <c r="D150" s="2" t="s">
        <v>864</v>
      </c>
      <c r="E150" s="65">
        <v>3300</v>
      </c>
      <c r="F150" s="65">
        <f t="shared" si="4"/>
        <v>9900</v>
      </c>
      <c r="G150" s="2" t="s">
        <v>905</v>
      </c>
      <c r="H150" s="2"/>
      <c r="I150" s="2"/>
    </row>
    <row r="151" spans="1:15" hidden="1" x14ac:dyDescent="0.25">
      <c r="A151" s="68">
        <v>46010</v>
      </c>
      <c r="B151" s="2">
        <v>2</v>
      </c>
      <c r="C151" s="2" t="s">
        <v>898</v>
      </c>
      <c r="D151" s="2" t="s">
        <v>864</v>
      </c>
      <c r="E151" s="65">
        <v>2500</v>
      </c>
      <c r="F151" s="65">
        <f t="shared" si="4"/>
        <v>5000</v>
      </c>
      <c r="G151" s="2" t="s">
        <v>905</v>
      </c>
      <c r="H151" s="2"/>
      <c r="I151" s="2"/>
    </row>
    <row r="152" spans="1:15" hidden="1" x14ac:dyDescent="0.25">
      <c r="A152" s="68">
        <v>46011</v>
      </c>
      <c r="B152" s="2">
        <v>1</v>
      </c>
      <c r="C152" s="2" t="s">
        <v>804</v>
      </c>
      <c r="D152" s="2" t="s">
        <v>864</v>
      </c>
      <c r="E152" s="65">
        <v>415</v>
      </c>
      <c r="F152" s="65">
        <f t="shared" si="4"/>
        <v>415</v>
      </c>
      <c r="G152" s="2" t="s">
        <v>8</v>
      </c>
      <c r="H152" s="2"/>
      <c r="I152" s="2"/>
    </row>
    <row r="153" spans="1:15" hidden="1" x14ac:dyDescent="0.25">
      <c r="A153" s="68">
        <v>46011</v>
      </c>
      <c r="B153" s="2">
        <v>4</v>
      </c>
      <c r="C153" s="2" t="s">
        <v>664</v>
      </c>
      <c r="D153" s="2" t="s">
        <v>677</v>
      </c>
      <c r="E153" s="65">
        <v>398</v>
      </c>
      <c r="F153" s="65">
        <f t="shared" si="4"/>
        <v>1592</v>
      </c>
      <c r="G153" s="2" t="s">
        <v>952</v>
      </c>
      <c r="H153" s="2"/>
      <c r="I153" s="2"/>
    </row>
    <row r="154" spans="1:15" hidden="1" x14ac:dyDescent="0.25">
      <c r="A154" s="68">
        <v>46011</v>
      </c>
      <c r="B154" s="2">
        <v>5</v>
      </c>
      <c r="C154" s="2" t="s">
        <v>896</v>
      </c>
      <c r="D154" s="2" t="s">
        <v>887</v>
      </c>
      <c r="E154" s="65">
        <v>477</v>
      </c>
      <c r="F154" s="65">
        <f t="shared" si="4"/>
        <v>2385</v>
      </c>
      <c r="G154" s="2" t="s">
        <v>8</v>
      </c>
      <c r="H154" s="2"/>
      <c r="I154" s="2"/>
    </row>
    <row r="155" spans="1:15" hidden="1" x14ac:dyDescent="0.25">
      <c r="A155" s="68">
        <v>46011</v>
      </c>
      <c r="B155" s="2">
        <v>1</v>
      </c>
      <c r="C155" s="2" t="s">
        <v>907</v>
      </c>
      <c r="D155" s="2" t="s">
        <v>884</v>
      </c>
      <c r="E155" s="65">
        <v>549</v>
      </c>
      <c r="F155" s="65">
        <f t="shared" si="4"/>
        <v>549</v>
      </c>
      <c r="G155" s="2" t="s">
        <v>8</v>
      </c>
      <c r="H155" s="2"/>
      <c r="I155" s="2"/>
    </row>
    <row r="156" spans="1:15" hidden="1" x14ac:dyDescent="0.25">
      <c r="A156" s="68">
        <v>46011</v>
      </c>
      <c r="B156" s="2">
        <v>2</v>
      </c>
      <c r="C156" s="2" t="s">
        <v>896</v>
      </c>
      <c r="D156" s="2" t="s">
        <v>884</v>
      </c>
      <c r="E156" s="65">
        <v>477</v>
      </c>
      <c r="F156" s="65">
        <f t="shared" si="4"/>
        <v>954</v>
      </c>
      <c r="G156" s="2" t="s">
        <v>8</v>
      </c>
      <c r="H156" s="2"/>
      <c r="I156" s="2"/>
    </row>
    <row r="157" spans="1:15" hidden="1" x14ac:dyDescent="0.25">
      <c r="A157" s="68">
        <v>46011</v>
      </c>
      <c r="B157" s="18">
        <v>2</v>
      </c>
      <c r="C157" s="18" t="s">
        <v>716</v>
      </c>
      <c r="D157" s="18" t="s">
        <v>103</v>
      </c>
      <c r="E157" s="86">
        <v>477</v>
      </c>
      <c r="F157" s="86">
        <f t="shared" si="4"/>
        <v>954</v>
      </c>
      <c r="G157" s="18" t="s">
        <v>37</v>
      </c>
      <c r="H157" s="18"/>
      <c r="I157" s="18" t="s">
        <v>634</v>
      </c>
    </row>
    <row r="158" spans="1:15" hidden="1" x14ac:dyDescent="0.25">
      <c r="A158" s="68">
        <v>46011</v>
      </c>
      <c r="B158" s="18">
        <v>2</v>
      </c>
      <c r="C158" s="18" t="s">
        <v>907</v>
      </c>
      <c r="D158" s="18" t="s">
        <v>103</v>
      </c>
      <c r="E158" s="86">
        <v>549</v>
      </c>
      <c r="F158" s="86">
        <f t="shared" si="4"/>
        <v>1098</v>
      </c>
      <c r="G158" s="18" t="s">
        <v>37</v>
      </c>
      <c r="H158" s="18"/>
      <c r="I158" s="18" t="s">
        <v>634</v>
      </c>
    </row>
    <row r="159" spans="1:15" hidden="1" x14ac:dyDescent="0.25">
      <c r="A159" s="68">
        <v>46011</v>
      </c>
      <c r="B159" s="18">
        <v>2</v>
      </c>
      <c r="C159" s="18" t="s">
        <v>907</v>
      </c>
      <c r="D159" s="18" t="s">
        <v>444</v>
      </c>
      <c r="E159" s="86">
        <v>549</v>
      </c>
      <c r="F159" s="86">
        <f t="shared" ref="F159:F165" si="7">E159*B159</f>
        <v>1098</v>
      </c>
      <c r="G159" s="18" t="s">
        <v>914</v>
      </c>
      <c r="H159" s="18"/>
      <c r="I159" s="18" t="s">
        <v>634</v>
      </c>
    </row>
    <row r="160" spans="1:15" hidden="1" x14ac:dyDescent="0.25">
      <c r="A160" s="68">
        <v>46011</v>
      </c>
      <c r="B160" s="2">
        <v>2</v>
      </c>
      <c r="C160" s="2" t="s">
        <v>895</v>
      </c>
      <c r="D160" s="2" t="s">
        <v>444</v>
      </c>
      <c r="E160" s="65">
        <v>629</v>
      </c>
      <c r="F160" s="65">
        <f t="shared" si="7"/>
        <v>1258</v>
      </c>
      <c r="G160" s="2" t="s">
        <v>990</v>
      </c>
      <c r="H160" s="2"/>
      <c r="I160" s="2"/>
      <c r="J160">
        <v>4441</v>
      </c>
    </row>
    <row r="161" spans="1:12" hidden="1" x14ac:dyDescent="0.25">
      <c r="A161" s="68">
        <v>46011</v>
      </c>
      <c r="B161" s="2">
        <v>2</v>
      </c>
      <c r="C161" s="2" t="s">
        <v>896</v>
      </c>
      <c r="D161" s="2" t="s">
        <v>444</v>
      </c>
      <c r="E161" s="65">
        <v>477</v>
      </c>
      <c r="F161" s="65">
        <f t="shared" si="7"/>
        <v>954</v>
      </c>
      <c r="G161" s="2" t="s">
        <v>990</v>
      </c>
      <c r="H161" s="2"/>
      <c r="I161" s="2"/>
      <c r="J161">
        <v>4441</v>
      </c>
    </row>
    <row r="162" spans="1:12" hidden="1" x14ac:dyDescent="0.25">
      <c r="A162" s="68">
        <v>46011</v>
      </c>
      <c r="B162" s="18">
        <v>5</v>
      </c>
      <c r="C162" s="18" t="s">
        <v>907</v>
      </c>
      <c r="D162" s="18" t="s">
        <v>103</v>
      </c>
      <c r="E162" s="86">
        <v>549</v>
      </c>
      <c r="F162" s="86">
        <f t="shared" si="7"/>
        <v>2745</v>
      </c>
      <c r="G162" s="18" t="s">
        <v>914</v>
      </c>
      <c r="H162" s="18"/>
      <c r="I162" s="18" t="s">
        <v>634</v>
      </c>
    </row>
    <row r="163" spans="1:12" hidden="1" x14ac:dyDescent="0.25">
      <c r="A163" s="68">
        <v>46011</v>
      </c>
      <c r="B163" s="2">
        <v>2</v>
      </c>
      <c r="C163" s="2" t="s">
        <v>896</v>
      </c>
      <c r="D163" s="2" t="s">
        <v>908</v>
      </c>
      <c r="E163" s="65">
        <v>477</v>
      </c>
      <c r="F163" s="65">
        <f t="shared" si="7"/>
        <v>954</v>
      </c>
      <c r="G163" s="2" t="s">
        <v>1005</v>
      </c>
      <c r="H163" s="2"/>
      <c r="I163" s="2"/>
      <c r="J163">
        <v>9647</v>
      </c>
    </row>
    <row r="164" spans="1:12" hidden="1" x14ac:dyDescent="0.25">
      <c r="A164" s="68">
        <v>46011</v>
      </c>
      <c r="B164" s="2">
        <v>3</v>
      </c>
      <c r="C164" s="2" t="s">
        <v>907</v>
      </c>
      <c r="D164" s="2" t="s">
        <v>915</v>
      </c>
      <c r="E164" s="65">
        <v>549</v>
      </c>
      <c r="F164" s="65">
        <f t="shared" si="7"/>
        <v>1647</v>
      </c>
      <c r="G164" s="2" t="s">
        <v>913</v>
      </c>
      <c r="H164" s="2"/>
      <c r="I164" s="2"/>
      <c r="J164">
        <v>9670</v>
      </c>
    </row>
    <row r="165" spans="1:12" hidden="1" x14ac:dyDescent="0.25">
      <c r="A165" s="68">
        <v>46011</v>
      </c>
      <c r="B165" s="2">
        <v>2</v>
      </c>
      <c r="C165" s="2" t="s">
        <v>896</v>
      </c>
      <c r="D165" s="2" t="s">
        <v>915</v>
      </c>
      <c r="E165" s="65">
        <v>477</v>
      </c>
      <c r="F165" s="65">
        <f t="shared" si="7"/>
        <v>954</v>
      </c>
      <c r="G165" s="2" t="s">
        <v>913</v>
      </c>
      <c r="H165" s="2"/>
      <c r="I165" s="2"/>
      <c r="J165">
        <v>9670</v>
      </c>
    </row>
    <row r="166" spans="1:12" hidden="1" x14ac:dyDescent="0.25">
      <c r="A166" s="68">
        <v>46011</v>
      </c>
      <c r="B166" s="2">
        <v>3</v>
      </c>
      <c r="C166" s="2" t="s">
        <v>907</v>
      </c>
      <c r="D166" s="2" t="s">
        <v>103</v>
      </c>
      <c r="E166" s="65">
        <v>549</v>
      </c>
      <c r="F166" s="65">
        <f>B166*E166</f>
        <v>1647</v>
      </c>
      <c r="G166" s="2" t="s">
        <v>8</v>
      </c>
      <c r="H166" s="2"/>
      <c r="I166" s="2"/>
    </row>
    <row r="167" spans="1:12" hidden="1" x14ac:dyDescent="0.25">
      <c r="A167" s="68">
        <v>46011</v>
      </c>
      <c r="B167" s="2">
        <v>3</v>
      </c>
      <c r="C167" s="2" t="s">
        <v>896</v>
      </c>
      <c r="D167" s="2" t="s">
        <v>103</v>
      </c>
      <c r="E167" s="65">
        <v>477</v>
      </c>
      <c r="F167" s="65">
        <f t="shared" ref="F167:F168" si="8">B167*E167</f>
        <v>1431</v>
      </c>
      <c r="G167" s="2" t="s">
        <v>8</v>
      </c>
      <c r="H167" s="2"/>
      <c r="I167" s="2"/>
    </row>
    <row r="168" spans="1:12" hidden="1" x14ac:dyDescent="0.25">
      <c r="A168" s="68">
        <v>46011</v>
      </c>
      <c r="B168" s="2">
        <v>9</v>
      </c>
      <c r="C168" s="2" t="s">
        <v>895</v>
      </c>
      <c r="D168" s="2" t="s">
        <v>103</v>
      </c>
      <c r="E168" s="65">
        <v>629</v>
      </c>
      <c r="F168" s="65">
        <f t="shared" si="8"/>
        <v>5661</v>
      </c>
      <c r="G168" s="2" t="s">
        <v>8</v>
      </c>
      <c r="H168" s="2"/>
      <c r="I168" s="2"/>
      <c r="L168" s="2"/>
    </row>
    <row r="169" spans="1:12" hidden="1" x14ac:dyDescent="0.25">
      <c r="A169" s="68">
        <v>46011</v>
      </c>
      <c r="B169" s="2">
        <v>4</v>
      </c>
      <c r="C169" s="2" t="s">
        <v>907</v>
      </c>
      <c r="D169" s="2" t="s">
        <v>444</v>
      </c>
      <c r="E169" s="65">
        <v>549</v>
      </c>
      <c r="F169" s="65">
        <v>2196</v>
      </c>
      <c r="G169" s="2" t="s">
        <v>8</v>
      </c>
      <c r="H169" s="2"/>
      <c r="I169" s="2"/>
      <c r="L169" s="2"/>
    </row>
    <row r="170" spans="1:12" hidden="1" x14ac:dyDescent="0.25">
      <c r="A170" s="68">
        <v>46011</v>
      </c>
      <c r="B170" s="2">
        <v>2</v>
      </c>
      <c r="C170" s="2" t="s">
        <v>896</v>
      </c>
      <c r="D170" s="2" t="s">
        <v>444</v>
      </c>
      <c r="E170" s="65">
        <v>477</v>
      </c>
      <c r="F170" s="65">
        <v>954</v>
      </c>
      <c r="G170" s="2" t="s">
        <v>8</v>
      </c>
      <c r="H170" s="2"/>
      <c r="I170" s="2"/>
      <c r="L170" s="2"/>
    </row>
    <row r="171" spans="1:12" hidden="1" x14ac:dyDescent="0.25">
      <c r="A171" s="68">
        <v>46011</v>
      </c>
      <c r="B171" s="2">
        <v>2</v>
      </c>
      <c r="C171" s="2" t="s">
        <v>896</v>
      </c>
      <c r="D171" s="2" t="s">
        <v>230</v>
      </c>
      <c r="E171" s="65">
        <v>454</v>
      </c>
      <c r="F171" s="65">
        <f>B171*E171</f>
        <v>908</v>
      </c>
      <c r="G171" s="2" t="s">
        <v>8</v>
      </c>
      <c r="H171" s="2"/>
      <c r="I171" s="2"/>
    </row>
    <row r="172" spans="1:12" hidden="1" x14ac:dyDescent="0.25">
      <c r="A172" s="68">
        <v>46011</v>
      </c>
      <c r="B172" s="2">
        <v>2</v>
      </c>
      <c r="C172" s="2" t="s">
        <v>697</v>
      </c>
      <c r="D172" s="2" t="s">
        <v>230</v>
      </c>
      <c r="E172" s="65">
        <v>125</v>
      </c>
      <c r="F172" s="65">
        <f>B172*E172</f>
        <v>250</v>
      </c>
      <c r="G172" s="2" t="s">
        <v>8</v>
      </c>
      <c r="H172" s="2"/>
      <c r="I172" s="2"/>
    </row>
    <row r="173" spans="1:12" hidden="1" x14ac:dyDescent="0.25">
      <c r="A173" s="68">
        <v>46011</v>
      </c>
      <c r="B173" s="2">
        <v>7</v>
      </c>
      <c r="C173" s="2" t="s">
        <v>907</v>
      </c>
      <c r="D173" s="2" t="s">
        <v>908</v>
      </c>
      <c r="E173" s="65">
        <v>549</v>
      </c>
      <c r="F173" s="65">
        <f>B173*E173</f>
        <v>3843</v>
      </c>
      <c r="G173" s="2" t="s">
        <v>8</v>
      </c>
      <c r="H173" s="2"/>
      <c r="I173" s="2"/>
    </row>
    <row r="174" spans="1:12" hidden="1" x14ac:dyDescent="0.25">
      <c r="A174" s="68">
        <v>46011</v>
      </c>
      <c r="B174" s="2">
        <v>10</v>
      </c>
      <c r="C174" s="2" t="s">
        <v>896</v>
      </c>
      <c r="D174" s="2" t="s">
        <v>908</v>
      </c>
      <c r="E174" s="65">
        <v>477</v>
      </c>
      <c r="F174" s="65">
        <f t="shared" ref="F174:F182" si="9">B174*E174</f>
        <v>4770</v>
      </c>
      <c r="G174" s="2" t="s">
        <v>8</v>
      </c>
      <c r="H174" s="2"/>
      <c r="I174" s="2"/>
    </row>
    <row r="175" spans="1:12" hidden="1" x14ac:dyDescent="0.25">
      <c r="A175" s="68">
        <v>46011</v>
      </c>
      <c r="B175" s="2">
        <v>5</v>
      </c>
      <c r="C175" s="2" t="s">
        <v>895</v>
      </c>
      <c r="D175" s="2" t="s">
        <v>908</v>
      </c>
      <c r="E175" s="65">
        <v>629</v>
      </c>
      <c r="F175" s="65">
        <f t="shared" si="9"/>
        <v>3145</v>
      </c>
      <c r="G175" s="2" t="s">
        <v>8</v>
      </c>
      <c r="H175" s="2"/>
      <c r="I175" s="2"/>
    </row>
    <row r="176" spans="1:12" hidden="1" x14ac:dyDescent="0.25">
      <c r="A176" s="68">
        <v>46011</v>
      </c>
      <c r="B176" s="2">
        <v>2</v>
      </c>
      <c r="C176" s="2" t="s">
        <v>909</v>
      </c>
      <c r="D176" s="2" t="s">
        <v>908</v>
      </c>
      <c r="E176" s="65">
        <v>477</v>
      </c>
      <c r="F176" s="65">
        <f t="shared" si="9"/>
        <v>954</v>
      </c>
      <c r="G176" s="2" t="s">
        <v>8</v>
      </c>
      <c r="H176" s="2"/>
      <c r="I176" s="2"/>
    </row>
    <row r="177" spans="1:10" hidden="1" x14ac:dyDescent="0.25">
      <c r="A177" s="68">
        <v>46011</v>
      </c>
      <c r="B177" s="2">
        <v>4</v>
      </c>
      <c r="C177" s="2" t="s">
        <v>896</v>
      </c>
      <c r="D177" s="2" t="s">
        <v>491</v>
      </c>
      <c r="E177" s="65">
        <v>477</v>
      </c>
      <c r="F177" s="65">
        <f t="shared" si="9"/>
        <v>1908</v>
      </c>
      <c r="G177" s="2" t="s">
        <v>8</v>
      </c>
      <c r="H177" s="2"/>
      <c r="I177" s="2"/>
    </row>
    <row r="178" spans="1:10" hidden="1" x14ac:dyDescent="0.25">
      <c r="A178" s="68">
        <v>46011</v>
      </c>
      <c r="B178" s="2">
        <v>22</v>
      </c>
      <c r="C178" s="2" t="s">
        <v>664</v>
      </c>
      <c r="D178" s="2" t="s">
        <v>910</v>
      </c>
      <c r="E178" s="65">
        <v>399</v>
      </c>
      <c r="F178" s="65">
        <f t="shared" si="9"/>
        <v>8778</v>
      </c>
      <c r="G178" s="2" t="s">
        <v>911</v>
      </c>
      <c r="H178" s="2"/>
      <c r="I178" s="2"/>
    </row>
    <row r="179" spans="1:10" hidden="1" x14ac:dyDescent="0.25">
      <c r="A179" s="68">
        <v>46011</v>
      </c>
      <c r="B179" s="2">
        <v>3</v>
      </c>
      <c r="C179" s="2" t="s">
        <v>895</v>
      </c>
      <c r="D179" s="2" t="s">
        <v>910</v>
      </c>
      <c r="E179" s="65">
        <v>629</v>
      </c>
      <c r="F179" s="65">
        <f t="shared" si="9"/>
        <v>1887</v>
      </c>
      <c r="G179" s="2" t="s">
        <v>911</v>
      </c>
      <c r="H179" s="2"/>
      <c r="I179" s="2" t="s">
        <v>912</v>
      </c>
    </row>
    <row r="180" spans="1:10" hidden="1" x14ac:dyDescent="0.25">
      <c r="A180" s="68">
        <v>46011</v>
      </c>
      <c r="B180" s="2">
        <v>2</v>
      </c>
      <c r="C180" s="2" t="s">
        <v>896</v>
      </c>
      <c r="D180" s="2" t="s">
        <v>910</v>
      </c>
      <c r="E180" s="65">
        <v>477</v>
      </c>
      <c r="F180" s="65">
        <f t="shared" si="9"/>
        <v>954</v>
      </c>
      <c r="G180" s="2" t="s">
        <v>911</v>
      </c>
      <c r="H180" s="2"/>
      <c r="I180" s="2" t="s">
        <v>912</v>
      </c>
    </row>
    <row r="181" spans="1:10" hidden="1" x14ac:dyDescent="0.25">
      <c r="A181" s="85">
        <v>46012</v>
      </c>
      <c r="B181" s="18">
        <v>2</v>
      </c>
      <c r="C181" s="18" t="s">
        <v>896</v>
      </c>
      <c r="D181" s="18" t="s">
        <v>915</v>
      </c>
      <c r="E181" s="86">
        <v>477</v>
      </c>
      <c r="F181" s="86">
        <f t="shared" si="9"/>
        <v>954</v>
      </c>
      <c r="G181" s="18" t="s">
        <v>919</v>
      </c>
      <c r="H181" s="18"/>
      <c r="I181" s="18" t="s">
        <v>983</v>
      </c>
      <c r="J181">
        <v>35613</v>
      </c>
    </row>
    <row r="182" spans="1:10" hidden="1" x14ac:dyDescent="0.25">
      <c r="A182" s="68">
        <v>46012</v>
      </c>
      <c r="B182" s="2">
        <v>2</v>
      </c>
      <c r="C182" s="2" t="s">
        <v>895</v>
      </c>
      <c r="D182" s="2" t="s">
        <v>915</v>
      </c>
      <c r="E182" s="65">
        <v>629</v>
      </c>
      <c r="F182" s="65">
        <f t="shared" si="9"/>
        <v>1258</v>
      </c>
      <c r="G182" s="10" t="s">
        <v>913</v>
      </c>
      <c r="H182" s="2"/>
      <c r="I182" s="2"/>
      <c r="J182">
        <v>35613</v>
      </c>
    </row>
    <row r="183" spans="1:10" hidden="1" x14ac:dyDescent="0.25">
      <c r="A183" s="68">
        <v>46012</v>
      </c>
      <c r="B183" s="2">
        <v>2</v>
      </c>
      <c r="C183" s="2" t="s">
        <v>896</v>
      </c>
      <c r="D183" s="2" t="s">
        <v>884</v>
      </c>
      <c r="E183" s="65">
        <v>477</v>
      </c>
      <c r="F183" s="65">
        <f t="shared" ref="F183:F184" si="10">B183*E183</f>
        <v>954</v>
      </c>
      <c r="G183" s="2" t="s">
        <v>922</v>
      </c>
      <c r="H183" s="2"/>
      <c r="I183" s="2"/>
    </row>
    <row r="184" spans="1:10" hidden="1" x14ac:dyDescent="0.25">
      <c r="A184" s="68">
        <v>46012</v>
      </c>
      <c r="B184" s="2">
        <v>2</v>
      </c>
      <c r="C184" s="2" t="s">
        <v>896</v>
      </c>
      <c r="D184" s="2" t="s">
        <v>884</v>
      </c>
      <c r="E184" s="65">
        <v>629</v>
      </c>
      <c r="F184" s="65">
        <f t="shared" si="10"/>
        <v>1258</v>
      </c>
      <c r="G184" s="2" t="s">
        <v>922</v>
      </c>
      <c r="H184" s="2"/>
      <c r="I184" s="2"/>
    </row>
    <row r="185" spans="1:10" hidden="1" x14ac:dyDescent="0.25">
      <c r="A185" s="68">
        <v>46012</v>
      </c>
      <c r="B185" s="2">
        <v>2</v>
      </c>
      <c r="C185" s="2" t="s">
        <v>896</v>
      </c>
      <c r="D185" s="2" t="s">
        <v>887</v>
      </c>
      <c r="E185" s="65">
        <v>477</v>
      </c>
      <c r="F185" s="65">
        <v>954</v>
      </c>
      <c r="G185" s="18" t="s">
        <v>993</v>
      </c>
      <c r="H185" s="2"/>
      <c r="I185" s="2"/>
      <c r="J185">
        <v>5693</v>
      </c>
    </row>
    <row r="186" spans="1:10" hidden="1" x14ac:dyDescent="0.25">
      <c r="A186" s="87">
        <v>46012</v>
      </c>
      <c r="B186" s="88">
        <v>2</v>
      </c>
      <c r="C186" s="88" t="s">
        <v>896</v>
      </c>
      <c r="D186" s="88" t="s">
        <v>916</v>
      </c>
      <c r="E186" s="89">
        <v>477</v>
      </c>
      <c r="F186" s="89">
        <v>954</v>
      </c>
      <c r="G186" s="18" t="s">
        <v>993</v>
      </c>
      <c r="H186" s="88"/>
      <c r="I186" s="88"/>
    </row>
    <row r="187" spans="1:10" hidden="1" x14ac:dyDescent="0.25">
      <c r="A187" s="68">
        <v>46012</v>
      </c>
      <c r="B187" s="2">
        <v>2</v>
      </c>
      <c r="C187" s="2" t="s">
        <v>896</v>
      </c>
      <c r="D187" s="2" t="s">
        <v>916</v>
      </c>
      <c r="E187" s="65">
        <v>477</v>
      </c>
      <c r="F187" s="65">
        <v>954</v>
      </c>
      <c r="G187" s="18" t="s">
        <v>993</v>
      </c>
      <c r="H187" s="2"/>
      <c r="I187" s="2"/>
    </row>
    <row r="188" spans="1:10" hidden="1" x14ac:dyDescent="0.25">
      <c r="A188" s="68">
        <v>46012</v>
      </c>
      <c r="B188" s="2">
        <v>2</v>
      </c>
      <c r="C188" s="2" t="s">
        <v>896</v>
      </c>
      <c r="D188" s="2" t="s">
        <v>444</v>
      </c>
      <c r="E188" s="65">
        <v>477</v>
      </c>
      <c r="F188" s="65">
        <v>954</v>
      </c>
      <c r="G188" s="2" t="s">
        <v>990</v>
      </c>
      <c r="H188" s="2"/>
      <c r="I188" s="2"/>
      <c r="J188">
        <v>5757</v>
      </c>
    </row>
    <row r="189" spans="1:10" hidden="1" x14ac:dyDescent="0.25">
      <c r="A189" s="68">
        <v>46012</v>
      </c>
      <c r="B189" s="2">
        <v>2</v>
      </c>
      <c r="C189" s="2" t="s">
        <v>895</v>
      </c>
      <c r="D189" s="2" t="s">
        <v>444</v>
      </c>
      <c r="E189" s="65">
        <v>629</v>
      </c>
      <c r="F189" s="65">
        <v>1258</v>
      </c>
      <c r="G189" s="2" t="s">
        <v>990</v>
      </c>
      <c r="H189" s="2"/>
      <c r="I189" s="2"/>
      <c r="J189">
        <v>5767</v>
      </c>
    </row>
    <row r="190" spans="1:10" hidden="1" x14ac:dyDescent="0.25">
      <c r="A190" s="85">
        <v>46012</v>
      </c>
      <c r="B190" s="18">
        <v>2</v>
      </c>
      <c r="C190" s="2" t="s">
        <v>896</v>
      </c>
      <c r="D190" s="18" t="s">
        <v>915</v>
      </c>
      <c r="E190" s="86">
        <v>477</v>
      </c>
      <c r="F190" s="86">
        <v>954</v>
      </c>
      <c r="G190" s="18" t="s">
        <v>919</v>
      </c>
      <c r="H190" s="2"/>
      <c r="I190" s="18" t="s">
        <v>983</v>
      </c>
      <c r="J190">
        <v>35792</v>
      </c>
    </row>
    <row r="191" spans="1:10" hidden="1" x14ac:dyDescent="0.25">
      <c r="A191" s="68">
        <v>46012</v>
      </c>
      <c r="B191" s="2">
        <v>2</v>
      </c>
      <c r="C191" s="2" t="s">
        <v>896</v>
      </c>
      <c r="D191" s="2" t="s">
        <v>887</v>
      </c>
      <c r="E191" s="65">
        <v>477</v>
      </c>
      <c r="F191" s="65">
        <v>954</v>
      </c>
      <c r="G191" s="18" t="s">
        <v>993</v>
      </c>
      <c r="H191" s="2"/>
      <c r="I191" s="2"/>
      <c r="J191">
        <v>5816</v>
      </c>
    </row>
    <row r="192" spans="1:10" hidden="1" x14ac:dyDescent="0.25">
      <c r="A192" s="68">
        <v>46012</v>
      </c>
      <c r="B192" s="2">
        <v>2</v>
      </c>
      <c r="C192" s="2" t="s">
        <v>896</v>
      </c>
      <c r="D192" s="2" t="s">
        <v>917</v>
      </c>
      <c r="E192" s="65">
        <v>477</v>
      </c>
      <c r="F192" s="65">
        <v>954</v>
      </c>
      <c r="G192" s="2" t="s">
        <v>913</v>
      </c>
      <c r="H192" s="2"/>
      <c r="I192" s="2"/>
    </row>
    <row r="193" spans="1:9" hidden="1" x14ac:dyDescent="0.25">
      <c r="A193" s="68">
        <v>46012</v>
      </c>
      <c r="B193" s="2">
        <v>2</v>
      </c>
      <c r="C193" s="2" t="s">
        <v>896</v>
      </c>
      <c r="D193" s="2" t="s">
        <v>917</v>
      </c>
      <c r="E193" s="65">
        <v>477</v>
      </c>
      <c r="F193" s="65">
        <v>954</v>
      </c>
      <c r="G193" s="2" t="s">
        <v>913</v>
      </c>
      <c r="H193" s="2"/>
      <c r="I193" s="2"/>
    </row>
    <row r="194" spans="1:9" hidden="1" x14ac:dyDescent="0.25">
      <c r="A194" s="68">
        <v>46012</v>
      </c>
      <c r="B194" s="2">
        <v>2</v>
      </c>
      <c r="C194" s="2" t="s">
        <v>896</v>
      </c>
      <c r="D194" s="2" t="s">
        <v>918</v>
      </c>
      <c r="E194" s="65">
        <v>477</v>
      </c>
      <c r="F194" s="65">
        <v>954</v>
      </c>
      <c r="G194" s="2" t="s">
        <v>913</v>
      </c>
      <c r="H194" s="2"/>
      <c r="I194" s="2"/>
    </row>
    <row r="195" spans="1:9" hidden="1" x14ac:dyDescent="0.25">
      <c r="A195" s="68">
        <v>46012</v>
      </c>
      <c r="B195" s="2">
        <v>2</v>
      </c>
      <c r="C195" s="2" t="s">
        <v>896</v>
      </c>
      <c r="D195" s="2" t="s">
        <v>918</v>
      </c>
      <c r="E195" s="65">
        <v>477</v>
      </c>
      <c r="F195" s="65">
        <v>954</v>
      </c>
      <c r="G195" s="2" t="s">
        <v>913</v>
      </c>
      <c r="H195" s="2"/>
      <c r="I195" s="2"/>
    </row>
    <row r="196" spans="1:9" hidden="1" x14ac:dyDescent="0.25">
      <c r="A196" s="68">
        <v>46012</v>
      </c>
      <c r="B196" s="2">
        <v>2</v>
      </c>
      <c r="C196" s="2" t="s">
        <v>896</v>
      </c>
      <c r="D196" s="2" t="s">
        <v>917</v>
      </c>
      <c r="E196" s="65">
        <v>477</v>
      </c>
      <c r="F196" s="65">
        <v>954</v>
      </c>
      <c r="G196" s="2" t="s">
        <v>913</v>
      </c>
      <c r="H196" s="2"/>
      <c r="I196" s="2"/>
    </row>
    <row r="197" spans="1:9" hidden="1" x14ac:dyDescent="0.25">
      <c r="A197" s="68">
        <v>46012</v>
      </c>
      <c r="B197" s="2">
        <v>2</v>
      </c>
      <c r="C197" s="2" t="s">
        <v>896</v>
      </c>
      <c r="D197" s="2" t="s">
        <v>917</v>
      </c>
      <c r="E197" s="65">
        <v>477</v>
      </c>
      <c r="F197" s="65">
        <f>B197*E197</f>
        <v>954</v>
      </c>
      <c r="G197" s="2" t="s">
        <v>913</v>
      </c>
      <c r="H197" s="2"/>
      <c r="I197" s="2"/>
    </row>
    <row r="198" spans="1:9" hidden="1" x14ac:dyDescent="0.25">
      <c r="A198" s="68">
        <v>46012</v>
      </c>
      <c r="B198" s="2">
        <v>2</v>
      </c>
      <c r="C198" s="2" t="s">
        <v>895</v>
      </c>
      <c r="D198" s="2" t="s">
        <v>917</v>
      </c>
      <c r="E198" s="65">
        <v>629</v>
      </c>
      <c r="F198" s="65">
        <f>B198*E198</f>
        <v>1258</v>
      </c>
      <c r="G198" s="2" t="s">
        <v>913</v>
      </c>
      <c r="H198" s="2"/>
      <c r="I198" s="2"/>
    </row>
    <row r="199" spans="1:9" hidden="1" x14ac:dyDescent="0.25">
      <c r="A199" s="68">
        <v>46012</v>
      </c>
      <c r="B199" s="2">
        <v>2</v>
      </c>
      <c r="C199" s="2" t="s">
        <v>909</v>
      </c>
      <c r="D199" s="2" t="s">
        <v>917</v>
      </c>
      <c r="E199" s="65">
        <v>477</v>
      </c>
      <c r="F199" s="65">
        <f t="shared" ref="F199" si="11">B199*E199</f>
        <v>954</v>
      </c>
      <c r="G199" s="2" t="s">
        <v>913</v>
      </c>
      <c r="H199" s="2"/>
      <c r="I199" s="2"/>
    </row>
    <row r="200" spans="1:9" hidden="1" x14ac:dyDescent="0.25">
      <c r="A200" s="68">
        <v>46012</v>
      </c>
      <c r="B200" s="2">
        <v>4</v>
      </c>
      <c r="C200" s="2" t="s">
        <v>895</v>
      </c>
      <c r="D200" s="2" t="s">
        <v>915</v>
      </c>
      <c r="E200" s="65">
        <v>629</v>
      </c>
      <c r="F200" s="65">
        <v>2516</v>
      </c>
      <c r="G200" s="2" t="s">
        <v>913</v>
      </c>
      <c r="H200" s="2"/>
      <c r="I200" s="2"/>
    </row>
    <row r="201" spans="1:9" hidden="1" x14ac:dyDescent="0.25">
      <c r="A201" s="68">
        <v>46012</v>
      </c>
      <c r="B201" s="2">
        <v>2</v>
      </c>
      <c r="C201" s="2" t="s">
        <v>896</v>
      </c>
      <c r="D201" s="2" t="s">
        <v>920</v>
      </c>
      <c r="E201" s="65">
        <v>477</v>
      </c>
      <c r="F201" s="65">
        <v>954</v>
      </c>
      <c r="G201" s="2" t="s">
        <v>913</v>
      </c>
      <c r="H201" s="2"/>
      <c r="I201" s="2"/>
    </row>
    <row r="202" spans="1:9" hidden="1" x14ac:dyDescent="0.25">
      <c r="A202" s="68">
        <v>46012</v>
      </c>
      <c r="B202" s="2">
        <v>3</v>
      </c>
      <c r="C202" s="2" t="s">
        <v>896</v>
      </c>
      <c r="D202" s="2" t="s">
        <v>918</v>
      </c>
      <c r="E202" s="65">
        <v>477</v>
      </c>
      <c r="F202" s="65">
        <v>1431</v>
      </c>
      <c r="G202" s="2" t="s">
        <v>913</v>
      </c>
      <c r="H202" s="2"/>
      <c r="I202" s="2"/>
    </row>
    <row r="203" spans="1:9" hidden="1" x14ac:dyDescent="0.25">
      <c r="A203" s="68">
        <v>46012</v>
      </c>
      <c r="B203" s="2">
        <v>2</v>
      </c>
      <c r="C203" s="2" t="s">
        <v>895</v>
      </c>
      <c r="D203" s="2" t="s">
        <v>918</v>
      </c>
      <c r="E203" s="65">
        <v>629</v>
      </c>
      <c r="F203" s="65">
        <v>1258</v>
      </c>
      <c r="G203" s="2" t="s">
        <v>913</v>
      </c>
      <c r="H203" s="2"/>
      <c r="I203" s="2"/>
    </row>
    <row r="204" spans="1:9" hidden="1" x14ac:dyDescent="0.25">
      <c r="A204" s="68">
        <v>46012</v>
      </c>
      <c r="B204" s="2">
        <v>2</v>
      </c>
      <c r="C204" s="2" t="s">
        <v>896</v>
      </c>
      <c r="D204" s="2" t="s">
        <v>921</v>
      </c>
      <c r="E204" s="65">
        <v>477</v>
      </c>
      <c r="F204" s="65">
        <v>958</v>
      </c>
      <c r="G204" s="2" t="s">
        <v>913</v>
      </c>
      <c r="H204" s="2"/>
      <c r="I204" s="2"/>
    </row>
    <row r="205" spans="1:9" hidden="1" x14ac:dyDescent="0.25">
      <c r="A205" s="68">
        <v>46013</v>
      </c>
      <c r="B205" s="2">
        <v>1</v>
      </c>
      <c r="C205" s="2" t="s">
        <v>923</v>
      </c>
      <c r="D205" s="2" t="s">
        <v>924</v>
      </c>
      <c r="E205" s="65">
        <v>1500</v>
      </c>
      <c r="F205" s="65">
        <v>1500</v>
      </c>
      <c r="G205" s="2"/>
      <c r="H205" s="2"/>
      <c r="I205" s="2"/>
    </row>
    <row r="206" spans="1:9" hidden="1" x14ac:dyDescent="0.25">
      <c r="A206" s="68">
        <v>46013</v>
      </c>
      <c r="B206" s="2">
        <v>2</v>
      </c>
      <c r="C206" s="2" t="s">
        <v>896</v>
      </c>
      <c r="D206" s="2" t="s">
        <v>916</v>
      </c>
      <c r="E206" s="65">
        <v>477</v>
      </c>
      <c r="F206" s="65">
        <v>954</v>
      </c>
      <c r="G206" s="18" t="s">
        <v>993</v>
      </c>
      <c r="H206" s="2"/>
      <c r="I206" s="2"/>
    </row>
    <row r="207" spans="1:9" hidden="1" x14ac:dyDescent="0.25">
      <c r="A207" s="68">
        <v>46013</v>
      </c>
      <c r="B207" s="2">
        <v>2</v>
      </c>
      <c r="C207" s="2" t="s">
        <v>896</v>
      </c>
      <c r="D207" s="2" t="s">
        <v>926</v>
      </c>
      <c r="E207" s="65">
        <v>477</v>
      </c>
      <c r="F207" s="65">
        <v>954</v>
      </c>
      <c r="G207" s="18" t="s">
        <v>993</v>
      </c>
      <c r="H207" s="2"/>
      <c r="I207" s="2"/>
    </row>
    <row r="208" spans="1:9" hidden="1" x14ac:dyDescent="0.25">
      <c r="A208" s="68">
        <v>46013</v>
      </c>
      <c r="B208" s="2">
        <v>2</v>
      </c>
      <c r="C208" s="2" t="s">
        <v>896</v>
      </c>
      <c r="D208" s="2" t="s">
        <v>916</v>
      </c>
      <c r="E208" s="65">
        <v>477</v>
      </c>
      <c r="F208" s="65">
        <v>954</v>
      </c>
      <c r="G208" s="18" t="s">
        <v>993</v>
      </c>
      <c r="H208" s="2"/>
      <c r="I208" s="2"/>
    </row>
    <row r="209" spans="1:9" hidden="1" x14ac:dyDescent="0.25">
      <c r="A209" s="68">
        <v>46013</v>
      </c>
      <c r="B209" s="2">
        <v>2</v>
      </c>
      <c r="C209" s="2" t="s">
        <v>896</v>
      </c>
      <c r="D209" s="2" t="s">
        <v>916</v>
      </c>
      <c r="E209" s="65">
        <v>477</v>
      </c>
      <c r="F209" s="65">
        <v>954</v>
      </c>
      <c r="G209" s="18" t="s">
        <v>993</v>
      </c>
      <c r="H209" s="2"/>
      <c r="I209" s="2"/>
    </row>
    <row r="210" spans="1:9" hidden="1" x14ac:dyDescent="0.25">
      <c r="A210" s="68">
        <v>46013</v>
      </c>
      <c r="B210" s="2">
        <v>2</v>
      </c>
      <c r="C210" s="2" t="s">
        <v>896</v>
      </c>
      <c r="D210" s="2" t="s">
        <v>917</v>
      </c>
      <c r="E210" s="65">
        <v>477</v>
      </c>
      <c r="F210" s="65">
        <v>954</v>
      </c>
      <c r="G210" s="2" t="s">
        <v>982</v>
      </c>
      <c r="H210" s="2"/>
      <c r="I210" s="2"/>
    </row>
    <row r="211" spans="1:9" hidden="1" x14ac:dyDescent="0.25">
      <c r="A211" s="68">
        <v>46013</v>
      </c>
      <c r="B211" s="2">
        <v>2</v>
      </c>
      <c r="C211" s="2" t="s">
        <v>896</v>
      </c>
      <c r="D211" s="2" t="s">
        <v>917</v>
      </c>
      <c r="E211" s="65">
        <v>477</v>
      </c>
      <c r="F211" s="65">
        <v>954</v>
      </c>
      <c r="G211" s="2" t="s">
        <v>982</v>
      </c>
      <c r="H211" s="2"/>
      <c r="I211" s="2"/>
    </row>
    <row r="212" spans="1:9" hidden="1" x14ac:dyDescent="0.25">
      <c r="A212" s="68">
        <v>46013</v>
      </c>
      <c r="B212" s="2">
        <v>2</v>
      </c>
      <c r="C212" s="2" t="s">
        <v>947</v>
      </c>
      <c r="D212" s="2" t="s">
        <v>908</v>
      </c>
      <c r="E212" s="65">
        <v>629</v>
      </c>
      <c r="F212" s="65">
        <v>1258</v>
      </c>
      <c r="G212" s="2" t="s">
        <v>1005</v>
      </c>
      <c r="H212" s="2"/>
      <c r="I212" s="2"/>
    </row>
    <row r="213" spans="1:9" hidden="1" x14ac:dyDescent="0.25">
      <c r="A213" s="68">
        <v>46013</v>
      </c>
      <c r="B213" s="2">
        <v>2</v>
      </c>
      <c r="C213" s="2" t="s">
        <v>947</v>
      </c>
      <c r="D213" s="2" t="s">
        <v>908</v>
      </c>
      <c r="E213" s="65">
        <v>629</v>
      </c>
      <c r="F213" s="65">
        <v>1258</v>
      </c>
      <c r="G213" s="2" t="s">
        <v>1005</v>
      </c>
      <c r="H213" s="2"/>
      <c r="I213" s="2"/>
    </row>
    <row r="214" spans="1:9" hidden="1" x14ac:dyDescent="0.25">
      <c r="A214" s="68">
        <v>46013</v>
      </c>
      <c r="B214" s="2">
        <v>2</v>
      </c>
      <c r="C214" s="2" t="s">
        <v>896</v>
      </c>
      <c r="D214" s="2" t="s">
        <v>884</v>
      </c>
      <c r="E214" s="65">
        <v>477</v>
      </c>
      <c r="F214" s="65">
        <v>954</v>
      </c>
      <c r="G214" s="2" t="s">
        <v>927</v>
      </c>
      <c r="H214" s="2"/>
      <c r="I214" s="2"/>
    </row>
    <row r="215" spans="1:9" hidden="1" x14ac:dyDescent="0.25">
      <c r="A215" s="68">
        <v>46013</v>
      </c>
      <c r="B215" s="2">
        <v>2</v>
      </c>
      <c r="C215" s="2" t="s">
        <v>896</v>
      </c>
      <c r="D215" s="2" t="s">
        <v>884</v>
      </c>
      <c r="E215" s="65">
        <v>477</v>
      </c>
      <c r="F215" s="65">
        <v>954</v>
      </c>
      <c r="G215" s="2" t="s">
        <v>927</v>
      </c>
      <c r="H215" s="2"/>
      <c r="I215" s="2"/>
    </row>
    <row r="216" spans="1:9" hidden="1" x14ac:dyDescent="0.25">
      <c r="A216" s="68">
        <v>46013</v>
      </c>
      <c r="B216" s="2">
        <v>1</v>
      </c>
      <c r="C216" s="2" t="s">
        <v>925</v>
      </c>
      <c r="D216" s="2" t="s">
        <v>85</v>
      </c>
      <c r="E216" s="2"/>
      <c r="F216" s="65">
        <v>160</v>
      </c>
      <c r="G216" s="2"/>
      <c r="H216" s="2"/>
      <c r="I216" s="2"/>
    </row>
    <row r="217" spans="1:9" hidden="1" x14ac:dyDescent="0.25">
      <c r="A217" s="68">
        <v>46014</v>
      </c>
      <c r="B217" s="2">
        <v>20</v>
      </c>
      <c r="C217" s="2" t="s">
        <v>933</v>
      </c>
      <c r="D217" s="2" t="s">
        <v>492</v>
      </c>
      <c r="E217" s="65">
        <v>398</v>
      </c>
      <c r="F217" s="2">
        <v>7960</v>
      </c>
      <c r="G217" s="2" t="s">
        <v>927</v>
      </c>
      <c r="H217" s="2"/>
      <c r="I217" s="2"/>
    </row>
    <row r="218" spans="1:9" hidden="1" x14ac:dyDescent="0.25">
      <c r="A218" s="68">
        <v>46014</v>
      </c>
      <c r="B218" s="2">
        <v>40</v>
      </c>
      <c r="C218" s="2" t="s">
        <v>933</v>
      </c>
      <c r="D218" s="2" t="s">
        <v>934</v>
      </c>
      <c r="E218" s="2"/>
      <c r="F218" s="2"/>
      <c r="G218" s="2" t="s">
        <v>935</v>
      </c>
      <c r="H218" s="2"/>
      <c r="I218" s="2"/>
    </row>
    <row r="219" spans="1:9" hidden="1" x14ac:dyDescent="0.25">
      <c r="A219" s="68">
        <v>46014</v>
      </c>
      <c r="B219" s="2">
        <v>16</v>
      </c>
      <c r="C219" s="2" t="s">
        <v>933</v>
      </c>
      <c r="D219" s="2" t="s">
        <v>934</v>
      </c>
      <c r="E219" s="65">
        <v>398</v>
      </c>
      <c r="F219" s="91" t="s">
        <v>936</v>
      </c>
      <c r="G219" s="2" t="s">
        <v>927</v>
      </c>
      <c r="H219" s="2"/>
      <c r="I219" s="2"/>
    </row>
    <row r="220" spans="1:9" hidden="1" x14ac:dyDescent="0.25">
      <c r="A220" s="68">
        <v>46014</v>
      </c>
      <c r="B220" s="2">
        <v>1</v>
      </c>
      <c r="C220" s="2" t="s">
        <v>937</v>
      </c>
      <c r="D220" s="2" t="s">
        <v>938</v>
      </c>
      <c r="E220" s="91" t="s">
        <v>939</v>
      </c>
      <c r="F220" s="91" t="s">
        <v>939</v>
      </c>
      <c r="G220" s="2" t="s">
        <v>952</v>
      </c>
      <c r="H220" s="2"/>
      <c r="I220" s="2"/>
    </row>
    <row r="221" spans="1:9" hidden="1" x14ac:dyDescent="0.25">
      <c r="A221" s="68">
        <v>46014</v>
      </c>
      <c r="B221" s="2">
        <v>1</v>
      </c>
      <c r="C221" s="2" t="s">
        <v>937</v>
      </c>
      <c r="D221" s="2" t="s">
        <v>940</v>
      </c>
      <c r="E221" s="91" t="s">
        <v>939</v>
      </c>
      <c r="F221" s="91" t="s">
        <v>939</v>
      </c>
      <c r="G221" s="2" t="s">
        <v>952</v>
      </c>
      <c r="H221" s="2"/>
      <c r="I221" s="2"/>
    </row>
    <row r="222" spans="1:9" hidden="1" x14ac:dyDescent="0.25">
      <c r="A222" s="68">
        <v>46014</v>
      </c>
      <c r="B222" s="2">
        <v>20</v>
      </c>
      <c r="C222" s="2" t="s">
        <v>933</v>
      </c>
      <c r="D222" s="2" t="s">
        <v>941</v>
      </c>
      <c r="E222" s="91" t="s">
        <v>942</v>
      </c>
      <c r="F222" s="91" t="s">
        <v>943</v>
      </c>
      <c r="G222" s="2" t="s">
        <v>954</v>
      </c>
      <c r="H222" s="2"/>
      <c r="I222" s="2"/>
    </row>
    <row r="223" spans="1:9" hidden="1" x14ac:dyDescent="0.25">
      <c r="A223" s="68">
        <v>46014</v>
      </c>
      <c r="B223" s="2">
        <v>9</v>
      </c>
      <c r="C223" s="2" t="s">
        <v>896</v>
      </c>
      <c r="D223" s="2" t="s">
        <v>910</v>
      </c>
      <c r="E223" s="91" t="s">
        <v>944</v>
      </c>
      <c r="F223" s="91" t="s">
        <v>945</v>
      </c>
      <c r="G223" s="2" t="s">
        <v>946</v>
      </c>
      <c r="H223" s="2"/>
      <c r="I223" s="2"/>
    </row>
    <row r="224" spans="1:9" hidden="1" x14ac:dyDescent="0.25">
      <c r="A224" s="68">
        <v>46014</v>
      </c>
      <c r="B224" s="2">
        <v>11</v>
      </c>
      <c r="C224" s="2" t="s">
        <v>947</v>
      </c>
      <c r="D224" s="2" t="s">
        <v>910</v>
      </c>
      <c r="E224" s="91" t="s">
        <v>948</v>
      </c>
      <c r="F224" s="91" t="s">
        <v>949</v>
      </c>
      <c r="G224" s="2" t="s">
        <v>946</v>
      </c>
      <c r="H224" s="2"/>
      <c r="I224" s="2"/>
    </row>
    <row r="225" spans="1:13" hidden="1" x14ac:dyDescent="0.25">
      <c r="A225" s="68">
        <v>46014</v>
      </c>
      <c r="B225" s="2">
        <v>2</v>
      </c>
      <c r="C225" s="2" t="s">
        <v>950</v>
      </c>
      <c r="D225" s="2" t="s">
        <v>910</v>
      </c>
      <c r="E225" s="91" t="s">
        <v>948</v>
      </c>
      <c r="F225" s="91" t="s">
        <v>951</v>
      </c>
      <c r="G225" s="2" t="s">
        <v>946</v>
      </c>
      <c r="H225" s="2"/>
      <c r="I225" s="2"/>
    </row>
    <row r="226" spans="1:13" hidden="1" x14ac:dyDescent="0.25">
      <c r="A226" s="68">
        <v>46015</v>
      </c>
      <c r="B226" s="2">
        <v>6</v>
      </c>
      <c r="C226" s="2" t="s">
        <v>933</v>
      </c>
      <c r="D226" s="2" t="s">
        <v>665</v>
      </c>
      <c r="E226" s="65">
        <v>398</v>
      </c>
      <c r="F226" s="65">
        <f>B226*E226</f>
        <v>2388</v>
      </c>
      <c r="G226" s="2" t="s">
        <v>8</v>
      </c>
      <c r="H226" s="2"/>
      <c r="I226" s="2"/>
    </row>
    <row r="227" spans="1:13" hidden="1" x14ac:dyDescent="0.25">
      <c r="A227" s="68">
        <v>46015</v>
      </c>
      <c r="B227" s="2">
        <v>20</v>
      </c>
      <c r="C227" s="2" t="s">
        <v>933</v>
      </c>
      <c r="D227" s="2" t="s">
        <v>490</v>
      </c>
      <c r="E227" s="65">
        <v>398</v>
      </c>
      <c r="F227" s="65">
        <f t="shared" ref="F227:F285" si="12">B227*E227</f>
        <v>7960</v>
      </c>
      <c r="G227" s="2" t="s">
        <v>8</v>
      </c>
      <c r="H227" s="2"/>
      <c r="I227" s="2"/>
    </row>
    <row r="228" spans="1:13" hidden="1" x14ac:dyDescent="0.25">
      <c r="A228" s="106">
        <v>46015</v>
      </c>
      <c r="B228" s="16">
        <v>1</v>
      </c>
      <c r="C228" s="16" t="s">
        <v>933</v>
      </c>
      <c r="D228" s="16" t="s">
        <v>955</v>
      </c>
      <c r="E228" s="70"/>
      <c r="F228" s="70">
        <f t="shared" si="12"/>
        <v>0</v>
      </c>
      <c r="G228" s="16" t="s">
        <v>956</v>
      </c>
      <c r="H228" s="16"/>
      <c r="I228" s="16" t="s">
        <v>1154</v>
      </c>
    </row>
    <row r="229" spans="1:13" hidden="1" x14ac:dyDescent="0.25">
      <c r="A229" s="68">
        <v>46015</v>
      </c>
      <c r="B229" s="2"/>
      <c r="C229" s="2" t="s">
        <v>933</v>
      </c>
      <c r="D229" s="2" t="s">
        <v>865</v>
      </c>
      <c r="E229" s="65"/>
      <c r="F229" s="65">
        <f t="shared" si="12"/>
        <v>0</v>
      </c>
      <c r="G229" s="2" t="s">
        <v>957</v>
      </c>
      <c r="H229" s="2"/>
      <c r="I229" s="2"/>
    </row>
    <row r="230" spans="1:13" hidden="1" x14ac:dyDescent="0.25">
      <c r="A230" s="68">
        <v>46015</v>
      </c>
      <c r="B230" s="2"/>
      <c r="C230" s="2" t="s">
        <v>933</v>
      </c>
      <c r="D230" s="2" t="s">
        <v>959</v>
      </c>
      <c r="E230" s="65"/>
      <c r="F230" s="65">
        <f t="shared" si="12"/>
        <v>0</v>
      </c>
      <c r="G230" s="2" t="s">
        <v>958</v>
      </c>
      <c r="H230" s="2"/>
      <c r="I230" s="2"/>
    </row>
    <row r="231" spans="1:13" hidden="1" x14ac:dyDescent="0.25">
      <c r="A231" s="68">
        <v>46015</v>
      </c>
      <c r="B231" s="2"/>
      <c r="C231" s="2" t="s">
        <v>933</v>
      </c>
      <c r="D231" s="2" t="s">
        <v>959</v>
      </c>
      <c r="E231" s="65"/>
      <c r="F231" s="65">
        <f t="shared" si="12"/>
        <v>0</v>
      </c>
      <c r="G231" s="2" t="s">
        <v>958</v>
      </c>
      <c r="H231" s="2"/>
      <c r="I231" s="2"/>
    </row>
    <row r="232" spans="1:13" hidden="1" x14ac:dyDescent="0.25">
      <c r="A232" s="68">
        <v>46015</v>
      </c>
      <c r="B232" s="2">
        <v>1</v>
      </c>
      <c r="C232" s="2" t="s">
        <v>933</v>
      </c>
      <c r="D232" s="2" t="s">
        <v>124</v>
      </c>
      <c r="E232" s="65">
        <v>398</v>
      </c>
      <c r="F232" s="65">
        <f t="shared" si="12"/>
        <v>398</v>
      </c>
      <c r="G232" s="2" t="s">
        <v>8</v>
      </c>
      <c r="H232" s="2"/>
      <c r="I232" s="2"/>
    </row>
    <row r="233" spans="1:13" hidden="1" x14ac:dyDescent="0.25">
      <c r="A233" s="68">
        <v>46015</v>
      </c>
      <c r="B233" s="2">
        <v>12</v>
      </c>
      <c r="C233" s="2" t="s">
        <v>933</v>
      </c>
      <c r="D233" s="2" t="s">
        <v>960</v>
      </c>
      <c r="E233" s="65">
        <v>398</v>
      </c>
      <c r="F233" s="65">
        <f t="shared" si="12"/>
        <v>4776</v>
      </c>
      <c r="G233" s="2" t="s">
        <v>8</v>
      </c>
      <c r="H233" s="2"/>
      <c r="I233" s="2"/>
      <c r="K233" s="11">
        <v>7650</v>
      </c>
    </row>
    <row r="234" spans="1:13" hidden="1" x14ac:dyDescent="0.25">
      <c r="A234" s="85">
        <v>46015</v>
      </c>
      <c r="B234" s="18"/>
      <c r="C234" s="18" t="s">
        <v>933</v>
      </c>
      <c r="D234" s="18" t="s">
        <v>961</v>
      </c>
      <c r="E234" s="86"/>
      <c r="F234" s="86">
        <f t="shared" si="12"/>
        <v>0</v>
      </c>
      <c r="G234" s="18" t="s">
        <v>962</v>
      </c>
      <c r="H234" s="18"/>
      <c r="I234" s="18" t="s">
        <v>790</v>
      </c>
      <c r="K234" s="11">
        <v>19700</v>
      </c>
    </row>
    <row r="235" spans="1:13" hidden="1" x14ac:dyDescent="0.25">
      <c r="A235" s="68">
        <v>46017</v>
      </c>
      <c r="B235" s="2">
        <v>2</v>
      </c>
      <c r="C235" s="2" t="s">
        <v>832</v>
      </c>
      <c r="D235" s="2" t="s">
        <v>677</v>
      </c>
      <c r="E235" s="65">
        <v>2197</v>
      </c>
      <c r="F235" s="65">
        <f t="shared" si="12"/>
        <v>4394</v>
      </c>
      <c r="G235" s="2" t="s">
        <v>1009</v>
      </c>
      <c r="H235" s="2"/>
      <c r="I235" s="2" t="s">
        <v>115</v>
      </c>
      <c r="K235">
        <v>10900</v>
      </c>
    </row>
    <row r="236" spans="1:13" hidden="1" x14ac:dyDescent="0.25">
      <c r="A236" s="68">
        <v>46017</v>
      </c>
      <c r="B236" s="2">
        <v>3</v>
      </c>
      <c r="C236" s="2" t="s">
        <v>963</v>
      </c>
      <c r="D236" s="2" t="s">
        <v>864</v>
      </c>
      <c r="E236" s="65">
        <v>4400</v>
      </c>
      <c r="F236" s="65">
        <f>B236*E236</f>
        <v>13200</v>
      </c>
      <c r="G236" s="2" t="s">
        <v>1072</v>
      </c>
      <c r="H236" s="2"/>
      <c r="I236" s="2" t="s">
        <v>1073</v>
      </c>
    </row>
    <row r="237" spans="1:13" hidden="1" x14ac:dyDescent="0.25">
      <c r="A237" s="68">
        <v>46017</v>
      </c>
      <c r="B237" s="2">
        <v>2</v>
      </c>
      <c r="C237" s="2" t="s">
        <v>874</v>
      </c>
      <c r="D237" s="2" t="s">
        <v>864</v>
      </c>
      <c r="E237" s="65">
        <v>3250</v>
      </c>
      <c r="F237" s="65">
        <f t="shared" si="12"/>
        <v>6500</v>
      </c>
      <c r="G237" s="2" t="s">
        <v>1005</v>
      </c>
      <c r="H237" s="2"/>
      <c r="I237" s="2"/>
    </row>
    <row r="238" spans="1:13" hidden="1" x14ac:dyDescent="0.25">
      <c r="A238" s="68">
        <v>46017</v>
      </c>
      <c r="B238" s="2">
        <v>1</v>
      </c>
      <c r="C238" s="2" t="s">
        <v>963</v>
      </c>
      <c r="D238" s="2" t="s">
        <v>864</v>
      </c>
      <c r="E238" s="65">
        <v>4400</v>
      </c>
      <c r="F238" s="65">
        <f t="shared" si="12"/>
        <v>4400</v>
      </c>
      <c r="G238" s="2" t="s">
        <v>1074</v>
      </c>
      <c r="H238" s="2"/>
      <c r="I238" s="2"/>
      <c r="M238">
        <v>753000</v>
      </c>
    </row>
    <row r="239" spans="1:13" hidden="1" x14ac:dyDescent="0.25">
      <c r="A239" s="68">
        <v>46017</v>
      </c>
      <c r="B239" s="2">
        <v>1</v>
      </c>
      <c r="C239" s="2" t="s">
        <v>874</v>
      </c>
      <c r="D239" s="2" t="s">
        <v>864</v>
      </c>
      <c r="E239" s="65">
        <v>3250</v>
      </c>
      <c r="F239" s="65">
        <f t="shared" si="12"/>
        <v>3250</v>
      </c>
      <c r="G239" s="2" t="s">
        <v>1074</v>
      </c>
      <c r="H239" s="2"/>
      <c r="I239" s="2"/>
      <c r="M239">
        <v>524000</v>
      </c>
    </row>
    <row r="240" spans="1:13" hidden="1" x14ac:dyDescent="0.25">
      <c r="A240" s="68">
        <v>46017</v>
      </c>
      <c r="B240" s="2">
        <v>1</v>
      </c>
      <c r="C240" s="2" t="s">
        <v>963</v>
      </c>
      <c r="D240" s="2" t="s">
        <v>864</v>
      </c>
      <c r="E240" s="65">
        <v>4400</v>
      </c>
      <c r="F240" s="65">
        <f t="shared" si="12"/>
        <v>4400</v>
      </c>
      <c r="G240" s="2" t="s">
        <v>1074</v>
      </c>
      <c r="H240" s="2"/>
      <c r="I240" s="2"/>
      <c r="M240">
        <v>173000</v>
      </c>
    </row>
    <row r="241" spans="1:14" hidden="1" x14ac:dyDescent="0.25">
      <c r="A241" s="68">
        <v>46017</v>
      </c>
      <c r="B241" s="2">
        <v>2</v>
      </c>
      <c r="C241" s="2" t="s">
        <v>874</v>
      </c>
      <c r="D241" s="2" t="s">
        <v>864</v>
      </c>
      <c r="E241" s="65">
        <v>3250</v>
      </c>
      <c r="F241" s="65">
        <f t="shared" si="12"/>
        <v>6500</v>
      </c>
      <c r="G241" s="2" t="s">
        <v>1074</v>
      </c>
      <c r="H241" s="2"/>
      <c r="I241" s="2"/>
      <c r="M241">
        <v>270000</v>
      </c>
    </row>
    <row r="242" spans="1:14" hidden="1" x14ac:dyDescent="0.25">
      <c r="A242" s="68">
        <v>46017</v>
      </c>
      <c r="B242" s="2">
        <v>8</v>
      </c>
      <c r="C242" s="2" t="s">
        <v>933</v>
      </c>
      <c r="D242" s="2" t="s">
        <v>760</v>
      </c>
      <c r="E242" s="65">
        <v>398</v>
      </c>
      <c r="F242" s="65">
        <f t="shared" si="12"/>
        <v>3184</v>
      </c>
      <c r="G242" s="2" t="s">
        <v>8</v>
      </c>
      <c r="H242" s="2"/>
      <c r="I242" s="2"/>
      <c r="M242">
        <f>SUM(M238:M241)</f>
        <v>1720000</v>
      </c>
      <c r="N242">
        <f>M242*10%</f>
        <v>172000</v>
      </c>
    </row>
    <row r="243" spans="1:14" x14ac:dyDescent="0.25">
      <c r="A243" s="68">
        <v>46017</v>
      </c>
      <c r="B243" s="2">
        <v>3</v>
      </c>
      <c r="C243" s="2" t="s">
        <v>964</v>
      </c>
      <c r="D243" s="2" t="s">
        <v>364</v>
      </c>
      <c r="E243" s="65">
        <v>642</v>
      </c>
      <c r="F243" s="65">
        <f t="shared" si="12"/>
        <v>1926</v>
      </c>
      <c r="G243" s="26" t="s">
        <v>1001</v>
      </c>
      <c r="H243" s="2"/>
      <c r="I243" s="2"/>
    </row>
    <row r="244" spans="1:14" x14ac:dyDescent="0.25">
      <c r="A244" s="68">
        <v>46017</v>
      </c>
      <c r="B244" s="2">
        <v>3</v>
      </c>
      <c r="C244" s="2" t="s">
        <v>661</v>
      </c>
      <c r="D244" s="2" t="s">
        <v>364</v>
      </c>
      <c r="E244" s="65">
        <v>419</v>
      </c>
      <c r="F244" s="65">
        <f t="shared" si="12"/>
        <v>1257</v>
      </c>
      <c r="G244" s="2" t="s">
        <v>8</v>
      </c>
      <c r="H244" s="2"/>
      <c r="I244" s="2"/>
    </row>
    <row r="245" spans="1:14" x14ac:dyDescent="0.25">
      <c r="A245" s="68">
        <v>46017</v>
      </c>
      <c r="B245" s="2">
        <v>3</v>
      </c>
      <c r="C245" s="2" t="s">
        <v>746</v>
      </c>
      <c r="D245" s="2" t="s">
        <v>364</v>
      </c>
      <c r="E245" s="65">
        <v>105</v>
      </c>
      <c r="F245" s="65">
        <f t="shared" si="12"/>
        <v>315</v>
      </c>
      <c r="G245" s="2" t="s">
        <v>8</v>
      </c>
      <c r="H245" s="2"/>
      <c r="I245" s="2"/>
    </row>
    <row r="246" spans="1:14" x14ac:dyDescent="0.25">
      <c r="A246" s="68">
        <v>46017</v>
      </c>
      <c r="B246" s="2">
        <v>1</v>
      </c>
      <c r="C246" s="2" t="s">
        <v>965</v>
      </c>
      <c r="D246" s="2" t="s">
        <v>364</v>
      </c>
      <c r="E246" s="65">
        <v>218</v>
      </c>
      <c r="F246" s="65">
        <f t="shared" si="12"/>
        <v>218</v>
      </c>
      <c r="G246" s="2" t="s">
        <v>8</v>
      </c>
      <c r="H246" s="2" t="s">
        <v>812</v>
      </c>
      <c r="I246" s="2"/>
    </row>
    <row r="247" spans="1:14" x14ac:dyDescent="0.25">
      <c r="A247" s="68">
        <v>46017</v>
      </c>
      <c r="B247" s="2">
        <v>3</v>
      </c>
      <c r="C247" s="2" t="s">
        <v>586</v>
      </c>
      <c r="D247" s="2" t="s">
        <v>364</v>
      </c>
      <c r="E247" s="65">
        <v>779</v>
      </c>
      <c r="F247" s="65">
        <f t="shared" si="12"/>
        <v>2337</v>
      </c>
      <c r="G247" s="2" t="s">
        <v>8</v>
      </c>
      <c r="H247" s="2"/>
      <c r="I247" s="2"/>
    </row>
    <row r="248" spans="1:14" x14ac:dyDescent="0.25">
      <c r="A248" s="68">
        <v>46017</v>
      </c>
      <c r="B248" s="2">
        <v>3</v>
      </c>
      <c r="C248" s="2" t="s">
        <v>966</v>
      </c>
      <c r="D248" s="2" t="s">
        <v>364</v>
      </c>
      <c r="E248" s="65">
        <v>105</v>
      </c>
      <c r="F248" s="65">
        <f t="shared" si="12"/>
        <v>315</v>
      </c>
      <c r="G248" s="2" t="s">
        <v>8</v>
      </c>
      <c r="H248" s="2"/>
      <c r="I248" s="2"/>
    </row>
    <row r="249" spans="1:14" x14ac:dyDescent="0.25">
      <c r="A249" s="80">
        <v>46017</v>
      </c>
      <c r="B249" s="10">
        <v>3</v>
      </c>
      <c r="C249" s="10" t="s">
        <v>967</v>
      </c>
      <c r="D249" s="10" t="s">
        <v>364</v>
      </c>
      <c r="E249" s="66">
        <v>2597</v>
      </c>
      <c r="F249" s="66">
        <f t="shared" si="12"/>
        <v>7791</v>
      </c>
      <c r="G249" s="10" t="s">
        <v>8</v>
      </c>
      <c r="H249" s="10"/>
      <c r="I249" s="10" t="s">
        <v>115</v>
      </c>
    </row>
    <row r="250" spans="1:14" x14ac:dyDescent="0.25">
      <c r="A250" s="68">
        <v>46017</v>
      </c>
      <c r="B250" s="2">
        <v>1</v>
      </c>
      <c r="C250" s="2" t="s">
        <v>968</v>
      </c>
      <c r="D250" s="2" t="s">
        <v>364</v>
      </c>
      <c r="E250" s="65">
        <v>1789</v>
      </c>
      <c r="F250" s="65">
        <f t="shared" si="12"/>
        <v>1789</v>
      </c>
      <c r="G250" s="2" t="s">
        <v>8</v>
      </c>
      <c r="H250" s="2" t="s">
        <v>812</v>
      </c>
      <c r="I250" s="2"/>
    </row>
    <row r="251" spans="1:14" x14ac:dyDescent="0.25">
      <c r="A251" s="68">
        <v>46017</v>
      </c>
      <c r="B251" s="2">
        <v>6</v>
      </c>
      <c r="C251" s="2" t="s">
        <v>969</v>
      </c>
      <c r="D251" s="2" t="s">
        <v>364</v>
      </c>
      <c r="E251" s="65">
        <v>2197</v>
      </c>
      <c r="F251" s="65">
        <f t="shared" si="12"/>
        <v>13182</v>
      </c>
      <c r="G251" s="26" t="s">
        <v>1002</v>
      </c>
      <c r="H251" s="2"/>
      <c r="I251" s="2" t="s">
        <v>1028</v>
      </c>
      <c r="J251" t="s">
        <v>1035</v>
      </c>
      <c r="K251" t="s">
        <v>1098</v>
      </c>
    </row>
    <row r="252" spans="1:14" x14ac:dyDescent="0.25">
      <c r="A252" s="68">
        <v>46017</v>
      </c>
      <c r="B252" s="2">
        <v>9</v>
      </c>
      <c r="C252" s="2" t="s">
        <v>697</v>
      </c>
      <c r="D252" s="2" t="s">
        <v>364</v>
      </c>
      <c r="E252" s="65">
        <v>135</v>
      </c>
      <c r="F252" s="65">
        <f t="shared" si="12"/>
        <v>1215</v>
      </c>
      <c r="G252" s="26" t="s">
        <v>1003</v>
      </c>
      <c r="H252" s="2"/>
      <c r="I252" s="2" t="s">
        <v>1029</v>
      </c>
      <c r="M252">
        <v>8311</v>
      </c>
    </row>
    <row r="253" spans="1:14" x14ac:dyDescent="0.25">
      <c r="A253" s="68">
        <v>46017</v>
      </c>
      <c r="B253" s="2">
        <v>6</v>
      </c>
      <c r="C253" s="2" t="s">
        <v>970</v>
      </c>
      <c r="D253" s="2" t="s">
        <v>364</v>
      </c>
      <c r="E253" s="65">
        <v>407</v>
      </c>
      <c r="F253" s="65">
        <f t="shared" si="12"/>
        <v>2442</v>
      </c>
      <c r="G253" s="26" t="s">
        <v>1008</v>
      </c>
      <c r="H253" s="102" t="s">
        <v>812</v>
      </c>
      <c r="I253" s="2" t="s">
        <v>1041</v>
      </c>
      <c r="J253" s="103"/>
      <c r="M253">
        <v>9061</v>
      </c>
    </row>
    <row r="254" spans="1:14" x14ac:dyDescent="0.25">
      <c r="A254" s="68">
        <v>46017</v>
      </c>
      <c r="B254" s="2">
        <v>9</v>
      </c>
      <c r="C254" s="2" t="s">
        <v>971</v>
      </c>
      <c r="D254" s="2" t="s">
        <v>364</v>
      </c>
      <c r="E254" s="65">
        <v>629</v>
      </c>
      <c r="F254" s="65">
        <f t="shared" si="12"/>
        <v>5661</v>
      </c>
      <c r="G254" s="26" t="s">
        <v>1003</v>
      </c>
      <c r="H254" s="2"/>
      <c r="I254" s="2" t="s">
        <v>1030</v>
      </c>
    </row>
    <row r="255" spans="1:14" hidden="1" x14ac:dyDescent="0.25">
      <c r="A255" s="68">
        <v>46018</v>
      </c>
      <c r="B255" s="2">
        <v>6</v>
      </c>
      <c r="C255" s="2" t="s">
        <v>697</v>
      </c>
      <c r="D255" s="2" t="s">
        <v>101</v>
      </c>
      <c r="E255" s="65">
        <v>125</v>
      </c>
      <c r="F255" s="65">
        <f t="shared" si="12"/>
        <v>750</v>
      </c>
      <c r="G255" s="18" t="s">
        <v>993</v>
      </c>
      <c r="H255" s="2"/>
      <c r="I255" s="2"/>
    </row>
    <row r="256" spans="1:14" hidden="1" x14ac:dyDescent="0.25">
      <c r="A256" s="68">
        <v>46018</v>
      </c>
      <c r="B256" s="2">
        <v>3</v>
      </c>
      <c r="C256" s="2" t="s">
        <v>661</v>
      </c>
      <c r="D256" s="2" t="s">
        <v>101</v>
      </c>
      <c r="E256" s="65">
        <v>419</v>
      </c>
      <c r="F256" s="65">
        <f t="shared" si="12"/>
        <v>1257</v>
      </c>
      <c r="G256" s="18" t="s">
        <v>993</v>
      </c>
      <c r="H256" s="2"/>
      <c r="I256" s="2"/>
    </row>
    <row r="257" spans="1:13" hidden="1" x14ac:dyDescent="0.25">
      <c r="A257" s="68">
        <v>46018</v>
      </c>
      <c r="B257" s="2">
        <v>2</v>
      </c>
      <c r="C257" s="2" t="s">
        <v>971</v>
      </c>
      <c r="D257" s="2" t="s">
        <v>101</v>
      </c>
      <c r="E257" s="65">
        <v>629</v>
      </c>
      <c r="F257" s="65">
        <f t="shared" si="12"/>
        <v>1258</v>
      </c>
      <c r="G257" s="18" t="s">
        <v>993</v>
      </c>
      <c r="H257" s="2"/>
      <c r="I257" s="2"/>
    </row>
    <row r="258" spans="1:13" hidden="1" x14ac:dyDescent="0.25">
      <c r="A258" s="68">
        <v>46018</v>
      </c>
      <c r="B258" s="2">
        <v>2</v>
      </c>
      <c r="C258" s="2" t="s">
        <v>972</v>
      </c>
      <c r="D258" s="2" t="s">
        <v>101</v>
      </c>
      <c r="E258" s="65">
        <v>2599</v>
      </c>
      <c r="F258" s="65">
        <f t="shared" si="12"/>
        <v>5198</v>
      </c>
      <c r="G258" s="2" t="s">
        <v>973</v>
      </c>
      <c r="H258" s="2"/>
      <c r="I258" s="2" t="s">
        <v>115</v>
      </c>
    </row>
    <row r="259" spans="1:13" hidden="1" x14ac:dyDescent="0.25">
      <c r="A259" s="68">
        <v>46018</v>
      </c>
      <c r="B259" s="2">
        <v>1</v>
      </c>
      <c r="C259" s="2" t="s">
        <v>975</v>
      </c>
      <c r="D259" s="2" t="s">
        <v>101</v>
      </c>
      <c r="E259" s="65">
        <v>299</v>
      </c>
      <c r="F259" s="65">
        <f t="shared" si="12"/>
        <v>299</v>
      </c>
      <c r="G259" s="2" t="s">
        <v>974</v>
      </c>
      <c r="H259" s="2"/>
      <c r="I259" s="2" t="s">
        <v>634</v>
      </c>
    </row>
    <row r="260" spans="1:13" hidden="1" x14ac:dyDescent="0.25">
      <c r="A260" s="68">
        <v>46018</v>
      </c>
      <c r="B260" s="2">
        <v>2</v>
      </c>
      <c r="C260" s="2" t="s">
        <v>971</v>
      </c>
      <c r="D260" s="2" t="s">
        <v>101</v>
      </c>
      <c r="E260" s="65">
        <v>629</v>
      </c>
      <c r="F260" s="65">
        <f t="shared" si="12"/>
        <v>1258</v>
      </c>
      <c r="G260" s="2" t="s">
        <v>8</v>
      </c>
      <c r="H260" s="2"/>
      <c r="I260" s="2" t="s">
        <v>115</v>
      </c>
    </row>
    <row r="261" spans="1:13" hidden="1" x14ac:dyDescent="0.25">
      <c r="A261" s="68">
        <v>46018</v>
      </c>
      <c r="B261" s="2">
        <v>3</v>
      </c>
      <c r="C261" s="2" t="s">
        <v>804</v>
      </c>
      <c r="D261" s="2" t="s">
        <v>101</v>
      </c>
      <c r="E261" s="65">
        <v>419</v>
      </c>
      <c r="F261" s="65">
        <f t="shared" si="12"/>
        <v>1257</v>
      </c>
      <c r="G261" s="2" t="s">
        <v>8</v>
      </c>
      <c r="H261" s="2"/>
      <c r="I261" s="2"/>
    </row>
    <row r="262" spans="1:13" hidden="1" x14ac:dyDescent="0.25">
      <c r="A262" s="68">
        <v>46018</v>
      </c>
      <c r="B262" s="2">
        <v>2</v>
      </c>
      <c r="C262" s="2" t="s">
        <v>972</v>
      </c>
      <c r="D262" s="2" t="s">
        <v>101</v>
      </c>
      <c r="E262" s="65">
        <v>2599</v>
      </c>
      <c r="F262" s="65">
        <f t="shared" si="12"/>
        <v>5198</v>
      </c>
      <c r="G262" s="2" t="s">
        <v>973</v>
      </c>
      <c r="H262" s="2"/>
      <c r="I262" s="2" t="s">
        <v>115</v>
      </c>
    </row>
    <row r="263" spans="1:13" hidden="1" x14ac:dyDescent="0.25">
      <c r="A263" s="68">
        <v>46018</v>
      </c>
      <c r="B263" s="2">
        <v>2</v>
      </c>
      <c r="C263" s="2" t="s">
        <v>977</v>
      </c>
      <c r="D263" s="2" t="s">
        <v>101</v>
      </c>
      <c r="E263" s="65">
        <v>180</v>
      </c>
      <c r="F263" s="65">
        <f t="shared" si="12"/>
        <v>360</v>
      </c>
      <c r="G263" s="2" t="s">
        <v>8</v>
      </c>
      <c r="H263" s="2"/>
      <c r="I263" s="2"/>
    </row>
    <row r="264" spans="1:13" hidden="1" x14ac:dyDescent="0.25">
      <c r="A264" s="68">
        <v>46018</v>
      </c>
      <c r="B264" s="2">
        <v>1</v>
      </c>
      <c r="C264" s="2" t="s">
        <v>976</v>
      </c>
      <c r="D264" s="2" t="s">
        <v>101</v>
      </c>
      <c r="E264" s="65">
        <v>135</v>
      </c>
      <c r="F264" s="65">
        <f t="shared" si="12"/>
        <v>135</v>
      </c>
      <c r="G264" s="2" t="s">
        <v>8</v>
      </c>
      <c r="H264" s="2"/>
      <c r="I264" s="2"/>
    </row>
    <row r="265" spans="1:13" hidden="1" x14ac:dyDescent="0.25">
      <c r="A265" s="68">
        <v>46018</v>
      </c>
      <c r="B265" s="2">
        <v>1</v>
      </c>
      <c r="C265" s="2" t="s">
        <v>971</v>
      </c>
      <c r="D265" s="2" t="s">
        <v>101</v>
      </c>
      <c r="E265" s="65">
        <v>629</v>
      </c>
      <c r="F265" s="65">
        <f t="shared" si="12"/>
        <v>629</v>
      </c>
      <c r="G265" s="2" t="s">
        <v>8</v>
      </c>
      <c r="H265" s="2"/>
      <c r="I265" s="2"/>
      <c r="M265">
        <v>219.7</v>
      </c>
    </row>
    <row r="266" spans="1:13" hidden="1" x14ac:dyDescent="0.25">
      <c r="A266" s="68">
        <v>46018</v>
      </c>
      <c r="B266" s="2">
        <v>3</v>
      </c>
      <c r="C266" s="2" t="s">
        <v>972</v>
      </c>
      <c r="D266" s="2" t="s">
        <v>710</v>
      </c>
      <c r="E266" s="65">
        <v>2599</v>
      </c>
      <c r="F266" s="65">
        <f t="shared" si="12"/>
        <v>7797</v>
      </c>
      <c r="G266" s="2" t="s">
        <v>8</v>
      </c>
      <c r="H266" s="2"/>
      <c r="I266" s="2" t="s">
        <v>115</v>
      </c>
      <c r="M266">
        <v>439.4</v>
      </c>
    </row>
    <row r="267" spans="1:13" hidden="1" x14ac:dyDescent="0.25">
      <c r="A267" s="68">
        <v>46018</v>
      </c>
      <c r="B267" s="2">
        <v>3</v>
      </c>
      <c r="C267" s="2" t="s">
        <v>971</v>
      </c>
      <c r="D267" s="2" t="s">
        <v>710</v>
      </c>
      <c r="E267" s="65">
        <v>629</v>
      </c>
      <c r="F267" s="65">
        <f t="shared" si="12"/>
        <v>1887</v>
      </c>
      <c r="G267" s="2" t="s">
        <v>8</v>
      </c>
      <c r="H267" s="2"/>
      <c r="I267" s="2" t="s">
        <v>115</v>
      </c>
      <c r="M267">
        <v>439.4</v>
      </c>
    </row>
    <row r="268" spans="1:13" hidden="1" x14ac:dyDescent="0.25">
      <c r="A268" s="68">
        <v>46018</v>
      </c>
      <c r="B268" s="2">
        <v>7</v>
      </c>
      <c r="C268" s="2" t="s">
        <v>978</v>
      </c>
      <c r="D268" s="2" t="s">
        <v>677</v>
      </c>
      <c r="E268" s="65"/>
      <c r="F268" s="65">
        <f t="shared" si="12"/>
        <v>0</v>
      </c>
      <c r="G268" s="2" t="s">
        <v>1006</v>
      </c>
      <c r="H268" s="2"/>
      <c r="I268" s="2" t="s">
        <v>1043</v>
      </c>
      <c r="M268">
        <v>439.4</v>
      </c>
    </row>
    <row r="269" spans="1:13" hidden="1" x14ac:dyDescent="0.25">
      <c r="A269" s="68">
        <v>46018</v>
      </c>
      <c r="B269" s="2">
        <v>50</v>
      </c>
      <c r="C269" s="2" t="s">
        <v>979</v>
      </c>
      <c r="D269" s="2" t="s">
        <v>980</v>
      </c>
      <c r="E269" s="65">
        <v>477</v>
      </c>
      <c r="F269" s="65">
        <f t="shared" si="12"/>
        <v>23850</v>
      </c>
      <c r="G269" s="2" t="s">
        <v>981</v>
      </c>
      <c r="H269" s="2">
        <v>20</v>
      </c>
      <c r="I269" s="2"/>
      <c r="J269">
        <f>B269*H269</f>
        <v>1000</v>
      </c>
      <c r="M269">
        <f>SUM(M265:M268)</f>
        <v>1537.9</v>
      </c>
    </row>
    <row r="270" spans="1:13" hidden="1" x14ac:dyDescent="0.25">
      <c r="A270" s="68">
        <v>46018</v>
      </c>
      <c r="B270" s="2">
        <v>37</v>
      </c>
      <c r="C270" s="2" t="s">
        <v>971</v>
      </c>
      <c r="D270" s="2" t="s">
        <v>980</v>
      </c>
      <c r="E270" s="65">
        <v>629</v>
      </c>
      <c r="F270" s="65">
        <f t="shared" si="12"/>
        <v>23273</v>
      </c>
      <c r="G270" s="2" t="s">
        <v>981</v>
      </c>
      <c r="H270" s="2">
        <v>20</v>
      </c>
      <c r="I270" s="2"/>
      <c r="J270">
        <f t="shared" ref="J270:J271" si="13">B270*H270</f>
        <v>740</v>
      </c>
    </row>
    <row r="271" spans="1:13" hidden="1" x14ac:dyDescent="0.25">
      <c r="A271" s="68">
        <v>46018</v>
      </c>
      <c r="B271" s="2">
        <v>50</v>
      </c>
      <c r="C271" s="2" t="s">
        <v>933</v>
      </c>
      <c r="D271" s="2" t="s">
        <v>980</v>
      </c>
      <c r="E271" s="65">
        <v>398</v>
      </c>
      <c r="F271" s="65">
        <f t="shared" si="12"/>
        <v>19900</v>
      </c>
      <c r="G271" s="2" t="s">
        <v>981</v>
      </c>
      <c r="H271" s="2">
        <v>15</v>
      </c>
      <c r="I271" s="2"/>
      <c r="J271">
        <f t="shared" si="13"/>
        <v>750</v>
      </c>
    </row>
    <row r="272" spans="1:13" hidden="1" x14ac:dyDescent="0.25">
      <c r="A272" s="80">
        <v>46019</v>
      </c>
      <c r="B272" s="10">
        <v>40</v>
      </c>
      <c r="C272" s="10" t="s">
        <v>723</v>
      </c>
      <c r="D272" s="10" t="s">
        <v>677</v>
      </c>
      <c r="E272" s="101">
        <v>145</v>
      </c>
      <c r="F272" s="66">
        <f t="shared" si="12"/>
        <v>5800</v>
      </c>
      <c r="G272" s="10" t="s">
        <v>1065</v>
      </c>
      <c r="H272" s="10"/>
      <c r="I272" s="10" t="s">
        <v>115</v>
      </c>
      <c r="J272" t="s">
        <v>1109</v>
      </c>
    </row>
    <row r="273" spans="1:10" x14ac:dyDescent="0.25">
      <c r="A273" s="68">
        <v>46019</v>
      </c>
      <c r="B273" s="2">
        <v>2</v>
      </c>
      <c r="C273" s="2" t="s">
        <v>971</v>
      </c>
      <c r="D273" s="2" t="s">
        <v>364</v>
      </c>
      <c r="E273" s="21">
        <v>629</v>
      </c>
      <c r="F273" s="65">
        <f t="shared" si="12"/>
        <v>1258</v>
      </c>
      <c r="G273" s="2" t="s">
        <v>8</v>
      </c>
      <c r="H273" s="2"/>
      <c r="I273" s="2" t="s">
        <v>115</v>
      </c>
    </row>
    <row r="274" spans="1:10" x14ac:dyDescent="0.25">
      <c r="A274" s="68">
        <v>46019</v>
      </c>
      <c r="B274" s="2">
        <v>3</v>
      </c>
      <c r="C274" s="2" t="s">
        <v>976</v>
      </c>
      <c r="D274" s="2" t="s">
        <v>364</v>
      </c>
      <c r="E274" s="21">
        <v>149</v>
      </c>
      <c r="F274" s="65">
        <f t="shared" si="12"/>
        <v>447</v>
      </c>
      <c r="G274" s="2" t="s">
        <v>8</v>
      </c>
      <c r="H274" s="2"/>
      <c r="I274" s="2" t="s">
        <v>115</v>
      </c>
    </row>
    <row r="275" spans="1:10" x14ac:dyDescent="0.25">
      <c r="A275" s="68">
        <v>46019</v>
      </c>
      <c r="B275" s="2">
        <v>1</v>
      </c>
      <c r="C275" s="2" t="s">
        <v>984</v>
      </c>
      <c r="D275" s="2" t="s">
        <v>364</v>
      </c>
      <c r="E275" s="21">
        <v>159</v>
      </c>
      <c r="F275" s="65">
        <f t="shared" si="12"/>
        <v>159</v>
      </c>
      <c r="G275" s="2" t="s">
        <v>8</v>
      </c>
      <c r="H275" s="2"/>
      <c r="I275" s="2" t="s">
        <v>115</v>
      </c>
    </row>
    <row r="276" spans="1:10" x14ac:dyDescent="0.25">
      <c r="A276" s="68">
        <v>46019</v>
      </c>
      <c r="B276" s="2">
        <v>2</v>
      </c>
      <c r="C276" s="2" t="s">
        <v>985</v>
      </c>
      <c r="D276" s="2" t="s">
        <v>364</v>
      </c>
      <c r="E276" s="21">
        <v>199</v>
      </c>
      <c r="F276" s="65">
        <f t="shared" si="12"/>
        <v>398</v>
      </c>
      <c r="G276" s="2" t="s">
        <v>8</v>
      </c>
      <c r="H276" s="2"/>
      <c r="I276" s="2" t="s">
        <v>115</v>
      </c>
    </row>
    <row r="277" spans="1:10" x14ac:dyDescent="0.25">
      <c r="A277" s="68">
        <v>46019</v>
      </c>
      <c r="B277" s="2">
        <v>3</v>
      </c>
      <c r="C277" s="2" t="s">
        <v>986</v>
      </c>
      <c r="D277" s="2" t="s">
        <v>364</v>
      </c>
      <c r="E277" s="21">
        <v>109</v>
      </c>
      <c r="F277" s="65">
        <f t="shared" si="12"/>
        <v>327</v>
      </c>
      <c r="G277" s="2" t="s">
        <v>8</v>
      </c>
      <c r="H277" s="2"/>
      <c r="I277" s="2" t="s">
        <v>115</v>
      </c>
    </row>
    <row r="278" spans="1:10" x14ac:dyDescent="0.25">
      <c r="A278" s="68">
        <v>46019</v>
      </c>
      <c r="B278" s="2">
        <v>3</v>
      </c>
      <c r="C278" s="2" t="s">
        <v>987</v>
      </c>
      <c r="D278" s="2" t="s">
        <v>364</v>
      </c>
      <c r="E278" s="21">
        <v>189</v>
      </c>
      <c r="F278" s="65">
        <f t="shared" si="12"/>
        <v>567</v>
      </c>
      <c r="G278" s="2" t="s">
        <v>8</v>
      </c>
      <c r="H278" s="2"/>
      <c r="I278" s="2" t="s">
        <v>115</v>
      </c>
    </row>
    <row r="279" spans="1:10" x14ac:dyDescent="0.25">
      <c r="A279" s="68">
        <v>46019</v>
      </c>
      <c r="B279" s="2">
        <v>2</v>
      </c>
      <c r="C279" s="2" t="s">
        <v>988</v>
      </c>
      <c r="D279" s="2" t="s">
        <v>364</v>
      </c>
      <c r="E279" s="21">
        <v>488</v>
      </c>
      <c r="F279" s="65">
        <f t="shared" si="12"/>
        <v>976</v>
      </c>
      <c r="G279" s="2" t="s">
        <v>1007</v>
      </c>
      <c r="H279" s="2"/>
      <c r="I279" s="2" t="s">
        <v>115</v>
      </c>
    </row>
    <row r="280" spans="1:10" hidden="1" x14ac:dyDescent="0.25">
      <c r="A280" s="68">
        <v>46019</v>
      </c>
      <c r="B280" s="2">
        <v>2</v>
      </c>
      <c r="C280" s="2" t="s">
        <v>971</v>
      </c>
      <c r="D280" s="2" t="s">
        <v>688</v>
      </c>
      <c r="E280" s="21">
        <v>629</v>
      </c>
      <c r="F280" s="65">
        <f t="shared" si="12"/>
        <v>1258</v>
      </c>
      <c r="G280" s="2" t="s">
        <v>8</v>
      </c>
      <c r="H280" s="2"/>
      <c r="I280" s="2" t="s">
        <v>115</v>
      </c>
    </row>
    <row r="281" spans="1:10" hidden="1" x14ac:dyDescent="0.25">
      <c r="A281" s="68">
        <v>46019</v>
      </c>
      <c r="B281" s="2">
        <v>2</v>
      </c>
      <c r="C281" s="2" t="s">
        <v>967</v>
      </c>
      <c r="D281" s="2" t="s">
        <v>688</v>
      </c>
      <c r="E281" s="21">
        <v>2599</v>
      </c>
      <c r="F281" s="65">
        <f t="shared" si="12"/>
        <v>5198</v>
      </c>
      <c r="G281" s="2" t="s">
        <v>1010</v>
      </c>
      <c r="H281" s="2"/>
      <c r="I281" s="2" t="s">
        <v>115</v>
      </c>
    </row>
    <row r="282" spans="1:10" hidden="1" x14ac:dyDescent="0.25">
      <c r="A282" s="68">
        <v>46387</v>
      </c>
      <c r="B282" s="2">
        <v>8</v>
      </c>
      <c r="C282" s="2" t="s">
        <v>933</v>
      </c>
      <c r="D282" s="2" t="s">
        <v>496</v>
      </c>
      <c r="E282" s="65">
        <v>398</v>
      </c>
      <c r="F282" s="65">
        <f t="shared" si="12"/>
        <v>3184</v>
      </c>
      <c r="G282" s="2" t="s">
        <v>8</v>
      </c>
      <c r="H282" s="2"/>
      <c r="I282" s="2"/>
    </row>
    <row r="283" spans="1:10" hidden="1" x14ac:dyDescent="0.25">
      <c r="A283" s="68">
        <v>46387</v>
      </c>
      <c r="B283" s="2">
        <v>2</v>
      </c>
      <c r="C283" s="2" t="s">
        <v>979</v>
      </c>
      <c r="D283" s="2" t="s">
        <v>887</v>
      </c>
      <c r="E283" s="65">
        <v>477</v>
      </c>
      <c r="F283" s="65">
        <f t="shared" si="12"/>
        <v>954</v>
      </c>
      <c r="G283" s="2" t="s">
        <v>993</v>
      </c>
      <c r="H283" s="2"/>
      <c r="I283" s="2"/>
    </row>
    <row r="284" spans="1:10" hidden="1" x14ac:dyDescent="0.25">
      <c r="A284" s="68">
        <v>46384</v>
      </c>
      <c r="B284" s="2">
        <v>1</v>
      </c>
      <c r="C284" s="2" t="s">
        <v>971</v>
      </c>
      <c r="D284" s="2" t="s">
        <v>994</v>
      </c>
      <c r="E284" s="65">
        <v>628</v>
      </c>
      <c r="F284" s="65">
        <f t="shared" si="12"/>
        <v>628</v>
      </c>
      <c r="G284" s="2" t="s">
        <v>981</v>
      </c>
      <c r="H284" s="2">
        <v>40</v>
      </c>
      <c r="I284" s="2" t="s">
        <v>115</v>
      </c>
      <c r="J284">
        <f t="shared" ref="J284:J285" si="14">B284*H284</f>
        <v>40</v>
      </c>
    </row>
    <row r="285" spans="1:10" hidden="1" x14ac:dyDescent="0.25">
      <c r="A285" s="68">
        <v>46384</v>
      </c>
      <c r="B285" s="2">
        <v>3</v>
      </c>
      <c r="C285" s="2" t="s">
        <v>933</v>
      </c>
      <c r="D285" s="2" t="s">
        <v>994</v>
      </c>
      <c r="E285" s="65">
        <v>328</v>
      </c>
      <c r="F285" s="65">
        <f t="shared" si="12"/>
        <v>984</v>
      </c>
      <c r="G285" s="2" t="s">
        <v>981</v>
      </c>
      <c r="H285" s="2">
        <v>20</v>
      </c>
      <c r="I285" s="2" t="s">
        <v>115</v>
      </c>
      <c r="J285">
        <f t="shared" si="14"/>
        <v>60</v>
      </c>
    </row>
    <row r="286" spans="1:10" hidden="1" x14ac:dyDescent="0.25">
      <c r="A286" s="68">
        <v>46387</v>
      </c>
      <c r="B286" s="2">
        <v>1</v>
      </c>
      <c r="C286" s="2" t="s">
        <v>999</v>
      </c>
      <c r="D286" s="2" t="s">
        <v>857</v>
      </c>
      <c r="E286" s="65">
        <v>850</v>
      </c>
      <c r="F286" s="65">
        <v>850</v>
      </c>
      <c r="G286" s="2" t="s">
        <v>1000</v>
      </c>
      <c r="H286" s="2"/>
      <c r="I286" s="2" t="s">
        <v>85</v>
      </c>
    </row>
    <row r="287" spans="1:10" x14ac:dyDescent="0.25">
      <c r="A287" s="2"/>
      <c r="B287" s="2"/>
      <c r="C287" s="2"/>
      <c r="D287" s="2"/>
      <c r="E287" s="65"/>
      <c r="F287" s="65"/>
      <c r="G287" s="2"/>
      <c r="H287" s="2"/>
      <c r="I287" s="2"/>
    </row>
    <row r="288" spans="1:10" x14ac:dyDescent="0.25">
      <c r="A288" s="2"/>
      <c r="B288" s="2"/>
      <c r="C288" s="2"/>
      <c r="D288" s="2"/>
      <c r="E288" s="65"/>
      <c r="F288" s="65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18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25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25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25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25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25">
      <c r="A783" s="2"/>
      <c r="B783" s="2"/>
      <c r="C783" s="2"/>
      <c r="D783" s="2"/>
      <c r="E783" s="2"/>
      <c r="F783" s="2"/>
      <c r="G783" s="2"/>
      <c r="H783" s="2"/>
      <c r="I783" s="2"/>
    </row>
    <row r="784" spans="1:9" x14ac:dyDescent="0.25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25">
      <c r="A785" s="2"/>
      <c r="B785" s="2"/>
      <c r="C785" s="2"/>
      <c r="D785" s="2"/>
      <c r="E785" s="2"/>
      <c r="F785" s="2"/>
      <c r="G785" s="2"/>
      <c r="H785" s="2"/>
      <c r="I785" s="2"/>
    </row>
    <row r="786" spans="1:9" x14ac:dyDescent="0.25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25">
      <c r="A787" s="2"/>
      <c r="B787" s="2"/>
      <c r="C787" s="2"/>
      <c r="D787" s="2"/>
      <c r="E787" s="2"/>
      <c r="F787" s="2"/>
      <c r="G787" s="2"/>
      <c r="H787" s="2"/>
      <c r="I787" s="2"/>
    </row>
    <row r="788" spans="1:9" x14ac:dyDescent="0.25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25">
      <c r="A789" s="2"/>
      <c r="B789" s="2"/>
      <c r="C789" s="2"/>
      <c r="D789" s="2"/>
      <c r="E789" s="2"/>
      <c r="F789" s="2"/>
      <c r="G789" s="2"/>
      <c r="H789" s="2"/>
      <c r="I789" s="2"/>
    </row>
    <row r="790" spans="1:9" x14ac:dyDescent="0.25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25">
      <c r="A791" s="2"/>
      <c r="B791" s="2"/>
      <c r="C791" s="2"/>
      <c r="D791" s="2"/>
      <c r="E791" s="2"/>
      <c r="F791" s="2"/>
      <c r="G791" s="2"/>
      <c r="H791" s="2"/>
      <c r="I791" s="2"/>
    </row>
    <row r="792" spans="1:9" x14ac:dyDescent="0.25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25">
      <c r="A793" s="2"/>
      <c r="B793" s="2"/>
      <c r="C793" s="2"/>
      <c r="D793" s="2"/>
      <c r="E793" s="2"/>
      <c r="F793" s="2"/>
      <c r="G793" s="2"/>
      <c r="H793" s="2"/>
      <c r="I793" s="2"/>
    </row>
    <row r="794" spans="1:9" x14ac:dyDescent="0.25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25">
      <c r="A795" s="2"/>
      <c r="B795" s="2"/>
      <c r="C795" s="2"/>
      <c r="D795" s="2"/>
      <c r="E795" s="2"/>
      <c r="F795" s="2"/>
      <c r="G795" s="2"/>
      <c r="H795" s="2"/>
      <c r="I795" s="2"/>
    </row>
    <row r="796" spans="1:9" x14ac:dyDescent="0.25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25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25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25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25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25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25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25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25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25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25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25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25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25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25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25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25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25">
      <c r="A813" s="2"/>
      <c r="B813" s="2"/>
      <c r="C813" s="2"/>
      <c r="D813" s="2"/>
      <c r="E813" s="2"/>
      <c r="F813" s="2"/>
      <c r="G813" s="2"/>
      <c r="H813" s="2"/>
      <c r="I813" s="2"/>
    </row>
    <row r="814" spans="1:9" x14ac:dyDescent="0.25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25">
      <c r="A815" s="2"/>
      <c r="B815" s="2"/>
      <c r="C815" s="2"/>
      <c r="D815" s="2"/>
      <c r="E815" s="2"/>
      <c r="F815" s="2"/>
      <c r="G815" s="2"/>
      <c r="H815" s="2"/>
      <c r="I815" s="2"/>
    </row>
    <row r="816" spans="1:9" x14ac:dyDescent="0.25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25">
      <c r="A817" s="2"/>
      <c r="B817" s="2"/>
      <c r="C817" s="2"/>
      <c r="D817" s="2"/>
      <c r="E817" s="2"/>
      <c r="F817" s="2"/>
      <c r="G817" s="2"/>
      <c r="H817" s="2"/>
      <c r="I817" s="2"/>
    </row>
    <row r="818" spans="1:9" x14ac:dyDescent="0.25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25">
      <c r="A819" s="2"/>
      <c r="B819" s="2"/>
      <c r="C819" s="2"/>
      <c r="D819" s="2"/>
      <c r="E819" s="2"/>
      <c r="F819" s="2"/>
      <c r="G819" s="2"/>
      <c r="H819" s="2"/>
      <c r="I819" s="2"/>
    </row>
    <row r="820" spans="1:9" x14ac:dyDescent="0.25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25">
      <c r="A821" s="2"/>
      <c r="B821" s="2"/>
      <c r="C821" s="2"/>
      <c r="D821" s="2"/>
      <c r="E821" s="2"/>
      <c r="F821" s="2"/>
      <c r="G821" s="2"/>
      <c r="H821" s="2"/>
      <c r="I821" s="2"/>
    </row>
    <row r="822" spans="1:9" x14ac:dyDescent="0.25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25">
      <c r="A823" s="2"/>
      <c r="B823" s="2"/>
      <c r="C823" s="2"/>
      <c r="D823" s="2"/>
      <c r="E823" s="2"/>
      <c r="F823" s="2"/>
      <c r="G823" s="2"/>
      <c r="H823" s="2"/>
      <c r="I823" s="2"/>
    </row>
    <row r="824" spans="1:9" x14ac:dyDescent="0.25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25">
      <c r="A825" s="2"/>
      <c r="B825" s="2"/>
      <c r="C825" s="2"/>
      <c r="D825" s="2"/>
      <c r="E825" s="2"/>
      <c r="F825" s="2"/>
      <c r="G825" s="2"/>
      <c r="H825" s="2"/>
      <c r="I825" s="2"/>
    </row>
    <row r="826" spans="1:9" x14ac:dyDescent="0.25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25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25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25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25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25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25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25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25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25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25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25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25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25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25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25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25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25">
      <c r="A843" s="2"/>
      <c r="B843" s="2"/>
      <c r="C843" s="2"/>
      <c r="D843" s="2"/>
      <c r="E843" s="2"/>
      <c r="F843" s="2"/>
      <c r="G843" s="2"/>
      <c r="H843" s="2"/>
      <c r="I843" s="2"/>
    </row>
    <row r="844" spans="1:9" x14ac:dyDescent="0.25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25">
      <c r="A845" s="2"/>
      <c r="B845" s="2"/>
      <c r="C845" s="2"/>
      <c r="D845" s="2"/>
      <c r="E845" s="2"/>
      <c r="F845" s="2"/>
      <c r="G845" s="2"/>
      <c r="H845" s="2"/>
      <c r="I845" s="2"/>
    </row>
    <row r="846" spans="1:9" x14ac:dyDescent="0.25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25">
      <c r="A847" s="2"/>
      <c r="B847" s="2"/>
      <c r="C847" s="2"/>
      <c r="D847" s="2"/>
      <c r="E847" s="2"/>
      <c r="F847" s="2"/>
      <c r="G847" s="2"/>
      <c r="H847" s="2"/>
      <c r="I847" s="2"/>
    </row>
    <row r="848" spans="1:9" x14ac:dyDescent="0.25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25">
      <c r="A849" s="2"/>
      <c r="B849" s="2"/>
      <c r="C849" s="2"/>
      <c r="D849" s="2"/>
      <c r="E849" s="2"/>
      <c r="F849" s="2"/>
      <c r="G849" s="2"/>
      <c r="H849" s="2"/>
      <c r="I849" s="2"/>
    </row>
    <row r="850" spans="1:9" x14ac:dyDescent="0.25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25">
      <c r="A851" s="2"/>
      <c r="B851" s="2"/>
      <c r="C851" s="2"/>
      <c r="D851" s="2"/>
      <c r="E851" s="2"/>
      <c r="F851" s="2"/>
      <c r="G851" s="2"/>
      <c r="H851" s="2"/>
      <c r="I851" s="2"/>
    </row>
    <row r="852" spans="1:9" x14ac:dyDescent="0.25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25">
      <c r="A853" s="2"/>
      <c r="B853" s="2"/>
      <c r="C853" s="2"/>
      <c r="D853" s="2"/>
      <c r="E853" s="2"/>
      <c r="F853" s="2"/>
      <c r="G853" s="2"/>
      <c r="H853" s="2"/>
      <c r="I853" s="2"/>
    </row>
    <row r="854" spans="1:9" x14ac:dyDescent="0.25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25">
      <c r="A855" s="2"/>
      <c r="B855" s="2"/>
      <c r="C855" s="2"/>
      <c r="D855" s="2"/>
      <c r="E855" s="2"/>
      <c r="F855" s="2"/>
      <c r="G855" s="2"/>
      <c r="H855" s="2"/>
      <c r="I855" s="2"/>
    </row>
    <row r="856" spans="1:9" x14ac:dyDescent="0.25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25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25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25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25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25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25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25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25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25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25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25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25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25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25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25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25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25">
      <c r="A873" s="2"/>
      <c r="B873" s="2"/>
      <c r="C873" s="2"/>
      <c r="D873" s="2"/>
      <c r="E873" s="2"/>
      <c r="F873" s="2"/>
      <c r="G873" s="2"/>
      <c r="H873" s="2"/>
      <c r="I873" s="2"/>
    </row>
    <row r="874" spans="1:9" x14ac:dyDescent="0.25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25">
      <c r="A875" s="2"/>
      <c r="B875" s="2"/>
      <c r="C875" s="2"/>
      <c r="D875" s="2"/>
      <c r="E875" s="2"/>
      <c r="F875" s="2"/>
      <c r="G875" s="2"/>
      <c r="H875" s="2"/>
      <c r="I875" s="2"/>
    </row>
    <row r="876" spans="1:9" x14ac:dyDescent="0.25">
      <c r="A876" s="2"/>
      <c r="B876" s="2"/>
      <c r="C876" s="2"/>
      <c r="D876" s="2"/>
      <c r="E876" s="2"/>
      <c r="F876" s="2"/>
      <c r="G876" s="2"/>
      <c r="H876" s="2"/>
      <c r="I876" s="2"/>
    </row>
    <row r="877" spans="1:9" x14ac:dyDescent="0.25">
      <c r="A877" s="2"/>
      <c r="B877" s="2"/>
      <c r="C877" s="2"/>
      <c r="D877" s="2"/>
      <c r="E877" s="2"/>
      <c r="F877" s="2"/>
      <c r="G877" s="2"/>
      <c r="H877" s="2"/>
      <c r="I877" s="2"/>
    </row>
    <row r="878" spans="1:9" x14ac:dyDescent="0.25">
      <c r="A878" s="2"/>
      <c r="B878" s="2"/>
      <c r="C878" s="2"/>
      <c r="D878" s="2"/>
      <c r="E878" s="2"/>
      <c r="F878" s="2"/>
      <c r="G878" s="2"/>
      <c r="H878" s="2"/>
      <c r="I878" s="2"/>
    </row>
    <row r="879" spans="1:9" x14ac:dyDescent="0.25">
      <c r="A879" s="2"/>
      <c r="B879" s="2"/>
      <c r="C879" s="2"/>
      <c r="D879" s="2"/>
      <c r="E879" s="2"/>
      <c r="F879" s="2"/>
      <c r="G879" s="2"/>
      <c r="H879" s="2"/>
      <c r="I879" s="2"/>
    </row>
    <row r="880" spans="1:9" x14ac:dyDescent="0.25">
      <c r="A880" s="2"/>
      <c r="B880" s="2"/>
      <c r="C880" s="2"/>
      <c r="D880" s="2"/>
      <c r="E880" s="2"/>
      <c r="F880" s="2"/>
      <c r="G880" s="2"/>
      <c r="H880" s="2"/>
      <c r="I880" s="2"/>
    </row>
    <row r="881" spans="1:9" x14ac:dyDescent="0.25">
      <c r="A881" s="2"/>
      <c r="B881" s="2"/>
      <c r="C881" s="2"/>
      <c r="D881" s="2"/>
      <c r="E881" s="2"/>
      <c r="F881" s="2"/>
      <c r="G881" s="2"/>
      <c r="H881" s="2"/>
      <c r="I881" s="2"/>
    </row>
    <row r="882" spans="1:9" x14ac:dyDescent="0.25">
      <c r="A882" s="2"/>
      <c r="B882" s="2"/>
      <c r="C882" s="2"/>
      <c r="D882" s="2"/>
      <c r="E882" s="2"/>
      <c r="F882" s="2"/>
      <c r="G882" s="2"/>
      <c r="H882" s="2"/>
      <c r="I882" s="2"/>
    </row>
    <row r="883" spans="1:9" x14ac:dyDescent="0.25">
      <c r="A883" s="2"/>
      <c r="B883" s="2"/>
      <c r="C883" s="2"/>
      <c r="D883" s="2"/>
      <c r="E883" s="2"/>
      <c r="F883" s="2"/>
      <c r="G883" s="2"/>
      <c r="H883" s="2"/>
      <c r="I883" s="2"/>
    </row>
    <row r="884" spans="1:9" x14ac:dyDescent="0.25">
      <c r="A884" s="2"/>
      <c r="B884" s="2"/>
      <c r="C884" s="2"/>
      <c r="D884" s="2"/>
      <c r="E884" s="2"/>
      <c r="F884" s="2"/>
      <c r="G884" s="2"/>
      <c r="H884" s="2"/>
      <c r="I884" s="2"/>
    </row>
    <row r="885" spans="1:9" x14ac:dyDescent="0.25">
      <c r="A885" s="2"/>
      <c r="B885" s="2"/>
      <c r="C885" s="2"/>
      <c r="D885" s="2"/>
      <c r="E885" s="2"/>
      <c r="F885" s="2"/>
      <c r="G885" s="2"/>
      <c r="H885" s="2"/>
      <c r="I885" s="2"/>
    </row>
    <row r="886" spans="1:9" x14ac:dyDescent="0.25">
      <c r="A886" s="2"/>
      <c r="B886" s="2"/>
      <c r="C886" s="2"/>
      <c r="D886" s="2"/>
      <c r="E886" s="2"/>
      <c r="F886" s="2"/>
      <c r="G886" s="2"/>
      <c r="H886" s="2"/>
      <c r="I886" s="2"/>
    </row>
    <row r="887" spans="1:9" x14ac:dyDescent="0.25">
      <c r="A887" s="2"/>
      <c r="B887" s="2"/>
      <c r="C887" s="2"/>
      <c r="D887" s="2"/>
      <c r="E887" s="2"/>
      <c r="F887" s="2"/>
      <c r="G887" s="2"/>
      <c r="H887" s="2"/>
      <c r="I887" s="2"/>
    </row>
    <row r="888" spans="1:9" x14ac:dyDescent="0.25">
      <c r="A888" s="2"/>
      <c r="B888" s="2"/>
      <c r="C888" s="2"/>
      <c r="D888" s="2"/>
      <c r="E888" s="2"/>
      <c r="F888" s="2"/>
      <c r="G888" s="2"/>
      <c r="H888" s="2"/>
      <c r="I888" s="2"/>
    </row>
    <row r="889" spans="1:9" x14ac:dyDescent="0.25">
      <c r="A889" s="2"/>
      <c r="B889" s="2"/>
      <c r="C889" s="2"/>
      <c r="D889" s="2"/>
      <c r="E889" s="2"/>
      <c r="F889" s="2"/>
      <c r="G889" s="2"/>
      <c r="H889" s="2"/>
      <c r="I889" s="2"/>
    </row>
    <row r="890" spans="1:9" x14ac:dyDescent="0.25">
      <c r="A890" s="2"/>
      <c r="B890" s="2"/>
      <c r="C890" s="2"/>
      <c r="D890" s="2"/>
      <c r="E890" s="2"/>
      <c r="F890" s="2"/>
      <c r="G890" s="2"/>
      <c r="H890" s="2"/>
      <c r="I890" s="2"/>
    </row>
    <row r="891" spans="1:9" x14ac:dyDescent="0.25">
      <c r="A891" s="2"/>
      <c r="B891" s="2"/>
      <c r="C891" s="2"/>
      <c r="D891" s="2"/>
      <c r="E891" s="2"/>
      <c r="F891" s="2"/>
      <c r="G891" s="2"/>
      <c r="H891" s="2"/>
      <c r="I891" s="2"/>
    </row>
    <row r="892" spans="1:9" x14ac:dyDescent="0.25">
      <c r="A892" s="2"/>
      <c r="B892" s="2"/>
      <c r="C892" s="2"/>
      <c r="D892" s="2"/>
      <c r="E892" s="2"/>
      <c r="F892" s="2"/>
      <c r="G892" s="2"/>
      <c r="H892" s="2"/>
      <c r="I892" s="2"/>
    </row>
    <row r="893" spans="1:9" x14ac:dyDescent="0.25">
      <c r="A893" s="2"/>
      <c r="B893" s="2"/>
      <c r="C893" s="2"/>
      <c r="D893" s="2"/>
      <c r="E893" s="2"/>
      <c r="F893" s="2"/>
      <c r="G893" s="2"/>
      <c r="H893" s="2"/>
      <c r="I893" s="2"/>
    </row>
    <row r="894" spans="1:9" x14ac:dyDescent="0.25">
      <c r="A894" s="2"/>
      <c r="B894" s="2"/>
      <c r="C894" s="2"/>
      <c r="D894" s="2"/>
      <c r="E894" s="2"/>
      <c r="F894" s="2"/>
      <c r="G894" s="2"/>
      <c r="H894" s="2"/>
      <c r="I894" s="2"/>
    </row>
    <row r="895" spans="1:9" x14ac:dyDescent="0.25">
      <c r="A895" s="2"/>
      <c r="B895" s="2"/>
      <c r="C895" s="2"/>
      <c r="D895" s="2"/>
      <c r="E895" s="2"/>
      <c r="F895" s="2"/>
      <c r="G895" s="2"/>
      <c r="H895" s="2"/>
      <c r="I895" s="2"/>
    </row>
    <row r="896" spans="1:9" x14ac:dyDescent="0.25">
      <c r="A896" s="2"/>
      <c r="B896" s="2"/>
      <c r="C896" s="2"/>
      <c r="D896" s="2"/>
      <c r="E896" s="2"/>
      <c r="F896" s="2"/>
      <c r="G896" s="2"/>
      <c r="H896" s="2"/>
      <c r="I896" s="2"/>
    </row>
    <row r="897" spans="1:9" x14ac:dyDescent="0.25">
      <c r="A897" s="2"/>
      <c r="B897" s="2"/>
      <c r="C897" s="2"/>
      <c r="D897" s="2"/>
      <c r="E897" s="2"/>
      <c r="F897" s="2"/>
      <c r="G897" s="2"/>
      <c r="H897" s="2"/>
      <c r="I897" s="2"/>
    </row>
    <row r="898" spans="1:9" x14ac:dyDescent="0.25">
      <c r="A898" s="2"/>
      <c r="B898" s="2"/>
      <c r="C898" s="2"/>
      <c r="D898" s="2"/>
      <c r="E898" s="2"/>
      <c r="F898" s="2"/>
      <c r="G898" s="2"/>
      <c r="H898" s="2"/>
      <c r="I898" s="2"/>
    </row>
    <row r="899" spans="1:9" x14ac:dyDescent="0.25">
      <c r="A899" s="2"/>
      <c r="B899" s="2"/>
      <c r="C899" s="2"/>
      <c r="D899" s="2"/>
      <c r="E899" s="2"/>
      <c r="F899" s="2"/>
      <c r="G899" s="2"/>
      <c r="H899" s="2"/>
      <c r="I899" s="2"/>
    </row>
    <row r="900" spans="1:9" x14ac:dyDescent="0.25">
      <c r="A900" s="2"/>
      <c r="B900" s="2"/>
      <c r="C900" s="2"/>
      <c r="D900" s="2"/>
      <c r="E900" s="2"/>
      <c r="F900" s="2"/>
      <c r="G900" s="2"/>
      <c r="H900" s="2"/>
      <c r="I900" s="2"/>
    </row>
    <row r="901" spans="1:9" x14ac:dyDescent="0.25">
      <c r="A901" s="2"/>
      <c r="B901" s="2"/>
      <c r="C901" s="2"/>
      <c r="D901" s="2"/>
      <c r="E901" s="2"/>
      <c r="F901" s="2"/>
      <c r="G901" s="2"/>
      <c r="H901" s="2"/>
      <c r="I901" s="2"/>
    </row>
    <row r="902" spans="1:9" x14ac:dyDescent="0.25">
      <c r="A902" s="2"/>
      <c r="B902" s="2"/>
      <c r="C902" s="2"/>
      <c r="D902" s="2"/>
      <c r="E902" s="2"/>
      <c r="F902" s="2"/>
      <c r="G902" s="2"/>
      <c r="H902" s="2"/>
      <c r="I902" s="2"/>
    </row>
    <row r="903" spans="1:9" x14ac:dyDescent="0.25">
      <c r="A903" s="2"/>
      <c r="B903" s="2"/>
      <c r="C903" s="2"/>
      <c r="D903" s="2"/>
      <c r="E903" s="2"/>
      <c r="F903" s="2"/>
      <c r="G903" s="2"/>
      <c r="H903" s="2"/>
      <c r="I903" s="2"/>
    </row>
    <row r="904" spans="1:9" x14ac:dyDescent="0.25">
      <c r="A904" s="2"/>
      <c r="B904" s="2"/>
      <c r="C904" s="2"/>
      <c r="D904" s="2"/>
      <c r="E904" s="2"/>
      <c r="F904" s="2"/>
      <c r="G904" s="2"/>
      <c r="H904" s="2"/>
      <c r="I904" s="2"/>
    </row>
    <row r="905" spans="1:9" x14ac:dyDescent="0.25">
      <c r="A905" s="2"/>
      <c r="B905" s="2"/>
      <c r="C905" s="2"/>
      <c r="D905" s="2"/>
      <c r="E905" s="2"/>
      <c r="F905" s="2"/>
      <c r="G905" s="2"/>
      <c r="H905" s="2"/>
      <c r="I905" s="2"/>
    </row>
    <row r="906" spans="1:9" x14ac:dyDescent="0.25">
      <c r="A906" s="2"/>
      <c r="B906" s="2"/>
      <c r="C906" s="2"/>
      <c r="D906" s="2"/>
      <c r="E906" s="2"/>
      <c r="F906" s="2"/>
      <c r="G906" s="2"/>
      <c r="H906" s="2"/>
      <c r="I906" s="2"/>
    </row>
    <row r="907" spans="1:9" x14ac:dyDescent="0.25">
      <c r="A907" s="2"/>
      <c r="B907" s="2"/>
      <c r="C907" s="2"/>
      <c r="D907" s="2"/>
      <c r="E907" s="2"/>
      <c r="F907" s="2"/>
      <c r="G907" s="2"/>
      <c r="H907" s="2"/>
      <c r="I907" s="2"/>
    </row>
    <row r="908" spans="1:9" x14ac:dyDescent="0.25">
      <c r="A908" s="2"/>
      <c r="B908" s="2"/>
      <c r="C908" s="2"/>
      <c r="D908" s="2"/>
      <c r="E908" s="2"/>
      <c r="F908" s="2"/>
      <c r="G908" s="2"/>
      <c r="H908" s="2"/>
      <c r="I908" s="2"/>
    </row>
    <row r="909" spans="1:9" x14ac:dyDescent="0.25">
      <c r="A909" s="2"/>
      <c r="B909" s="2"/>
      <c r="C909" s="2"/>
      <c r="D909" s="2"/>
      <c r="E909" s="2"/>
      <c r="F909" s="2"/>
      <c r="G909" s="2"/>
      <c r="H909" s="2"/>
      <c r="I909" s="2"/>
    </row>
    <row r="910" spans="1:9" x14ac:dyDescent="0.25">
      <c r="A910" s="2"/>
      <c r="B910" s="2"/>
      <c r="C910" s="2"/>
      <c r="D910" s="2"/>
      <c r="E910" s="2"/>
      <c r="F910" s="2"/>
      <c r="G910" s="2"/>
      <c r="H910" s="2"/>
      <c r="I910" s="2"/>
    </row>
    <row r="911" spans="1:9" x14ac:dyDescent="0.25">
      <c r="A911" s="2"/>
      <c r="B911" s="2"/>
      <c r="C911" s="2"/>
      <c r="D911" s="2"/>
      <c r="E911" s="2"/>
      <c r="F911" s="2"/>
      <c r="G911" s="2"/>
      <c r="H911" s="2"/>
      <c r="I911" s="2"/>
    </row>
    <row r="912" spans="1:9" x14ac:dyDescent="0.25">
      <c r="A912" s="2"/>
      <c r="B912" s="2"/>
      <c r="C912" s="2"/>
      <c r="D912" s="2"/>
      <c r="E912" s="2"/>
      <c r="F912" s="2"/>
      <c r="G912" s="2"/>
      <c r="H912" s="2"/>
      <c r="I912" s="2"/>
    </row>
    <row r="913" spans="1:9" x14ac:dyDescent="0.25">
      <c r="A913" s="2"/>
      <c r="B913" s="2"/>
      <c r="C913" s="2"/>
      <c r="D913" s="2"/>
      <c r="E913" s="2"/>
      <c r="F913" s="2"/>
      <c r="G913" s="2"/>
      <c r="H913" s="2"/>
      <c r="I913" s="2"/>
    </row>
    <row r="914" spans="1:9" x14ac:dyDescent="0.25">
      <c r="A914" s="2"/>
      <c r="B914" s="2"/>
      <c r="C914" s="2"/>
      <c r="D914" s="2"/>
      <c r="E914" s="2"/>
      <c r="F914" s="2"/>
      <c r="G914" s="2"/>
      <c r="H914" s="2"/>
      <c r="I914" s="2"/>
    </row>
    <row r="915" spans="1:9" x14ac:dyDescent="0.25">
      <c r="A915" s="2"/>
      <c r="B915" s="2"/>
      <c r="C915" s="2"/>
      <c r="D915" s="2"/>
      <c r="E915" s="2"/>
      <c r="F915" s="2"/>
      <c r="G915" s="2"/>
      <c r="H915" s="2"/>
      <c r="I915" s="2"/>
    </row>
    <row r="916" spans="1:9" x14ac:dyDescent="0.25">
      <c r="A916" s="2"/>
      <c r="B916" s="2"/>
      <c r="C916" s="2"/>
      <c r="D916" s="2"/>
      <c r="E916" s="2"/>
      <c r="F916" s="2"/>
      <c r="G916" s="2"/>
      <c r="H916" s="2"/>
      <c r="I916" s="2"/>
    </row>
    <row r="917" spans="1:9" x14ac:dyDescent="0.25">
      <c r="A917" s="2"/>
      <c r="B917" s="2"/>
      <c r="C917" s="2"/>
      <c r="D917" s="2"/>
      <c r="E917" s="2"/>
      <c r="F917" s="2"/>
      <c r="G917" s="2"/>
      <c r="H917" s="2"/>
      <c r="I917" s="2"/>
    </row>
    <row r="918" spans="1:9" x14ac:dyDescent="0.25">
      <c r="A918" s="2"/>
      <c r="B918" s="2"/>
      <c r="C918" s="2"/>
      <c r="D918" s="2"/>
      <c r="E918" s="2"/>
      <c r="F918" s="2"/>
      <c r="G918" s="2"/>
      <c r="H918" s="2"/>
      <c r="I918" s="2"/>
    </row>
    <row r="919" spans="1:9" x14ac:dyDescent="0.25">
      <c r="A919" s="2"/>
      <c r="B919" s="2"/>
      <c r="C919" s="2"/>
      <c r="D919" s="2"/>
      <c r="E919" s="2"/>
      <c r="F919" s="2"/>
      <c r="G919" s="2"/>
      <c r="H919" s="2"/>
      <c r="I919" s="2"/>
    </row>
    <row r="920" spans="1:9" x14ac:dyDescent="0.25">
      <c r="A920" s="2"/>
      <c r="B920" s="2"/>
      <c r="C920" s="2"/>
      <c r="D920" s="2"/>
      <c r="E920" s="2"/>
      <c r="F920" s="2"/>
      <c r="G920" s="2"/>
      <c r="H920" s="2"/>
      <c r="I920" s="2"/>
    </row>
    <row r="921" spans="1:9" x14ac:dyDescent="0.25">
      <c r="A921" s="2"/>
      <c r="B921" s="2"/>
      <c r="C921" s="2"/>
      <c r="D921" s="2"/>
      <c r="E921" s="2"/>
      <c r="F921" s="2"/>
      <c r="G921" s="2"/>
      <c r="H921" s="2"/>
      <c r="I921" s="2"/>
    </row>
    <row r="922" spans="1:9" x14ac:dyDescent="0.25">
      <c r="A922" s="2"/>
      <c r="B922" s="2"/>
      <c r="C922" s="2"/>
      <c r="D922" s="2"/>
      <c r="E922" s="2"/>
      <c r="F922" s="2"/>
      <c r="G922" s="2"/>
      <c r="H922" s="2"/>
      <c r="I922" s="2"/>
    </row>
    <row r="923" spans="1:9" x14ac:dyDescent="0.25">
      <c r="A923" s="2"/>
      <c r="B923" s="2"/>
      <c r="C923" s="2"/>
      <c r="D923" s="2"/>
      <c r="E923" s="2"/>
      <c r="F923" s="2"/>
      <c r="G923" s="2"/>
      <c r="H923" s="2"/>
      <c r="I923" s="2"/>
    </row>
    <row r="924" spans="1:9" x14ac:dyDescent="0.25">
      <c r="A924" s="2"/>
      <c r="B924" s="2"/>
      <c r="C924" s="2"/>
      <c r="D924" s="2"/>
      <c r="E924" s="2"/>
      <c r="F924" s="2"/>
      <c r="G924" s="2"/>
      <c r="H924" s="2"/>
      <c r="I924" s="2"/>
    </row>
    <row r="925" spans="1:9" x14ac:dyDescent="0.25">
      <c r="A925" s="2"/>
      <c r="B925" s="2"/>
      <c r="C925" s="2"/>
      <c r="D925" s="2"/>
      <c r="E925" s="2"/>
      <c r="F925" s="2"/>
      <c r="G925" s="2"/>
      <c r="H925" s="2"/>
      <c r="I925" s="2"/>
    </row>
    <row r="926" spans="1:9" x14ac:dyDescent="0.25">
      <c r="A926" s="2"/>
      <c r="B926" s="2"/>
      <c r="C926" s="2"/>
      <c r="D926" s="2"/>
      <c r="E926" s="2"/>
      <c r="F926" s="2"/>
      <c r="G926" s="2"/>
      <c r="H926" s="2"/>
      <c r="I926" s="2"/>
    </row>
    <row r="927" spans="1:9" x14ac:dyDescent="0.25">
      <c r="A927" s="2"/>
      <c r="B927" s="2"/>
      <c r="C927" s="2"/>
      <c r="D927" s="2"/>
      <c r="E927" s="2"/>
      <c r="F927" s="2"/>
      <c r="G927" s="2"/>
      <c r="H927" s="2"/>
      <c r="I927" s="2"/>
    </row>
    <row r="928" spans="1:9" x14ac:dyDescent="0.25">
      <c r="A928" s="2"/>
      <c r="B928" s="2"/>
      <c r="C928" s="2"/>
      <c r="D928" s="2"/>
      <c r="E928" s="2"/>
      <c r="F928" s="2"/>
      <c r="G928" s="2"/>
      <c r="H928" s="2"/>
      <c r="I928" s="2"/>
    </row>
    <row r="929" spans="1:9" x14ac:dyDescent="0.25">
      <c r="A929" s="2"/>
      <c r="B929" s="2"/>
      <c r="C929" s="2"/>
      <c r="D929" s="2"/>
      <c r="E929" s="2"/>
      <c r="F929" s="2"/>
      <c r="G929" s="2"/>
      <c r="H929" s="2"/>
      <c r="I929" s="2"/>
    </row>
    <row r="930" spans="1:9" x14ac:dyDescent="0.25">
      <c r="A930" s="2"/>
      <c r="B930" s="2"/>
      <c r="C930" s="2"/>
      <c r="D930" s="2"/>
      <c r="E930" s="2"/>
      <c r="F930" s="2"/>
      <c r="G930" s="2"/>
      <c r="H930" s="2"/>
      <c r="I930" s="2"/>
    </row>
    <row r="931" spans="1:9" x14ac:dyDescent="0.25">
      <c r="A931" s="2"/>
      <c r="B931" s="2"/>
      <c r="C931" s="2"/>
      <c r="D931" s="2"/>
      <c r="E931" s="2"/>
      <c r="F931" s="2"/>
      <c r="G931" s="2"/>
      <c r="H931" s="2"/>
      <c r="I931" s="2"/>
    </row>
    <row r="932" spans="1:9" x14ac:dyDescent="0.25">
      <c r="A932" s="2"/>
      <c r="B932" s="2"/>
      <c r="C932" s="2"/>
      <c r="D932" s="2"/>
      <c r="E932" s="2"/>
      <c r="F932" s="2"/>
      <c r="G932" s="2"/>
      <c r="H932" s="2"/>
      <c r="I932" s="2"/>
    </row>
    <row r="933" spans="1:9" x14ac:dyDescent="0.25">
      <c r="A933" s="2"/>
      <c r="B933" s="2"/>
      <c r="C933" s="2"/>
      <c r="D933" s="2"/>
      <c r="E933" s="2"/>
      <c r="F933" s="2"/>
      <c r="G933" s="2"/>
      <c r="H933" s="2"/>
      <c r="I933" s="2"/>
    </row>
    <row r="934" spans="1:9" x14ac:dyDescent="0.25">
      <c r="A934" s="2"/>
      <c r="B934" s="2"/>
      <c r="C934" s="2"/>
      <c r="D934" s="2"/>
      <c r="E934" s="2"/>
      <c r="F934" s="2"/>
      <c r="G934" s="2"/>
      <c r="H934" s="2"/>
      <c r="I934" s="2"/>
    </row>
    <row r="935" spans="1:9" x14ac:dyDescent="0.25">
      <c r="A935" s="2"/>
      <c r="B935" s="2"/>
      <c r="C935" s="2"/>
      <c r="D935" s="2"/>
      <c r="E935" s="2"/>
      <c r="F935" s="2"/>
      <c r="G935" s="2"/>
      <c r="H935" s="2"/>
      <c r="I935" s="2"/>
    </row>
    <row r="936" spans="1:9" x14ac:dyDescent="0.25">
      <c r="A936" s="2"/>
      <c r="B936" s="2"/>
      <c r="C936" s="2"/>
      <c r="D936" s="2"/>
      <c r="E936" s="2"/>
      <c r="F936" s="2"/>
      <c r="G936" s="2"/>
      <c r="H936" s="2"/>
      <c r="I936" s="2"/>
    </row>
    <row r="937" spans="1:9" x14ac:dyDescent="0.25">
      <c r="A937" s="2"/>
      <c r="B937" s="2"/>
      <c r="C937" s="2"/>
      <c r="D937" s="2"/>
      <c r="E937" s="2"/>
      <c r="F937" s="2"/>
      <c r="G937" s="2"/>
      <c r="H937" s="2"/>
      <c r="I937" s="2"/>
    </row>
    <row r="938" spans="1:9" x14ac:dyDescent="0.25">
      <c r="A938" s="2"/>
      <c r="B938" s="2"/>
      <c r="C938" s="2"/>
      <c r="D938" s="2"/>
      <c r="E938" s="2"/>
      <c r="F938" s="2"/>
      <c r="G938" s="2"/>
      <c r="H938" s="2"/>
      <c r="I938" s="2"/>
    </row>
    <row r="939" spans="1:9" x14ac:dyDescent="0.25">
      <c r="A939" s="2"/>
      <c r="B939" s="2"/>
      <c r="C939" s="2"/>
      <c r="D939" s="2"/>
      <c r="E939" s="2"/>
      <c r="F939" s="2"/>
      <c r="G939" s="2"/>
      <c r="H939" s="2"/>
      <c r="I939" s="2"/>
    </row>
    <row r="940" spans="1:9" x14ac:dyDescent="0.25">
      <c r="A940" s="2"/>
      <c r="B940" s="2"/>
      <c r="C940" s="2"/>
      <c r="D940" s="2"/>
      <c r="E940" s="2"/>
      <c r="F940" s="2"/>
      <c r="G940" s="2"/>
      <c r="H940" s="2"/>
      <c r="I940" s="2"/>
    </row>
    <row r="941" spans="1:9" x14ac:dyDescent="0.25">
      <c r="A941" s="2"/>
      <c r="B941" s="2"/>
      <c r="C941" s="2"/>
      <c r="D941" s="2"/>
      <c r="E941" s="2"/>
      <c r="F941" s="2"/>
      <c r="G941" s="2"/>
      <c r="H941" s="2"/>
      <c r="I941" s="2"/>
    </row>
    <row r="942" spans="1:9" x14ac:dyDescent="0.25">
      <c r="A942" s="2"/>
      <c r="B942" s="2"/>
      <c r="C942" s="2"/>
      <c r="D942" s="2"/>
      <c r="E942" s="2"/>
      <c r="F942" s="2"/>
      <c r="G942" s="2"/>
      <c r="H942" s="2"/>
      <c r="I942" s="2"/>
    </row>
    <row r="943" spans="1:9" x14ac:dyDescent="0.25">
      <c r="A943" s="2"/>
      <c r="B943" s="2"/>
      <c r="C943" s="2"/>
      <c r="D943" s="2"/>
      <c r="E943" s="2"/>
      <c r="F943" s="2"/>
      <c r="G943" s="2"/>
      <c r="H943" s="2"/>
      <c r="I943" s="2"/>
    </row>
    <row r="944" spans="1:9" x14ac:dyDescent="0.25">
      <c r="A944" s="2"/>
      <c r="B944" s="2"/>
      <c r="C944" s="2"/>
      <c r="D944" s="2"/>
      <c r="E944" s="2"/>
      <c r="F944" s="2"/>
      <c r="G944" s="2"/>
      <c r="H944" s="2"/>
      <c r="I944" s="2"/>
    </row>
    <row r="945" spans="1:9" x14ac:dyDescent="0.25">
      <c r="A945" s="2"/>
      <c r="B945" s="2"/>
      <c r="C945" s="2"/>
      <c r="D945" s="2"/>
      <c r="E945" s="2"/>
      <c r="F945" s="2"/>
      <c r="G945" s="2"/>
      <c r="H945" s="2"/>
      <c r="I945" s="2"/>
    </row>
    <row r="946" spans="1:9" x14ac:dyDescent="0.25">
      <c r="A946" s="2"/>
      <c r="B946" s="2"/>
      <c r="C946" s="2"/>
      <c r="D946" s="2"/>
      <c r="E946" s="2"/>
      <c r="F946" s="2"/>
      <c r="G946" s="2"/>
      <c r="H946" s="2"/>
      <c r="I946" s="2"/>
    </row>
    <row r="947" spans="1:9" x14ac:dyDescent="0.25">
      <c r="A947" s="2"/>
      <c r="B947" s="2"/>
      <c r="C947" s="2"/>
      <c r="D947" s="2"/>
      <c r="E947" s="2"/>
      <c r="F947" s="2"/>
      <c r="G947" s="2"/>
      <c r="H947" s="2"/>
      <c r="I947" s="2"/>
    </row>
    <row r="948" spans="1:9" x14ac:dyDescent="0.25">
      <c r="A948" s="2"/>
      <c r="B948" s="2"/>
      <c r="C948" s="2"/>
      <c r="D948" s="2"/>
      <c r="E948" s="2"/>
      <c r="F948" s="2"/>
      <c r="G948" s="2"/>
      <c r="H948" s="2"/>
      <c r="I948" s="2"/>
    </row>
    <row r="949" spans="1:9" x14ac:dyDescent="0.25">
      <c r="A949" s="2"/>
      <c r="B949" s="2"/>
      <c r="C949" s="2"/>
      <c r="D949" s="2"/>
      <c r="E949" s="2"/>
      <c r="F949" s="2"/>
      <c r="G949" s="2"/>
      <c r="H949" s="2"/>
      <c r="I949" s="2"/>
    </row>
    <row r="950" spans="1:9" x14ac:dyDescent="0.25">
      <c r="A950" s="2"/>
      <c r="B950" s="2"/>
      <c r="C950" s="2"/>
      <c r="D950" s="2"/>
      <c r="E950" s="2"/>
      <c r="F950" s="2"/>
      <c r="G950" s="2"/>
      <c r="H950" s="2"/>
      <c r="I950" s="2"/>
    </row>
    <row r="951" spans="1:9" x14ac:dyDescent="0.25">
      <c r="A951" s="2"/>
      <c r="B951" s="2"/>
      <c r="C951" s="2"/>
      <c r="D951" s="2"/>
      <c r="E951" s="2"/>
      <c r="F951" s="2"/>
      <c r="G951" s="2"/>
      <c r="H951" s="2"/>
      <c r="I951" s="2"/>
    </row>
    <row r="952" spans="1:9" x14ac:dyDescent="0.25">
      <c r="A952" s="2"/>
      <c r="B952" s="2"/>
      <c r="C952" s="2"/>
      <c r="D952" s="2"/>
      <c r="E952" s="2"/>
      <c r="F952" s="2"/>
      <c r="G952" s="2"/>
      <c r="H952" s="2"/>
      <c r="I952" s="2"/>
    </row>
    <row r="953" spans="1:9" x14ac:dyDescent="0.25">
      <c r="A953" s="2"/>
      <c r="B953" s="2"/>
      <c r="C953" s="2"/>
      <c r="D953" s="2"/>
      <c r="E953" s="2"/>
      <c r="F953" s="2"/>
      <c r="G953" s="2"/>
      <c r="H953" s="2"/>
      <c r="I953" s="2"/>
    </row>
    <row r="954" spans="1:9" x14ac:dyDescent="0.25">
      <c r="A954" s="2"/>
      <c r="B954" s="2"/>
      <c r="C954" s="2"/>
      <c r="D954" s="2"/>
      <c r="E954" s="2"/>
      <c r="F954" s="2"/>
      <c r="G954" s="2"/>
      <c r="H954" s="2"/>
      <c r="I954" s="2"/>
    </row>
    <row r="955" spans="1:9" x14ac:dyDescent="0.25">
      <c r="A955" s="2"/>
      <c r="B955" s="2"/>
      <c r="C955" s="2"/>
      <c r="D955" s="2"/>
      <c r="E955" s="2"/>
      <c r="F955" s="2"/>
      <c r="G955" s="2"/>
      <c r="H955" s="2"/>
      <c r="I955" s="2"/>
    </row>
    <row r="956" spans="1:9" x14ac:dyDescent="0.25">
      <c r="A956" s="2"/>
      <c r="B956" s="2"/>
      <c r="C956" s="2"/>
      <c r="D956" s="2"/>
      <c r="E956" s="2"/>
      <c r="F956" s="2"/>
      <c r="G956" s="2"/>
      <c r="H956" s="2"/>
      <c r="I956" s="2"/>
    </row>
    <row r="957" spans="1:9" x14ac:dyDescent="0.25">
      <c r="A957" s="2"/>
      <c r="B957" s="2"/>
      <c r="C957" s="2"/>
      <c r="D957" s="2"/>
      <c r="E957" s="2"/>
      <c r="F957" s="2"/>
      <c r="G957" s="2"/>
      <c r="H957" s="2"/>
      <c r="I957" s="2"/>
    </row>
    <row r="958" spans="1:9" x14ac:dyDescent="0.25">
      <c r="A958" s="2"/>
      <c r="B958" s="2"/>
      <c r="C958" s="2"/>
      <c r="D958" s="2"/>
      <c r="E958" s="2"/>
      <c r="F958" s="2"/>
      <c r="G958" s="2"/>
      <c r="H958" s="2"/>
      <c r="I958" s="2"/>
    </row>
    <row r="959" spans="1:9" x14ac:dyDescent="0.25">
      <c r="A959" s="2"/>
      <c r="B959" s="2"/>
      <c r="C959" s="2"/>
      <c r="D959" s="2"/>
      <c r="E959" s="2"/>
      <c r="F959" s="2"/>
      <c r="G959" s="2"/>
      <c r="H959" s="2"/>
      <c r="I959" s="2"/>
    </row>
    <row r="960" spans="1:9" x14ac:dyDescent="0.25">
      <c r="A960" s="2"/>
      <c r="B960" s="2"/>
      <c r="C960" s="2"/>
      <c r="D960" s="2"/>
      <c r="E960" s="2"/>
      <c r="F960" s="2"/>
      <c r="G960" s="2"/>
      <c r="H960" s="2"/>
      <c r="I960" s="2"/>
    </row>
    <row r="961" spans="1:9" x14ac:dyDescent="0.25">
      <c r="A961" s="2"/>
      <c r="B961" s="2"/>
      <c r="C961" s="2"/>
      <c r="D961" s="2"/>
      <c r="E961" s="2"/>
      <c r="F961" s="2"/>
      <c r="G961" s="2"/>
      <c r="H961" s="2"/>
      <c r="I961" s="2"/>
    </row>
    <row r="962" spans="1:9" x14ac:dyDescent="0.25">
      <c r="A962" s="2"/>
      <c r="B962" s="2"/>
      <c r="C962" s="2"/>
      <c r="D962" s="2"/>
      <c r="E962" s="2"/>
      <c r="F962" s="2"/>
      <c r="G962" s="2"/>
      <c r="H962" s="2"/>
      <c r="I962" s="2"/>
    </row>
    <row r="963" spans="1:9" x14ac:dyDescent="0.25">
      <c r="A963" s="2"/>
      <c r="B963" s="2"/>
      <c r="C963" s="2"/>
      <c r="D963" s="2"/>
      <c r="E963" s="2"/>
      <c r="F963" s="2"/>
      <c r="G963" s="2"/>
      <c r="H963" s="2"/>
      <c r="I963" s="2"/>
    </row>
    <row r="964" spans="1:9" x14ac:dyDescent="0.25">
      <c r="A964" s="2"/>
      <c r="B964" s="2"/>
      <c r="C964" s="2"/>
      <c r="D964" s="2"/>
      <c r="E964" s="2"/>
      <c r="F964" s="2"/>
      <c r="G964" s="2"/>
      <c r="H964" s="2"/>
      <c r="I964" s="2"/>
    </row>
    <row r="965" spans="1:9" x14ac:dyDescent="0.25">
      <c r="A965" s="2"/>
      <c r="B965" s="2"/>
      <c r="C965" s="2"/>
      <c r="D965" s="2"/>
      <c r="E965" s="2"/>
      <c r="F965" s="2"/>
      <c r="G965" s="2"/>
      <c r="H965" s="2"/>
      <c r="I965" s="2"/>
    </row>
    <row r="966" spans="1:9" x14ac:dyDescent="0.25">
      <c r="A966" s="2"/>
      <c r="B966" s="2"/>
      <c r="C966" s="2"/>
      <c r="D966" s="2"/>
      <c r="E966" s="2"/>
      <c r="F966" s="2"/>
      <c r="G966" s="2"/>
      <c r="H966" s="2"/>
      <c r="I966" s="2"/>
    </row>
    <row r="967" spans="1:9" x14ac:dyDescent="0.25">
      <c r="A967" s="2"/>
      <c r="B967" s="2"/>
      <c r="C967" s="2"/>
      <c r="D967" s="2"/>
      <c r="E967" s="2"/>
      <c r="F967" s="2"/>
      <c r="G967" s="2"/>
      <c r="H967" s="2"/>
      <c r="I967" s="2"/>
    </row>
    <row r="968" spans="1:9" x14ac:dyDescent="0.25">
      <c r="A968" s="2"/>
      <c r="B968" s="2"/>
      <c r="C968" s="2"/>
      <c r="D968" s="2"/>
      <c r="E968" s="2"/>
      <c r="F968" s="2"/>
      <c r="G968" s="2"/>
      <c r="H968" s="2"/>
      <c r="I968" s="2"/>
    </row>
    <row r="969" spans="1:9" x14ac:dyDescent="0.25">
      <c r="A969" s="2"/>
      <c r="B969" s="2"/>
      <c r="C969" s="2"/>
      <c r="D969" s="2"/>
      <c r="E969" s="2"/>
      <c r="F969" s="2"/>
      <c r="G969" s="2"/>
      <c r="H969" s="2"/>
      <c r="I969" s="2"/>
    </row>
    <row r="970" spans="1:9" x14ac:dyDescent="0.25">
      <c r="A970" s="2"/>
      <c r="B970" s="2"/>
      <c r="C970" s="2"/>
      <c r="D970" s="2"/>
      <c r="E970" s="2"/>
      <c r="F970" s="2"/>
      <c r="G970" s="2"/>
      <c r="H970" s="2"/>
      <c r="I970" s="2"/>
    </row>
    <row r="971" spans="1:9" x14ac:dyDescent="0.25">
      <c r="A971" s="2"/>
      <c r="B971" s="2"/>
      <c r="C971" s="2"/>
      <c r="D971" s="2"/>
      <c r="E971" s="2"/>
      <c r="F971" s="2"/>
      <c r="G971" s="2"/>
      <c r="H971" s="2"/>
      <c r="I971" s="2"/>
    </row>
    <row r="972" spans="1:9" x14ac:dyDescent="0.25">
      <c r="A972" s="2"/>
      <c r="B972" s="2"/>
      <c r="C972" s="2"/>
      <c r="D972" s="2"/>
      <c r="E972" s="2"/>
      <c r="F972" s="2"/>
      <c r="G972" s="2"/>
      <c r="H972" s="2"/>
      <c r="I972" s="2"/>
    </row>
    <row r="973" spans="1:9" x14ac:dyDescent="0.25">
      <c r="A973" s="2"/>
      <c r="B973" s="2"/>
      <c r="C973" s="2"/>
      <c r="D973" s="2"/>
      <c r="E973" s="2"/>
      <c r="F973" s="2"/>
      <c r="G973" s="2"/>
      <c r="H973" s="2"/>
      <c r="I973" s="2"/>
    </row>
    <row r="974" spans="1:9" x14ac:dyDescent="0.25">
      <c r="A974" s="2"/>
      <c r="B974" s="2"/>
      <c r="C974" s="2"/>
      <c r="D974" s="2"/>
      <c r="E974" s="2"/>
      <c r="F974" s="2"/>
      <c r="G974" s="2"/>
      <c r="H974" s="2"/>
      <c r="I974" s="2"/>
    </row>
    <row r="975" spans="1:9" x14ac:dyDescent="0.25">
      <c r="A975" s="2"/>
      <c r="B975" s="2"/>
      <c r="C975" s="2"/>
      <c r="D975" s="2"/>
      <c r="E975" s="2"/>
      <c r="F975" s="2"/>
      <c r="G975" s="2"/>
      <c r="H975" s="2"/>
      <c r="I975" s="2"/>
    </row>
    <row r="976" spans="1:9" x14ac:dyDescent="0.25">
      <c r="A976" s="2"/>
      <c r="B976" s="2"/>
      <c r="C976" s="2"/>
      <c r="D976" s="2"/>
      <c r="E976" s="2"/>
      <c r="F976" s="2"/>
      <c r="G976" s="2"/>
      <c r="H976" s="2"/>
      <c r="I976" s="2"/>
    </row>
    <row r="977" spans="1:9" x14ac:dyDescent="0.25">
      <c r="A977" s="2"/>
      <c r="B977" s="2"/>
      <c r="C977" s="2"/>
      <c r="D977" s="2"/>
      <c r="E977" s="2"/>
      <c r="F977" s="2"/>
      <c r="G977" s="2"/>
      <c r="H977" s="2"/>
      <c r="I977" s="2"/>
    </row>
    <row r="978" spans="1:9" x14ac:dyDescent="0.25">
      <c r="A978" s="2"/>
      <c r="B978" s="2"/>
      <c r="C978" s="2"/>
      <c r="D978" s="2"/>
      <c r="E978" s="2"/>
      <c r="F978" s="2"/>
      <c r="G978" s="2"/>
      <c r="H978" s="2"/>
      <c r="I978" s="2"/>
    </row>
    <row r="979" spans="1:9" x14ac:dyDescent="0.25">
      <c r="A979" s="2"/>
      <c r="B979" s="2"/>
      <c r="C979" s="2"/>
      <c r="D979" s="2"/>
      <c r="E979" s="2"/>
      <c r="F979" s="2"/>
      <c r="G979" s="2"/>
      <c r="H979" s="2"/>
      <c r="I979" s="2"/>
    </row>
    <row r="980" spans="1:9" x14ac:dyDescent="0.25">
      <c r="A980" s="2"/>
      <c r="B980" s="2"/>
      <c r="C980" s="2"/>
      <c r="D980" s="2"/>
      <c r="E980" s="2"/>
      <c r="F980" s="2"/>
      <c r="G980" s="2"/>
      <c r="H980" s="2"/>
      <c r="I980" s="2"/>
    </row>
    <row r="981" spans="1:9" x14ac:dyDescent="0.25">
      <c r="A981" s="2"/>
      <c r="B981" s="2"/>
      <c r="C981" s="2"/>
      <c r="D981" s="2"/>
      <c r="E981" s="2"/>
      <c r="F981" s="2"/>
      <c r="G981" s="2"/>
      <c r="H981" s="2"/>
      <c r="I981" s="2"/>
    </row>
    <row r="982" spans="1:9" x14ac:dyDescent="0.25">
      <c r="A982" s="2"/>
      <c r="B982" s="2"/>
      <c r="C982" s="2"/>
      <c r="D982" s="2"/>
      <c r="E982" s="2"/>
      <c r="F982" s="2"/>
      <c r="G982" s="2"/>
      <c r="H982" s="2"/>
      <c r="I982" s="2"/>
    </row>
    <row r="983" spans="1:9" x14ac:dyDescent="0.25">
      <c r="A983" s="2"/>
      <c r="B983" s="2"/>
      <c r="C983" s="2"/>
      <c r="D983" s="2"/>
      <c r="E983" s="2"/>
      <c r="F983" s="2"/>
      <c r="G983" s="2"/>
      <c r="H983" s="2"/>
      <c r="I983" s="2"/>
    </row>
    <row r="984" spans="1:9" x14ac:dyDescent="0.25">
      <c r="A984" s="2"/>
      <c r="B984" s="2"/>
      <c r="C984" s="2"/>
      <c r="D984" s="2"/>
      <c r="E984" s="2"/>
      <c r="F984" s="2"/>
      <c r="G984" s="2"/>
      <c r="H984" s="2"/>
      <c r="I984" s="2"/>
    </row>
    <row r="985" spans="1:9" x14ac:dyDescent="0.25">
      <c r="A985" s="2"/>
      <c r="B985" s="2"/>
      <c r="C985" s="2"/>
      <c r="D985" s="2"/>
      <c r="E985" s="2"/>
      <c r="F985" s="2"/>
      <c r="G985" s="2"/>
      <c r="H985" s="2"/>
      <c r="I985" s="2"/>
    </row>
    <row r="986" spans="1:9" x14ac:dyDescent="0.25">
      <c r="A986" s="2"/>
      <c r="B986" s="2"/>
      <c r="C986" s="2"/>
      <c r="D986" s="2"/>
      <c r="E986" s="2"/>
      <c r="F986" s="2"/>
      <c r="G986" s="2"/>
      <c r="H986" s="2"/>
      <c r="I986" s="2"/>
    </row>
    <row r="987" spans="1:9" x14ac:dyDescent="0.25">
      <c r="A987" s="2"/>
      <c r="B987" s="2"/>
      <c r="C987" s="2"/>
      <c r="D987" s="2"/>
      <c r="E987" s="2"/>
      <c r="F987" s="2"/>
      <c r="G987" s="2"/>
      <c r="H987" s="2"/>
      <c r="I987" s="2"/>
    </row>
    <row r="988" spans="1:9" x14ac:dyDescent="0.25">
      <c r="A988" s="2"/>
      <c r="B988" s="2"/>
      <c r="C988" s="2"/>
      <c r="D988" s="2"/>
      <c r="E988" s="2"/>
      <c r="F988" s="2"/>
      <c r="G988" s="2"/>
      <c r="H988" s="2"/>
      <c r="I988" s="2"/>
    </row>
    <row r="989" spans="1:9" x14ac:dyDescent="0.25">
      <c r="A989" s="2"/>
      <c r="B989" s="2"/>
      <c r="C989" s="2"/>
      <c r="D989" s="2"/>
      <c r="E989" s="2"/>
      <c r="F989" s="2"/>
      <c r="G989" s="2"/>
      <c r="H989" s="2"/>
      <c r="I989" s="2"/>
    </row>
    <row r="990" spans="1:9" x14ac:dyDescent="0.25">
      <c r="A990" s="2"/>
      <c r="B990" s="2"/>
      <c r="C990" s="2"/>
      <c r="D990" s="2"/>
      <c r="E990" s="2"/>
      <c r="F990" s="2"/>
      <c r="G990" s="2"/>
      <c r="H990" s="2"/>
      <c r="I990" s="2"/>
    </row>
    <row r="991" spans="1:9" x14ac:dyDescent="0.25">
      <c r="A991" s="2"/>
      <c r="B991" s="2"/>
      <c r="C991" s="2"/>
      <c r="D991" s="2"/>
      <c r="E991" s="2"/>
      <c r="F991" s="2"/>
      <c r="G991" s="2"/>
      <c r="H991" s="2"/>
      <c r="I991" s="2"/>
    </row>
    <row r="992" spans="1:9" x14ac:dyDescent="0.25">
      <c r="A992" s="2"/>
      <c r="B992" s="2"/>
      <c r="C992" s="2"/>
      <c r="D992" s="2"/>
      <c r="E992" s="2"/>
      <c r="F992" s="2"/>
      <c r="G992" s="2"/>
      <c r="H992" s="2"/>
      <c r="I992" s="2"/>
    </row>
    <row r="993" spans="1:9" x14ac:dyDescent="0.25">
      <c r="A993" s="2"/>
      <c r="B993" s="2"/>
      <c r="C993" s="2"/>
      <c r="D993" s="2"/>
      <c r="E993" s="2"/>
      <c r="F993" s="2"/>
      <c r="G993" s="2"/>
      <c r="H993" s="2"/>
      <c r="I993" s="2"/>
    </row>
    <row r="994" spans="1:9" x14ac:dyDescent="0.25">
      <c r="A994" s="2"/>
      <c r="B994" s="2"/>
      <c r="C994" s="2"/>
      <c r="D994" s="2"/>
      <c r="E994" s="2"/>
      <c r="F994" s="2"/>
      <c r="G994" s="2"/>
      <c r="H994" s="2"/>
      <c r="I994" s="2"/>
    </row>
    <row r="995" spans="1:9" x14ac:dyDescent="0.25">
      <c r="A995" s="2"/>
      <c r="B995" s="2"/>
      <c r="C995" s="2"/>
      <c r="D995" s="2"/>
      <c r="E995" s="2"/>
      <c r="F995" s="2"/>
      <c r="G995" s="2"/>
      <c r="H995" s="2"/>
      <c r="I995" s="2"/>
    </row>
    <row r="996" spans="1:9" x14ac:dyDescent="0.25">
      <c r="A996" s="2"/>
      <c r="B996" s="2"/>
      <c r="C996" s="2"/>
      <c r="D996" s="2"/>
      <c r="E996" s="2"/>
      <c r="F996" s="2"/>
      <c r="G996" s="2"/>
      <c r="H996" s="2"/>
      <c r="I996" s="2"/>
    </row>
    <row r="997" spans="1:9" x14ac:dyDescent="0.25">
      <c r="A997" s="2"/>
      <c r="B997" s="2"/>
      <c r="C997" s="2"/>
      <c r="D997" s="2"/>
      <c r="E997" s="2"/>
      <c r="F997" s="2"/>
      <c r="G997" s="2"/>
      <c r="H997" s="2"/>
      <c r="I997" s="2"/>
    </row>
    <row r="998" spans="1:9" x14ac:dyDescent="0.25">
      <c r="A998" s="2"/>
      <c r="B998" s="2"/>
      <c r="C998" s="2"/>
      <c r="D998" s="2"/>
      <c r="E998" s="2"/>
      <c r="F998" s="2"/>
      <c r="G998" s="2"/>
      <c r="H998" s="2"/>
      <c r="I998" s="2"/>
    </row>
    <row r="999" spans="1:9" x14ac:dyDescent="0.25">
      <c r="A999" s="2"/>
      <c r="B999" s="2"/>
      <c r="C999" s="2"/>
      <c r="D999" s="2"/>
      <c r="E999" s="2"/>
      <c r="F999" s="2"/>
      <c r="G999" s="2"/>
      <c r="H999" s="2"/>
      <c r="I999" s="2"/>
    </row>
    <row r="1000" spans="1:9" x14ac:dyDescent="0.25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 x14ac:dyDescent="0.25">
      <c r="A1001" s="2"/>
      <c r="B1001" s="2"/>
      <c r="C1001" s="2"/>
      <c r="D1001" s="2"/>
      <c r="E1001" s="2"/>
      <c r="F1001" s="2"/>
      <c r="G1001" s="2"/>
      <c r="H1001" s="2"/>
      <c r="I1001" s="2"/>
    </row>
    <row r="1002" spans="1:9" x14ac:dyDescent="0.25">
      <c r="A1002" s="2"/>
      <c r="B1002" s="2"/>
      <c r="C1002" s="2"/>
      <c r="D1002" s="2"/>
      <c r="E1002" s="2"/>
      <c r="F1002" s="2"/>
      <c r="G1002" s="2"/>
      <c r="H1002" s="2"/>
      <c r="I1002" s="2"/>
    </row>
    <row r="1003" spans="1:9" x14ac:dyDescent="0.25">
      <c r="A1003" s="2"/>
      <c r="B1003" s="2"/>
      <c r="C1003" s="2"/>
      <c r="D1003" s="2"/>
      <c r="E1003" s="2"/>
      <c r="F1003" s="2"/>
      <c r="G1003" s="2"/>
      <c r="H1003" s="2"/>
      <c r="I1003" s="2"/>
    </row>
    <row r="1004" spans="1:9" x14ac:dyDescent="0.25">
      <c r="A1004" s="2"/>
      <c r="B1004" s="2"/>
      <c r="C1004" s="2"/>
      <c r="D1004" s="2"/>
      <c r="E1004" s="2"/>
      <c r="F1004" s="2"/>
      <c r="G1004" s="2"/>
      <c r="H1004" s="2"/>
      <c r="I1004" s="2"/>
    </row>
    <row r="1005" spans="1:9" x14ac:dyDescent="0.25">
      <c r="A1005" s="2"/>
      <c r="B1005" s="2"/>
      <c r="C1005" s="2"/>
      <c r="D1005" s="2"/>
      <c r="E1005" s="2"/>
      <c r="F1005" s="2"/>
      <c r="G1005" s="2"/>
      <c r="H1005" s="2"/>
      <c r="I1005" s="2"/>
    </row>
    <row r="1006" spans="1:9" x14ac:dyDescent="0.25">
      <c r="A1006" s="2"/>
      <c r="B1006" s="2"/>
      <c r="C1006" s="2"/>
      <c r="D1006" s="2"/>
      <c r="E1006" s="2"/>
      <c r="F1006" s="2"/>
      <c r="G1006" s="2"/>
      <c r="H1006" s="2"/>
      <c r="I1006" s="2"/>
    </row>
    <row r="1007" spans="1:9" x14ac:dyDescent="0.25">
      <c r="A1007" s="2"/>
      <c r="B1007" s="2"/>
      <c r="C1007" s="2"/>
      <c r="D1007" s="2"/>
      <c r="E1007" s="2"/>
      <c r="F1007" s="2"/>
      <c r="G1007" s="2"/>
      <c r="H1007" s="2"/>
      <c r="I1007" s="2"/>
    </row>
    <row r="1008" spans="1:9" x14ac:dyDescent="0.25">
      <c r="A1008" s="2"/>
      <c r="B1008" s="2"/>
      <c r="C1008" s="2"/>
      <c r="D1008" s="2"/>
      <c r="E1008" s="2"/>
      <c r="F1008" s="2"/>
      <c r="G1008" s="2"/>
      <c r="H1008" s="2"/>
      <c r="I1008" s="2"/>
    </row>
    <row r="1009" spans="1:9" x14ac:dyDescent="0.25">
      <c r="A1009" s="2"/>
      <c r="B1009" s="2"/>
      <c r="C1009" s="2"/>
      <c r="D1009" s="2"/>
      <c r="E1009" s="2"/>
      <c r="F1009" s="2"/>
      <c r="G1009" s="2"/>
      <c r="H1009" s="2"/>
      <c r="I1009" s="2"/>
    </row>
    <row r="1010" spans="1:9" x14ac:dyDescent="0.25">
      <c r="A1010" s="2"/>
      <c r="B1010" s="2"/>
      <c r="C1010" s="2"/>
      <c r="D1010" s="2"/>
      <c r="E1010" s="2"/>
      <c r="F1010" s="2"/>
      <c r="G1010" s="2"/>
      <c r="H1010" s="2"/>
      <c r="I1010" s="2"/>
    </row>
    <row r="1011" spans="1:9" x14ac:dyDescent="0.25">
      <c r="A1011" s="2"/>
      <c r="B1011" s="2"/>
      <c r="C1011" s="2"/>
      <c r="D1011" s="2"/>
      <c r="E1011" s="2"/>
      <c r="F1011" s="2"/>
      <c r="G1011" s="2"/>
      <c r="H1011" s="2"/>
      <c r="I1011" s="2"/>
    </row>
    <row r="1012" spans="1:9" x14ac:dyDescent="0.25">
      <c r="A1012" s="2"/>
      <c r="B1012" s="2"/>
      <c r="C1012" s="2"/>
      <c r="D1012" s="2"/>
      <c r="E1012" s="2"/>
      <c r="F1012" s="2"/>
      <c r="G1012" s="2"/>
      <c r="H1012" s="2"/>
      <c r="I1012" s="2"/>
    </row>
    <row r="1013" spans="1:9" x14ac:dyDescent="0.25">
      <c r="A1013" s="2"/>
      <c r="B1013" s="2"/>
      <c r="C1013" s="2"/>
      <c r="D1013" s="2"/>
      <c r="E1013" s="2"/>
      <c r="F1013" s="2"/>
      <c r="G1013" s="2"/>
      <c r="H1013" s="2"/>
      <c r="I1013" s="2"/>
    </row>
    <row r="1014" spans="1:9" x14ac:dyDescent="0.25">
      <c r="A1014" s="2"/>
      <c r="B1014" s="2"/>
      <c r="C1014" s="2"/>
      <c r="D1014" s="2"/>
      <c r="E1014" s="2"/>
      <c r="F1014" s="2"/>
      <c r="G1014" s="2"/>
      <c r="H1014" s="2"/>
      <c r="I1014" s="2"/>
    </row>
    <row r="1015" spans="1:9" x14ac:dyDescent="0.25">
      <c r="A1015" s="2"/>
      <c r="B1015" s="2"/>
      <c r="C1015" s="2"/>
      <c r="D1015" s="2"/>
      <c r="E1015" s="2"/>
      <c r="F1015" s="2"/>
      <c r="G1015" s="2"/>
      <c r="H1015" s="2"/>
      <c r="I1015" s="2"/>
    </row>
    <row r="1016" spans="1:9" x14ac:dyDescent="0.25">
      <c r="A1016" s="2"/>
      <c r="B1016" s="2"/>
      <c r="C1016" s="2"/>
      <c r="D1016" s="2"/>
      <c r="E1016" s="2"/>
      <c r="F1016" s="2"/>
      <c r="G1016" s="2"/>
      <c r="H1016" s="2"/>
      <c r="I1016" s="2"/>
    </row>
    <row r="1017" spans="1:9" x14ac:dyDescent="0.25">
      <c r="A1017" s="2"/>
      <c r="B1017" s="2"/>
      <c r="C1017" s="2"/>
      <c r="D1017" s="2"/>
      <c r="E1017" s="2"/>
      <c r="F1017" s="2"/>
      <c r="G1017" s="2"/>
      <c r="H1017" s="2"/>
      <c r="I1017" s="2"/>
    </row>
    <row r="1018" spans="1:9" x14ac:dyDescent="0.25">
      <c r="A1018" s="2"/>
      <c r="B1018" s="2"/>
      <c r="C1018" s="2"/>
      <c r="D1018" s="2"/>
      <c r="E1018" s="2"/>
      <c r="F1018" s="2"/>
      <c r="G1018" s="2"/>
      <c r="H1018" s="2"/>
      <c r="I1018" s="2"/>
    </row>
    <row r="1019" spans="1:9" x14ac:dyDescent="0.25">
      <c r="A1019" s="2"/>
      <c r="B1019" s="2"/>
      <c r="C1019" s="2"/>
      <c r="D1019" s="2"/>
      <c r="E1019" s="2"/>
      <c r="F1019" s="2"/>
      <c r="G1019" s="2"/>
      <c r="H1019" s="2"/>
      <c r="I1019" s="2"/>
    </row>
    <row r="1020" spans="1:9" x14ac:dyDescent="0.25">
      <c r="A1020" s="2"/>
      <c r="B1020" s="2"/>
      <c r="C1020" s="2"/>
      <c r="D1020" s="2"/>
      <c r="E1020" s="2"/>
      <c r="F1020" s="2"/>
      <c r="G1020" s="2"/>
      <c r="H1020" s="2"/>
      <c r="I1020" s="2"/>
    </row>
    <row r="1021" spans="1:9" x14ac:dyDescent="0.25">
      <c r="A1021" s="2"/>
      <c r="B1021" s="2"/>
      <c r="C1021" s="2"/>
      <c r="D1021" s="2"/>
      <c r="E1021" s="2"/>
      <c r="F1021" s="2"/>
      <c r="G1021" s="2"/>
      <c r="H1021" s="2"/>
      <c r="I1021" s="2"/>
    </row>
    <row r="1022" spans="1:9" x14ac:dyDescent="0.25">
      <c r="A1022" s="2"/>
      <c r="B1022" s="2"/>
      <c r="C1022" s="2"/>
      <c r="D1022" s="2"/>
      <c r="E1022" s="2"/>
      <c r="F1022" s="2"/>
      <c r="G1022" s="2"/>
      <c r="H1022" s="2"/>
      <c r="I1022" s="2"/>
    </row>
    <row r="1023" spans="1:9" x14ac:dyDescent="0.25">
      <c r="A1023" s="2"/>
      <c r="B1023" s="2"/>
      <c r="C1023" s="2"/>
      <c r="D1023" s="2"/>
      <c r="E1023" s="2"/>
      <c r="F1023" s="2"/>
      <c r="G1023" s="2"/>
      <c r="H1023" s="2"/>
      <c r="I1023" s="2"/>
    </row>
    <row r="1024" spans="1:9" x14ac:dyDescent="0.25">
      <c r="A1024" s="2"/>
      <c r="B1024" s="2"/>
      <c r="C1024" s="2"/>
      <c r="D1024" s="2"/>
      <c r="E1024" s="2"/>
      <c r="F1024" s="2"/>
      <c r="G1024" s="2"/>
      <c r="H1024" s="2"/>
      <c r="I1024" s="2"/>
    </row>
    <row r="1025" spans="1:9" x14ac:dyDescent="0.25">
      <c r="A1025" s="2"/>
      <c r="B1025" s="2"/>
      <c r="C1025" s="2"/>
      <c r="D1025" s="2"/>
      <c r="E1025" s="2"/>
      <c r="F1025" s="2"/>
      <c r="G1025" s="2"/>
      <c r="H1025" s="2"/>
      <c r="I1025" s="2"/>
    </row>
    <row r="1026" spans="1:9" x14ac:dyDescent="0.25">
      <c r="A1026" s="2"/>
      <c r="B1026" s="2"/>
      <c r="C1026" s="2"/>
      <c r="D1026" s="2"/>
      <c r="E1026" s="2"/>
      <c r="F1026" s="2"/>
      <c r="G1026" s="2"/>
      <c r="H1026" s="2"/>
      <c r="I1026" s="2"/>
    </row>
    <row r="1027" spans="1:9" x14ac:dyDescent="0.25">
      <c r="A1027" s="2"/>
      <c r="B1027" s="2"/>
      <c r="C1027" s="2"/>
      <c r="D1027" s="2"/>
      <c r="E1027" s="2"/>
      <c r="F1027" s="2"/>
      <c r="G1027" s="2"/>
      <c r="H1027" s="2"/>
      <c r="I1027" s="2"/>
    </row>
    <row r="1028" spans="1:9" x14ac:dyDescent="0.25">
      <c r="A1028" s="2"/>
      <c r="B1028" s="2"/>
      <c r="C1028" s="2"/>
      <c r="D1028" s="2"/>
      <c r="E1028" s="2"/>
      <c r="F1028" s="2"/>
      <c r="G1028" s="2"/>
      <c r="H1028" s="2"/>
      <c r="I1028" s="2"/>
    </row>
    <row r="1029" spans="1:9" x14ac:dyDescent="0.25">
      <c r="A1029" s="2"/>
      <c r="B1029" s="2"/>
      <c r="C1029" s="2"/>
      <c r="D1029" s="2"/>
      <c r="E1029" s="2"/>
      <c r="F1029" s="2"/>
      <c r="G1029" s="2"/>
      <c r="H1029" s="2"/>
      <c r="I1029" s="2"/>
    </row>
  </sheetData>
  <autoFilter ref="A1:O286" xr:uid="{D462FB64-39E0-4CD5-A2A8-B4DACC1E3C5C}">
    <filterColumn colId="3">
      <filters>
        <filter val="JBHIFI Parramatta"/>
        <filter val="JBHIFI Parramatta Adil"/>
      </filters>
    </filterColumn>
  </autoFilter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2C9E-0ABE-49ED-B204-1AF69D9A51B1}">
  <dimension ref="A1:N53"/>
  <sheetViews>
    <sheetView workbookViewId="0">
      <selection activeCell="D13" sqref="D13"/>
    </sheetView>
  </sheetViews>
  <sheetFormatPr defaultRowHeight="15" x14ac:dyDescent="0.25"/>
  <cols>
    <col min="1" max="1" width="11.140625" customWidth="1"/>
    <col min="2" max="2" width="4" bestFit="1" customWidth="1"/>
    <col min="3" max="3" width="24.7109375" bestFit="1" customWidth="1"/>
    <col min="4" max="4" width="29.5703125" bestFit="1" customWidth="1"/>
    <col min="5" max="6" width="9" bestFit="1" customWidth="1"/>
    <col min="7" max="7" width="16.140625" bestFit="1" customWidth="1"/>
    <col min="8" max="8" width="18.7109375" bestFit="1" customWidth="1"/>
    <col min="9" max="9" width="19.140625" bestFit="1" customWidth="1"/>
    <col min="10" max="10" width="12.140625" bestFit="1" customWidth="1"/>
  </cols>
  <sheetData>
    <row r="1" spans="1:1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</row>
    <row r="2" spans="1:12" x14ac:dyDescent="0.25">
      <c r="A2" s="114">
        <v>46055</v>
      </c>
      <c r="B2" s="115">
        <v>11</v>
      </c>
      <c r="C2" s="115" t="s">
        <v>664</v>
      </c>
      <c r="D2" s="115" t="s">
        <v>490</v>
      </c>
      <c r="E2" s="116">
        <v>398</v>
      </c>
      <c r="F2" s="116">
        <f t="shared" ref="F2:F32" si="0">E2*B2</f>
        <v>4378</v>
      </c>
      <c r="G2" s="115" t="s">
        <v>8</v>
      </c>
      <c r="H2" s="115"/>
      <c r="I2" s="115"/>
      <c r="J2" s="115"/>
    </row>
    <row r="3" spans="1:12" x14ac:dyDescent="0.25">
      <c r="A3" s="114">
        <v>46055</v>
      </c>
      <c r="B3" s="115">
        <v>4</v>
      </c>
      <c r="C3" s="115" t="s">
        <v>664</v>
      </c>
      <c r="D3" s="115" t="s">
        <v>496</v>
      </c>
      <c r="E3" s="117">
        <v>431</v>
      </c>
      <c r="F3" s="116">
        <f t="shared" si="0"/>
        <v>1724</v>
      </c>
      <c r="G3" s="115" t="s">
        <v>8</v>
      </c>
      <c r="H3" s="115"/>
      <c r="I3" s="115"/>
      <c r="J3" s="115"/>
    </row>
    <row r="4" spans="1:12" x14ac:dyDescent="0.25">
      <c r="A4" s="114">
        <v>46056</v>
      </c>
      <c r="B4" s="115">
        <v>3</v>
      </c>
      <c r="C4" s="115" t="s">
        <v>664</v>
      </c>
      <c r="D4" s="115" t="s">
        <v>495</v>
      </c>
      <c r="E4" s="117">
        <v>431</v>
      </c>
      <c r="F4" s="116">
        <f t="shared" si="0"/>
        <v>1293</v>
      </c>
      <c r="G4" s="115" t="s">
        <v>8</v>
      </c>
      <c r="H4" s="115"/>
      <c r="I4" s="115"/>
      <c r="J4" s="115"/>
      <c r="L4">
        <v>21250</v>
      </c>
    </row>
    <row r="5" spans="1:12" x14ac:dyDescent="0.25">
      <c r="A5" s="114">
        <v>46056</v>
      </c>
      <c r="B5" s="115">
        <v>8</v>
      </c>
      <c r="C5" s="115" t="s">
        <v>664</v>
      </c>
      <c r="D5" s="115" t="s">
        <v>1134</v>
      </c>
      <c r="E5" s="117">
        <v>440</v>
      </c>
      <c r="F5" s="116">
        <f t="shared" si="0"/>
        <v>3520</v>
      </c>
      <c r="G5" s="115" t="s">
        <v>8</v>
      </c>
      <c r="H5" s="115"/>
      <c r="I5" s="115"/>
      <c r="J5" s="115"/>
    </row>
    <row r="6" spans="1:12" x14ac:dyDescent="0.25">
      <c r="A6" s="114">
        <v>46056</v>
      </c>
      <c r="B6" s="115">
        <v>5</v>
      </c>
      <c r="C6" s="115" t="s">
        <v>664</v>
      </c>
      <c r="D6" s="115" t="s">
        <v>731</v>
      </c>
      <c r="E6" s="117">
        <v>440</v>
      </c>
      <c r="F6" s="116">
        <f t="shared" si="0"/>
        <v>2200</v>
      </c>
      <c r="G6" s="115" t="s">
        <v>8</v>
      </c>
      <c r="H6" s="115"/>
      <c r="I6" s="115"/>
      <c r="J6" s="115"/>
    </row>
    <row r="7" spans="1:12" x14ac:dyDescent="0.25">
      <c r="A7" s="114">
        <v>46056</v>
      </c>
      <c r="B7" s="115">
        <v>6</v>
      </c>
      <c r="C7" s="115" t="s">
        <v>664</v>
      </c>
      <c r="D7" s="115" t="s">
        <v>760</v>
      </c>
      <c r="E7" s="117">
        <v>440</v>
      </c>
      <c r="F7" s="116">
        <f t="shared" si="0"/>
        <v>2640</v>
      </c>
      <c r="G7" s="115" t="s">
        <v>8</v>
      </c>
      <c r="H7" s="115"/>
      <c r="I7" s="115"/>
      <c r="J7" s="115"/>
    </row>
    <row r="8" spans="1:12" x14ac:dyDescent="0.25">
      <c r="A8" s="114">
        <v>46056</v>
      </c>
      <c r="B8" s="115">
        <v>3</v>
      </c>
      <c r="C8" s="115" t="s">
        <v>1135</v>
      </c>
      <c r="D8" s="115" t="s">
        <v>760</v>
      </c>
      <c r="E8" s="117">
        <v>398</v>
      </c>
      <c r="F8" s="116">
        <f t="shared" si="0"/>
        <v>1194</v>
      </c>
      <c r="G8" s="115" t="s">
        <v>8</v>
      </c>
      <c r="H8" s="115"/>
      <c r="I8" s="115"/>
      <c r="J8" s="115"/>
    </row>
    <row r="9" spans="1:12" x14ac:dyDescent="0.25">
      <c r="A9" s="114">
        <v>46056</v>
      </c>
      <c r="B9" s="115">
        <v>3</v>
      </c>
      <c r="C9" s="115" t="s">
        <v>1135</v>
      </c>
      <c r="D9" s="115" t="s">
        <v>1134</v>
      </c>
      <c r="E9" s="117">
        <v>398</v>
      </c>
      <c r="F9" s="116">
        <f t="shared" si="0"/>
        <v>1194</v>
      </c>
      <c r="G9" s="115" t="s">
        <v>8</v>
      </c>
      <c r="H9" s="115"/>
      <c r="I9" s="115"/>
      <c r="J9" s="115"/>
    </row>
    <row r="10" spans="1:12" x14ac:dyDescent="0.25">
      <c r="A10" s="114">
        <v>46056</v>
      </c>
      <c r="B10" s="115">
        <v>2</v>
      </c>
      <c r="C10" s="115" t="s">
        <v>1135</v>
      </c>
      <c r="D10" s="115" t="s">
        <v>1136</v>
      </c>
      <c r="E10" s="117">
        <v>398</v>
      </c>
      <c r="F10" s="116">
        <f t="shared" si="0"/>
        <v>796</v>
      </c>
      <c r="G10" s="115" t="s">
        <v>8</v>
      </c>
      <c r="H10" s="115"/>
      <c r="I10" s="115"/>
      <c r="J10" s="115"/>
    </row>
    <row r="11" spans="1:12" x14ac:dyDescent="0.25">
      <c r="A11" s="114">
        <v>46056</v>
      </c>
      <c r="B11" s="115">
        <v>1</v>
      </c>
      <c r="C11" s="115" t="s">
        <v>1137</v>
      </c>
      <c r="D11" s="115" t="s">
        <v>1136</v>
      </c>
      <c r="E11" s="117">
        <v>7</v>
      </c>
      <c r="F11" s="116">
        <f t="shared" si="0"/>
        <v>7</v>
      </c>
      <c r="G11" s="115" t="s">
        <v>8</v>
      </c>
      <c r="H11" s="115"/>
      <c r="I11" s="115"/>
      <c r="J11" s="115"/>
    </row>
    <row r="12" spans="1:12" x14ac:dyDescent="0.25">
      <c r="A12" s="114">
        <v>46056</v>
      </c>
      <c r="B12" s="115">
        <v>2</v>
      </c>
      <c r="C12" s="115" t="s">
        <v>1132</v>
      </c>
      <c r="D12" s="115" t="s">
        <v>677</v>
      </c>
      <c r="E12" s="117">
        <v>2197</v>
      </c>
      <c r="F12" s="116">
        <f t="shared" si="0"/>
        <v>4394</v>
      </c>
      <c r="G12" s="115" t="s">
        <v>348</v>
      </c>
      <c r="H12" s="115"/>
      <c r="I12" s="115" t="s">
        <v>1138</v>
      </c>
      <c r="J12" s="115" t="s">
        <v>115</v>
      </c>
    </row>
    <row r="13" spans="1:12" x14ac:dyDescent="0.25">
      <c r="A13" s="114">
        <v>46056</v>
      </c>
      <c r="B13" s="115">
        <v>5</v>
      </c>
      <c r="C13" s="115" t="s">
        <v>898</v>
      </c>
      <c r="D13" s="115" t="s">
        <v>335</v>
      </c>
      <c r="E13" s="117">
        <v>2490</v>
      </c>
      <c r="F13" s="116">
        <f t="shared" si="0"/>
        <v>12450</v>
      </c>
      <c r="G13" s="115" t="s">
        <v>1141</v>
      </c>
      <c r="H13" s="115"/>
      <c r="I13" s="115"/>
      <c r="J13" s="115"/>
    </row>
    <row r="14" spans="1:12" x14ac:dyDescent="0.25">
      <c r="A14" s="114">
        <v>46057</v>
      </c>
      <c r="B14" s="115">
        <v>3</v>
      </c>
      <c r="C14" s="115" t="s">
        <v>1135</v>
      </c>
      <c r="D14" s="115" t="s">
        <v>749</v>
      </c>
      <c r="E14" s="115">
        <v>397</v>
      </c>
      <c r="F14" s="116">
        <f t="shared" si="0"/>
        <v>1191</v>
      </c>
      <c r="G14" s="115" t="s">
        <v>8</v>
      </c>
      <c r="H14" s="115"/>
      <c r="I14" s="115" t="s">
        <v>1139</v>
      </c>
      <c r="J14" s="115"/>
    </row>
    <row r="15" spans="1:12" x14ac:dyDescent="0.25">
      <c r="A15" s="114">
        <v>46057</v>
      </c>
      <c r="B15" s="115">
        <v>4</v>
      </c>
      <c r="C15" s="115" t="s">
        <v>664</v>
      </c>
      <c r="D15" s="115" t="s">
        <v>665</v>
      </c>
      <c r="E15" s="115">
        <v>454</v>
      </c>
      <c r="F15" s="116">
        <f t="shared" si="0"/>
        <v>1816</v>
      </c>
      <c r="G15" s="115" t="s">
        <v>8</v>
      </c>
      <c r="H15" s="115"/>
      <c r="I15" s="115"/>
      <c r="J15" s="115"/>
    </row>
    <row r="16" spans="1:12" x14ac:dyDescent="0.25">
      <c r="A16" s="114">
        <v>46057</v>
      </c>
      <c r="B16" s="115">
        <v>4</v>
      </c>
      <c r="C16" s="115" t="s">
        <v>664</v>
      </c>
      <c r="D16" s="115" t="s">
        <v>749</v>
      </c>
      <c r="E16" s="115">
        <v>450</v>
      </c>
      <c r="F16" s="116">
        <f t="shared" si="0"/>
        <v>1800</v>
      </c>
      <c r="G16" s="115" t="s">
        <v>8</v>
      </c>
      <c r="H16" s="115"/>
      <c r="I16" s="115"/>
      <c r="J16" s="115"/>
    </row>
    <row r="17" spans="1:14" x14ac:dyDescent="0.25">
      <c r="A17" s="114">
        <v>46058</v>
      </c>
      <c r="B17" s="115">
        <v>50</v>
      </c>
      <c r="C17" s="115" t="s">
        <v>1135</v>
      </c>
      <c r="D17" s="115" t="s">
        <v>881</v>
      </c>
      <c r="E17" s="115">
        <v>397</v>
      </c>
      <c r="F17" s="116">
        <f t="shared" si="0"/>
        <v>19850</v>
      </c>
      <c r="G17" s="115" t="s">
        <v>348</v>
      </c>
      <c r="H17" s="115" t="s">
        <v>1159</v>
      </c>
      <c r="I17" s="115" t="s">
        <v>1150</v>
      </c>
      <c r="J17" s="115"/>
      <c r="N17">
        <v>149</v>
      </c>
    </row>
    <row r="18" spans="1:14" x14ac:dyDescent="0.25">
      <c r="A18" s="114">
        <v>46059</v>
      </c>
      <c r="B18" s="115">
        <v>2</v>
      </c>
      <c r="C18" s="115" t="s">
        <v>664</v>
      </c>
      <c r="D18" s="115" t="s">
        <v>665</v>
      </c>
      <c r="E18" s="115">
        <v>450</v>
      </c>
      <c r="F18" s="116">
        <f t="shared" si="0"/>
        <v>900</v>
      </c>
      <c r="G18" s="115" t="s">
        <v>8</v>
      </c>
      <c r="H18" s="115"/>
      <c r="I18" s="115"/>
      <c r="J18" s="115"/>
      <c r="N18">
        <v>4198</v>
      </c>
    </row>
    <row r="19" spans="1:14" x14ac:dyDescent="0.25">
      <c r="A19" s="114">
        <v>46066</v>
      </c>
      <c r="B19" s="118">
        <v>1</v>
      </c>
      <c r="C19" s="118" t="s">
        <v>1142</v>
      </c>
      <c r="D19" s="118" t="s">
        <v>101</v>
      </c>
      <c r="E19" s="118">
        <v>2949</v>
      </c>
      <c r="F19" s="118">
        <f t="shared" si="0"/>
        <v>2949</v>
      </c>
      <c r="G19" s="118" t="s">
        <v>8</v>
      </c>
      <c r="H19" s="118" t="s">
        <v>1163</v>
      </c>
      <c r="I19" s="115" t="s">
        <v>1148</v>
      </c>
      <c r="J19" s="115"/>
      <c r="N19">
        <v>4648</v>
      </c>
    </row>
    <row r="20" spans="1:14" x14ac:dyDescent="0.25">
      <c r="A20" s="114">
        <v>46066</v>
      </c>
      <c r="B20" s="118">
        <v>1</v>
      </c>
      <c r="C20" s="118" t="s">
        <v>1147</v>
      </c>
      <c r="D20" s="118" t="s">
        <v>101</v>
      </c>
      <c r="E20" s="118">
        <v>0</v>
      </c>
      <c r="F20" s="118">
        <f t="shared" si="0"/>
        <v>0</v>
      </c>
      <c r="G20" s="118" t="s">
        <v>8</v>
      </c>
      <c r="H20" s="118" t="s">
        <v>1163</v>
      </c>
      <c r="I20" s="115"/>
      <c r="J20" s="115"/>
      <c r="N20">
        <v>4648</v>
      </c>
    </row>
    <row r="21" spans="1:14" x14ac:dyDescent="0.25">
      <c r="A21" s="114">
        <v>46066</v>
      </c>
      <c r="B21" s="118">
        <v>1</v>
      </c>
      <c r="C21" s="118" t="s">
        <v>963</v>
      </c>
      <c r="D21" s="118" t="s">
        <v>101</v>
      </c>
      <c r="E21" s="118">
        <v>4400</v>
      </c>
      <c r="F21" s="118">
        <f t="shared" si="0"/>
        <v>4400</v>
      </c>
      <c r="G21" s="118" t="s">
        <v>8</v>
      </c>
      <c r="H21" s="118" t="s">
        <v>1163</v>
      </c>
      <c r="I21" s="115"/>
      <c r="J21" s="115"/>
      <c r="N21">
        <v>4648</v>
      </c>
    </row>
    <row r="22" spans="1:14" x14ac:dyDescent="0.25">
      <c r="A22" s="114">
        <v>46066</v>
      </c>
      <c r="B22" s="118">
        <v>1</v>
      </c>
      <c r="C22" s="118" t="s">
        <v>1143</v>
      </c>
      <c r="D22" s="118" t="s">
        <v>101</v>
      </c>
      <c r="E22" s="118">
        <v>3300</v>
      </c>
      <c r="F22" s="118">
        <f t="shared" si="0"/>
        <v>3300</v>
      </c>
      <c r="G22" s="118" t="s">
        <v>8</v>
      </c>
      <c r="H22" s="118" t="s">
        <v>1163</v>
      </c>
      <c r="I22" s="115"/>
      <c r="J22" s="115"/>
      <c r="N22">
        <v>2000</v>
      </c>
    </row>
    <row r="23" spans="1:14" x14ac:dyDescent="0.25">
      <c r="A23" s="114">
        <v>46066</v>
      </c>
      <c r="B23" s="118">
        <v>2</v>
      </c>
      <c r="C23" s="118" t="s">
        <v>1144</v>
      </c>
      <c r="D23" s="118" t="s">
        <v>101</v>
      </c>
      <c r="E23" s="118">
        <v>1400</v>
      </c>
      <c r="F23" s="118">
        <f t="shared" si="0"/>
        <v>2800</v>
      </c>
      <c r="G23" s="118" t="s">
        <v>8</v>
      </c>
      <c r="H23" s="118" t="s">
        <v>1163</v>
      </c>
      <c r="I23" s="115"/>
      <c r="J23" s="115"/>
      <c r="N23">
        <v>2000</v>
      </c>
    </row>
    <row r="24" spans="1:14" x14ac:dyDescent="0.25">
      <c r="A24" s="114">
        <v>46066</v>
      </c>
      <c r="B24" s="118">
        <v>3</v>
      </c>
      <c r="C24" s="118" t="s">
        <v>546</v>
      </c>
      <c r="D24" s="118" t="s">
        <v>101</v>
      </c>
      <c r="E24" s="118">
        <v>520</v>
      </c>
      <c r="F24" s="118">
        <f t="shared" si="0"/>
        <v>1560</v>
      </c>
      <c r="G24" s="118" t="s">
        <v>8</v>
      </c>
      <c r="H24" s="118" t="s">
        <v>1163</v>
      </c>
      <c r="I24" s="115"/>
      <c r="J24" s="115"/>
      <c r="N24">
        <v>500</v>
      </c>
    </row>
    <row r="25" spans="1:14" x14ac:dyDescent="0.25">
      <c r="A25" s="114">
        <v>46066</v>
      </c>
      <c r="B25" s="115">
        <v>1</v>
      </c>
      <c r="C25" s="115" t="s">
        <v>1145</v>
      </c>
      <c r="D25" s="115" t="s">
        <v>101</v>
      </c>
      <c r="E25" s="115">
        <v>1299</v>
      </c>
      <c r="F25" s="115">
        <f t="shared" si="0"/>
        <v>1299</v>
      </c>
      <c r="G25" s="115" t="s">
        <v>8</v>
      </c>
      <c r="H25" s="118" t="s">
        <v>1162</v>
      </c>
      <c r="I25" s="115"/>
      <c r="J25" s="115"/>
      <c r="N25">
        <f>SUM(N17:N24)</f>
        <v>22791</v>
      </c>
    </row>
    <row r="26" spans="1:14" x14ac:dyDescent="0.25">
      <c r="A26" s="114">
        <v>46066</v>
      </c>
      <c r="B26" s="115">
        <v>5</v>
      </c>
      <c r="C26" s="115" t="s">
        <v>1146</v>
      </c>
      <c r="D26" s="115" t="s">
        <v>101</v>
      </c>
      <c r="E26" s="115">
        <v>30</v>
      </c>
      <c r="F26" s="115">
        <f t="shared" si="0"/>
        <v>150</v>
      </c>
      <c r="G26" s="115" t="s">
        <v>8</v>
      </c>
      <c r="H26" s="115"/>
      <c r="I26" s="115"/>
      <c r="J26" s="115"/>
    </row>
    <row r="27" spans="1:14" x14ac:dyDescent="0.25">
      <c r="A27" s="114">
        <v>46073</v>
      </c>
      <c r="B27" s="115">
        <v>80</v>
      </c>
      <c r="C27" s="115" t="s">
        <v>664</v>
      </c>
      <c r="D27" s="115" t="s">
        <v>526</v>
      </c>
      <c r="E27" s="115">
        <v>400</v>
      </c>
      <c r="F27" s="115">
        <f t="shared" si="0"/>
        <v>32000</v>
      </c>
      <c r="G27" s="115" t="s">
        <v>348</v>
      </c>
      <c r="H27" s="115"/>
      <c r="I27" s="115" t="s">
        <v>1159</v>
      </c>
      <c r="J27" s="115"/>
    </row>
    <row r="28" spans="1:14" x14ac:dyDescent="0.25">
      <c r="A28" s="114">
        <v>46072</v>
      </c>
      <c r="B28" s="115">
        <v>60</v>
      </c>
      <c r="C28" s="115" t="s">
        <v>664</v>
      </c>
      <c r="D28" s="115" t="s">
        <v>1151</v>
      </c>
      <c r="E28" s="115">
        <v>400</v>
      </c>
      <c r="F28" s="115">
        <f t="shared" si="0"/>
        <v>24000</v>
      </c>
      <c r="G28" s="115" t="s">
        <v>348</v>
      </c>
      <c r="H28" s="115"/>
      <c r="I28" s="115" t="s">
        <v>1159</v>
      </c>
      <c r="J28" s="115"/>
    </row>
    <row r="29" spans="1:14" x14ac:dyDescent="0.25">
      <c r="A29" s="114">
        <v>46074</v>
      </c>
      <c r="B29" s="115">
        <v>10</v>
      </c>
      <c r="C29" s="115" t="s">
        <v>969</v>
      </c>
      <c r="D29" s="115" t="s">
        <v>101</v>
      </c>
      <c r="E29" s="115">
        <v>2100</v>
      </c>
      <c r="F29" s="115">
        <f t="shared" si="0"/>
        <v>21000</v>
      </c>
      <c r="G29" s="115" t="s">
        <v>8</v>
      </c>
      <c r="H29" s="115"/>
      <c r="I29" s="115"/>
      <c r="J29" s="115"/>
    </row>
    <row r="30" spans="1:14" x14ac:dyDescent="0.25">
      <c r="A30" s="114">
        <v>46074</v>
      </c>
      <c r="B30" s="115">
        <v>4</v>
      </c>
      <c r="C30" s="115" t="s">
        <v>664</v>
      </c>
      <c r="D30" s="115" t="s">
        <v>101</v>
      </c>
      <c r="E30" s="115">
        <v>450</v>
      </c>
      <c r="F30" s="115">
        <f t="shared" si="0"/>
        <v>1800</v>
      </c>
      <c r="G30" s="115" t="s">
        <v>8</v>
      </c>
      <c r="H30" s="115"/>
      <c r="I30" s="115"/>
      <c r="J30" s="115"/>
    </row>
    <row r="31" spans="1:14" x14ac:dyDescent="0.25">
      <c r="A31" s="114">
        <v>46074</v>
      </c>
      <c r="B31" s="115">
        <v>4</v>
      </c>
      <c r="C31" s="115" t="s">
        <v>969</v>
      </c>
      <c r="D31" s="115" t="s">
        <v>1152</v>
      </c>
      <c r="E31" s="115">
        <v>2099</v>
      </c>
      <c r="F31" s="115">
        <f t="shared" si="0"/>
        <v>8396</v>
      </c>
      <c r="G31" s="115" t="s">
        <v>8</v>
      </c>
      <c r="H31" s="115"/>
      <c r="I31" s="115"/>
      <c r="J31" s="115"/>
    </row>
    <row r="32" spans="1:14" x14ac:dyDescent="0.25">
      <c r="A32" s="114">
        <v>46074</v>
      </c>
      <c r="B32" s="115">
        <v>5</v>
      </c>
      <c r="C32" s="115" t="s">
        <v>664</v>
      </c>
      <c r="D32" s="115" t="s">
        <v>1152</v>
      </c>
      <c r="E32" s="115">
        <v>450</v>
      </c>
      <c r="F32" s="115">
        <f t="shared" si="0"/>
        <v>2250</v>
      </c>
      <c r="G32" s="115" t="s">
        <v>8</v>
      </c>
      <c r="H32" s="115"/>
      <c r="I32" s="115"/>
      <c r="J32" s="115"/>
    </row>
    <row r="33" spans="1:10" x14ac:dyDescent="0.25">
      <c r="A33" s="114">
        <v>46069</v>
      </c>
      <c r="B33" s="115">
        <v>1</v>
      </c>
      <c r="C33" s="115" t="s">
        <v>542</v>
      </c>
      <c r="D33" s="115" t="s">
        <v>686</v>
      </c>
      <c r="E33" s="115">
        <v>21250.35</v>
      </c>
      <c r="F33" s="115">
        <v>21250.35</v>
      </c>
      <c r="G33" s="115"/>
      <c r="H33" s="115"/>
      <c r="I33" s="115" t="s">
        <v>1033</v>
      </c>
      <c r="J33" s="115"/>
    </row>
    <row r="34" spans="1:10" x14ac:dyDescent="0.25">
      <c r="A34" s="114">
        <v>46078</v>
      </c>
      <c r="B34" s="115">
        <v>40</v>
      </c>
      <c r="C34" s="115" t="s">
        <v>664</v>
      </c>
      <c r="D34" s="115" t="s">
        <v>1158</v>
      </c>
      <c r="E34" s="115">
        <v>398</v>
      </c>
      <c r="F34" s="115">
        <f>B34*E34</f>
        <v>15920</v>
      </c>
      <c r="G34" s="115" t="s">
        <v>62</v>
      </c>
      <c r="H34" s="115" t="s">
        <v>348</v>
      </c>
      <c r="I34" s="115"/>
      <c r="J34" s="115"/>
    </row>
    <row r="35" spans="1:10" x14ac:dyDescent="0.25">
      <c r="A35" s="114">
        <v>46080</v>
      </c>
      <c r="B35" s="115">
        <v>60</v>
      </c>
      <c r="C35" s="115" t="s">
        <v>664</v>
      </c>
      <c r="D35" s="115" t="s">
        <v>492</v>
      </c>
      <c r="E35" s="115">
        <v>400</v>
      </c>
      <c r="F35" s="115">
        <f t="shared" ref="F35:F37" si="1">B35*E35</f>
        <v>24000</v>
      </c>
      <c r="G35" s="115" t="s">
        <v>348</v>
      </c>
      <c r="H35" s="115" t="s">
        <v>1160</v>
      </c>
      <c r="I35" s="114">
        <v>46083</v>
      </c>
      <c r="J35" s="115"/>
    </row>
    <row r="36" spans="1:10" x14ac:dyDescent="0.25">
      <c r="A36" s="114">
        <v>46081</v>
      </c>
      <c r="B36" s="115">
        <v>4</v>
      </c>
      <c r="C36" s="115" t="s">
        <v>1161</v>
      </c>
      <c r="D36" s="115" t="s">
        <v>331</v>
      </c>
      <c r="E36" s="115">
        <v>590</v>
      </c>
      <c r="F36" s="115">
        <f t="shared" si="1"/>
        <v>2360</v>
      </c>
      <c r="G36" s="115" t="s">
        <v>8</v>
      </c>
      <c r="H36" s="115"/>
      <c r="I36" s="115"/>
      <c r="J36" s="115"/>
    </row>
    <row r="37" spans="1:10" x14ac:dyDescent="0.25">
      <c r="A37" s="114">
        <v>46081</v>
      </c>
      <c r="B37" s="115">
        <v>1</v>
      </c>
      <c r="C37" s="115" t="s">
        <v>969</v>
      </c>
      <c r="D37" s="115" t="s">
        <v>331</v>
      </c>
      <c r="E37" s="115">
        <v>2099</v>
      </c>
      <c r="F37" s="115">
        <f t="shared" si="1"/>
        <v>2099</v>
      </c>
      <c r="G37" s="115" t="s">
        <v>8</v>
      </c>
      <c r="H37" s="115"/>
      <c r="I37" s="115"/>
      <c r="J37" s="115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95736-D2B7-4EFF-897C-F1117A56DBE6}">
  <dimension ref="A1:K39"/>
  <sheetViews>
    <sheetView workbookViewId="0">
      <selection activeCell="A234" sqref="A234:I234"/>
    </sheetView>
  </sheetViews>
  <sheetFormatPr defaultRowHeight="15" x14ac:dyDescent="0.25"/>
  <cols>
    <col min="1" max="1" width="7" bestFit="1" customWidth="1"/>
    <col min="2" max="2" width="4" bestFit="1" customWidth="1"/>
    <col min="3" max="3" width="17.42578125" bestFit="1" customWidth="1"/>
    <col min="4" max="4" width="28" bestFit="1" customWidth="1"/>
    <col min="5" max="5" width="5.140625" bestFit="1" customWidth="1"/>
    <col min="6" max="6" width="7.42578125" bestFit="1" customWidth="1"/>
    <col min="7" max="7" width="24" bestFit="1" customWidth="1"/>
    <col min="8" max="8" width="8.7109375" bestFit="1" customWidth="1"/>
    <col min="9" max="9" width="10.140625" bestFit="1" customWidth="1"/>
    <col min="10" max="10" width="8.2851562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2"/>
    </row>
    <row r="2" spans="1:11" x14ac:dyDescent="0.25">
      <c r="A2" s="68">
        <v>46083</v>
      </c>
      <c r="B2" s="2">
        <v>80</v>
      </c>
      <c r="C2" s="2" t="s">
        <v>664</v>
      </c>
      <c r="D2" s="2" t="s">
        <v>865</v>
      </c>
      <c r="E2" s="65">
        <v>400</v>
      </c>
      <c r="F2" s="65">
        <f t="shared" ref="F2" si="0">E2*B2</f>
        <v>32000</v>
      </c>
      <c r="G2" s="2" t="s">
        <v>1165</v>
      </c>
      <c r="H2" s="2" t="s">
        <v>1164</v>
      </c>
      <c r="I2" s="2"/>
      <c r="J2" s="2"/>
      <c r="K2" s="2"/>
    </row>
    <row r="3" spans="1:11" x14ac:dyDescent="0.25">
      <c r="A3" s="68">
        <v>46111</v>
      </c>
      <c r="B3" s="2">
        <v>40</v>
      </c>
      <c r="C3" s="2" t="s">
        <v>664</v>
      </c>
      <c r="D3" s="2" t="s">
        <v>1158</v>
      </c>
      <c r="E3" s="2">
        <v>398</v>
      </c>
      <c r="F3" s="2">
        <f>B3*E3</f>
        <v>15920</v>
      </c>
      <c r="G3" s="2" t="s">
        <v>1165</v>
      </c>
      <c r="H3" s="2" t="s">
        <v>1164</v>
      </c>
      <c r="I3" s="2"/>
      <c r="J3" s="2"/>
      <c r="K3" s="2"/>
    </row>
    <row r="4" spans="1:11" x14ac:dyDescent="0.25">
      <c r="A4" s="68">
        <v>46111</v>
      </c>
      <c r="B4" s="2">
        <v>1</v>
      </c>
      <c r="C4" s="2" t="s">
        <v>296</v>
      </c>
      <c r="D4" s="2" t="s">
        <v>1158</v>
      </c>
      <c r="E4" s="2">
        <v>110</v>
      </c>
      <c r="F4" s="2">
        <v>110</v>
      </c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3250-4A62-4A14-9567-977AD05F8EDC}">
  <dimension ref="A1:R36"/>
  <sheetViews>
    <sheetView workbookViewId="0">
      <selection activeCell="E40" sqref="E40"/>
    </sheetView>
  </sheetViews>
  <sheetFormatPr defaultRowHeight="15" x14ac:dyDescent="0.25"/>
  <cols>
    <col min="1" max="1" width="7.28515625" bestFit="1" customWidth="1"/>
    <col min="2" max="2" width="8.85546875" customWidth="1"/>
    <col min="3" max="3" width="10.28515625" customWidth="1"/>
    <col min="4" max="4" width="8.7109375" customWidth="1"/>
    <col min="5" max="5" width="24.42578125" customWidth="1"/>
    <col min="6" max="6" width="24.5703125" customWidth="1"/>
    <col min="7" max="8" width="7.42578125" bestFit="1" customWidth="1"/>
    <col min="9" max="9" width="21.140625" customWidth="1"/>
    <col min="10" max="10" width="7.85546875" bestFit="1" customWidth="1"/>
    <col min="11" max="11" width="21.42578125" customWidth="1"/>
    <col min="12" max="12" width="9" bestFit="1" customWidth="1"/>
    <col min="13" max="13" width="11.28515625" bestFit="1" customWidth="1"/>
    <col min="14" max="14" width="28.7109375" bestFit="1" customWidth="1"/>
    <col min="15" max="18" width="0" hidden="1" customWidth="1"/>
  </cols>
  <sheetData>
    <row r="1" spans="1:18" x14ac:dyDescent="0.25">
      <c r="A1" s="44" t="s">
        <v>65</v>
      </c>
      <c r="B1" s="4" t="s">
        <v>0</v>
      </c>
      <c r="C1" s="4"/>
      <c r="D1" s="4"/>
      <c r="E1" s="5" t="s">
        <v>252</v>
      </c>
      <c r="F1" s="4" t="s">
        <v>2</v>
      </c>
      <c r="G1" s="9" t="s">
        <v>3</v>
      </c>
      <c r="H1" s="9" t="s">
        <v>4</v>
      </c>
      <c r="I1" s="4" t="s">
        <v>5</v>
      </c>
      <c r="J1" s="4" t="s">
        <v>428</v>
      </c>
      <c r="K1" s="4" t="s">
        <v>564</v>
      </c>
      <c r="L1" s="2" t="s">
        <v>814</v>
      </c>
      <c r="M1" s="2" t="s">
        <v>1166</v>
      </c>
    </row>
    <row r="2" spans="1:18" x14ac:dyDescent="0.25">
      <c r="A2" s="114">
        <v>46113</v>
      </c>
      <c r="B2" s="115">
        <v>10</v>
      </c>
      <c r="C2" s="115"/>
      <c r="D2" s="115"/>
      <c r="E2" s="115" t="s">
        <v>295</v>
      </c>
      <c r="F2" s="115" t="s">
        <v>1169</v>
      </c>
      <c r="G2" s="116">
        <v>469</v>
      </c>
      <c r="H2" s="116">
        <f>B2*G2</f>
        <v>4690</v>
      </c>
      <c r="I2" s="115" t="s">
        <v>464</v>
      </c>
      <c r="J2" s="115"/>
      <c r="K2" s="115"/>
      <c r="L2" s="115"/>
      <c r="M2" s="115"/>
    </row>
    <row r="3" spans="1:18" x14ac:dyDescent="0.25">
      <c r="A3" s="68">
        <v>46113</v>
      </c>
      <c r="B3" s="2">
        <v>8</v>
      </c>
      <c r="C3" s="2">
        <v>3</v>
      </c>
      <c r="D3" s="2">
        <v>3</v>
      </c>
      <c r="E3" s="2" t="s">
        <v>639</v>
      </c>
      <c r="F3" s="2" t="s">
        <v>383</v>
      </c>
      <c r="G3" s="65">
        <v>1579</v>
      </c>
      <c r="H3" s="65">
        <f>B3*G3</f>
        <v>12632</v>
      </c>
      <c r="I3" s="125" t="s">
        <v>1167</v>
      </c>
      <c r="J3" s="125"/>
      <c r="K3" s="125" t="s">
        <v>1246</v>
      </c>
      <c r="L3" s="125"/>
      <c r="M3" s="125"/>
    </row>
    <row r="4" spans="1:18" x14ac:dyDescent="0.25">
      <c r="A4" s="114">
        <v>46113</v>
      </c>
      <c r="B4" s="115">
        <v>5</v>
      </c>
      <c r="C4" s="115">
        <v>4</v>
      </c>
      <c r="D4" s="115">
        <v>1</v>
      </c>
      <c r="E4" s="115" t="s">
        <v>406</v>
      </c>
      <c r="F4" s="115" t="s">
        <v>383</v>
      </c>
      <c r="G4" s="116">
        <v>1579</v>
      </c>
      <c r="H4" s="116">
        <f t="shared" ref="H4:H5" si="0">B4*G4</f>
        <v>7895</v>
      </c>
      <c r="I4" s="115" t="s">
        <v>348</v>
      </c>
      <c r="J4" s="115"/>
      <c r="K4" s="115"/>
      <c r="L4" s="115"/>
      <c r="M4" s="115"/>
      <c r="P4" t="s">
        <v>1221</v>
      </c>
      <c r="Q4">
        <v>23</v>
      </c>
      <c r="R4">
        <v>30</v>
      </c>
    </row>
    <row r="5" spans="1:18" x14ac:dyDescent="0.25">
      <c r="A5" s="114">
        <v>46113</v>
      </c>
      <c r="B5" s="115">
        <v>4</v>
      </c>
      <c r="C5" s="115">
        <v>3</v>
      </c>
      <c r="D5" s="115">
        <v>1</v>
      </c>
      <c r="E5" s="115" t="s">
        <v>378</v>
      </c>
      <c r="F5" s="115" t="s">
        <v>383</v>
      </c>
      <c r="G5" s="116">
        <v>779</v>
      </c>
      <c r="H5" s="116">
        <f t="shared" si="0"/>
        <v>3116</v>
      </c>
      <c r="I5" s="115" t="s">
        <v>348</v>
      </c>
      <c r="J5" s="115"/>
      <c r="K5" s="115"/>
      <c r="L5" s="115"/>
      <c r="M5" s="115"/>
      <c r="Q5">
        <v>11</v>
      </c>
    </row>
    <row r="6" spans="1:18" x14ac:dyDescent="0.25">
      <c r="A6" s="114">
        <v>46114</v>
      </c>
      <c r="B6" s="115">
        <v>2</v>
      </c>
      <c r="C6" s="115">
        <v>2</v>
      </c>
      <c r="D6" s="115"/>
      <c r="E6" s="115" t="s">
        <v>406</v>
      </c>
      <c r="F6" s="115" t="s">
        <v>460</v>
      </c>
      <c r="G6" s="116">
        <v>1579</v>
      </c>
      <c r="H6" s="116">
        <f t="shared" ref="H6:H12" si="1">B6*G6</f>
        <v>3158</v>
      </c>
      <c r="I6" s="115" t="s">
        <v>348</v>
      </c>
      <c r="J6" s="115"/>
      <c r="K6" s="115"/>
      <c r="L6" s="115"/>
      <c r="M6" s="119">
        <v>102958</v>
      </c>
      <c r="P6" t="s">
        <v>871</v>
      </c>
      <c r="Q6">
        <v>3</v>
      </c>
      <c r="R6">
        <v>5</v>
      </c>
    </row>
    <row r="7" spans="1:18" x14ac:dyDescent="0.25">
      <c r="A7" s="114">
        <v>46113</v>
      </c>
      <c r="B7" s="115">
        <v>4</v>
      </c>
      <c r="C7" s="115">
        <v>4</v>
      </c>
      <c r="D7" s="115"/>
      <c r="E7" s="115" t="s">
        <v>639</v>
      </c>
      <c r="F7" s="115" t="s">
        <v>460</v>
      </c>
      <c r="G7" s="116">
        <v>1579</v>
      </c>
      <c r="H7" s="116">
        <f t="shared" si="1"/>
        <v>6316</v>
      </c>
      <c r="I7" s="115" t="s">
        <v>348</v>
      </c>
      <c r="J7" s="115"/>
      <c r="K7" s="115"/>
      <c r="L7" s="115"/>
      <c r="M7" s="115"/>
    </row>
    <row r="8" spans="1:18" x14ac:dyDescent="0.25">
      <c r="A8" s="114">
        <v>46113</v>
      </c>
      <c r="B8" s="115">
        <v>3</v>
      </c>
      <c r="C8" s="115">
        <v>3</v>
      </c>
      <c r="D8" s="115"/>
      <c r="E8" s="115" t="s">
        <v>639</v>
      </c>
      <c r="F8" s="115" t="s">
        <v>433</v>
      </c>
      <c r="G8" s="116">
        <v>1579</v>
      </c>
      <c r="H8" s="116">
        <f t="shared" si="1"/>
        <v>4737</v>
      </c>
      <c r="I8" s="115" t="s">
        <v>348</v>
      </c>
      <c r="J8" s="115"/>
      <c r="K8" s="115"/>
      <c r="L8" s="115"/>
      <c r="M8" s="120">
        <v>186022</v>
      </c>
    </row>
    <row r="9" spans="1:18" x14ac:dyDescent="0.25">
      <c r="A9" s="114">
        <v>46113</v>
      </c>
      <c r="B9" s="115">
        <v>1</v>
      </c>
      <c r="C9" s="115">
        <v>1</v>
      </c>
      <c r="D9" s="115"/>
      <c r="E9" s="115" t="s">
        <v>406</v>
      </c>
      <c r="F9" s="115" t="s">
        <v>1168</v>
      </c>
      <c r="G9" s="116">
        <v>1579</v>
      </c>
      <c r="H9" s="116">
        <f t="shared" si="1"/>
        <v>1579</v>
      </c>
      <c r="I9" s="115" t="s">
        <v>348</v>
      </c>
      <c r="J9" s="115"/>
      <c r="K9" s="115"/>
      <c r="L9" s="115"/>
      <c r="M9" s="115"/>
    </row>
    <row r="10" spans="1:18" x14ac:dyDescent="0.25">
      <c r="A10" s="114">
        <v>46114</v>
      </c>
      <c r="B10" s="115">
        <v>3</v>
      </c>
      <c r="C10" s="115">
        <v>3</v>
      </c>
      <c r="D10" s="115"/>
      <c r="E10" s="115" t="s">
        <v>406</v>
      </c>
      <c r="F10" s="115" t="s">
        <v>433</v>
      </c>
      <c r="G10" s="116">
        <v>1579</v>
      </c>
      <c r="H10" s="116">
        <f t="shared" si="1"/>
        <v>4737</v>
      </c>
      <c r="I10" s="115" t="s">
        <v>348</v>
      </c>
      <c r="J10" s="115"/>
      <c r="K10" s="115"/>
      <c r="L10" s="115"/>
      <c r="M10" s="120">
        <v>186169</v>
      </c>
    </row>
    <row r="11" spans="1:18" x14ac:dyDescent="0.25">
      <c r="A11" s="114">
        <v>46114</v>
      </c>
      <c r="B11" s="115">
        <v>3</v>
      </c>
      <c r="C11" s="115">
        <v>3</v>
      </c>
      <c r="D11" s="115"/>
      <c r="E11" s="115" t="s">
        <v>639</v>
      </c>
      <c r="F11" s="115" t="s">
        <v>433</v>
      </c>
      <c r="G11" s="116">
        <v>1579</v>
      </c>
      <c r="H11" s="116">
        <f t="shared" si="1"/>
        <v>4737</v>
      </c>
      <c r="I11" s="115" t="s">
        <v>348</v>
      </c>
      <c r="J11" s="115"/>
      <c r="K11" s="115"/>
      <c r="L11" s="115"/>
      <c r="M11" s="120">
        <v>186171</v>
      </c>
    </row>
    <row r="12" spans="1:18" x14ac:dyDescent="0.25">
      <c r="A12" s="114">
        <v>46114</v>
      </c>
      <c r="B12" s="115">
        <v>1</v>
      </c>
      <c r="C12" s="115"/>
      <c r="D12" s="115"/>
      <c r="E12" s="115" t="s">
        <v>542</v>
      </c>
      <c r="F12" s="115" t="s">
        <v>1170</v>
      </c>
      <c r="G12" s="116">
        <v>2748.46</v>
      </c>
      <c r="H12" s="116">
        <f t="shared" si="1"/>
        <v>2748.46</v>
      </c>
      <c r="I12" s="115" t="s">
        <v>85</v>
      </c>
      <c r="J12" s="115"/>
      <c r="K12" s="115" t="s">
        <v>622</v>
      </c>
      <c r="L12" s="115"/>
      <c r="M12" s="115"/>
    </row>
    <row r="13" spans="1:18" x14ac:dyDescent="0.25">
      <c r="A13" s="114">
        <v>46118</v>
      </c>
      <c r="B13" s="115">
        <v>10</v>
      </c>
      <c r="C13" s="115">
        <v>10</v>
      </c>
      <c r="D13" s="115"/>
      <c r="E13" s="115" t="s">
        <v>295</v>
      </c>
      <c r="F13" s="115" t="s">
        <v>464</v>
      </c>
      <c r="G13" s="115">
        <v>470</v>
      </c>
      <c r="H13" s="121">
        <v>4700</v>
      </c>
      <c r="I13" s="115" t="s">
        <v>1171</v>
      </c>
      <c r="J13" s="115"/>
      <c r="K13" s="115"/>
      <c r="L13" s="115"/>
      <c r="M13" s="115"/>
    </row>
    <row r="14" spans="1:18" x14ac:dyDescent="0.25">
      <c r="A14" s="114">
        <v>46132</v>
      </c>
      <c r="B14" s="115">
        <v>1</v>
      </c>
      <c r="C14" s="115">
        <v>1</v>
      </c>
      <c r="D14" s="115"/>
      <c r="E14" s="115" t="s">
        <v>1172</v>
      </c>
      <c r="F14" s="115" t="s">
        <v>1185</v>
      </c>
      <c r="G14" s="115">
        <v>1649</v>
      </c>
      <c r="H14" s="121">
        <v>1649</v>
      </c>
      <c r="I14" s="115" t="s">
        <v>1200</v>
      </c>
      <c r="J14" s="115"/>
      <c r="K14" s="115" t="s">
        <v>1186</v>
      </c>
      <c r="L14" s="115"/>
      <c r="M14" s="115"/>
    </row>
    <row r="15" spans="1:18" x14ac:dyDescent="0.25">
      <c r="A15" s="114">
        <v>46132</v>
      </c>
      <c r="B15" s="115">
        <v>1</v>
      </c>
      <c r="C15" s="115">
        <v>1</v>
      </c>
      <c r="D15" s="115"/>
      <c r="E15" s="115" t="s">
        <v>1184</v>
      </c>
      <c r="F15" s="115" t="s">
        <v>1185</v>
      </c>
      <c r="G15" s="115">
        <v>17999</v>
      </c>
      <c r="H15" s="121">
        <v>17999</v>
      </c>
      <c r="I15" s="115" t="s">
        <v>1200</v>
      </c>
      <c r="J15" s="115"/>
      <c r="K15" s="115" t="s">
        <v>1186</v>
      </c>
      <c r="L15" s="115"/>
      <c r="M15" s="115"/>
    </row>
    <row r="16" spans="1:18" x14ac:dyDescent="0.25">
      <c r="A16" s="114">
        <v>46132</v>
      </c>
      <c r="B16" s="115">
        <v>5</v>
      </c>
      <c r="C16" s="115">
        <v>5</v>
      </c>
      <c r="D16" s="115"/>
      <c r="E16" s="115" t="s">
        <v>378</v>
      </c>
      <c r="F16" s="115" t="s">
        <v>291</v>
      </c>
      <c r="G16" s="115">
        <v>786</v>
      </c>
      <c r="H16" s="115">
        <f>B16*G16</f>
        <v>3930</v>
      </c>
      <c r="I16" s="115" t="s">
        <v>464</v>
      </c>
      <c r="J16" s="115"/>
      <c r="K16" s="115" t="s">
        <v>464</v>
      </c>
      <c r="L16" s="115"/>
      <c r="M16" s="122"/>
      <c r="Q16">
        <v>69148</v>
      </c>
      <c r="R16">
        <f>Q16*2.3</f>
        <v>159040.4</v>
      </c>
    </row>
    <row r="17" spans="1:18" x14ac:dyDescent="0.25">
      <c r="A17" s="114">
        <v>46134</v>
      </c>
      <c r="B17" s="115">
        <v>10</v>
      </c>
      <c r="C17" s="115">
        <v>10</v>
      </c>
      <c r="D17" s="115"/>
      <c r="E17" s="115" t="s">
        <v>639</v>
      </c>
      <c r="F17" s="115" t="s">
        <v>464</v>
      </c>
      <c r="G17" s="115">
        <v>1579</v>
      </c>
      <c r="H17" s="115">
        <f t="shared" ref="H17:H28" si="2">B17*G17</f>
        <v>15790</v>
      </c>
      <c r="I17" s="115" t="s">
        <v>464</v>
      </c>
      <c r="J17" s="115"/>
      <c r="K17" s="115" t="s">
        <v>464</v>
      </c>
      <c r="L17" s="115"/>
      <c r="M17" s="115"/>
      <c r="N17" t="s">
        <v>1199</v>
      </c>
      <c r="Q17">
        <v>124588</v>
      </c>
      <c r="R17">
        <f>Q17*2.6</f>
        <v>323928.8</v>
      </c>
    </row>
    <row r="18" spans="1:18" x14ac:dyDescent="0.25">
      <c r="A18" s="114">
        <v>46136</v>
      </c>
      <c r="B18" s="115">
        <v>10</v>
      </c>
      <c r="C18" s="115">
        <v>10</v>
      </c>
      <c r="D18" s="115"/>
      <c r="E18" s="115" t="s">
        <v>639</v>
      </c>
      <c r="F18" s="115" t="s">
        <v>291</v>
      </c>
      <c r="G18" s="115">
        <v>1489</v>
      </c>
      <c r="H18" s="115">
        <f t="shared" si="2"/>
        <v>14890</v>
      </c>
      <c r="I18" s="115" t="s">
        <v>464</v>
      </c>
      <c r="J18" s="115"/>
      <c r="K18" s="115"/>
      <c r="L18" s="115"/>
      <c r="M18" s="115"/>
      <c r="R18">
        <f>SUM(R16:R17)</f>
        <v>482969.19999999995</v>
      </c>
    </row>
    <row r="19" spans="1:18" x14ac:dyDescent="0.25">
      <c r="A19" s="114">
        <v>46136</v>
      </c>
      <c r="B19" s="115">
        <v>10</v>
      </c>
      <c r="C19" s="115">
        <v>0</v>
      </c>
      <c r="D19" s="115"/>
      <c r="E19" s="115" t="s">
        <v>639</v>
      </c>
      <c r="F19" s="115" t="s">
        <v>291</v>
      </c>
      <c r="G19" s="115">
        <v>1489</v>
      </c>
      <c r="H19" s="115">
        <f t="shared" si="2"/>
        <v>14890</v>
      </c>
      <c r="I19" s="115" t="s">
        <v>464</v>
      </c>
      <c r="J19" s="115"/>
      <c r="K19" s="115"/>
      <c r="L19" s="115"/>
      <c r="M19" s="115"/>
      <c r="Q19">
        <v>100800</v>
      </c>
      <c r="R19">
        <f>Q19*2.54</f>
        <v>256032</v>
      </c>
    </row>
    <row r="20" spans="1:18" x14ac:dyDescent="0.25">
      <c r="A20" s="114">
        <v>46142</v>
      </c>
      <c r="B20" s="115">
        <v>4</v>
      </c>
      <c r="C20" s="115"/>
      <c r="D20" s="115"/>
      <c r="E20" s="115" t="s">
        <v>639</v>
      </c>
      <c r="F20" s="115" t="s">
        <v>1225</v>
      </c>
      <c r="G20" s="115">
        <v>1579</v>
      </c>
      <c r="H20" s="115">
        <f t="shared" si="2"/>
        <v>6316</v>
      </c>
      <c r="I20" s="115" t="s">
        <v>464</v>
      </c>
      <c r="J20" s="115"/>
      <c r="K20" s="115"/>
      <c r="L20" s="115"/>
      <c r="M20" s="123">
        <v>189018</v>
      </c>
      <c r="R20">
        <f>R18-R19</f>
        <v>226937.19999999995</v>
      </c>
    </row>
    <row r="21" spans="1:18" x14ac:dyDescent="0.25">
      <c r="A21" s="114">
        <v>46142</v>
      </c>
      <c r="B21" s="115">
        <v>4</v>
      </c>
      <c r="C21" s="115"/>
      <c r="D21" s="115"/>
      <c r="E21" s="115" t="s">
        <v>639</v>
      </c>
      <c r="F21" s="115" t="s">
        <v>635</v>
      </c>
      <c r="G21" s="115">
        <v>1579</v>
      </c>
      <c r="H21" s="115">
        <f t="shared" si="2"/>
        <v>6316</v>
      </c>
      <c r="I21" s="115" t="s">
        <v>464</v>
      </c>
      <c r="J21" s="115"/>
      <c r="K21" s="115"/>
      <c r="L21" s="115"/>
      <c r="M21" s="115"/>
      <c r="R21">
        <v>1641981</v>
      </c>
    </row>
    <row r="22" spans="1:18" x14ac:dyDescent="0.25">
      <c r="A22" s="114">
        <v>46143</v>
      </c>
      <c r="B22" s="115">
        <v>3</v>
      </c>
      <c r="C22" s="115"/>
      <c r="D22" s="115"/>
      <c r="E22" s="115" t="s">
        <v>871</v>
      </c>
      <c r="F22" s="115" t="s">
        <v>1168</v>
      </c>
      <c r="G22" s="115">
        <v>849</v>
      </c>
      <c r="H22" s="115">
        <f t="shared" si="2"/>
        <v>2547</v>
      </c>
      <c r="I22" s="115" t="s">
        <v>464</v>
      </c>
      <c r="J22" s="115"/>
      <c r="K22" s="115"/>
      <c r="L22" s="115"/>
      <c r="M22" s="115"/>
      <c r="R22">
        <f>SUM(R20:R21)</f>
        <v>1868918.2</v>
      </c>
    </row>
    <row r="23" spans="1:18" x14ac:dyDescent="0.25">
      <c r="A23" s="114">
        <v>46143</v>
      </c>
      <c r="B23" s="115">
        <v>1</v>
      </c>
      <c r="C23" s="115"/>
      <c r="D23" s="115"/>
      <c r="E23" s="115" t="s">
        <v>405</v>
      </c>
      <c r="F23" s="115" t="s">
        <v>1168</v>
      </c>
      <c r="G23" s="115">
        <v>1579</v>
      </c>
      <c r="H23" s="115">
        <f t="shared" si="2"/>
        <v>1579</v>
      </c>
      <c r="I23" s="115" t="s">
        <v>464</v>
      </c>
      <c r="J23" s="115"/>
      <c r="K23" s="115"/>
      <c r="L23" s="115"/>
      <c r="M23" s="115"/>
    </row>
    <row r="24" spans="1:18" x14ac:dyDescent="0.25">
      <c r="A24" s="124">
        <v>46149</v>
      </c>
      <c r="B24" s="125">
        <v>2</v>
      </c>
      <c r="C24" s="125"/>
      <c r="D24" s="125"/>
      <c r="E24" s="125" t="s">
        <v>1236</v>
      </c>
      <c r="F24" s="125" t="s">
        <v>1185</v>
      </c>
      <c r="G24" s="125">
        <v>3299</v>
      </c>
      <c r="H24" s="125">
        <f t="shared" si="2"/>
        <v>6598</v>
      </c>
      <c r="I24" s="125" t="s">
        <v>62</v>
      </c>
      <c r="J24" s="125"/>
      <c r="K24" s="125"/>
      <c r="L24" s="125"/>
      <c r="M24" s="125"/>
    </row>
    <row r="25" spans="1:18" x14ac:dyDescent="0.25">
      <c r="A25" s="114">
        <v>46152</v>
      </c>
      <c r="B25" s="115">
        <v>4</v>
      </c>
      <c r="C25" s="115"/>
      <c r="D25" s="115"/>
      <c r="E25" s="115" t="s">
        <v>639</v>
      </c>
      <c r="F25" s="115" t="s">
        <v>1225</v>
      </c>
      <c r="G25" s="115">
        <v>1579</v>
      </c>
      <c r="H25" s="115">
        <f t="shared" si="2"/>
        <v>6316</v>
      </c>
      <c r="I25" s="115" t="s">
        <v>348</v>
      </c>
      <c r="J25" s="115"/>
      <c r="K25" s="115"/>
      <c r="L25" s="115"/>
      <c r="M25" s="130">
        <v>189973</v>
      </c>
    </row>
    <row r="26" spans="1:18" x14ac:dyDescent="0.25">
      <c r="A26" s="124">
        <v>46152</v>
      </c>
      <c r="B26" s="125">
        <v>4</v>
      </c>
      <c r="C26" s="125"/>
      <c r="D26" s="125"/>
      <c r="E26" s="125" t="s">
        <v>639</v>
      </c>
      <c r="F26" s="125" t="s">
        <v>635</v>
      </c>
      <c r="G26" s="125">
        <v>1579</v>
      </c>
      <c r="H26" s="125">
        <f t="shared" si="2"/>
        <v>6316</v>
      </c>
      <c r="I26" s="125" t="s">
        <v>62</v>
      </c>
      <c r="J26" s="125"/>
      <c r="K26" s="125"/>
      <c r="L26" s="125"/>
      <c r="M26" s="125">
        <v>39495173</v>
      </c>
    </row>
    <row r="27" spans="1:18" x14ac:dyDescent="0.25">
      <c r="A27" s="124">
        <v>46153</v>
      </c>
      <c r="B27" s="125">
        <v>8</v>
      </c>
      <c r="C27" s="125"/>
      <c r="D27" s="125"/>
      <c r="E27" s="125" t="s">
        <v>1255</v>
      </c>
      <c r="F27" s="125" t="s">
        <v>1256</v>
      </c>
      <c r="G27" s="125">
        <v>143</v>
      </c>
      <c r="H27" s="125">
        <f t="shared" si="2"/>
        <v>1144</v>
      </c>
      <c r="I27" s="125" t="s">
        <v>62</v>
      </c>
      <c r="J27" s="125"/>
      <c r="K27" s="125"/>
      <c r="L27" s="125"/>
      <c r="M27" s="127" t="s">
        <v>1254</v>
      </c>
    </row>
    <row r="28" spans="1:18" x14ac:dyDescent="0.25">
      <c r="A28" s="124">
        <v>46154</v>
      </c>
      <c r="B28" s="125">
        <v>4</v>
      </c>
      <c r="C28" s="125"/>
      <c r="D28" s="125"/>
      <c r="E28" s="125" t="s">
        <v>639</v>
      </c>
      <c r="F28" s="125" t="s">
        <v>1225</v>
      </c>
      <c r="G28" s="125">
        <v>1579</v>
      </c>
      <c r="H28" s="125">
        <f t="shared" si="2"/>
        <v>6316</v>
      </c>
      <c r="I28" s="125" t="s">
        <v>62</v>
      </c>
      <c r="J28" s="125"/>
      <c r="K28" s="125"/>
      <c r="L28" s="125"/>
      <c r="M28" s="128">
        <v>190211</v>
      </c>
    </row>
    <row r="29" spans="1:18" x14ac:dyDescent="0.25">
      <c r="A29" s="114">
        <v>46154</v>
      </c>
      <c r="B29" s="115">
        <v>1</v>
      </c>
      <c r="C29" s="115"/>
      <c r="D29" s="115"/>
      <c r="E29" s="115" t="s">
        <v>776</v>
      </c>
      <c r="F29" s="115" t="s">
        <v>464</v>
      </c>
      <c r="G29" s="115"/>
      <c r="H29" s="115">
        <v>1370</v>
      </c>
      <c r="I29" s="115" t="s">
        <v>1272</v>
      </c>
      <c r="J29" s="115"/>
      <c r="K29" s="115"/>
      <c r="L29" s="115"/>
      <c r="M29" s="115"/>
    </row>
    <row r="30" spans="1:18" x14ac:dyDescent="0.25">
      <c r="A30" s="114">
        <v>46154</v>
      </c>
      <c r="B30" s="115">
        <v>20</v>
      </c>
      <c r="C30" s="115"/>
      <c r="D30" s="115"/>
      <c r="E30" s="115" t="s">
        <v>1255</v>
      </c>
      <c r="F30" s="115" t="s">
        <v>464</v>
      </c>
      <c r="G30" s="115">
        <v>143</v>
      </c>
      <c r="H30" s="115">
        <v>2860</v>
      </c>
      <c r="I30" s="115" t="s">
        <v>1257</v>
      </c>
      <c r="J30" s="115"/>
      <c r="K30" s="115"/>
      <c r="L30" s="115"/>
      <c r="M30" s="115"/>
    </row>
    <row r="31" spans="1:18" x14ac:dyDescent="0.25">
      <c r="A31" s="124">
        <v>46154</v>
      </c>
      <c r="B31" s="125">
        <v>1</v>
      </c>
      <c r="C31" s="125"/>
      <c r="D31" s="125"/>
      <c r="E31" s="125" t="s">
        <v>1184</v>
      </c>
      <c r="F31" s="125" t="s">
        <v>1185</v>
      </c>
      <c r="G31" s="125">
        <v>17999</v>
      </c>
      <c r="H31" s="125">
        <v>17999</v>
      </c>
      <c r="I31" s="125" t="s">
        <v>62</v>
      </c>
      <c r="J31" s="125"/>
      <c r="K31" s="125"/>
      <c r="L31" s="125"/>
      <c r="M31" s="129" t="s">
        <v>1263</v>
      </c>
    </row>
    <row r="32" spans="1:18" x14ac:dyDescent="0.25">
      <c r="A32" s="124">
        <v>46156</v>
      </c>
      <c r="B32" s="125">
        <v>12</v>
      </c>
      <c r="C32" s="125"/>
      <c r="D32" s="125"/>
      <c r="E32" s="125" t="s">
        <v>1172</v>
      </c>
      <c r="F32" s="125" t="s">
        <v>1185</v>
      </c>
      <c r="G32" s="125">
        <v>1600</v>
      </c>
      <c r="H32" s="125">
        <v>19200</v>
      </c>
      <c r="I32" s="125" t="s">
        <v>62</v>
      </c>
      <c r="J32" s="125"/>
      <c r="K32" s="125"/>
      <c r="L32" s="125"/>
      <c r="M32" s="125"/>
    </row>
    <row r="33" spans="1:14" x14ac:dyDescent="0.25">
      <c r="A33" s="124">
        <v>46156</v>
      </c>
      <c r="B33" s="125">
        <v>4</v>
      </c>
      <c r="C33" s="125"/>
      <c r="D33" s="125"/>
      <c r="E33" s="125" t="s">
        <v>1279</v>
      </c>
      <c r="F33" s="125" t="s">
        <v>1225</v>
      </c>
      <c r="G33" s="125">
        <v>1579</v>
      </c>
      <c r="H33" s="125">
        <f>B33*G33</f>
        <v>6316</v>
      </c>
      <c r="I33" s="125" t="s">
        <v>62</v>
      </c>
      <c r="J33" s="125"/>
      <c r="K33" s="125"/>
      <c r="L33" s="125"/>
      <c r="M33" s="125">
        <v>190476</v>
      </c>
    </row>
    <row r="34" spans="1:14" x14ac:dyDescent="0.25">
      <c r="A34" s="124">
        <v>46156</v>
      </c>
      <c r="B34" s="125">
        <v>4</v>
      </c>
      <c r="C34" s="125"/>
      <c r="D34" s="125"/>
      <c r="E34" s="125" t="s">
        <v>639</v>
      </c>
      <c r="F34" s="125" t="s">
        <v>635</v>
      </c>
      <c r="G34" s="125">
        <v>1579</v>
      </c>
      <c r="H34" s="125">
        <f>B34*G34</f>
        <v>6316</v>
      </c>
      <c r="I34" s="125" t="s">
        <v>62</v>
      </c>
      <c r="J34" s="125"/>
      <c r="K34" s="125"/>
      <c r="L34" s="125"/>
      <c r="M34" s="125">
        <v>39561974</v>
      </c>
      <c r="N34" s="113">
        <v>39561974</v>
      </c>
    </row>
    <row r="35" spans="1:14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4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</sheetData>
  <autoFilter ref="A1:Q19" xr:uid="{A3773250-4A62-4A14-9567-977AD05F8EDC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EC76-AD4F-420D-9C76-FA02ED20B4B9}">
  <dimension ref="A1:R68"/>
  <sheetViews>
    <sheetView topLeftCell="A17" workbookViewId="0">
      <selection activeCell="D76" sqref="D76"/>
    </sheetView>
  </sheetViews>
  <sheetFormatPr defaultRowHeight="15" x14ac:dyDescent="0.25"/>
  <cols>
    <col min="1" max="1" width="11.5703125" customWidth="1"/>
    <col min="2" max="2" width="4" bestFit="1" customWidth="1"/>
    <col min="3" max="3" width="33.140625" bestFit="1" customWidth="1"/>
    <col min="4" max="4" width="21.28515625" bestFit="1" customWidth="1"/>
    <col min="5" max="5" width="9" bestFit="1" customWidth="1"/>
    <col min="6" max="6" width="10" bestFit="1" customWidth="1"/>
    <col min="7" max="7" width="27.7109375" customWidth="1"/>
    <col min="8" max="8" width="7.85546875" bestFit="1" customWidth="1"/>
    <col min="9" max="9" width="12" bestFit="1" customWidth="1"/>
    <col min="10" max="10" width="8.28515625" bestFit="1" customWidth="1"/>
    <col min="11" max="11" width="13.28515625" bestFit="1" customWidth="1"/>
    <col min="13" max="13" width="10" bestFit="1" customWidth="1"/>
  </cols>
  <sheetData>
    <row r="1" spans="1:16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48" t="s">
        <v>1188</v>
      </c>
    </row>
    <row r="2" spans="1:16" x14ac:dyDescent="0.25">
      <c r="A2" s="68">
        <v>46127</v>
      </c>
      <c r="B2" s="2">
        <v>500</v>
      </c>
      <c r="C2" s="2" t="s">
        <v>664</v>
      </c>
      <c r="D2" s="2" t="s">
        <v>1176</v>
      </c>
      <c r="E2" s="65">
        <v>398</v>
      </c>
      <c r="F2" s="65">
        <f t="shared" ref="F2:F17" si="0">E2*B2</f>
        <v>199000</v>
      </c>
      <c r="G2" s="2" t="s">
        <v>1165</v>
      </c>
      <c r="H2" s="2" t="s">
        <v>1164</v>
      </c>
      <c r="I2" s="2"/>
      <c r="J2" s="2"/>
      <c r="M2" t="s">
        <v>809</v>
      </c>
      <c r="N2">
        <v>12</v>
      </c>
      <c r="O2">
        <v>8</v>
      </c>
      <c r="P2">
        <v>9</v>
      </c>
    </row>
    <row r="3" spans="1:16" x14ac:dyDescent="0.25">
      <c r="A3" s="68">
        <v>46127</v>
      </c>
      <c r="B3" s="2">
        <v>1</v>
      </c>
      <c r="C3" s="2" t="s">
        <v>296</v>
      </c>
      <c r="D3" s="2" t="s">
        <v>1176</v>
      </c>
      <c r="E3" s="65">
        <v>200</v>
      </c>
      <c r="F3" s="65">
        <v>200</v>
      </c>
      <c r="G3" s="2"/>
      <c r="H3" s="2"/>
      <c r="I3" s="2" t="s">
        <v>85</v>
      </c>
      <c r="J3" s="2"/>
      <c r="M3" t="s">
        <v>1201</v>
      </c>
      <c r="N3">
        <v>8</v>
      </c>
      <c r="O3">
        <v>8</v>
      </c>
      <c r="P3">
        <v>17</v>
      </c>
    </row>
    <row r="4" spans="1:16" x14ac:dyDescent="0.25">
      <c r="A4" s="68">
        <v>46129</v>
      </c>
      <c r="B4" s="2">
        <v>2</v>
      </c>
      <c r="C4" s="2" t="s">
        <v>1172</v>
      </c>
      <c r="D4" s="2" t="s">
        <v>809</v>
      </c>
      <c r="E4" s="65">
        <v>1199</v>
      </c>
      <c r="F4" s="65">
        <f t="shared" si="0"/>
        <v>2398</v>
      </c>
      <c r="G4" s="2" t="s">
        <v>8</v>
      </c>
      <c r="H4" s="2"/>
      <c r="I4" s="2"/>
      <c r="J4" s="2"/>
      <c r="M4" t="s">
        <v>1202</v>
      </c>
      <c r="N4">
        <v>2</v>
      </c>
      <c r="O4">
        <v>2</v>
      </c>
    </row>
    <row r="5" spans="1:16" x14ac:dyDescent="0.25">
      <c r="A5" s="68">
        <v>46129</v>
      </c>
      <c r="B5" s="2">
        <v>2</v>
      </c>
      <c r="C5" s="2" t="s">
        <v>1172</v>
      </c>
      <c r="D5" s="2" t="s">
        <v>1173</v>
      </c>
      <c r="E5" s="65">
        <v>1199</v>
      </c>
      <c r="F5" s="65">
        <f t="shared" si="0"/>
        <v>2398</v>
      </c>
      <c r="G5" s="2" t="s">
        <v>8</v>
      </c>
      <c r="H5" s="2"/>
      <c r="I5" s="2"/>
      <c r="J5" s="2"/>
    </row>
    <row r="6" spans="1:16" x14ac:dyDescent="0.25">
      <c r="A6" s="68">
        <v>46129</v>
      </c>
      <c r="B6" s="2">
        <v>3</v>
      </c>
      <c r="C6" s="2" t="s">
        <v>1172</v>
      </c>
      <c r="D6" s="2" t="s">
        <v>1173</v>
      </c>
      <c r="E6" s="65">
        <v>1199</v>
      </c>
      <c r="F6" s="65">
        <f t="shared" si="0"/>
        <v>3597</v>
      </c>
      <c r="G6" s="2" t="s">
        <v>8</v>
      </c>
      <c r="H6" s="2"/>
      <c r="I6" s="2"/>
      <c r="J6" s="2"/>
    </row>
    <row r="7" spans="1:16" x14ac:dyDescent="0.25">
      <c r="A7" s="68">
        <v>46129</v>
      </c>
      <c r="B7" s="2">
        <v>1</v>
      </c>
      <c r="C7" s="2" t="s">
        <v>1172</v>
      </c>
      <c r="D7" s="2" t="s">
        <v>1173</v>
      </c>
      <c r="E7" s="65">
        <v>750</v>
      </c>
      <c r="F7" s="65">
        <f t="shared" si="0"/>
        <v>750</v>
      </c>
      <c r="G7" s="2" t="s">
        <v>8</v>
      </c>
      <c r="H7" s="2"/>
      <c r="I7" s="2"/>
      <c r="J7" s="2"/>
    </row>
    <row r="8" spans="1:16" x14ac:dyDescent="0.25">
      <c r="A8" s="68">
        <v>46129</v>
      </c>
      <c r="B8" s="2">
        <v>1</v>
      </c>
      <c r="C8" s="2" t="s">
        <v>1174</v>
      </c>
      <c r="D8" s="2" t="s">
        <v>1175</v>
      </c>
      <c r="E8" s="65">
        <v>2350</v>
      </c>
      <c r="F8" s="65">
        <f t="shared" si="0"/>
        <v>2350</v>
      </c>
      <c r="G8" s="2" t="s">
        <v>622</v>
      </c>
      <c r="H8" s="2"/>
      <c r="I8" s="2" t="s">
        <v>85</v>
      </c>
      <c r="J8" s="2"/>
    </row>
    <row r="9" spans="1:16" x14ac:dyDescent="0.25">
      <c r="A9" s="124">
        <v>46120</v>
      </c>
      <c r="B9" s="125">
        <v>2</v>
      </c>
      <c r="C9" s="125" t="s">
        <v>969</v>
      </c>
      <c r="D9" s="125" t="s">
        <v>811</v>
      </c>
      <c r="E9" s="126">
        <v>2199</v>
      </c>
      <c r="F9" s="126">
        <f t="shared" si="0"/>
        <v>4398</v>
      </c>
      <c r="G9" s="125" t="s">
        <v>62</v>
      </c>
      <c r="H9" s="125"/>
      <c r="I9" s="125"/>
      <c r="J9" s="131">
        <v>0.1</v>
      </c>
    </row>
    <row r="10" spans="1:16" x14ac:dyDescent="0.25">
      <c r="A10" s="124">
        <v>46120</v>
      </c>
      <c r="B10" s="125">
        <v>2</v>
      </c>
      <c r="C10" s="125" t="s">
        <v>1095</v>
      </c>
      <c r="D10" s="125" t="s">
        <v>811</v>
      </c>
      <c r="E10" s="126">
        <v>2199</v>
      </c>
      <c r="F10" s="126">
        <f t="shared" si="0"/>
        <v>4398</v>
      </c>
      <c r="G10" s="125" t="s">
        <v>62</v>
      </c>
      <c r="H10" s="125"/>
      <c r="I10" s="125"/>
      <c r="J10" s="131">
        <v>0.1</v>
      </c>
    </row>
    <row r="11" spans="1:16" x14ac:dyDescent="0.25">
      <c r="A11" s="68">
        <v>46120</v>
      </c>
      <c r="B11" s="2">
        <v>4</v>
      </c>
      <c r="C11" s="2" t="s">
        <v>1027</v>
      </c>
      <c r="D11" s="2" t="s">
        <v>857</v>
      </c>
      <c r="E11" s="65">
        <v>25</v>
      </c>
      <c r="F11" s="65">
        <f t="shared" si="0"/>
        <v>100</v>
      </c>
      <c r="G11" s="2" t="s">
        <v>622</v>
      </c>
      <c r="H11" s="2"/>
      <c r="I11" s="2" t="s">
        <v>85</v>
      </c>
      <c r="J11" s="2"/>
    </row>
    <row r="12" spans="1:16" x14ac:dyDescent="0.25">
      <c r="A12" s="68">
        <v>46130</v>
      </c>
      <c r="B12" s="2">
        <v>4</v>
      </c>
      <c r="C12" s="2" t="s">
        <v>1172</v>
      </c>
      <c r="D12" s="2" t="s">
        <v>1207</v>
      </c>
      <c r="E12" s="65">
        <v>1199</v>
      </c>
      <c r="F12" s="65">
        <f t="shared" si="0"/>
        <v>4796</v>
      </c>
      <c r="G12" s="2" t="s">
        <v>348</v>
      </c>
      <c r="H12" s="2"/>
      <c r="I12" s="2" t="s">
        <v>1183</v>
      </c>
      <c r="J12" s="2"/>
    </row>
    <row r="13" spans="1:16" x14ac:dyDescent="0.25">
      <c r="A13" s="68">
        <v>46119</v>
      </c>
      <c r="B13" s="2">
        <v>40</v>
      </c>
      <c r="C13" s="2" t="s">
        <v>1177</v>
      </c>
      <c r="D13" s="2" t="s">
        <v>811</v>
      </c>
      <c r="E13" s="65">
        <v>2199</v>
      </c>
      <c r="F13" s="65">
        <f t="shared" si="0"/>
        <v>87960</v>
      </c>
      <c r="G13" s="2" t="s">
        <v>1181</v>
      </c>
      <c r="H13" s="2"/>
      <c r="I13" s="2" t="s">
        <v>981</v>
      </c>
      <c r="J13" s="107">
        <v>0.1</v>
      </c>
    </row>
    <row r="14" spans="1:16" x14ac:dyDescent="0.25">
      <c r="A14" s="68">
        <v>46119</v>
      </c>
      <c r="B14" s="2">
        <v>6</v>
      </c>
      <c r="C14" s="2" t="s">
        <v>1178</v>
      </c>
      <c r="D14" s="2" t="s">
        <v>811</v>
      </c>
      <c r="E14" s="65">
        <v>689</v>
      </c>
      <c r="F14" s="65">
        <f t="shared" si="0"/>
        <v>4134</v>
      </c>
      <c r="G14" s="2" t="s">
        <v>1181</v>
      </c>
      <c r="H14" s="2"/>
      <c r="I14" s="2" t="s">
        <v>981</v>
      </c>
      <c r="J14" s="107">
        <v>0.1</v>
      </c>
    </row>
    <row r="15" spans="1:16" x14ac:dyDescent="0.25">
      <c r="A15" s="68">
        <v>46119</v>
      </c>
      <c r="B15" s="2">
        <v>7</v>
      </c>
      <c r="C15" s="2" t="s">
        <v>664</v>
      </c>
      <c r="D15" s="2" t="s">
        <v>811</v>
      </c>
      <c r="E15" s="65">
        <v>398</v>
      </c>
      <c r="F15" s="65">
        <f t="shared" si="0"/>
        <v>2786</v>
      </c>
      <c r="G15" s="2" t="s">
        <v>1181</v>
      </c>
      <c r="H15" s="2"/>
      <c r="I15" s="2" t="s">
        <v>981</v>
      </c>
      <c r="J15" s="107">
        <v>0.1</v>
      </c>
    </row>
    <row r="16" spans="1:16" x14ac:dyDescent="0.25">
      <c r="A16" s="68">
        <v>46119</v>
      </c>
      <c r="B16" s="2">
        <v>60</v>
      </c>
      <c r="C16" s="2" t="s">
        <v>664</v>
      </c>
      <c r="D16" s="2" t="s">
        <v>1179</v>
      </c>
      <c r="E16" s="65">
        <v>398</v>
      </c>
      <c r="F16" s="65">
        <f t="shared" si="0"/>
        <v>23880</v>
      </c>
      <c r="G16" s="2" t="s">
        <v>1181</v>
      </c>
      <c r="H16" s="2"/>
      <c r="I16" s="2" t="s">
        <v>981</v>
      </c>
      <c r="J16" s="107"/>
    </row>
    <row r="17" spans="1:18" x14ac:dyDescent="0.25">
      <c r="A17" s="68">
        <v>46130</v>
      </c>
      <c r="B17" s="2">
        <v>4</v>
      </c>
      <c r="C17" s="2" t="s">
        <v>1172</v>
      </c>
      <c r="D17" s="2" t="s">
        <v>1180</v>
      </c>
      <c r="E17" s="3">
        <v>1199</v>
      </c>
      <c r="F17" s="3">
        <f t="shared" si="0"/>
        <v>4796</v>
      </c>
      <c r="G17" s="2" t="s">
        <v>348</v>
      </c>
      <c r="H17" s="2"/>
      <c r="I17" s="2" t="s">
        <v>1183</v>
      </c>
      <c r="J17" s="107"/>
    </row>
    <row r="18" spans="1:18" x14ac:dyDescent="0.25">
      <c r="A18" s="68">
        <v>46132</v>
      </c>
      <c r="B18" s="2">
        <v>4</v>
      </c>
      <c r="C18" s="2" t="s">
        <v>1172</v>
      </c>
      <c r="D18" s="2" t="s">
        <v>1207</v>
      </c>
      <c r="E18" s="3">
        <v>1199</v>
      </c>
      <c r="F18" s="3">
        <f t="shared" ref="F18:F66" si="1">E18*B18</f>
        <v>4796</v>
      </c>
      <c r="G18" s="2" t="s">
        <v>348</v>
      </c>
      <c r="H18" s="2"/>
      <c r="I18" s="2" t="s">
        <v>1182</v>
      </c>
      <c r="J18" s="2"/>
    </row>
    <row r="19" spans="1:18" x14ac:dyDescent="0.25">
      <c r="A19" s="68">
        <v>46132</v>
      </c>
      <c r="B19" s="2">
        <v>2</v>
      </c>
      <c r="C19" s="2" t="s">
        <v>1172</v>
      </c>
      <c r="D19" s="2" t="s">
        <v>1180</v>
      </c>
      <c r="E19" s="3">
        <v>1199</v>
      </c>
      <c r="F19" s="3">
        <f t="shared" si="1"/>
        <v>2398</v>
      </c>
      <c r="G19" s="2" t="s">
        <v>348</v>
      </c>
      <c r="H19" s="2"/>
      <c r="I19" s="2" t="s">
        <v>1183</v>
      </c>
      <c r="J19" s="2"/>
      <c r="K19" s="108" t="s">
        <v>1187</v>
      </c>
    </row>
    <row r="20" spans="1:18" x14ac:dyDescent="0.25">
      <c r="A20" s="68">
        <v>46132</v>
      </c>
      <c r="B20" s="2">
        <v>4</v>
      </c>
      <c r="C20" s="2" t="s">
        <v>1172</v>
      </c>
      <c r="D20" s="2" t="s">
        <v>1180</v>
      </c>
      <c r="E20" s="3">
        <v>1199</v>
      </c>
      <c r="F20" s="3">
        <f t="shared" si="1"/>
        <v>4796</v>
      </c>
      <c r="G20" s="2" t="s">
        <v>62</v>
      </c>
      <c r="H20" s="2"/>
      <c r="I20" s="2" t="s">
        <v>1183</v>
      </c>
      <c r="J20" s="2"/>
      <c r="K20" s="108" t="s">
        <v>1189</v>
      </c>
    </row>
    <row r="21" spans="1:18" x14ac:dyDescent="0.25">
      <c r="A21" s="68">
        <v>46132</v>
      </c>
      <c r="B21" s="2">
        <v>1</v>
      </c>
      <c r="C21" s="2" t="s">
        <v>542</v>
      </c>
      <c r="D21" s="2" t="s">
        <v>1159</v>
      </c>
      <c r="E21" s="3">
        <v>3561.82</v>
      </c>
      <c r="F21" s="3">
        <f t="shared" si="1"/>
        <v>3561.82</v>
      </c>
      <c r="G21" s="2" t="s">
        <v>622</v>
      </c>
      <c r="H21" s="2"/>
      <c r="I21" s="2" t="s">
        <v>85</v>
      </c>
      <c r="J21" s="2"/>
    </row>
    <row r="22" spans="1:18" x14ac:dyDescent="0.25">
      <c r="A22" s="68">
        <v>46132</v>
      </c>
      <c r="B22" s="2">
        <v>1</v>
      </c>
      <c r="C22" s="2" t="s">
        <v>542</v>
      </c>
      <c r="D22" s="2" t="s">
        <v>1159</v>
      </c>
      <c r="E22" s="3">
        <v>6194.93</v>
      </c>
      <c r="F22" s="3">
        <f t="shared" si="1"/>
        <v>6194.93</v>
      </c>
      <c r="G22" s="2" t="s">
        <v>622</v>
      </c>
      <c r="H22" s="2"/>
      <c r="I22" s="2" t="s">
        <v>85</v>
      </c>
      <c r="J22" s="2"/>
    </row>
    <row r="23" spans="1:18" x14ac:dyDescent="0.25">
      <c r="A23" s="68">
        <v>46133</v>
      </c>
      <c r="B23" s="2">
        <v>1</v>
      </c>
      <c r="C23" s="2" t="s">
        <v>1192</v>
      </c>
      <c r="D23" s="2" t="s">
        <v>1193</v>
      </c>
      <c r="E23" s="3">
        <v>500</v>
      </c>
      <c r="F23" s="3">
        <v>500</v>
      </c>
      <c r="G23" s="2" t="s">
        <v>1194</v>
      </c>
      <c r="H23" s="2"/>
      <c r="I23" s="2" t="s">
        <v>1183</v>
      </c>
      <c r="J23" s="2"/>
    </row>
    <row r="24" spans="1:18" x14ac:dyDescent="0.25">
      <c r="A24" s="68">
        <v>46133</v>
      </c>
      <c r="B24" s="2">
        <v>2</v>
      </c>
      <c r="C24" s="2" t="s">
        <v>1172</v>
      </c>
      <c r="D24" s="2" t="s">
        <v>1191</v>
      </c>
      <c r="E24" s="3">
        <v>1249</v>
      </c>
      <c r="F24" s="3">
        <f t="shared" si="1"/>
        <v>2498</v>
      </c>
      <c r="G24" s="2" t="s">
        <v>8</v>
      </c>
      <c r="H24" s="2"/>
      <c r="I24" s="2" t="s">
        <v>1182</v>
      </c>
      <c r="J24" s="68">
        <v>46140</v>
      </c>
      <c r="K24" s="109" t="s">
        <v>1190</v>
      </c>
    </row>
    <row r="25" spans="1:18" x14ac:dyDescent="0.25">
      <c r="A25" s="68">
        <v>46134</v>
      </c>
      <c r="B25" s="2">
        <v>2</v>
      </c>
      <c r="C25" s="2" t="s">
        <v>1172</v>
      </c>
      <c r="D25" s="2" t="s">
        <v>1180</v>
      </c>
      <c r="E25" s="3">
        <v>1199</v>
      </c>
      <c r="F25" s="3">
        <f t="shared" si="1"/>
        <v>2398</v>
      </c>
      <c r="G25" s="2" t="s">
        <v>348</v>
      </c>
      <c r="H25" s="2"/>
      <c r="I25" s="2" t="s">
        <v>1183</v>
      </c>
      <c r="J25" s="2"/>
      <c r="K25" s="110" t="s">
        <v>1195</v>
      </c>
    </row>
    <row r="26" spans="1:18" x14ac:dyDescent="0.25">
      <c r="A26" s="68">
        <v>46133</v>
      </c>
      <c r="B26" s="2">
        <v>10</v>
      </c>
      <c r="C26" s="2" t="s">
        <v>1172</v>
      </c>
      <c r="D26" s="2" t="s">
        <v>1230</v>
      </c>
      <c r="E26" s="3">
        <v>999</v>
      </c>
      <c r="F26" s="3">
        <f t="shared" si="1"/>
        <v>9990</v>
      </c>
      <c r="G26" s="2" t="s">
        <v>8</v>
      </c>
      <c r="H26" s="2"/>
      <c r="I26" s="2"/>
      <c r="J26" s="2"/>
      <c r="O26" t="s">
        <v>1243</v>
      </c>
      <c r="P26">
        <v>50</v>
      </c>
      <c r="Q26">
        <v>38</v>
      </c>
      <c r="R26">
        <v>38</v>
      </c>
    </row>
    <row r="27" spans="1:18" x14ac:dyDescent="0.25">
      <c r="A27" s="68">
        <v>46136</v>
      </c>
      <c r="B27" s="2">
        <v>32</v>
      </c>
      <c r="C27" s="2" t="s">
        <v>664</v>
      </c>
      <c r="D27" s="2" t="s">
        <v>1196</v>
      </c>
      <c r="E27" s="3">
        <v>398</v>
      </c>
      <c r="F27" s="3">
        <f t="shared" si="1"/>
        <v>12736</v>
      </c>
      <c r="G27" s="2" t="s">
        <v>8</v>
      </c>
      <c r="H27" s="2"/>
      <c r="I27" s="2"/>
      <c r="J27" s="2"/>
    </row>
    <row r="28" spans="1:18" x14ac:dyDescent="0.25">
      <c r="A28" s="68">
        <v>46136</v>
      </c>
      <c r="B28" s="2"/>
      <c r="C28" s="2" t="s">
        <v>664</v>
      </c>
      <c r="D28" s="2" t="s">
        <v>879</v>
      </c>
      <c r="E28" s="3">
        <v>398</v>
      </c>
      <c r="F28" s="3">
        <v>6500</v>
      </c>
      <c r="G28" s="2" t="s">
        <v>1194</v>
      </c>
      <c r="H28" s="2"/>
      <c r="I28" s="2" t="s">
        <v>1220</v>
      </c>
      <c r="J28" s="2"/>
    </row>
    <row r="29" spans="1:18" x14ac:dyDescent="0.25">
      <c r="A29" s="68">
        <v>46136</v>
      </c>
      <c r="B29" s="2">
        <v>1</v>
      </c>
      <c r="C29" s="2" t="s">
        <v>1197</v>
      </c>
      <c r="D29" s="2" t="s">
        <v>1198</v>
      </c>
      <c r="E29" s="3">
        <v>405</v>
      </c>
      <c r="F29" s="3">
        <f t="shared" si="1"/>
        <v>405</v>
      </c>
      <c r="G29" s="2"/>
      <c r="H29" s="2"/>
      <c r="I29" s="2" t="s">
        <v>85</v>
      </c>
      <c r="J29" s="2"/>
    </row>
    <row r="30" spans="1:18" x14ac:dyDescent="0.25">
      <c r="A30" s="68">
        <v>46137</v>
      </c>
      <c r="B30" s="2">
        <v>4</v>
      </c>
      <c r="C30" s="2" t="s">
        <v>664</v>
      </c>
      <c r="D30" s="2" t="s">
        <v>846</v>
      </c>
      <c r="E30" s="3">
        <v>398</v>
      </c>
      <c r="F30" s="3">
        <f t="shared" si="1"/>
        <v>1592</v>
      </c>
      <c r="G30" s="2" t="s">
        <v>8</v>
      </c>
      <c r="H30" s="2"/>
      <c r="I30" s="2"/>
      <c r="J30" s="2"/>
    </row>
    <row r="31" spans="1:18" x14ac:dyDescent="0.25">
      <c r="A31" s="124">
        <v>46138</v>
      </c>
      <c r="B31" s="125">
        <v>2</v>
      </c>
      <c r="C31" s="125" t="s">
        <v>1172</v>
      </c>
      <c r="D31" s="125" t="s">
        <v>1180</v>
      </c>
      <c r="E31" s="132">
        <v>1199</v>
      </c>
      <c r="F31" s="132">
        <f t="shared" si="1"/>
        <v>2398</v>
      </c>
      <c r="G31" s="125" t="s">
        <v>62</v>
      </c>
      <c r="H31" s="125"/>
      <c r="I31" s="125" t="s">
        <v>1183</v>
      </c>
      <c r="J31" s="125"/>
      <c r="K31" s="133" t="s">
        <v>1203</v>
      </c>
      <c r="L31" s="111" t="s">
        <v>1205</v>
      </c>
      <c r="O31" t="s">
        <v>1244</v>
      </c>
      <c r="P31">
        <v>14</v>
      </c>
      <c r="Q31">
        <v>22</v>
      </c>
      <c r="R31">
        <v>8</v>
      </c>
    </row>
    <row r="32" spans="1:18" x14ac:dyDescent="0.25">
      <c r="A32" s="124">
        <v>46138</v>
      </c>
      <c r="B32" s="125">
        <v>2</v>
      </c>
      <c r="C32" s="125" t="s">
        <v>1172</v>
      </c>
      <c r="D32" s="125" t="s">
        <v>1180</v>
      </c>
      <c r="E32" s="132">
        <v>1199</v>
      </c>
      <c r="F32" s="132">
        <f t="shared" si="1"/>
        <v>2398</v>
      </c>
      <c r="G32" s="125" t="s">
        <v>62</v>
      </c>
      <c r="H32" s="125"/>
      <c r="I32" s="125" t="s">
        <v>1183</v>
      </c>
      <c r="J32" s="125"/>
      <c r="K32" s="133" t="s">
        <v>1204</v>
      </c>
      <c r="L32" s="111" t="s">
        <v>1205</v>
      </c>
      <c r="O32" t="s">
        <v>1245</v>
      </c>
      <c r="P32">
        <v>2</v>
      </c>
    </row>
    <row r="33" spans="1:16" x14ac:dyDescent="0.25">
      <c r="A33" s="124">
        <v>46138</v>
      </c>
      <c r="B33" s="125">
        <v>2</v>
      </c>
      <c r="C33" s="125" t="s">
        <v>1172</v>
      </c>
      <c r="D33" s="125" t="s">
        <v>1180</v>
      </c>
      <c r="E33" s="132">
        <v>1199</v>
      </c>
      <c r="F33" s="132">
        <f t="shared" si="1"/>
        <v>2398</v>
      </c>
      <c r="G33" s="125" t="s">
        <v>62</v>
      </c>
      <c r="H33" s="125"/>
      <c r="I33" s="125" t="s">
        <v>1183</v>
      </c>
      <c r="J33" s="125"/>
      <c r="K33" s="133" t="s">
        <v>1206</v>
      </c>
      <c r="P33">
        <v>32</v>
      </c>
    </row>
    <row r="34" spans="1:16" x14ac:dyDescent="0.25">
      <c r="A34" s="68">
        <v>46138</v>
      </c>
      <c r="B34" s="2">
        <v>2</v>
      </c>
      <c r="C34" s="2" t="s">
        <v>1172</v>
      </c>
      <c r="D34" s="2" t="s">
        <v>1207</v>
      </c>
      <c r="E34" s="3">
        <v>1199</v>
      </c>
      <c r="F34" s="3">
        <f t="shared" si="1"/>
        <v>2398</v>
      </c>
      <c r="G34" s="2" t="s">
        <v>348</v>
      </c>
      <c r="H34" s="2"/>
      <c r="I34" s="2" t="s">
        <v>1183</v>
      </c>
      <c r="J34" s="2"/>
      <c r="K34" s="112">
        <v>1429940666</v>
      </c>
    </row>
    <row r="35" spans="1:16" x14ac:dyDescent="0.25">
      <c r="A35" s="68">
        <v>46138</v>
      </c>
      <c r="B35" s="2">
        <v>2</v>
      </c>
      <c r="C35" s="2" t="s">
        <v>1172</v>
      </c>
      <c r="D35" s="2" t="s">
        <v>1207</v>
      </c>
      <c r="E35" s="3">
        <v>1199</v>
      </c>
      <c r="F35" s="3">
        <f t="shared" si="1"/>
        <v>2398</v>
      </c>
      <c r="G35" s="2" t="s">
        <v>348</v>
      </c>
      <c r="H35" s="2"/>
      <c r="I35" s="2" t="s">
        <v>1182</v>
      </c>
      <c r="J35" s="2"/>
      <c r="K35" s="112" t="s">
        <v>1208</v>
      </c>
    </row>
    <row r="36" spans="1:16" x14ac:dyDescent="0.25">
      <c r="A36" s="134">
        <v>46138</v>
      </c>
      <c r="B36" s="135">
        <v>2</v>
      </c>
      <c r="C36" s="135" t="s">
        <v>1172</v>
      </c>
      <c r="D36" s="135" t="s">
        <v>1207</v>
      </c>
      <c r="E36" s="136">
        <v>1199</v>
      </c>
      <c r="F36" s="136">
        <f t="shared" si="1"/>
        <v>2398</v>
      </c>
      <c r="G36" s="135" t="s">
        <v>62</v>
      </c>
      <c r="H36" s="135"/>
      <c r="I36" s="135" t="s">
        <v>1182</v>
      </c>
      <c r="J36" s="135"/>
      <c r="K36" s="137">
        <v>1429956430</v>
      </c>
    </row>
    <row r="37" spans="1:16" x14ac:dyDescent="0.25">
      <c r="A37" s="124">
        <v>46138</v>
      </c>
      <c r="B37" s="125">
        <v>2</v>
      </c>
      <c r="C37" s="125" t="s">
        <v>1172</v>
      </c>
      <c r="D37" s="125" t="s">
        <v>1207</v>
      </c>
      <c r="E37" s="132">
        <v>1199</v>
      </c>
      <c r="F37" s="132">
        <f t="shared" si="1"/>
        <v>2398</v>
      </c>
      <c r="G37" s="125" t="s">
        <v>62</v>
      </c>
      <c r="H37" s="125"/>
      <c r="I37" s="125" t="s">
        <v>1182</v>
      </c>
      <c r="J37" s="125"/>
      <c r="K37" s="138">
        <v>1429956552</v>
      </c>
      <c r="L37" s="2"/>
    </row>
    <row r="38" spans="1:16" x14ac:dyDescent="0.25">
      <c r="A38" s="124">
        <v>46138</v>
      </c>
      <c r="B38" s="125">
        <v>2</v>
      </c>
      <c r="C38" s="125" t="s">
        <v>1172</v>
      </c>
      <c r="D38" s="125" t="s">
        <v>1180</v>
      </c>
      <c r="E38" s="132">
        <v>1199</v>
      </c>
      <c r="F38" s="132">
        <f t="shared" si="1"/>
        <v>2398</v>
      </c>
      <c r="G38" s="125" t="s">
        <v>62</v>
      </c>
      <c r="H38" s="125"/>
      <c r="I38" s="125" t="s">
        <v>1183</v>
      </c>
      <c r="J38" s="125"/>
      <c r="K38" s="139" t="s">
        <v>1209</v>
      </c>
      <c r="L38" s="2"/>
    </row>
    <row r="39" spans="1:16" x14ac:dyDescent="0.25">
      <c r="A39" s="68">
        <v>46138</v>
      </c>
      <c r="B39" s="2">
        <v>5</v>
      </c>
      <c r="C39" s="2" t="s">
        <v>664</v>
      </c>
      <c r="D39" s="2" t="s">
        <v>1210</v>
      </c>
      <c r="E39" s="3">
        <v>398</v>
      </c>
      <c r="F39" s="3">
        <f t="shared" si="1"/>
        <v>1990</v>
      </c>
      <c r="G39" s="2" t="s">
        <v>8</v>
      </c>
      <c r="H39" s="2"/>
      <c r="I39" s="2"/>
      <c r="J39" s="2"/>
      <c r="K39" s="2"/>
      <c r="L39" s="2"/>
    </row>
    <row r="40" spans="1:16" x14ac:dyDescent="0.25">
      <c r="A40" s="68">
        <v>46138</v>
      </c>
      <c r="B40" s="2">
        <v>2</v>
      </c>
      <c r="C40" s="2" t="s">
        <v>1211</v>
      </c>
      <c r="D40" s="2" t="s">
        <v>101</v>
      </c>
      <c r="E40" s="3">
        <v>2199</v>
      </c>
      <c r="F40" s="3">
        <f t="shared" si="1"/>
        <v>4398</v>
      </c>
      <c r="G40" s="2" t="s">
        <v>8</v>
      </c>
      <c r="H40" s="2"/>
      <c r="I40" s="2" t="s">
        <v>115</v>
      </c>
      <c r="J40" s="2"/>
      <c r="K40" s="2"/>
      <c r="L40" s="2"/>
    </row>
    <row r="41" spans="1:16" x14ac:dyDescent="0.25">
      <c r="A41" s="68">
        <v>46138</v>
      </c>
      <c r="B41" s="2">
        <v>2</v>
      </c>
      <c r="C41" s="2" t="s">
        <v>1212</v>
      </c>
      <c r="D41" s="2" t="s">
        <v>101</v>
      </c>
      <c r="E41" s="3">
        <v>2199</v>
      </c>
      <c r="F41" s="3">
        <f t="shared" si="1"/>
        <v>4398</v>
      </c>
      <c r="G41" s="2" t="s">
        <v>8</v>
      </c>
      <c r="H41" s="2"/>
      <c r="I41" s="2" t="s">
        <v>115</v>
      </c>
      <c r="J41" s="2"/>
      <c r="K41" s="2"/>
      <c r="L41" s="2"/>
    </row>
    <row r="42" spans="1:16" x14ac:dyDescent="0.25">
      <c r="A42" s="68">
        <v>46138</v>
      </c>
      <c r="B42" s="2">
        <v>1</v>
      </c>
      <c r="C42" s="2" t="s">
        <v>664</v>
      </c>
      <c r="D42" s="2" t="s">
        <v>101</v>
      </c>
      <c r="E42" s="3">
        <v>399</v>
      </c>
      <c r="F42" s="3">
        <f t="shared" si="1"/>
        <v>399</v>
      </c>
      <c r="G42" s="2" t="s">
        <v>8</v>
      </c>
      <c r="H42" s="2"/>
      <c r="I42" s="2" t="s">
        <v>115</v>
      </c>
      <c r="J42" s="2"/>
      <c r="K42" s="2"/>
      <c r="L42" s="2"/>
    </row>
    <row r="43" spans="1:16" x14ac:dyDescent="0.25">
      <c r="A43" s="68">
        <v>46138</v>
      </c>
      <c r="B43" s="2">
        <v>1</v>
      </c>
      <c r="C43" s="2" t="s">
        <v>1213</v>
      </c>
      <c r="D43" s="2" t="s">
        <v>101</v>
      </c>
      <c r="E43" s="3">
        <v>1400</v>
      </c>
      <c r="F43" s="3">
        <f t="shared" si="1"/>
        <v>1400</v>
      </c>
      <c r="G43" s="2" t="s">
        <v>8</v>
      </c>
      <c r="H43" s="2"/>
      <c r="I43" s="2" t="s">
        <v>115</v>
      </c>
      <c r="J43" s="2"/>
      <c r="K43" s="2"/>
      <c r="L43" s="2"/>
    </row>
    <row r="44" spans="1:16" x14ac:dyDescent="0.25">
      <c r="A44" s="68">
        <v>46138</v>
      </c>
      <c r="B44" s="2">
        <v>1</v>
      </c>
      <c r="C44" s="2" t="s">
        <v>1214</v>
      </c>
      <c r="D44" s="2" t="s">
        <v>101</v>
      </c>
      <c r="E44" s="3">
        <v>675.79</v>
      </c>
      <c r="F44" s="3">
        <f t="shared" si="1"/>
        <v>675.79</v>
      </c>
      <c r="G44" s="2" t="s">
        <v>8</v>
      </c>
      <c r="H44" s="2"/>
      <c r="I44" s="2" t="s">
        <v>115</v>
      </c>
      <c r="J44" s="2"/>
      <c r="K44" s="2"/>
      <c r="L44" s="2"/>
    </row>
    <row r="45" spans="1:16" x14ac:dyDescent="0.25">
      <c r="A45" s="68">
        <v>46139</v>
      </c>
      <c r="B45" s="2">
        <v>2</v>
      </c>
      <c r="C45" s="2" t="s">
        <v>1212</v>
      </c>
      <c r="D45" s="2" t="s">
        <v>101</v>
      </c>
      <c r="E45" s="3">
        <v>2199</v>
      </c>
      <c r="F45" s="3">
        <f t="shared" si="1"/>
        <v>4398</v>
      </c>
      <c r="G45" s="2" t="s">
        <v>8</v>
      </c>
      <c r="H45" s="2"/>
      <c r="I45" s="2" t="s">
        <v>115</v>
      </c>
      <c r="J45" s="2"/>
      <c r="K45" s="2"/>
      <c r="L45" s="2"/>
    </row>
    <row r="46" spans="1:16" x14ac:dyDescent="0.25">
      <c r="A46" s="68">
        <v>46139</v>
      </c>
      <c r="B46" s="2">
        <v>1</v>
      </c>
      <c r="C46" s="2" t="s">
        <v>1214</v>
      </c>
      <c r="D46" s="2" t="s">
        <v>101</v>
      </c>
      <c r="E46" s="3">
        <v>689</v>
      </c>
      <c r="F46" s="3">
        <f t="shared" si="1"/>
        <v>689</v>
      </c>
      <c r="G46" s="2" t="s">
        <v>8</v>
      </c>
      <c r="H46" s="2"/>
      <c r="I46" s="2" t="s">
        <v>115</v>
      </c>
      <c r="J46" s="2"/>
      <c r="K46" s="2"/>
      <c r="L46" s="2"/>
    </row>
    <row r="47" spans="1:16" x14ac:dyDescent="0.25">
      <c r="A47" s="68">
        <v>46139</v>
      </c>
      <c r="B47" s="2">
        <v>1</v>
      </c>
      <c r="C47" s="2" t="s">
        <v>1218</v>
      </c>
      <c r="D47" s="2" t="s">
        <v>101</v>
      </c>
      <c r="E47" s="3">
        <v>4500</v>
      </c>
      <c r="F47" s="3">
        <f t="shared" si="1"/>
        <v>4500</v>
      </c>
      <c r="G47" s="2" t="s">
        <v>8</v>
      </c>
      <c r="H47" s="2"/>
      <c r="I47" s="2" t="s">
        <v>115</v>
      </c>
      <c r="J47" s="2"/>
      <c r="K47" s="2"/>
      <c r="L47" s="2"/>
    </row>
    <row r="48" spans="1:16" x14ac:dyDescent="0.25">
      <c r="A48" s="68">
        <v>46139</v>
      </c>
      <c r="B48" s="2">
        <v>1</v>
      </c>
      <c r="C48" s="2" t="s">
        <v>664</v>
      </c>
      <c r="D48" s="2" t="s">
        <v>101</v>
      </c>
      <c r="E48" s="3">
        <v>299</v>
      </c>
      <c r="F48" s="3">
        <f t="shared" si="1"/>
        <v>299</v>
      </c>
      <c r="G48" s="2" t="s">
        <v>8</v>
      </c>
      <c r="H48" s="2"/>
      <c r="I48" s="2" t="s">
        <v>115</v>
      </c>
      <c r="J48" s="2"/>
      <c r="K48" s="2"/>
      <c r="L48" s="2"/>
    </row>
    <row r="49" spans="1:12" x14ac:dyDescent="0.25">
      <c r="A49" s="68">
        <v>46139</v>
      </c>
      <c r="B49" s="2">
        <v>11</v>
      </c>
      <c r="C49" s="2" t="s">
        <v>697</v>
      </c>
      <c r="D49" s="2" t="s">
        <v>101</v>
      </c>
      <c r="E49" s="3">
        <v>125</v>
      </c>
      <c r="F49" s="3">
        <f t="shared" si="1"/>
        <v>1375</v>
      </c>
      <c r="G49" s="2" t="s">
        <v>8</v>
      </c>
      <c r="H49" s="2"/>
      <c r="I49" s="2" t="s">
        <v>115</v>
      </c>
      <c r="J49" s="2"/>
      <c r="K49" s="2"/>
      <c r="L49" s="2"/>
    </row>
    <row r="50" spans="1:12" x14ac:dyDescent="0.25">
      <c r="A50" s="68">
        <v>46139</v>
      </c>
      <c r="B50" s="2">
        <v>2</v>
      </c>
      <c r="C50" s="2" t="s">
        <v>1215</v>
      </c>
      <c r="D50" s="2" t="s">
        <v>101</v>
      </c>
      <c r="E50" s="3">
        <v>2199</v>
      </c>
      <c r="F50" s="3">
        <f t="shared" si="1"/>
        <v>4398</v>
      </c>
      <c r="G50" s="2" t="s">
        <v>1216</v>
      </c>
      <c r="H50" s="2"/>
      <c r="I50" s="2" t="s">
        <v>115</v>
      </c>
      <c r="J50" s="2"/>
      <c r="K50" s="2"/>
      <c r="L50" s="2"/>
    </row>
    <row r="51" spans="1:12" x14ac:dyDescent="0.25">
      <c r="A51" s="68">
        <v>46139</v>
      </c>
      <c r="B51" s="2">
        <v>1</v>
      </c>
      <c r="C51" s="2" t="s">
        <v>1217</v>
      </c>
      <c r="D51" s="2" t="s">
        <v>101</v>
      </c>
      <c r="E51" s="3">
        <v>3440</v>
      </c>
      <c r="F51" s="3">
        <f t="shared" si="1"/>
        <v>3440</v>
      </c>
      <c r="G51" s="2" t="s">
        <v>8</v>
      </c>
      <c r="H51" s="2"/>
      <c r="I51" s="2" t="s">
        <v>115</v>
      </c>
      <c r="J51" s="2"/>
      <c r="K51" s="2"/>
      <c r="L51" s="2"/>
    </row>
    <row r="52" spans="1:12" x14ac:dyDescent="0.25">
      <c r="A52" s="68">
        <v>46139</v>
      </c>
      <c r="B52" s="2">
        <v>1</v>
      </c>
      <c r="C52" s="2" t="s">
        <v>1214</v>
      </c>
      <c r="D52" s="2" t="s">
        <v>101</v>
      </c>
      <c r="E52" s="3">
        <v>689</v>
      </c>
      <c r="F52" s="3">
        <f t="shared" si="1"/>
        <v>689</v>
      </c>
      <c r="G52" s="2" t="s">
        <v>8</v>
      </c>
      <c r="H52" s="2"/>
      <c r="I52" s="2" t="s">
        <v>115</v>
      </c>
      <c r="J52" s="2"/>
      <c r="K52" s="2"/>
      <c r="L52" s="2"/>
    </row>
    <row r="53" spans="1:12" x14ac:dyDescent="0.25">
      <c r="A53" s="68">
        <v>46139</v>
      </c>
      <c r="B53" s="2">
        <v>2</v>
      </c>
      <c r="C53" s="2" t="s">
        <v>1215</v>
      </c>
      <c r="D53" s="2" t="s">
        <v>101</v>
      </c>
      <c r="E53" s="3">
        <v>2199</v>
      </c>
      <c r="F53" s="3">
        <f t="shared" si="1"/>
        <v>4398</v>
      </c>
      <c r="G53" s="2" t="s">
        <v>694</v>
      </c>
      <c r="H53" s="2"/>
      <c r="I53" s="2" t="s">
        <v>115</v>
      </c>
      <c r="J53" s="2"/>
      <c r="K53" s="2"/>
      <c r="L53" s="2"/>
    </row>
    <row r="54" spans="1:12" x14ac:dyDescent="0.25">
      <c r="A54" s="68">
        <v>46139</v>
      </c>
      <c r="B54" s="2">
        <v>1</v>
      </c>
      <c r="C54" s="2" t="s">
        <v>664</v>
      </c>
      <c r="D54" s="2" t="s">
        <v>101</v>
      </c>
      <c r="E54" s="3">
        <v>299</v>
      </c>
      <c r="F54" s="3">
        <f t="shared" si="1"/>
        <v>299</v>
      </c>
      <c r="G54" s="2" t="s">
        <v>694</v>
      </c>
      <c r="H54" s="2"/>
      <c r="I54" s="2" t="s">
        <v>115</v>
      </c>
      <c r="J54" s="2"/>
      <c r="K54" s="2"/>
      <c r="L54" s="2"/>
    </row>
    <row r="55" spans="1:12" x14ac:dyDescent="0.25">
      <c r="A55" s="68">
        <v>46139</v>
      </c>
      <c r="B55" s="2">
        <v>1</v>
      </c>
      <c r="C55" s="2" t="s">
        <v>1218</v>
      </c>
      <c r="D55" s="2" t="s">
        <v>101</v>
      </c>
      <c r="E55" s="3">
        <v>4500</v>
      </c>
      <c r="F55" s="3">
        <f t="shared" si="1"/>
        <v>4500</v>
      </c>
      <c r="G55" s="2" t="s">
        <v>694</v>
      </c>
      <c r="H55" s="2"/>
      <c r="I55" s="2" t="s">
        <v>115</v>
      </c>
      <c r="J55" s="2"/>
      <c r="K55" s="2"/>
      <c r="L55" s="2"/>
    </row>
    <row r="56" spans="1:12" x14ac:dyDescent="0.25">
      <c r="A56" s="68">
        <v>46139</v>
      </c>
      <c r="B56" s="2">
        <v>3</v>
      </c>
      <c r="C56" s="2" t="s">
        <v>1215</v>
      </c>
      <c r="D56" s="2" t="s">
        <v>688</v>
      </c>
      <c r="E56" s="3">
        <v>2199</v>
      </c>
      <c r="F56" s="3">
        <f t="shared" si="1"/>
        <v>6597</v>
      </c>
      <c r="G56" s="2" t="s">
        <v>8</v>
      </c>
      <c r="H56" s="2"/>
      <c r="I56" s="2" t="s">
        <v>115</v>
      </c>
      <c r="J56" s="2"/>
      <c r="K56" s="2"/>
      <c r="L56" s="2"/>
    </row>
    <row r="57" spans="1:12" x14ac:dyDescent="0.25">
      <c r="A57" s="68">
        <v>46139</v>
      </c>
      <c r="B57" s="2">
        <v>3</v>
      </c>
      <c r="C57" s="2" t="s">
        <v>1215</v>
      </c>
      <c r="D57" s="2" t="s">
        <v>688</v>
      </c>
      <c r="E57" s="3">
        <v>2199</v>
      </c>
      <c r="F57" s="3">
        <f t="shared" si="1"/>
        <v>6597</v>
      </c>
      <c r="G57" s="2" t="s">
        <v>8</v>
      </c>
      <c r="H57" s="2"/>
      <c r="I57" s="2" t="s">
        <v>115</v>
      </c>
      <c r="J57" s="2"/>
      <c r="K57" s="2"/>
      <c r="L57" s="2"/>
    </row>
    <row r="58" spans="1:12" x14ac:dyDescent="0.25">
      <c r="A58" s="68">
        <v>46139</v>
      </c>
      <c r="B58" s="2">
        <v>3</v>
      </c>
      <c r="C58" s="2" t="s">
        <v>664</v>
      </c>
      <c r="D58" s="2" t="s">
        <v>364</v>
      </c>
      <c r="E58" s="3">
        <v>399</v>
      </c>
      <c r="F58" s="3">
        <f t="shared" si="1"/>
        <v>1197</v>
      </c>
      <c r="G58" s="2" t="s">
        <v>8</v>
      </c>
      <c r="H58" s="2"/>
      <c r="I58" s="2"/>
      <c r="J58" s="2"/>
      <c r="K58" s="2"/>
      <c r="L58" s="2"/>
    </row>
    <row r="59" spans="1:12" x14ac:dyDescent="0.25">
      <c r="A59" s="124">
        <v>46139</v>
      </c>
      <c r="B59" s="125">
        <v>1</v>
      </c>
      <c r="C59" s="125" t="s">
        <v>378</v>
      </c>
      <c r="D59" s="125" t="s">
        <v>364</v>
      </c>
      <c r="E59" s="132">
        <v>695</v>
      </c>
      <c r="F59" s="132">
        <f t="shared" si="1"/>
        <v>695</v>
      </c>
      <c r="G59" s="125" t="s">
        <v>24</v>
      </c>
      <c r="H59" s="125"/>
      <c r="I59" s="125"/>
      <c r="J59" s="125"/>
      <c r="K59" s="125"/>
      <c r="L59" s="125"/>
    </row>
    <row r="60" spans="1:12" x14ac:dyDescent="0.25">
      <c r="A60" s="124">
        <v>46139</v>
      </c>
      <c r="B60" s="125">
        <v>1</v>
      </c>
      <c r="C60" s="125" t="s">
        <v>405</v>
      </c>
      <c r="D60" s="125" t="s">
        <v>364</v>
      </c>
      <c r="E60" s="132">
        <v>1298</v>
      </c>
      <c r="F60" s="132">
        <f t="shared" si="1"/>
        <v>1298</v>
      </c>
      <c r="G60" s="125" t="s">
        <v>24</v>
      </c>
      <c r="H60" s="125"/>
      <c r="I60" s="125"/>
      <c r="J60" s="125"/>
      <c r="K60" s="125"/>
      <c r="L60" s="125"/>
    </row>
    <row r="61" spans="1:12" x14ac:dyDescent="0.25">
      <c r="A61" s="68">
        <v>46139</v>
      </c>
      <c r="B61" s="2">
        <v>1</v>
      </c>
      <c r="C61" s="2" t="s">
        <v>664</v>
      </c>
      <c r="D61" s="2" t="s">
        <v>1219</v>
      </c>
      <c r="E61" s="3">
        <v>399</v>
      </c>
      <c r="F61" s="3">
        <f t="shared" si="1"/>
        <v>399</v>
      </c>
      <c r="G61" s="2" t="s">
        <v>8</v>
      </c>
      <c r="H61" s="2"/>
      <c r="I61" s="2"/>
      <c r="J61" s="2"/>
      <c r="K61" s="2"/>
      <c r="L61" s="2"/>
    </row>
    <row r="62" spans="1:12" x14ac:dyDescent="0.25">
      <c r="A62" s="68">
        <v>46141</v>
      </c>
      <c r="B62" s="2">
        <v>1</v>
      </c>
      <c r="C62" s="2" t="s">
        <v>542</v>
      </c>
      <c r="D62" s="2" t="s">
        <v>1222</v>
      </c>
      <c r="E62" s="2">
        <v>9079.32</v>
      </c>
      <c r="F62" s="3">
        <f t="shared" si="1"/>
        <v>9079.32</v>
      </c>
      <c r="G62" s="2" t="s">
        <v>622</v>
      </c>
      <c r="H62" s="2"/>
      <c r="I62" s="2" t="s">
        <v>85</v>
      </c>
      <c r="J62" s="2"/>
      <c r="K62" s="2"/>
      <c r="L62" s="2"/>
    </row>
    <row r="63" spans="1:12" x14ac:dyDescent="0.25">
      <c r="A63" s="124">
        <v>46142</v>
      </c>
      <c r="B63" s="125">
        <v>2</v>
      </c>
      <c r="C63" s="125" t="s">
        <v>1172</v>
      </c>
      <c r="D63" s="125" t="s">
        <v>1207</v>
      </c>
      <c r="E63" s="132">
        <v>1199</v>
      </c>
      <c r="F63" s="132">
        <f t="shared" si="1"/>
        <v>2398</v>
      </c>
      <c r="G63" s="125" t="s">
        <v>62</v>
      </c>
      <c r="H63" s="125"/>
      <c r="I63" s="141">
        <v>1432029973</v>
      </c>
      <c r="J63" s="125"/>
      <c r="K63" s="125"/>
      <c r="L63" s="125"/>
    </row>
    <row r="64" spans="1:12" x14ac:dyDescent="0.25">
      <c r="A64" s="124">
        <v>46142</v>
      </c>
      <c r="B64" s="125">
        <v>2</v>
      </c>
      <c r="C64" s="125" t="s">
        <v>1172</v>
      </c>
      <c r="D64" s="125" t="s">
        <v>1207</v>
      </c>
      <c r="E64" s="132">
        <v>1199</v>
      </c>
      <c r="F64" s="132">
        <f t="shared" si="1"/>
        <v>2398</v>
      </c>
      <c r="G64" s="125" t="s">
        <v>62</v>
      </c>
      <c r="H64" s="125"/>
      <c r="I64" s="141">
        <v>1432029553</v>
      </c>
      <c r="J64" s="125"/>
      <c r="K64" s="125"/>
      <c r="L64" s="125"/>
    </row>
    <row r="65" spans="1:12" x14ac:dyDescent="0.25">
      <c r="A65" s="124">
        <v>46142</v>
      </c>
      <c r="B65" s="125">
        <v>2</v>
      </c>
      <c r="C65" s="125" t="s">
        <v>1172</v>
      </c>
      <c r="D65" s="125" t="s">
        <v>1207</v>
      </c>
      <c r="E65" s="132">
        <v>1199</v>
      </c>
      <c r="F65" s="132">
        <f t="shared" si="1"/>
        <v>2398</v>
      </c>
      <c r="G65" s="125" t="s">
        <v>62</v>
      </c>
      <c r="H65" s="125"/>
      <c r="I65" s="141">
        <v>1429956894</v>
      </c>
      <c r="J65" s="125"/>
      <c r="K65" s="125"/>
      <c r="L65" s="125"/>
    </row>
    <row r="66" spans="1:12" x14ac:dyDescent="0.25">
      <c r="A66" s="114">
        <v>46142</v>
      </c>
      <c r="B66" s="115">
        <v>2</v>
      </c>
      <c r="C66" s="115" t="s">
        <v>1223</v>
      </c>
      <c r="D66" s="115" t="s">
        <v>1224</v>
      </c>
      <c r="E66" s="117">
        <v>999</v>
      </c>
      <c r="F66" s="117">
        <f t="shared" si="1"/>
        <v>1998</v>
      </c>
      <c r="G66" s="115" t="s">
        <v>1235</v>
      </c>
      <c r="H66" s="115"/>
      <c r="I66" s="140">
        <v>1429956894</v>
      </c>
      <c r="J66" s="115"/>
      <c r="K66" s="115"/>
      <c r="L66" s="115"/>
    </row>
    <row r="67" spans="1:12" x14ac:dyDescent="0.25">
      <c r="A67" s="2"/>
      <c r="B67" s="2"/>
      <c r="C67" s="2"/>
      <c r="D67" s="2"/>
      <c r="E67" s="2"/>
      <c r="F67" s="2"/>
      <c r="G67" s="2"/>
      <c r="H67" s="2"/>
      <c r="I67" s="112"/>
      <c r="J67" s="2"/>
      <c r="K67" s="2"/>
      <c r="L67" s="2"/>
    </row>
    <row r="68" spans="1:1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</sheetData>
  <autoFilter ref="A1:K66" xr:uid="{D9FFEC76-AD4F-420D-9C76-FA02ED20B4B9}"/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719B-B45B-4953-A262-E8A1302D2B32}">
  <dimension ref="A1:O56"/>
  <sheetViews>
    <sheetView tabSelected="1" topLeftCell="A17" workbookViewId="0">
      <selection activeCell="J37" sqref="J37"/>
    </sheetView>
  </sheetViews>
  <sheetFormatPr defaultRowHeight="15" x14ac:dyDescent="0.25"/>
  <cols>
    <col min="1" max="1" width="7.28515625" bestFit="1" customWidth="1"/>
    <col min="2" max="2" width="4" bestFit="1" customWidth="1"/>
    <col min="3" max="3" width="24.7109375" customWidth="1"/>
    <col min="4" max="4" width="30" customWidth="1"/>
    <col min="5" max="5" width="9" bestFit="1" customWidth="1"/>
    <col min="6" max="6" width="10" bestFit="1" customWidth="1"/>
    <col min="7" max="7" width="23.7109375" customWidth="1"/>
    <col min="8" max="8" width="12.42578125" customWidth="1"/>
    <col min="9" max="9" width="14.28515625" bestFit="1" customWidth="1"/>
    <col min="10" max="10" width="12.140625" bestFit="1" customWidth="1"/>
    <col min="11" max="11" width="13.2851562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4" t="s">
        <v>1188</v>
      </c>
    </row>
    <row r="2" spans="1:15" x14ac:dyDescent="0.25">
      <c r="A2" s="124">
        <v>46143</v>
      </c>
      <c r="B2" s="125">
        <v>2</v>
      </c>
      <c r="C2" s="125" t="s">
        <v>1172</v>
      </c>
      <c r="D2" s="125" t="s">
        <v>1207</v>
      </c>
      <c r="E2" s="132">
        <v>1199</v>
      </c>
      <c r="F2" s="132">
        <f t="shared" ref="F2:F10" si="0">E2*B2</f>
        <v>2398</v>
      </c>
      <c r="G2" s="125" t="s">
        <v>62</v>
      </c>
      <c r="H2" s="125"/>
      <c r="I2" s="142">
        <v>1432044182</v>
      </c>
      <c r="J2" s="125"/>
      <c r="K2" s="125"/>
    </row>
    <row r="3" spans="1:15" x14ac:dyDescent="0.25">
      <c r="A3" s="124">
        <v>46143</v>
      </c>
      <c r="B3" s="125">
        <v>2</v>
      </c>
      <c r="C3" s="125" t="s">
        <v>1172</v>
      </c>
      <c r="D3" s="125" t="s">
        <v>1207</v>
      </c>
      <c r="E3" s="132">
        <v>1199</v>
      </c>
      <c r="F3" s="132">
        <f t="shared" si="0"/>
        <v>2398</v>
      </c>
      <c r="G3" s="125" t="s">
        <v>62</v>
      </c>
      <c r="H3" s="125"/>
      <c r="I3" s="142">
        <v>1432352506</v>
      </c>
      <c r="J3" s="125"/>
      <c r="K3" s="125"/>
    </row>
    <row r="4" spans="1:15" x14ac:dyDescent="0.25">
      <c r="A4" s="124">
        <v>46143</v>
      </c>
      <c r="B4" s="125">
        <v>2</v>
      </c>
      <c r="C4" s="125" t="s">
        <v>1172</v>
      </c>
      <c r="D4" s="125" t="s">
        <v>1207</v>
      </c>
      <c r="E4" s="132">
        <v>1199</v>
      </c>
      <c r="F4" s="132">
        <f t="shared" si="0"/>
        <v>2398</v>
      </c>
      <c r="G4" s="125" t="s">
        <v>62</v>
      </c>
      <c r="H4" s="125"/>
      <c r="I4" s="142" t="s">
        <v>1226</v>
      </c>
      <c r="J4" s="125"/>
      <c r="K4" s="125"/>
    </row>
    <row r="5" spans="1:15" x14ac:dyDescent="0.25">
      <c r="A5" s="124">
        <v>46143</v>
      </c>
      <c r="B5" s="125">
        <v>2</v>
      </c>
      <c r="C5" s="125" t="s">
        <v>1172</v>
      </c>
      <c r="D5" s="125" t="s">
        <v>1207</v>
      </c>
      <c r="E5" s="132">
        <v>1199</v>
      </c>
      <c r="F5" s="132">
        <f t="shared" si="0"/>
        <v>2398</v>
      </c>
      <c r="G5" s="125" t="s">
        <v>62</v>
      </c>
      <c r="H5" s="125"/>
      <c r="I5" s="143">
        <v>1432379120</v>
      </c>
      <c r="J5" s="125"/>
      <c r="K5" s="125"/>
    </row>
    <row r="6" spans="1:15" x14ac:dyDescent="0.25">
      <c r="A6" s="114">
        <v>46144</v>
      </c>
      <c r="B6" s="115">
        <v>5</v>
      </c>
      <c r="C6" s="115" t="s">
        <v>1227</v>
      </c>
      <c r="D6" s="115" t="s">
        <v>101</v>
      </c>
      <c r="E6" s="117">
        <v>1999</v>
      </c>
      <c r="F6" s="117">
        <f t="shared" si="0"/>
        <v>9995</v>
      </c>
      <c r="G6" s="115" t="s">
        <v>8</v>
      </c>
      <c r="H6" s="115"/>
      <c r="I6" s="144"/>
      <c r="J6" s="115"/>
      <c r="K6" s="115"/>
    </row>
    <row r="7" spans="1:15" x14ac:dyDescent="0.25">
      <c r="A7" s="114">
        <v>46144</v>
      </c>
      <c r="B7" s="115">
        <v>7</v>
      </c>
      <c r="C7" s="115" t="s">
        <v>1227</v>
      </c>
      <c r="D7" s="115" t="s">
        <v>688</v>
      </c>
      <c r="E7" s="117">
        <v>1982</v>
      </c>
      <c r="F7" s="117">
        <f t="shared" si="0"/>
        <v>13874</v>
      </c>
      <c r="G7" s="115" t="s">
        <v>8</v>
      </c>
      <c r="H7" s="115"/>
      <c r="I7" s="144"/>
      <c r="J7" s="115"/>
      <c r="K7" s="115"/>
    </row>
    <row r="8" spans="1:15" x14ac:dyDescent="0.25">
      <c r="A8" s="114">
        <v>46145</v>
      </c>
      <c r="B8" s="115">
        <v>4</v>
      </c>
      <c r="C8" s="115" t="s">
        <v>1227</v>
      </c>
      <c r="D8" s="115" t="s">
        <v>318</v>
      </c>
      <c r="E8" s="117">
        <v>1999</v>
      </c>
      <c r="F8" s="117">
        <f t="shared" si="0"/>
        <v>7996</v>
      </c>
      <c r="G8" s="115" t="s">
        <v>8</v>
      </c>
      <c r="H8" s="115"/>
      <c r="I8" s="144"/>
      <c r="J8" s="115"/>
      <c r="K8" s="115"/>
    </row>
    <row r="9" spans="1:15" x14ac:dyDescent="0.25">
      <c r="A9" s="114">
        <v>46145</v>
      </c>
      <c r="B9" s="115">
        <v>10</v>
      </c>
      <c r="C9" s="115" t="s">
        <v>1227</v>
      </c>
      <c r="D9" s="115" t="s">
        <v>364</v>
      </c>
      <c r="E9" s="117">
        <v>1999</v>
      </c>
      <c r="F9" s="117">
        <f t="shared" si="0"/>
        <v>19990</v>
      </c>
      <c r="G9" s="115" t="s">
        <v>8</v>
      </c>
      <c r="H9" s="115"/>
      <c r="I9" s="144"/>
      <c r="J9" s="115"/>
      <c r="K9" s="115"/>
    </row>
    <row r="10" spans="1:15" x14ac:dyDescent="0.25">
      <c r="A10" s="114">
        <v>46145</v>
      </c>
      <c r="B10" s="115">
        <v>8</v>
      </c>
      <c r="C10" s="115" t="s">
        <v>1227</v>
      </c>
      <c r="D10" s="115" t="s">
        <v>491</v>
      </c>
      <c r="E10" s="117">
        <v>1950</v>
      </c>
      <c r="F10" s="117">
        <f t="shared" si="0"/>
        <v>15600</v>
      </c>
      <c r="G10" s="115" t="s">
        <v>8</v>
      </c>
      <c r="H10" s="115"/>
      <c r="I10" s="144"/>
      <c r="J10" s="115"/>
      <c r="K10" s="115"/>
    </row>
    <row r="11" spans="1:15" x14ac:dyDescent="0.25">
      <c r="A11" s="124">
        <v>46146</v>
      </c>
      <c r="B11" s="125">
        <v>2</v>
      </c>
      <c r="C11" s="125" t="s">
        <v>1172</v>
      </c>
      <c r="D11" s="125" t="s">
        <v>1207</v>
      </c>
      <c r="E11" s="132">
        <v>1199</v>
      </c>
      <c r="F11" s="132">
        <f t="shared" ref="F11:F34" si="1">E11*B11</f>
        <v>2398</v>
      </c>
      <c r="G11" s="125" t="s">
        <v>62</v>
      </c>
      <c r="H11" s="125"/>
      <c r="I11" s="143">
        <v>1432379220</v>
      </c>
      <c r="J11" s="125"/>
      <c r="K11" s="125"/>
    </row>
    <row r="12" spans="1:15" x14ac:dyDescent="0.25">
      <c r="A12" s="124">
        <v>46146</v>
      </c>
      <c r="B12" s="125">
        <v>2</v>
      </c>
      <c r="C12" s="125" t="s">
        <v>1172</v>
      </c>
      <c r="D12" s="125" t="s">
        <v>1207</v>
      </c>
      <c r="E12" s="132">
        <v>1199</v>
      </c>
      <c r="F12" s="132">
        <f t="shared" si="1"/>
        <v>2398</v>
      </c>
      <c r="G12" s="125" t="s">
        <v>62</v>
      </c>
      <c r="H12" s="125"/>
      <c r="I12" s="143" t="s">
        <v>1228</v>
      </c>
      <c r="J12" s="125"/>
      <c r="K12" s="125"/>
    </row>
    <row r="13" spans="1:15" x14ac:dyDescent="0.25">
      <c r="A13" s="124">
        <v>46146</v>
      </c>
      <c r="B13" s="125">
        <v>2</v>
      </c>
      <c r="C13" s="125" t="s">
        <v>1172</v>
      </c>
      <c r="D13" s="125" t="s">
        <v>1207</v>
      </c>
      <c r="E13" s="132">
        <v>1199</v>
      </c>
      <c r="F13" s="132">
        <f t="shared" si="1"/>
        <v>2398</v>
      </c>
      <c r="G13" s="125" t="s">
        <v>62</v>
      </c>
      <c r="H13" s="125"/>
      <c r="I13" s="143" t="s">
        <v>1229</v>
      </c>
      <c r="J13" s="125"/>
      <c r="K13" s="125"/>
    </row>
    <row r="14" spans="1:15" x14ac:dyDescent="0.25">
      <c r="A14" s="124">
        <v>46146</v>
      </c>
      <c r="B14" s="125">
        <v>2</v>
      </c>
      <c r="C14" s="125" t="s">
        <v>1172</v>
      </c>
      <c r="D14" s="125" t="s">
        <v>1207</v>
      </c>
      <c r="E14" s="132">
        <v>1199</v>
      </c>
      <c r="F14" s="132">
        <f t="shared" si="1"/>
        <v>2398</v>
      </c>
      <c r="G14" s="125" t="s">
        <v>62</v>
      </c>
      <c r="H14" s="125"/>
      <c r="I14" s="143">
        <v>1433864271</v>
      </c>
      <c r="J14" s="125"/>
      <c r="K14" s="125"/>
    </row>
    <row r="15" spans="1:15" x14ac:dyDescent="0.25">
      <c r="A15" s="124">
        <v>46146</v>
      </c>
      <c r="B15" s="125">
        <v>2</v>
      </c>
      <c r="C15" s="125" t="s">
        <v>1172</v>
      </c>
      <c r="D15" s="125" t="s">
        <v>1207</v>
      </c>
      <c r="E15" s="132">
        <v>1199</v>
      </c>
      <c r="F15" s="132">
        <f t="shared" si="1"/>
        <v>2398</v>
      </c>
      <c r="G15" s="125" t="s">
        <v>62</v>
      </c>
      <c r="H15" s="125"/>
      <c r="I15" s="142">
        <v>1433864456</v>
      </c>
      <c r="J15" s="125"/>
      <c r="K15" s="125"/>
      <c r="O15">
        <v>184</v>
      </c>
    </row>
    <row r="16" spans="1:15" x14ac:dyDescent="0.25">
      <c r="A16" s="124">
        <v>46147</v>
      </c>
      <c r="B16" s="125">
        <v>2</v>
      </c>
      <c r="C16" s="125" t="s">
        <v>1172</v>
      </c>
      <c r="D16" s="125" t="s">
        <v>1207</v>
      </c>
      <c r="E16" s="132">
        <v>1199</v>
      </c>
      <c r="F16" s="132">
        <f t="shared" si="1"/>
        <v>2398</v>
      </c>
      <c r="G16" s="125" t="s">
        <v>62</v>
      </c>
      <c r="H16" s="125"/>
      <c r="I16" s="145">
        <v>1433864587</v>
      </c>
      <c r="J16" s="125"/>
      <c r="K16" s="125"/>
      <c r="O16">
        <v>176</v>
      </c>
    </row>
    <row r="17" spans="1:11" x14ac:dyDescent="0.25">
      <c r="A17" s="124">
        <v>46147</v>
      </c>
      <c r="B17" s="125">
        <v>2</v>
      </c>
      <c r="C17" s="125" t="s">
        <v>1172</v>
      </c>
      <c r="D17" s="125" t="s">
        <v>1207</v>
      </c>
      <c r="E17" s="132">
        <v>1199</v>
      </c>
      <c r="F17" s="132">
        <f t="shared" si="1"/>
        <v>2398</v>
      </c>
      <c r="G17" s="125" t="s">
        <v>62</v>
      </c>
      <c r="H17" s="125"/>
      <c r="I17" s="145">
        <v>1434329710</v>
      </c>
      <c r="J17" s="125"/>
      <c r="K17" s="125"/>
    </row>
    <row r="18" spans="1:11" x14ac:dyDescent="0.25">
      <c r="A18" s="124">
        <v>46147</v>
      </c>
      <c r="B18" s="125">
        <v>2</v>
      </c>
      <c r="C18" s="125" t="s">
        <v>1172</v>
      </c>
      <c r="D18" s="125" t="s">
        <v>1207</v>
      </c>
      <c r="E18" s="132">
        <v>1199</v>
      </c>
      <c r="F18" s="132">
        <f t="shared" si="1"/>
        <v>2398</v>
      </c>
      <c r="G18" s="125" t="s">
        <v>62</v>
      </c>
      <c r="H18" s="125"/>
      <c r="I18" s="146">
        <v>1434329761</v>
      </c>
      <c r="J18" s="125"/>
      <c r="K18" s="125"/>
    </row>
    <row r="19" spans="1:11" x14ac:dyDescent="0.25">
      <c r="A19" s="124">
        <v>46147</v>
      </c>
      <c r="B19" s="125">
        <v>2</v>
      </c>
      <c r="C19" s="125" t="s">
        <v>1172</v>
      </c>
      <c r="D19" s="125" t="s">
        <v>1207</v>
      </c>
      <c r="E19" s="132">
        <v>1199</v>
      </c>
      <c r="F19" s="132">
        <f t="shared" si="1"/>
        <v>2398</v>
      </c>
      <c r="G19" s="125" t="s">
        <v>62</v>
      </c>
      <c r="H19" s="125"/>
      <c r="I19" s="145">
        <v>1434329812</v>
      </c>
      <c r="J19" s="125"/>
      <c r="K19" s="125"/>
    </row>
    <row r="20" spans="1:11" x14ac:dyDescent="0.25">
      <c r="A20" s="124">
        <v>46147</v>
      </c>
      <c r="B20" s="125">
        <v>2</v>
      </c>
      <c r="C20" s="125" t="s">
        <v>1172</v>
      </c>
      <c r="D20" s="125" t="s">
        <v>1207</v>
      </c>
      <c r="E20" s="132">
        <v>1199</v>
      </c>
      <c r="F20" s="132">
        <f t="shared" si="1"/>
        <v>2398</v>
      </c>
      <c r="G20" s="125" t="s">
        <v>62</v>
      </c>
      <c r="H20" s="125"/>
      <c r="I20" s="145">
        <v>1434329863</v>
      </c>
      <c r="J20" s="125"/>
      <c r="K20" s="125"/>
    </row>
    <row r="21" spans="1:11" x14ac:dyDescent="0.25">
      <c r="A21" s="114">
        <v>46148</v>
      </c>
      <c r="B21" s="115">
        <v>10</v>
      </c>
      <c r="C21" s="115" t="s">
        <v>1172</v>
      </c>
      <c r="D21" s="115" t="s">
        <v>1230</v>
      </c>
      <c r="E21" s="115">
        <v>1205</v>
      </c>
      <c r="F21" s="117">
        <f t="shared" si="1"/>
        <v>12050</v>
      </c>
      <c r="G21" s="115" t="s">
        <v>8</v>
      </c>
      <c r="H21" s="115"/>
      <c r="I21" s="115"/>
      <c r="J21" s="115"/>
      <c r="K21" s="115"/>
    </row>
    <row r="22" spans="1:11" x14ac:dyDescent="0.25">
      <c r="A22" s="124">
        <v>46150</v>
      </c>
      <c r="B22" s="125">
        <v>2</v>
      </c>
      <c r="C22" s="125" t="s">
        <v>1172</v>
      </c>
      <c r="D22" s="125" t="s">
        <v>1238</v>
      </c>
      <c r="E22" s="125">
        <v>1199</v>
      </c>
      <c r="F22" s="132">
        <f t="shared" si="1"/>
        <v>2398</v>
      </c>
      <c r="G22" s="125" t="s">
        <v>62</v>
      </c>
      <c r="H22" s="125"/>
      <c r="I22" s="147" t="s">
        <v>1237</v>
      </c>
      <c r="J22" s="125"/>
      <c r="K22" s="125"/>
    </row>
    <row r="23" spans="1:11" x14ac:dyDescent="0.25">
      <c r="A23" s="124">
        <v>46150</v>
      </c>
      <c r="B23" s="125">
        <v>2</v>
      </c>
      <c r="C23" s="125" t="s">
        <v>1172</v>
      </c>
      <c r="D23" s="125" t="s">
        <v>1238</v>
      </c>
      <c r="E23" s="125">
        <v>1199</v>
      </c>
      <c r="F23" s="132">
        <f t="shared" si="1"/>
        <v>2398</v>
      </c>
      <c r="G23" s="125" t="s">
        <v>62</v>
      </c>
      <c r="H23" s="125"/>
      <c r="I23" s="147" t="s">
        <v>1239</v>
      </c>
      <c r="J23" s="125"/>
      <c r="K23" s="125"/>
    </row>
    <row r="24" spans="1:11" x14ac:dyDescent="0.25">
      <c r="A24" s="124">
        <v>46150</v>
      </c>
      <c r="B24" s="125">
        <v>2</v>
      </c>
      <c r="C24" s="125" t="s">
        <v>1172</v>
      </c>
      <c r="D24" s="125" t="s">
        <v>1238</v>
      </c>
      <c r="E24" s="125">
        <v>1199</v>
      </c>
      <c r="F24" s="132">
        <f t="shared" si="1"/>
        <v>2398</v>
      </c>
      <c r="G24" s="125" t="s">
        <v>62</v>
      </c>
      <c r="H24" s="125"/>
      <c r="I24" s="147" t="s">
        <v>1240</v>
      </c>
      <c r="J24" s="125"/>
      <c r="K24" s="125"/>
    </row>
    <row r="25" spans="1:11" x14ac:dyDescent="0.25">
      <c r="A25" s="124">
        <v>46150</v>
      </c>
      <c r="B25" s="125">
        <v>2</v>
      </c>
      <c r="C25" s="125" t="s">
        <v>1172</v>
      </c>
      <c r="D25" s="125" t="s">
        <v>1238</v>
      </c>
      <c r="E25" s="125">
        <v>1199</v>
      </c>
      <c r="F25" s="132">
        <f t="shared" si="1"/>
        <v>2398</v>
      </c>
      <c r="G25" s="125" t="s">
        <v>62</v>
      </c>
      <c r="H25" s="125"/>
      <c r="I25" s="147" t="s">
        <v>1241</v>
      </c>
      <c r="J25" s="125"/>
      <c r="K25" s="125"/>
    </row>
    <row r="26" spans="1:11" x14ac:dyDescent="0.25">
      <c r="A26" s="148">
        <v>46150</v>
      </c>
      <c r="B26" s="149">
        <v>1</v>
      </c>
      <c r="C26" s="149" t="s">
        <v>1242</v>
      </c>
      <c r="D26" s="149" t="s">
        <v>1159</v>
      </c>
      <c r="E26" s="149">
        <v>20905.650000000001</v>
      </c>
      <c r="F26" s="150">
        <f t="shared" si="1"/>
        <v>20905.650000000001</v>
      </c>
      <c r="G26" s="149" t="s">
        <v>622</v>
      </c>
      <c r="H26" s="149"/>
      <c r="I26" s="151" t="s">
        <v>1033</v>
      </c>
      <c r="J26" s="149"/>
      <c r="K26" s="149"/>
    </row>
    <row r="27" spans="1:11" x14ac:dyDescent="0.25">
      <c r="A27" s="114">
        <v>46150</v>
      </c>
      <c r="B27" s="115">
        <v>10</v>
      </c>
      <c r="C27" s="115" t="s">
        <v>1227</v>
      </c>
      <c r="D27" s="115" t="s">
        <v>101</v>
      </c>
      <c r="E27" s="115">
        <v>1897</v>
      </c>
      <c r="F27" s="117">
        <f t="shared" si="1"/>
        <v>18970</v>
      </c>
      <c r="G27" s="115" t="s">
        <v>8</v>
      </c>
      <c r="H27" s="115"/>
      <c r="I27" s="115"/>
      <c r="J27" s="115"/>
      <c r="K27" s="115"/>
    </row>
    <row r="28" spans="1:11" x14ac:dyDescent="0.25">
      <c r="A28" s="114">
        <v>46150</v>
      </c>
      <c r="B28" s="115">
        <v>7</v>
      </c>
      <c r="C28" s="115" t="s">
        <v>1227</v>
      </c>
      <c r="D28" s="115" t="s">
        <v>808</v>
      </c>
      <c r="E28" s="115">
        <v>1897</v>
      </c>
      <c r="F28" s="117">
        <f t="shared" si="1"/>
        <v>13279</v>
      </c>
      <c r="G28" s="115" t="s">
        <v>8</v>
      </c>
      <c r="H28" s="115"/>
      <c r="I28" s="115"/>
      <c r="J28" s="115"/>
      <c r="K28" s="115"/>
    </row>
    <row r="29" spans="1:11" x14ac:dyDescent="0.25">
      <c r="A29" s="114">
        <v>46150</v>
      </c>
      <c r="B29" s="115">
        <v>2</v>
      </c>
      <c r="C29" s="115" t="s">
        <v>664</v>
      </c>
      <c r="D29" s="115" t="s">
        <v>808</v>
      </c>
      <c r="E29" s="115">
        <v>394</v>
      </c>
      <c r="F29" s="117">
        <f t="shared" si="1"/>
        <v>788</v>
      </c>
      <c r="G29" s="115" t="s">
        <v>8</v>
      </c>
      <c r="H29" s="115"/>
      <c r="I29" s="115"/>
      <c r="J29" s="115"/>
      <c r="K29" s="115"/>
    </row>
    <row r="30" spans="1:11" x14ac:dyDescent="0.25">
      <c r="A30" s="124">
        <v>46153</v>
      </c>
      <c r="B30" s="125">
        <v>2</v>
      </c>
      <c r="C30" s="125" t="s">
        <v>1172</v>
      </c>
      <c r="D30" s="125" t="s">
        <v>1238</v>
      </c>
      <c r="E30" s="125">
        <v>1199</v>
      </c>
      <c r="F30" s="132">
        <f t="shared" si="1"/>
        <v>2398</v>
      </c>
      <c r="G30" s="125" t="s">
        <v>62</v>
      </c>
      <c r="H30" s="125"/>
      <c r="I30" s="152" t="s">
        <v>1247</v>
      </c>
      <c r="J30" s="125" t="s">
        <v>1205</v>
      </c>
      <c r="K30" s="125"/>
    </row>
    <row r="31" spans="1:11" x14ac:dyDescent="0.25">
      <c r="A31" s="124">
        <v>46153</v>
      </c>
      <c r="B31" s="125">
        <v>2</v>
      </c>
      <c r="C31" s="125" t="s">
        <v>1172</v>
      </c>
      <c r="D31" s="125" t="s">
        <v>1238</v>
      </c>
      <c r="E31" s="125">
        <v>1199</v>
      </c>
      <c r="F31" s="132">
        <f t="shared" si="1"/>
        <v>2398</v>
      </c>
      <c r="G31" s="125" t="s">
        <v>62</v>
      </c>
      <c r="H31" s="125"/>
      <c r="I31" s="152" t="s">
        <v>1248</v>
      </c>
      <c r="J31" s="125" t="s">
        <v>1205</v>
      </c>
      <c r="K31" s="125"/>
    </row>
    <row r="32" spans="1:11" x14ac:dyDescent="0.25">
      <c r="A32" s="124">
        <v>46153</v>
      </c>
      <c r="B32" s="125">
        <v>2</v>
      </c>
      <c r="C32" s="125" t="s">
        <v>1172</v>
      </c>
      <c r="D32" s="125" t="s">
        <v>1238</v>
      </c>
      <c r="E32" s="125">
        <v>1199</v>
      </c>
      <c r="F32" s="132">
        <f t="shared" si="1"/>
        <v>2398</v>
      </c>
      <c r="G32" s="125" t="s">
        <v>62</v>
      </c>
      <c r="H32" s="125"/>
      <c r="I32" s="152" t="s">
        <v>1249</v>
      </c>
      <c r="J32" s="125"/>
      <c r="K32" s="125"/>
    </row>
    <row r="33" spans="1:11" x14ac:dyDescent="0.25">
      <c r="A33" s="124">
        <v>46153</v>
      </c>
      <c r="B33" s="125">
        <v>2</v>
      </c>
      <c r="C33" s="125" t="s">
        <v>1172</v>
      </c>
      <c r="D33" s="125" t="s">
        <v>1238</v>
      </c>
      <c r="E33" s="125">
        <v>1199</v>
      </c>
      <c r="F33" s="132">
        <f t="shared" si="1"/>
        <v>2398</v>
      </c>
      <c r="G33" s="125" t="s">
        <v>62</v>
      </c>
      <c r="H33" s="125"/>
      <c r="I33" s="152" t="s">
        <v>1250</v>
      </c>
      <c r="J33" s="125"/>
      <c r="K33" s="125"/>
    </row>
    <row r="34" spans="1:11" x14ac:dyDescent="0.25">
      <c r="A34" s="124">
        <v>46153</v>
      </c>
      <c r="B34" s="125">
        <v>2</v>
      </c>
      <c r="C34" s="125" t="s">
        <v>1172</v>
      </c>
      <c r="D34" s="125" t="s">
        <v>1238</v>
      </c>
      <c r="E34" s="125">
        <v>1199</v>
      </c>
      <c r="F34" s="132">
        <f t="shared" si="1"/>
        <v>2398</v>
      </c>
      <c r="G34" s="125" t="s">
        <v>62</v>
      </c>
      <c r="H34" s="125"/>
      <c r="I34" s="152" t="s">
        <v>1251</v>
      </c>
      <c r="J34" s="125"/>
      <c r="K34" s="125"/>
    </row>
    <row r="35" spans="1:11" x14ac:dyDescent="0.25">
      <c r="A35" s="114">
        <v>46152</v>
      </c>
      <c r="B35" s="115"/>
      <c r="C35" s="115" t="s">
        <v>1253</v>
      </c>
      <c r="D35" s="115" t="s">
        <v>981</v>
      </c>
      <c r="E35" s="115">
        <v>400</v>
      </c>
      <c r="F35" s="115">
        <v>400</v>
      </c>
      <c r="G35" s="115"/>
      <c r="H35" s="115"/>
      <c r="I35" s="158" t="s">
        <v>85</v>
      </c>
      <c r="J35" s="115"/>
      <c r="K35" s="115"/>
    </row>
    <row r="36" spans="1:11" x14ac:dyDescent="0.25">
      <c r="A36" s="124">
        <v>46154</v>
      </c>
      <c r="B36" s="125">
        <v>2</v>
      </c>
      <c r="C36" s="125" t="s">
        <v>1172</v>
      </c>
      <c r="D36" s="125" t="s">
        <v>1238</v>
      </c>
      <c r="E36" s="125">
        <v>1199</v>
      </c>
      <c r="F36" s="153">
        <v>2398</v>
      </c>
      <c r="G36" s="125" t="s">
        <v>62</v>
      </c>
      <c r="H36" s="125"/>
      <c r="I36" s="154" t="s">
        <v>1258</v>
      </c>
      <c r="J36" s="125"/>
      <c r="K36" s="125"/>
    </row>
    <row r="37" spans="1:11" x14ac:dyDescent="0.25">
      <c r="A37" s="124">
        <v>46154</v>
      </c>
      <c r="B37" s="125">
        <v>2</v>
      </c>
      <c r="C37" s="125" t="s">
        <v>1172</v>
      </c>
      <c r="D37" s="125" t="s">
        <v>1238</v>
      </c>
      <c r="E37" s="125">
        <v>1199</v>
      </c>
      <c r="F37" s="153">
        <v>2398</v>
      </c>
      <c r="G37" s="125" t="s">
        <v>62</v>
      </c>
      <c r="H37" s="125"/>
      <c r="I37" s="154" t="s">
        <v>1259</v>
      </c>
      <c r="J37" s="125"/>
      <c r="K37" s="125"/>
    </row>
    <row r="38" spans="1:11" x14ac:dyDescent="0.25">
      <c r="A38" s="124">
        <v>46154</v>
      </c>
      <c r="B38" s="125">
        <v>2</v>
      </c>
      <c r="C38" s="125" t="s">
        <v>1172</v>
      </c>
      <c r="D38" s="125" t="s">
        <v>1238</v>
      </c>
      <c r="E38" s="125">
        <v>1199</v>
      </c>
      <c r="F38" s="153">
        <v>2398</v>
      </c>
      <c r="G38" s="125" t="s">
        <v>62</v>
      </c>
      <c r="H38" s="125"/>
      <c r="I38" s="154" t="s">
        <v>1260</v>
      </c>
      <c r="J38" s="125"/>
      <c r="K38" s="125"/>
    </row>
    <row r="39" spans="1:11" x14ac:dyDescent="0.25">
      <c r="A39" s="124">
        <v>46154</v>
      </c>
      <c r="B39" s="125">
        <v>2</v>
      </c>
      <c r="C39" s="125" t="s">
        <v>1172</v>
      </c>
      <c r="D39" s="125" t="s">
        <v>1238</v>
      </c>
      <c r="E39" s="125">
        <v>1199</v>
      </c>
      <c r="F39" s="153">
        <v>2398</v>
      </c>
      <c r="G39" s="125" t="s">
        <v>62</v>
      </c>
      <c r="H39" s="125"/>
      <c r="I39" s="154" t="s">
        <v>1261</v>
      </c>
      <c r="J39" s="125"/>
      <c r="K39" s="125"/>
    </row>
    <row r="40" spans="1:11" x14ac:dyDescent="0.25">
      <c r="A40" s="134">
        <v>46154</v>
      </c>
      <c r="B40" s="135">
        <v>2</v>
      </c>
      <c r="C40" s="135" t="s">
        <v>1172</v>
      </c>
      <c r="D40" s="135" t="s">
        <v>1238</v>
      </c>
      <c r="E40" s="135">
        <v>1199</v>
      </c>
      <c r="F40" s="155">
        <v>2398</v>
      </c>
      <c r="G40" s="135" t="s">
        <v>62</v>
      </c>
      <c r="H40" s="135"/>
      <c r="I40" s="154" t="s">
        <v>1262</v>
      </c>
      <c r="J40" s="135"/>
      <c r="K40" s="135"/>
    </row>
    <row r="41" spans="1:11" x14ac:dyDescent="0.25">
      <c r="A41" s="124">
        <v>46155</v>
      </c>
      <c r="B41" s="125">
        <v>4</v>
      </c>
      <c r="C41" s="125" t="s">
        <v>1172</v>
      </c>
      <c r="D41" s="125" t="s">
        <v>1264</v>
      </c>
      <c r="E41" s="125">
        <v>1199</v>
      </c>
      <c r="F41" s="125">
        <f>B41*E41</f>
        <v>4796</v>
      </c>
      <c r="G41" s="125" t="s">
        <v>24</v>
      </c>
      <c r="H41" s="125"/>
      <c r="I41" s="138">
        <v>1435395225</v>
      </c>
      <c r="J41" s="125"/>
      <c r="K41" s="125"/>
    </row>
    <row r="42" spans="1:11" x14ac:dyDescent="0.25">
      <c r="A42" s="124">
        <v>46155</v>
      </c>
      <c r="B42" s="125">
        <v>1</v>
      </c>
      <c r="C42" s="125" t="s">
        <v>1172</v>
      </c>
      <c r="D42" s="125" t="s">
        <v>1265</v>
      </c>
      <c r="E42" s="125">
        <v>1199</v>
      </c>
      <c r="F42" s="125">
        <f t="shared" ref="F42:F50" si="2">B42*E42</f>
        <v>1199</v>
      </c>
      <c r="G42" s="125" t="s">
        <v>24</v>
      </c>
      <c r="H42" s="125"/>
      <c r="I42" s="138">
        <v>1438250292</v>
      </c>
      <c r="J42" s="125"/>
      <c r="K42" s="125"/>
    </row>
    <row r="43" spans="1:11" x14ac:dyDescent="0.25">
      <c r="A43" s="124">
        <v>46155</v>
      </c>
      <c r="B43" s="125">
        <v>2</v>
      </c>
      <c r="C43" s="125" t="s">
        <v>1172</v>
      </c>
      <c r="D43" s="125" t="s">
        <v>1266</v>
      </c>
      <c r="E43" s="125">
        <v>1199</v>
      </c>
      <c r="F43" s="125">
        <f t="shared" si="2"/>
        <v>2398</v>
      </c>
      <c r="G43" s="125" t="s">
        <v>24</v>
      </c>
      <c r="H43" s="125"/>
      <c r="I43" s="125">
        <v>1438250325</v>
      </c>
      <c r="J43" s="125"/>
      <c r="K43" s="125"/>
    </row>
    <row r="44" spans="1:11" x14ac:dyDescent="0.25">
      <c r="A44" s="124">
        <v>46156</v>
      </c>
      <c r="B44" s="125">
        <v>2</v>
      </c>
      <c r="C44" s="125" t="s">
        <v>1172</v>
      </c>
      <c r="D44" s="125" t="s">
        <v>1238</v>
      </c>
      <c r="E44" s="125">
        <v>1199</v>
      </c>
      <c r="F44" s="125">
        <f t="shared" si="2"/>
        <v>2398</v>
      </c>
      <c r="G44" s="125" t="s">
        <v>62</v>
      </c>
      <c r="H44" s="125"/>
      <c r="I44" s="156" t="s">
        <v>1267</v>
      </c>
      <c r="J44" s="125"/>
      <c r="K44" s="125"/>
    </row>
    <row r="45" spans="1:11" x14ac:dyDescent="0.25">
      <c r="A45" s="124">
        <v>46156</v>
      </c>
      <c r="B45" s="125">
        <v>2</v>
      </c>
      <c r="C45" s="125" t="s">
        <v>1172</v>
      </c>
      <c r="D45" s="125" t="s">
        <v>1238</v>
      </c>
      <c r="E45" s="125">
        <v>1199</v>
      </c>
      <c r="F45" s="125">
        <f t="shared" si="2"/>
        <v>2398</v>
      </c>
      <c r="G45" s="125" t="s">
        <v>62</v>
      </c>
      <c r="H45" s="125"/>
      <c r="I45" s="157" t="s">
        <v>1268</v>
      </c>
      <c r="J45" s="125"/>
      <c r="K45" s="125"/>
    </row>
    <row r="46" spans="1:11" x14ac:dyDescent="0.25">
      <c r="A46" s="124">
        <v>46156</v>
      </c>
      <c r="B46" s="125">
        <v>2</v>
      </c>
      <c r="C46" s="125" t="s">
        <v>1172</v>
      </c>
      <c r="D46" s="125" t="s">
        <v>1238</v>
      </c>
      <c r="E46" s="125">
        <v>1199</v>
      </c>
      <c r="F46" s="125">
        <f t="shared" si="2"/>
        <v>2398</v>
      </c>
      <c r="G46" s="125" t="s">
        <v>62</v>
      </c>
      <c r="H46" s="125"/>
      <c r="I46" s="157" t="s">
        <v>1269</v>
      </c>
      <c r="J46" s="125"/>
      <c r="K46" s="125"/>
    </row>
    <row r="47" spans="1:11" x14ac:dyDescent="0.25">
      <c r="A47" s="124">
        <v>46156</v>
      </c>
      <c r="B47" s="125">
        <v>2</v>
      </c>
      <c r="C47" s="125" t="s">
        <v>1172</v>
      </c>
      <c r="D47" s="125" t="s">
        <v>1238</v>
      </c>
      <c r="E47" s="125">
        <v>1199</v>
      </c>
      <c r="F47" s="125">
        <f t="shared" si="2"/>
        <v>2398</v>
      </c>
      <c r="G47" s="125" t="s">
        <v>62</v>
      </c>
      <c r="H47" s="125"/>
      <c r="I47" s="157" t="s">
        <v>1270</v>
      </c>
      <c r="J47" s="125"/>
      <c r="K47" s="125"/>
    </row>
    <row r="48" spans="1:11" x14ac:dyDescent="0.25">
      <c r="A48" s="124">
        <v>46156</v>
      </c>
      <c r="B48" s="125">
        <v>2</v>
      </c>
      <c r="C48" s="125" t="s">
        <v>1172</v>
      </c>
      <c r="D48" s="125" t="s">
        <v>1238</v>
      </c>
      <c r="E48" s="125">
        <v>1199</v>
      </c>
      <c r="F48" s="125">
        <f t="shared" si="2"/>
        <v>2398</v>
      </c>
      <c r="G48" s="125" t="s">
        <v>62</v>
      </c>
      <c r="H48" s="125"/>
      <c r="I48" s="157" t="s">
        <v>1271</v>
      </c>
      <c r="J48" s="125"/>
      <c r="K48" s="125"/>
    </row>
    <row r="49" spans="1:11" x14ac:dyDescent="0.25">
      <c r="A49" s="114">
        <v>46156</v>
      </c>
      <c r="B49" s="115">
        <v>4</v>
      </c>
      <c r="C49" s="115" t="s">
        <v>1274</v>
      </c>
      <c r="D49" s="115" t="s">
        <v>1277</v>
      </c>
      <c r="E49" s="115">
        <v>2199</v>
      </c>
      <c r="F49" s="115">
        <f t="shared" si="2"/>
        <v>8796</v>
      </c>
      <c r="G49" s="115" t="s">
        <v>8</v>
      </c>
      <c r="H49" s="115" t="s">
        <v>857</v>
      </c>
      <c r="I49" s="115" t="s">
        <v>1275</v>
      </c>
      <c r="J49" s="115" t="s">
        <v>115</v>
      </c>
      <c r="K49" s="115"/>
    </row>
    <row r="50" spans="1:11" x14ac:dyDescent="0.25">
      <c r="A50" s="124">
        <v>46156</v>
      </c>
      <c r="B50" s="125">
        <v>4</v>
      </c>
      <c r="C50" s="125" t="s">
        <v>1172</v>
      </c>
      <c r="D50" s="125" t="s">
        <v>1276</v>
      </c>
      <c r="E50" s="125">
        <v>1199</v>
      </c>
      <c r="F50" s="125">
        <f t="shared" si="2"/>
        <v>4796</v>
      </c>
      <c r="G50" s="125" t="s">
        <v>47</v>
      </c>
      <c r="H50" s="125" t="s">
        <v>857</v>
      </c>
      <c r="I50" s="125" t="s">
        <v>1275</v>
      </c>
      <c r="J50" s="125"/>
      <c r="K50" s="125"/>
    </row>
    <row r="51" spans="1:11" x14ac:dyDescent="0.25">
      <c r="A51" s="124">
        <v>46156</v>
      </c>
      <c r="B51" s="125">
        <v>2</v>
      </c>
      <c r="C51" s="125" t="s">
        <v>1172</v>
      </c>
      <c r="D51" s="125" t="s">
        <v>1278</v>
      </c>
      <c r="E51" s="125">
        <v>1199</v>
      </c>
      <c r="F51" s="125">
        <v>2400</v>
      </c>
      <c r="G51" s="125" t="s">
        <v>47</v>
      </c>
      <c r="H51" s="125"/>
      <c r="I51" s="125" t="s">
        <v>1175</v>
      </c>
      <c r="J51" s="125"/>
      <c r="K51" s="125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</sheetData>
  <autoFilter ref="A1:O43" xr:uid="{E289719B-B45B-4953-A262-E8A1302D2B32}"/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80C6-8A2E-49B7-9A83-9E75D8FCDCCE}">
  <dimension ref="A1:R21"/>
  <sheetViews>
    <sheetView workbookViewId="0">
      <selection activeCell="E25" sqref="E25"/>
    </sheetView>
  </sheetViews>
  <sheetFormatPr defaultRowHeight="15" x14ac:dyDescent="0.25"/>
  <cols>
    <col min="1" max="1" width="28" bestFit="1" customWidth="1"/>
    <col min="3" max="3" width="9.7109375" bestFit="1" customWidth="1"/>
  </cols>
  <sheetData>
    <row r="1" spans="1:18" x14ac:dyDescent="0.25">
      <c r="A1" s="2" t="s">
        <v>1084</v>
      </c>
      <c r="B1" s="2" t="s">
        <v>0</v>
      </c>
      <c r="C1" s="2" t="s">
        <v>564</v>
      </c>
      <c r="H1" t="s">
        <v>311</v>
      </c>
      <c r="I1" t="s">
        <v>1085</v>
      </c>
      <c r="J1" t="s">
        <v>1086</v>
      </c>
    </row>
    <row r="2" spans="1:18" x14ac:dyDescent="0.25">
      <c r="A2" s="2" t="s">
        <v>1076</v>
      </c>
      <c r="B2" s="2">
        <v>200</v>
      </c>
      <c r="C2" s="2"/>
      <c r="D2">
        <v>550</v>
      </c>
      <c r="E2">
        <f>B2*D2</f>
        <v>110000</v>
      </c>
      <c r="F2">
        <f>E2/11</f>
        <v>10000</v>
      </c>
      <c r="G2">
        <f>(D2/11)</f>
        <v>50</v>
      </c>
      <c r="H2">
        <f>(D2-G2)*2.43</f>
        <v>1215</v>
      </c>
      <c r="I2">
        <v>1450</v>
      </c>
      <c r="J2">
        <f>I2-H2</f>
        <v>235</v>
      </c>
      <c r="K2">
        <f>B2*J2</f>
        <v>47000</v>
      </c>
      <c r="M2">
        <v>88</v>
      </c>
      <c r="N2">
        <v>570</v>
      </c>
      <c r="O2">
        <f>M2*N2</f>
        <v>50160</v>
      </c>
      <c r="P2">
        <v>256</v>
      </c>
      <c r="Q2">
        <v>29</v>
      </c>
    </row>
    <row r="3" spans="1:18" x14ac:dyDescent="0.25">
      <c r="A3" s="2" t="s">
        <v>664</v>
      </c>
      <c r="B3" s="2">
        <v>172</v>
      </c>
      <c r="C3" s="2"/>
      <c r="D3">
        <v>405</v>
      </c>
      <c r="E3">
        <f t="shared" ref="E3:E16" si="0">B3*D3</f>
        <v>69660</v>
      </c>
      <c r="F3">
        <f t="shared" ref="F3:F16" si="1">E3/11</f>
        <v>6332.727272727273</v>
      </c>
      <c r="G3">
        <f t="shared" ref="G3:G16" si="2">(D3/11)</f>
        <v>36.81818181818182</v>
      </c>
      <c r="H3">
        <f t="shared" ref="H3:H16" si="3">(D3-G3)*2.43</f>
        <v>894.68181818181824</v>
      </c>
      <c r="I3">
        <v>1225</v>
      </c>
      <c r="J3">
        <f t="shared" ref="J3:J16" si="4">I3-H3</f>
        <v>330.31818181818176</v>
      </c>
      <c r="K3">
        <f t="shared" ref="K3:K16" si="5">B3*J3</f>
        <v>56814.727272727265</v>
      </c>
      <c r="M3">
        <v>53</v>
      </c>
      <c r="N3">
        <v>420</v>
      </c>
      <c r="O3">
        <f>M3*N3</f>
        <v>22260</v>
      </c>
    </row>
    <row r="4" spans="1:18" x14ac:dyDescent="0.25">
      <c r="A4" s="2" t="s">
        <v>1077</v>
      </c>
      <c r="B4" s="2">
        <v>5</v>
      </c>
      <c r="C4" s="2"/>
      <c r="D4">
        <v>4400</v>
      </c>
      <c r="E4">
        <f t="shared" si="0"/>
        <v>22000</v>
      </c>
      <c r="F4">
        <f t="shared" si="1"/>
        <v>2000</v>
      </c>
      <c r="G4">
        <f t="shared" si="2"/>
        <v>400</v>
      </c>
      <c r="H4">
        <f t="shared" si="3"/>
        <v>9720</v>
      </c>
      <c r="I4">
        <v>11250</v>
      </c>
      <c r="J4">
        <f t="shared" si="4"/>
        <v>1530</v>
      </c>
      <c r="K4">
        <f t="shared" si="5"/>
        <v>7650</v>
      </c>
      <c r="O4">
        <f>SUM(O2:O3)</f>
        <v>72420</v>
      </c>
    </row>
    <row r="5" spans="1:18" x14ac:dyDescent="0.25">
      <c r="A5" s="2" t="s">
        <v>1078</v>
      </c>
      <c r="B5" s="2">
        <v>5</v>
      </c>
      <c r="C5" s="2"/>
      <c r="D5">
        <v>3250</v>
      </c>
      <c r="E5">
        <f t="shared" si="0"/>
        <v>16250</v>
      </c>
      <c r="F5">
        <f t="shared" si="1"/>
        <v>1477.2727272727273</v>
      </c>
      <c r="G5">
        <f t="shared" si="2"/>
        <v>295.45454545454544</v>
      </c>
      <c r="H5">
        <f t="shared" si="3"/>
        <v>7179.545454545455</v>
      </c>
      <c r="I5">
        <v>8250</v>
      </c>
      <c r="J5">
        <f t="shared" si="4"/>
        <v>1070.454545454545</v>
      </c>
      <c r="K5">
        <f t="shared" si="5"/>
        <v>5352.2727272727252</v>
      </c>
      <c r="O5">
        <f>O4*2.43</f>
        <v>175980.6</v>
      </c>
    </row>
    <row r="6" spans="1:18" x14ac:dyDescent="0.25">
      <c r="A6" s="2" t="s">
        <v>1079</v>
      </c>
      <c r="B6" s="2">
        <v>8</v>
      </c>
      <c r="C6" s="2"/>
      <c r="D6">
        <v>2390</v>
      </c>
      <c r="E6">
        <f t="shared" si="0"/>
        <v>19120</v>
      </c>
      <c r="F6">
        <f t="shared" si="1"/>
        <v>1738.1818181818182</v>
      </c>
      <c r="G6">
        <f t="shared" si="2"/>
        <v>217.27272727272728</v>
      </c>
      <c r="H6">
        <f t="shared" si="3"/>
        <v>5279.727272727273</v>
      </c>
      <c r="I6">
        <v>6500</v>
      </c>
      <c r="J6">
        <f t="shared" si="4"/>
        <v>1220.272727272727</v>
      </c>
      <c r="K6">
        <f t="shared" si="5"/>
        <v>9762.1818181818162</v>
      </c>
    </row>
    <row r="7" spans="1:18" x14ac:dyDescent="0.25">
      <c r="A7" s="2" t="s">
        <v>1080</v>
      </c>
      <c r="B7" s="2">
        <v>35</v>
      </c>
      <c r="C7" s="2" t="s">
        <v>720</v>
      </c>
      <c r="D7">
        <v>2300</v>
      </c>
      <c r="E7">
        <f t="shared" si="0"/>
        <v>80500</v>
      </c>
      <c r="F7">
        <f t="shared" si="1"/>
        <v>7318.181818181818</v>
      </c>
      <c r="G7">
        <f t="shared" si="2"/>
        <v>209.09090909090909</v>
      </c>
      <c r="H7">
        <f t="shared" si="3"/>
        <v>5080.909090909091</v>
      </c>
      <c r="I7">
        <v>4950</v>
      </c>
      <c r="J7">
        <f t="shared" si="4"/>
        <v>-130.90909090909099</v>
      </c>
      <c r="K7">
        <f t="shared" si="5"/>
        <v>-4581.8181818181847</v>
      </c>
    </row>
    <row r="8" spans="1:18" x14ac:dyDescent="0.25">
      <c r="A8" s="2" t="s">
        <v>1054</v>
      </c>
      <c r="B8" s="2">
        <v>6</v>
      </c>
      <c r="C8" s="2"/>
      <c r="D8">
        <v>1397</v>
      </c>
      <c r="E8">
        <f t="shared" si="0"/>
        <v>8382</v>
      </c>
      <c r="F8">
        <f t="shared" si="1"/>
        <v>762</v>
      </c>
      <c r="G8">
        <f t="shared" si="2"/>
        <v>127</v>
      </c>
      <c r="H8">
        <f t="shared" si="3"/>
        <v>3086.1000000000004</v>
      </c>
      <c r="I8">
        <v>3600</v>
      </c>
      <c r="J8">
        <f t="shared" si="4"/>
        <v>513.89999999999964</v>
      </c>
      <c r="K8">
        <f t="shared" si="5"/>
        <v>3083.3999999999978</v>
      </c>
    </row>
    <row r="9" spans="1:18" x14ac:dyDescent="0.25">
      <c r="A9" s="2" t="s">
        <v>1081</v>
      </c>
      <c r="B9" s="2">
        <v>3</v>
      </c>
      <c r="C9" s="2"/>
      <c r="D9">
        <v>2649</v>
      </c>
      <c r="E9">
        <f t="shared" si="0"/>
        <v>7947</v>
      </c>
      <c r="F9">
        <f t="shared" si="1"/>
        <v>722.4545454545455</v>
      </c>
      <c r="G9">
        <f t="shared" si="2"/>
        <v>240.81818181818181</v>
      </c>
      <c r="H9">
        <f t="shared" si="3"/>
        <v>5851.8818181818178</v>
      </c>
      <c r="J9">
        <v>250</v>
      </c>
      <c r="K9">
        <f t="shared" si="5"/>
        <v>750</v>
      </c>
    </row>
    <row r="10" spans="1:18" x14ac:dyDescent="0.25">
      <c r="A10" s="2" t="s">
        <v>1082</v>
      </c>
      <c r="B10" s="2">
        <v>3</v>
      </c>
      <c r="C10" s="2"/>
      <c r="D10">
        <v>539</v>
      </c>
      <c r="E10">
        <f t="shared" si="0"/>
        <v>1617</v>
      </c>
      <c r="F10">
        <f t="shared" si="1"/>
        <v>147</v>
      </c>
      <c r="G10">
        <f t="shared" si="2"/>
        <v>49</v>
      </c>
      <c r="H10">
        <f t="shared" si="3"/>
        <v>1190.7</v>
      </c>
      <c r="J10">
        <v>100</v>
      </c>
      <c r="K10">
        <f t="shared" si="5"/>
        <v>300</v>
      </c>
      <c r="Q10">
        <v>200</v>
      </c>
      <c r="R10">
        <f>M2*Q10</f>
        <v>17600</v>
      </c>
    </row>
    <row r="11" spans="1:18" x14ac:dyDescent="0.25">
      <c r="A11" s="2" t="s">
        <v>988</v>
      </c>
      <c r="B11" s="2">
        <v>8</v>
      </c>
      <c r="C11" s="2"/>
      <c r="D11">
        <v>420</v>
      </c>
      <c r="E11">
        <f t="shared" si="0"/>
        <v>3360</v>
      </c>
      <c r="F11">
        <f t="shared" si="1"/>
        <v>305.45454545454544</v>
      </c>
      <c r="G11">
        <f t="shared" si="2"/>
        <v>38.18181818181818</v>
      </c>
      <c r="H11">
        <f t="shared" si="3"/>
        <v>927.81818181818187</v>
      </c>
      <c r="J11">
        <v>200</v>
      </c>
      <c r="K11">
        <f t="shared" si="5"/>
        <v>1600</v>
      </c>
      <c r="Q11">
        <v>300</v>
      </c>
      <c r="R11">
        <f>M3*Q11</f>
        <v>15900</v>
      </c>
    </row>
    <row r="12" spans="1:18" x14ac:dyDescent="0.25">
      <c r="A12" s="2" t="s">
        <v>1083</v>
      </c>
      <c r="B12" s="2">
        <v>24</v>
      </c>
      <c r="C12" s="2" t="s">
        <v>720</v>
      </c>
      <c r="D12">
        <v>130</v>
      </c>
      <c r="E12">
        <f t="shared" si="0"/>
        <v>3120</v>
      </c>
      <c r="F12">
        <f t="shared" si="1"/>
        <v>283.63636363636363</v>
      </c>
      <c r="G12">
        <f t="shared" si="2"/>
        <v>11.818181818181818</v>
      </c>
      <c r="H12">
        <f t="shared" si="3"/>
        <v>287.18181818181819</v>
      </c>
      <c r="I12">
        <v>345</v>
      </c>
      <c r="J12">
        <f t="shared" si="4"/>
        <v>57.818181818181813</v>
      </c>
      <c r="K12">
        <f t="shared" si="5"/>
        <v>1387.6363636363635</v>
      </c>
      <c r="R12">
        <f>SUM(R10:R11)</f>
        <v>33500</v>
      </c>
    </row>
    <row r="13" spans="1:18" x14ac:dyDescent="0.25">
      <c r="A13" s="2" t="s">
        <v>661</v>
      </c>
      <c r="B13" s="2">
        <v>35</v>
      </c>
      <c r="C13" s="2" t="s">
        <v>720</v>
      </c>
      <c r="D13">
        <v>415</v>
      </c>
      <c r="E13">
        <f t="shared" si="0"/>
        <v>14525</v>
      </c>
      <c r="F13">
        <f t="shared" si="1"/>
        <v>1320.4545454545455</v>
      </c>
      <c r="G13">
        <f t="shared" si="2"/>
        <v>37.727272727272727</v>
      </c>
      <c r="H13">
        <f t="shared" si="3"/>
        <v>916.77272727272725</v>
      </c>
      <c r="I13">
        <v>975</v>
      </c>
      <c r="J13">
        <f t="shared" si="4"/>
        <v>58.227272727272748</v>
      </c>
      <c r="K13">
        <f t="shared" si="5"/>
        <v>2037.9545454545462</v>
      </c>
      <c r="R13">
        <f>5000*2.43</f>
        <v>12150</v>
      </c>
    </row>
    <row r="14" spans="1:18" x14ac:dyDescent="0.25">
      <c r="A14" s="2" t="s">
        <v>225</v>
      </c>
      <c r="B14" s="2">
        <v>3</v>
      </c>
      <c r="C14" s="2"/>
      <c r="D14">
        <v>259</v>
      </c>
      <c r="E14">
        <f t="shared" si="0"/>
        <v>777</v>
      </c>
      <c r="F14">
        <f t="shared" si="1"/>
        <v>70.63636363636364</v>
      </c>
      <c r="G14">
        <f t="shared" si="2"/>
        <v>23.545454545454547</v>
      </c>
      <c r="H14">
        <f t="shared" si="3"/>
        <v>572.15454545454543</v>
      </c>
      <c r="I14">
        <v>0</v>
      </c>
      <c r="J14">
        <v>0</v>
      </c>
      <c r="K14">
        <f t="shared" si="5"/>
        <v>0</v>
      </c>
      <c r="R14">
        <f>R12-12150</f>
        <v>21350</v>
      </c>
    </row>
    <row r="15" spans="1:18" x14ac:dyDescent="0.25">
      <c r="A15" s="2" t="s">
        <v>1050</v>
      </c>
      <c r="B15" s="2">
        <v>3</v>
      </c>
      <c r="C15" s="2"/>
      <c r="D15">
        <v>520</v>
      </c>
      <c r="E15">
        <f t="shared" si="0"/>
        <v>1560</v>
      </c>
      <c r="F15">
        <f t="shared" si="1"/>
        <v>141.81818181818181</v>
      </c>
      <c r="G15">
        <f t="shared" si="2"/>
        <v>47.272727272727273</v>
      </c>
      <c r="H15">
        <f t="shared" si="3"/>
        <v>1148.7272727272727</v>
      </c>
      <c r="I15">
        <v>1400</v>
      </c>
      <c r="J15">
        <f t="shared" si="4"/>
        <v>251.27272727272725</v>
      </c>
      <c r="K15">
        <f t="shared" si="5"/>
        <v>753.81818181818176</v>
      </c>
    </row>
    <row r="16" spans="1:18" x14ac:dyDescent="0.25">
      <c r="A16" s="2" t="s">
        <v>323</v>
      </c>
      <c r="B16" s="2">
        <v>6</v>
      </c>
      <c r="C16" s="2"/>
      <c r="D16">
        <v>650</v>
      </c>
      <c r="E16">
        <f t="shared" si="0"/>
        <v>3900</v>
      </c>
      <c r="F16">
        <f t="shared" si="1"/>
        <v>354.54545454545456</v>
      </c>
      <c r="G16">
        <f t="shared" si="2"/>
        <v>59.090909090909093</v>
      </c>
      <c r="H16">
        <f t="shared" si="3"/>
        <v>1435.909090909091</v>
      </c>
      <c r="I16">
        <v>1750</v>
      </c>
      <c r="J16">
        <f t="shared" si="4"/>
        <v>314.09090909090901</v>
      </c>
      <c r="K16">
        <f t="shared" si="5"/>
        <v>1884.545454545454</v>
      </c>
    </row>
    <row r="17" spans="1:11" x14ac:dyDescent="0.25">
      <c r="A17" s="2" t="s">
        <v>909</v>
      </c>
      <c r="B17" s="2">
        <v>4</v>
      </c>
      <c r="C17" s="2"/>
      <c r="E17">
        <f>SUM(E2:E16)</f>
        <v>362718</v>
      </c>
      <c r="F17">
        <f>SUM(F2:F16)</f>
        <v>32974.363636363632</v>
      </c>
      <c r="H17">
        <f>10143*2.43</f>
        <v>24647.49</v>
      </c>
      <c r="K17">
        <f>SUM(K2:K16)</f>
        <v>133794.71818181814</v>
      </c>
    </row>
    <row r="18" spans="1:11" x14ac:dyDescent="0.25">
      <c r="K18">
        <f>K17-H17</f>
        <v>109147.22818181814</v>
      </c>
    </row>
    <row r="19" spans="1:11" x14ac:dyDescent="0.25">
      <c r="A19" s="2" t="s">
        <v>1087</v>
      </c>
      <c r="B19" s="2" t="s">
        <v>0</v>
      </c>
      <c r="C19" s="2" t="s">
        <v>564</v>
      </c>
    </row>
    <row r="20" spans="1:11" x14ac:dyDescent="0.25">
      <c r="A20" s="2" t="s">
        <v>1076</v>
      </c>
      <c r="B20" s="2">
        <v>88</v>
      </c>
      <c r="C20" s="2"/>
    </row>
    <row r="21" spans="1:11" x14ac:dyDescent="0.25">
      <c r="A21" s="2" t="s">
        <v>664</v>
      </c>
      <c r="B21" s="2">
        <v>53</v>
      </c>
      <c r="C21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4003-97F1-4346-A50C-403ABE149426}">
  <dimension ref="A1:R92"/>
  <sheetViews>
    <sheetView workbookViewId="0">
      <selection activeCell="A234" sqref="A234:I234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36.28515625" bestFit="1" customWidth="1"/>
    <col min="4" max="4" width="25.5703125" bestFit="1" customWidth="1"/>
    <col min="5" max="5" width="10.140625" bestFit="1" customWidth="1"/>
    <col min="6" max="6" width="11" bestFit="1" customWidth="1"/>
    <col min="7" max="7" width="38.5703125" bestFit="1" customWidth="1"/>
    <col min="8" max="8" width="7.85546875" bestFit="1" customWidth="1"/>
    <col min="9" max="9" width="12.140625" bestFit="1" customWidth="1"/>
    <col min="11" max="11" width="12.28515625" bestFit="1" customWidth="1"/>
  </cols>
  <sheetData>
    <row r="1" spans="1:1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/>
    </row>
    <row r="2" spans="1:18" x14ac:dyDescent="0.25">
      <c r="A2" s="68">
        <v>46026</v>
      </c>
      <c r="B2" s="2">
        <v>2</v>
      </c>
      <c r="C2" s="2" t="s">
        <v>969</v>
      </c>
      <c r="D2" s="2" t="s">
        <v>674</v>
      </c>
      <c r="E2" s="65">
        <v>2010</v>
      </c>
      <c r="F2" s="65">
        <f t="shared" ref="F2:F15" si="0">E2*B2</f>
        <v>4020</v>
      </c>
      <c r="G2" s="2" t="s">
        <v>1034</v>
      </c>
      <c r="H2" s="2"/>
      <c r="I2" s="2"/>
      <c r="J2" s="2"/>
    </row>
    <row r="3" spans="1:18" x14ac:dyDescent="0.25">
      <c r="A3" s="68">
        <v>46026</v>
      </c>
      <c r="B3" s="2">
        <v>2</v>
      </c>
      <c r="C3" s="2" t="s">
        <v>969</v>
      </c>
      <c r="D3" s="2" t="s">
        <v>19</v>
      </c>
      <c r="E3" s="65">
        <v>2010</v>
      </c>
      <c r="F3" s="65">
        <f t="shared" si="0"/>
        <v>4020</v>
      </c>
      <c r="G3" s="2" t="s">
        <v>1039</v>
      </c>
      <c r="H3" s="2"/>
      <c r="I3" s="2"/>
      <c r="J3" s="2"/>
    </row>
    <row r="4" spans="1:18" x14ac:dyDescent="0.25">
      <c r="A4" s="68">
        <v>46024</v>
      </c>
      <c r="B4" s="2">
        <v>1</v>
      </c>
      <c r="C4" s="2" t="s">
        <v>1011</v>
      </c>
      <c r="D4" s="2" t="s">
        <v>1012</v>
      </c>
      <c r="E4" s="65">
        <v>104</v>
      </c>
      <c r="F4" s="65">
        <f t="shared" si="0"/>
        <v>104</v>
      </c>
      <c r="G4" s="2" t="s">
        <v>85</v>
      </c>
      <c r="H4" s="2"/>
      <c r="I4" s="2"/>
      <c r="J4" s="2"/>
    </row>
    <row r="5" spans="1:18" x14ac:dyDescent="0.25">
      <c r="A5" s="68">
        <v>46025</v>
      </c>
      <c r="B5" s="2">
        <v>2</v>
      </c>
      <c r="C5" s="2" t="s">
        <v>1013</v>
      </c>
      <c r="D5" s="2" t="s">
        <v>857</v>
      </c>
      <c r="E5" s="65">
        <v>398</v>
      </c>
      <c r="F5" s="65">
        <f t="shared" si="0"/>
        <v>796</v>
      </c>
      <c r="G5" s="2" t="s">
        <v>1023</v>
      </c>
      <c r="H5" s="2"/>
      <c r="I5" s="2"/>
      <c r="J5" s="2"/>
    </row>
    <row r="6" spans="1:18" x14ac:dyDescent="0.25">
      <c r="A6" s="68">
        <v>46025</v>
      </c>
      <c r="B6" s="2">
        <v>8</v>
      </c>
      <c r="C6" s="2" t="s">
        <v>971</v>
      </c>
      <c r="D6" s="2" t="s">
        <v>857</v>
      </c>
      <c r="E6" s="65">
        <v>629</v>
      </c>
      <c r="F6" s="65">
        <f t="shared" si="0"/>
        <v>5032</v>
      </c>
      <c r="G6" s="2" t="s">
        <v>1023</v>
      </c>
      <c r="H6" s="2"/>
      <c r="I6" s="2" t="s">
        <v>115</v>
      </c>
      <c r="J6" s="2"/>
      <c r="P6" s="79"/>
    </row>
    <row r="7" spans="1:18" x14ac:dyDescent="0.25">
      <c r="A7" s="68">
        <v>46025</v>
      </c>
      <c r="B7" s="2">
        <v>2</v>
      </c>
      <c r="C7" s="2" t="s">
        <v>971</v>
      </c>
      <c r="D7" s="2" t="s">
        <v>857</v>
      </c>
      <c r="E7" s="65">
        <v>629</v>
      </c>
      <c r="F7" s="65">
        <f t="shared" si="0"/>
        <v>1258</v>
      </c>
      <c r="G7" s="2" t="s">
        <v>1023</v>
      </c>
      <c r="H7" s="2"/>
      <c r="I7" s="2"/>
      <c r="J7" s="2"/>
      <c r="P7" s="79"/>
    </row>
    <row r="8" spans="1:18" x14ac:dyDescent="0.25">
      <c r="A8" s="68">
        <v>46025</v>
      </c>
      <c r="B8" s="2">
        <v>4</v>
      </c>
      <c r="C8" s="2" t="s">
        <v>979</v>
      </c>
      <c r="D8" s="2" t="s">
        <v>857</v>
      </c>
      <c r="E8" s="65">
        <v>477</v>
      </c>
      <c r="F8" s="65">
        <f t="shared" si="0"/>
        <v>1908</v>
      </c>
      <c r="G8" s="2" t="s">
        <v>1023</v>
      </c>
      <c r="H8" s="2"/>
      <c r="I8" s="2"/>
      <c r="J8" s="2"/>
      <c r="O8" s="11"/>
      <c r="P8" s="99"/>
      <c r="Q8" s="11"/>
      <c r="R8" s="11"/>
    </row>
    <row r="9" spans="1:18" x14ac:dyDescent="0.25">
      <c r="A9" s="68">
        <v>46025</v>
      </c>
      <c r="B9" s="2">
        <v>2</v>
      </c>
      <c r="C9" s="2" t="s">
        <v>971</v>
      </c>
      <c r="D9" s="2" t="s">
        <v>1024</v>
      </c>
      <c r="E9" s="65">
        <v>629</v>
      </c>
      <c r="F9" s="65">
        <f t="shared" si="0"/>
        <v>1258</v>
      </c>
      <c r="G9" s="2" t="s">
        <v>1022</v>
      </c>
      <c r="H9" s="2"/>
      <c r="I9" s="2"/>
      <c r="J9" s="2"/>
      <c r="O9" s="20"/>
      <c r="P9" s="98"/>
      <c r="Q9" s="20"/>
      <c r="R9" s="20"/>
    </row>
    <row r="10" spans="1:18" x14ac:dyDescent="0.25">
      <c r="A10" s="68">
        <v>46027</v>
      </c>
      <c r="B10" s="2">
        <v>1</v>
      </c>
      <c r="C10" s="2" t="s">
        <v>1026</v>
      </c>
      <c r="D10" s="2" t="s">
        <v>857</v>
      </c>
      <c r="E10" s="65">
        <v>510</v>
      </c>
      <c r="F10" s="65">
        <f t="shared" si="0"/>
        <v>510</v>
      </c>
      <c r="G10" s="2" t="s">
        <v>1027</v>
      </c>
      <c r="H10" s="2"/>
      <c r="I10" s="2" t="s">
        <v>85</v>
      </c>
      <c r="J10" s="2"/>
      <c r="O10" s="20"/>
      <c r="P10" s="98"/>
      <c r="Q10" s="20"/>
      <c r="R10" s="20"/>
    </row>
    <row r="11" spans="1:18" x14ac:dyDescent="0.25">
      <c r="A11" s="68">
        <v>46028</v>
      </c>
      <c r="B11" s="2">
        <v>2</v>
      </c>
      <c r="C11" s="2" t="s">
        <v>969</v>
      </c>
      <c r="D11" s="2" t="s">
        <v>19</v>
      </c>
      <c r="E11" s="65">
        <v>2010</v>
      </c>
      <c r="F11" s="65">
        <f t="shared" si="0"/>
        <v>4020</v>
      </c>
      <c r="G11" s="2" t="s">
        <v>1039</v>
      </c>
      <c r="H11" s="2"/>
      <c r="I11" s="2"/>
      <c r="J11" s="2"/>
      <c r="P11" s="79"/>
    </row>
    <row r="12" spans="1:18" x14ac:dyDescent="0.25">
      <c r="A12" s="68">
        <v>46028</v>
      </c>
      <c r="B12" s="2">
        <v>2</v>
      </c>
      <c r="C12" s="2" t="s">
        <v>969</v>
      </c>
      <c r="D12" s="2" t="s">
        <v>70</v>
      </c>
      <c r="E12" s="65">
        <v>2010</v>
      </c>
      <c r="F12" s="65">
        <f t="shared" si="0"/>
        <v>4020</v>
      </c>
      <c r="G12" s="2" t="s">
        <v>1038</v>
      </c>
      <c r="H12" s="2"/>
      <c r="I12" s="2"/>
      <c r="J12" s="2"/>
      <c r="L12">
        <v>104</v>
      </c>
      <c r="P12" s="79"/>
    </row>
    <row r="13" spans="1:18" x14ac:dyDescent="0.25">
      <c r="A13" s="68">
        <v>46028</v>
      </c>
      <c r="B13" s="2">
        <v>2</v>
      </c>
      <c r="C13" s="2" t="s">
        <v>969</v>
      </c>
      <c r="D13" s="2" t="s">
        <v>70</v>
      </c>
      <c r="E13" s="65">
        <v>2010</v>
      </c>
      <c r="F13" s="65">
        <f t="shared" si="0"/>
        <v>4020</v>
      </c>
      <c r="G13" s="2" t="s">
        <v>1036</v>
      </c>
      <c r="H13" s="2"/>
      <c r="I13" s="2"/>
      <c r="J13" s="2"/>
      <c r="L13">
        <v>510</v>
      </c>
      <c r="P13" s="79"/>
    </row>
    <row r="14" spans="1:18" x14ac:dyDescent="0.25">
      <c r="A14" s="68">
        <v>46028</v>
      </c>
      <c r="B14" s="2">
        <v>2</v>
      </c>
      <c r="C14" s="2" t="s">
        <v>969</v>
      </c>
      <c r="D14" s="2" t="s">
        <v>1031</v>
      </c>
      <c r="E14" s="65">
        <v>2010</v>
      </c>
      <c r="F14" s="65">
        <f t="shared" si="0"/>
        <v>4020</v>
      </c>
      <c r="G14" s="2" t="s">
        <v>1037</v>
      </c>
      <c r="H14" s="2"/>
      <c r="I14" s="2"/>
      <c r="J14" s="2"/>
      <c r="L14">
        <v>11423</v>
      </c>
      <c r="P14" s="79"/>
    </row>
    <row r="15" spans="1:18" x14ac:dyDescent="0.25">
      <c r="A15" s="68">
        <v>46028</v>
      </c>
      <c r="B15" s="2">
        <v>1</v>
      </c>
      <c r="C15" s="2" t="s">
        <v>969</v>
      </c>
      <c r="D15" s="2" t="s">
        <v>675</v>
      </c>
      <c r="E15" s="65">
        <v>2010</v>
      </c>
      <c r="F15" s="65">
        <f t="shared" si="0"/>
        <v>2010</v>
      </c>
      <c r="G15" s="2" t="s">
        <v>1042</v>
      </c>
      <c r="H15" s="2"/>
      <c r="I15" s="2"/>
      <c r="J15" s="2"/>
      <c r="O15">
        <v>642</v>
      </c>
      <c r="P15" s="79"/>
    </row>
    <row r="16" spans="1:18" x14ac:dyDescent="0.25">
      <c r="A16" s="68">
        <v>46029</v>
      </c>
      <c r="B16" s="2">
        <v>1</v>
      </c>
      <c r="C16" s="2" t="s">
        <v>542</v>
      </c>
      <c r="D16" s="2" t="s">
        <v>1032</v>
      </c>
      <c r="E16" s="100">
        <v>11423.05</v>
      </c>
      <c r="F16" s="100">
        <v>11423.05</v>
      </c>
      <c r="G16" s="2" t="s">
        <v>1033</v>
      </c>
      <c r="H16" s="2"/>
      <c r="I16" s="2"/>
      <c r="J16" s="2"/>
      <c r="P16" s="79"/>
    </row>
    <row r="17" spans="1:16" x14ac:dyDescent="0.25">
      <c r="A17" s="68">
        <v>46031</v>
      </c>
      <c r="B17" s="2">
        <v>2</v>
      </c>
      <c r="C17" s="2" t="s">
        <v>969</v>
      </c>
      <c r="D17" s="2" t="s">
        <v>674</v>
      </c>
      <c r="E17" s="65">
        <v>2010</v>
      </c>
      <c r="F17" s="65">
        <f>B17*E17</f>
        <v>4020</v>
      </c>
      <c r="G17" s="2" t="s">
        <v>1064</v>
      </c>
      <c r="H17" s="2"/>
      <c r="I17" s="2"/>
      <c r="J17" s="2"/>
      <c r="P17" s="79"/>
    </row>
    <row r="18" spans="1:16" x14ac:dyDescent="0.25">
      <c r="A18" s="68">
        <v>46031</v>
      </c>
      <c r="B18" s="2">
        <v>2</v>
      </c>
      <c r="C18" s="2" t="s">
        <v>969</v>
      </c>
      <c r="D18" s="2" t="s">
        <v>1031</v>
      </c>
      <c r="E18" s="65">
        <v>2010</v>
      </c>
      <c r="F18" s="65">
        <f t="shared" ref="F18:F21" si="1">B18*E18</f>
        <v>4020</v>
      </c>
      <c r="G18" s="2" t="s">
        <v>1063</v>
      </c>
      <c r="H18" s="2"/>
      <c r="I18" s="2"/>
      <c r="J18" s="2"/>
      <c r="P18" s="79"/>
    </row>
    <row r="19" spans="1:16" x14ac:dyDescent="0.25">
      <c r="A19" s="68">
        <v>46031</v>
      </c>
      <c r="B19" s="2">
        <v>2</v>
      </c>
      <c r="C19" s="2" t="s">
        <v>969</v>
      </c>
      <c r="D19" s="2" t="s">
        <v>1040</v>
      </c>
      <c r="E19" s="65">
        <v>2010</v>
      </c>
      <c r="F19" s="65">
        <f t="shared" si="1"/>
        <v>4020</v>
      </c>
      <c r="G19" s="2" t="s">
        <v>1064</v>
      </c>
      <c r="H19" s="2"/>
      <c r="I19" s="2"/>
      <c r="J19" s="2"/>
      <c r="P19" s="79"/>
    </row>
    <row r="20" spans="1:16" x14ac:dyDescent="0.25">
      <c r="A20" s="68">
        <v>46031</v>
      </c>
      <c r="B20" s="2">
        <v>1</v>
      </c>
      <c r="C20" s="2" t="s">
        <v>969</v>
      </c>
      <c r="D20" s="2" t="s">
        <v>27</v>
      </c>
      <c r="E20" s="65">
        <v>2010</v>
      </c>
      <c r="F20" s="65">
        <f t="shared" si="1"/>
        <v>2010</v>
      </c>
      <c r="G20" s="2" t="s">
        <v>1042</v>
      </c>
      <c r="H20" s="2"/>
      <c r="I20" s="2"/>
      <c r="J20" s="2"/>
      <c r="P20" s="79"/>
    </row>
    <row r="21" spans="1:16" x14ac:dyDescent="0.25">
      <c r="A21" s="68">
        <v>46031</v>
      </c>
      <c r="B21" s="2">
        <v>2</v>
      </c>
      <c r="C21" s="2" t="s">
        <v>969</v>
      </c>
      <c r="D21" s="2" t="s">
        <v>813</v>
      </c>
      <c r="E21" s="65">
        <v>2010</v>
      </c>
      <c r="F21" s="65">
        <f t="shared" si="1"/>
        <v>4020</v>
      </c>
      <c r="G21" s="2" t="s">
        <v>1042</v>
      </c>
      <c r="H21" s="2"/>
      <c r="I21" s="2"/>
      <c r="J21" s="2"/>
      <c r="P21" s="79"/>
    </row>
    <row r="22" spans="1:16" x14ac:dyDescent="0.25">
      <c r="A22" s="68">
        <v>46033</v>
      </c>
      <c r="B22" s="2">
        <v>7</v>
      </c>
      <c r="C22" s="2" t="s">
        <v>1062</v>
      </c>
      <c r="D22" s="2" t="s">
        <v>677</v>
      </c>
      <c r="E22" s="21">
        <v>2197</v>
      </c>
      <c r="F22" s="21">
        <f>B22*E22</f>
        <v>15379</v>
      </c>
      <c r="G22" s="2" t="s">
        <v>1061</v>
      </c>
      <c r="H22" s="2"/>
      <c r="I22" s="2"/>
      <c r="J22" s="2"/>
    </row>
    <row r="23" spans="1:16" x14ac:dyDescent="0.25">
      <c r="A23" s="68">
        <v>46036</v>
      </c>
      <c r="B23" s="2">
        <v>8</v>
      </c>
      <c r="C23" s="2" t="s">
        <v>1046</v>
      </c>
      <c r="D23" s="2" t="s">
        <v>335</v>
      </c>
      <c r="E23" s="65">
        <v>2490</v>
      </c>
      <c r="F23" s="65">
        <f>B23*E23</f>
        <v>19920</v>
      </c>
      <c r="G23" s="2" t="s">
        <v>1071</v>
      </c>
      <c r="H23" s="2"/>
      <c r="I23" s="2"/>
      <c r="J23" s="2"/>
    </row>
    <row r="24" spans="1:16" x14ac:dyDescent="0.25">
      <c r="A24" s="68">
        <v>46036</v>
      </c>
      <c r="B24" s="2">
        <v>25</v>
      </c>
      <c r="C24" s="2" t="s">
        <v>1047</v>
      </c>
      <c r="D24" s="2" t="s">
        <v>335</v>
      </c>
      <c r="E24" s="65">
        <v>415</v>
      </c>
      <c r="F24" s="65">
        <f>B24*E24</f>
        <v>10375</v>
      </c>
      <c r="G24" s="2" t="s">
        <v>1071</v>
      </c>
      <c r="H24" s="2"/>
      <c r="I24" s="2"/>
      <c r="J24" s="2"/>
    </row>
    <row r="25" spans="1:16" x14ac:dyDescent="0.25">
      <c r="A25" s="68">
        <v>46037</v>
      </c>
      <c r="B25" s="2">
        <v>3</v>
      </c>
      <c r="C25" s="2" t="s">
        <v>1048</v>
      </c>
      <c r="D25" s="2" t="s">
        <v>101</v>
      </c>
      <c r="E25" s="65">
        <v>2690</v>
      </c>
      <c r="F25" s="65">
        <f t="shared" ref="F25:F69" si="2">B25*E25</f>
        <v>8070</v>
      </c>
      <c r="G25" s="2" t="s">
        <v>1051</v>
      </c>
      <c r="H25" s="2"/>
      <c r="I25" s="2"/>
      <c r="J25" s="2"/>
    </row>
    <row r="26" spans="1:16" x14ac:dyDescent="0.25">
      <c r="A26" s="68">
        <v>46037</v>
      </c>
      <c r="B26" s="2">
        <v>3</v>
      </c>
      <c r="C26" s="2" t="s">
        <v>1049</v>
      </c>
      <c r="D26" s="2" t="s">
        <v>101</v>
      </c>
      <c r="E26" s="65">
        <v>259</v>
      </c>
      <c r="F26" s="65">
        <f t="shared" si="2"/>
        <v>777</v>
      </c>
      <c r="G26" s="2" t="s">
        <v>1051</v>
      </c>
      <c r="H26" s="2"/>
      <c r="I26" s="2"/>
      <c r="J26" s="2"/>
    </row>
    <row r="27" spans="1:16" x14ac:dyDescent="0.25">
      <c r="A27" s="68">
        <v>46037</v>
      </c>
      <c r="B27" s="2">
        <v>3</v>
      </c>
      <c r="C27" s="2" t="s">
        <v>1050</v>
      </c>
      <c r="D27" s="2" t="s">
        <v>101</v>
      </c>
      <c r="E27" s="65">
        <v>519</v>
      </c>
      <c r="F27" s="65">
        <f t="shared" si="2"/>
        <v>1557</v>
      </c>
      <c r="G27" s="2" t="s">
        <v>8</v>
      </c>
      <c r="H27" s="2"/>
      <c r="I27" s="2"/>
      <c r="J27" s="2"/>
    </row>
    <row r="28" spans="1:16" x14ac:dyDescent="0.25">
      <c r="A28" s="68">
        <v>46037</v>
      </c>
      <c r="B28" s="2">
        <v>3</v>
      </c>
      <c r="C28" s="2" t="s">
        <v>1047</v>
      </c>
      <c r="D28" s="2" t="s">
        <v>101</v>
      </c>
      <c r="E28" s="65">
        <v>419</v>
      </c>
      <c r="F28" s="65">
        <f t="shared" si="2"/>
        <v>1257</v>
      </c>
      <c r="G28" s="2" t="s">
        <v>8</v>
      </c>
      <c r="H28" s="2"/>
      <c r="I28" s="2"/>
      <c r="J28" s="2"/>
    </row>
    <row r="29" spans="1:16" x14ac:dyDescent="0.25">
      <c r="A29" s="68">
        <v>46037</v>
      </c>
      <c r="B29" s="2">
        <v>1</v>
      </c>
      <c r="C29" s="2" t="s">
        <v>542</v>
      </c>
      <c r="D29" s="2" t="s">
        <v>1052</v>
      </c>
      <c r="E29" s="65">
        <v>7980</v>
      </c>
      <c r="F29" s="65">
        <f t="shared" si="2"/>
        <v>7980</v>
      </c>
      <c r="G29" s="2" t="s">
        <v>1033</v>
      </c>
      <c r="H29" s="2"/>
      <c r="I29" s="2"/>
      <c r="J29" s="2"/>
    </row>
    <row r="30" spans="1:16" x14ac:dyDescent="0.25">
      <c r="A30" s="68">
        <v>46038</v>
      </c>
      <c r="B30" s="2">
        <v>2</v>
      </c>
      <c r="C30" s="2" t="s">
        <v>1060</v>
      </c>
      <c r="D30" s="2" t="s">
        <v>813</v>
      </c>
      <c r="E30" s="65">
        <v>1397</v>
      </c>
      <c r="F30" s="65">
        <f t="shared" si="2"/>
        <v>2794</v>
      </c>
      <c r="G30" s="2" t="s">
        <v>1088</v>
      </c>
      <c r="H30" s="2"/>
      <c r="I30" s="2"/>
      <c r="J30" s="2"/>
    </row>
    <row r="31" spans="1:16" x14ac:dyDescent="0.25">
      <c r="A31" s="68">
        <v>46038</v>
      </c>
      <c r="B31" s="2">
        <v>2</v>
      </c>
      <c r="C31" s="2" t="s">
        <v>1058</v>
      </c>
      <c r="D31" s="2" t="s">
        <v>1055</v>
      </c>
      <c r="E31" s="65">
        <v>1397</v>
      </c>
      <c r="F31" s="65">
        <f t="shared" si="2"/>
        <v>2794</v>
      </c>
      <c r="G31" s="2" t="s">
        <v>1056</v>
      </c>
      <c r="H31" s="2"/>
      <c r="I31" s="2"/>
      <c r="J31" s="2"/>
    </row>
    <row r="32" spans="1:16" x14ac:dyDescent="0.25">
      <c r="A32" s="68">
        <v>46038</v>
      </c>
      <c r="B32" s="2">
        <v>4</v>
      </c>
      <c r="C32" s="2" t="s">
        <v>323</v>
      </c>
      <c r="D32" s="2" t="s">
        <v>358</v>
      </c>
      <c r="E32" s="65">
        <v>648</v>
      </c>
      <c r="F32" s="65">
        <f t="shared" si="2"/>
        <v>2592</v>
      </c>
      <c r="G32" s="2" t="s">
        <v>1056</v>
      </c>
      <c r="H32" s="2"/>
      <c r="I32" s="2"/>
      <c r="J32" s="2"/>
    </row>
    <row r="33" spans="1:10" x14ac:dyDescent="0.25">
      <c r="A33" s="68">
        <v>46039</v>
      </c>
      <c r="B33" s="2">
        <v>2</v>
      </c>
      <c r="C33" s="2" t="s">
        <v>1060</v>
      </c>
      <c r="D33" s="2" t="s">
        <v>1057</v>
      </c>
      <c r="E33" s="65">
        <v>1398</v>
      </c>
      <c r="F33" s="65">
        <f t="shared" si="2"/>
        <v>2796</v>
      </c>
      <c r="G33" s="2" t="s">
        <v>8</v>
      </c>
      <c r="H33" s="2"/>
      <c r="I33" s="2"/>
      <c r="J33" s="2"/>
    </row>
    <row r="34" spans="1:10" x14ac:dyDescent="0.25">
      <c r="A34" s="68">
        <v>46039</v>
      </c>
      <c r="B34" s="2">
        <v>2</v>
      </c>
      <c r="C34" s="2" t="s">
        <v>323</v>
      </c>
      <c r="D34" s="2" t="s">
        <v>358</v>
      </c>
      <c r="E34" s="65">
        <v>648</v>
      </c>
      <c r="F34" s="65">
        <f t="shared" si="2"/>
        <v>1296</v>
      </c>
      <c r="G34" s="2" t="s">
        <v>8</v>
      </c>
      <c r="H34" s="2"/>
      <c r="I34" s="2"/>
      <c r="J34" s="2"/>
    </row>
    <row r="35" spans="1:10" x14ac:dyDescent="0.25">
      <c r="A35" s="68">
        <v>46039</v>
      </c>
      <c r="B35" s="2">
        <v>2</v>
      </c>
      <c r="C35" s="2" t="s">
        <v>1059</v>
      </c>
      <c r="D35" s="2" t="s">
        <v>1031</v>
      </c>
      <c r="E35" s="65">
        <v>1397</v>
      </c>
      <c r="F35" s="65">
        <f t="shared" si="2"/>
        <v>2794</v>
      </c>
      <c r="G35" s="2" t="s">
        <v>1066</v>
      </c>
      <c r="H35" s="2"/>
      <c r="I35" s="2"/>
      <c r="J35" s="2"/>
    </row>
    <row r="36" spans="1:10" x14ac:dyDescent="0.25">
      <c r="A36" s="68">
        <v>46039</v>
      </c>
      <c r="B36" s="2">
        <v>2</v>
      </c>
      <c r="C36" s="2" t="s">
        <v>1058</v>
      </c>
      <c r="D36" s="2" t="s">
        <v>674</v>
      </c>
      <c r="E36" s="65">
        <v>1397</v>
      </c>
      <c r="F36" s="65">
        <f t="shared" si="2"/>
        <v>2794</v>
      </c>
      <c r="G36" s="2" t="s">
        <v>8</v>
      </c>
      <c r="H36" s="2"/>
      <c r="I36" s="2"/>
      <c r="J36" s="2"/>
    </row>
    <row r="37" spans="1:10" x14ac:dyDescent="0.25">
      <c r="A37" s="68">
        <v>46041</v>
      </c>
      <c r="B37" s="2">
        <v>40</v>
      </c>
      <c r="C37" s="2" t="s">
        <v>1013</v>
      </c>
      <c r="D37" s="2" t="s">
        <v>1067</v>
      </c>
      <c r="E37" s="65">
        <v>402</v>
      </c>
      <c r="F37" s="65">
        <f t="shared" si="2"/>
        <v>16080</v>
      </c>
      <c r="G37" s="2" t="s">
        <v>1068</v>
      </c>
      <c r="H37" s="2"/>
      <c r="I37" s="2"/>
      <c r="J37" s="2"/>
    </row>
    <row r="38" spans="1:10" x14ac:dyDescent="0.25">
      <c r="A38" s="68">
        <v>46041</v>
      </c>
      <c r="B38" s="2">
        <v>32</v>
      </c>
      <c r="C38" s="2" t="s">
        <v>1013</v>
      </c>
      <c r="D38" s="2" t="s">
        <v>500</v>
      </c>
      <c r="E38" s="65">
        <v>402</v>
      </c>
      <c r="F38" s="65">
        <f t="shared" si="2"/>
        <v>12864</v>
      </c>
      <c r="G38" s="2" t="s">
        <v>1068</v>
      </c>
      <c r="H38" s="2"/>
      <c r="I38" s="2"/>
      <c r="J38" s="2"/>
    </row>
    <row r="39" spans="1:10" x14ac:dyDescent="0.25">
      <c r="A39" s="68">
        <v>46041</v>
      </c>
      <c r="B39" s="2">
        <v>60</v>
      </c>
      <c r="C39" s="2" t="s">
        <v>1013</v>
      </c>
      <c r="D39" s="2" t="s">
        <v>492</v>
      </c>
      <c r="E39" s="65">
        <v>402</v>
      </c>
      <c r="F39" s="65">
        <f t="shared" si="2"/>
        <v>24120</v>
      </c>
      <c r="G39" s="2" t="s">
        <v>1068</v>
      </c>
      <c r="H39" s="2"/>
      <c r="I39" s="2"/>
      <c r="J39" s="2"/>
    </row>
    <row r="40" spans="1:10" x14ac:dyDescent="0.25">
      <c r="A40" s="68"/>
      <c r="B40" s="2"/>
      <c r="C40" s="2" t="s">
        <v>1013</v>
      </c>
      <c r="D40" s="2" t="s">
        <v>492</v>
      </c>
      <c r="E40" s="65">
        <v>500</v>
      </c>
      <c r="F40" s="65">
        <v>500</v>
      </c>
      <c r="G40" s="2" t="s">
        <v>1091</v>
      </c>
      <c r="H40" s="2"/>
      <c r="I40" s="2"/>
      <c r="J40" s="2"/>
    </row>
    <row r="41" spans="1:10" x14ac:dyDescent="0.25">
      <c r="A41" s="68">
        <v>46042</v>
      </c>
      <c r="B41" s="2"/>
      <c r="C41" s="2" t="s">
        <v>1013</v>
      </c>
      <c r="D41" s="2" t="s">
        <v>1067</v>
      </c>
      <c r="E41" s="65">
        <v>500</v>
      </c>
      <c r="F41" s="65">
        <v>500</v>
      </c>
      <c r="G41" s="2" t="s">
        <v>1069</v>
      </c>
      <c r="H41" s="2"/>
      <c r="I41" s="2"/>
      <c r="J41" s="2"/>
    </row>
    <row r="42" spans="1:10" x14ac:dyDescent="0.25">
      <c r="A42" s="68">
        <v>46042</v>
      </c>
      <c r="B42" s="2">
        <v>1</v>
      </c>
      <c r="C42" s="2" t="s">
        <v>1070</v>
      </c>
      <c r="D42" s="2" t="s">
        <v>1075</v>
      </c>
      <c r="E42" s="65">
        <v>100</v>
      </c>
      <c r="F42" s="65">
        <f t="shared" si="2"/>
        <v>100</v>
      </c>
      <c r="G42" s="2" t="s">
        <v>85</v>
      </c>
      <c r="H42" s="2"/>
      <c r="I42" s="2"/>
      <c r="J42" s="2"/>
    </row>
    <row r="43" spans="1:10" x14ac:dyDescent="0.25">
      <c r="A43" s="68">
        <v>46043</v>
      </c>
      <c r="B43" s="2">
        <v>80</v>
      </c>
      <c r="C43" s="2" t="s">
        <v>1013</v>
      </c>
      <c r="D43" s="2" t="s">
        <v>608</v>
      </c>
      <c r="E43" s="65">
        <v>398</v>
      </c>
      <c r="F43" s="65">
        <f t="shared" si="2"/>
        <v>31840</v>
      </c>
      <c r="G43" s="2" t="s">
        <v>1130</v>
      </c>
      <c r="H43" s="2"/>
      <c r="I43" s="2"/>
      <c r="J43" s="2"/>
    </row>
    <row r="44" spans="1:10" x14ac:dyDescent="0.25">
      <c r="A44" s="68">
        <v>46044</v>
      </c>
      <c r="B44" s="2">
        <v>2</v>
      </c>
      <c r="C44" s="2" t="s">
        <v>1089</v>
      </c>
      <c r="D44" s="2" t="s">
        <v>318</v>
      </c>
      <c r="E44" s="65">
        <v>1397</v>
      </c>
      <c r="F44" s="65">
        <f t="shared" si="2"/>
        <v>2794</v>
      </c>
      <c r="G44" s="2" t="s">
        <v>8</v>
      </c>
      <c r="H44" s="2"/>
      <c r="I44" s="2"/>
      <c r="J44" s="2"/>
    </row>
    <row r="45" spans="1:10" x14ac:dyDescent="0.25">
      <c r="A45" s="68">
        <v>46044</v>
      </c>
      <c r="B45" s="2">
        <v>1</v>
      </c>
      <c r="C45" s="2" t="s">
        <v>1089</v>
      </c>
      <c r="D45" s="2" t="s">
        <v>1090</v>
      </c>
      <c r="E45" s="65">
        <v>1397</v>
      </c>
      <c r="F45" s="65">
        <f t="shared" si="2"/>
        <v>1397</v>
      </c>
      <c r="G45" s="2" t="s">
        <v>8</v>
      </c>
      <c r="H45" s="2"/>
      <c r="I45" s="2"/>
      <c r="J45" s="2"/>
    </row>
    <row r="46" spans="1:10" x14ac:dyDescent="0.25">
      <c r="A46" s="68">
        <v>46044</v>
      </c>
      <c r="B46" s="2">
        <v>1</v>
      </c>
      <c r="C46" s="2" t="s">
        <v>1013</v>
      </c>
      <c r="D46" s="2" t="s">
        <v>934</v>
      </c>
      <c r="E46" s="65">
        <v>439</v>
      </c>
      <c r="F46" s="65">
        <f t="shared" si="2"/>
        <v>439</v>
      </c>
      <c r="G46" s="2" t="s">
        <v>8</v>
      </c>
      <c r="H46" s="2"/>
      <c r="I46" s="2"/>
      <c r="J46" s="2"/>
    </row>
    <row r="47" spans="1:10" x14ac:dyDescent="0.25">
      <c r="A47" s="68">
        <v>46044</v>
      </c>
      <c r="B47" s="2"/>
      <c r="C47" s="2" t="s">
        <v>1013</v>
      </c>
      <c r="D47" s="2" t="s">
        <v>1092</v>
      </c>
      <c r="E47" s="65"/>
      <c r="F47" s="65">
        <f t="shared" si="2"/>
        <v>0</v>
      </c>
      <c r="G47" s="2" t="s">
        <v>758</v>
      </c>
      <c r="H47" s="2"/>
      <c r="I47" s="2"/>
      <c r="J47" s="2"/>
    </row>
    <row r="48" spans="1:10" x14ac:dyDescent="0.25">
      <c r="A48" s="106">
        <v>46045</v>
      </c>
      <c r="B48" s="16">
        <v>40</v>
      </c>
      <c r="C48" s="16" t="s">
        <v>1013</v>
      </c>
      <c r="D48" s="16" t="s">
        <v>490</v>
      </c>
      <c r="E48" s="70">
        <v>398</v>
      </c>
      <c r="F48" s="70">
        <f t="shared" si="2"/>
        <v>15920</v>
      </c>
      <c r="G48" s="16" t="s">
        <v>1155</v>
      </c>
      <c r="H48" s="2"/>
      <c r="I48" s="2"/>
      <c r="J48" s="2"/>
    </row>
    <row r="49" spans="1:10" x14ac:dyDescent="0.25">
      <c r="A49" s="68">
        <v>46045</v>
      </c>
      <c r="B49" s="2">
        <v>10</v>
      </c>
      <c r="C49" s="2" t="s">
        <v>1013</v>
      </c>
      <c r="D49" s="2" t="s">
        <v>494</v>
      </c>
      <c r="E49" s="65">
        <v>431</v>
      </c>
      <c r="F49" s="65">
        <f t="shared" si="2"/>
        <v>4310</v>
      </c>
      <c r="G49" s="2" t="s">
        <v>8</v>
      </c>
      <c r="H49" s="2"/>
      <c r="I49" s="2"/>
      <c r="J49" s="2"/>
    </row>
    <row r="50" spans="1:10" x14ac:dyDescent="0.25">
      <c r="A50" s="68">
        <v>46046</v>
      </c>
      <c r="B50" s="2">
        <v>4</v>
      </c>
      <c r="C50" s="2" t="s">
        <v>1013</v>
      </c>
      <c r="D50" s="2" t="s">
        <v>1093</v>
      </c>
      <c r="E50" s="65">
        <v>431</v>
      </c>
      <c r="F50" s="65">
        <f t="shared" si="2"/>
        <v>1724</v>
      </c>
      <c r="G50" s="2" t="s">
        <v>8</v>
      </c>
      <c r="H50" s="2"/>
      <c r="I50" s="2"/>
      <c r="J50" s="2"/>
    </row>
    <row r="51" spans="1:10" x14ac:dyDescent="0.25">
      <c r="A51" s="68">
        <v>46046</v>
      </c>
      <c r="B51" s="2">
        <v>10</v>
      </c>
      <c r="C51" s="2" t="s">
        <v>1013</v>
      </c>
      <c r="D51" s="2" t="s">
        <v>934</v>
      </c>
      <c r="E51" s="65">
        <v>451</v>
      </c>
      <c r="F51" s="65">
        <f t="shared" si="2"/>
        <v>4510</v>
      </c>
      <c r="G51" s="2" t="s">
        <v>8</v>
      </c>
      <c r="H51" s="2"/>
      <c r="I51" s="2"/>
      <c r="J51" s="2"/>
    </row>
    <row r="52" spans="1:10" x14ac:dyDescent="0.25">
      <c r="A52" s="68">
        <v>46046</v>
      </c>
      <c r="B52" s="2">
        <v>4</v>
      </c>
      <c r="C52" s="2" t="s">
        <v>969</v>
      </c>
      <c r="D52" s="2" t="s">
        <v>331</v>
      </c>
      <c r="E52" s="65">
        <v>2199</v>
      </c>
      <c r="F52" s="65">
        <f t="shared" si="2"/>
        <v>8796</v>
      </c>
      <c r="G52" s="2" t="s">
        <v>8</v>
      </c>
      <c r="H52" s="2"/>
      <c r="I52" s="10" t="s">
        <v>115</v>
      </c>
      <c r="J52" s="2"/>
    </row>
    <row r="53" spans="1:10" x14ac:dyDescent="0.25">
      <c r="A53" s="68">
        <v>46046</v>
      </c>
      <c r="B53" s="2">
        <v>4</v>
      </c>
      <c r="C53" s="2" t="s">
        <v>969</v>
      </c>
      <c r="D53" s="2" t="s">
        <v>71</v>
      </c>
      <c r="E53" s="65">
        <v>2199</v>
      </c>
      <c r="F53" s="65">
        <f t="shared" si="2"/>
        <v>8796</v>
      </c>
      <c r="G53" s="2" t="s">
        <v>8</v>
      </c>
      <c r="H53" s="2"/>
      <c r="I53" s="10" t="s">
        <v>115</v>
      </c>
      <c r="J53" s="2"/>
    </row>
    <row r="54" spans="1:10" x14ac:dyDescent="0.25">
      <c r="A54" s="68">
        <v>46046</v>
      </c>
      <c r="B54" s="2">
        <v>2</v>
      </c>
      <c r="C54" s="2" t="s">
        <v>969</v>
      </c>
      <c r="D54" s="2" t="s">
        <v>1094</v>
      </c>
      <c r="E54" s="65">
        <v>2199</v>
      </c>
      <c r="F54" s="65">
        <f t="shared" si="2"/>
        <v>4398</v>
      </c>
      <c r="G54" s="2" t="s">
        <v>8</v>
      </c>
      <c r="H54" s="2"/>
      <c r="I54" s="10" t="s">
        <v>115</v>
      </c>
      <c r="J54" s="2"/>
    </row>
    <row r="55" spans="1:10" x14ac:dyDescent="0.25">
      <c r="A55" s="68">
        <v>46046</v>
      </c>
      <c r="B55" s="2">
        <v>4</v>
      </c>
      <c r="C55" s="2" t="s">
        <v>969</v>
      </c>
      <c r="D55" s="2" t="s">
        <v>1096</v>
      </c>
      <c r="E55" s="65">
        <v>2199</v>
      </c>
      <c r="F55" s="65">
        <f t="shared" si="2"/>
        <v>8796</v>
      </c>
      <c r="G55" s="2" t="s">
        <v>8</v>
      </c>
      <c r="H55" s="2"/>
      <c r="I55" s="10" t="s">
        <v>115</v>
      </c>
      <c r="J55" s="2"/>
    </row>
    <row r="56" spans="1:10" x14ac:dyDescent="0.25">
      <c r="A56" s="68">
        <v>46046</v>
      </c>
      <c r="B56" s="2">
        <v>2</v>
      </c>
      <c r="C56" s="2" t="s">
        <v>1095</v>
      </c>
      <c r="D56" s="2" t="s">
        <v>1096</v>
      </c>
      <c r="E56" s="65">
        <v>2199</v>
      </c>
      <c r="F56" s="65">
        <f t="shared" si="2"/>
        <v>4398</v>
      </c>
      <c r="G56" s="2" t="s">
        <v>8</v>
      </c>
      <c r="H56" s="2"/>
      <c r="I56" s="10" t="s">
        <v>115</v>
      </c>
      <c r="J56" s="2"/>
    </row>
    <row r="57" spans="1:10" x14ac:dyDescent="0.25">
      <c r="A57" s="68">
        <v>46046</v>
      </c>
      <c r="B57" s="2">
        <v>2</v>
      </c>
      <c r="C57" s="2" t="s">
        <v>1097</v>
      </c>
      <c r="D57" s="2" t="s">
        <v>1096</v>
      </c>
      <c r="E57" s="65">
        <v>1497</v>
      </c>
      <c r="F57" s="65">
        <f t="shared" si="2"/>
        <v>2994</v>
      </c>
      <c r="G57" s="2" t="s">
        <v>8</v>
      </c>
      <c r="H57" s="2"/>
      <c r="I57" s="10" t="s">
        <v>115</v>
      </c>
      <c r="J57" s="2"/>
    </row>
    <row r="58" spans="1:10" x14ac:dyDescent="0.25">
      <c r="A58" s="68">
        <v>46046</v>
      </c>
      <c r="B58" s="2">
        <v>3</v>
      </c>
      <c r="C58" s="2" t="s">
        <v>1097</v>
      </c>
      <c r="D58" s="2" t="s">
        <v>120</v>
      </c>
      <c r="E58" s="65">
        <v>1497</v>
      </c>
      <c r="F58" s="65">
        <f t="shared" si="2"/>
        <v>4491</v>
      </c>
      <c r="G58" s="2" t="s">
        <v>8</v>
      </c>
      <c r="H58" s="2"/>
      <c r="I58" s="10" t="s">
        <v>115</v>
      </c>
      <c r="J58" s="2"/>
    </row>
    <row r="59" spans="1:10" x14ac:dyDescent="0.25">
      <c r="A59" s="68">
        <v>46047</v>
      </c>
      <c r="B59" s="2">
        <v>4</v>
      </c>
      <c r="C59" s="2" t="s">
        <v>969</v>
      </c>
      <c r="D59" s="2" t="s">
        <v>230</v>
      </c>
      <c r="E59" s="65">
        <v>2199</v>
      </c>
      <c r="F59" s="65">
        <f t="shared" si="2"/>
        <v>8796</v>
      </c>
      <c r="G59" s="2" t="s">
        <v>8</v>
      </c>
      <c r="H59" s="2"/>
      <c r="I59" s="10" t="s">
        <v>115</v>
      </c>
      <c r="J59" s="2"/>
    </row>
    <row r="60" spans="1:10" x14ac:dyDescent="0.25">
      <c r="A60" s="68">
        <v>46047</v>
      </c>
      <c r="B60" s="2">
        <v>2</v>
      </c>
      <c r="C60" s="2" t="s">
        <v>1095</v>
      </c>
      <c r="D60" s="2" t="s">
        <v>230</v>
      </c>
      <c r="E60" s="65">
        <v>2199</v>
      </c>
      <c r="F60" s="65">
        <f t="shared" si="2"/>
        <v>4398</v>
      </c>
      <c r="G60" s="2" t="s">
        <v>8</v>
      </c>
      <c r="H60" s="2"/>
      <c r="I60" s="10" t="s">
        <v>115</v>
      </c>
      <c r="J60" s="2"/>
    </row>
    <row r="61" spans="1:10" x14ac:dyDescent="0.25">
      <c r="A61" s="68">
        <v>46047</v>
      </c>
      <c r="B61" s="2">
        <v>2</v>
      </c>
      <c r="C61" s="2" t="s">
        <v>1099</v>
      </c>
      <c r="D61" s="2" t="s">
        <v>230</v>
      </c>
      <c r="E61" s="65">
        <v>1499</v>
      </c>
      <c r="F61" s="65">
        <f t="shared" si="2"/>
        <v>2998</v>
      </c>
      <c r="G61" s="2" t="s">
        <v>8</v>
      </c>
      <c r="H61" s="2"/>
      <c r="I61" s="10" t="s">
        <v>115</v>
      </c>
      <c r="J61" s="2"/>
    </row>
    <row r="62" spans="1:10" x14ac:dyDescent="0.25">
      <c r="A62" s="68">
        <v>46047</v>
      </c>
      <c r="B62" s="2">
        <v>2</v>
      </c>
      <c r="C62" s="2" t="s">
        <v>1059</v>
      </c>
      <c r="D62" s="2" t="s">
        <v>230</v>
      </c>
      <c r="E62" s="65">
        <v>1499</v>
      </c>
      <c r="F62" s="65">
        <f t="shared" si="2"/>
        <v>2998</v>
      </c>
      <c r="G62" s="2" t="s">
        <v>8</v>
      </c>
      <c r="H62" s="2"/>
      <c r="I62" s="10" t="s">
        <v>115</v>
      </c>
      <c r="J62" s="2"/>
    </row>
    <row r="63" spans="1:10" x14ac:dyDescent="0.25">
      <c r="A63" s="68">
        <v>46047</v>
      </c>
      <c r="B63" s="2">
        <v>3</v>
      </c>
      <c r="C63" s="2" t="s">
        <v>969</v>
      </c>
      <c r="D63" s="2" t="s">
        <v>808</v>
      </c>
      <c r="E63" s="65">
        <v>2199</v>
      </c>
      <c r="F63" s="65">
        <f t="shared" si="2"/>
        <v>6597</v>
      </c>
      <c r="G63" s="2" t="s">
        <v>8</v>
      </c>
      <c r="H63" s="2"/>
      <c r="I63" s="10" t="s">
        <v>115</v>
      </c>
      <c r="J63" s="2"/>
    </row>
    <row r="64" spans="1:10" x14ac:dyDescent="0.25">
      <c r="A64" s="68">
        <v>46047</v>
      </c>
      <c r="B64" s="2">
        <v>4</v>
      </c>
      <c r="C64" s="2" t="s">
        <v>969</v>
      </c>
      <c r="D64" s="2" t="s">
        <v>101</v>
      </c>
      <c r="E64" s="65">
        <v>2199</v>
      </c>
      <c r="F64" s="65">
        <f t="shared" si="2"/>
        <v>8796</v>
      </c>
      <c r="G64" s="2" t="s">
        <v>8</v>
      </c>
      <c r="H64" s="2"/>
      <c r="I64" s="10" t="s">
        <v>115</v>
      </c>
      <c r="J64" s="2"/>
    </row>
    <row r="65" spans="1:12" x14ac:dyDescent="0.25">
      <c r="A65" s="68">
        <v>46047</v>
      </c>
      <c r="B65" s="2">
        <v>4</v>
      </c>
      <c r="C65" s="2" t="s">
        <v>1095</v>
      </c>
      <c r="D65" s="2" t="s">
        <v>101</v>
      </c>
      <c r="E65" s="65">
        <v>2199</v>
      </c>
      <c r="F65" s="65">
        <f t="shared" si="2"/>
        <v>8796</v>
      </c>
      <c r="G65" s="2" t="s">
        <v>8</v>
      </c>
      <c r="H65" s="2"/>
      <c r="I65" s="10" t="s">
        <v>115</v>
      </c>
      <c r="J65" s="2"/>
    </row>
    <row r="66" spans="1:12" x14ac:dyDescent="0.25">
      <c r="A66" s="68">
        <v>46047</v>
      </c>
      <c r="B66" s="2">
        <v>4</v>
      </c>
      <c r="C66" s="2" t="s">
        <v>1099</v>
      </c>
      <c r="D66" s="2" t="s">
        <v>101</v>
      </c>
      <c r="E66" s="65">
        <v>1499</v>
      </c>
      <c r="F66" s="65">
        <f t="shared" si="2"/>
        <v>5996</v>
      </c>
      <c r="G66" s="2" t="s">
        <v>8</v>
      </c>
      <c r="H66" s="2"/>
      <c r="I66" s="10" t="s">
        <v>115</v>
      </c>
      <c r="J66" s="2"/>
    </row>
    <row r="67" spans="1:12" x14ac:dyDescent="0.25">
      <c r="A67" s="68">
        <v>46047</v>
      </c>
      <c r="B67" s="2">
        <v>4</v>
      </c>
      <c r="C67" s="2" t="s">
        <v>1059</v>
      </c>
      <c r="D67" s="2" t="s">
        <v>101</v>
      </c>
      <c r="E67" s="65">
        <v>1499</v>
      </c>
      <c r="F67" s="65">
        <f t="shared" si="2"/>
        <v>5996</v>
      </c>
      <c r="G67" s="2" t="s">
        <v>8</v>
      </c>
      <c r="H67" s="2"/>
      <c r="I67" s="10" t="s">
        <v>115</v>
      </c>
      <c r="J67" s="2"/>
    </row>
    <row r="68" spans="1:12" x14ac:dyDescent="0.25">
      <c r="A68" s="68">
        <v>46047</v>
      </c>
      <c r="B68" s="2">
        <v>2</v>
      </c>
      <c r="C68" s="2" t="s">
        <v>969</v>
      </c>
      <c r="D68" s="2" t="s">
        <v>677</v>
      </c>
      <c r="E68" s="2" t="s">
        <v>1140</v>
      </c>
      <c r="F68" s="65" t="s">
        <v>1140</v>
      </c>
      <c r="G68" s="2" t="s">
        <v>1102</v>
      </c>
      <c r="H68" s="21">
        <v>1127</v>
      </c>
      <c r="I68" s="10" t="s">
        <v>115</v>
      </c>
      <c r="J68" s="100">
        <v>2663.6</v>
      </c>
      <c r="K68" t="s">
        <v>1133</v>
      </c>
      <c r="L68">
        <v>580</v>
      </c>
    </row>
    <row r="69" spans="1:12" x14ac:dyDescent="0.25">
      <c r="A69" s="68">
        <v>46047</v>
      </c>
      <c r="B69" s="2">
        <v>2</v>
      </c>
      <c r="C69" s="2" t="s">
        <v>1101</v>
      </c>
      <c r="D69" s="2" t="s">
        <v>677</v>
      </c>
      <c r="E69" s="2">
        <v>1497</v>
      </c>
      <c r="F69" s="65">
        <f t="shared" si="2"/>
        <v>2994</v>
      </c>
      <c r="G69" s="2" t="s">
        <v>1110</v>
      </c>
      <c r="H69" s="21">
        <v>949</v>
      </c>
      <c r="I69" s="10" t="s">
        <v>115</v>
      </c>
      <c r="J69" s="2"/>
      <c r="L69">
        <v>62</v>
      </c>
    </row>
    <row r="70" spans="1:12" x14ac:dyDescent="0.25">
      <c r="A70" s="68">
        <v>46049</v>
      </c>
      <c r="B70" s="2">
        <v>24</v>
      </c>
      <c r="C70" s="2" t="s">
        <v>1013</v>
      </c>
      <c r="D70" s="2" t="s">
        <v>1103</v>
      </c>
      <c r="E70" s="2">
        <v>403</v>
      </c>
      <c r="F70" s="2">
        <f>B70*E70</f>
        <v>9672</v>
      </c>
      <c r="G70" s="2" t="s">
        <v>1111</v>
      </c>
      <c r="H70" s="2"/>
      <c r="I70" s="2"/>
      <c r="J70" s="2"/>
      <c r="L70">
        <v>62</v>
      </c>
    </row>
    <row r="71" spans="1:12" x14ac:dyDescent="0.25">
      <c r="A71" s="68">
        <v>46049</v>
      </c>
      <c r="B71" s="2">
        <v>1</v>
      </c>
      <c r="C71" s="2" t="s">
        <v>1104</v>
      </c>
      <c r="D71" s="2" t="s">
        <v>1106</v>
      </c>
      <c r="E71" s="21">
        <v>2800</v>
      </c>
      <c r="F71" s="21">
        <v>2800</v>
      </c>
      <c r="G71" s="2" t="s">
        <v>1105</v>
      </c>
      <c r="H71" s="2"/>
      <c r="I71" s="2"/>
      <c r="J71" s="2"/>
      <c r="L71">
        <v>125.6</v>
      </c>
    </row>
    <row r="72" spans="1:12" x14ac:dyDescent="0.25">
      <c r="A72" s="68">
        <v>46051</v>
      </c>
      <c r="B72" s="2">
        <v>15</v>
      </c>
      <c r="C72" s="2" t="s">
        <v>1013</v>
      </c>
      <c r="D72" s="2" t="s">
        <v>1103</v>
      </c>
      <c r="E72" s="3">
        <v>403</v>
      </c>
      <c r="F72" s="3">
        <f>B72*E72</f>
        <v>6045</v>
      </c>
      <c r="G72" s="2" t="s">
        <v>1112</v>
      </c>
      <c r="H72" s="2"/>
      <c r="I72" s="2"/>
      <c r="J72" s="2"/>
      <c r="L72">
        <v>298</v>
      </c>
    </row>
    <row r="73" spans="1:12" x14ac:dyDescent="0.25">
      <c r="A73" s="68">
        <v>46052</v>
      </c>
      <c r="B73" s="2">
        <v>250</v>
      </c>
      <c r="C73" s="2" t="s">
        <v>1013</v>
      </c>
      <c r="D73" s="2" t="s">
        <v>506</v>
      </c>
      <c r="E73" s="3">
        <v>466</v>
      </c>
      <c r="F73" s="3">
        <f t="shared" ref="F73:F91" si="3">B73*E73</f>
        <v>116500</v>
      </c>
      <c r="G73" s="2" t="s">
        <v>1131</v>
      </c>
      <c r="H73" s="2"/>
      <c r="I73" s="2"/>
      <c r="J73" s="2"/>
    </row>
    <row r="74" spans="1:12" x14ac:dyDescent="0.25">
      <c r="A74" s="68">
        <v>46052</v>
      </c>
      <c r="B74" s="2">
        <v>48</v>
      </c>
      <c r="C74" s="2" t="s">
        <v>1013</v>
      </c>
      <c r="D74" s="2" t="s">
        <v>1113</v>
      </c>
      <c r="E74" s="3">
        <v>466</v>
      </c>
      <c r="F74" s="3">
        <f t="shared" si="3"/>
        <v>22368</v>
      </c>
      <c r="G74" s="2" t="s">
        <v>1131</v>
      </c>
      <c r="H74" s="2"/>
      <c r="I74" s="2"/>
      <c r="J74" s="2"/>
    </row>
    <row r="75" spans="1:12" x14ac:dyDescent="0.25">
      <c r="A75" s="68">
        <v>46052</v>
      </c>
      <c r="B75" s="2">
        <v>8</v>
      </c>
      <c r="C75" s="2" t="s">
        <v>1013</v>
      </c>
      <c r="D75" s="2" t="s">
        <v>1114</v>
      </c>
      <c r="E75" s="3">
        <v>450.89</v>
      </c>
      <c r="F75" s="3">
        <f t="shared" si="3"/>
        <v>3607.12</v>
      </c>
      <c r="G75" s="2" t="s">
        <v>8</v>
      </c>
      <c r="H75" s="2"/>
      <c r="I75" s="2"/>
      <c r="J75" s="2"/>
    </row>
    <row r="76" spans="1:12" x14ac:dyDescent="0.25">
      <c r="A76" s="68">
        <v>46052</v>
      </c>
      <c r="B76" s="2">
        <v>8</v>
      </c>
      <c r="C76" s="2" t="s">
        <v>1013</v>
      </c>
      <c r="D76" s="2" t="s">
        <v>1115</v>
      </c>
      <c r="E76" s="3">
        <v>431.1</v>
      </c>
      <c r="F76" s="3">
        <f t="shared" si="3"/>
        <v>3448.8</v>
      </c>
      <c r="G76" s="2" t="s">
        <v>8</v>
      </c>
      <c r="H76" s="2"/>
      <c r="I76" s="2"/>
      <c r="J76" s="2"/>
    </row>
    <row r="77" spans="1:12" x14ac:dyDescent="0.25">
      <c r="A77" s="68">
        <v>46052</v>
      </c>
      <c r="B77" s="2">
        <v>6</v>
      </c>
      <c r="C77" s="2" t="s">
        <v>1013</v>
      </c>
      <c r="D77" s="2" t="s">
        <v>1116</v>
      </c>
      <c r="E77" s="3">
        <v>440.1</v>
      </c>
      <c r="F77" s="3">
        <f t="shared" si="3"/>
        <v>2640.6000000000004</v>
      </c>
      <c r="G77" s="2" t="s">
        <v>8</v>
      </c>
      <c r="H77" s="2"/>
      <c r="I77" s="2"/>
      <c r="J77" s="2"/>
    </row>
    <row r="78" spans="1:12" x14ac:dyDescent="0.25">
      <c r="A78" s="68">
        <v>46052</v>
      </c>
      <c r="B78" s="2">
        <v>4</v>
      </c>
      <c r="C78" s="2" t="s">
        <v>1013</v>
      </c>
      <c r="D78" s="2" t="s">
        <v>1116</v>
      </c>
      <c r="E78" s="3">
        <v>440.1</v>
      </c>
      <c r="F78" s="3">
        <f t="shared" si="3"/>
        <v>1760.4</v>
      </c>
      <c r="G78" s="2" t="s">
        <v>8</v>
      </c>
      <c r="H78" s="2"/>
      <c r="I78" s="2"/>
      <c r="J78" s="2"/>
    </row>
    <row r="79" spans="1:12" x14ac:dyDescent="0.25">
      <c r="A79" s="68">
        <v>46052</v>
      </c>
      <c r="B79" s="2">
        <v>10</v>
      </c>
      <c r="C79" s="2" t="s">
        <v>1013</v>
      </c>
      <c r="D79" s="2" t="s">
        <v>1117</v>
      </c>
      <c r="E79" s="3">
        <v>454.49</v>
      </c>
      <c r="F79" s="3">
        <f t="shared" si="3"/>
        <v>4544.8999999999996</v>
      </c>
      <c r="G79" s="2" t="s">
        <v>8</v>
      </c>
      <c r="H79" s="2"/>
      <c r="I79" s="2"/>
      <c r="J79" s="2"/>
    </row>
    <row r="80" spans="1:12" x14ac:dyDescent="0.25">
      <c r="A80" s="68">
        <v>46052</v>
      </c>
      <c r="B80" s="2">
        <v>11</v>
      </c>
      <c r="C80" s="2" t="s">
        <v>1013</v>
      </c>
      <c r="D80" s="2" t="s">
        <v>1118</v>
      </c>
      <c r="E80" s="3">
        <v>423.45</v>
      </c>
      <c r="F80" s="3">
        <f t="shared" si="3"/>
        <v>4657.95</v>
      </c>
      <c r="G80" s="2" t="s">
        <v>8</v>
      </c>
      <c r="H80" s="2"/>
      <c r="I80" s="2"/>
      <c r="J80" s="2"/>
    </row>
    <row r="81" spans="1:10" x14ac:dyDescent="0.25">
      <c r="A81" s="68">
        <v>46052</v>
      </c>
      <c r="B81" s="2">
        <v>1</v>
      </c>
      <c r="C81" s="2" t="s">
        <v>1013</v>
      </c>
      <c r="D81" s="2" t="s">
        <v>1118</v>
      </c>
      <c r="E81" s="3">
        <v>431.1</v>
      </c>
      <c r="F81" s="3">
        <f t="shared" si="3"/>
        <v>431.1</v>
      </c>
      <c r="G81" s="2" t="s">
        <v>8</v>
      </c>
      <c r="H81" s="2"/>
      <c r="I81" s="2"/>
      <c r="J81" s="2"/>
    </row>
    <row r="82" spans="1:10" x14ac:dyDescent="0.25">
      <c r="A82" s="68">
        <v>46052</v>
      </c>
      <c r="B82" s="2">
        <v>7</v>
      </c>
      <c r="C82" s="2" t="s">
        <v>1013</v>
      </c>
      <c r="D82" s="2" t="s">
        <v>1119</v>
      </c>
      <c r="E82" s="3">
        <v>431.1</v>
      </c>
      <c r="F82" s="3">
        <f t="shared" si="3"/>
        <v>3017.7000000000003</v>
      </c>
      <c r="G82" s="2" t="s">
        <v>8</v>
      </c>
      <c r="H82" s="2"/>
      <c r="I82" s="2"/>
      <c r="J82" s="2"/>
    </row>
    <row r="83" spans="1:10" x14ac:dyDescent="0.25">
      <c r="A83" s="68">
        <v>46052</v>
      </c>
      <c r="B83" s="2">
        <v>15</v>
      </c>
      <c r="C83" s="2" t="s">
        <v>1013</v>
      </c>
      <c r="D83" s="2" t="s">
        <v>1120</v>
      </c>
      <c r="E83" s="3">
        <v>431.1</v>
      </c>
      <c r="F83" s="3">
        <f t="shared" si="3"/>
        <v>6466.5</v>
      </c>
      <c r="G83" s="2" t="s">
        <v>8</v>
      </c>
      <c r="H83" s="2"/>
      <c r="I83" s="2"/>
      <c r="J83" s="2"/>
    </row>
    <row r="84" spans="1:10" x14ac:dyDescent="0.25">
      <c r="A84" s="68">
        <v>46052</v>
      </c>
      <c r="B84" s="2">
        <v>5</v>
      </c>
      <c r="C84" s="2" t="s">
        <v>1013</v>
      </c>
      <c r="D84" s="2" t="s">
        <v>1121</v>
      </c>
      <c r="E84" s="3">
        <v>450.89</v>
      </c>
      <c r="F84" s="3">
        <f t="shared" si="3"/>
        <v>2254.4499999999998</v>
      </c>
      <c r="G84" s="2" t="s">
        <v>8</v>
      </c>
      <c r="H84" s="2"/>
      <c r="I84" s="2"/>
      <c r="J84" s="2"/>
    </row>
    <row r="85" spans="1:10" x14ac:dyDescent="0.25">
      <c r="A85" s="68">
        <v>46052</v>
      </c>
      <c r="B85" s="2">
        <v>6</v>
      </c>
      <c r="C85" s="2" t="s">
        <v>1013</v>
      </c>
      <c r="D85" s="2" t="s">
        <v>1120</v>
      </c>
      <c r="E85" s="3">
        <v>431.1</v>
      </c>
      <c r="F85" s="3">
        <f t="shared" si="3"/>
        <v>2586.6000000000004</v>
      </c>
      <c r="G85" s="2" t="s">
        <v>8</v>
      </c>
      <c r="H85" s="2"/>
      <c r="I85" s="2"/>
      <c r="J85" s="2"/>
    </row>
    <row r="86" spans="1:10" x14ac:dyDescent="0.25">
      <c r="A86" s="68">
        <v>46052</v>
      </c>
      <c r="B86" s="2">
        <v>8</v>
      </c>
      <c r="C86" s="2" t="s">
        <v>1013</v>
      </c>
      <c r="D86" s="2" t="s">
        <v>1122</v>
      </c>
      <c r="E86" s="3">
        <v>431.1</v>
      </c>
      <c r="F86" s="3">
        <f t="shared" si="3"/>
        <v>3448.8</v>
      </c>
      <c r="G86" s="2" t="s">
        <v>8</v>
      </c>
      <c r="H86" s="2"/>
      <c r="I86" s="2"/>
      <c r="J86" s="2"/>
    </row>
    <row r="87" spans="1:10" x14ac:dyDescent="0.25">
      <c r="A87" s="68">
        <v>46052</v>
      </c>
      <c r="B87" s="2">
        <v>8</v>
      </c>
      <c r="C87" s="2" t="s">
        <v>1013</v>
      </c>
      <c r="D87" s="2" t="s">
        <v>1122</v>
      </c>
      <c r="E87" s="3">
        <v>431.1</v>
      </c>
      <c r="F87" s="3">
        <f t="shared" si="3"/>
        <v>3448.8</v>
      </c>
      <c r="G87" s="2" t="s">
        <v>8</v>
      </c>
      <c r="H87" s="2"/>
      <c r="I87" s="2"/>
      <c r="J87" s="2"/>
    </row>
    <row r="88" spans="1:10" x14ac:dyDescent="0.25">
      <c r="A88" s="68">
        <v>46052</v>
      </c>
      <c r="B88" s="2">
        <v>16</v>
      </c>
      <c r="C88" s="2" t="s">
        <v>1013</v>
      </c>
      <c r="D88" s="2" t="s">
        <v>1123</v>
      </c>
      <c r="E88" s="3">
        <v>431.1</v>
      </c>
      <c r="F88" s="3">
        <f t="shared" si="3"/>
        <v>6897.6</v>
      </c>
      <c r="G88" s="2" t="s">
        <v>8</v>
      </c>
      <c r="H88" s="2"/>
      <c r="I88" s="2"/>
      <c r="J88" s="2"/>
    </row>
    <row r="89" spans="1:10" x14ac:dyDescent="0.25">
      <c r="A89" s="68">
        <v>46052</v>
      </c>
      <c r="B89" s="2">
        <v>2</v>
      </c>
      <c r="C89" s="2" t="s">
        <v>1013</v>
      </c>
      <c r="D89" s="2" t="s">
        <v>1119</v>
      </c>
      <c r="E89" s="3">
        <v>450.89</v>
      </c>
      <c r="F89" s="3">
        <f t="shared" si="3"/>
        <v>901.78</v>
      </c>
      <c r="G89" s="2" t="s">
        <v>8</v>
      </c>
      <c r="H89" s="2"/>
      <c r="I89" s="2"/>
      <c r="J89" s="2"/>
    </row>
    <row r="90" spans="1:10" x14ac:dyDescent="0.25">
      <c r="A90" s="68">
        <v>46053</v>
      </c>
      <c r="B90" s="2">
        <v>1</v>
      </c>
      <c r="C90" s="2" t="s">
        <v>923</v>
      </c>
      <c r="D90" s="2" t="s">
        <v>1124</v>
      </c>
      <c r="E90" s="3">
        <v>1400</v>
      </c>
      <c r="F90" s="3">
        <f t="shared" si="3"/>
        <v>1400</v>
      </c>
      <c r="G90" s="2" t="s">
        <v>85</v>
      </c>
      <c r="H90" s="2"/>
      <c r="I90" s="2"/>
      <c r="J90" s="2"/>
    </row>
    <row r="91" spans="1:10" x14ac:dyDescent="0.25">
      <c r="A91" s="68">
        <v>46053</v>
      </c>
      <c r="B91" s="2">
        <v>1</v>
      </c>
      <c r="C91" s="2" t="s">
        <v>1127</v>
      </c>
      <c r="D91" s="2" t="s">
        <v>1128</v>
      </c>
      <c r="E91" s="3">
        <v>1480</v>
      </c>
      <c r="F91" s="3">
        <f t="shared" si="3"/>
        <v>1480</v>
      </c>
      <c r="G91" s="2" t="s">
        <v>1129</v>
      </c>
      <c r="H91" s="2"/>
      <c r="I91" s="2"/>
      <c r="J91" s="2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</sheetData>
  <autoFilter ref="A1:R43" xr:uid="{AC864003-97F1-4346-A50C-403ABE149426}"/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854-67B2-4861-A053-D4A7F1C0C215}">
  <dimension ref="A1:L778"/>
  <sheetViews>
    <sheetView topLeftCell="I1" workbookViewId="0">
      <selection activeCell="O40" sqref="O40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27.14062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27.5703125" bestFit="1" customWidth="1"/>
    <col min="8" max="8" width="7.85546875" bestFit="1" customWidth="1"/>
    <col min="9" max="9" width="27.42578125" bestFit="1" customWidth="1"/>
    <col min="11" max="11" width="33.7109375" bestFit="1" customWidth="1"/>
    <col min="12" max="12" width="10.42578125" bestFit="1" customWidth="1"/>
    <col min="13" max="13" width="13.85546875" bestFit="1" customWidth="1"/>
    <col min="14" max="14" width="27.140625" bestFit="1" customWidth="1"/>
    <col min="15" max="15" width="25.140625" bestFit="1" customWidth="1"/>
    <col min="16" max="16" width="25.42578125" bestFit="1" customWidth="1"/>
    <col min="17" max="17" width="7" bestFit="1" customWidth="1"/>
    <col min="18" max="18" width="10.7109375" bestFit="1" customWidth="1"/>
  </cols>
  <sheetData>
    <row r="1" spans="1:1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K1" s="13" t="s">
        <v>78</v>
      </c>
      <c r="L1" t="s">
        <v>81</v>
      </c>
    </row>
    <row r="2" spans="1:12" x14ac:dyDescent="0.25">
      <c r="A2" s="68">
        <v>45995</v>
      </c>
      <c r="B2" s="2">
        <v>2</v>
      </c>
      <c r="C2" s="2" t="s">
        <v>843</v>
      </c>
      <c r="D2" s="2" t="s">
        <v>101</v>
      </c>
      <c r="E2" s="65">
        <v>479</v>
      </c>
      <c r="F2" s="65">
        <v>958</v>
      </c>
      <c r="G2" s="2" t="s">
        <v>11</v>
      </c>
      <c r="H2" s="2"/>
      <c r="I2" s="2" t="s">
        <v>902</v>
      </c>
      <c r="K2" s="14" t="s">
        <v>916</v>
      </c>
      <c r="L2">
        <v>10</v>
      </c>
    </row>
    <row r="3" spans="1:12" x14ac:dyDescent="0.25">
      <c r="A3" s="68">
        <v>45999</v>
      </c>
      <c r="B3" s="2">
        <v>1</v>
      </c>
      <c r="C3" s="2" t="s">
        <v>664</v>
      </c>
      <c r="D3" s="2" t="s">
        <v>101</v>
      </c>
      <c r="E3" s="65">
        <v>299</v>
      </c>
      <c r="F3" s="65">
        <v>299</v>
      </c>
      <c r="G3" s="2" t="s">
        <v>833</v>
      </c>
      <c r="H3" s="2"/>
      <c r="I3" s="2"/>
      <c r="K3" s="74" t="s">
        <v>896</v>
      </c>
      <c r="L3">
        <v>10</v>
      </c>
    </row>
    <row r="4" spans="1:12" x14ac:dyDescent="0.25">
      <c r="A4" s="68">
        <v>46002</v>
      </c>
      <c r="B4" s="2">
        <v>3</v>
      </c>
      <c r="C4" s="2" t="s">
        <v>664</v>
      </c>
      <c r="D4" s="2" t="s">
        <v>364</v>
      </c>
      <c r="E4" s="65">
        <v>340</v>
      </c>
      <c r="F4" s="65">
        <v>1020</v>
      </c>
      <c r="G4" s="2" t="s">
        <v>861</v>
      </c>
      <c r="H4" s="2"/>
      <c r="I4" s="2"/>
      <c r="K4" s="92" t="s">
        <v>24</v>
      </c>
      <c r="L4">
        <v>10</v>
      </c>
    </row>
    <row r="5" spans="1:12" x14ac:dyDescent="0.25">
      <c r="A5" s="68">
        <v>46010</v>
      </c>
      <c r="B5" s="2">
        <v>2</v>
      </c>
      <c r="C5" s="2" t="s">
        <v>883</v>
      </c>
      <c r="D5" s="2" t="s">
        <v>887</v>
      </c>
      <c r="E5" s="65">
        <v>477</v>
      </c>
      <c r="F5" s="65">
        <v>954</v>
      </c>
      <c r="G5" s="18" t="s">
        <v>24</v>
      </c>
      <c r="H5" s="2"/>
      <c r="I5" s="2" t="s">
        <v>885</v>
      </c>
      <c r="K5" s="14" t="s">
        <v>887</v>
      </c>
      <c r="L5">
        <v>6</v>
      </c>
    </row>
    <row r="6" spans="1:12" x14ac:dyDescent="0.25">
      <c r="A6" s="68">
        <v>46011</v>
      </c>
      <c r="B6" s="2">
        <v>2</v>
      </c>
      <c r="C6" s="2" t="s">
        <v>895</v>
      </c>
      <c r="D6" s="2" t="s">
        <v>444</v>
      </c>
      <c r="E6" s="65">
        <v>629</v>
      </c>
      <c r="F6" s="65">
        <v>1258</v>
      </c>
      <c r="G6" s="2" t="s">
        <v>24</v>
      </c>
      <c r="H6" s="2"/>
      <c r="I6" s="2"/>
      <c r="K6" s="74" t="s">
        <v>896</v>
      </c>
      <c r="L6">
        <v>4</v>
      </c>
    </row>
    <row r="7" spans="1:12" x14ac:dyDescent="0.25">
      <c r="A7" s="68">
        <v>46011</v>
      </c>
      <c r="B7" s="2">
        <v>2</v>
      </c>
      <c r="C7" s="2" t="s">
        <v>896</v>
      </c>
      <c r="D7" s="2" t="s">
        <v>444</v>
      </c>
      <c r="E7" s="65">
        <v>477</v>
      </c>
      <c r="F7" s="65">
        <v>954</v>
      </c>
      <c r="G7" s="2" t="s">
        <v>24</v>
      </c>
      <c r="H7" s="2"/>
      <c r="I7" s="2"/>
      <c r="K7" s="92" t="s">
        <v>24</v>
      </c>
      <c r="L7">
        <v>4</v>
      </c>
    </row>
    <row r="8" spans="1:12" x14ac:dyDescent="0.25">
      <c r="A8" s="68">
        <v>46011</v>
      </c>
      <c r="B8" s="2">
        <v>2</v>
      </c>
      <c r="C8" s="2" t="s">
        <v>896</v>
      </c>
      <c r="D8" s="2" t="s">
        <v>908</v>
      </c>
      <c r="E8" s="65">
        <v>477</v>
      </c>
      <c r="F8" s="65">
        <v>954</v>
      </c>
      <c r="G8" s="2" t="s">
        <v>24</v>
      </c>
      <c r="H8" s="2"/>
      <c r="I8" s="2"/>
      <c r="K8" s="74" t="s">
        <v>883</v>
      </c>
      <c r="L8">
        <v>2</v>
      </c>
    </row>
    <row r="9" spans="1:12" x14ac:dyDescent="0.25">
      <c r="A9" s="68">
        <v>46012</v>
      </c>
      <c r="B9" s="2">
        <v>2</v>
      </c>
      <c r="C9" s="2" t="s">
        <v>896</v>
      </c>
      <c r="D9" s="2" t="s">
        <v>887</v>
      </c>
      <c r="E9" s="65">
        <v>477</v>
      </c>
      <c r="F9" s="65">
        <v>954</v>
      </c>
      <c r="G9" s="18" t="s">
        <v>24</v>
      </c>
      <c r="H9" s="2"/>
      <c r="I9" s="2"/>
      <c r="K9" s="92" t="s">
        <v>24</v>
      </c>
      <c r="L9">
        <v>2</v>
      </c>
    </row>
    <row r="10" spans="1:12" x14ac:dyDescent="0.25">
      <c r="A10" s="87">
        <v>46012</v>
      </c>
      <c r="B10" s="88">
        <v>2</v>
      </c>
      <c r="C10" s="88" t="s">
        <v>896</v>
      </c>
      <c r="D10" s="88" t="s">
        <v>916</v>
      </c>
      <c r="E10" s="89">
        <v>477</v>
      </c>
      <c r="F10" s="89">
        <v>954</v>
      </c>
      <c r="G10" s="2" t="s">
        <v>24</v>
      </c>
      <c r="H10" s="88"/>
      <c r="I10" s="88"/>
      <c r="K10" s="14" t="s">
        <v>926</v>
      </c>
      <c r="L10">
        <v>2</v>
      </c>
    </row>
    <row r="11" spans="1:12" x14ac:dyDescent="0.25">
      <c r="A11" s="68">
        <v>46012</v>
      </c>
      <c r="B11" s="2">
        <v>2</v>
      </c>
      <c r="C11" s="2" t="s">
        <v>896</v>
      </c>
      <c r="D11" s="2" t="s">
        <v>916</v>
      </c>
      <c r="E11" s="65">
        <v>477</v>
      </c>
      <c r="F11" s="65">
        <v>954</v>
      </c>
      <c r="G11" s="2" t="s">
        <v>24</v>
      </c>
      <c r="H11" s="2"/>
      <c r="I11" s="2"/>
      <c r="K11" s="74" t="s">
        <v>896</v>
      </c>
      <c r="L11">
        <v>2</v>
      </c>
    </row>
    <row r="12" spans="1:12" x14ac:dyDescent="0.25">
      <c r="A12" s="68">
        <v>46012</v>
      </c>
      <c r="B12" s="2">
        <v>2</v>
      </c>
      <c r="C12" s="2" t="s">
        <v>896</v>
      </c>
      <c r="D12" s="2" t="s">
        <v>444</v>
      </c>
      <c r="E12" s="65">
        <v>477</v>
      </c>
      <c r="F12" s="65">
        <v>954</v>
      </c>
      <c r="G12" s="2" t="s">
        <v>24</v>
      </c>
      <c r="H12" s="2"/>
      <c r="I12" s="2"/>
      <c r="K12" s="92" t="s">
        <v>24</v>
      </c>
      <c r="L12">
        <v>2</v>
      </c>
    </row>
    <row r="13" spans="1:12" x14ac:dyDescent="0.25">
      <c r="A13" s="68">
        <v>46012</v>
      </c>
      <c r="B13" s="2">
        <v>2</v>
      </c>
      <c r="C13" s="2" t="s">
        <v>895</v>
      </c>
      <c r="D13" s="2" t="s">
        <v>444</v>
      </c>
      <c r="E13" s="65">
        <v>629</v>
      </c>
      <c r="F13" s="65">
        <v>1258</v>
      </c>
      <c r="G13" s="2" t="s">
        <v>24</v>
      </c>
      <c r="H13" s="2"/>
      <c r="I13" s="2"/>
      <c r="K13" s="14" t="s">
        <v>908</v>
      </c>
      <c r="L13">
        <v>2</v>
      </c>
    </row>
    <row r="14" spans="1:12" x14ac:dyDescent="0.25">
      <c r="A14" s="68">
        <v>46012</v>
      </c>
      <c r="B14" s="2">
        <v>2</v>
      </c>
      <c r="C14" s="2" t="s">
        <v>896</v>
      </c>
      <c r="D14" s="2" t="s">
        <v>887</v>
      </c>
      <c r="E14" s="65">
        <v>477</v>
      </c>
      <c r="F14" s="65">
        <v>954</v>
      </c>
      <c r="G14" s="18" t="s">
        <v>24</v>
      </c>
      <c r="H14" s="2"/>
      <c r="I14" s="2"/>
      <c r="K14" s="74" t="s">
        <v>896</v>
      </c>
      <c r="L14">
        <v>2</v>
      </c>
    </row>
    <row r="15" spans="1:12" x14ac:dyDescent="0.25">
      <c r="A15" s="68">
        <v>46013</v>
      </c>
      <c r="B15" s="2">
        <v>2</v>
      </c>
      <c r="C15" s="2" t="s">
        <v>896</v>
      </c>
      <c r="D15" s="2" t="s">
        <v>916</v>
      </c>
      <c r="E15" s="65">
        <v>477</v>
      </c>
      <c r="F15" s="65">
        <v>954</v>
      </c>
      <c r="G15" s="2" t="s">
        <v>24</v>
      </c>
      <c r="H15" s="2"/>
      <c r="I15" s="2"/>
      <c r="K15" s="92" t="s">
        <v>24</v>
      </c>
      <c r="L15">
        <v>2</v>
      </c>
    </row>
    <row r="16" spans="1:12" x14ac:dyDescent="0.25">
      <c r="A16" s="68">
        <v>46013</v>
      </c>
      <c r="B16" s="2">
        <v>2</v>
      </c>
      <c r="C16" s="2" t="s">
        <v>896</v>
      </c>
      <c r="D16" s="2" t="s">
        <v>926</v>
      </c>
      <c r="E16" s="65">
        <v>477</v>
      </c>
      <c r="F16" s="65">
        <v>954</v>
      </c>
      <c r="G16" s="2" t="s">
        <v>24</v>
      </c>
      <c r="H16" s="2"/>
      <c r="I16" s="2"/>
      <c r="K16" s="14" t="s">
        <v>444</v>
      </c>
      <c r="L16">
        <v>12</v>
      </c>
    </row>
    <row r="17" spans="1:12" x14ac:dyDescent="0.25">
      <c r="A17" s="68">
        <v>46013</v>
      </c>
      <c r="B17" s="2">
        <v>2</v>
      </c>
      <c r="C17" s="2" t="s">
        <v>896</v>
      </c>
      <c r="D17" s="2" t="s">
        <v>916</v>
      </c>
      <c r="E17" s="65">
        <v>477</v>
      </c>
      <c r="F17" s="65">
        <v>954</v>
      </c>
      <c r="G17" s="2" t="s">
        <v>24</v>
      </c>
      <c r="H17" s="2"/>
      <c r="I17" s="2"/>
      <c r="K17" s="74" t="s">
        <v>896</v>
      </c>
      <c r="L17">
        <v>4</v>
      </c>
    </row>
    <row r="18" spans="1:12" x14ac:dyDescent="0.25">
      <c r="A18" s="68">
        <v>46013</v>
      </c>
      <c r="B18" s="2">
        <v>2</v>
      </c>
      <c r="C18" s="2" t="s">
        <v>896</v>
      </c>
      <c r="D18" s="2" t="s">
        <v>916</v>
      </c>
      <c r="E18" s="65">
        <v>477</v>
      </c>
      <c r="F18" s="65">
        <v>954</v>
      </c>
      <c r="G18" s="2" t="s">
        <v>24</v>
      </c>
      <c r="H18" s="2"/>
      <c r="I18" s="2"/>
      <c r="K18" s="92" t="s">
        <v>24</v>
      </c>
      <c r="L18">
        <v>4</v>
      </c>
    </row>
    <row r="19" spans="1:12" x14ac:dyDescent="0.25">
      <c r="A19" s="68">
        <v>46013</v>
      </c>
      <c r="B19" s="2">
        <v>2</v>
      </c>
      <c r="C19" s="2" t="s">
        <v>947</v>
      </c>
      <c r="D19" s="2" t="s">
        <v>444</v>
      </c>
      <c r="E19" s="65">
        <v>629</v>
      </c>
      <c r="F19" s="65">
        <v>1258</v>
      </c>
      <c r="G19" s="2" t="s">
        <v>24</v>
      </c>
      <c r="H19" s="2"/>
      <c r="I19" s="2"/>
      <c r="K19" s="74" t="s">
        <v>947</v>
      </c>
      <c r="L19">
        <v>4</v>
      </c>
    </row>
    <row r="20" spans="1:12" x14ac:dyDescent="0.25">
      <c r="A20" s="68">
        <v>46013</v>
      </c>
      <c r="B20" s="2">
        <v>2</v>
      </c>
      <c r="C20" s="2" t="s">
        <v>947</v>
      </c>
      <c r="D20" s="2" t="s">
        <v>444</v>
      </c>
      <c r="E20" s="65">
        <v>629</v>
      </c>
      <c r="F20" s="65">
        <v>1258</v>
      </c>
      <c r="G20" s="2" t="s">
        <v>24</v>
      </c>
      <c r="H20" s="2"/>
      <c r="I20" s="2"/>
      <c r="K20" s="92" t="s">
        <v>24</v>
      </c>
      <c r="L20">
        <v>4</v>
      </c>
    </row>
    <row r="21" spans="1:12" x14ac:dyDescent="0.25">
      <c r="A21" s="68">
        <v>46017</v>
      </c>
      <c r="B21" s="2">
        <v>3</v>
      </c>
      <c r="C21" s="2" t="s">
        <v>963</v>
      </c>
      <c r="D21" s="2" t="s">
        <v>864</v>
      </c>
      <c r="E21" s="65">
        <v>4400</v>
      </c>
      <c r="F21" s="65">
        <v>13200</v>
      </c>
      <c r="G21" s="2" t="s">
        <v>24</v>
      </c>
      <c r="H21" s="2"/>
      <c r="I21" s="2"/>
      <c r="K21" s="74" t="s">
        <v>895</v>
      </c>
      <c r="L21">
        <v>4</v>
      </c>
    </row>
    <row r="22" spans="1:12" x14ac:dyDescent="0.25">
      <c r="A22" s="68">
        <v>46017</v>
      </c>
      <c r="B22" s="2">
        <v>2</v>
      </c>
      <c r="C22" s="2" t="s">
        <v>874</v>
      </c>
      <c r="D22" s="2" t="s">
        <v>864</v>
      </c>
      <c r="E22" s="65">
        <v>3250</v>
      </c>
      <c r="F22" s="65">
        <v>6500</v>
      </c>
      <c r="G22" s="2" t="s">
        <v>24</v>
      </c>
      <c r="H22" s="2"/>
      <c r="I22" s="2"/>
      <c r="K22" s="92" t="s">
        <v>24</v>
      </c>
      <c r="L22">
        <v>4</v>
      </c>
    </row>
    <row r="23" spans="1:12" x14ac:dyDescent="0.25">
      <c r="A23" s="68">
        <v>46017</v>
      </c>
      <c r="B23" s="2">
        <v>1</v>
      </c>
      <c r="C23" s="2" t="s">
        <v>963</v>
      </c>
      <c r="D23" s="2" t="s">
        <v>864</v>
      </c>
      <c r="E23" s="65">
        <v>4400</v>
      </c>
      <c r="F23" s="65">
        <v>4400</v>
      </c>
      <c r="G23" s="2" t="s">
        <v>24</v>
      </c>
      <c r="H23" s="2"/>
      <c r="I23" s="2"/>
      <c r="K23" s="14" t="s">
        <v>864</v>
      </c>
      <c r="L23">
        <v>10</v>
      </c>
    </row>
    <row r="24" spans="1:12" x14ac:dyDescent="0.25">
      <c r="A24" s="68">
        <v>46017</v>
      </c>
      <c r="B24" s="2">
        <v>1</v>
      </c>
      <c r="C24" s="2" t="s">
        <v>874</v>
      </c>
      <c r="D24" s="2" t="s">
        <v>864</v>
      </c>
      <c r="E24" s="65">
        <v>3250</v>
      </c>
      <c r="F24" s="65">
        <v>3250</v>
      </c>
      <c r="G24" s="2" t="s">
        <v>24</v>
      </c>
      <c r="H24" s="2"/>
      <c r="I24" s="2"/>
      <c r="K24" s="74" t="s">
        <v>963</v>
      </c>
      <c r="L24">
        <v>5</v>
      </c>
    </row>
    <row r="25" spans="1:12" x14ac:dyDescent="0.25">
      <c r="A25" s="68">
        <v>46017</v>
      </c>
      <c r="B25" s="2">
        <v>1</v>
      </c>
      <c r="C25" s="2" t="s">
        <v>963</v>
      </c>
      <c r="D25" s="2" t="s">
        <v>864</v>
      </c>
      <c r="E25" s="65">
        <v>4400</v>
      </c>
      <c r="F25" s="65">
        <v>4400</v>
      </c>
      <c r="G25" s="2" t="s">
        <v>24</v>
      </c>
      <c r="H25" s="2"/>
      <c r="I25" s="2"/>
      <c r="K25" s="92" t="s">
        <v>24</v>
      </c>
      <c r="L25">
        <v>5</v>
      </c>
    </row>
    <row r="26" spans="1:12" x14ac:dyDescent="0.25">
      <c r="A26" s="68">
        <v>46017</v>
      </c>
      <c r="B26" s="2">
        <v>2</v>
      </c>
      <c r="C26" s="2" t="s">
        <v>874</v>
      </c>
      <c r="D26" s="2" t="s">
        <v>864</v>
      </c>
      <c r="E26" s="65">
        <v>3250</v>
      </c>
      <c r="F26" s="65">
        <v>6500</v>
      </c>
      <c r="G26" s="2" t="s">
        <v>24</v>
      </c>
      <c r="H26" s="2"/>
      <c r="I26" s="2"/>
      <c r="K26" s="74" t="s">
        <v>874</v>
      </c>
      <c r="L26">
        <v>5</v>
      </c>
    </row>
    <row r="27" spans="1:12" x14ac:dyDescent="0.25">
      <c r="A27" s="68">
        <v>46018</v>
      </c>
      <c r="B27" s="2">
        <v>6</v>
      </c>
      <c r="C27" s="2" t="s">
        <v>697</v>
      </c>
      <c r="D27" s="2" t="s">
        <v>101</v>
      </c>
      <c r="E27" s="65">
        <v>125</v>
      </c>
      <c r="F27" s="65">
        <v>750</v>
      </c>
      <c r="G27" s="2" t="s">
        <v>24</v>
      </c>
      <c r="H27" s="2"/>
      <c r="I27" s="2"/>
      <c r="K27" s="92" t="s">
        <v>24</v>
      </c>
      <c r="L27">
        <v>5</v>
      </c>
    </row>
    <row r="28" spans="1:12" x14ac:dyDescent="0.25">
      <c r="A28" s="68">
        <v>46018</v>
      </c>
      <c r="B28" s="2">
        <v>3</v>
      </c>
      <c r="C28" s="2" t="s">
        <v>661</v>
      </c>
      <c r="D28" s="2" t="s">
        <v>101</v>
      </c>
      <c r="E28" s="65">
        <v>419</v>
      </c>
      <c r="F28" s="65">
        <v>1257</v>
      </c>
      <c r="G28" s="2" t="s">
        <v>24</v>
      </c>
      <c r="H28" s="2"/>
      <c r="I28" s="2"/>
      <c r="K28" s="14" t="s">
        <v>101</v>
      </c>
      <c r="L28">
        <v>14</v>
      </c>
    </row>
    <row r="29" spans="1:12" x14ac:dyDescent="0.25">
      <c r="A29" s="68">
        <v>46018</v>
      </c>
      <c r="B29" s="2">
        <v>2</v>
      </c>
      <c r="C29" s="2" t="s">
        <v>971</v>
      </c>
      <c r="D29" s="2" t="s">
        <v>101</v>
      </c>
      <c r="E29" s="65">
        <v>629</v>
      </c>
      <c r="F29" s="65">
        <v>1258</v>
      </c>
      <c r="G29" s="2" t="s">
        <v>24</v>
      </c>
      <c r="H29" s="2"/>
      <c r="I29" s="2"/>
      <c r="K29" s="74" t="s">
        <v>661</v>
      </c>
      <c r="L29">
        <v>3</v>
      </c>
    </row>
    <row r="30" spans="1:12" x14ac:dyDescent="0.25">
      <c r="A30" s="68">
        <v>46019</v>
      </c>
      <c r="B30" s="2">
        <v>2</v>
      </c>
      <c r="C30" s="2" t="s">
        <v>967</v>
      </c>
      <c r="D30" s="2" t="s">
        <v>688</v>
      </c>
      <c r="E30" s="21">
        <v>2599</v>
      </c>
      <c r="F30" s="21">
        <v>5198</v>
      </c>
      <c r="G30" s="2" t="s">
        <v>989</v>
      </c>
      <c r="H30" s="2"/>
      <c r="I30" s="2" t="s">
        <v>115</v>
      </c>
      <c r="K30" s="92" t="s">
        <v>24</v>
      </c>
      <c r="L30">
        <v>3</v>
      </c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K31" s="74" t="s">
        <v>697</v>
      </c>
      <c r="L31">
        <v>6</v>
      </c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K32" s="92" t="s">
        <v>24</v>
      </c>
      <c r="L32">
        <v>6</v>
      </c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K33" s="74" t="s">
        <v>843</v>
      </c>
      <c r="L33">
        <v>2</v>
      </c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K34" s="92" t="s">
        <v>11</v>
      </c>
      <c r="L34">
        <v>2</v>
      </c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K35" s="74" t="s">
        <v>971</v>
      </c>
      <c r="L35">
        <v>2</v>
      </c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K36" s="92" t="s">
        <v>24</v>
      </c>
      <c r="L36">
        <v>2</v>
      </c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K37" s="74" t="s">
        <v>664</v>
      </c>
      <c r="L37">
        <v>1</v>
      </c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K38" s="92" t="s">
        <v>833</v>
      </c>
      <c r="L38">
        <v>1</v>
      </c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K39" s="14" t="s">
        <v>364</v>
      </c>
      <c r="L39">
        <v>3</v>
      </c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K40" s="74" t="s">
        <v>664</v>
      </c>
      <c r="L40">
        <v>3</v>
      </c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K41" s="92" t="s">
        <v>861</v>
      </c>
      <c r="L41">
        <v>3</v>
      </c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K42" s="14" t="s">
        <v>688</v>
      </c>
      <c r="L42">
        <v>2</v>
      </c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K43" s="74" t="s">
        <v>967</v>
      </c>
      <c r="L43">
        <v>2</v>
      </c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K44" s="92" t="s">
        <v>989</v>
      </c>
      <c r="L44">
        <v>2</v>
      </c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K45" s="14" t="s">
        <v>80</v>
      </c>
      <c r="L45">
        <v>61</v>
      </c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25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5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25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25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25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25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25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25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25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25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25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25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25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25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25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25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25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25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25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25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25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25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25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25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25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25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25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25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25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25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25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25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25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25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25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25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25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25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25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25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25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25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25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25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25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25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25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25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25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25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25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25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25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25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25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25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25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25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25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25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25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25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25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25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25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25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25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25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25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25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25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25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25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25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25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25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25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25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25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25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25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25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25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25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25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25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25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25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25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25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25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25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25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</sheetData>
  <autoFilter ref="A1:I30" xr:uid="{C8860854-67B2-4861-A053-D4A7F1C0C215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3ABC-A1F7-4700-9AC9-BBA6498EABEC}">
  <dimension ref="C2:F10"/>
  <sheetViews>
    <sheetView workbookViewId="0">
      <selection activeCell="C2" sqref="C2:F9"/>
    </sheetView>
  </sheetViews>
  <sheetFormatPr defaultRowHeight="15" x14ac:dyDescent="0.25"/>
  <cols>
    <col min="3" max="3" width="4.5703125" customWidth="1"/>
    <col min="4" max="4" width="34" bestFit="1" customWidth="1"/>
  </cols>
  <sheetData>
    <row r="2" spans="3:6" x14ac:dyDescent="0.25">
      <c r="C2" s="4" t="s">
        <v>0</v>
      </c>
      <c r="D2" s="4" t="s">
        <v>159</v>
      </c>
      <c r="E2" s="4" t="s">
        <v>3</v>
      </c>
      <c r="F2" s="4" t="s">
        <v>4</v>
      </c>
    </row>
    <row r="3" spans="3:6" ht="16.899999999999999" customHeight="1" x14ac:dyDescent="0.25">
      <c r="C3" s="2">
        <v>5</v>
      </c>
      <c r="D3" s="22" t="s">
        <v>929</v>
      </c>
      <c r="E3" s="65">
        <v>4300</v>
      </c>
      <c r="F3" s="65">
        <v>21500</v>
      </c>
    </row>
    <row r="4" spans="3:6" x14ac:dyDescent="0.25">
      <c r="C4" s="2">
        <v>5</v>
      </c>
      <c r="D4" s="2" t="s">
        <v>554</v>
      </c>
      <c r="E4" s="65">
        <v>3200</v>
      </c>
      <c r="F4" s="65">
        <v>16000</v>
      </c>
    </row>
    <row r="5" spans="3:6" x14ac:dyDescent="0.25">
      <c r="C5" s="2">
        <v>5</v>
      </c>
      <c r="D5" s="2" t="s">
        <v>930</v>
      </c>
      <c r="E5" s="65">
        <v>2400</v>
      </c>
      <c r="F5" s="65">
        <v>12000</v>
      </c>
    </row>
    <row r="6" spans="3:6" x14ac:dyDescent="0.25">
      <c r="C6" s="2">
        <v>20</v>
      </c>
      <c r="D6" s="2" t="s">
        <v>931</v>
      </c>
      <c r="E6" s="65">
        <v>1400</v>
      </c>
      <c r="F6" s="65">
        <v>28000</v>
      </c>
    </row>
    <row r="7" spans="3:6" x14ac:dyDescent="0.25">
      <c r="C7" s="2">
        <v>10</v>
      </c>
      <c r="D7" s="2" t="s">
        <v>932</v>
      </c>
      <c r="E7" s="65">
        <v>1200</v>
      </c>
      <c r="F7" s="65">
        <v>12000</v>
      </c>
    </row>
    <row r="8" spans="3:6" x14ac:dyDescent="0.25">
      <c r="C8" s="2">
        <v>20</v>
      </c>
      <c r="D8" s="2" t="s">
        <v>804</v>
      </c>
      <c r="E8" s="65">
        <v>415</v>
      </c>
      <c r="F8" s="65">
        <v>8300</v>
      </c>
    </row>
    <row r="9" spans="3:6" x14ac:dyDescent="0.25">
      <c r="C9" s="2"/>
      <c r="D9" s="2"/>
      <c r="E9" s="90" t="s">
        <v>4</v>
      </c>
      <c r="F9" s="65">
        <v>97800</v>
      </c>
    </row>
    <row r="10" spans="3:6" x14ac:dyDescent="0.25">
      <c r="D10" s="2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5" x14ac:dyDescent="0.25"/>
  <cols>
    <col min="6" max="6" width="23.28515625" bestFit="1" customWidth="1"/>
  </cols>
  <sheetData>
    <row r="1" spans="1:9" x14ac:dyDescent="0.25">
      <c r="A1" s="2" t="s">
        <v>65</v>
      </c>
      <c r="B1" s="2" t="s">
        <v>0</v>
      </c>
      <c r="C1" s="2" t="s">
        <v>159</v>
      </c>
      <c r="D1" s="2" t="s">
        <v>815</v>
      </c>
      <c r="E1" s="2" t="s">
        <v>4</v>
      </c>
      <c r="F1" s="2" t="s">
        <v>818</v>
      </c>
      <c r="G1" s="2" t="s">
        <v>816</v>
      </c>
      <c r="H1" s="2" t="s">
        <v>65</v>
      </c>
      <c r="I1" s="2" t="s">
        <v>817</v>
      </c>
    </row>
    <row r="2" spans="1:9" x14ac:dyDescent="0.25">
      <c r="A2" s="68">
        <v>45996</v>
      </c>
      <c r="B2" s="1">
        <v>1</v>
      </c>
      <c r="C2" s="2" t="s">
        <v>814</v>
      </c>
      <c r="D2" s="2">
        <v>400</v>
      </c>
      <c r="E2" s="2">
        <f>B2*D2</f>
        <v>400</v>
      </c>
      <c r="F2" s="2" t="s">
        <v>819</v>
      </c>
      <c r="G2" s="2"/>
      <c r="H2" s="2"/>
      <c r="I2" s="2"/>
    </row>
    <row r="3" spans="1:9" x14ac:dyDescent="0.25">
      <c r="A3" s="68">
        <v>45996</v>
      </c>
      <c r="B3" s="2">
        <v>1</v>
      </c>
      <c r="C3" s="2" t="s">
        <v>814</v>
      </c>
      <c r="D3" s="2">
        <v>400</v>
      </c>
      <c r="E3" s="2">
        <v>400</v>
      </c>
      <c r="F3" s="2" t="s">
        <v>819</v>
      </c>
      <c r="G3" s="2"/>
      <c r="H3" s="2"/>
      <c r="I3" s="2"/>
    </row>
    <row r="4" spans="1:9" x14ac:dyDescent="0.25">
      <c r="A4" s="68">
        <v>45996</v>
      </c>
      <c r="B4" s="2">
        <v>1</v>
      </c>
      <c r="C4" s="2" t="s">
        <v>814</v>
      </c>
      <c r="D4" s="2">
        <v>398</v>
      </c>
      <c r="E4" s="2">
        <v>398</v>
      </c>
      <c r="F4" s="2" t="s">
        <v>820</v>
      </c>
      <c r="G4" s="2"/>
      <c r="H4" s="2"/>
      <c r="I4" s="2"/>
    </row>
    <row r="5" spans="1:9" x14ac:dyDescent="0.25">
      <c r="A5" s="68">
        <v>45997</v>
      </c>
      <c r="B5" s="2">
        <v>1</v>
      </c>
      <c r="C5" s="2" t="s">
        <v>814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75"/>
  <sheetViews>
    <sheetView topLeftCell="A43" workbookViewId="0">
      <selection activeCell="Q53" sqref="Q53"/>
    </sheetView>
  </sheetViews>
  <sheetFormatPr defaultRowHeight="15" x14ac:dyDescent="0.25"/>
  <cols>
    <col min="3" max="3" width="17.28515625" bestFit="1" customWidth="1"/>
    <col min="4" max="4" width="15.7109375" bestFit="1" customWidth="1"/>
    <col min="6" max="6" width="14.42578125" bestFit="1" customWidth="1"/>
    <col min="15" max="15" width="24.7109375" bestFit="1" customWidth="1"/>
  </cols>
  <sheetData>
    <row r="1" spans="1:16" x14ac:dyDescent="0.25">
      <c r="A1" t="s">
        <v>65</v>
      </c>
      <c r="B1" t="s">
        <v>773</v>
      </c>
      <c r="C1" t="s">
        <v>787</v>
      </c>
      <c r="D1" t="s">
        <v>2</v>
      </c>
      <c r="O1" s="6">
        <v>45998</v>
      </c>
    </row>
    <row r="2" spans="1:16" x14ac:dyDescent="0.25">
      <c r="A2" s="79">
        <v>45992</v>
      </c>
      <c r="B2" s="84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847</v>
      </c>
    </row>
    <row r="3" spans="1:16" x14ac:dyDescent="0.25">
      <c r="A3" s="79">
        <v>45993</v>
      </c>
      <c r="B3" s="84">
        <v>1257</v>
      </c>
      <c r="D3" t="s">
        <v>808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848</v>
      </c>
    </row>
    <row r="4" spans="1:16" x14ac:dyDescent="0.25">
      <c r="A4" s="79">
        <v>45993</v>
      </c>
      <c r="B4" s="84">
        <v>1197</v>
      </c>
      <c r="D4" t="s">
        <v>809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849</v>
      </c>
    </row>
    <row r="5" spans="1:16" x14ac:dyDescent="0.25">
      <c r="A5" s="79">
        <v>45995</v>
      </c>
      <c r="B5" s="84">
        <v>1995</v>
      </c>
      <c r="D5" t="s">
        <v>809</v>
      </c>
      <c r="K5">
        <v>57</v>
      </c>
      <c r="L5">
        <v>399</v>
      </c>
      <c r="M5">
        <f t="shared" si="0"/>
        <v>22743</v>
      </c>
      <c r="O5" t="s">
        <v>850</v>
      </c>
    </row>
    <row r="6" spans="1:16" x14ac:dyDescent="0.25">
      <c r="A6" s="79">
        <v>45993</v>
      </c>
      <c r="B6" s="84">
        <v>796</v>
      </c>
      <c r="D6" s="11" t="s">
        <v>810</v>
      </c>
      <c r="K6">
        <v>4</v>
      </c>
      <c r="L6">
        <v>419</v>
      </c>
      <c r="M6">
        <f t="shared" si="0"/>
        <v>1676</v>
      </c>
      <c r="O6" t="s">
        <v>851</v>
      </c>
    </row>
    <row r="7" spans="1:16" x14ac:dyDescent="0.25">
      <c r="A7" s="79">
        <v>45993</v>
      </c>
      <c r="B7" s="84">
        <v>399</v>
      </c>
      <c r="D7" t="s">
        <v>811</v>
      </c>
      <c r="M7">
        <f>SUM(M2:M6)</f>
        <v>28730</v>
      </c>
      <c r="O7" s="51">
        <v>150</v>
      </c>
    </row>
    <row r="8" spans="1:16" x14ac:dyDescent="0.25">
      <c r="A8" s="79">
        <v>45994</v>
      </c>
      <c r="B8" s="84">
        <v>399</v>
      </c>
      <c r="D8" t="s">
        <v>811</v>
      </c>
      <c r="O8" t="s">
        <v>852</v>
      </c>
      <c r="P8" t="s">
        <v>853</v>
      </c>
    </row>
    <row r="9" spans="1:16" x14ac:dyDescent="0.25">
      <c r="A9" s="79">
        <v>45994</v>
      </c>
      <c r="B9" s="84">
        <v>399</v>
      </c>
      <c r="D9" t="s">
        <v>811</v>
      </c>
    </row>
    <row r="10" spans="1:16" x14ac:dyDescent="0.25">
      <c r="A10" s="79">
        <v>45994</v>
      </c>
      <c r="B10" s="84">
        <v>399</v>
      </c>
      <c r="D10" t="s">
        <v>811</v>
      </c>
    </row>
    <row r="11" spans="1:16" x14ac:dyDescent="0.25">
      <c r="A11" s="79">
        <v>45994</v>
      </c>
      <c r="B11" s="84">
        <v>398</v>
      </c>
      <c r="D11" t="s">
        <v>302</v>
      </c>
    </row>
    <row r="12" spans="1:16" x14ac:dyDescent="0.25">
      <c r="A12" s="79">
        <v>45994</v>
      </c>
      <c r="B12" s="84">
        <v>398</v>
      </c>
      <c r="D12" s="11" t="s">
        <v>810</v>
      </c>
      <c r="L12" s="81">
        <f>H4-M7</f>
        <v>16887</v>
      </c>
    </row>
    <row r="13" spans="1:16" x14ac:dyDescent="0.25">
      <c r="A13" s="79">
        <v>45995</v>
      </c>
      <c r="B13" s="84">
        <v>796</v>
      </c>
      <c r="D13" s="11" t="s">
        <v>810</v>
      </c>
    </row>
    <row r="14" spans="1:16" x14ac:dyDescent="0.25">
      <c r="A14" s="79">
        <v>45995</v>
      </c>
      <c r="B14" s="84">
        <v>796</v>
      </c>
      <c r="D14" s="11" t="s">
        <v>810</v>
      </c>
      <c r="M14">
        <v>25</v>
      </c>
      <c r="N14">
        <v>398</v>
      </c>
      <c r="O14">
        <f>M14*N14</f>
        <v>9950</v>
      </c>
    </row>
    <row r="15" spans="1:16" x14ac:dyDescent="0.25">
      <c r="A15" s="79">
        <v>45996</v>
      </c>
      <c r="B15" s="84">
        <v>796</v>
      </c>
      <c r="D15" s="11" t="s">
        <v>810</v>
      </c>
      <c r="M15">
        <v>2</v>
      </c>
      <c r="N15">
        <v>2049</v>
      </c>
      <c r="O15">
        <f>M15*N15</f>
        <v>4098</v>
      </c>
    </row>
    <row r="16" spans="1:16" x14ac:dyDescent="0.25">
      <c r="A16" s="79">
        <v>45996</v>
      </c>
      <c r="B16" s="84">
        <v>798</v>
      </c>
      <c r="D16" s="11" t="s">
        <v>809</v>
      </c>
      <c r="M16">
        <v>5</v>
      </c>
      <c r="N16">
        <v>168</v>
      </c>
      <c r="O16">
        <f>M16*N16</f>
        <v>840</v>
      </c>
    </row>
    <row r="17" spans="1:15" x14ac:dyDescent="0.25">
      <c r="A17" s="79">
        <v>45999</v>
      </c>
      <c r="B17" s="84">
        <v>299</v>
      </c>
      <c r="D17" s="11" t="s">
        <v>811</v>
      </c>
      <c r="O17">
        <f>SUM(O14:O16)</f>
        <v>14888</v>
      </c>
    </row>
    <row r="18" spans="1:15" x14ac:dyDescent="0.25">
      <c r="A18" s="79">
        <v>45999</v>
      </c>
      <c r="B18" s="84">
        <v>398</v>
      </c>
      <c r="D18" s="11" t="s">
        <v>674</v>
      </c>
      <c r="G18" t="s">
        <v>845</v>
      </c>
    </row>
    <row r="19" spans="1:15" x14ac:dyDescent="0.25">
      <c r="A19" s="79">
        <v>45999</v>
      </c>
      <c r="B19" s="84">
        <v>399</v>
      </c>
      <c r="D19" s="11" t="s">
        <v>811</v>
      </c>
    </row>
    <row r="20" spans="1:15" x14ac:dyDescent="0.25">
      <c r="A20" s="79">
        <v>45999</v>
      </c>
      <c r="B20" s="84">
        <v>399</v>
      </c>
      <c r="D20" s="11" t="s">
        <v>811</v>
      </c>
    </row>
    <row r="21" spans="1:15" x14ac:dyDescent="0.25">
      <c r="A21" s="79">
        <v>45999</v>
      </c>
      <c r="B21" s="84">
        <v>399</v>
      </c>
      <c r="D21" s="11" t="s">
        <v>811</v>
      </c>
    </row>
    <row r="22" spans="1:15" x14ac:dyDescent="0.25">
      <c r="A22" s="79">
        <v>45999</v>
      </c>
      <c r="B22" s="84">
        <v>399</v>
      </c>
      <c r="D22" s="11" t="s">
        <v>811</v>
      </c>
    </row>
    <row r="23" spans="1:15" x14ac:dyDescent="0.25">
      <c r="A23" s="79">
        <v>45999</v>
      </c>
      <c r="B23" s="84">
        <v>796</v>
      </c>
      <c r="D23" s="11" t="s">
        <v>846</v>
      </c>
    </row>
    <row r="24" spans="1:15" x14ac:dyDescent="0.25">
      <c r="A24" s="79">
        <v>45999</v>
      </c>
      <c r="B24" s="84">
        <v>3980</v>
      </c>
      <c r="D24" s="11" t="s">
        <v>302</v>
      </c>
    </row>
    <row r="25" spans="1:15" x14ac:dyDescent="0.25">
      <c r="A25" s="79">
        <v>46000</v>
      </c>
      <c r="B25" s="84">
        <v>299</v>
      </c>
      <c r="D25" s="11" t="s">
        <v>811</v>
      </c>
    </row>
    <row r="26" spans="1:15" x14ac:dyDescent="0.25">
      <c r="A26" s="79">
        <v>46000</v>
      </c>
      <c r="B26" s="84">
        <v>394</v>
      </c>
      <c r="D26" s="11" t="s">
        <v>811</v>
      </c>
    </row>
    <row r="27" spans="1:15" x14ac:dyDescent="0.25">
      <c r="A27" s="79">
        <v>46000</v>
      </c>
      <c r="B27" s="84">
        <v>399</v>
      </c>
      <c r="D27" s="11" t="s">
        <v>811</v>
      </c>
    </row>
    <row r="28" spans="1:15" x14ac:dyDescent="0.25">
      <c r="A28" s="79">
        <v>46000</v>
      </c>
      <c r="B28" s="84">
        <v>798</v>
      </c>
      <c r="D28" s="11" t="s">
        <v>809</v>
      </c>
    </row>
    <row r="29" spans="1:15" x14ac:dyDescent="0.25">
      <c r="A29" s="79">
        <v>46000</v>
      </c>
      <c r="B29" s="84">
        <v>798</v>
      </c>
      <c r="D29" s="11" t="s">
        <v>809</v>
      </c>
    </row>
    <row r="30" spans="1:15" x14ac:dyDescent="0.25">
      <c r="A30" s="79">
        <v>46000</v>
      </c>
      <c r="B30" s="84">
        <v>798</v>
      </c>
      <c r="D30" s="11" t="s">
        <v>809</v>
      </c>
    </row>
    <row r="31" spans="1:15" x14ac:dyDescent="0.25">
      <c r="A31" s="79">
        <v>46000</v>
      </c>
      <c r="B31" s="84">
        <v>798</v>
      </c>
      <c r="D31" s="11" t="s">
        <v>809</v>
      </c>
    </row>
    <row r="32" spans="1:15" x14ac:dyDescent="0.25">
      <c r="A32" s="79">
        <v>46000</v>
      </c>
      <c r="B32" s="84">
        <v>1197</v>
      </c>
      <c r="D32" s="11" t="s">
        <v>811</v>
      </c>
    </row>
    <row r="33" spans="1:5" x14ac:dyDescent="0.25">
      <c r="A33" s="79">
        <v>46000</v>
      </c>
      <c r="B33" s="84">
        <v>840.75</v>
      </c>
      <c r="D33" s="11" t="s">
        <v>810</v>
      </c>
    </row>
    <row r="34" spans="1:5" x14ac:dyDescent="0.25">
      <c r="A34" s="79">
        <v>46000</v>
      </c>
      <c r="B34" s="84">
        <v>798</v>
      </c>
      <c r="D34" s="11" t="s">
        <v>809</v>
      </c>
    </row>
    <row r="35" spans="1:5" x14ac:dyDescent="0.25">
      <c r="A35" s="79">
        <v>46000</v>
      </c>
      <c r="B35" s="84">
        <v>5245.99</v>
      </c>
      <c r="D35" s="11" t="s">
        <v>811</v>
      </c>
    </row>
    <row r="36" spans="1:5" x14ac:dyDescent="0.25">
      <c r="A36" s="79">
        <v>46000</v>
      </c>
      <c r="B36" s="84">
        <v>399</v>
      </c>
      <c r="D36" s="11" t="s">
        <v>811</v>
      </c>
    </row>
    <row r="37" spans="1:5" x14ac:dyDescent="0.25">
      <c r="A37" s="79">
        <v>46000</v>
      </c>
      <c r="B37" s="84">
        <v>399</v>
      </c>
      <c r="D37" s="11" t="s">
        <v>811</v>
      </c>
    </row>
    <row r="38" spans="1:5" x14ac:dyDescent="0.25">
      <c r="A38" s="79">
        <v>46000</v>
      </c>
      <c r="B38" s="84">
        <v>796</v>
      </c>
      <c r="D38" s="11" t="s">
        <v>810</v>
      </c>
    </row>
    <row r="39" spans="1:5" x14ac:dyDescent="0.25">
      <c r="A39" s="79">
        <v>46000</v>
      </c>
      <c r="B39" s="84">
        <v>796</v>
      </c>
      <c r="D39" s="11" t="s">
        <v>810</v>
      </c>
    </row>
    <row r="40" spans="1:5" x14ac:dyDescent="0.25">
      <c r="A40" s="79">
        <v>46000</v>
      </c>
      <c r="B40" s="84">
        <v>796</v>
      </c>
      <c r="D40" s="11" t="s">
        <v>810</v>
      </c>
    </row>
    <row r="41" spans="1:5" x14ac:dyDescent="0.25">
      <c r="A41" s="79">
        <v>46000</v>
      </c>
      <c r="B41" s="84">
        <v>796</v>
      </c>
      <c r="D41" s="11" t="s">
        <v>810</v>
      </c>
    </row>
    <row r="42" spans="1:5" x14ac:dyDescent="0.25">
      <c r="A42" s="79">
        <v>46000</v>
      </c>
      <c r="B42" s="84">
        <v>796</v>
      </c>
      <c r="D42" s="11" t="s">
        <v>810</v>
      </c>
    </row>
    <row r="43" spans="1:5" x14ac:dyDescent="0.25">
      <c r="B43" s="81">
        <f>SUM(B2:B42)</f>
        <v>37616.74</v>
      </c>
    </row>
    <row r="46" spans="1:5" x14ac:dyDescent="0.25">
      <c r="A46" s="4" t="s">
        <v>65</v>
      </c>
      <c r="B46" s="95" t="s">
        <v>0</v>
      </c>
      <c r="C46" s="4" t="s">
        <v>1</v>
      </c>
      <c r="D46" s="4" t="s">
        <v>872</v>
      </c>
      <c r="E46" s="4" t="s">
        <v>4</v>
      </c>
    </row>
    <row r="47" spans="1:5" x14ac:dyDescent="0.25">
      <c r="A47" s="93">
        <v>46376</v>
      </c>
      <c r="B47" s="45">
        <v>22</v>
      </c>
      <c r="C47" s="45" t="s">
        <v>789</v>
      </c>
      <c r="D47" s="94">
        <v>15</v>
      </c>
      <c r="E47" s="94">
        <f>B47*D47</f>
        <v>330</v>
      </c>
    </row>
    <row r="48" spans="1:5" x14ac:dyDescent="0.25">
      <c r="A48" s="93">
        <v>46376</v>
      </c>
      <c r="B48" s="45">
        <v>3</v>
      </c>
      <c r="C48" s="45" t="s">
        <v>995</v>
      </c>
      <c r="D48" s="94">
        <v>20</v>
      </c>
      <c r="E48" s="94">
        <f>B48*D48</f>
        <v>60</v>
      </c>
    </row>
    <row r="49" spans="1:12" x14ac:dyDescent="0.25">
      <c r="A49" s="93">
        <v>46376</v>
      </c>
      <c r="B49" s="45">
        <v>2</v>
      </c>
      <c r="C49" s="45" t="s">
        <v>996</v>
      </c>
      <c r="D49" s="94">
        <v>20</v>
      </c>
      <c r="E49" s="94">
        <f t="shared" ref="E49:E52" si="1">B49*D49</f>
        <v>40</v>
      </c>
    </row>
    <row r="50" spans="1:12" x14ac:dyDescent="0.25">
      <c r="A50" s="93">
        <v>46379</v>
      </c>
      <c r="B50" s="45">
        <v>9</v>
      </c>
      <c r="C50" s="45" t="s">
        <v>996</v>
      </c>
      <c r="D50" s="94">
        <v>20</v>
      </c>
      <c r="E50" s="94">
        <f t="shared" si="1"/>
        <v>180</v>
      </c>
    </row>
    <row r="51" spans="1:12" x14ac:dyDescent="0.25">
      <c r="A51" s="93">
        <v>46379</v>
      </c>
      <c r="B51" s="45">
        <v>11</v>
      </c>
      <c r="C51" s="45" t="s">
        <v>995</v>
      </c>
      <c r="D51" s="94">
        <v>20</v>
      </c>
      <c r="E51" s="94">
        <f t="shared" si="1"/>
        <v>220</v>
      </c>
    </row>
    <row r="52" spans="1:12" x14ac:dyDescent="0.25">
      <c r="A52" s="93">
        <v>46379</v>
      </c>
      <c r="B52" s="45">
        <v>2</v>
      </c>
      <c r="C52" s="45" t="s">
        <v>997</v>
      </c>
      <c r="D52" s="94">
        <v>10</v>
      </c>
      <c r="E52" s="94">
        <f t="shared" si="1"/>
        <v>20</v>
      </c>
    </row>
    <row r="53" spans="1:12" x14ac:dyDescent="0.25">
      <c r="A53" s="45"/>
      <c r="B53" s="45"/>
      <c r="C53" s="45" t="s">
        <v>998</v>
      </c>
      <c r="D53" s="96" t="s">
        <v>80</v>
      </c>
      <c r="E53" s="94">
        <f>SUM(E47:E52)</f>
        <v>850</v>
      </c>
    </row>
    <row r="54" spans="1:12" x14ac:dyDescent="0.25">
      <c r="A54" s="166" t="s">
        <v>1025</v>
      </c>
      <c r="B54" s="166"/>
      <c r="C54" s="166"/>
      <c r="D54" s="166"/>
      <c r="E54" s="166"/>
    </row>
    <row r="55" spans="1:12" x14ac:dyDescent="0.25">
      <c r="A55" s="4" t="s">
        <v>65</v>
      </c>
      <c r="B55" s="95" t="s">
        <v>0</v>
      </c>
      <c r="C55" s="4" t="s">
        <v>1</v>
      </c>
      <c r="D55" s="4" t="s">
        <v>872</v>
      </c>
      <c r="E55" s="4" t="s">
        <v>4</v>
      </c>
      <c r="F55" s="4" t="s">
        <v>564</v>
      </c>
      <c r="H55" t="s">
        <v>995</v>
      </c>
      <c r="I55">
        <v>2</v>
      </c>
      <c r="J55" s="79">
        <v>46385</v>
      </c>
      <c r="K55">
        <v>1258</v>
      </c>
      <c r="L55" t="s">
        <v>454</v>
      </c>
    </row>
    <row r="56" spans="1:12" x14ac:dyDescent="0.25">
      <c r="A56" s="68">
        <v>46025</v>
      </c>
      <c r="B56" s="45">
        <v>2</v>
      </c>
      <c r="C56" s="45" t="s">
        <v>295</v>
      </c>
      <c r="D56" s="65">
        <v>15</v>
      </c>
      <c r="E56" s="65">
        <f>(B56*D56)</f>
        <v>30</v>
      </c>
      <c r="F56" s="2"/>
      <c r="J56" s="79"/>
    </row>
    <row r="57" spans="1:12" x14ac:dyDescent="0.25">
      <c r="A57" s="68">
        <v>46025</v>
      </c>
      <c r="B57" s="45">
        <v>8</v>
      </c>
      <c r="C57" s="45" t="s">
        <v>717</v>
      </c>
      <c r="D57" s="65">
        <v>40</v>
      </c>
      <c r="E57" s="65">
        <f t="shared" ref="E57:E60" si="2">(B57*D57)</f>
        <v>320</v>
      </c>
      <c r="F57" s="2"/>
      <c r="H57" t="s">
        <v>995</v>
      </c>
      <c r="I57" s="11">
        <v>2</v>
      </c>
      <c r="J57" s="99">
        <v>46385</v>
      </c>
      <c r="K57" s="11">
        <v>1256</v>
      </c>
      <c r="L57" s="11" t="s">
        <v>1015</v>
      </c>
    </row>
    <row r="58" spans="1:12" x14ac:dyDescent="0.25">
      <c r="A58" s="68">
        <v>46025</v>
      </c>
      <c r="B58" s="45">
        <v>2</v>
      </c>
      <c r="C58" s="45" t="s">
        <v>717</v>
      </c>
      <c r="D58" s="65">
        <v>20</v>
      </c>
      <c r="E58" s="65">
        <f t="shared" si="2"/>
        <v>40</v>
      </c>
      <c r="F58" s="2"/>
      <c r="I58" s="20">
        <v>1</v>
      </c>
      <c r="J58" s="98">
        <v>46385</v>
      </c>
      <c r="K58" s="20">
        <v>628</v>
      </c>
      <c r="L58" s="20" t="s">
        <v>1014</v>
      </c>
    </row>
    <row r="59" spans="1:12" x14ac:dyDescent="0.25">
      <c r="A59" s="68">
        <v>46025</v>
      </c>
      <c r="B59" s="45">
        <v>4</v>
      </c>
      <c r="C59" s="45" t="s">
        <v>716</v>
      </c>
      <c r="D59" s="65">
        <v>20</v>
      </c>
      <c r="E59" s="65">
        <f t="shared" si="2"/>
        <v>80</v>
      </c>
      <c r="F59" s="2"/>
      <c r="I59" s="20">
        <v>1</v>
      </c>
      <c r="J59" s="98">
        <v>46385</v>
      </c>
      <c r="K59" s="20">
        <v>628</v>
      </c>
      <c r="L59" s="20" t="s">
        <v>1014</v>
      </c>
    </row>
    <row r="60" spans="1:12" x14ac:dyDescent="0.25">
      <c r="A60" s="68">
        <v>46025</v>
      </c>
      <c r="B60" s="45">
        <v>2</v>
      </c>
      <c r="C60" s="45" t="s">
        <v>717</v>
      </c>
      <c r="D60" s="65">
        <v>20</v>
      </c>
      <c r="E60" s="65">
        <f t="shared" si="2"/>
        <v>40</v>
      </c>
      <c r="F60" s="2" t="s">
        <v>62</v>
      </c>
      <c r="H60" t="s">
        <v>995</v>
      </c>
      <c r="I60">
        <v>1</v>
      </c>
      <c r="J60" s="79">
        <v>46385</v>
      </c>
      <c r="K60">
        <v>628</v>
      </c>
      <c r="L60" t="s">
        <v>1014</v>
      </c>
    </row>
    <row r="61" spans="1:12" x14ac:dyDescent="0.25">
      <c r="A61" s="2"/>
      <c r="B61" s="2"/>
      <c r="C61" s="2"/>
      <c r="D61" s="73" t="s">
        <v>80</v>
      </c>
      <c r="E61" s="65">
        <f>SUM(E56:E60)</f>
        <v>510</v>
      </c>
      <c r="F61" s="2"/>
      <c r="H61" t="s">
        <v>995</v>
      </c>
      <c r="I61">
        <v>1</v>
      </c>
      <c r="J61" s="79">
        <v>46385</v>
      </c>
      <c r="K61">
        <v>628</v>
      </c>
      <c r="L61" t="s">
        <v>1014</v>
      </c>
    </row>
    <row r="62" spans="1:12" x14ac:dyDescent="0.25">
      <c r="H62" t="s">
        <v>995</v>
      </c>
      <c r="I62">
        <v>1</v>
      </c>
      <c r="J62" s="79">
        <v>46385</v>
      </c>
      <c r="K62">
        <v>628</v>
      </c>
      <c r="L62" t="s">
        <v>1014</v>
      </c>
    </row>
    <row r="63" spans="1:12" x14ac:dyDescent="0.25">
      <c r="H63" t="s">
        <v>995</v>
      </c>
      <c r="I63">
        <v>1</v>
      </c>
      <c r="J63" s="79">
        <v>46385</v>
      </c>
      <c r="K63">
        <v>628</v>
      </c>
      <c r="L63" t="s">
        <v>1014</v>
      </c>
    </row>
    <row r="64" spans="1:12" x14ac:dyDescent="0.25">
      <c r="H64" t="s">
        <v>995</v>
      </c>
      <c r="I64">
        <v>1</v>
      </c>
      <c r="J64" s="79">
        <v>46385</v>
      </c>
      <c r="K64">
        <v>628</v>
      </c>
      <c r="L64" t="s">
        <v>1016</v>
      </c>
    </row>
    <row r="65" spans="8:13" x14ac:dyDescent="0.25">
      <c r="H65" t="s">
        <v>995</v>
      </c>
      <c r="I65">
        <v>1</v>
      </c>
      <c r="J65" s="79">
        <v>46385</v>
      </c>
      <c r="K65">
        <v>628</v>
      </c>
      <c r="L65" t="s">
        <v>1016</v>
      </c>
    </row>
    <row r="66" spans="8:13" x14ac:dyDescent="0.25">
      <c r="H66" t="s">
        <v>995</v>
      </c>
      <c r="I66">
        <v>2</v>
      </c>
      <c r="J66" s="79">
        <v>46380</v>
      </c>
      <c r="K66">
        <v>1258</v>
      </c>
      <c r="L66" t="s">
        <v>1018</v>
      </c>
    </row>
    <row r="67" spans="8:13" x14ac:dyDescent="0.25">
      <c r="H67" t="s">
        <v>996</v>
      </c>
      <c r="I67">
        <v>2</v>
      </c>
      <c r="J67" s="79">
        <v>46380</v>
      </c>
      <c r="K67">
        <v>1128</v>
      </c>
      <c r="L67" t="s">
        <v>1019</v>
      </c>
    </row>
    <row r="68" spans="8:13" x14ac:dyDescent="0.25">
      <c r="H68" t="s">
        <v>996</v>
      </c>
      <c r="I68">
        <v>2</v>
      </c>
      <c r="J68" s="79">
        <v>46380</v>
      </c>
      <c r="K68">
        <v>954</v>
      </c>
      <c r="L68" t="s">
        <v>1018</v>
      </c>
    </row>
    <row r="69" spans="8:13" x14ac:dyDescent="0.25">
      <c r="I69">
        <v>2</v>
      </c>
      <c r="J69" s="79">
        <v>46380</v>
      </c>
      <c r="K69">
        <v>796</v>
      </c>
      <c r="L69" t="s">
        <v>1017</v>
      </c>
      <c r="M69" t="s">
        <v>789</v>
      </c>
    </row>
    <row r="70" spans="8:13" x14ac:dyDescent="0.25">
      <c r="J70" s="79">
        <v>46380</v>
      </c>
      <c r="K70">
        <v>2216</v>
      </c>
      <c r="L70" t="s">
        <v>1020</v>
      </c>
    </row>
    <row r="75" spans="8:13" x14ac:dyDescent="0.25">
      <c r="I75">
        <v>2</v>
      </c>
      <c r="J75" t="s">
        <v>1021</v>
      </c>
      <c r="K75" t="s">
        <v>47</v>
      </c>
    </row>
  </sheetData>
  <mergeCells count="1">
    <mergeCell ref="A54:E5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5" x14ac:dyDescent="0.25"/>
  <sheetData>
    <row r="1" spans="1:3" x14ac:dyDescent="0.25">
      <c r="A1" t="s">
        <v>65</v>
      </c>
      <c r="B1" t="s">
        <v>772</v>
      </c>
      <c r="C1" t="s">
        <v>773</v>
      </c>
    </row>
    <row r="2" spans="1:3" x14ac:dyDescent="0.25">
      <c r="A2" s="79">
        <v>45991</v>
      </c>
      <c r="B2">
        <v>2</v>
      </c>
      <c r="C2" s="81">
        <v>796</v>
      </c>
    </row>
    <row r="3" spans="1:3" x14ac:dyDescent="0.25">
      <c r="A3" s="79">
        <v>45991</v>
      </c>
      <c r="B3">
        <v>1</v>
      </c>
      <c r="C3" s="81">
        <v>398</v>
      </c>
    </row>
    <row r="4" spans="1:3" x14ac:dyDescent="0.25">
      <c r="A4" s="79">
        <v>45991</v>
      </c>
      <c r="B4">
        <v>2</v>
      </c>
      <c r="C4" s="81">
        <v>796</v>
      </c>
    </row>
    <row r="5" spans="1:3" x14ac:dyDescent="0.25">
      <c r="A5" s="79">
        <v>45991</v>
      </c>
      <c r="B5">
        <v>6</v>
      </c>
      <c r="C5" s="81">
        <v>2388</v>
      </c>
    </row>
    <row r="6" spans="1:3" x14ac:dyDescent="0.25">
      <c r="A6" s="79">
        <v>45991</v>
      </c>
      <c r="B6">
        <v>13</v>
      </c>
      <c r="C6" s="81">
        <v>5174</v>
      </c>
    </row>
    <row r="7" spans="1:3" x14ac:dyDescent="0.25">
      <c r="A7" s="79">
        <v>45991</v>
      </c>
      <c r="B7">
        <v>11</v>
      </c>
      <c r="C7" s="81">
        <v>4378</v>
      </c>
    </row>
    <row r="8" spans="1:3" x14ac:dyDescent="0.25">
      <c r="A8" s="79">
        <v>45991</v>
      </c>
      <c r="B8">
        <v>2</v>
      </c>
      <c r="C8" s="81">
        <v>796</v>
      </c>
    </row>
    <row r="9" spans="1:3" x14ac:dyDescent="0.25">
      <c r="A9" s="79">
        <v>45991</v>
      </c>
      <c r="B9">
        <v>3</v>
      </c>
      <c r="C9" s="81">
        <v>1194</v>
      </c>
    </row>
    <row r="10" spans="1:3" x14ac:dyDescent="0.25">
      <c r="A10" s="79">
        <v>45991</v>
      </c>
      <c r="B10">
        <v>4</v>
      </c>
      <c r="C10" s="81">
        <v>1592</v>
      </c>
    </row>
    <row r="11" spans="1:3" x14ac:dyDescent="0.25">
      <c r="A11" s="79">
        <v>45991</v>
      </c>
      <c r="B11">
        <v>3</v>
      </c>
      <c r="C11" s="81">
        <v>1200</v>
      </c>
    </row>
    <row r="12" spans="1:3" x14ac:dyDescent="0.25">
      <c r="B12">
        <f>SUM(B2:B11)</f>
        <v>47</v>
      </c>
      <c r="C12" s="81">
        <f>SUM(C2:C11)</f>
        <v>18712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5" x14ac:dyDescent="0.25"/>
  <cols>
    <col min="3" max="3" width="26" bestFit="1" customWidth="1"/>
    <col min="4" max="4" width="23" bestFit="1" customWidth="1"/>
    <col min="5" max="5" width="7.5703125" bestFit="1" customWidth="1"/>
    <col min="7" max="7" width="33.140625" bestFit="1" customWidth="1"/>
    <col min="10" max="10" width="34.85546875" bestFit="1" customWidth="1"/>
    <col min="11" max="11" width="10.42578125" bestFit="1" customWidth="1"/>
    <col min="12" max="12" width="11.42578125" bestFit="1" customWidth="1"/>
    <col min="13" max="13" width="12.140625" bestFit="1" customWidth="1"/>
    <col min="14" max="14" width="9.7109375" bestFit="1" customWidth="1"/>
    <col min="15" max="15" width="7.85546875" bestFit="1" customWidth="1"/>
    <col min="16" max="16" width="18.7109375" bestFit="1" customWidth="1"/>
    <col min="17" max="17" width="9.28515625" bestFit="1" customWidth="1"/>
    <col min="18" max="18" width="7.85546875" bestFit="1" customWidth="1"/>
    <col min="19" max="19" width="26.5703125" bestFit="1" customWidth="1"/>
    <col min="20" max="20" width="18.28515625" bestFit="1" customWidth="1"/>
    <col min="21" max="21" width="7" bestFit="1" customWidth="1"/>
    <col min="22" max="22" width="10.710937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755</v>
      </c>
    </row>
    <row r="2" spans="1:11" x14ac:dyDescent="0.25">
      <c r="A2" s="68">
        <v>45980</v>
      </c>
      <c r="B2" s="2">
        <v>15</v>
      </c>
      <c r="C2" s="2" t="s">
        <v>697</v>
      </c>
      <c r="D2" s="2" t="s">
        <v>30</v>
      </c>
      <c r="E2" s="3">
        <v>125</v>
      </c>
      <c r="F2" s="3">
        <v>1875</v>
      </c>
      <c r="G2" s="2" t="s">
        <v>718</v>
      </c>
    </row>
    <row r="3" spans="1:11" x14ac:dyDescent="0.25">
      <c r="A3" s="68">
        <v>45981</v>
      </c>
      <c r="B3" s="2">
        <v>12</v>
      </c>
      <c r="C3" s="2" t="s">
        <v>697</v>
      </c>
      <c r="D3" s="2" t="s">
        <v>701</v>
      </c>
      <c r="E3" s="3">
        <v>125</v>
      </c>
      <c r="F3" s="3">
        <v>1500</v>
      </c>
      <c r="G3" s="2" t="s">
        <v>757</v>
      </c>
      <c r="J3" s="13" t="s">
        <v>78</v>
      </c>
      <c r="K3" t="s">
        <v>81</v>
      </c>
    </row>
    <row r="4" spans="1:11" x14ac:dyDescent="0.25">
      <c r="A4" s="68">
        <v>45981</v>
      </c>
      <c r="B4" s="2">
        <v>23</v>
      </c>
      <c r="C4" s="2" t="s">
        <v>697</v>
      </c>
      <c r="D4" s="2" t="s">
        <v>702</v>
      </c>
      <c r="E4" s="3">
        <v>125</v>
      </c>
      <c r="F4" s="3">
        <v>2875</v>
      </c>
      <c r="G4" s="2" t="s">
        <v>753</v>
      </c>
      <c r="J4" s="14" t="s">
        <v>718</v>
      </c>
      <c r="K4">
        <v>26</v>
      </c>
    </row>
    <row r="5" spans="1:11" x14ac:dyDescent="0.25">
      <c r="A5" s="68">
        <v>45982</v>
      </c>
      <c r="B5" s="2">
        <v>1</v>
      </c>
      <c r="C5" s="2" t="s">
        <v>711</v>
      </c>
      <c r="D5" s="2" t="s">
        <v>712</v>
      </c>
      <c r="E5" s="3">
        <v>598</v>
      </c>
      <c r="F5" s="3">
        <v>598</v>
      </c>
      <c r="G5" s="2" t="s">
        <v>231</v>
      </c>
      <c r="J5" s="74" t="s">
        <v>697</v>
      </c>
      <c r="K5">
        <v>15</v>
      </c>
    </row>
    <row r="6" spans="1:11" x14ac:dyDescent="0.25">
      <c r="A6" s="68">
        <v>45982</v>
      </c>
      <c r="B6" s="2">
        <v>5</v>
      </c>
      <c r="C6" s="2" t="s">
        <v>716</v>
      </c>
      <c r="D6" s="2" t="s">
        <v>87</v>
      </c>
      <c r="E6" s="3">
        <v>509</v>
      </c>
      <c r="F6" s="3">
        <v>2545</v>
      </c>
      <c r="G6" s="2" t="s">
        <v>718</v>
      </c>
      <c r="J6" s="74" t="s">
        <v>716</v>
      </c>
      <c r="K6">
        <v>5</v>
      </c>
    </row>
    <row r="7" spans="1:11" x14ac:dyDescent="0.25">
      <c r="A7" s="68">
        <v>45982</v>
      </c>
      <c r="B7" s="2">
        <v>6</v>
      </c>
      <c r="C7" s="2" t="s">
        <v>717</v>
      </c>
      <c r="D7" s="2" t="s">
        <v>87</v>
      </c>
      <c r="E7" s="3">
        <v>659</v>
      </c>
      <c r="F7" s="3">
        <v>3954</v>
      </c>
      <c r="G7" s="2" t="s">
        <v>718</v>
      </c>
      <c r="J7" s="74" t="s">
        <v>717</v>
      </c>
      <c r="K7">
        <v>6</v>
      </c>
    </row>
    <row r="8" spans="1:11" x14ac:dyDescent="0.25">
      <c r="A8" s="68">
        <v>45982</v>
      </c>
      <c r="B8" s="2">
        <v>3</v>
      </c>
      <c r="C8" s="2" t="s">
        <v>717</v>
      </c>
      <c r="D8" s="2" t="s">
        <v>87</v>
      </c>
      <c r="E8" s="3">
        <v>659</v>
      </c>
      <c r="F8" s="3">
        <v>1977</v>
      </c>
      <c r="G8" s="2" t="s">
        <v>752</v>
      </c>
      <c r="J8" s="14" t="s">
        <v>231</v>
      </c>
      <c r="K8">
        <v>1</v>
      </c>
    </row>
    <row r="9" spans="1:11" x14ac:dyDescent="0.25">
      <c r="A9" s="68">
        <v>45982</v>
      </c>
      <c r="B9" s="2">
        <v>7</v>
      </c>
      <c r="C9" s="2" t="s">
        <v>716</v>
      </c>
      <c r="D9" s="2" t="s">
        <v>87</v>
      </c>
      <c r="E9" s="3">
        <v>509</v>
      </c>
      <c r="F9" s="3">
        <v>3563</v>
      </c>
      <c r="G9" s="2" t="s">
        <v>752</v>
      </c>
      <c r="J9" s="74" t="s">
        <v>711</v>
      </c>
      <c r="K9">
        <v>1</v>
      </c>
    </row>
    <row r="10" spans="1:11" x14ac:dyDescent="0.25">
      <c r="A10" s="68">
        <v>45982</v>
      </c>
      <c r="B10" s="2">
        <v>5</v>
      </c>
      <c r="C10" s="2" t="s">
        <v>721</v>
      </c>
      <c r="D10" s="2" t="s">
        <v>87</v>
      </c>
      <c r="E10" s="3">
        <v>659</v>
      </c>
      <c r="F10" s="3">
        <v>3295</v>
      </c>
      <c r="G10" s="2" t="s">
        <v>753</v>
      </c>
      <c r="J10" s="14" t="s">
        <v>754</v>
      </c>
      <c r="K10">
        <v>8</v>
      </c>
    </row>
    <row r="11" spans="1:11" x14ac:dyDescent="0.25">
      <c r="A11" s="68">
        <v>45982</v>
      </c>
      <c r="B11" s="2">
        <v>9</v>
      </c>
      <c r="C11" s="2" t="s">
        <v>722</v>
      </c>
      <c r="D11" s="2" t="s">
        <v>87</v>
      </c>
      <c r="E11" s="3">
        <v>509</v>
      </c>
      <c r="F11" s="3">
        <v>4581</v>
      </c>
      <c r="G11" s="2" t="s">
        <v>753</v>
      </c>
      <c r="J11" s="74" t="s">
        <v>722</v>
      </c>
      <c r="K11">
        <v>8</v>
      </c>
    </row>
    <row r="12" spans="1:11" x14ac:dyDescent="0.25">
      <c r="A12" s="68">
        <v>45982</v>
      </c>
      <c r="B12" s="2">
        <v>8</v>
      </c>
      <c r="C12" s="2" t="s">
        <v>722</v>
      </c>
      <c r="D12" s="2" t="s">
        <v>87</v>
      </c>
      <c r="E12" s="3">
        <v>509</v>
      </c>
      <c r="F12" s="3">
        <v>4072</v>
      </c>
      <c r="G12" s="2" t="s">
        <v>754</v>
      </c>
      <c r="J12" s="14" t="s">
        <v>753</v>
      </c>
      <c r="K12">
        <v>37</v>
      </c>
    </row>
    <row r="13" spans="1:11" x14ac:dyDescent="0.25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743</v>
      </c>
      <c r="J13" s="74" t="s">
        <v>697</v>
      </c>
      <c r="K13">
        <v>23</v>
      </c>
    </row>
    <row r="14" spans="1:11" x14ac:dyDescent="0.25">
      <c r="A14" s="68">
        <v>45989</v>
      </c>
      <c r="B14" s="2">
        <v>10</v>
      </c>
      <c r="C14" s="2" t="s">
        <v>744</v>
      </c>
      <c r="D14" s="2" t="s">
        <v>364</v>
      </c>
      <c r="E14" s="3">
        <v>125</v>
      </c>
      <c r="F14" s="3">
        <v>1250</v>
      </c>
      <c r="G14" s="2" t="s">
        <v>750</v>
      </c>
      <c r="J14" s="74" t="s">
        <v>722</v>
      </c>
      <c r="K14">
        <v>9</v>
      </c>
    </row>
    <row r="15" spans="1:11" x14ac:dyDescent="0.25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721</v>
      </c>
      <c r="K15">
        <v>5</v>
      </c>
    </row>
    <row r="16" spans="1:11" x14ac:dyDescent="0.25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743</v>
      </c>
      <c r="K16">
        <v>6</v>
      </c>
    </row>
    <row r="17" spans="1:11" x14ac:dyDescent="0.25">
      <c r="A17" s="68">
        <v>45990</v>
      </c>
      <c r="B17" s="2">
        <v>1</v>
      </c>
      <c r="C17" s="2" t="s">
        <v>747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25">
      <c r="A18" s="68">
        <v>45990</v>
      </c>
      <c r="B18" s="2">
        <v>2</v>
      </c>
      <c r="C18" s="2" t="s">
        <v>664</v>
      </c>
      <c r="D18" s="2" t="s">
        <v>748</v>
      </c>
      <c r="E18" s="3">
        <v>398</v>
      </c>
      <c r="F18" s="3">
        <v>796</v>
      </c>
      <c r="G18" s="2" t="s">
        <v>756</v>
      </c>
      <c r="J18" s="14" t="s">
        <v>11</v>
      </c>
      <c r="K18">
        <v>3</v>
      </c>
    </row>
    <row r="19" spans="1:11" x14ac:dyDescent="0.25">
      <c r="J19" s="74" t="s">
        <v>647</v>
      </c>
      <c r="K19">
        <v>3</v>
      </c>
    </row>
    <row r="20" spans="1:11" x14ac:dyDescent="0.25">
      <c r="J20" s="14" t="s">
        <v>102</v>
      </c>
      <c r="K20">
        <v>3</v>
      </c>
    </row>
    <row r="21" spans="1:11" x14ac:dyDescent="0.25">
      <c r="J21" s="74" t="s">
        <v>647</v>
      </c>
      <c r="K21">
        <v>2</v>
      </c>
    </row>
    <row r="22" spans="1:11" x14ac:dyDescent="0.25">
      <c r="J22" s="74" t="s">
        <v>747</v>
      </c>
      <c r="K22">
        <v>1</v>
      </c>
    </row>
    <row r="23" spans="1:11" x14ac:dyDescent="0.25">
      <c r="J23" s="14" t="s">
        <v>750</v>
      </c>
      <c r="K23">
        <v>10</v>
      </c>
    </row>
    <row r="24" spans="1:11" x14ac:dyDescent="0.25">
      <c r="J24" s="74" t="s">
        <v>744</v>
      </c>
      <c r="K24">
        <v>10</v>
      </c>
    </row>
    <row r="25" spans="1:11" x14ac:dyDescent="0.25">
      <c r="J25" s="14" t="s">
        <v>752</v>
      </c>
      <c r="K25">
        <v>10</v>
      </c>
    </row>
    <row r="26" spans="1:11" x14ac:dyDescent="0.25">
      <c r="J26" s="74" t="s">
        <v>716</v>
      </c>
      <c r="K26">
        <v>7</v>
      </c>
    </row>
    <row r="27" spans="1:11" x14ac:dyDescent="0.25">
      <c r="J27" s="74" t="s">
        <v>717</v>
      </c>
      <c r="K27">
        <v>3</v>
      </c>
    </row>
    <row r="28" spans="1:11" x14ac:dyDescent="0.25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H20" sqref="H20"/>
    </sheetView>
  </sheetViews>
  <sheetFormatPr defaultRowHeight="15" x14ac:dyDescent="0.25"/>
  <cols>
    <col min="1" max="1" width="6.5703125" bestFit="1" customWidth="1"/>
    <col min="2" max="2" width="4" bestFit="1" customWidth="1"/>
    <col min="3" max="3" width="15.8554687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14.42578125" bestFit="1" customWidth="1"/>
    <col min="8" max="8" width="15" bestFit="1" customWidth="1"/>
    <col min="9" max="9" width="12.140625" bestFit="1" customWidth="1"/>
    <col min="12" max="12" width="15.85546875" bestFit="1" customWidth="1"/>
    <col min="13" max="13" width="10.42578125" bestFit="1" customWidth="1"/>
    <col min="15" max="15" width="12.5703125" bestFit="1" customWidth="1"/>
    <col min="16" max="16" width="10.42578125" bestFit="1" customWidth="1"/>
    <col min="18" max="18" width="15.7109375" bestFit="1" customWidth="1"/>
    <col min="19" max="19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25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25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25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25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25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25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25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25">
      <c r="A9" s="2"/>
      <c r="B9" s="2"/>
      <c r="C9" s="2"/>
      <c r="D9" s="2"/>
      <c r="E9" s="2"/>
      <c r="F9" s="2"/>
      <c r="G9" s="2"/>
      <c r="H9" s="2"/>
      <c r="I9" s="2"/>
    </row>
    <row r="10" spans="1:23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H20" sqref="H20"/>
    </sheetView>
  </sheetViews>
  <sheetFormatPr defaultRowHeight="15" x14ac:dyDescent="0.25"/>
  <cols>
    <col min="1" max="1" width="16.5703125" bestFit="1" customWidth="1"/>
    <col min="2" max="2" width="4" bestFit="1" customWidth="1"/>
    <col min="3" max="4" width="17" bestFit="1" customWidth="1"/>
    <col min="6" max="6" width="10" bestFit="1" customWidth="1"/>
    <col min="7" max="7" width="14.4257812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7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25">
      <c r="A3" s="78">
        <v>45964</v>
      </c>
      <c r="B3" s="10">
        <v>2</v>
      </c>
      <c r="C3" s="2" t="s">
        <v>580</v>
      </c>
      <c r="D3" s="2" t="s">
        <v>460</v>
      </c>
      <c r="E3" s="3">
        <v>1450</v>
      </c>
      <c r="F3" s="3">
        <f t="shared" ref="F3:F12" si="0">B3*E3</f>
        <v>2900</v>
      </c>
      <c r="G3" s="2" t="s">
        <v>348</v>
      </c>
      <c r="H3" s="2" t="s">
        <v>464</v>
      </c>
      <c r="I3" s="2"/>
    </row>
    <row r="4" spans="1:9" x14ac:dyDescent="0.25">
      <c r="A4" s="7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25">
      <c r="A5" s="78">
        <v>45964</v>
      </c>
      <c r="B5" s="2">
        <v>4</v>
      </c>
      <c r="C5" s="2" t="s">
        <v>678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25">
      <c r="A6" s="7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25">
      <c r="A7" s="78">
        <v>45968</v>
      </c>
      <c r="B7" s="2">
        <v>60</v>
      </c>
      <c r="C7" s="2" t="s">
        <v>666</v>
      </c>
      <c r="D7" s="2" t="s">
        <v>667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25">
      <c r="A8" s="78">
        <v>45988</v>
      </c>
      <c r="B8" s="10">
        <v>1</v>
      </c>
      <c r="C8" s="2" t="s">
        <v>582</v>
      </c>
      <c r="D8" s="2" t="s">
        <v>522</v>
      </c>
      <c r="E8" s="3">
        <v>1348</v>
      </c>
      <c r="F8" s="3">
        <f t="shared" si="0"/>
        <v>1348</v>
      </c>
      <c r="G8" s="2" t="s">
        <v>348</v>
      </c>
      <c r="H8" s="2" t="s">
        <v>464</v>
      </c>
      <c r="I8" s="68">
        <v>46004</v>
      </c>
    </row>
    <row r="9" spans="1:9" x14ac:dyDescent="0.25">
      <c r="A9" s="78">
        <v>45988</v>
      </c>
      <c r="B9" s="10">
        <v>1</v>
      </c>
      <c r="C9" s="2" t="s">
        <v>678</v>
      </c>
      <c r="D9" s="2" t="s">
        <v>522</v>
      </c>
      <c r="E9" s="3">
        <v>1348</v>
      </c>
      <c r="F9" s="3">
        <f t="shared" si="0"/>
        <v>1348</v>
      </c>
      <c r="G9" s="2" t="s">
        <v>348</v>
      </c>
      <c r="H9" s="2" t="s">
        <v>464</v>
      </c>
      <c r="I9" s="68">
        <v>46004</v>
      </c>
    </row>
    <row r="10" spans="1:9" x14ac:dyDescent="0.25">
      <c r="A10" s="78">
        <v>45989</v>
      </c>
      <c r="B10" s="10">
        <v>3</v>
      </c>
      <c r="C10" s="2" t="s">
        <v>582</v>
      </c>
      <c r="D10" s="2" t="s">
        <v>466</v>
      </c>
      <c r="E10" s="3">
        <v>1380</v>
      </c>
      <c r="F10" s="3">
        <f t="shared" si="0"/>
        <v>4140</v>
      </c>
      <c r="G10" s="2" t="s">
        <v>348</v>
      </c>
      <c r="H10" s="2" t="s">
        <v>467</v>
      </c>
      <c r="I10" s="68">
        <v>46004</v>
      </c>
    </row>
    <row r="11" spans="1:9" x14ac:dyDescent="0.25">
      <c r="A11" s="78">
        <v>45989</v>
      </c>
      <c r="B11" s="10">
        <v>10</v>
      </c>
      <c r="C11" s="2" t="s">
        <v>678</v>
      </c>
      <c r="D11" s="2" t="s">
        <v>383</v>
      </c>
      <c r="E11" s="3">
        <v>1390</v>
      </c>
      <c r="F11" s="3">
        <f t="shared" si="0"/>
        <v>13900</v>
      </c>
      <c r="G11" s="2" t="s">
        <v>348</v>
      </c>
      <c r="H11" s="2" t="s">
        <v>464</v>
      </c>
      <c r="I11" s="68">
        <v>46004</v>
      </c>
    </row>
    <row r="12" spans="1:9" x14ac:dyDescent="0.25">
      <c r="A12" s="78">
        <v>45989</v>
      </c>
      <c r="B12" s="10">
        <v>12</v>
      </c>
      <c r="C12" s="2" t="s">
        <v>582</v>
      </c>
      <c r="D12" s="2" t="s">
        <v>383</v>
      </c>
      <c r="E12" s="3">
        <v>1390</v>
      </c>
      <c r="F12" s="3">
        <f t="shared" si="0"/>
        <v>16680</v>
      </c>
      <c r="G12" s="2" t="s">
        <v>348</v>
      </c>
      <c r="H12" s="2" t="s">
        <v>464</v>
      </c>
      <c r="I12" s="68">
        <v>46004</v>
      </c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634B-8E4C-4F2B-9493-A359F967A342}">
  <dimension ref="A1:J11"/>
  <sheetViews>
    <sheetView workbookViewId="0">
      <selection activeCell="D22" sqref="D22"/>
    </sheetView>
  </sheetViews>
  <sheetFormatPr defaultRowHeight="15" x14ac:dyDescent="0.25"/>
  <cols>
    <col min="3" max="3" width="20" bestFit="1" customWidth="1"/>
    <col min="4" max="4" width="12.140625" bestFit="1" customWidth="1"/>
    <col min="7" max="7" width="7" bestFit="1" customWidth="1"/>
    <col min="8" max="8" width="23.28515625" bestFit="1" customWidth="1"/>
    <col min="9" max="9" width="1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25">
      <c r="A2" s="68">
        <v>46034</v>
      </c>
      <c r="B2" s="2">
        <v>10</v>
      </c>
      <c r="C2" s="2" t="s">
        <v>405</v>
      </c>
      <c r="D2" s="2" t="s">
        <v>291</v>
      </c>
      <c r="E2" s="2">
        <v>1449</v>
      </c>
      <c r="F2" s="2">
        <f>B2*E2</f>
        <v>14490</v>
      </c>
      <c r="G2" s="2" t="s">
        <v>1044</v>
      </c>
      <c r="H2" s="2"/>
      <c r="I2" s="2"/>
      <c r="J2" s="2"/>
    </row>
    <row r="3" spans="1:10" x14ac:dyDescent="0.25">
      <c r="A3" s="68">
        <v>46034</v>
      </c>
      <c r="B3" s="2">
        <v>30</v>
      </c>
      <c r="C3" s="2" t="s">
        <v>933</v>
      </c>
      <c r="D3" s="2" t="s">
        <v>291</v>
      </c>
      <c r="E3" s="2">
        <v>460</v>
      </c>
      <c r="F3" s="2">
        <f t="shared" ref="F3:F7" si="0">B3*E3</f>
        <v>13800</v>
      </c>
      <c r="G3" s="2" t="s">
        <v>1044</v>
      </c>
      <c r="H3" s="2" t="s">
        <v>1045</v>
      </c>
      <c r="I3" s="2"/>
      <c r="J3" s="2"/>
    </row>
    <row r="4" spans="1:10" x14ac:dyDescent="0.25">
      <c r="A4" s="68">
        <v>46035</v>
      </c>
      <c r="B4" s="2">
        <v>1</v>
      </c>
      <c r="C4" s="2" t="s">
        <v>542</v>
      </c>
      <c r="D4" s="2" t="s">
        <v>1053</v>
      </c>
      <c r="E4" s="2">
        <v>3408</v>
      </c>
      <c r="F4" s="2">
        <f t="shared" si="0"/>
        <v>3408</v>
      </c>
      <c r="G4" s="2"/>
      <c r="H4" s="2" t="s">
        <v>1033</v>
      </c>
      <c r="I4" s="2"/>
      <c r="J4" s="2"/>
    </row>
    <row r="5" spans="1:10" x14ac:dyDescent="0.25">
      <c r="A5" s="68">
        <v>46048</v>
      </c>
      <c r="B5" s="2"/>
      <c r="C5" s="2" t="s">
        <v>622</v>
      </c>
      <c r="D5" s="2" t="s">
        <v>464</v>
      </c>
      <c r="E5" s="2"/>
      <c r="F5" s="2">
        <v>5000</v>
      </c>
      <c r="G5" s="2"/>
      <c r="H5" s="2" t="s">
        <v>1100</v>
      </c>
      <c r="I5" s="2"/>
      <c r="J5" s="2"/>
    </row>
    <row r="6" spans="1:10" x14ac:dyDescent="0.25">
      <c r="A6" s="68">
        <v>46051</v>
      </c>
      <c r="B6" s="2">
        <v>100</v>
      </c>
      <c r="C6" s="2" t="s">
        <v>1125</v>
      </c>
      <c r="D6" s="2" t="s">
        <v>291</v>
      </c>
      <c r="E6" s="2">
        <v>299</v>
      </c>
      <c r="F6" s="2">
        <f t="shared" si="0"/>
        <v>29900</v>
      </c>
      <c r="G6" s="2"/>
      <c r="H6" s="2" t="s">
        <v>528</v>
      </c>
      <c r="I6" s="2"/>
      <c r="J6" s="2"/>
    </row>
    <row r="7" spans="1:10" x14ac:dyDescent="0.25">
      <c r="A7" s="68">
        <v>46051</v>
      </c>
      <c r="B7" s="2">
        <v>4</v>
      </c>
      <c r="C7" s="2" t="s">
        <v>1126</v>
      </c>
      <c r="D7" s="2" t="s">
        <v>464</v>
      </c>
      <c r="E7" s="2">
        <v>349</v>
      </c>
      <c r="F7" s="2">
        <f t="shared" si="0"/>
        <v>1396</v>
      </c>
      <c r="G7" s="2"/>
      <c r="H7" s="2"/>
      <c r="I7" s="2"/>
      <c r="J7" s="2"/>
    </row>
    <row r="8" spans="1:10" x14ac:dyDescent="0.25">
      <c r="B8" s="22"/>
      <c r="C8" s="22"/>
      <c r="D8" s="22"/>
      <c r="E8" s="22"/>
      <c r="F8" s="2"/>
    </row>
    <row r="9" spans="1:10" x14ac:dyDescent="0.25">
      <c r="C9" s="22"/>
      <c r="D9" s="22"/>
      <c r="E9" s="22"/>
      <c r="F9" s="2"/>
    </row>
    <row r="10" spans="1:10" x14ac:dyDescent="0.25">
      <c r="C10" s="22"/>
      <c r="D10" s="22"/>
      <c r="E10" s="22"/>
      <c r="F10" s="2"/>
    </row>
    <row r="11" spans="1:10" x14ac:dyDescent="0.25">
      <c r="D11" s="22"/>
      <c r="E11" s="22"/>
      <c r="F11" s="22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07B2-7523-4006-9C6B-DDACAABDF0FC}">
  <dimension ref="A1:J6"/>
  <sheetViews>
    <sheetView workbookViewId="0">
      <selection activeCell="A234" sqref="A234:I234"/>
    </sheetView>
  </sheetViews>
  <sheetFormatPr defaultRowHeight="15" x14ac:dyDescent="0.25"/>
  <cols>
    <col min="1" max="1" width="6.5703125" bestFit="1" customWidth="1"/>
    <col min="2" max="2" width="4" bestFit="1" customWidth="1"/>
    <col min="3" max="3" width="18" bestFit="1" customWidth="1"/>
    <col min="4" max="4" width="12.140625" bestFit="1" customWidth="1"/>
    <col min="5" max="5" width="5.140625" bestFit="1" customWidth="1"/>
    <col min="6" max="6" width="5.28515625" bestFit="1" customWidth="1"/>
    <col min="7" max="7" width="14.42578125" bestFit="1" customWidth="1"/>
    <col min="8" max="8" width="10.140625" bestFit="1" customWidth="1"/>
    <col min="9" max="9" width="1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25">
      <c r="A2" s="68">
        <v>46055</v>
      </c>
      <c r="B2" s="2">
        <v>1</v>
      </c>
      <c r="C2" s="2" t="s">
        <v>1157</v>
      </c>
      <c r="D2" s="2" t="s">
        <v>464</v>
      </c>
      <c r="E2" s="2">
        <v>500</v>
      </c>
      <c r="F2" s="2">
        <f t="shared" ref="F2:F5" si="0">B2*E2</f>
        <v>500</v>
      </c>
      <c r="G2" s="2"/>
      <c r="H2" s="2"/>
      <c r="I2" s="2"/>
      <c r="J2" s="2"/>
    </row>
    <row r="3" spans="1:10" x14ac:dyDescent="0.25">
      <c r="A3" s="68">
        <v>46055</v>
      </c>
      <c r="B3" s="2">
        <v>33</v>
      </c>
      <c r="C3" s="2" t="s">
        <v>666</v>
      </c>
      <c r="D3" s="2" t="s">
        <v>464</v>
      </c>
      <c r="E3" s="2">
        <v>10</v>
      </c>
      <c r="F3" s="2">
        <f t="shared" si="0"/>
        <v>330</v>
      </c>
      <c r="G3" s="2"/>
      <c r="H3" s="2" t="s">
        <v>85</v>
      </c>
      <c r="I3" s="2"/>
      <c r="J3" s="2"/>
    </row>
    <row r="4" spans="1:10" x14ac:dyDescent="0.25">
      <c r="A4" s="68">
        <v>46055</v>
      </c>
      <c r="B4" s="2">
        <v>4</v>
      </c>
      <c r="C4" s="2" t="s">
        <v>1156</v>
      </c>
      <c r="D4" s="2" t="s">
        <v>464</v>
      </c>
      <c r="E4" s="2">
        <v>20</v>
      </c>
      <c r="F4" s="2">
        <f t="shared" si="0"/>
        <v>80</v>
      </c>
      <c r="G4" s="2"/>
      <c r="H4" s="2" t="s">
        <v>85</v>
      </c>
      <c r="I4" s="2"/>
      <c r="J4" s="2"/>
    </row>
    <row r="5" spans="1:10" x14ac:dyDescent="0.25">
      <c r="A5" s="68">
        <v>46055</v>
      </c>
      <c r="B5" s="2">
        <v>2</v>
      </c>
      <c r="C5" s="2" t="s">
        <v>296</v>
      </c>
      <c r="D5" s="2" t="s">
        <v>464</v>
      </c>
      <c r="E5" s="2">
        <v>90</v>
      </c>
      <c r="F5" s="2">
        <f t="shared" si="0"/>
        <v>180</v>
      </c>
      <c r="G5" s="2"/>
      <c r="H5" s="2" t="s">
        <v>85</v>
      </c>
      <c r="I5" s="2"/>
      <c r="J5" s="2"/>
    </row>
    <row r="6" spans="1:10" x14ac:dyDescent="0.25">
      <c r="A6" s="68">
        <v>46071</v>
      </c>
      <c r="B6" s="2">
        <v>3</v>
      </c>
      <c r="C6" s="2" t="s">
        <v>1153</v>
      </c>
      <c r="D6" s="2" t="s">
        <v>291</v>
      </c>
      <c r="E6" s="2">
        <v>1449</v>
      </c>
      <c r="F6" s="2">
        <f>E6*B6</f>
        <v>4347</v>
      </c>
      <c r="G6" s="2" t="s">
        <v>62</v>
      </c>
      <c r="H6" s="2"/>
      <c r="I6" s="2" t="s">
        <v>463</v>
      </c>
      <c r="J6" s="2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workbookViewId="0">
      <selection activeCell="F22" sqref="F22"/>
    </sheetView>
  </sheetViews>
  <sheetFormatPr defaultRowHeight="15" x14ac:dyDescent="0.25"/>
  <cols>
    <col min="1" max="1" width="10.5703125" bestFit="1" customWidth="1"/>
    <col min="3" max="3" width="15.85546875" bestFit="1" customWidth="1"/>
    <col min="4" max="4" width="15.28515625" bestFit="1" customWidth="1"/>
    <col min="7" max="7" width="14.42578125" bestFit="1" customWidth="1"/>
    <col min="8" max="8" width="15" bestFit="1" customWidth="1"/>
    <col min="9" max="9" width="22.2851562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J1" s="48" t="s">
        <v>632</v>
      </c>
    </row>
    <row r="2" spans="1:15" x14ac:dyDescent="0.25">
      <c r="A2" s="68">
        <v>45993</v>
      </c>
      <c r="B2" s="10">
        <v>10</v>
      </c>
      <c r="C2" s="2" t="s">
        <v>639</v>
      </c>
      <c r="D2" s="2" t="s">
        <v>460</v>
      </c>
      <c r="E2" s="2">
        <v>1260</v>
      </c>
      <c r="F2" s="2">
        <f>B2*E2</f>
        <v>12600</v>
      </c>
      <c r="G2" s="2" t="s">
        <v>348</v>
      </c>
      <c r="H2" s="2" t="s">
        <v>464</v>
      </c>
      <c r="I2" s="2"/>
      <c r="J2" s="79">
        <v>46004</v>
      </c>
    </row>
    <row r="3" spans="1:15" x14ac:dyDescent="0.25">
      <c r="A3" s="68">
        <v>45993</v>
      </c>
      <c r="B3" s="10">
        <v>1</v>
      </c>
      <c r="C3" s="2" t="s">
        <v>639</v>
      </c>
      <c r="D3" s="2" t="s">
        <v>433</v>
      </c>
      <c r="E3" s="2">
        <v>1348</v>
      </c>
      <c r="F3" s="2">
        <f>B3*E3</f>
        <v>1348</v>
      </c>
      <c r="G3" s="2" t="s">
        <v>348</v>
      </c>
      <c r="H3" s="2" t="s">
        <v>464</v>
      </c>
      <c r="I3" s="2"/>
      <c r="J3" s="79">
        <v>46004</v>
      </c>
    </row>
    <row r="4" spans="1:15" x14ac:dyDescent="0.25">
      <c r="A4" s="68">
        <v>45993</v>
      </c>
      <c r="B4" s="10">
        <v>3</v>
      </c>
      <c r="C4" s="2" t="s">
        <v>378</v>
      </c>
      <c r="D4" s="2" t="s">
        <v>433</v>
      </c>
      <c r="E4" s="2">
        <v>738</v>
      </c>
      <c r="F4" s="2">
        <f t="shared" ref="F4:F13" si="0">B4*E4</f>
        <v>2214</v>
      </c>
      <c r="G4" s="2" t="s">
        <v>348</v>
      </c>
      <c r="H4" s="2" t="s">
        <v>464</v>
      </c>
      <c r="I4" s="2"/>
      <c r="J4" s="79">
        <v>46004</v>
      </c>
    </row>
    <row r="5" spans="1:15" x14ac:dyDescent="0.25">
      <c r="A5" s="68">
        <v>45993</v>
      </c>
      <c r="B5" s="10">
        <v>2</v>
      </c>
      <c r="C5" s="2" t="s">
        <v>406</v>
      </c>
      <c r="D5" s="2" t="s">
        <v>433</v>
      </c>
      <c r="E5" s="2">
        <v>1348</v>
      </c>
      <c r="F5" s="2">
        <f t="shared" si="0"/>
        <v>2696</v>
      </c>
      <c r="G5" s="2" t="s">
        <v>348</v>
      </c>
      <c r="H5" s="2" t="s">
        <v>464</v>
      </c>
      <c r="I5" s="2"/>
      <c r="J5" s="79">
        <v>46004</v>
      </c>
    </row>
    <row r="6" spans="1:15" x14ac:dyDescent="0.25">
      <c r="A6" s="68">
        <v>45993</v>
      </c>
      <c r="B6" s="10">
        <v>2</v>
      </c>
      <c r="C6" s="2" t="s">
        <v>639</v>
      </c>
      <c r="D6" s="2" t="s">
        <v>433</v>
      </c>
      <c r="E6" s="2">
        <v>1348</v>
      </c>
      <c r="F6" s="2">
        <f t="shared" si="0"/>
        <v>2696</v>
      </c>
      <c r="G6" s="2" t="s">
        <v>348</v>
      </c>
      <c r="H6" s="2" t="s">
        <v>464</v>
      </c>
      <c r="I6" s="2"/>
      <c r="J6" s="79">
        <v>46004</v>
      </c>
    </row>
    <row r="7" spans="1:15" x14ac:dyDescent="0.25">
      <c r="A7" s="68">
        <v>46000</v>
      </c>
      <c r="B7" s="10">
        <v>500</v>
      </c>
      <c r="C7" s="2" t="s">
        <v>821</v>
      </c>
      <c r="D7" s="2" t="s">
        <v>291</v>
      </c>
      <c r="E7" s="2">
        <v>28</v>
      </c>
      <c r="F7" s="2">
        <f t="shared" si="0"/>
        <v>14000</v>
      </c>
      <c r="G7" s="2" t="s">
        <v>348</v>
      </c>
      <c r="H7" s="2" t="s">
        <v>543</v>
      </c>
      <c r="I7" s="68">
        <v>46003</v>
      </c>
      <c r="J7" s="79">
        <v>46004</v>
      </c>
    </row>
    <row r="8" spans="1:15" x14ac:dyDescent="0.25">
      <c r="A8" s="68">
        <v>46000</v>
      </c>
      <c r="B8" s="10">
        <v>100</v>
      </c>
      <c r="C8" s="2" t="s">
        <v>31</v>
      </c>
      <c r="D8" s="2" t="s">
        <v>291</v>
      </c>
      <c r="E8" s="2">
        <v>299</v>
      </c>
      <c r="F8" s="2">
        <f t="shared" si="0"/>
        <v>29900</v>
      </c>
      <c r="G8" s="2" t="s">
        <v>348</v>
      </c>
      <c r="H8" s="2" t="s">
        <v>543</v>
      </c>
      <c r="I8" s="68">
        <v>46004</v>
      </c>
      <c r="J8" s="79">
        <v>46004</v>
      </c>
      <c r="O8">
        <v>880</v>
      </c>
    </row>
    <row r="9" spans="1:15" x14ac:dyDescent="0.25">
      <c r="A9" s="68">
        <v>46000</v>
      </c>
      <c r="B9" s="2">
        <v>1</v>
      </c>
      <c r="C9" s="2" t="s">
        <v>822</v>
      </c>
      <c r="D9" s="2" t="s">
        <v>291</v>
      </c>
      <c r="E9" s="2">
        <v>89</v>
      </c>
      <c r="F9" s="2">
        <f t="shared" si="0"/>
        <v>89</v>
      </c>
      <c r="G9" s="2" t="s">
        <v>348</v>
      </c>
      <c r="H9" s="2" t="s">
        <v>543</v>
      </c>
      <c r="I9" s="68">
        <v>46005</v>
      </c>
      <c r="J9" s="79">
        <v>46004</v>
      </c>
    </row>
    <row r="10" spans="1:15" x14ac:dyDescent="0.25">
      <c r="A10" s="68">
        <v>46001</v>
      </c>
      <c r="B10" s="2">
        <v>100</v>
      </c>
      <c r="C10" s="2" t="s">
        <v>31</v>
      </c>
      <c r="D10" s="2" t="s">
        <v>291</v>
      </c>
      <c r="E10" s="2">
        <v>299</v>
      </c>
      <c r="F10" s="2">
        <f t="shared" si="0"/>
        <v>29900</v>
      </c>
      <c r="G10" s="2" t="s">
        <v>348</v>
      </c>
      <c r="H10" s="2" t="s">
        <v>543</v>
      </c>
      <c r="I10" s="68">
        <v>46006</v>
      </c>
      <c r="J10" s="79">
        <v>46004</v>
      </c>
    </row>
    <row r="11" spans="1:15" x14ac:dyDescent="0.25">
      <c r="A11" s="68">
        <v>46002</v>
      </c>
      <c r="B11" s="2">
        <v>2</v>
      </c>
      <c r="C11" s="2" t="s">
        <v>378</v>
      </c>
      <c r="D11" s="2" t="s">
        <v>460</v>
      </c>
      <c r="E11" s="2">
        <v>775</v>
      </c>
      <c r="F11" s="2">
        <f t="shared" si="0"/>
        <v>1550</v>
      </c>
      <c r="G11" s="2" t="s">
        <v>348</v>
      </c>
      <c r="H11" s="2" t="s">
        <v>464</v>
      </c>
      <c r="I11" s="2"/>
    </row>
    <row r="12" spans="1:15" x14ac:dyDescent="0.25">
      <c r="A12" s="68">
        <v>46005</v>
      </c>
      <c r="B12" s="2">
        <v>1</v>
      </c>
      <c r="C12" s="2" t="s">
        <v>872</v>
      </c>
      <c r="D12" s="2" t="s">
        <v>464</v>
      </c>
      <c r="E12" s="2">
        <v>550</v>
      </c>
      <c r="F12" s="2">
        <f t="shared" si="0"/>
        <v>550</v>
      </c>
      <c r="G12" s="2"/>
      <c r="H12" s="2"/>
      <c r="I12" s="2" t="s">
        <v>85</v>
      </c>
    </row>
    <row r="13" spans="1:15" x14ac:dyDescent="0.25">
      <c r="A13" s="68">
        <v>46014</v>
      </c>
      <c r="B13" s="2">
        <v>5</v>
      </c>
      <c r="C13" s="2" t="s">
        <v>928</v>
      </c>
      <c r="D13" s="2" t="s">
        <v>291</v>
      </c>
      <c r="E13" s="2">
        <v>1449</v>
      </c>
      <c r="F13" s="2">
        <f t="shared" si="0"/>
        <v>7245</v>
      </c>
      <c r="G13" s="2" t="s">
        <v>62</v>
      </c>
      <c r="H13" s="2" t="s">
        <v>543</v>
      </c>
      <c r="I13" s="2"/>
    </row>
    <row r="14" spans="1:15" x14ac:dyDescent="0.25">
      <c r="A14" s="68">
        <v>46014</v>
      </c>
      <c r="B14" s="2">
        <v>4</v>
      </c>
      <c r="C14" s="2" t="s">
        <v>928</v>
      </c>
      <c r="D14" s="2" t="s">
        <v>291</v>
      </c>
      <c r="E14" s="2">
        <v>1449</v>
      </c>
      <c r="F14" s="2">
        <v>5796</v>
      </c>
      <c r="G14" s="2" t="s">
        <v>62</v>
      </c>
      <c r="H14" s="2" t="s">
        <v>543</v>
      </c>
      <c r="I14" s="2"/>
    </row>
    <row r="15" spans="1:15" x14ac:dyDescent="0.25">
      <c r="A15" s="68">
        <v>46015</v>
      </c>
      <c r="B15" s="2"/>
      <c r="C15" s="2" t="s">
        <v>953</v>
      </c>
      <c r="D15" s="2" t="s">
        <v>464</v>
      </c>
      <c r="E15" s="2"/>
      <c r="F15" s="2">
        <v>3300</v>
      </c>
      <c r="G15" s="2"/>
      <c r="H15" s="2"/>
      <c r="I15" s="2"/>
    </row>
    <row r="16" spans="1:15" x14ac:dyDescent="0.25">
      <c r="A16" s="68">
        <v>46387</v>
      </c>
      <c r="B16" s="2">
        <v>20</v>
      </c>
      <c r="C16" s="2" t="s">
        <v>378</v>
      </c>
      <c r="D16" s="2" t="s">
        <v>291</v>
      </c>
      <c r="E16" s="2">
        <v>720</v>
      </c>
      <c r="F16" s="2">
        <f>B16*E16</f>
        <v>14400</v>
      </c>
      <c r="G16" s="2" t="s">
        <v>62</v>
      </c>
      <c r="H16" s="2" t="s">
        <v>543</v>
      </c>
      <c r="I16" s="18" t="s">
        <v>1004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5" x14ac:dyDescent="0.25"/>
  <sheetData>
    <row r="2" spans="5:15" x14ac:dyDescent="0.25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25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25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25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25">
      <c r="K6">
        <v>5</v>
      </c>
      <c r="N6">
        <v>400</v>
      </c>
      <c r="O6">
        <f t="shared" si="1"/>
        <v>2000</v>
      </c>
    </row>
    <row r="7" spans="5:15" x14ac:dyDescent="0.25">
      <c r="O7">
        <f t="shared" si="1"/>
        <v>0</v>
      </c>
    </row>
    <row r="8" spans="5:15" x14ac:dyDescent="0.25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25">
      <c r="K9">
        <v>20</v>
      </c>
      <c r="N9">
        <v>300</v>
      </c>
      <c r="O9">
        <f t="shared" si="1"/>
        <v>6000</v>
      </c>
    </row>
    <row r="10" spans="5:15" x14ac:dyDescent="0.25">
      <c r="O10">
        <f>SUM(O2:O9)</f>
        <v>32600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5" x14ac:dyDescent="0.25"/>
  <sheetData>
    <row r="2" spans="1:4" x14ac:dyDescent="0.25">
      <c r="A2" s="75">
        <v>5</v>
      </c>
      <c r="B2" t="s">
        <v>668</v>
      </c>
      <c r="C2">
        <v>2600</v>
      </c>
      <c r="D2">
        <f>A2*C2</f>
        <v>13000</v>
      </c>
    </row>
    <row r="3" spans="1:4" x14ac:dyDescent="0.25">
      <c r="A3" s="75">
        <v>10</v>
      </c>
      <c r="B3" t="s">
        <v>669</v>
      </c>
      <c r="C3">
        <v>3300</v>
      </c>
      <c r="D3">
        <f t="shared" ref="D3:D5" si="0">A3*C3</f>
        <v>33000</v>
      </c>
    </row>
    <row r="4" spans="1:4" x14ac:dyDescent="0.25">
      <c r="A4" s="75">
        <v>10</v>
      </c>
      <c r="B4" t="s">
        <v>670</v>
      </c>
      <c r="C4">
        <v>1300</v>
      </c>
      <c r="D4">
        <f t="shared" si="0"/>
        <v>13000</v>
      </c>
    </row>
    <row r="5" spans="1:4" x14ac:dyDescent="0.25">
      <c r="A5" s="75">
        <v>20</v>
      </c>
      <c r="B5" t="s">
        <v>671</v>
      </c>
      <c r="C5">
        <v>1400</v>
      </c>
      <c r="D5">
        <f t="shared" si="0"/>
        <v>28000</v>
      </c>
    </row>
    <row r="6" spans="1:4" x14ac:dyDescent="0.25">
      <c r="D6">
        <f>SUM(D2:D5)</f>
        <v>87000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5" x14ac:dyDescent="0.25"/>
  <cols>
    <col min="1" max="1" width="13.7109375" bestFit="1" customWidth="1"/>
  </cols>
  <sheetData>
    <row r="2" spans="1:3" x14ac:dyDescent="0.25">
      <c r="A2" t="s">
        <v>377</v>
      </c>
      <c r="B2" s="11">
        <v>238</v>
      </c>
    </row>
    <row r="3" spans="1:3" x14ac:dyDescent="0.25">
      <c r="A3" t="s">
        <v>380</v>
      </c>
      <c r="B3">
        <v>17.07</v>
      </c>
    </row>
    <row r="4" spans="1:3" x14ac:dyDescent="0.25">
      <c r="A4" t="s">
        <v>380</v>
      </c>
      <c r="B4">
        <v>5.69</v>
      </c>
    </row>
    <row r="5" spans="1:3" x14ac:dyDescent="0.25">
      <c r="A5" t="s">
        <v>381</v>
      </c>
      <c r="B5">
        <v>251.58</v>
      </c>
    </row>
    <row r="6" spans="1:3" x14ac:dyDescent="0.25">
      <c r="B6">
        <v>1.75</v>
      </c>
    </row>
    <row r="7" spans="1:3" x14ac:dyDescent="0.25">
      <c r="B7">
        <v>4.18</v>
      </c>
    </row>
    <row r="8" spans="1:3" x14ac:dyDescent="0.25">
      <c r="B8">
        <v>7.58</v>
      </c>
    </row>
    <row r="9" spans="1:3" x14ac:dyDescent="0.25">
      <c r="B9">
        <v>3.79</v>
      </c>
    </row>
    <row r="10" spans="1:3" x14ac:dyDescent="0.25">
      <c r="A10" t="s">
        <v>386</v>
      </c>
      <c r="B10">
        <v>82.62</v>
      </c>
    </row>
    <row r="11" spans="1:3" x14ac:dyDescent="0.25">
      <c r="A11" t="s">
        <v>380</v>
      </c>
      <c r="B11">
        <v>77.959999999999994</v>
      </c>
    </row>
    <row r="12" spans="1:3" x14ac:dyDescent="0.25">
      <c r="A12" t="s">
        <v>389</v>
      </c>
      <c r="B12">
        <v>132</v>
      </c>
    </row>
    <row r="13" spans="1:3" x14ac:dyDescent="0.25">
      <c r="B13">
        <v>12</v>
      </c>
    </row>
    <row r="14" spans="1:3" x14ac:dyDescent="0.25">
      <c r="B14">
        <v>3.5</v>
      </c>
    </row>
    <row r="15" spans="1:3" x14ac:dyDescent="0.25">
      <c r="B15">
        <v>12</v>
      </c>
    </row>
    <row r="16" spans="1:3" x14ac:dyDescent="0.25">
      <c r="A16" t="s">
        <v>399</v>
      </c>
      <c r="B16">
        <v>601</v>
      </c>
      <c r="C16" t="s">
        <v>394</v>
      </c>
    </row>
    <row r="17" spans="1:3" x14ac:dyDescent="0.25">
      <c r="A17" t="s">
        <v>399</v>
      </c>
      <c r="B17">
        <v>497</v>
      </c>
      <c r="C17" t="s">
        <v>394</v>
      </c>
    </row>
    <row r="18" spans="1:3" x14ac:dyDescent="0.25">
      <c r="A18" t="s">
        <v>398</v>
      </c>
      <c r="B18">
        <v>58</v>
      </c>
      <c r="C18" t="s">
        <v>397</v>
      </c>
    </row>
    <row r="19" spans="1:3" x14ac:dyDescent="0.25">
      <c r="A19" t="s">
        <v>400</v>
      </c>
      <c r="B19">
        <v>25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5" x14ac:dyDescent="0.25"/>
  <cols>
    <col min="1" max="1" width="10.85546875" bestFit="1" customWidth="1"/>
  </cols>
  <sheetData>
    <row r="2" spans="1:2" x14ac:dyDescent="0.25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Melbourne Company</vt:lpstr>
      <vt:lpstr>AU June </vt:lpstr>
      <vt:lpstr>AU Aug</vt:lpstr>
      <vt:lpstr>AU July</vt:lpstr>
      <vt:lpstr>AU SEP</vt:lpstr>
      <vt:lpstr>AU OCT</vt:lpstr>
      <vt:lpstr>AU NOV</vt:lpstr>
      <vt:lpstr>AU DEC</vt:lpstr>
      <vt:lpstr>AU FEB</vt:lpstr>
      <vt:lpstr>AU MAR</vt:lpstr>
      <vt:lpstr>APR NZ</vt:lpstr>
      <vt:lpstr>APR AU</vt:lpstr>
      <vt:lpstr>MAY AU</vt:lpstr>
      <vt:lpstr>Sheet8</vt:lpstr>
      <vt:lpstr>AU JAN</vt:lpstr>
      <vt:lpstr>Sheet7</vt:lpstr>
      <vt:lpstr>Sheet6</vt:lpstr>
      <vt:lpstr>Gift Card</vt:lpstr>
      <vt:lpstr>Adil </vt:lpstr>
      <vt:lpstr>Waleed </vt:lpstr>
      <vt:lpstr>Sheet5</vt:lpstr>
      <vt:lpstr>NZ OCT</vt:lpstr>
      <vt:lpstr>NZ NOV</vt:lpstr>
      <vt:lpstr>NZ JAN</vt:lpstr>
      <vt:lpstr>NZ FEB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2026-06-24T13:01:11Z</dcterms:modified>
</cp:coreProperties>
</file>