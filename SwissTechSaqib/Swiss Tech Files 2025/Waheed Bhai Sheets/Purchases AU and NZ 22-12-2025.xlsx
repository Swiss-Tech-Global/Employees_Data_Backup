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Waheed Bhai Sheets\"/>
    </mc:Choice>
  </mc:AlternateContent>
  <xr:revisionPtr revIDLastSave="0" documentId="13_ncr:1_{B57E5D1A-FF16-498B-A0C9-A75F1426F8BD}" xr6:coauthVersionLast="47" xr6:coauthVersionMax="47" xr10:uidLastSave="{00000000-0000-0000-0000-000000000000}"/>
  <bookViews>
    <workbookView xWindow="-108" yWindow="-108" windowWidth="23256" windowHeight="13896" firstSheet="22" activeTab="31" xr2:uid="{795DD68C-9659-410F-8844-C05D5B01E5C2}"/>
  </bookViews>
  <sheets>
    <sheet name="Pending" sheetId="2" state="hidden" r:id="rId1"/>
    <sheet name="March " sheetId="1" state="hidden" r:id="rId2"/>
    <sheet name="Mehwish" sheetId="3" state="hidden" r:id="rId3"/>
    <sheet name="April" sheetId="4" state="hidden" r:id="rId4"/>
    <sheet name="May " sheetId="9" state="hidden" r:id="rId5"/>
    <sheet name="Sheet4" sheetId="15" state="hidden" r:id="rId6"/>
    <sheet name="Sheet1" sheetId="11" state="hidden" r:id="rId7"/>
    <sheet name="Broadway" sheetId="7" state="hidden" r:id="rId8"/>
    <sheet name="Broadway DJI" sheetId="28" state="hidden" r:id="rId9"/>
    <sheet name="Shipment NOV" sheetId="29" state="hidden" r:id="rId10"/>
    <sheet name="Shipment" sheetId="6" state="hidden" r:id="rId11"/>
    <sheet name="Shipment 2904" sheetId="8" state="hidden" r:id="rId12"/>
    <sheet name="NZ Purchase May" sheetId="10" state="hidden" r:id="rId13"/>
    <sheet name="NZ July" sheetId="16" state="hidden" r:id="rId14"/>
    <sheet name="NZ Aug" sheetId="19" state="hidden" r:id="rId15"/>
    <sheet name="NZ SEP" sheetId="22" state="hidden" r:id="rId16"/>
    <sheet name="Waleed" sheetId="21" state="hidden" r:id="rId17"/>
    <sheet name="AU June " sheetId="12" state="hidden" r:id="rId18"/>
    <sheet name="AU Aug" sheetId="20" state="hidden" r:id="rId19"/>
    <sheet name="AU July" sheetId="18" state="hidden" r:id="rId20"/>
    <sheet name="AU SEP" sheetId="23" state="hidden" r:id="rId21"/>
    <sheet name="AU OCT" sheetId="24" state="hidden" r:id="rId22"/>
    <sheet name="AU NOV" sheetId="27" r:id="rId23"/>
    <sheet name="AU DEC" sheetId="34" r:id="rId24"/>
    <sheet name="Sheet6" sheetId="38" state="hidden" r:id="rId25"/>
    <sheet name="Gift Card" sheetId="37" state="hidden" r:id="rId26"/>
    <sheet name="Adil " sheetId="35" state="hidden" r:id="rId27"/>
    <sheet name="Waleed " sheetId="33" state="hidden" r:id="rId28"/>
    <sheet name="Sheet5" sheetId="32" state="hidden" r:id="rId29"/>
    <sheet name="NZ OCT" sheetId="25" state="hidden" r:id="rId30"/>
    <sheet name="NZ NOV" sheetId="26" r:id="rId31"/>
    <sheet name="NZ DEC" sheetId="36" r:id="rId32"/>
    <sheet name="Sheet3" sheetId="31" state="hidden" r:id="rId33"/>
    <sheet name="Sheet2" sheetId="30" state="hidden" r:id="rId34"/>
    <sheet name="NZ visit expense" sheetId="17" state="hidden" r:id="rId35"/>
    <sheet name="Abdul Rafey" sheetId="5" state="hidden" r:id="rId36"/>
  </sheets>
  <definedNames>
    <definedName name="_xlnm._FilterDatabase" localSheetId="3" hidden="1">April!$A$1:$H$152</definedName>
    <definedName name="_xlnm._FilterDatabase" localSheetId="18" hidden="1">'AU Aug'!$A$1:$N$37</definedName>
    <definedName name="_xlnm._FilterDatabase" localSheetId="23" hidden="1">'AU DEC'!$A$1:$O$204</definedName>
    <definedName name="_xlnm._FilterDatabase" localSheetId="19" hidden="1">'AU July'!$A$1:$K$40</definedName>
    <definedName name="_xlnm._FilterDatabase" localSheetId="17" hidden="1">'AU June '!$A$1:$P$70</definedName>
    <definedName name="_xlnm._FilterDatabase" localSheetId="22" hidden="1">'AU NOV'!$A$1:$I$135</definedName>
    <definedName name="_xlnm._FilterDatabase" localSheetId="21" hidden="1">'AU OCT'!$A$1:$G$24</definedName>
    <definedName name="_xlnm._FilterDatabase" localSheetId="20" hidden="1">'AU SEP'!$A$1:$M$32</definedName>
    <definedName name="_xlnm._FilterDatabase" localSheetId="1" hidden="1">'March '!$A$1:$G$39</definedName>
    <definedName name="_xlnm._FilterDatabase" localSheetId="4" hidden="1">'May '!$A$1:$O$27</definedName>
  </definedNames>
  <calcPr calcId="191029"/>
  <pivotCaches>
    <pivotCache cacheId="10" r:id="rId37"/>
    <pivotCache cacheId="11" r:id="rId38"/>
    <pivotCache cacheId="12" r:id="rId39"/>
    <pivotCache cacheId="13" r:id="rId40"/>
    <pivotCache cacheId="14" r:id="rId41"/>
    <pivotCache cacheId="15" r:id="rId42"/>
    <pivotCache cacheId="16" r:id="rId43"/>
    <pivotCache cacheId="17" r:id="rId44"/>
    <pivotCache cacheId="18" r:id="rId45"/>
    <pivotCache cacheId="19" r:id="rId4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" i="36" l="1"/>
  <c r="F13" i="36"/>
  <c r="V4" i="34"/>
  <c r="V5" i="34"/>
  <c r="V6" i="34"/>
  <c r="V7" i="34"/>
  <c r="V8" i="34"/>
  <c r="V9" i="34"/>
  <c r="V10" i="34"/>
  <c r="V11" i="34"/>
  <c r="V12" i="34"/>
  <c r="V13" i="34"/>
  <c r="V14" i="34"/>
  <c r="V15" i="34"/>
  <c r="V16" i="34"/>
  <c r="V17" i="34"/>
  <c r="V18" i="34"/>
  <c r="V19" i="34"/>
  <c r="V20" i="34"/>
  <c r="V21" i="34"/>
  <c r="V22" i="34"/>
  <c r="V23" i="34"/>
  <c r="V24" i="34"/>
  <c r="V25" i="34"/>
  <c r="V26" i="34"/>
  <c r="V27" i="34"/>
  <c r="V28" i="34"/>
  <c r="V29" i="34"/>
  <c r="V30" i="34"/>
  <c r="V31" i="34"/>
  <c r="V32" i="34"/>
  <c r="V3" i="34"/>
  <c r="F199" i="34"/>
  <c r="F198" i="34"/>
  <c r="F197" i="34"/>
  <c r="F165" i="34"/>
  <c r="F184" i="34"/>
  <c r="F183" i="34"/>
  <c r="F181" i="34"/>
  <c r="F182" i="34"/>
  <c r="F180" i="34"/>
  <c r="F179" i="34"/>
  <c r="F178" i="34"/>
  <c r="F162" i="34"/>
  <c r="F163" i="34"/>
  <c r="F164" i="34"/>
  <c r="F160" i="34"/>
  <c r="F161" i="34"/>
  <c r="F159" i="34"/>
  <c r="F157" i="34"/>
  <c r="F158" i="34"/>
  <c r="F167" i="34"/>
  <c r="F168" i="34"/>
  <c r="F166" i="34"/>
  <c r="F177" i="34"/>
  <c r="F176" i="34"/>
  <c r="F174" i="34"/>
  <c r="F175" i="34"/>
  <c r="F173" i="34"/>
  <c r="F172" i="34"/>
  <c r="F171" i="34"/>
  <c r="F156" i="34"/>
  <c r="F155" i="34"/>
  <c r="F154" i="34"/>
  <c r="F153" i="34"/>
  <c r="F152" i="34"/>
  <c r="F123" i="34"/>
  <c r="F122" i="34"/>
  <c r="O148" i="34"/>
  <c r="F147" i="34"/>
  <c r="F145" i="34"/>
  <c r="F146" i="34"/>
  <c r="F148" i="34"/>
  <c r="F149" i="34"/>
  <c r="F150" i="34"/>
  <c r="F151" i="34"/>
  <c r="F135" i="34"/>
  <c r="F134" i="34"/>
  <c r="F130" i="34"/>
  <c r="F131" i="34"/>
  <c r="F132" i="34"/>
  <c r="F133" i="34"/>
  <c r="F136" i="34"/>
  <c r="F137" i="34"/>
  <c r="F138" i="34"/>
  <c r="F139" i="34"/>
  <c r="F140" i="34"/>
  <c r="F141" i="34"/>
  <c r="F142" i="34"/>
  <c r="F143" i="34"/>
  <c r="F144" i="34"/>
  <c r="L138" i="34"/>
  <c r="F128" i="34"/>
  <c r="F129" i="34"/>
  <c r="F126" i="34"/>
  <c r="F125" i="34"/>
  <c r="F124" i="34"/>
  <c r="F121" i="34"/>
  <c r="F119" i="34"/>
  <c r="F120" i="34"/>
  <c r="F118" i="34"/>
  <c r="F117" i="34"/>
  <c r="F116" i="34"/>
  <c r="F115" i="34"/>
  <c r="F114" i="34"/>
  <c r="F113" i="34"/>
  <c r="F112" i="34"/>
  <c r="F111" i="34"/>
  <c r="F110" i="34"/>
  <c r="F109" i="34"/>
  <c r="F108" i="34"/>
  <c r="F11" i="36"/>
  <c r="F107" i="34"/>
  <c r="F106" i="34"/>
  <c r="F105" i="34"/>
  <c r="F104" i="34"/>
  <c r="F103" i="34"/>
  <c r="F102" i="34"/>
  <c r="F101" i="34"/>
  <c r="F100" i="34"/>
  <c r="F99" i="34"/>
  <c r="F98" i="34"/>
  <c r="F97" i="34"/>
  <c r="F96" i="34"/>
  <c r="F95" i="34"/>
  <c r="F94" i="34"/>
  <c r="F75" i="34"/>
  <c r="F74" i="34"/>
  <c r="F73" i="34"/>
  <c r="F93" i="34"/>
  <c r="F92" i="34"/>
  <c r="F91" i="34"/>
  <c r="O17" i="35"/>
  <c r="O16" i="35"/>
  <c r="O15" i="35"/>
  <c r="O14" i="35"/>
  <c r="L12" i="35"/>
  <c r="M7" i="35"/>
  <c r="M3" i="35"/>
  <c r="M4" i="35"/>
  <c r="M5" i="35"/>
  <c r="M6" i="35"/>
  <c r="M2" i="35"/>
  <c r="H4" i="35"/>
  <c r="B43" i="35"/>
  <c r="F90" i="34"/>
  <c r="F10" i="36"/>
  <c r="F58" i="34"/>
  <c r="F59" i="34"/>
  <c r="F60" i="34"/>
  <c r="F53" i="34"/>
  <c r="F52" i="34"/>
  <c r="F51" i="34"/>
  <c r="F54" i="34"/>
  <c r="F55" i="34"/>
  <c r="F56" i="34"/>
  <c r="F57" i="34"/>
  <c r="F50" i="34"/>
  <c r="F72" i="34"/>
  <c r="F44" i="34"/>
  <c r="F45" i="34"/>
  <c r="F46" i="34"/>
  <c r="F47" i="34"/>
  <c r="F48" i="34"/>
  <c r="F49" i="34"/>
  <c r="F71" i="34"/>
  <c r="F70" i="34"/>
  <c r="F69" i="34"/>
  <c r="F68" i="34"/>
  <c r="F67" i="34"/>
  <c r="F66" i="34"/>
  <c r="F65" i="34"/>
  <c r="F64" i="34"/>
  <c r="F81" i="34"/>
  <c r="F80" i="34"/>
  <c r="F79" i="34"/>
  <c r="F78" i="34"/>
  <c r="F77" i="34"/>
  <c r="F76" i="34"/>
  <c r="F89" i="34"/>
  <c r="F88" i="34"/>
  <c r="F86" i="34"/>
  <c r="F85" i="34"/>
  <c r="F87" i="34"/>
  <c r="F9" i="36"/>
  <c r="F8" i="36"/>
  <c r="F7" i="36"/>
  <c r="E2" i="37"/>
  <c r="F42" i="34"/>
  <c r="F43" i="34"/>
  <c r="F61" i="34"/>
  <c r="F62" i="34"/>
  <c r="F63" i="34"/>
  <c r="F82" i="34"/>
  <c r="F83" i="34"/>
  <c r="F84" i="34"/>
  <c r="F41" i="34"/>
  <c r="F39" i="34"/>
  <c r="F38" i="34"/>
  <c r="F37" i="34"/>
  <c r="F36" i="34"/>
  <c r="F35" i="34"/>
  <c r="F34" i="34"/>
  <c r="F33" i="34"/>
  <c r="F32" i="34"/>
  <c r="F31" i="34"/>
  <c r="F30" i="34"/>
  <c r="F29" i="34"/>
  <c r="F28" i="34"/>
  <c r="F27" i="34"/>
  <c r="F26" i="34"/>
  <c r="F25" i="34"/>
  <c r="F4" i="36"/>
  <c r="F5" i="36"/>
  <c r="F6" i="36"/>
  <c r="F3" i="36"/>
  <c r="F24" i="34"/>
  <c r="F23" i="34"/>
  <c r="F22" i="34"/>
  <c r="F20" i="34"/>
  <c r="F21" i="34"/>
  <c r="F19" i="34"/>
  <c r="F18" i="34"/>
  <c r="F17" i="34"/>
  <c r="F16" i="34"/>
  <c r="F2" i="36"/>
  <c r="F15" i="34"/>
  <c r="F14" i="34"/>
  <c r="F13" i="34"/>
  <c r="F12" i="34"/>
  <c r="F11" i="34"/>
  <c r="F10" i="34"/>
  <c r="F9" i="34"/>
  <c r="F8" i="34"/>
  <c r="F4" i="34"/>
  <c r="F5" i="34"/>
  <c r="F6" i="34"/>
  <c r="F7" i="34"/>
  <c r="F2" i="34"/>
  <c r="F3" i="34"/>
  <c r="F135" i="27"/>
  <c r="F134" i="27"/>
  <c r="F133" i="27"/>
  <c r="B12" i="33"/>
  <c r="C12" i="33"/>
  <c r="F132" i="27"/>
  <c r="F131" i="27"/>
  <c r="F130" i="27"/>
  <c r="F129" i="27"/>
  <c r="F128" i="27"/>
  <c r="F127" i="27"/>
  <c r="F126" i="27"/>
  <c r="F125" i="27"/>
  <c r="F124" i="27"/>
  <c r="F123" i="27"/>
  <c r="F122" i="27"/>
  <c r="F121" i="27"/>
  <c r="F120" i="27"/>
  <c r="F119" i="27"/>
  <c r="F118" i="27"/>
  <c r="F117" i="27"/>
  <c r="F116" i="27"/>
  <c r="F115" i="27"/>
  <c r="F114" i="27"/>
  <c r="F112" i="27"/>
  <c r="F113" i="27"/>
  <c r="F111" i="27"/>
  <c r="F110" i="27"/>
  <c r="F109" i="27"/>
  <c r="F108" i="27"/>
  <c r="F107" i="27"/>
  <c r="F106" i="27"/>
  <c r="F105" i="27"/>
  <c r="F104" i="27"/>
  <c r="F103" i="27"/>
  <c r="F102" i="27"/>
  <c r="F101" i="27"/>
  <c r="F100" i="27"/>
  <c r="F99" i="27"/>
  <c r="F12" i="26"/>
  <c r="F11" i="26"/>
  <c r="F10" i="26"/>
  <c r="F9" i="26"/>
  <c r="F8" i="26"/>
  <c r="F98" i="27"/>
  <c r="F97" i="27"/>
  <c r="F96" i="27"/>
  <c r="F95" i="27"/>
  <c r="F94" i="27"/>
  <c r="F93" i="27"/>
  <c r="F92" i="27"/>
  <c r="F91" i="27"/>
  <c r="F90" i="27"/>
  <c r="F89" i="27"/>
  <c r="F88" i="27"/>
  <c r="F87" i="27"/>
  <c r="F86" i="27"/>
  <c r="F85" i="27"/>
  <c r="F84" i="27"/>
  <c r="F83" i="27"/>
  <c r="F82" i="27"/>
  <c r="F81" i="27"/>
  <c r="F80" i="27"/>
  <c r="F79" i="27"/>
  <c r="F78" i="27"/>
  <c r="F77" i="27"/>
  <c r="F76" i="27"/>
  <c r="F75" i="27"/>
  <c r="F74" i="27"/>
  <c r="F72" i="27"/>
  <c r="F73" i="27"/>
  <c r="F68" i="27"/>
  <c r="F69" i="27"/>
  <c r="F67" i="27"/>
  <c r="F66" i="27"/>
  <c r="F65" i="27"/>
  <c r="F64" i="27"/>
  <c r="F63" i="27"/>
  <c r="F62" i="27"/>
  <c r="F61" i="27"/>
  <c r="F59" i="27"/>
  <c r="F60" i="27"/>
  <c r="F58" i="27"/>
  <c r="F57" i="27"/>
  <c r="F56" i="27"/>
  <c r="F55" i="27"/>
  <c r="F54" i="27"/>
  <c r="F53" i="27"/>
  <c r="F52" i="27"/>
  <c r="F51" i="27"/>
  <c r="F50" i="27"/>
  <c r="F49" i="27"/>
  <c r="F48" i="27"/>
  <c r="F47" i="27"/>
  <c r="F46" i="27"/>
  <c r="F45" i="27"/>
  <c r="F44" i="27"/>
  <c r="F43" i="27"/>
  <c r="F42" i="27"/>
  <c r="O6" i="27"/>
  <c r="O7" i="27"/>
  <c r="O8" i="27"/>
  <c r="O9" i="27"/>
  <c r="O10" i="27"/>
  <c r="O11" i="27"/>
  <c r="O5" i="27"/>
  <c r="F41" i="27"/>
  <c r="F37" i="27"/>
  <c r="F38" i="27"/>
  <c r="F39" i="27"/>
  <c r="F40" i="27"/>
  <c r="F36" i="27"/>
  <c r="F35" i="27"/>
  <c r="F34" i="27"/>
  <c r="F33" i="27"/>
  <c r="O10" i="31"/>
  <c r="O7" i="31"/>
  <c r="O8" i="31"/>
  <c r="O9" i="31"/>
  <c r="O3" i="31"/>
  <c r="O4" i="31"/>
  <c r="O5" i="31"/>
  <c r="O6" i="31"/>
  <c r="O2" i="31"/>
  <c r="F29" i="27"/>
  <c r="F30" i="27"/>
  <c r="F31" i="27"/>
  <c r="F32" i="27"/>
  <c r="G8" i="31"/>
  <c r="M5" i="31"/>
  <c r="M3" i="31"/>
  <c r="M4" i="31"/>
  <c r="M2" i="31"/>
  <c r="H4" i="31"/>
  <c r="F28" i="27"/>
  <c r="F26" i="27"/>
  <c r="F27" i="27"/>
  <c r="F25" i="27"/>
  <c r="F20" i="27"/>
  <c r="F21" i="27"/>
  <c r="F22" i="27"/>
  <c r="F23" i="27"/>
  <c r="F24" i="27"/>
  <c r="F19" i="27"/>
  <c r="F18" i="27"/>
  <c r="F17" i="27"/>
  <c r="F16" i="27"/>
  <c r="F15" i="27"/>
  <c r="D5" i="30"/>
  <c r="D4" i="30"/>
  <c r="D3" i="30"/>
  <c r="D2" i="30"/>
  <c r="D6" i="30" s="1"/>
  <c r="F7" i="26"/>
  <c r="F11" i="27"/>
  <c r="F12" i="27"/>
  <c r="F13" i="27"/>
  <c r="F14" i="27"/>
  <c r="F10" i="27"/>
  <c r="F9" i="27"/>
  <c r="F6" i="27"/>
  <c r="F7" i="27"/>
  <c r="F8" i="27"/>
  <c r="G11" i="29"/>
  <c r="G3" i="29"/>
  <c r="G4" i="29"/>
  <c r="G5" i="29"/>
  <c r="G6" i="29"/>
  <c r="G7" i="29"/>
  <c r="G8" i="29"/>
  <c r="G9" i="29"/>
  <c r="G10" i="29"/>
  <c r="G2" i="29"/>
  <c r="V33" i="34" l="1"/>
  <c r="O12" i="27"/>
  <c r="E11" i="29"/>
  <c r="E3" i="29"/>
  <c r="E4" i="29"/>
  <c r="E5" i="29"/>
  <c r="E6" i="29"/>
  <c r="E7" i="29"/>
  <c r="E8" i="29"/>
  <c r="E9" i="29"/>
  <c r="E10" i="29"/>
  <c r="E2" i="29"/>
  <c r="F21" i="28"/>
  <c r="F19" i="28"/>
  <c r="F17" i="28"/>
  <c r="F6" i="28"/>
  <c r="F5" i="28"/>
  <c r="F4" i="28"/>
  <c r="F3" i="28"/>
  <c r="F2" i="28"/>
  <c r="F4" i="27"/>
  <c r="F5" i="27"/>
  <c r="F3" i="27"/>
  <c r="F2" i="27"/>
  <c r="F3" i="26"/>
  <c r="F4" i="26"/>
  <c r="F5" i="26"/>
  <c r="F6" i="26"/>
  <c r="F2" i="26"/>
  <c r="F28" i="24"/>
  <c r="F27" i="24"/>
  <c r="F26" i="24"/>
  <c r="F25" i="24"/>
  <c r="M21" i="19"/>
  <c r="M19" i="19"/>
  <c r="F7" i="25"/>
  <c r="F8" i="25"/>
  <c r="F6" i="25"/>
  <c r="F4" i="25"/>
  <c r="F3" i="25"/>
  <c r="F24" i="24"/>
  <c r="F23" i="24"/>
  <c r="F22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5" i="24"/>
  <c r="F3" i="24"/>
  <c r="F4" i="24"/>
  <c r="F2" i="24"/>
  <c r="F34" i="23"/>
  <c r="F32" i="23"/>
  <c r="F31" i="23"/>
  <c r="F30" i="23"/>
  <c r="F29" i="23"/>
  <c r="F24" i="23"/>
  <c r="F25" i="23"/>
  <c r="F26" i="23"/>
  <c r="F27" i="23"/>
  <c r="F28" i="23"/>
  <c r="F23" i="23"/>
  <c r="F9" i="22"/>
  <c r="F20" i="23"/>
  <c r="F21" i="23"/>
  <c r="F19" i="23"/>
  <c r="F18" i="23"/>
  <c r="F16" i="23"/>
  <c r="F9" i="23"/>
  <c r="F10" i="23"/>
  <c r="F11" i="23"/>
  <c r="F12" i="23"/>
  <c r="F13" i="23"/>
  <c r="F14" i="23"/>
  <c r="F15" i="23"/>
  <c r="F8" i="23"/>
  <c r="F4" i="23"/>
  <c r="F5" i="23"/>
  <c r="F6" i="23"/>
  <c r="F7" i="23"/>
  <c r="F3" i="23"/>
  <c r="F2" i="23"/>
  <c r="F3" i="22"/>
  <c r="F4" i="22"/>
  <c r="F5" i="22"/>
  <c r="F6" i="22"/>
  <c r="F7" i="22"/>
  <c r="F8" i="22"/>
  <c r="F10" i="22"/>
  <c r="F11" i="22"/>
  <c r="F2" i="22"/>
  <c r="F44" i="20"/>
  <c r="F43" i="20"/>
  <c r="F27" i="20" l="1"/>
  <c r="F41" i="20"/>
  <c r="F40" i="20"/>
  <c r="F39" i="20"/>
  <c r="F26" i="20"/>
  <c r="F22" i="19"/>
  <c r="F21" i="19"/>
  <c r="F38" i="20"/>
  <c r="M15" i="18" l="1"/>
  <c r="M14" i="18"/>
  <c r="M35" i="20"/>
  <c r="F33" i="20"/>
  <c r="F34" i="20"/>
  <c r="F35" i="20"/>
  <c r="F36" i="20"/>
  <c r="F37" i="20"/>
  <c r="F32" i="20"/>
  <c r="F31" i="20"/>
  <c r="B10" i="20"/>
  <c r="B11" i="20"/>
  <c r="B12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8" i="20"/>
  <c r="B9" i="20"/>
  <c r="F7" i="20"/>
  <c r="F8" i="20"/>
  <c r="F6" i="20"/>
  <c r="M9" i="19"/>
  <c r="M8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5" i="20"/>
  <c r="F41" i="16"/>
  <c r="F37" i="16"/>
  <c r="F36" i="16"/>
  <c r="F3" i="20"/>
  <c r="F2" i="20"/>
  <c r="F5" i="19"/>
  <c r="F3" i="19"/>
  <c r="F4" i="19"/>
  <c r="F2" i="19"/>
  <c r="F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19" i="18"/>
  <c r="F20" i="18"/>
  <c r="F21" i="18"/>
  <c r="F22" i="18"/>
  <c r="F23" i="18"/>
  <c r="F18" i="18"/>
  <c r="F35" i="16"/>
  <c r="F17" i="18"/>
  <c r="F16" i="18"/>
  <c r="F33" i="16"/>
  <c r="F34" i="16"/>
  <c r="F4" i="18"/>
  <c r="F5" i="18"/>
  <c r="F6" i="18"/>
  <c r="F7" i="18"/>
  <c r="F8" i="18"/>
  <c r="F9" i="18"/>
  <c r="F10" i="18"/>
  <c r="F11" i="18"/>
  <c r="F13" i="18"/>
  <c r="F14" i="18"/>
  <c r="F15" i="18"/>
  <c r="F3" i="18"/>
  <c r="F32" i="16"/>
  <c r="F31" i="16"/>
  <c r="F30" i="16"/>
  <c r="F18" i="16"/>
  <c r="F19" i="16"/>
  <c r="F20" i="16"/>
  <c r="F21" i="16"/>
  <c r="F22" i="16"/>
  <c r="F23" i="16"/>
  <c r="F13" i="16"/>
  <c r="F14" i="16"/>
  <c r="F15" i="16"/>
  <c r="F16" i="16"/>
  <c r="F17" i="16"/>
  <c r="F7" i="16"/>
  <c r="F8" i="16"/>
  <c r="F10" i="16"/>
  <c r="F11" i="16"/>
  <c r="F12" i="16"/>
  <c r="F9" i="16"/>
  <c r="F6" i="16"/>
  <c r="I31" i="4"/>
  <c r="I30" i="4"/>
  <c r="F3" i="16" l="1"/>
  <c r="F4" i="16"/>
  <c r="F5" i="16"/>
  <c r="F2" i="16"/>
  <c r="F22" i="10"/>
  <c r="F3" i="12" l="1"/>
  <c r="F25" i="12"/>
  <c r="F24" i="12"/>
  <c r="F20" i="10"/>
  <c r="F21" i="10"/>
  <c r="F20" i="12"/>
  <c r="F21" i="12"/>
  <c r="F22" i="12"/>
  <c r="F2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" i="12"/>
  <c r="F27" i="9"/>
  <c r="F26" i="9"/>
  <c r="F25" i="9"/>
  <c r="F23" i="9"/>
  <c r="F24" i="9"/>
  <c r="F22" i="9"/>
  <c r="F21" i="9"/>
  <c r="F20" i="9"/>
  <c r="F19" i="10"/>
  <c r="I19" i="10"/>
  <c r="J19" i="10" s="1"/>
  <c r="K19" i="10" s="1"/>
  <c r="F18" i="10"/>
  <c r="I18" i="10"/>
  <c r="J18" i="10"/>
  <c r="K18" i="10" s="1"/>
  <c r="F17" i="10"/>
  <c r="I17" i="10"/>
  <c r="J17" i="10"/>
  <c r="K17" i="10"/>
  <c r="N17" i="10"/>
  <c r="F13" i="9"/>
  <c r="F14" i="9"/>
  <c r="F15" i="9"/>
  <c r="F16" i="9"/>
  <c r="F17" i="9"/>
  <c r="F18" i="9"/>
  <c r="F19" i="9"/>
  <c r="F12" i="9"/>
  <c r="F10" i="9"/>
  <c r="F11" i="9"/>
  <c r="N18" i="10"/>
  <c r="O18" i="10" s="1"/>
  <c r="L18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3" i="10"/>
  <c r="Q3" i="10"/>
  <c r="F9" i="9"/>
  <c r="F7" i="9"/>
  <c r="F8" i="9"/>
  <c r="J5" i="10" l="1"/>
  <c r="K5" i="10" s="1"/>
  <c r="I3" i="10"/>
  <c r="J3" i="10" s="1"/>
  <c r="K3" i="10" s="1"/>
  <c r="I4" i="10"/>
  <c r="J4" i="10" s="1"/>
  <c r="K4" i="10" s="1"/>
  <c r="I5" i="10"/>
  <c r="F3" i="10"/>
  <c r="F4" i="10"/>
  <c r="F5" i="10"/>
  <c r="I7" i="10"/>
  <c r="J7" i="10" s="1"/>
  <c r="K7" i="10" s="1"/>
  <c r="I8" i="10"/>
  <c r="J8" i="10" s="1"/>
  <c r="K8" i="10" s="1"/>
  <c r="I9" i="10"/>
  <c r="J9" i="10" s="1"/>
  <c r="K9" i="10" s="1"/>
  <c r="I10" i="10"/>
  <c r="J10" i="10" s="1"/>
  <c r="K10" i="10" s="1"/>
  <c r="I11" i="10"/>
  <c r="J11" i="10" s="1"/>
  <c r="K11" i="10" s="1"/>
  <c r="I12" i="10"/>
  <c r="J12" i="10" s="1"/>
  <c r="K12" i="10" s="1"/>
  <c r="I13" i="10"/>
  <c r="J13" i="10" s="1"/>
  <c r="K13" i="10" s="1"/>
  <c r="I14" i="10"/>
  <c r="J14" i="10" s="1"/>
  <c r="K14" i="10" s="1"/>
  <c r="I15" i="10"/>
  <c r="J15" i="10" s="1"/>
  <c r="K15" i="10" s="1"/>
  <c r="I16" i="10"/>
  <c r="J16" i="10" s="1"/>
  <c r="K16" i="10" s="1"/>
  <c r="I6" i="10"/>
  <c r="J6" i="10" s="1"/>
  <c r="K6" i="10" s="1"/>
  <c r="F16" i="10" l="1"/>
  <c r="F15" i="10"/>
  <c r="F14" i="10"/>
  <c r="F8" i="10"/>
  <c r="F9" i="10"/>
  <c r="F10" i="10"/>
  <c r="F11" i="10"/>
  <c r="F12" i="10"/>
  <c r="F13" i="10"/>
  <c r="F7" i="10"/>
  <c r="F6" i="10"/>
  <c r="F6" i="9"/>
  <c r="F19" i="7"/>
  <c r="F18" i="7"/>
  <c r="F17" i="7"/>
  <c r="F16" i="7"/>
  <c r="F15" i="7"/>
  <c r="N23" i="8"/>
  <c r="L23" i="8"/>
  <c r="L22" i="8"/>
  <c r="N22" i="8"/>
  <c r="N21" i="8"/>
  <c r="L21" i="8"/>
  <c r="N20" i="8"/>
  <c r="L20" i="8"/>
  <c r="F3" i="9"/>
  <c r="F4" i="9"/>
  <c r="F5" i="9"/>
  <c r="F2" i="9"/>
  <c r="F152" i="4"/>
  <c r="F151" i="4"/>
  <c r="F150" i="4"/>
  <c r="F149" i="4"/>
  <c r="F148" i="4"/>
  <c r="F147" i="4"/>
  <c r="N16" i="8"/>
  <c r="N17" i="8"/>
  <c r="N18" i="8"/>
  <c r="N19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2" i="8"/>
  <c r="L19" i="8" l="1"/>
  <c r="L18" i="8"/>
  <c r="L16" i="8"/>
  <c r="L17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2" i="8"/>
  <c r="G3" i="7"/>
  <c r="G2" i="7"/>
  <c r="F146" i="4" l="1"/>
  <c r="F145" i="4"/>
  <c r="F144" i="4"/>
  <c r="F143" i="4"/>
  <c r="F142" i="4"/>
  <c r="F136" i="4"/>
  <c r="F137" i="4"/>
  <c r="F138" i="4"/>
  <c r="F139" i="4"/>
  <c r="F140" i="4"/>
  <c r="F141" i="4"/>
  <c r="F135" i="4"/>
  <c r="F134" i="4"/>
  <c r="F133" i="4"/>
  <c r="F132" i="4"/>
  <c r="F131" i="4"/>
  <c r="F130" i="4"/>
  <c r="F129" i="4"/>
  <c r="F128" i="4"/>
  <c r="F127" i="4"/>
  <c r="F126" i="4"/>
  <c r="F124" i="4"/>
  <c r="F125" i="4"/>
  <c r="F123" i="4"/>
  <c r="F122" i="4"/>
  <c r="F121" i="4"/>
  <c r="F120" i="4"/>
  <c r="F119" i="4"/>
  <c r="F118" i="4"/>
  <c r="F117" i="4"/>
  <c r="F116" i="4"/>
  <c r="F115" i="4"/>
  <c r="F114" i="4"/>
  <c r="F113" i="4"/>
  <c r="I113" i="4" s="1"/>
  <c r="F112" i="4"/>
  <c r="F111" i="4"/>
  <c r="F108" i="4"/>
  <c r="F109" i="4"/>
  <c r="F110" i="4"/>
  <c r="F107" i="4"/>
  <c r="F106" i="4"/>
  <c r="F46" i="4"/>
  <c r="F48" i="4"/>
  <c r="F91" i="4"/>
  <c r="F90" i="4"/>
  <c r="F89" i="4"/>
  <c r="F104" i="4"/>
  <c r="F105" i="4"/>
  <c r="F103" i="4"/>
  <c r="F102" i="4"/>
  <c r="F101" i="4"/>
  <c r="F100" i="4"/>
  <c r="F99" i="4"/>
  <c r="F98" i="4"/>
  <c r="F97" i="4"/>
  <c r="F96" i="4"/>
  <c r="F95" i="4"/>
  <c r="F94" i="4"/>
  <c r="F93" i="4"/>
  <c r="F92" i="4"/>
  <c r="F88" i="4"/>
  <c r="F87" i="4"/>
  <c r="F86" i="4"/>
  <c r="F85" i="4"/>
  <c r="F84" i="4"/>
  <c r="F83" i="4"/>
  <c r="F82" i="4"/>
  <c r="F81" i="4"/>
  <c r="F9" i="3"/>
  <c r="F8" i="3"/>
  <c r="F69" i="4"/>
  <c r="F67" i="4"/>
  <c r="F68" i="4"/>
  <c r="F70" i="4"/>
  <c r="F71" i="4"/>
  <c r="F72" i="4"/>
  <c r="F73" i="4"/>
  <c r="F74" i="4"/>
  <c r="F75" i="4"/>
  <c r="F76" i="4"/>
  <c r="F77" i="4"/>
  <c r="I77" i="4" s="1"/>
  <c r="F78" i="4"/>
  <c r="F79" i="4"/>
  <c r="F80" i="4"/>
  <c r="F66" i="4"/>
  <c r="F63" i="4"/>
  <c r="F64" i="4"/>
  <c r="F65" i="4"/>
  <c r="F62" i="4"/>
  <c r="F61" i="4"/>
  <c r="F60" i="4"/>
  <c r="F59" i="4"/>
  <c r="F58" i="4"/>
  <c r="F55" i="4"/>
  <c r="F56" i="4"/>
  <c r="F57" i="4"/>
  <c r="F50" i="4"/>
  <c r="F51" i="4"/>
  <c r="F52" i="4"/>
  <c r="F53" i="4"/>
  <c r="F54" i="4"/>
  <c r="F49" i="4"/>
  <c r="F47" i="4"/>
  <c r="F38" i="4" l="1"/>
  <c r="I38" i="4" s="1"/>
  <c r="F37" i="4"/>
  <c r="F33" i="4"/>
  <c r="F34" i="4"/>
  <c r="F35" i="4"/>
  <c r="F36" i="4"/>
  <c r="F39" i="4"/>
  <c r="F40" i="4"/>
  <c r="F41" i="4"/>
  <c r="F42" i="4"/>
  <c r="F43" i="4"/>
  <c r="F44" i="4"/>
  <c r="F45" i="4"/>
  <c r="F32" i="4"/>
  <c r="F20" i="4"/>
  <c r="F21" i="4"/>
  <c r="F22" i="4"/>
  <c r="F23" i="4"/>
  <c r="F24" i="4"/>
  <c r="I24" i="4" s="1"/>
  <c r="F25" i="4"/>
  <c r="F26" i="4"/>
  <c r="I26" i="4" s="1"/>
  <c r="F27" i="4"/>
  <c r="F28" i="4"/>
  <c r="F29" i="4"/>
  <c r="I29" i="4" s="1"/>
  <c r="F7" i="3"/>
  <c r="F18" i="4"/>
  <c r="F19" i="4"/>
  <c r="F6" i="3"/>
  <c r="F39" i="1" l="1"/>
  <c r="F5" i="4"/>
  <c r="F6" i="4"/>
  <c r="F7" i="4"/>
  <c r="F8" i="4"/>
  <c r="F9" i="4"/>
  <c r="F10" i="4"/>
  <c r="F11" i="4"/>
  <c r="F12" i="4"/>
  <c r="F13" i="4"/>
  <c r="I13" i="4" s="1"/>
  <c r="F14" i="4"/>
  <c r="I14" i="4" s="1"/>
  <c r="F15" i="4"/>
  <c r="F16" i="4"/>
  <c r="F17" i="4"/>
  <c r="F4" i="4"/>
  <c r="E3" i="4"/>
  <c r="E2" i="4"/>
  <c r="F4" i="3"/>
  <c r="F3" i="3"/>
  <c r="F35" i="1"/>
  <c r="F36" i="1"/>
  <c r="F37" i="1"/>
  <c r="F38" i="1"/>
  <c r="F34" i="1"/>
  <c r="E29" i="2"/>
  <c r="E28" i="2"/>
  <c r="E27" i="2"/>
  <c r="E26" i="2"/>
  <c r="E25" i="2"/>
  <c r="E24" i="2"/>
  <c r="F33" i="1"/>
  <c r="F32" i="1"/>
  <c r="E15" i="2"/>
  <c r="E14" i="2"/>
  <c r="E13" i="2"/>
  <c r="E12" i="2"/>
  <c r="E11" i="2"/>
  <c r="E10" i="2"/>
  <c r="F30" i="1" l="1"/>
  <c r="F29" i="1"/>
  <c r="F28" i="1"/>
  <c r="F27" i="1"/>
  <c r="F26" i="1"/>
  <c r="F25" i="1"/>
  <c r="F24" i="1"/>
  <c r="F23" i="1"/>
  <c r="F22" i="1"/>
  <c r="F21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<sst xmlns="http://schemas.openxmlformats.org/spreadsheetml/2006/main" count="3739" uniqueCount="936">
  <si>
    <t>Qty</t>
  </si>
  <si>
    <t>Items</t>
  </si>
  <si>
    <t>Store</t>
  </si>
  <si>
    <t>Price</t>
  </si>
  <si>
    <t>Total</t>
  </si>
  <si>
    <t>status</t>
  </si>
  <si>
    <t>PS5 Astro BOT</t>
  </si>
  <si>
    <t>JBHIFI Castle Hills</t>
  </si>
  <si>
    <t>Collected</t>
  </si>
  <si>
    <t>Mac Book Air M4 24/512Midnight</t>
  </si>
  <si>
    <t>EB Games Online</t>
  </si>
  <si>
    <t>Pending Collection Merrylands</t>
  </si>
  <si>
    <t>Pending Collection Bankstown</t>
  </si>
  <si>
    <t>Mac Book Air Midnight</t>
  </si>
  <si>
    <t>Costco Online</t>
  </si>
  <si>
    <t>Delivered  home on 29/03/2025</t>
  </si>
  <si>
    <t>Office Works Hornsby</t>
  </si>
  <si>
    <t>Mac Book Air M4 24/512 Sky Blue</t>
  </si>
  <si>
    <t xml:space="preserve">Iphone 16 Pro max 256 GB Desert </t>
  </si>
  <si>
    <t>Office Works Northmead</t>
  </si>
  <si>
    <t>Office Works  west ryde</t>
  </si>
  <si>
    <t>Office Works North Ryde</t>
  </si>
  <si>
    <t>PickUp Northmead/ Collected</t>
  </si>
  <si>
    <t>Office Works  Castle Hills</t>
  </si>
  <si>
    <t>Pending Collection</t>
  </si>
  <si>
    <t>Office Works Blacktown</t>
  </si>
  <si>
    <t>Mac Book Pro 16/512 Silver</t>
  </si>
  <si>
    <t>Office Works Wentworthville</t>
  </si>
  <si>
    <t>Office Works Auburn</t>
  </si>
  <si>
    <t>Mac Book Pro M4 14" 16/512 Silver</t>
  </si>
  <si>
    <t>Good Guys Auburn</t>
  </si>
  <si>
    <t>Mini Evo</t>
  </si>
  <si>
    <t>Mini 12 Purple</t>
  </si>
  <si>
    <t>Mini 12 Blue</t>
  </si>
  <si>
    <t>Mini 12 White</t>
  </si>
  <si>
    <t>Ninja Blast Blender</t>
  </si>
  <si>
    <t>Pending Collection Blacktown</t>
  </si>
  <si>
    <t>Order Cancelled</t>
  </si>
  <si>
    <t>Air</t>
  </si>
  <si>
    <t>Officeworks Online</t>
  </si>
  <si>
    <t>Pro</t>
  </si>
  <si>
    <t>Good Guys Bankstown</t>
  </si>
  <si>
    <t>Wentworthville</t>
  </si>
  <si>
    <t>Blacktown</t>
  </si>
  <si>
    <t>Castle Hills</t>
  </si>
  <si>
    <t>Auburn</t>
  </si>
  <si>
    <t>Five Dock</t>
  </si>
  <si>
    <t>Pending</t>
  </si>
  <si>
    <t>Macbook</t>
  </si>
  <si>
    <t>No Entry</t>
  </si>
  <si>
    <t>Office Works Five Dock</t>
  </si>
  <si>
    <t>Collected 29.03.2025</t>
  </si>
  <si>
    <t>4 Collected 29.03.2025</t>
  </si>
  <si>
    <t>Comments 29.03.2025</t>
  </si>
  <si>
    <t>As of 28.03.2025</t>
  </si>
  <si>
    <t>JBHIFI Online</t>
  </si>
  <si>
    <t>Mac Book Pro M4 14" 16/ 1TB Space Black</t>
  </si>
  <si>
    <t>Collected 30/03/2025</t>
  </si>
  <si>
    <t>Collected 31/03/2025</t>
  </si>
  <si>
    <t>Good Guys Blacktown</t>
  </si>
  <si>
    <t>Mini 12  Mix Colour</t>
  </si>
  <si>
    <t>Ps5 Astro Bot</t>
  </si>
  <si>
    <t>Pending Delivery</t>
  </si>
  <si>
    <t>Received</t>
  </si>
  <si>
    <t>Mac Book Pro</t>
  </si>
  <si>
    <t>Date</t>
  </si>
  <si>
    <t>Collection Date</t>
  </si>
  <si>
    <t>Mac Book Pro M4 16/1TB Space Black</t>
  </si>
  <si>
    <t>Mac Book Air 13" M4 24/512 Sky Blue</t>
  </si>
  <si>
    <t>Mac Book Pro M4 14" 16/1TB Space Black</t>
  </si>
  <si>
    <t>Office Works Castle Hills</t>
  </si>
  <si>
    <t>JBHIFI Hornsby</t>
  </si>
  <si>
    <t>Office Works West Ryde</t>
  </si>
  <si>
    <t>Mac Book Air 13" M4 24/512 Space Black</t>
  </si>
  <si>
    <t>Instax Mini 99 Bundle</t>
  </si>
  <si>
    <t>Meta Quest 3 512</t>
  </si>
  <si>
    <t>Norton Antivirus</t>
  </si>
  <si>
    <t>Collected 01/04/2025</t>
  </si>
  <si>
    <t>Row Labels</t>
  </si>
  <si>
    <t>(blank)</t>
  </si>
  <si>
    <t>Grand Total</t>
  </si>
  <si>
    <t>Sum of Qty</t>
  </si>
  <si>
    <t xml:space="preserve">JBHIFI Meta Quest </t>
  </si>
  <si>
    <t>Merylands</t>
  </si>
  <si>
    <t>Packaging</t>
  </si>
  <si>
    <t>Expense</t>
  </si>
  <si>
    <t>Instax Mini 12</t>
  </si>
  <si>
    <t xml:space="preserve">Good Guys </t>
  </si>
  <si>
    <t>Office Works Punchbowl</t>
  </si>
  <si>
    <t>Collected 04/04/2025</t>
  </si>
  <si>
    <t>Collected 03/04/2025</t>
  </si>
  <si>
    <t>Order Cancelled /Refund 03/04/2025</t>
  </si>
  <si>
    <t xml:space="preserve">Paid </t>
  </si>
  <si>
    <t>Order Cancelled Refund 08/04/2025</t>
  </si>
  <si>
    <t>Mac Book Air 15" M4 24/512 Sky Blue</t>
  </si>
  <si>
    <t>PS5 Hard drive</t>
  </si>
  <si>
    <t>Office Works Nortmead</t>
  </si>
  <si>
    <t>Mac Book Air 13" M4 24/512 Midnight</t>
  </si>
  <si>
    <t>PS5 Astrobot with CD game</t>
  </si>
  <si>
    <t>Big W Winston Hills</t>
  </si>
  <si>
    <t>Big W Bansktown</t>
  </si>
  <si>
    <t>JBHIFI Bankstown</t>
  </si>
  <si>
    <t>Pending Collection Parramatta</t>
  </si>
  <si>
    <t>Big W Merrylands</t>
  </si>
  <si>
    <t>Meta Quest 3S 128</t>
  </si>
  <si>
    <t>Delivered 11/04/2025</t>
  </si>
  <si>
    <t>EB Games North Ryde</t>
  </si>
  <si>
    <t>Collected  10/04/2025</t>
  </si>
  <si>
    <t>Collected 10/04/2025</t>
  </si>
  <si>
    <t>Cancelled Refund to be process</t>
  </si>
  <si>
    <t>Order Cancelled Refunded</t>
  </si>
  <si>
    <t>Shipment 07/04/2025</t>
  </si>
  <si>
    <t>Macbook Air M4 13" 24/512 Midnight</t>
  </si>
  <si>
    <t>Macbook Air M4 13" 24/512 Sky Blue</t>
  </si>
  <si>
    <t>Harvey Norman Morre Park</t>
  </si>
  <si>
    <t>10% Gift Card</t>
  </si>
  <si>
    <t>PS5 Astrobot Bundle No CD</t>
  </si>
  <si>
    <t>Play Station Portal Black</t>
  </si>
  <si>
    <t>Harvey Norman Broadway</t>
  </si>
  <si>
    <t>Macbook Air M4 13" 24/512 Silver</t>
  </si>
  <si>
    <t>Harvey Norman Castle Hills</t>
  </si>
  <si>
    <t>Macbook Air M4 15" 24/512 Midnight</t>
  </si>
  <si>
    <t>Instax Mini 40</t>
  </si>
  <si>
    <t>Dragon Age Game CD</t>
  </si>
  <si>
    <t>Harvey Norman North Ryde</t>
  </si>
  <si>
    <t xml:space="preserve">Big W Online </t>
  </si>
  <si>
    <t>Macbook Air M4 15" 24/512 Silver</t>
  </si>
  <si>
    <t>13/04/205</t>
  </si>
  <si>
    <t>13/04/206</t>
  </si>
  <si>
    <t>10% gift Card</t>
  </si>
  <si>
    <t>Harvey Norman Auburn</t>
  </si>
  <si>
    <t>Mac Book Air M4 24/512 13"</t>
  </si>
  <si>
    <t>DJI Osmo Pocket 3</t>
  </si>
  <si>
    <t>Instax mini EVO</t>
  </si>
  <si>
    <t>Instax Film 20 Pack</t>
  </si>
  <si>
    <t>Collected 13/04/2024</t>
  </si>
  <si>
    <t>Collected 13/04/2025</t>
  </si>
  <si>
    <t>Harvey Norman Alexandria</t>
  </si>
  <si>
    <t>Harvey Norman Blacktown</t>
  </si>
  <si>
    <t>Good Guys Castle Hills</t>
  </si>
  <si>
    <t>DJI Mavic Pro RC</t>
  </si>
  <si>
    <t>DJI Mavic Pro RC Combo</t>
  </si>
  <si>
    <t>10% Gift Card + $200 Gift Card</t>
  </si>
  <si>
    <t xml:space="preserve">Instax LiPlay Mix </t>
  </si>
  <si>
    <t>Instax LiPlay Pink</t>
  </si>
  <si>
    <t>Macbook Air M3 13" 24/512 Midnight</t>
  </si>
  <si>
    <t>Sum of Total</t>
  </si>
  <si>
    <t>(Multiple Items)</t>
  </si>
  <si>
    <t>Mac Book Air M4 13" 24/512 Sky Blue</t>
  </si>
  <si>
    <t>Mac Book Air M4 13 " 24/512 Sky Blue</t>
  </si>
  <si>
    <t>Mac Book Air M4 13" 24/512 Midnight</t>
  </si>
  <si>
    <t>Mac Book Air M3 15"24/512 Starlight</t>
  </si>
  <si>
    <t>Mac Book Air M3 15"24/512 Silver</t>
  </si>
  <si>
    <t>Mac Book Air  M3 15" 24/512 Starlight</t>
  </si>
  <si>
    <t>Mac Book Air M3 15" 24/512 Midnight</t>
  </si>
  <si>
    <t>Mac Book Air  M4 15" 24/512 Sky Blue</t>
  </si>
  <si>
    <t>Mac Book Air M4 15" 24/512 Sky Blue</t>
  </si>
  <si>
    <t>Mac Book Air  M4 15" 24/512 Midnight</t>
  </si>
  <si>
    <t>Macbook Air M4 15" 24/512 Sky Blue</t>
  </si>
  <si>
    <t>Description</t>
  </si>
  <si>
    <t>Mac Book Air 13" M4 24/512</t>
  </si>
  <si>
    <t>Mac Book Air 15" M4 24/512</t>
  </si>
  <si>
    <t>Instax mini Evo</t>
  </si>
  <si>
    <t xml:space="preserve">PS Portal </t>
  </si>
  <si>
    <t>DJI</t>
  </si>
  <si>
    <t>Mini 12</t>
  </si>
  <si>
    <t>Mini 40</t>
  </si>
  <si>
    <t>Evo</t>
  </si>
  <si>
    <t>CD</t>
  </si>
  <si>
    <t>Paper</t>
  </si>
  <si>
    <t>Liplay</t>
  </si>
  <si>
    <t>EVO</t>
  </si>
  <si>
    <t>MC7D4X</t>
  </si>
  <si>
    <t>Osmo Pocket</t>
  </si>
  <si>
    <t>MC9K4X</t>
  </si>
  <si>
    <t>Pro 15" M4 16/512</t>
  </si>
  <si>
    <t>MC9J4X</t>
  </si>
  <si>
    <t>Meta Quest</t>
  </si>
  <si>
    <t>DJI COMBO</t>
  </si>
  <si>
    <t>MC6L4X</t>
  </si>
  <si>
    <t>M4 PRO 24/512</t>
  </si>
  <si>
    <t>BAG</t>
  </si>
  <si>
    <t>MC9L4X</t>
  </si>
  <si>
    <t>PS5</t>
  </si>
  <si>
    <t>IN Van</t>
  </si>
  <si>
    <t>home</t>
  </si>
  <si>
    <t>MIni 40</t>
  </si>
  <si>
    <t>MCV64X</t>
  </si>
  <si>
    <t>PS5 with CD</t>
  </si>
  <si>
    <t>Big W Online Rockdale</t>
  </si>
  <si>
    <t>PS5 Collected ,CD pending collection</t>
  </si>
  <si>
    <t>Order cancelled</t>
  </si>
  <si>
    <t>Cancelled Refund processed 17/04</t>
  </si>
  <si>
    <t>Collected 16/04/2025</t>
  </si>
  <si>
    <t>Sunglass Hut Bankstown</t>
  </si>
  <si>
    <t>Osmo Action 5 pro Adventure</t>
  </si>
  <si>
    <t>Osmo Pocket 3</t>
  </si>
  <si>
    <t>Osmo Mobile 7 P</t>
  </si>
  <si>
    <t>RW4008</t>
  </si>
  <si>
    <t>OPSM Parramatta</t>
  </si>
  <si>
    <t>RW4010 Transitions</t>
  </si>
  <si>
    <t>RW4008 Transitions</t>
  </si>
  <si>
    <t>RW 4008 Transitions</t>
  </si>
  <si>
    <t>Sunglass Hut Parramatta</t>
  </si>
  <si>
    <t>RW4006 Transitions</t>
  </si>
  <si>
    <t>EYE CONCEPTS MerryLands</t>
  </si>
  <si>
    <t>RW4006</t>
  </si>
  <si>
    <t>Macbook Air M4 15" 24/512 Starlinght</t>
  </si>
  <si>
    <t>Collected/shipped Dubai</t>
  </si>
  <si>
    <t>Cancelled /Refunded</t>
  </si>
  <si>
    <t>RW4006 Rayban Glasses</t>
  </si>
  <si>
    <t>Meta RW4010 Transition</t>
  </si>
  <si>
    <t>Myer Online</t>
  </si>
  <si>
    <t>Myer Sydney</t>
  </si>
  <si>
    <t xml:space="preserve">RW4006 Matte Dusty Blue </t>
  </si>
  <si>
    <t>Osmo 7P</t>
  </si>
  <si>
    <t>DJI Mavic Pro3 RC</t>
  </si>
  <si>
    <t xml:space="preserve">$1200 Gift Card </t>
  </si>
  <si>
    <t>Sunglass Hut Castle Towers</t>
  </si>
  <si>
    <t>David Jones Castle hills</t>
  </si>
  <si>
    <t>RW4006 Matte Dusty Blue 53</t>
  </si>
  <si>
    <t>Myer Castle Hills</t>
  </si>
  <si>
    <t xml:space="preserve">Meta RaybanTransitions Mix </t>
  </si>
  <si>
    <t>OPSM Castle Hills</t>
  </si>
  <si>
    <t>New AU Company registration</t>
  </si>
  <si>
    <t>Airpods 4 ANC</t>
  </si>
  <si>
    <t>Camera House Drummyone</t>
  </si>
  <si>
    <t>DJI Mavic Pro 3 RC</t>
  </si>
  <si>
    <t>DJI Mavic Pro 3 RC Combo</t>
  </si>
  <si>
    <t>$200 Gift Card</t>
  </si>
  <si>
    <t>JBHIFI Top Ryde</t>
  </si>
  <si>
    <t>Pending Collection Broadway</t>
  </si>
  <si>
    <t>JBHIFI Top Macquarie park</t>
  </si>
  <si>
    <t>Collected 24/04/2025</t>
  </si>
  <si>
    <t>Delivered 23/04/2025</t>
  </si>
  <si>
    <t>DJI Mavic 3 Pro RC</t>
  </si>
  <si>
    <t>DJI Mavic 3 Pro RC Combo</t>
  </si>
  <si>
    <t>Meta Ryban Transitions</t>
  </si>
  <si>
    <t>Instax film wide 10pk</t>
  </si>
  <si>
    <t>Instax film wide 20pk</t>
  </si>
  <si>
    <t>Instax film Square 10 PK</t>
  </si>
  <si>
    <t xml:space="preserve">Instax film Square 10 PK Black </t>
  </si>
  <si>
    <t>Instax film Square 10 PK Monochorome</t>
  </si>
  <si>
    <t>Instax film Square 10 PK star Illuminate</t>
  </si>
  <si>
    <t>Instax film Square 10 PK star sunset</t>
  </si>
  <si>
    <t>Instax film Square 10 PK star Rainbow</t>
  </si>
  <si>
    <t>Intax mini link 3</t>
  </si>
  <si>
    <t>instax Liplay</t>
  </si>
  <si>
    <t xml:space="preserve">Instax mini EVO </t>
  </si>
  <si>
    <t>JBHIFI Moore Park</t>
  </si>
  <si>
    <t>Harvey Norman Moore Park</t>
  </si>
  <si>
    <t xml:space="preserve">Price </t>
  </si>
  <si>
    <t>Descriptions</t>
  </si>
  <si>
    <t>Macbook Air 13" 24/512</t>
  </si>
  <si>
    <t>Macbook Air 15" 24/512</t>
  </si>
  <si>
    <t>Grand total</t>
  </si>
  <si>
    <t>Deposit</t>
  </si>
  <si>
    <t>Paid in store</t>
  </si>
  <si>
    <t>Gift cards</t>
  </si>
  <si>
    <t>Old Gift cards</t>
  </si>
  <si>
    <t>Andy Owe</t>
  </si>
  <si>
    <t>Box</t>
  </si>
  <si>
    <t>PS5 Portal</t>
  </si>
  <si>
    <t>Evo Camera</t>
  </si>
  <si>
    <t>DJI mavic 3 RC Combo</t>
  </si>
  <si>
    <t xml:space="preserve">DJI mavic 3 RC </t>
  </si>
  <si>
    <t>Osmo Mobile 7P</t>
  </si>
  <si>
    <t>Camera mini 12</t>
  </si>
  <si>
    <t>Meta Glasses</t>
  </si>
  <si>
    <t>Mini Link</t>
  </si>
  <si>
    <t>16/17</t>
  </si>
  <si>
    <t>Films Mix</t>
  </si>
  <si>
    <t>Harvey Norman Liverpool</t>
  </si>
  <si>
    <t xml:space="preserve">DJI Mavic 3 Pro RC </t>
  </si>
  <si>
    <t>Collected 26/04/2025</t>
  </si>
  <si>
    <t>4 Pending Collection</t>
  </si>
  <si>
    <t>Collected Change to M4 from M3</t>
  </si>
  <si>
    <t>28/04/2025 shipment</t>
  </si>
  <si>
    <t>Shipment dispatched</t>
  </si>
  <si>
    <t>Sunglass Hutt Bankstown</t>
  </si>
  <si>
    <t>Mac Book Air  M4 13" 24/512 Sky Blue</t>
  </si>
  <si>
    <t>Collected 27/04/2025</t>
  </si>
  <si>
    <t>RW4006 Matte Dusty Blue 50</t>
  </si>
  <si>
    <t>Sunglass Hutt Castle Hills</t>
  </si>
  <si>
    <t>Transitions Graphite Green</t>
  </si>
  <si>
    <t>Wayfarer Shiny Black Clear 4006</t>
  </si>
  <si>
    <t>JBHIFI Castle hills</t>
  </si>
  <si>
    <t>NZ</t>
  </si>
  <si>
    <t>14 macbook pending collection</t>
  </si>
  <si>
    <t>Myer Parramatta</t>
  </si>
  <si>
    <t>Rayban Meta AI Glasses via gift cards</t>
  </si>
  <si>
    <t>Noel Leeming</t>
  </si>
  <si>
    <t>Paid in full</t>
  </si>
  <si>
    <t>Shipment Date</t>
  </si>
  <si>
    <t>Instax film 20PK</t>
  </si>
  <si>
    <t>Starlink V4</t>
  </si>
  <si>
    <t>Delivery Charges</t>
  </si>
  <si>
    <t>PS5 Astrobot</t>
  </si>
  <si>
    <t>Google Streamer</t>
  </si>
  <si>
    <t>NZ Purchasing</t>
  </si>
  <si>
    <t>Canon camera</t>
  </si>
  <si>
    <t>Osmo pocket 3 creator combo</t>
  </si>
  <si>
    <t>Harvey Norman</t>
  </si>
  <si>
    <t>GST</t>
  </si>
  <si>
    <t>Before GST</t>
  </si>
  <si>
    <t>Myer Macquarie Park</t>
  </si>
  <si>
    <t>JBHIFI Broadway</t>
  </si>
  <si>
    <t>1 Refund</t>
  </si>
  <si>
    <t>Refund</t>
  </si>
  <si>
    <t>Sunglass Hutt Parramatta</t>
  </si>
  <si>
    <t>Transitions mix</t>
  </si>
  <si>
    <t>Cost</t>
  </si>
  <si>
    <t>total unit</t>
  </si>
  <si>
    <t>Sale price</t>
  </si>
  <si>
    <t>Canon GX70</t>
  </si>
  <si>
    <t>Digi Direct</t>
  </si>
  <si>
    <t>total</t>
  </si>
  <si>
    <t>DJI Mic 2</t>
  </si>
  <si>
    <t>JBHIFI Merrylands</t>
  </si>
  <si>
    <t>Meta Transitions Wayfarer</t>
  </si>
  <si>
    <t>Rayban Wayfarer</t>
  </si>
  <si>
    <t>Collected 16/05/2025</t>
  </si>
  <si>
    <t xml:space="preserve">1 Delivered 27/04/25 </t>
  </si>
  <si>
    <t>Canon SX740</t>
  </si>
  <si>
    <t>Harvey norman Moore Park</t>
  </si>
  <si>
    <t>DJI Mavic 4 Pro RC Combo</t>
  </si>
  <si>
    <t>12 Collected</t>
  </si>
  <si>
    <t xml:space="preserve">10 Pending Collection </t>
  </si>
  <si>
    <t>10 Collected</t>
  </si>
  <si>
    <t xml:space="preserve">Instax mini 12 </t>
  </si>
  <si>
    <t xml:space="preserve">Total Paid $92450 Only </t>
  </si>
  <si>
    <t>JBHIFI Macquarie Park</t>
  </si>
  <si>
    <t xml:space="preserve">Pending Collection Bankstown </t>
  </si>
  <si>
    <t>MobilieCiti</t>
  </si>
  <si>
    <t>Osmo Pocket 3 Combo</t>
  </si>
  <si>
    <t>DJI Macquarie Park</t>
  </si>
  <si>
    <t>JBHIFI  Parramatta</t>
  </si>
  <si>
    <t>Mavic 3 Combo</t>
  </si>
  <si>
    <t>Mavic 3 RC</t>
  </si>
  <si>
    <t>osmo pocket combo</t>
  </si>
  <si>
    <t>Mic2</t>
  </si>
  <si>
    <t>Mavic 4 Combo</t>
  </si>
  <si>
    <t>Canon740X</t>
  </si>
  <si>
    <t>Mac Book Air 15 "</t>
  </si>
  <si>
    <t>Mac Book Air 13"</t>
  </si>
  <si>
    <t xml:space="preserve">Meta </t>
  </si>
  <si>
    <t>Laptop</t>
  </si>
  <si>
    <t>Portable Camera</t>
  </si>
  <si>
    <t>Delivered</t>
  </si>
  <si>
    <t>Harvey Norman Moorepark</t>
  </si>
  <si>
    <t xml:space="preserve">Osmo Pocket 3 </t>
  </si>
  <si>
    <t>Mavic 4 Pro</t>
  </si>
  <si>
    <t>Mavic 4 Pro combo</t>
  </si>
  <si>
    <t>Mavic 3 Pro</t>
  </si>
  <si>
    <t>Mavic 3 Pro combo</t>
  </si>
  <si>
    <t>COSTCO</t>
  </si>
  <si>
    <t>PS5 Console</t>
  </si>
  <si>
    <t>PS5 Controller</t>
  </si>
  <si>
    <t>Digi Direct Parramatta</t>
  </si>
  <si>
    <t>GM II Lense</t>
  </si>
  <si>
    <t>EB Games Parramatta</t>
  </si>
  <si>
    <t>EB Games Merrylands</t>
  </si>
  <si>
    <t>EB Games Bankstown</t>
  </si>
  <si>
    <t>Photo Warehouse online</t>
  </si>
  <si>
    <t>JBHIFI Parramatta</t>
  </si>
  <si>
    <t xml:space="preserve">Collected </t>
  </si>
  <si>
    <t>Mobile Citi</t>
  </si>
  <si>
    <t>Items Shipped</t>
  </si>
  <si>
    <t>Collected 29/06/2025</t>
  </si>
  <si>
    <t>$200 Deposit Only</t>
  </si>
  <si>
    <t>$100 Deposit Only</t>
  </si>
  <si>
    <t>Harvey Norman Tawoomba</t>
  </si>
  <si>
    <t>Mark II with memory card and pouch</t>
  </si>
  <si>
    <t xml:space="preserve">Photo WH </t>
  </si>
  <si>
    <t>Canon Mark III</t>
  </si>
  <si>
    <t>Canon Mark II</t>
  </si>
  <si>
    <t>Lense</t>
  </si>
  <si>
    <t>car hire deposit</t>
  </si>
  <si>
    <t>SX740</t>
  </si>
  <si>
    <t xml:space="preserve">Photo WH online </t>
  </si>
  <si>
    <t>food</t>
  </si>
  <si>
    <t>soho</t>
  </si>
  <si>
    <t>photogear</t>
  </si>
  <si>
    <t>Progear</t>
  </si>
  <si>
    <t>photo wearhouse</t>
  </si>
  <si>
    <t>Rubber Monkey online</t>
  </si>
  <si>
    <t>car</t>
  </si>
  <si>
    <t>Auckland Camera centre</t>
  </si>
  <si>
    <t xml:space="preserve">Sx740 </t>
  </si>
  <si>
    <t>Soho</t>
  </si>
  <si>
    <t xml:space="preserve">Noel Leeming </t>
  </si>
  <si>
    <t>Delivery</t>
  </si>
  <si>
    <t>Noel Leeming delivery</t>
  </si>
  <si>
    <t>Collected 06/07/2025</t>
  </si>
  <si>
    <t>AUD</t>
  </si>
  <si>
    <t>starlink V4</t>
  </si>
  <si>
    <t>Instax Wide 400</t>
  </si>
  <si>
    <t xml:space="preserve">AUD </t>
  </si>
  <si>
    <t>Uber</t>
  </si>
  <si>
    <t>Emirates</t>
  </si>
  <si>
    <t>Train</t>
  </si>
  <si>
    <t>NZ Visit Expense</t>
  </si>
  <si>
    <t>Megatop Shipping Charges paid</t>
  </si>
  <si>
    <t>Photo WH City</t>
  </si>
  <si>
    <t>G7X Mark II</t>
  </si>
  <si>
    <t>G7X Mark III</t>
  </si>
  <si>
    <t>G7X Mark III Silver</t>
  </si>
  <si>
    <t>V4 Standard Kit</t>
  </si>
  <si>
    <t xml:space="preserve">Harvey norman Mount Roskills </t>
  </si>
  <si>
    <t>Mark III</t>
  </si>
  <si>
    <t>Mark II</t>
  </si>
  <si>
    <t>Deposit Lense</t>
  </si>
  <si>
    <t>3 Collected 17/07/2025 1Pending</t>
  </si>
  <si>
    <t>Delivered 15/07/2025</t>
  </si>
  <si>
    <t>Refunded 15/07/2025</t>
  </si>
  <si>
    <t>10 %Gift Card Pending</t>
  </si>
  <si>
    <t>DJI mini 4K Fly more Combo</t>
  </si>
  <si>
    <t>DJI MINI 4 PRO RC</t>
  </si>
  <si>
    <t>CANON IXUS 285</t>
  </si>
  <si>
    <t>CANON SX740</t>
  </si>
  <si>
    <t>Harvey Norman OSBORNE PARK</t>
  </si>
  <si>
    <t>MARK II</t>
  </si>
  <si>
    <t>DJI OSMO POCKET 3</t>
  </si>
  <si>
    <t>Mavic 3 Pro RC</t>
  </si>
  <si>
    <t>Camera Warehouse Drummoyne</t>
  </si>
  <si>
    <t>G7X MARK III</t>
  </si>
  <si>
    <t>DELIVERED</t>
  </si>
  <si>
    <t>64 DELIVERED DUBAI</t>
  </si>
  <si>
    <t>Shipped</t>
  </si>
  <si>
    <t>Shipped 23/07/2025</t>
  </si>
  <si>
    <t>Shipped 23/07/2026</t>
  </si>
  <si>
    <t>Lenses Canon</t>
  </si>
  <si>
    <t>Deposit/ Pending Stock</t>
  </si>
  <si>
    <t>Photogear</t>
  </si>
  <si>
    <t>Harvey Norman McGrath Hills</t>
  </si>
  <si>
    <t>Delivered Abdul NL</t>
  </si>
  <si>
    <t>$4000 Deposit Paid</t>
  </si>
  <si>
    <t>PS5 Console Bundle Disc</t>
  </si>
  <si>
    <t>PS5 Console Bundle Digital</t>
  </si>
  <si>
    <t>PS5 Controller Wireless</t>
  </si>
  <si>
    <t>Big W Macquarie Centre</t>
  </si>
  <si>
    <t>EB Games Macquarie Park</t>
  </si>
  <si>
    <t>EB Games Roselands</t>
  </si>
  <si>
    <t>EB Games Rhodes</t>
  </si>
  <si>
    <t>Big W Top Ryde</t>
  </si>
  <si>
    <t>Big W Top Ryde Online</t>
  </si>
  <si>
    <t>JBHIFI Top Macquarie Park</t>
  </si>
  <si>
    <t>G7X MARK III Black</t>
  </si>
  <si>
    <t>G7X MARK III Silver</t>
  </si>
  <si>
    <t>29/072025</t>
  </si>
  <si>
    <t>JBHIFI City Westfield</t>
  </si>
  <si>
    <t>Big W Town Hall</t>
  </si>
  <si>
    <t>EB Games City</t>
  </si>
  <si>
    <t>Collected 03/08/2025</t>
  </si>
  <si>
    <t>Good Guys</t>
  </si>
  <si>
    <t>Instax mini 12 pack mini paper</t>
  </si>
  <si>
    <t>Instax mini paper 60 pack</t>
  </si>
  <si>
    <t>Instax 20 pack mini paper</t>
  </si>
  <si>
    <t>Instax mini EVO Black</t>
  </si>
  <si>
    <t>G7x Mark III Black</t>
  </si>
  <si>
    <t>Auckland Camera</t>
  </si>
  <si>
    <t>Photo Warehouse Online</t>
  </si>
  <si>
    <t>Delivery Address</t>
  </si>
  <si>
    <t>CT Freight</t>
  </si>
  <si>
    <t>Abdul Khan</t>
  </si>
  <si>
    <t>Delivery Date</t>
  </si>
  <si>
    <t>Progear Online</t>
  </si>
  <si>
    <t>Nazia Khan</t>
  </si>
  <si>
    <t>Instax Mini EVO</t>
  </si>
  <si>
    <t>Collected 15/08/2025</t>
  </si>
  <si>
    <t>Pending Stock</t>
  </si>
  <si>
    <t>$3434 Deposit</t>
  </si>
  <si>
    <t>Shipped 12/08</t>
  </si>
  <si>
    <t>Delivered07/08 Abdul NL</t>
  </si>
  <si>
    <t>Delivered 06/08 Abdul NL</t>
  </si>
  <si>
    <t>Bunnings Manukau</t>
  </si>
  <si>
    <t>Bunnings Westgate</t>
  </si>
  <si>
    <t>Bunnings Mount Roskills</t>
  </si>
  <si>
    <t>Bunnings New Lynn</t>
  </si>
  <si>
    <t>Bunnings Glenfield</t>
  </si>
  <si>
    <t>Bunnings Mt Wellington</t>
  </si>
  <si>
    <t>Bunnings Botany</t>
  </si>
  <si>
    <t>Bunnings North Shore</t>
  </si>
  <si>
    <t>Harvey Norman Mount Roskills</t>
  </si>
  <si>
    <t>Shipped 15/08</t>
  </si>
  <si>
    <t>NZ Trip Expense</t>
  </si>
  <si>
    <t>07 to 08 August</t>
  </si>
  <si>
    <t>Only $169 Refund</t>
  </si>
  <si>
    <t>$169 Cancellation Penalty</t>
  </si>
  <si>
    <t>Bunnings Simithfield</t>
  </si>
  <si>
    <t>Bunnings Lidcomb</t>
  </si>
  <si>
    <t>JBHIFI Macquarie</t>
  </si>
  <si>
    <t>Bunnings Seven Hills</t>
  </si>
  <si>
    <t>Bunnings Carlingford</t>
  </si>
  <si>
    <t>Bunnings Gladesville</t>
  </si>
  <si>
    <t>Bunnings Smithfield</t>
  </si>
  <si>
    <t>Bunnings Northmead</t>
  </si>
  <si>
    <t>Bunnings Blacktown</t>
  </si>
  <si>
    <t>Bunnings Minchinbury</t>
  </si>
  <si>
    <t>Bunnings Castlehills</t>
  </si>
  <si>
    <t>Bunnings Dural</t>
  </si>
  <si>
    <t>Bunnings Thornleigh</t>
  </si>
  <si>
    <t>Bunnings Pymbal</t>
  </si>
  <si>
    <t>Bunnings Clyde Noth Melbourne</t>
  </si>
  <si>
    <t>Bunnings Port Melbourne</t>
  </si>
  <si>
    <t>Bunnings Vermont South Melbourne</t>
  </si>
  <si>
    <t>Bunnings Sunshine Melbourne</t>
  </si>
  <si>
    <t xml:space="preserve">Order Cancelled </t>
  </si>
  <si>
    <t>DJI Mavic 4 Pro Combo</t>
  </si>
  <si>
    <t>Collected 16/08/2025</t>
  </si>
  <si>
    <t>Collected 16/08/2026</t>
  </si>
  <si>
    <t>Collected 16/08/2027</t>
  </si>
  <si>
    <t>CANON IXUS285</t>
  </si>
  <si>
    <t>PS5 BUNDLE DIGITAL</t>
  </si>
  <si>
    <t>DJI MNI 4K FLY More Combo</t>
  </si>
  <si>
    <t>PS5 BUNDLE Disc</t>
  </si>
  <si>
    <t>AR</t>
  </si>
  <si>
    <t>Shipped 19/08</t>
  </si>
  <si>
    <t>Pro Gear</t>
  </si>
  <si>
    <t>Updated in Aug file</t>
  </si>
  <si>
    <t>Pending delivery</t>
  </si>
  <si>
    <t>Delivery Abdul Khan</t>
  </si>
  <si>
    <t>Rubber Monkey</t>
  </si>
  <si>
    <t>Instax mini EVO Brown</t>
  </si>
  <si>
    <t>Delivery Cahrges</t>
  </si>
  <si>
    <t>Paid on 26/08/2025</t>
  </si>
  <si>
    <t>Bunnings Packenham Melbourne</t>
  </si>
  <si>
    <t>Shipped 25/08</t>
  </si>
  <si>
    <t>Delivered CT Freight</t>
  </si>
  <si>
    <t>Shipped 25/08/2025</t>
  </si>
  <si>
    <t>Bunnings Perth (Waleed)</t>
  </si>
  <si>
    <t xml:space="preserve">Mega Top </t>
  </si>
  <si>
    <t>Paid on 01/09/2025</t>
  </si>
  <si>
    <t>Delivered Megatop</t>
  </si>
  <si>
    <t>Deliverd CT Freight Melbourne</t>
  </si>
  <si>
    <t>Shipped 03/09/2025</t>
  </si>
  <si>
    <t>Shipping Charges Australia Paid</t>
  </si>
  <si>
    <t>Previous Balance cleared</t>
  </si>
  <si>
    <t>Delivered CT Freight Melbourne</t>
  </si>
  <si>
    <t xml:space="preserve">Mavic 4 Pro RC </t>
  </si>
  <si>
    <t>Only $738 Deposit Paid</t>
  </si>
  <si>
    <t>Pending stock</t>
  </si>
  <si>
    <t>Shipping Charges</t>
  </si>
  <si>
    <t>CT Freight NZ</t>
  </si>
  <si>
    <t>Collected 22/08/202</t>
  </si>
  <si>
    <t>Bunnings Multiple Stores</t>
  </si>
  <si>
    <t>DJI mini 4K</t>
  </si>
  <si>
    <t>$5000 Deposit Paid/ Pending Collection</t>
  </si>
  <si>
    <t>Good Guys Online</t>
  </si>
  <si>
    <t>Ninja Slushi</t>
  </si>
  <si>
    <t>Ninja Delux Creami</t>
  </si>
  <si>
    <t>Collected 04/09/2025</t>
  </si>
  <si>
    <t>1 Pending collected 07/09/2025</t>
  </si>
  <si>
    <t>DJI Mini 4 Pro  DJI RC 2</t>
  </si>
  <si>
    <t>DJI Mavic 4 Pro Fly More Combo</t>
  </si>
  <si>
    <t>DJI Mini 4 Pro Fly More Combo 35 MIN</t>
  </si>
  <si>
    <t>DJI Mini 4 Pro Fly More Combo 45 MIN</t>
  </si>
  <si>
    <t>Collected 10/09/2025</t>
  </si>
  <si>
    <t>Collected 11/09/2025</t>
  </si>
  <si>
    <t>Ninja Blender</t>
  </si>
  <si>
    <t>Canon IXUS 285</t>
  </si>
  <si>
    <t>DJI Mavic 4 Pro RC</t>
  </si>
  <si>
    <t>DJI mini 4K Fly more combo</t>
  </si>
  <si>
    <t>Updated on 10/09/2025</t>
  </si>
  <si>
    <t>Comments</t>
  </si>
  <si>
    <t>Updated 11/09/2025</t>
  </si>
  <si>
    <t>Updated 10/09/2025</t>
  </si>
  <si>
    <t>Ref: 22/07/2025</t>
  </si>
  <si>
    <t>Deposit Only 10/09/2025</t>
  </si>
  <si>
    <t>Shipped 11/09/2025</t>
  </si>
  <si>
    <t>Apple Store Charlestown</t>
  </si>
  <si>
    <t>Iphone 17 Pro Max 512 GB Orange</t>
  </si>
  <si>
    <t>Apple store (Bondi, Sydney, Hornsby)</t>
  </si>
  <si>
    <t xml:space="preserve">Iphone 17 Pro Max 256 GB </t>
  </si>
  <si>
    <t>Apple Store</t>
  </si>
  <si>
    <t>Iphone Collection Expense</t>
  </si>
  <si>
    <t>Omar Khan</t>
  </si>
  <si>
    <t>Collected 19/09/2025</t>
  </si>
  <si>
    <t>At Logistics</t>
  </si>
  <si>
    <t>Delivered to Abdul NZ</t>
  </si>
  <si>
    <t>Mark III Silver</t>
  </si>
  <si>
    <t>Photo Gear</t>
  </si>
  <si>
    <t>Mark III Black</t>
  </si>
  <si>
    <t>DJI mini 5 pro fly more combo 52 min</t>
  </si>
  <si>
    <t>Collected 25/09/2025</t>
  </si>
  <si>
    <t>DJI Mavic 4 Pro Fly More Combo 512</t>
  </si>
  <si>
    <t>Osmo Pocket 3 creator combo</t>
  </si>
  <si>
    <t>DJI Mini 4 Pro RC2</t>
  </si>
  <si>
    <t>DJI Mini 4 Pro Fly More Combo RC2 34min</t>
  </si>
  <si>
    <t>4 Collected 1 pending 25/09/2025</t>
  </si>
  <si>
    <t xml:space="preserve">25_17 pm 256 blue </t>
  </si>
  <si>
    <t xml:space="preserve">8-17 pm 256 orange </t>
  </si>
  <si>
    <t>2-17 pro 256 orange</t>
  </si>
  <si>
    <t>Iphone 17 pro max Blue 256</t>
  </si>
  <si>
    <t xml:space="preserve">Apple Online </t>
  </si>
  <si>
    <t>Collected 26/09/2025</t>
  </si>
  <si>
    <t>Iphone 17 pro max Orange 256</t>
  </si>
  <si>
    <t>Iphone 17 pro  Orange 256</t>
  </si>
  <si>
    <t>Tipu Canada Card Collected</t>
  </si>
  <si>
    <t>Tipu Canada card Collected</t>
  </si>
  <si>
    <t>Tipu Canada Card Collected 26/09/2025</t>
  </si>
  <si>
    <t>Apple Online Sydney</t>
  </si>
  <si>
    <t>Apple Hornsby</t>
  </si>
  <si>
    <t>Deposit Only 10/09/2025 Pending stock</t>
  </si>
  <si>
    <t>1 Short Refund</t>
  </si>
  <si>
    <t xml:space="preserve">Refund </t>
  </si>
  <si>
    <t xml:space="preserve">Meta Glasses </t>
  </si>
  <si>
    <t>Sunglass Hut</t>
  </si>
  <si>
    <t>Bunnings East Packenham</t>
  </si>
  <si>
    <t>Shipped 21/10/2025</t>
  </si>
  <si>
    <t>Digi Direcr Parramatta</t>
  </si>
  <si>
    <t xml:space="preserve">G7X mark III Silver </t>
  </si>
  <si>
    <t>17 pro max 1TB Orange</t>
  </si>
  <si>
    <t>17 Pro max 512 Orange</t>
  </si>
  <si>
    <t>17 Pro max 256 Orange</t>
  </si>
  <si>
    <t>Charlestown</t>
  </si>
  <si>
    <t>Bondi</t>
  </si>
  <si>
    <t>Castletower</t>
  </si>
  <si>
    <t>JBHIFI in store</t>
  </si>
  <si>
    <t>Collected 22/10</t>
  </si>
  <si>
    <t>Collected 21/10</t>
  </si>
  <si>
    <t>Shipping charges Paid</t>
  </si>
  <si>
    <t>Paid</t>
  </si>
  <si>
    <t>Updated 20/10/2025</t>
  </si>
  <si>
    <t xml:space="preserve">Delivered in dubai </t>
  </si>
  <si>
    <t>Updated 21/10/2025</t>
  </si>
  <si>
    <t>Original purchase</t>
  </si>
  <si>
    <t xml:space="preserve">Megatop </t>
  </si>
  <si>
    <t>Camera Warehouse Drummyone</t>
  </si>
  <si>
    <t>Cancelled 24/10/2025</t>
  </si>
  <si>
    <t>Collected 23/10/2025</t>
  </si>
  <si>
    <t>Delivered 23/10/2025</t>
  </si>
  <si>
    <t>Shipping</t>
  </si>
  <si>
    <t>Shipped 24/10/2025</t>
  </si>
  <si>
    <t>Pending Refund</t>
  </si>
  <si>
    <t>Photo Warehouse</t>
  </si>
  <si>
    <t>Abdul Khan NZ</t>
  </si>
  <si>
    <t>SOR061988</t>
  </si>
  <si>
    <t>Nazia Khan NZ</t>
  </si>
  <si>
    <t>G7X Mark III Black</t>
  </si>
  <si>
    <t>Refund Received</t>
  </si>
  <si>
    <t>Good Guys Castle Hill</t>
  </si>
  <si>
    <t>JBL Charge 6 Black</t>
  </si>
  <si>
    <t>JBL Charge 6 Blue</t>
  </si>
  <si>
    <t>Collected 30-10</t>
  </si>
  <si>
    <t>DJI mini 5 Pro FMC 52 Min</t>
  </si>
  <si>
    <t>Osmo Pocket 3 Creator combos Active</t>
  </si>
  <si>
    <t>Mic 3 Combo</t>
  </si>
  <si>
    <t>Collected 03-11</t>
  </si>
  <si>
    <t>Collected 02-11</t>
  </si>
  <si>
    <t>Sum of Price</t>
  </si>
  <si>
    <t>JBL Cherge 6</t>
  </si>
  <si>
    <t>Flip 2</t>
  </si>
  <si>
    <t>Mavic 4 FMC</t>
  </si>
  <si>
    <t>Old Deposit</t>
  </si>
  <si>
    <t>Old Purchasing</t>
  </si>
  <si>
    <t>Collected 04-11</t>
  </si>
  <si>
    <t>DJI Mavic 4 pro</t>
  </si>
  <si>
    <t>DJI Mavic 4 pro FMC  512</t>
  </si>
  <si>
    <t>DJI Mavic 4 pro FMC</t>
  </si>
  <si>
    <t>DJI Mini 5 FMC</t>
  </si>
  <si>
    <t>DJI Mic 3</t>
  </si>
  <si>
    <t>Sydney Shipment Items 05Th NOV 25</t>
  </si>
  <si>
    <t>Flip Essentials</t>
  </si>
  <si>
    <t>Starlink Standard Kit</t>
  </si>
  <si>
    <t>Bunnings Rydalmere</t>
  </si>
  <si>
    <t>Camera Commision</t>
  </si>
  <si>
    <t xml:space="preserve">Abdul Khan </t>
  </si>
  <si>
    <t>Mavic 4 (DJI RC2)</t>
  </si>
  <si>
    <t>Mavic 4 pro Fly more combo (DJI RC2)</t>
  </si>
  <si>
    <t>DJI Mini 5 Pro Fly More Combo (DJI RC2)</t>
  </si>
  <si>
    <t>DJI Mini 5 Pro Fly More Combo Plus (DJI RC2)</t>
  </si>
  <si>
    <t>Google pixel pro 128</t>
  </si>
  <si>
    <t>Google pixel pro 256</t>
  </si>
  <si>
    <t>Officeworks Castle Hills</t>
  </si>
  <si>
    <t>Officeworks Wentworthville</t>
  </si>
  <si>
    <t>Officeworks Wetherhill park</t>
  </si>
  <si>
    <t>Harvey Norman Fyshwick</t>
  </si>
  <si>
    <t>Mark IIISilver</t>
  </si>
  <si>
    <t>Collected 11 NOV</t>
  </si>
  <si>
    <t>DJI Mavic 4 standard</t>
  </si>
  <si>
    <t>DJI Mavic 4 FMC RC2</t>
  </si>
  <si>
    <t>Collected 17-11</t>
  </si>
  <si>
    <t>Collected 15-11</t>
  </si>
  <si>
    <t>ASIC</t>
  </si>
  <si>
    <t>Company registration renew  Fee</t>
  </si>
  <si>
    <t>Megatop</t>
  </si>
  <si>
    <t xml:space="preserve">Meta Quest 3s 256 </t>
  </si>
  <si>
    <t>JBHIFI Roselands</t>
  </si>
  <si>
    <t>Collected/ 2 shipped</t>
  </si>
  <si>
    <t>Shipped 05-11</t>
  </si>
  <si>
    <t>DJI Mic 3 Combo</t>
  </si>
  <si>
    <t>Sydney Shipment</t>
  </si>
  <si>
    <t>Osmo Pocket Standard</t>
  </si>
  <si>
    <t>Collected Parramatta</t>
  </si>
  <si>
    <t>Osmo Pocket 3  Creator Combo Active</t>
  </si>
  <si>
    <t>Osmo Pocket 3 Creator Combo</t>
  </si>
  <si>
    <t>JBL Charge 6</t>
  </si>
  <si>
    <t>Ninetendo Switch 2 Bundle</t>
  </si>
  <si>
    <t>Collected 20-11</t>
  </si>
  <si>
    <t>Delivered 20-11</t>
  </si>
  <si>
    <t>Good Guys Wetherhill Park</t>
  </si>
  <si>
    <t>Good Guys Casula</t>
  </si>
  <si>
    <t>Eb Games Parramatta</t>
  </si>
  <si>
    <t>Iphone17 pro max 256 Silver</t>
  </si>
  <si>
    <t>Iphone17 pro max 256 Orange</t>
  </si>
  <si>
    <t>DJI Osmo Pocket 3 standrad</t>
  </si>
  <si>
    <t>DJI Mic Mini</t>
  </si>
  <si>
    <t>Bunnings(Mix old P)</t>
  </si>
  <si>
    <t>Colected 21-11</t>
  </si>
  <si>
    <t>JBHIFI Hurstville</t>
  </si>
  <si>
    <t>PS5 Disk Bundle NBA</t>
  </si>
  <si>
    <t>Ebgames Online</t>
  </si>
  <si>
    <t xml:space="preserve">PS5 Disk Bundle </t>
  </si>
  <si>
    <t>Ebgames Parramatta</t>
  </si>
  <si>
    <t>Collected 21-11</t>
  </si>
  <si>
    <t>PS5 Digital</t>
  </si>
  <si>
    <t>PS5 Disc</t>
  </si>
  <si>
    <t>Pending Collection Auburn</t>
  </si>
  <si>
    <t>Delivered 21-11</t>
  </si>
  <si>
    <t>TBC</t>
  </si>
  <si>
    <t xml:space="preserve">PS5Disc </t>
  </si>
  <si>
    <t>PS5Digital</t>
  </si>
  <si>
    <t xml:space="preserve">JBL Charge 6 </t>
  </si>
  <si>
    <t xml:space="preserve">Osmo Pocket 3 Creator Combo </t>
  </si>
  <si>
    <t>Google pixel 10 pro 128</t>
  </si>
  <si>
    <t>Google pixel 10 pro 256</t>
  </si>
  <si>
    <t>Google pixel 8 pro 128</t>
  </si>
  <si>
    <t>Colledted 20-11</t>
  </si>
  <si>
    <t>Delivered 24-11</t>
  </si>
  <si>
    <t>Delivered 22-11</t>
  </si>
  <si>
    <t>Bunnings Leppington</t>
  </si>
  <si>
    <t>Bunnings Bankstown</t>
  </si>
  <si>
    <t>Bunnings Hoxton park</t>
  </si>
  <si>
    <t>Bunnings North Penrith</t>
  </si>
  <si>
    <t>Bunnings Penrith</t>
  </si>
  <si>
    <t>Active units</t>
  </si>
  <si>
    <t>Van Hire 11+ Petrol</t>
  </si>
  <si>
    <t>Anis Rental</t>
  </si>
  <si>
    <t>w</t>
  </si>
  <si>
    <t>Bunnings Packenham</t>
  </si>
  <si>
    <t>Delivery Expense</t>
  </si>
  <si>
    <t>Collected 29-11</t>
  </si>
  <si>
    <t>Pending Collection Macarthur Square</t>
  </si>
  <si>
    <t>JBL Chare 6</t>
  </si>
  <si>
    <t>Ebgames Macuarie Park</t>
  </si>
  <si>
    <t>Mic Mini</t>
  </si>
  <si>
    <t>Ray Ban Meta Wayfarer Gen 1</t>
  </si>
  <si>
    <t>Office Works Guildford</t>
  </si>
  <si>
    <t>Bunnings Villawood</t>
  </si>
  <si>
    <t>Pending Collection TBC</t>
  </si>
  <si>
    <t>Delivered 28-11</t>
  </si>
  <si>
    <t>Pending Collection Whetherill Park</t>
  </si>
  <si>
    <t>Pending Collection Casula</t>
  </si>
  <si>
    <t>Pending Collection Campbelltown</t>
  </si>
  <si>
    <t>(All)</t>
  </si>
  <si>
    <t>Pending Collection Auburn Officeworks</t>
  </si>
  <si>
    <t>Pending Collection Wetherill Park</t>
  </si>
  <si>
    <t>$1000 Deposit Only</t>
  </si>
  <si>
    <t>Bunnings Campbelltown</t>
  </si>
  <si>
    <t>Bunnings Gregory Hills</t>
  </si>
  <si>
    <t>JBHIFI Macarthure Square</t>
  </si>
  <si>
    <t>Meta Wayfarer Gen 1 Glasses</t>
  </si>
  <si>
    <t>Office Works Gledswood</t>
  </si>
  <si>
    <t>Office Works Casula</t>
  </si>
  <si>
    <t>22 Units Collected 30-11</t>
  </si>
  <si>
    <t>1 unit to be refund</t>
  </si>
  <si>
    <t>Good Guys Wetherill Park</t>
  </si>
  <si>
    <t>1 unit refund</t>
  </si>
  <si>
    <t>Campbelltown (7 Units Collected)</t>
  </si>
  <si>
    <t>Casula (Colledted 30-11)</t>
  </si>
  <si>
    <t>Macarthur Square (Collected 30-11)</t>
  </si>
  <si>
    <t>Unit</t>
  </si>
  <si>
    <t>Amount</t>
  </si>
  <si>
    <t>Collected Perth Waleed</t>
  </si>
  <si>
    <t>Perth Waleed</t>
  </si>
  <si>
    <t>Collection Commision</t>
  </si>
  <si>
    <t>Waleed</t>
  </si>
  <si>
    <t>Perth Collection</t>
  </si>
  <si>
    <t>Megatop Shipping Charges</t>
  </si>
  <si>
    <t>BCF Wetherill Park</t>
  </si>
  <si>
    <t>Collected 01-12</t>
  </si>
  <si>
    <t>5 Units Collected 01-13</t>
  </si>
  <si>
    <t>2units  to be refund</t>
  </si>
  <si>
    <t>PS5 Slim Digital</t>
  </si>
  <si>
    <t>PS5 Slim Disc NBA</t>
  </si>
  <si>
    <t>PS5 Slim Digital 1TB</t>
  </si>
  <si>
    <t>Status</t>
  </si>
  <si>
    <t>Bunnings Perth</t>
  </si>
  <si>
    <t>Starlink</t>
  </si>
  <si>
    <t>Cancelled</t>
  </si>
  <si>
    <t>Collected 02-12</t>
  </si>
  <si>
    <t xml:space="preserve"> Auburn Collected 02-12</t>
  </si>
  <si>
    <t>BCF Auburn</t>
  </si>
  <si>
    <t>Office Works Wetherill park</t>
  </si>
  <si>
    <t>JBHIFI Parramatta Adil</t>
  </si>
  <si>
    <t>Delivered 02-12</t>
  </si>
  <si>
    <t>JBHIFI Homebush Adil</t>
  </si>
  <si>
    <t>BCF Adil</t>
  </si>
  <si>
    <t>Bunnings Castle Hills</t>
  </si>
  <si>
    <t>Collected 03-12</t>
  </si>
  <si>
    <t>PS5 DISC</t>
  </si>
  <si>
    <t>Wireless Controller</t>
  </si>
  <si>
    <t>Astrobot Games</t>
  </si>
  <si>
    <t>Mic 3</t>
  </si>
  <si>
    <t>Eb Games Hurstville</t>
  </si>
  <si>
    <t>To be adjusted 467</t>
  </si>
  <si>
    <t>Officeworks Hurstville</t>
  </si>
  <si>
    <t>JBHIFI Homebush</t>
  </si>
  <si>
    <t>BCF</t>
  </si>
  <si>
    <t>Officeworks</t>
  </si>
  <si>
    <t>JBHIFI</t>
  </si>
  <si>
    <t>P</t>
  </si>
  <si>
    <t>Officeworks Auburn</t>
  </si>
  <si>
    <t>Gift Card</t>
  </si>
  <si>
    <t>Value</t>
  </si>
  <si>
    <t>Use Store</t>
  </si>
  <si>
    <t>Balance</t>
  </si>
  <si>
    <t>Purchase Store</t>
  </si>
  <si>
    <t>Officeworks Northmead</t>
  </si>
  <si>
    <t>Officeworks Wentwortville</t>
  </si>
  <si>
    <t>Mini Film 20PK</t>
  </si>
  <si>
    <t xml:space="preserve">Delivery </t>
  </si>
  <si>
    <t>Cancelled Pending Refund</t>
  </si>
  <si>
    <t>Dubai</t>
  </si>
  <si>
    <t>Collected 09-12</t>
  </si>
  <si>
    <t>Collected 04th Dec</t>
  </si>
  <si>
    <t>Bunnings Hawthorn</t>
  </si>
  <si>
    <t>Officeworks West Ryde</t>
  </si>
  <si>
    <t>Van Hire + Petrol</t>
  </si>
  <si>
    <t>Collected 08-12</t>
  </si>
  <si>
    <t>$1000 Deposit Only 120 units</t>
  </si>
  <si>
    <t>Iphone 17 pro max 256</t>
  </si>
  <si>
    <t>Pending Collection Top Ryde</t>
  </si>
  <si>
    <t>Officeworks Belrose</t>
  </si>
  <si>
    <t>Officeworks North Ryde</t>
  </si>
  <si>
    <t>Collected North Ryde</t>
  </si>
  <si>
    <t>DJI mini 5 pro combo plus</t>
  </si>
  <si>
    <t>DJI Northmead</t>
  </si>
  <si>
    <t>Bunnings Belrose</t>
  </si>
  <si>
    <t xml:space="preserve">JBHIFI Macquarie </t>
  </si>
  <si>
    <t>JBHIFI Belrose</t>
  </si>
  <si>
    <t>Collected Macquarie Park 07-12</t>
  </si>
  <si>
    <t>Ps5 Digital</t>
  </si>
  <si>
    <t xml:space="preserve">Collected Homebush </t>
  </si>
  <si>
    <t>+</t>
  </si>
  <si>
    <t>Bunnings</t>
  </si>
  <si>
    <t xml:space="preserve">56 units breakdown </t>
  </si>
  <si>
    <t>54*15</t>
  </si>
  <si>
    <t>2*30</t>
  </si>
  <si>
    <t>Total $870</t>
  </si>
  <si>
    <t>Previous 6 units+ other items</t>
  </si>
  <si>
    <t>Grand total = $1020</t>
  </si>
  <si>
    <t>paid 07/12</t>
  </si>
  <si>
    <t>Collected 10-12</t>
  </si>
  <si>
    <t>Multiple Stores Adil</t>
  </si>
  <si>
    <t>Delivered 07-12</t>
  </si>
  <si>
    <t>Adil Bhai</t>
  </si>
  <si>
    <t>Cash Paid</t>
  </si>
  <si>
    <t>Delivered 12-12</t>
  </si>
  <si>
    <t>CT Freight M</t>
  </si>
  <si>
    <t>Pending Collection Mt Druitt</t>
  </si>
  <si>
    <t>Collected Burwood</t>
  </si>
  <si>
    <t>DJI Mavic 4 RC2 Standard</t>
  </si>
  <si>
    <t>DJI Macquarie</t>
  </si>
  <si>
    <t>Bunnings East Pakenham</t>
  </si>
  <si>
    <t>Acer A7 Laptop</t>
  </si>
  <si>
    <t>Collected 14-12</t>
  </si>
  <si>
    <t>Collected 13-12</t>
  </si>
  <si>
    <t>Delivered 14-12</t>
  </si>
  <si>
    <t>Bunnings  Bankstown</t>
  </si>
  <si>
    <t>Sx740</t>
  </si>
  <si>
    <t>Commision</t>
  </si>
  <si>
    <t>Collected 15-12</t>
  </si>
  <si>
    <t>DJI mavic 4 pro fly more combo</t>
  </si>
  <si>
    <t>Delivered 15-12</t>
  </si>
  <si>
    <t>DJI Mini 4</t>
  </si>
  <si>
    <t>Bunnings Maribyrnong</t>
  </si>
  <si>
    <t>Bunnings Epping</t>
  </si>
  <si>
    <t>Bunnings Sevenhills</t>
  </si>
  <si>
    <t xml:space="preserve">$1000 Deposit Only </t>
  </si>
  <si>
    <t>Bunnings Sunshine</t>
  </si>
  <si>
    <t>$1500 Deposit for 224 units</t>
  </si>
  <si>
    <t>PS5 Slims Digital Bundle</t>
  </si>
  <si>
    <t>Big W Winston hills</t>
  </si>
  <si>
    <t>Direct to boot</t>
  </si>
  <si>
    <t>Service Desk</t>
  </si>
  <si>
    <t>Big W Blacktown</t>
  </si>
  <si>
    <t>Collected 18-12</t>
  </si>
  <si>
    <t>$1500 Deposit for 60 units</t>
  </si>
  <si>
    <t>Bunnings Footrscray</t>
  </si>
  <si>
    <t>500 Deposit 40units</t>
  </si>
  <si>
    <t>Pending Confirmation</t>
  </si>
  <si>
    <t xml:space="preserve">PS5 Slims Digital </t>
  </si>
  <si>
    <t>Eb games Parramatta</t>
  </si>
  <si>
    <t>Eb games Merrylands</t>
  </si>
  <si>
    <t>PS5 Slims Disc Bundle</t>
  </si>
  <si>
    <t>PS5 Slim Digital Bundle</t>
  </si>
  <si>
    <t>Pocket 3 Creator combo</t>
  </si>
  <si>
    <t>Mavic 4 pro Standard</t>
  </si>
  <si>
    <t>Mavic 4 pro fly more combo 42 min</t>
  </si>
  <si>
    <t>Starlink Commission</t>
  </si>
  <si>
    <t>Collcted 19-12</t>
  </si>
  <si>
    <t>Order Cancelled Pending Refund</t>
  </si>
  <si>
    <t>Delivered 18-12</t>
  </si>
  <si>
    <t>30 Starlink</t>
  </si>
  <si>
    <t>Collected 20-12</t>
  </si>
  <si>
    <t>Delivered 20-12</t>
  </si>
  <si>
    <t>Canon IXUS285</t>
  </si>
  <si>
    <t>Big W Macquarie</t>
  </si>
  <si>
    <t>PS5 VR2</t>
  </si>
  <si>
    <t>Multiple Stores Adil Bhai</t>
  </si>
  <si>
    <t>Received 20-12</t>
  </si>
  <si>
    <t>Price Check</t>
  </si>
  <si>
    <t>Collected 21-12</t>
  </si>
  <si>
    <t>Order Cancelled 21-12</t>
  </si>
  <si>
    <t>Big W Wetherill Park</t>
  </si>
  <si>
    <t>Big W Bankstown</t>
  </si>
  <si>
    <t>Big W Bonnyrigg</t>
  </si>
  <si>
    <t>Big W Liverpool</t>
  </si>
  <si>
    <t>1 pending Refund</t>
  </si>
  <si>
    <t xml:space="preserve">1 Collected </t>
  </si>
  <si>
    <t>JBHIFI Wetherill Park</t>
  </si>
  <si>
    <t>JBHIFI Liverpool</t>
  </si>
  <si>
    <t>Collected 22-12</t>
  </si>
  <si>
    <t>Melbourne Trip Expense</t>
  </si>
  <si>
    <t>Ticket+Car+Delivery+Hotel+Food</t>
  </si>
  <si>
    <t>Sydney Van Hire</t>
  </si>
  <si>
    <t>Big W Campsie</t>
  </si>
  <si>
    <t>Big W North Ryde</t>
  </si>
  <si>
    <t>Collected 23-12</t>
  </si>
  <si>
    <t>G7XMark III black</t>
  </si>
  <si>
    <t>DJI Mavic 4 Pro Creator Combo (512GB)</t>
  </si>
  <si>
    <t xml:space="preserve">DJI Mavic 4 Pro </t>
  </si>
  <si>
    <t>DJI mini 5 Pro Combo plus</t>
  </si>
  <si>
    <t>DJI mini 5 Pro Combo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</si>
</sst>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;[Red]\-&quot;$&quot;#,##0"/>
    <numFmt numFmtId="165" formatCode="&quot;$&quot;#,##0.00"/>
    <numFmt numFmtId="166" formatCode="&quot;$&quot;#,##0"/>
    <numFmt numFmtId="167" formatCode="[$-C09]dd\-mmm\-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EE0000"/>
      <name val="Calibri"/>
      <family val="2"/>
      <scheme val="minor"/>
    </font>
    <font>
      <i/>
      <sz val="10"/>
      <color rgb="FF212529"/>
      <name val="Arial"/>
      <family val="2"/>
    </font>
    <font>
      <sz val="8"/>
      <color theme="1"/>
      <name val="Courier New"/>
      <family val="3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1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14" fontId="0" fillId="0" borderId="1" xfId="0" applyNumberFormat="1" applyBorder="1"/>
    <xf numFmtId="165" fontId="1" fillId="0" borderId="1" xfId="0" applyNumberFormat="1" applyFont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1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4" fontId="2" fillId="0" borderId="0" xfId="0" applyNumberFormat="1" applyFont="1"/>
    <xf numFmtId="0" fontId="2" fillId="2" borderId="1" xfId="0" applyFont="1" applyFill="1" applyBorder="1"/>
    <xf numFmtId="14" fontId="2" fillId="0" borderId="1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0" fontId="2" fillId="0" borderId="0" xfId="0" applyFont="1"/>
    <xf numFmtId="164" fontId="0" fillId="0" borderId="1" xfId="0" applyNumberFormat="1" applyBorder="1"/>
    <xf numFmtId="0" fontId="0" fillId="0" borderId="2" xfId="0" applyBorder="1"/>
    <xf numFmtId="165" fontId="0" fillId="0" borderId="2" xfId="0" applyNumberFormat="1" applyBorder="1"/>
    <xf numFmtId="0" fontId="0" fillId="0" borderId="3" xfId="0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4" xfId="0" pivotButton="1" applyBorder="1"/>
    <xf numFmtId="0" fontId="0" fillId="0" borderId="6" xfId="0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14" fontId="0" fillId="4" borderId="1" xfId="0" applyNumberFormat="1" applyFill="1" applyBorder="1"/>
    <xf numFmtId="0" fontId="0" fillId="4" borderId="1" xfId="0" applyFill="1" applyBorder="1"/>
    <xf numFmtId="165" fontId="0" fillId="4" borderId="1" xfId="0" applyNumberFormat="1" applyFill="1" applyBorder="1"/>
    <xf numFmtId="0" fontId="4" fillId="0" borderId="1" xfId="0" applyFont="1" applyBorder="1"/>
    <xf numFmtId="14" fontId="0" fillId="5" borderId="0" xfId="0" applyNumberFormat="1" applyFill="1"/>
    <xf numFmtId="0" fontId="0" fillId="5" borderId="2" xfId="0" applyFill="1" applyBorder="1"/>
    <xf numFmtId="165" fontId="0" fillId="5" borderId="2" xfId="0" applyNumberFormat="1" applyFill="1" applyBorder="1"/>
    <xf numFmtId="0" fontId="0" fillId="5" borderId="1" xfId="0" applyFill="1" applyBorder="1"/>
    <xf numFmtId="0" fontId="0" fillId="5" borderId="0" xfId="0" applyFill="1"/>
    <xf numFmtId="165" fontId="0" fillId="3" borderId="1" xfId="0" applyNumberFormat="1" applyFill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14" fontId="1" fillId="0" borderId="1" xfId="0" applyNumberFormat="1" applyFont="1" applyBorder="1"/>
    <xf numFmtId="4" fontId="0" fillId="0" borderId="0" xfId="0" applyNumberFormat="1"/>
    <xf numFmtId="0" fontId="1" fillId="0" borderId="2" xfId="0" applyFont="1" applyBorder="1" applyAlignment="1">
      <alignment horizontal="center"/>
    </xf>
    <xf numFmtId="14" fontId="0" fillId="2" borderId="1" xfId="0" applyNumberFormat="1" applyFill="1" applyBorder="1"/>
    <xf numFmtId="165" fontId="0" fillId="2" borderId="1" xfId="0" applyNumberFormat="1" applyFill="1" applyBorder="1"/>
    <xf numFmtId="164" fontId="0" fillId="0" borderId="0" xfId="0" applyNumberFormat="1"/>
    <xf numFmtId="0" fontId="1" fillId="6" borderId="11" xfId="0" applyFont="1" applyFill="1" applyBorder="1"/>
    <xf numFmtId="0" fontId="1" fillId="6" borderId="12" xfId="0" applyFont="1" applyFill="1" applyBorder="1" applyAlignment="1">
      <alignment horizontal="left"/>
    </xf>
    <xf numFmtId="0" fontId="1" fillId="6" borderId="12" xfId="0" applyFont="1" applyFill="1" applyBorder="1"/>
    <xf numFmtId="14" fontId="4" fillId="0" borderId="1" xfId="0" applyNumberFormat="1" applyFont="1" applyBorder="1"/>
    <xf numFmtId="165" fontId="4" fillId="0" borderId="1" xfId="0" applyNumberFormat="1" applyFont="1" applyBorder="1"/>
    <xf numFmtId="14" fontId="5" fillId="0" borderId="1" xfId="0" applyNumberFormat="1" applyFont="1" applyBorder="1"/>
    <xf numFmtId="0" fontId="5" fillId="0" borderId="1" xfId="0" applyFont="1" applyBorder="1"/>
    <xf numFmtId="165" fontId="5" fillId="0" borderId="1" xfId="0" applyNumberFormat="1" applyFont="1" applyBorder="1"/>
    <xf numFmtId="165" fontId="0" fillId="0" borderId="0" xfId="0" applyNumberFormat="1"/>
    <xf numFmtId="0" fontId="1" fillId="0" borderId="13" xfId="0" applyFont="1" applyBorder="1" applyAlignment="1">
      <alignment horizontal="center"/>
    </xf>
    <xf numFmtId="14" fontId="2" fillId="2" borderId="1" xfId="0" applyNumberFormat="1" applyFont="1" applyFill="1" applyBorder="1"/>
    <xf numFmtId="165" fontId="2" fillId="2" borderId="1" xfId="0" applyNumberFormat="1" applyFont="1" applyFill="1" applyBorder="1"/>
    <xf numFmtId="0" fontId="0" fillId="7" borderId="1" xfId="0" applyFill="1" applyBorder="1"/>
    <xf numFmtId="166" fontId="0" fillId="0" borderId="1" xfId="0" applyNumberFormat="1" applyBorder="1"/>
    <xf numFmtId="166" fontId="0" fillId="2" borderId="1" xfId="0" applyNumberFormat="1" applyFill="1" applyBorder="1"/>
    <xf numFmtId="166" fontId="0" fillId="2" borderId="1" xfId="0" applyNumberFormat="1" applyFill="1" applyBorder="1" applyAlignment="1">
      <alignment vertical="center"/>
    </xf>
    <xf numFmtId="16" fontId="0" fillId="0" borderId="1" xfId="0" applyNumberFormat="1" applyBorder="1"/>
    <xf numFmtId="166" fontId="2" fillId="2" borderId="1" xfId="0" applyNumberFormat="1" applyFont="1" applyFill="1" applyBorder="1" applyAlignment="1">
      <alignment vertical="center"/>
    </xf>
    <xf numFmtId="166" fontId="2" fillId="2" borderId="1" xfId="0" applyNumberFormat="1" applyFont="1" applyFill="1" applyBorder="1"/>
    <xf numFmtId="0" fontId="0" fillId="7" borderId="2" xfId="0" applyFill="1" applyBorder="1"/>
    <xf numFmtId="0" fontId="6" fillId="0" borderId="0" xfId="0" applyFont="1" applyAlignment="1">
      <alignment vertical="center" wrapText="1"/>
    </xf>
    <xf numFmtId="166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 indent="1"/>
    </xf>
    <xf numFmtId="0" fontId="7" fillId="0" borderId="0" xfId="0" applyFont="1"/>
    <xf numFmtId="0" fontId="1" fillId="0" borderId="1" xfId="0" pivotButton="1" applyFont="1" applyBorder="1"/>
    <xf numFmtId="14" fontId="1" fillId="0" borderId="1" xfId="0" applyNumberFormat="1" applyFont="1" applyBorder="1" applyAlignment="1">
      <alignment horizontal="left"/>
    </xf>
    <xf numFmtId="167" fontId="0" fillId="0" borderId="1" xfId="0" applyNumberFormat="1" applyBorder="1"/>
    <xf numFmtId="16" fontId="0" fillId="0" borderId="0" xfId="0" applyNumberFormat="1"/>
    <xf numFmtId="16" fontId="0" fillId="2" borderId="1" xfId="0" applyNumberFormat="1" applyFill="1" applyBorder="1"/>
    <xf numFmtId="166" fontId="0" fillId="0" borderId="0" xfId="0" applyNumberFormat="1"/>
    <xf numFmtId="166" fontId="0" fillId="2" borderId="0" xfId="0" applyNumberFormat="1" applyFill="1"/>
    <xf numFmtId="16" fontId="2" fillId="0" borderId="1" xfId="0" applyNumberFormat="1" applyFont="1" applyBorder="1"/>
    <xf numFmtId="166" fontId="2" fillId="0" borderId="1" xfId="0" applyNumberFormat="1" applyFont="1" applyBorder="1"/>
    <xf numFmtId="0" fontId="0" fillId="0" borderId="2" xfId="0" applyFill="1" applyBorder="1"/>
    <xf numFmtId="166" fontId="1" fillId="0" borderId="1" xfId="0" applyNumberFormat="1" applyFont="1" applyBorder="1"/>
    <xf numFmtId="16" fontId="0" fillId="8" borderId="1" xfId="0" applyNumberFormat="1" applyFill="1" applyBorder="1"/>
    <xf numFmtId="0" fontId="0" fillId="8" borderId="1" xfId="0" applyFill="1" applyBorder="1"/>
    <xf numFmtId="166" fontId="0" fillId="8" borderId="1" xfId="0" applyNumberFormat="1" applyFill="1" applyBorder="1"/>
    <xf numFmtId="16" fontId="0" fillId="8" borderId="14" xfId="0" applyNumberFormat="1" applyFill="1" applyBorder="1"/>
    <xf numFmtId="0" fontId="0" fillId="8" borderId="14" xfId="0" applyFill="1" applyBorder="1"/>
    <xf numFmtId="166" fontId="0" fillId="8" borderId="14" xfId="0" applyNumberFormat="1" applyFill="1" applyBorder="1"/>
    <xf numFmtId="16" fontId="2" fillId="8" borderId="1" xfId="0" applyNumberFormat="1" applyFont="1" applyFill="1" applyBorder="1"/>
    <xf numFmtId="0" fontId="2" fillId="8" borderId="1" xfId="0" applyFont="1" applyFill="1" applyBorder="1"/>
    <xf numFmtId="166" fontId="2" fillId="8" borderId="1" xfId="0" applyNumberFormat="1" applyFont="1" applyFill="1" applyBorder="1"/>
    <xf numFmtId="16" fontId="0" fillId="9" borderId="1" xfId="0" applyNumberFormat="1" applyFill="1" applyBorder="1"/>
    <xf numFmtId="0" fontId="0" fillId="9" borderId="1" xfId="0" applyFill="1" applyBorder="1"/>
    <xf numFmtId="166" fontId="0" fillId="9" borderId="1" xfId="0" applyNumberFormat="1" applyFill="1" applyBorder="1"/>
    <xf numFmtId="16" fontId="0" fillId="10" borderId="1" xfId="0" applyNumberFormat="1" applyFill="1" applyBorder="1"/>
    <xf numFmtId="0" fontId="0" fillId="10" borderId="1" xfId="0" applyFill="1" applyBorder="1"/>
    <xf numFmtId="166" fontId="0" fillId="10" borderId="1" xfId="0" applyNumberFormat="1" applyFill="1" applyBorder="1"/>
    <xf numFmtId="16" fontId="0" fillId="10" borderId="3" xfId="0" applyNumberFormat="1" applyFill="1" applyBorder="1"/>
    <xf numFmtId="0" fontId="0" fillId="10" borderId="3" xfId="0" applyFill="1" applyBorder="1"/>
    <xf numFmtId="166" fontId="0" fillId="10" borderId="3" xfId="0" applyNumberFormat="1" applyFill="1" applyBorder="1"/>
    <xf numFmtId="165" fontId="0" fillId="10" borderId="1" xfId="0" applyNumberFormat="1" applyFill="1" applyBorder="1"/>
    <xf numFmtId="1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5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ivotCacheDefinition" Target="pivotCache/pivotCacheDefinition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pivotCacheDefinition" Target="pivotCache/pivotCacheDefinition6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pivotCacheDefinition" Target="pivotCache/pivotCacheDefinition1.xml"/><Relationship Id="rId40" Type="http://schemas.openxmlformats.org/officeDocument/2006/relationships/pivotCacheDefinition" Target="pivotCache/pivotCacheDefinition4.xml"/><Relationship Id="rId45" Type="http://schemas.openxmlformats.org/officeDocument/2006/relationships/pivotCacheDefinition" Target="pivotCache/pivotCacheDefinition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pivotCacheDefinition" Target="pivotCache/pivotCacheDefinition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pivotCacheDefinition" Target="pivotCache/pivotCacheDefinition7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pivotCacheDefinition" Target="pivotCache/pivotCacheDefinition2.xml"/><Relationship Id="rId46" Type="http://schemas.openxmlformats.org/officeDocument/2006/relationships/pivotCacheDefinition" Target="pivotCache/pivotCacheDefinition10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0.935911921297" createdVersion="8" refreshedVersion="8" minRefreshableVersion="3" recordCount="89" xr:uid="{E56D146B-893C-4692-9733-3923AF751B4C}">
  <cacheSource type="worksheet">
    <worksheetSource ref="A1:H1048576" sheet="April"/>
  </cacheSource>
  <cacheFields count="8">
    <cacheField name="Date" numFmtId="0">
      <sharedItems containsNonDate="0" containsDate="1" containsString="0" containsBlank="1" minDate="2025-04-01T00:00:00" maxDate="2025-04-14T00:00:00" count="12">
        <d v="2025-04-01T00:00:00"/>
        <d v="2025-04-02T00:00:00"/>
        <d v="2025-04-03T00:00:00"/>
        <d v="2025-04-04T00:00:00"/>
        <m/>
        <d v="2025-04-05T00:00:00"/>
        <d v="2025-04-08T00:00:00"/>
        <d v="2025-04-09T00:00:00"/>
        <d v="2025-04-10T00:00:00"/>
        <d v="2025-04-11T00:00:00"/>
        <d v="2025-04-12T00:00:00"/>
        <d v="2025-04-13T00:00:00"/>
      </sharedItems>
    </cacheField>
    <cacheField name="Qty" numFmtId="0">
      <sharedItems containsString="0" containsBlank="1" containsNumber="1" containsInteger="1" minValue="1" maxValue="20"/>
    </cacheField>
    <cacheField name="Items" numFmtId="0">
      <sharedItems containsBlank="1" count="53">
        <s v="Mac Book Air 13&quot; M4 24/512 Sky Blue"/>
        <s v="Mac Book Pro M4 14&quot; 16/1TB Space Black"/>
        <s v="Mac Book Pro M4 16/1TB Space Black"/>
        <s v="Mac Book Air 13&quot; M4 24/512 Space Black"/>
        <s v="Instax Mini 99 Bundle"/>
        <s v="PS5 Astrobot with CD game"/>
        <s v="Meta Quest 3 512"/>
        <s v="Norton Antivirus"/>
        <s v="JBHIFI Meta Quest "/>
        <s v="Packaging"/>
        <s v="Instax Mini 12"/>
        <s v="Mac Book Pro M4 14&quot; 16/512 Silver"/>
        <s v="Mac Book Air M4 13&quot; 24/512 Sky Blue"/>
        <s v="Mac Book Air 13&quot; M4 24/512 Midnight"/>
        <s v="PS5 Hard drive"/>
        <s v="Mac Book Air 15&quot; M4 24/512 Sky Blue"/>
        <s v="Mac Book Air M4 13 &quot; 24/512 Sky Blue"/>
        <s v="Mac Book Air M4 13&quot; 24/512 Midnight"/>
        <s v="Mac Book Air M3 15&quot;24/512 Starlight"/>
        <s v="Mac Book Air M3 15&quot;24/512 Silver"/>
        <s v="Mac Book Air  M3 15&quot; 24/512 Starlight"/>
        <s v="Mac Book Air M3 15&quot; 24/512 Midnight"/>
        <s v="Mac Book Air  M4 15&quot; 24/512 Sky Blue"/>
        <s v="Meta Quest 3S 128"/>
        <s v="Mac Book Air M4 15&quot; 24/512 Sky Blue"/>
        <s v="Mac Book Air  M4 15&quot; 24/512 Midnight"/>
        <s v="Macbook Air M4 13&quot; 24/512 Midnight"/>
        <s v="Macbook Air M4 13&quot; 24/512 Sky Blue"/>
        <s v="PS5 Astrobot Bundle No CD"/>
        <s v="Play Station Portal Black"/>
        <s v="Macbook Air M4 13&quot; 24/512 Silver"/>
        <s v="Macbook Air M4 15&quot; 24/512 Midnight"/>
        <s v="Macbook Air M4 15&quot; 24/512 Sky Blue"/>
        <s v="Instax Mini 40"/>
        <s v="Dragon Age Game CD"/>
        <s v="Macbook Air M4 15&quot; 24/512 Silver"/>
        <s v="DJI Osmo Pocket 3"/>
        <s v="Instax mini EVO"/>
        <s v="Instax Film 20 Pack"/>
        <s v="Macbook Air M3 13&quot; 24/512 Midnight"/>
        <s v="DJI Mavic Pro RC"/>
        <s v="DJI Mavic Pro RC Combo"/>
        <s v="Instax LiPlay Mix "/>
        <s v="Instax LiPlay Pink"/>
        <m/>
        <s v="Macbook Air M4 15&quot; 24/512 Sky" u="1"/>
        <s v="Mac Book Air 15&quot; M3 24/512 Starlight" u="1"/>
        <s v="Mac Book Air 15&quot; M3 24/512 Silver" u="1"/>
        <s v="Mac Book Air 15&quot; M3 24/512 Midnight" u="1"/>
        <s v="Mac Book Air 15&quot; 24/512 Sky Blue" u="1"/>
        <s v="Mac Book Air 15&quot; 24/512 Midnight" u="1"/>
        <s v="PS5 Astro Bot Bundle" u="1"/>
        <s v="PS5 Astro Bot Bundle With CD" u="1"/>
      </sharedItems>
    </cacheField>
    <cacheField name="Store" numFmtId="0">
      <sharedItems containsBlank="1"/>
    </cacheField>
    <cacheField name="Price" numFmtId="0">
      <sharedItems containsString="0" containsBlank="1" containsNumber="1" minValue="19" maxValue="3535"/>
    </cacheField>
    <cacheField name="Total" numFmtId="0">
      <sharedItems containsString="0" containsBlank="1" containsNumber="1" minValue="0" maxValue="34485"/>
    </cacheField>
    <cacheField name="status" numFmtId="0">
      <sharedItems containsBlank="1"/>
    </cacheField>
    <cacheField name="Collection Date" numFmtId="0">
      <sharedItems containsDate="1" containsBlank="1" containsMixedTypes="1" minDate="2025-04-02T00:00:00" maxDate="2025-04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5.002499768518" createdVersion="8" refreshedVersion="8" minRefreshableVersion="3" recordCount="44" xr:uid="{85A17209-09B1-4700-8385-A531484FAB42}">
  <cacheSource type="worksheet">
    <worksheetSource ref="A1:B1048576" sheet="Shipment"/>
  </cacheSource>
  <cacheFields count="2">
    <cacheField name="Qty" numFmtId="0">
      <sharedItems containsString="0" containsBlank="1" containsNumber="1" containsInteger="1" minValue="1" maxValue="33"/>
    </cacheField>
    <cacheField name="Description" numFmtId="0">
      <sharedItems containsBlank="1" containsMixedTypes="1" containsNumber="1" containsInteger="1" minValue="12" maxValue="12" count="25">
        <s v="Mac Book Air 13&quot; M4 24/512"/>
        <s v="Mac Book Air 15&quot; M4 24/512"/>
        <s v="Instax mini Evo"/>
        <s v="PS Portal "/>
        <s v="DJI"/>
        <s v="Mini 12"/>
        <s v="Mini 40"/>
        <s v="CD"/>
        <s v="Paper"/>
        <s v="Evo"/>
        <s v="Liplay"/>
        <s v="MCV64X"/>
        <s v="MC7D4X"/>
        <s v="Osmo Pocket"/>
        <s v="MC9K4X"/>
        <s v="Pro 15&quot; M4 16/512"/>
        <s v="MC9J4X"/>
        <s v="Meta Quest"/>
        <s v="DJI COMBO"/>
        <s v="MC6L4X"/>
        <s v="M4 PRO 24/512"/>
        <s v="MC9L4X"/>
        <s v="PS5"/>
        <m/>
        <n v="1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74.971201851855" createdVersion="8" refreshedVersion="8" minRefreshableVersion="3" recordCount="39" xr:uid="{33859011-C1BF-4934-80AA-D888C3CF48CE}">
  <cacheSource type="worksheet">
    <worksheetSource ref="A1:B1048576" sheet="Shipment 2904"/>
  </cacheSource>
  <cacheFields count="2">
    <cacheField name="Qty" numFmtId="0">
      <sharedItems containsString="0" containsBlank="1" containsNumber="1" containsInteger="1" minValue="1" maxValue="48"/>
    </cacheField>
    <cacheField name="Description" numFmtId="0">
      <sharedItems containsBlank="1" count="15">
        <s v="Mac Book Air 13&quot; M4 24/512"/>
        <s v="CD"/>
        <s v="PS5 Portal"/>
        <s v="Evo Camera"/>
        <s v="DJI mavic 3 RC Combo"/>
        <s v="DJI mavic 3 RC "/>
        <s v="Osmo Mobile 7P"/>
        <s v="Camera mini 12"/>
        <s v="Meta Glasses"/>
        <s v="Mac Book Air 15&quot; M4 24/512"/>
        <s v="Airpods 4 ANC"/>
        <s v="Liplay"/>
        <s v="Mini Link"/>
        <s v="Films Mix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6326967592" createdVersion="8" refreshedVersion="8" minRefreshableVersion="3" recordCount="12" xr:uid="{0E8D8428-3BF0-4872-B912-F036CF5D301C}">
  <cacheSource type="worksheet">
    <worksheetSource ref="B1:C1048576" sheet="NZ OCT"/>
  </cacheSource>
  <cacheFields count="2">
    <cacheField name="Qty" numFmtId="0">
      <sharedItems containsString="0" containsBlank="1" containsNumber="1" containsInteger="1" minValue="1" maxValue="10"/>
    </cacheField>
    <cacheField name="Descriptions" numFmtId="0">
      <sharedItems containsBlank="1" count="5">
        <s v="G7X Mark III Silver"/>
        <s v="Delivery"/>
        <s v="SX740"/>
        <s v="G7X Mark III Blac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7379050923" createdVersion="8" refreshedVersion="8" minRefreshableVersion="3" recordCount="12" xr:uid="{9C96B46B-6876-4B70-B448-E1C87E972CE9}">
  <cacheSource type="worksheet">
    <worksheetSource ref="B1:C1048576" sheet="NZ SEP"/>
  </cacheSource>
  <cacheFields count="2">
    <cacheField name="Qty" numFmtId="0">
      <sharedItems containsString="0" containsBlank="1" containsNumber="1" containsInteger="1" minValue="1" maxValue="400"/>
    </cacheField>
    <cacheField name="Descriptions" numFmtId="0">
      <sharedItems containsBlank="1" count="7">
        <s v="Instax mini EVO Black"/>
        <s v="Starlink V4"/>
        <s v="Delivery"/>
        <s v="Mark III Silver"/>
        <s v="Mark III Black"/>
        <s v="SX74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8790972224" createdVersion="8" refreshedVersion="8" minRefreshableVersion="3" recordCount="24" xr:uid="{C0FDE2A1-6F55-4C45-A9E4-81AE55E139A5}">
  <cacheSource type="worksheet">
    <worksheetSource ref="B1:C1048576" sheet="NZ Aug"/>
  </cacheSource>
  <cacheFields count="2">
    <cacheField name="Qty" numFmtId="0">
      <sharedItems containsString="0" containsBlank="1" containsNumber="1" containsInteger="1" minValue="1" maxValue="50"/>
    </cacheField>
    <cacheField name="Descriptions" numFmtId="0">
      <sharedItems containsBlank="1" count="9">
        <s v="Instax mini EVO Black"/>
        <s v="G7x Mark III Black"/>
        <s v="Starlink V4"/>
        <s v="NZ Trip Expense"/>
        <s v="Canon SX740"/>
        <s v="Instax mini EVO Brown"/>
        <s v="Delivery Cahrges"/>
        <s v="Shipping Charg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4.995956712963" createdVersion="8" refreshedVersion="8" minRefreshableVersion="3" recordCount="6" xr:uid="{C7084A55-F26C-4552-B04F-44E044E46EBD}">
  <cacheSource type="worksheet">
    <worksheetSource ref="B1:E1048576" sheet="Broadway DJI"/>
  </cacheSource>
  <cacheFields count="4">
    <cacheField name="Qty" numFmtId="0">
      <sharedItems containsString="0" containsBlank="1" containsNumber="1" containsInteger="1" minValue="3" maxValue="8" count="5">
        <n v="6"/>
        <n v="8"/>
        <n v="3"/>
        <n v="5"/>
        <m/>
      </sharedItems>
    </cacheField>
    <cacheField name="Items" numFmtId="0">
      <sharedItems containsBlank="1" count="5">
        <s v="Mavic 4 Pro combo"/>
        <s v="Mavic 4 Pro"/>
        <s v="Starlink V4"/>
        <s v="DJI Mavic 4 Pro Combo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274" maxValue="3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0.951439467593" createdVersion="8" refreshedVersion="8" minRefreshableVersion="3" recordCount="28" xr:uid="{A21EF4BF-D30D-49F1-98DA-59BE87326FDC}">
  <cacheSource type="worksheet">
    <worksheetSource ref="A1:G1048576" sheet="Sheet5"/>
  </cacheSource>
  <cacheFields count="7">
    <cacheField name="Date" numFmtId="0">
      <sharedItems containsNonDate="0" containsDate="1" containsString="0" containsBlank="1" minDate="2025-11-19T00:00:00" maxDate="2025-11-30T00:00:00"/>
    </cacheField>
    <cacheField name="Qty" numFmtId="0">
      <sharedItems containsString="0" containsBlank="1" containsNumber="1" containsInteger="1" minValue="1" maxValue="23"/>
    </cacheField>
    <cacheField name="Descriptions" numFmtId="0">
      <sharedItems containsBlank="1" count="11">
        <s v="JBL Charge 6"/>
        <s v="PS5 Disk Bundle NBA"/>
        <s v="PS5 Digital"/>
        <s v="PS5 Disc"/>
        <s v="PS5Disc "/>
        <s v="PS5Digital"/>
        <s v="Mic 3 Combo"/>
        <s v="JBL Chare 6"/>
        <s v="Ray Ban Meta Wayfarer Gen 1"/>
        <s v="Starlink Standard Kit"/>
        <m/>
      </sharedItems>
    </cacheField>
    <cacheField name="Store" numFmtId="0">
      <sharedItems containsBlank="1" count="9">
        <s v="Good Guys Auburn"/>
        <s v="Good Guys Wetherhill Park"/>
        <s v="Good Guys Casula"/>
        <s v="Ebgames Online"/>
        <s v="Good Guys "/>
        <s v="JBHIFI Parramatta"/>
        <s v="JBHIFI Top Ryde"/>
        <s v="Office Works Guildford"/>
        <m/>
      </sharedItems>
    </cacheField>
    <cacheField name="Price" numFmtId="0">
      <sharedItems containsString="0" containsBlank="1" containsNumber="1" containsInteger="1" minValue="125" maxValue="659"/>
    </cacheField>
    <cacheField name="Total" numFmtId="0">
      <sharedItems containsString="0" containsBlank="1" containsNumber="1" containsInteger="1" minValue="399" maxValue="4581"/>
    </cacheField>
    <cacheField name="status" numFmtId="0">
      <sharedItems containsBlank="1" count="14">
        <s v="Pending Collection Auburn"/>
        <s v="Pending Collection Wetherill Park"/>
        <s v="Pending Collection Casula"/>
        <s v="Pending Collection Broadway"/>
        <s v="Pending Collection Whetherill Park"/>
        <s v="Pending Collection Campbelltown"/>
        <s v="Pending Collection Macarthur Square"/>
        <s v="Pending Collection TBC"/>
        <s v="Pending Collection Merrylands"/>
        <s v="Pending Collection Parramatta"/>
        <s v="Pending Collection Auburn Officeworks"/>
        <m/>
        <s v="Pending Collection Wetherhill Park" u="1"/>
        <s v="Pending Collectio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771064813" createdVersion="8" refreshedVersion="8" minRefreshableVersion="3" recordCount="135" xr:uid="{08E1C40D-E075-41DE-AEEB-496187BE7156}">
  <cacheSource type="worksheet">
    <worksheetSource ref="A1:I1048576" sheet="AU NOV"/>
  </cacheSource>
  <cacheFields count="9">
    <cacheField name="Date" numFmtId="0">
      <sharedItems containsNonDate="0" containsDate="1" containsString="0" containsBlank="1" minDate="2025-11-02T00:00:00" maxDate="2025-12-01T00:00:00"/>
    </cacheField>
    <cacheField name="Qty" numFmtId="0">
      <sharedItems containsString="0" containsBlank="1" containsNumber="1" containsInteger="1" minValue="1" maxValue="50"/>
    </cacheField>
    <cacheField name="Descriptions" numFmtId="0">
      <sharedItems containsBlank="1" count="42">
        <s v="Mic 3 Combo"/>
        <s v="JBL Charge 6 "/>
        <s v="JBL Charge 6"/>
        <s v="Mini 4"/>
        <s v="Mavic 4 FMC"/>
        <s v="Flip Essentials"/>
        <s v="DJI Mic 3 Combo"/>
        <s v="Starlink Standard Kit"/>
        <s v="Google pixel 10 pro 128"/>
        <s v="Google pixel 10 pro 256"/>
        <s v="DJI mini 5 Pro FMC 52 Min"/>
        <s v="DJI Mavic 4 standard"/>
        <s v="DJI Mavic 4 FMC RC2"/>
        <s v="Google pixel 8 pro 128"/>
        <s v="Company registration renew  Fee"/>
        <s v="Shipping Charges"/>
        <s v="Meta Quest 3s 256 "/>
        <s v="Ninja Blender"/>
        <s v="Osmo Pocket 3 Creator Combo"/>
        <s v="Osmo Pocket Standard"/>
        <s v="Osmo Pocket 3  Creator Combo Active"/>
        <s v="Osmo Pocket 3 Creator Combo "/>
        <s v="Ninetendo Switch 2 Bundle"/>
        <s v="Iphone17 pro max 256 Silver"/>
        <s v="Iphone17 pro max 256 Orange"/>
        <s v="DJI Osmo Pocket 3 standrad"/>
        <s v="DJI Mic Mini"/>
        <s v="PS5 Disk Bundle NBA"/>
        <s v="PS5 Disk Bundle "/>
        <s v="PS5 Digital"/>
        <s v="PS5 Disc"/>
        <s v="PS5Disc "/>
        <s v="PS5Digital"/>
        <s v="Van Hire 11+ Petrol"/>
        <s v="Canon SX740"/>
        <s v="Delivery Expense"/>
        <s v="JBL Chare 6"/>
        <s v="Mic Mini"/>
        <s v="Ray Ban Meta Wayfarer Gen 1"/>
        <s v="Meta Wayfarer Gen 1 Glasses"/>
        <s v="Collection Commision"/>
        <m/>
      </sharedItems>
    </cacheField>
    <cacheField name="Store" numFmtId="0">
      <sharedItems containsBlank="1"/>
    </cacheField>
    <cacheField name="Price" numFmtId="165">
      <sharedItems containsBlank="1" containsMixedTypes="1" containsNumber="1" minValue="0" maxValue="10122.66"/>
    </cacheField>
    <cacheField name="Total" numFmtId="165">
      <sharedItems containsString="0" containsBlank="1" containsNumber="1" minValue="0" maxValue="40500"/>
    </cacheField>
    <cacheField name="status" numFmtId="0">
      <sharedItems containsBlank="1"/>
    </cacheField>
    <cacheField name="Shipped" numFmtId="0">
      <sharedItems containsNonDate="0" containsDate="1" containsString="0" containsBlank="1" minDate="2025-11-05T00:00:00" maxDate="2025-11-25T00:00:00"/>
    </cacheField>
    <cacheField name="Comments" numFmtId="0">
      <sharedItems containsBlank="1" count="11">
        <m/>
        <s v="Old Deposit"/>
        <s v="Old Purchasing"/>
        <s v="10% Gift Card"/>
        <s v="Megatop"/>
        <s v="1 unit to be refund"/>
        <s v="Active units"/>
        <s v="2units  to be refund"/>
        <s v="1 unit refund"/>
        <s v="Expense"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862268519" createdVersion="8" refreshedVersion="8" minRefreshableVersion="3" recordCount="46" xr:uid="{2BC92729-E410-4819-8593-C9C2A5A3D1F5}">
  <cacheSource type="worksheet">
    <worksheetSource ref="A1:I1048576" sheet="AU DEC"/>
  </cacheSource>
  <cacheFields count="9">
    <cacheField name="Date" numFmtId="0">
      <sharedItems containsNonDate="0" containsDate="1" containsString="0" containsBlank="1" minDate="2025-12-01T00:00:00" maxDate="2025-12-04T00:00:00"/>
    </cacheField>
    <cacheField name="Qty" numFmtId="0">
      <sharedItems containsString="0" containsBlank="1" containsNumber="1" containsInteger="1" minValue="1" maxValue="14"/>
    </cacheField>
    <cacheField name="Descriptions" numFmtId="0">
      <sharedItems containsBlank="1" count="15">
        <s v="Starlink Standard Kit"/>
        <s v="PS5 Slim Digital"/>
        <s v="DJI Mic 3"/>
        <s v="JBL Charge 6"/>
        <s v="PS5 Slim Disc NBA"/>
        <s v="PS5 Slim Digital 1TB"/>
        <s v="Collection Commision"/>
        <s v="DJI Mic Mini"/>
        <s v="PS5 Digital"/>
        <s v="PS5"/>
        <s v="PS5 DISC"/>
        <s v="Wireless Controller"/>
        <s v="Astrobot Games"/>
        <s v="Mic 3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44" maxValue="659"/>
    </cacheField>
    <cacheField name="Total" numFmtId="0">
      <sharedItems containsString="0" containsBlank="1" containsNumber="1" containsInteger="1" minValue="44" maxValue="4776"/>
    </cacheField>
    <cacheField name="status" numFmtId="0">
      <sharedItems containsBlank="1"/>
    </cacheField>
    <cacheField name="Shipped" numFmtId="0">
      <sharedItems containsNonDate="0" containsString="0" containsBlank="1"/>
    </cacheField>
    <cacheField name="Comments" numFmtId="0">
      <sharedItems containsBlank="1" count="3">
        <s v="Megatop"/>
        <m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n v="2"/>
    <x v="0"/>
    <s v="Office Works Northmead"/>
    <n v="2089.4899999999998"/>
    <n v="4178.9799999999996"/>
    <s v="Collected"/>
    <d v="2025-04-02T00:00:00"/>
  </r>
  <r>
    <x v="0"/>
    <n v="2"/>
    <x v="1"/>
    <s v="Office Works Auburn"/>
    <n v="2460.4899999999998"/>
    <n v="4920.9799999999996"/>
    <s v="Collected"/>
    <m/>
  </r>
  <r>
    <x v="1"/>
    <n v="2"/>
    <x v="2"/>
    <s v="Office Works Northmead"/>
    <n v="2517.4899999999998"/>
    <n v="5034.9799999999996"/>
    <s v="Collected"/>
    <m/>
  </r>
  <r>
    <x v="1"/>
    <n v="2"/>
    <x v="0"/>
    <s v="Office Works Castle Hills"/>
    <n v="2089.4899999999998"/>
    <n v="4178.9799999999996"/>
    <s v="Collected"/>
    <m/>
  </r>
  <r>
    <x v="1"/>
    <n v="2"/>
    <x v="3"/>
    <s v="Office Works Castle Hills"/>
    <n v="2089.4899999999998"/>
    <n v="4178.9799999999996"/>
    <s v="Collected"/>
    <m/>
  </r>
  <r>
    <x v="1"/>
    <n v="1"/>
    <x v="0"/>
    <s v="Office Works Hornsby"/>
    <n v="2089.9899999999998"/>
    <n v="2089.9899999999998"/>
    <s v="Collected"/>
    <d v="2025-04-08T00:00:00"/>
  </r>
  <r>
    <x v="1"/>
    <n v="1"/>
    <x v="3"/>
    <s v="Office Works Hornsby"/>
    <n v="2089.9899999999998"/>
    <n v="2089.9899999999998"/>
    <s v="Collected"/>
    <d v="2025-04-08T00:00:00"/>
  </r>
  <r>
    <x v="1"/>
    <n v="8"/>
    <x v="4"/>
    <s v="JBHIFI Hornsby"/>
    <n v="229"/>
    <n v="1832"/>
    <s v="Collected"/>
    <d v="2025-04-02T00:00:00"/>
  </r>
  <r>
    <x v="1"/>
    <n v="1"/>
    <x v="5"/>
    <s v="JBHIFI Hornsby"/>
    <n v="699"/>
    <n v="699"/>
    <s v="Collected"/>
    <d v="2025-04-03T00:00:00"/>
  </r>
  <r>
    <x v="1"/>
    <n v="1"/>
    <x v="6"/>
    <s v="JBHIFI Hornsby"/>
    <n v="799"/>
    <n v="799"/>
    <s v="Collected"/>
    <d v="2025-04-03T00:00:00"/>
  </r>
  <r>
    <x v="1"/>
    <n v="1"/>
    <x v="0"/>
    <s v="JBHIFI Hornsby"/>
    <n v="2149"/>
    <n v="2149"/>
    <s v="Collected"/>
    <d v="2025-04-02T00:00:00"/>
  </r>
  <r>
    <x v="1"/>
    <n v="1"/>
    <x v="0"/>
    <s v="Office Works North Ryde"/>
    <n v="2089.9899999999998"/>
    <n v="2089.9899999999998"/>
    <m/>
    <s v="Order Cancelled Refund 08/04/2025"/>
  </r>
  <r>
    <x v="1"/>
    <n v="2"/>
    <x v="0"/>
    <s v="Office Works West Ryde"/>
    <n v="2089.9899999999998"/>
    <n v="4179.9799999999996"/>
    <s v="Pending Collection Northmead"/>
    <s v="Order Cancelled Refunded"/>
  </r>
  <r>
    <x v="1"/>
    <n v="1"/>
    <x v="0"/>
    <s v="Office Works Auburn"/>
    <n v="2089.9899999999998"/>
    <n v="2089.9899999999998"/>
    <s v="Collected"/>
    <d v="2025-04-04T00:00:00"/>
  </r>
  <r>
    <x v="1"/>
    <n v="1"/>
    <x v="3"/>
    <s v="Office Works Auburn"/>
    <n v="2089.9899999999998"/>
    <n v="2089.9899999999998"/>
    <s v="Collected"/>
    <d v="2025-04-04T00:00:00"/>
  </r>
  <r>
    <x v="1"/>
    <n v="1"/>
    <x v="7"/>
    <s v="Office Works Auburn"/>
    <n v="39"/>
    <n v="39"/>
    <s v="Collected"/>
    <d v="2025-04-02T00:00:00"/>
  </r>
  <r>
    <x v="2"/>
    <n v="1"/>
    <x v="8"/>
    <s v="JBHIFI Castle Hills"/>
    <n v="799"/>
    <n v="799"/>
    <s v="Collected"/>
    <m/>
  </r>
  <r>
    <x v="2"/>
    <n v="1"/>
    <x v="5"/>
    <s v="Merylands"/>
    <n v="669"/>
    <n v="669"/>
    <s v="Collected  10/04/2025"/>
    <m/>
  </r>
  <r>
    <x v="2"/>
    <m/>
    <x v="9"/>
    <s v="Expense"/>
    <n v="36.54"/>
    <n v="0"/>
    <m/>
    <m/>
  </r>
  <r>
    <x v="3"/>
    <n v="6"/>
    <x v="10"/>
    <s v="Good Guys "/>
    <n v="87"/>
    <n v="522"/>
    <s v="Collected"/>
    <m/>
  </r>
  <r>
    <x v="3"/>
    <n v="1"/>
    <x v="11"/>
    <s v="Good Guys Bankstown"/>
    <n v="2204"/>
    <n v="2204"/>
    <s v="Collected  10/04/2025"/>
    <m/>
  </r>
  <r>
    <x v="3"/>
    <n v="1"/>
    <x v="3"/>
    <s v="Office Works Punchbowl"/>
    <n v="2089.9899999999998"/>
    <n v="2089.9899999999998"/>
    <s v="Collected"/>
    <m/>
  </r>
  <r>
    <x v="3"/>
    <n v="1"/>
    <x v="0"/>
    <s v="Office Works Punchbowl"/>
    <n v="2089.9899999999998"/>
    <n v="2089.9899999999998"/>
    <s v="Cancelled Refund to be process"/>
    <m/>
  </r>
  <r>
    <x v="4"/>
    <n v="1"/>
    <x v="12"/>
    <s v="Office Works Castle Hills"/>
    <n v="2089.9899999999998"/>
    <n v="2089.9899999999998"/>
    <s v="Collected"/>
    <m/>
  </r>
  <r>
    <x v="5"/>
    <n v="1"/>
    <x v="13"/>
    <s v="Office Works Castle Hills"/>
    <n v="2089.9899999999998"/>
    <n v="2089.9899999999998"/>
    <s v="Cancelled Refund to be process"/>
    <m/>
  </r>
  <r>
    <x v="5"/>
    <n v="1"/>
    <x v="14"/>
    <s v="JBHIFI Castle Hills"/>
    <n v="149"/>
    <n v="149"/>
    <s v="Collected"/>
    <m/>
  </r>
  <r>
    <x v="5"/>
    <n v="1"/>
    <x v="15"/>
    <s v="JBHIFI Castle Hills"/>
    <n v="2549"/>
    <n v="2549"/>
    <s v="Collected"/>
    <m/>
  </r>
  <r>
    <x v="6"/>
    <n v="1"/>
    <x v="16"/>
    <s v="Office Works Castle Hills"/>
    <n v="2089.9899999999998"/>
    <n v="2089.9899999999998"/>
    <s v="Cancelled Refund to be process"/>
    <m/>
  </r>
  <r>
    <x v="6"/>
    <n v="1"/>
    <x v="17"/>
    <s v="Office Works Hornsby"/>
    <n v="2089.9899999999998"/>
    <n v="2089"/>
    <s v="Cancelled Refund to be process"/>
    <m/>
  </r>
  <r>
    <x v="6"/>
    <n v="1"/>
    <x v="17"/>
    <s v="Office Works Hornsby"/>
    <n v="2089.9899999999998"/>
    <n v="2089"/>
    <s v="Cancelled Refund to be process"/>
    <m/>
  </r>
  <r>
    <x v="7"/>
    <n v="10"/>
    <x v="5"/>
    <s v="Big W Merrylands"/>
    <n v="724"/>
    <n v="7240"/>
    <s v="Collected"/>
    <m/>
  </r>
  <r>
    <x v="7"/>
    <n v="2"/>
    <x v="18"/>
    <s v="Costco Online"/>
    <n v="1749.99"/>
    <n v="3499.98"/>
    <s v="Delivered 11/04/2024"/>
    <m/>
  </r>
  <r>
    <x v="7"/>
    <n v="2"/>
    <x v="19"/>
    <s v="Costco Online"/>
    <n v="1749.99"/>
    <n v="3499.98"/>
    <s v="Delivered 11/04/2025"/>
    <m/>
  </r>
  <r>
    <x v="7"/>
    <n v="3"/>
    <x v="20"/>
    <s v="Costco Online"/>
    <n v="1749.99"/>
    <n v="5249.97"/>
    <s v="Delivered 11/04/2026"/>
    <m/>
  </r>
  <r>
    <x v="7"/>
    <n v="6"/>
    <x v="21"/>
    <s v="Costco Online"/>
    <n v="1749.99"/>
    <n v="10499.94"/>
    <s v="Delivered 11/04/2027"/>
    <m/>
  </r>
  <r>
    <x v="7"/>
    <n v="5"/>
    <x v="22"/>
    <s v="Costco Online"/>
    <n v="2199"/>
    <n v="10995"/>
    <s v="Delivered 11/04/2028"/>
    <m/>
  </r>
  <r>
    <x v="7"/>
    <n v="1"/>
    <x v="5"/>
    <s v="EB Games North Ryde"/>
    <n v="669"/>
    <n v="669"/>
    <s v="Pending Confirmation"/>
    <m/>
  </r>
  <r>
    <x v="8"/>
    <n v="1"/>
    <x v="23"/>
    <s v="JBHIFI Bankstown"/>
    <n v="449"/>
    <n v="449"/>
    <s v="Collected"/>
    <m/>
  </r>
  <r>
    <x v="8"/>
    <n v="2"/>
    <x v="5"/>
    <s v="JBHIFI Bankstown"/>
    <n v="689"/>
    <n v="1378"/>
    <s v="Pending Collection Parramatta"/>
    <m/>
  </r>
  <r>
    <x v="8"/>
    <n v="8"/>
    <x v="5"/>
    <s v="Big W Bansktown"/>
    <n v="724"/>
    <n v="5792"/>
    <s v="Pending Collection"/>
    <m/>
  </r>
  <r>
    <x v="8"/>
    <n v="5"/>
    <x v="5"/>
    <s v="Big W Winston Hills"/>
    <n v="724"/>
    <n v="3620"/>
    <s v="Collected"/>
    <m/>
  </r>
  <r>
    <x v="9"/>
    <n v="11"/>
    <x v="5"/>
    <s v="Big W Winston Hills"/>
    <n v="724"/>
    <n v="7964"/>
    <s v="Collected"/>
    <m/>
  </r>
  <r>
    <x v="9"/>
    <n v="3"/>
    <x v="24"/>
    <s v="Costco Online"/>
    <n v="2549.9899999999998"/>
    <n v="7649.9699999999993"/>
    <s v="Delivered"/>
    <m/>
  </r>
  <r>
    <x v="9"/>
    <n v="1"/>
    <x v="25"/>
    <s v="Costco Online"/>
    <n v="2549.9899999999998"/>
    <n v="2549.9899999999998"/>
    <s v="Delivered"/>
    <m/>
  </r>
  <r>
    <x v="10"/>
    <n v="1"/>
    <x v="26"/>
    <s v="Harvey Norman Morre Park"/>
    <n v="2299"/>
    <n v="2299"/>
    <s v="Pending Collection"/>
    <s v="10% Gift Card"/>
  </r>
  <r>
    <x v="10"/>
    <n v="1"/>
    <x v="27"/>
    <s v="Harvey Norman Morre Park"/>
    <n v="2299"/>
    <n v="2299"/>
    <s v="Pending Collection"/>
    <s v="10% Gift Card"/>
  </r>
  <r>
    <x v="10"/>
    <n v="1"/>
    <x v="28"/>
    <s v="Harvey Norman Morre Park"/>
    <n v="724"/>
    <n v="724"/>
    <s v="Pending Collection"/>
    <s v="10% Gift Card"/>
  </r>
  <r>
    <x v="10"/>
    <n v="3"/>
    <x v="29"/>
    <s v="Harvey Norman Morre Park"/>
    <n v="328"/>
    <n v="984"/>
    <s v="Pending Collection"/>
    <s v="10% Gift Card"/>
  </r>
  <r>
    <x v="10"/>
    <n v="15"/>
    <x v="27"/>
    <s v="Harvey Norman Broadway"/>
    <n v="2299"/>
    <n v="34485"/>
    <s v="Pending Collection"/>
    <s v="10% Gift Card"/>
  </r>
  <r>
    <x v="10"/>
    <n v="10"/>
    <x v="26"/>
    <s v="Harvey Norman Broadway"/>
    <n v="2299"/>
    <n v="22990"/>
    <s v="Pending Collection"/>
    <s v="10% Gift Card"/>
  </r>
  <r>
    <x v="10"/>
    <n v="5"/>
    <x v="30"/>
    <s v="Harvey Norman Broadway"/>
    <n v="2299"/>
    <n v="11495"/>
    <s v="Pending Collection"/>
    <s v="10% Gift Card"/>
  </r>
  <r>
    <x v="10"/>
    <n v="5"/>
    <x v="31"/>
    <s v="Harvey Norman Broadway"/>
    <n v="2699"/>
    <n v="13495"/>
    <s v="Pending Collection"/>
    <s v="10% Gift Card"/>
  </r>
  <r>
    <x v="10"/>
    <n v="5"/>
    <x v="32"/>
    <s v="Harvey Norman Broadway"/>
    <n v="2699"/>
    <n v="13495"/>
    <s v="Pending Collection"/>
    <s v="10% Gift Card"/>
  </r>
  <r>
    <x v="10"/>
    <n v="2"/>
    <x v="26"/>
    <s v="Harvey Norman Castle Hills"/>
    <n v="2299"/>
    <n v="4598"/>
    <s v="Collected"/>
    <s v="10% Gift Card"/>
  </r>
  <r>
    <x v="10"/>
    <n v="2"/>
    <x v="27"/>
    <s v="Harvey Norman Castle Hills"/>
    <n v="2299"/>
    <n v="4598"/>
    <s v="Collected"/>
    <s v="10% Gift Card"/>
  </r>
  <r>
    <x v="10"/>
    <n v="1"/>
    <x v="31"/>
    <s v="Harvey Norman Castle Hills"/>
    <n v="2699"/>
    <n v="2699"/>
    <s v="Collected"/>
    <s v="10% Gift Card"/>
  </r>
  <r>
    <x v="10"/>
    <n v="2"/>
    <x v="32"/>
    <s v="Harvey Norman Castle Hills"/>
    <n v="2699"/>
    <n v="5398"/>
    <s v="Collected"/>
    <s v="10% Gift Card"/>
  </r>
  <r>
    <x v="10"/>
    <n v="5"/>
    <x v="33"/>
    <s v="Harvey Norman Castle Hills"/>
    <n v="143"/>
    <n v="715"/>
    <s v="Collected"/>
    <s v="10% Gift Card"/>
  </r>
  <r>
    <x v="10"/>
    <n v="6"/>
    <x v="34"/>
    <s v="Harvey Norman Castle Hills"/>
    <n v="30"/>
    <n v="180"/>
    <s v="Collected"/>
    <s v="10% Gift Card"/>
  </r>
  <r>
    <x v="10"/>
    <n v="20"/>
    <x v="34"/>
    <s v="Harvey Norman Castle Hills"/>
    <n v="30"/>
    <n v="600"/>
    <s v="Pending Collection"/>
    <s v="10% Gift Card"/>
  </r>
  <r>
    <x v="10"/>
    <n v="6"/>
    <x v="34"/>
    <s v="Harvey Norman North Ryde"/>
    <n v="30"/>
    <n v="180"/>
    <s v="Collected"/>
    <s v="10% Gift Card"/>
  </r>
  <r>
    <x v="10"/>
    <n v="5"/>
    <x v="28"/>
    <s v="Harvey Norman North Ryde"/>
    <n v="715"/>
    <n v="3575"/>
    <s v="Collected"/>
    <s v="10% Gift Card"/>
  </r>
  <r>
    <x v="10"/>
    <n v="1"/>
    <x v="26"/>
    <s v="Harvey Norman North Ryde"/>
    <n v="2299"/>
    <n v="2299"/>
    <s v="Collected"/>
    <s v="10% Gift Card"/>
  </r>
  <r>
    <x v="10"/>
    <n v="1"/>
    <x v="31"/>
    <s v="Harvey Norman North Ryde"/>
    <n v="2699"/>
    <n v="2699"/>
    <s v="Collected"/>
    <s v="10% Gift Card"/>
  </r>
  <r>
    <x v="11"/>
    <n v="17"/>
    <x v="28"/>
    <s v="Costco Online"/>
    <n v="699.99"/>
    <n v="11899.83"/>
    <s v="Pending Delivery"/>
    <m/>
  </r>
  <r>
    <x v="11"/>
    <n v="1"/>
    <x v="28"/>
    <s v="Costco Online"/>
    <n v="699.99"/>
    <n v="699.99"/>
    <s v="Pending Delivery"/>
    <m/>
  </r>
  <r>
    <x v="11"/>
    <n v="3"/>
    <x v="31"/>
    <s v="Costco Online"/>
    <n v="2549.9899999999998"/>
    <n v="7649.9699999999993"/>
    <s v="Pending Delivery"/>
    <m/>
  </r>
  <r>
    <x v="11"/>
    <n v="2"/>
    <x v="35"/>
    <s v="Costco Online"/>
    <n v="2549.9899999999998"/>
    <n v="5099.9799999999996"/>
    <s v="Pending Delivery"/>
    <m/>
  </r>
  <r>
    <x v="11"/>
    <n v="10"/>
    <x v="5"/>
    <s v="Big W Online "/>
    <n v="724"/>
    <n v="7240"/>
    <s v="Pending Collection Hurstville"/>
    <m/>
  </r>
  <r>
    <x v="11"/>
    <n v="1"/>
    <x v="36"/>
    <s v="Good Guys Blacktown"/>
    <n v="713"/>
    <n v="713"/>
    <s v="Collected"/>
    <m/>
  </r>
  <r>
    <x v="11"/>
    <n v="3"/>
    <x v="37"/>
    <s v="Good Guys Bankstown"/>
    <n v="213"/>
    <n v="639"/>
    <s v="Collected"/>
    <m/>
  </r>
  <r>
    <x v="11"/>
    <n v="2"/>
    <x v="10"/>
    <s v="Good Guys Bankstown"/>
    <n v="87"/>
    <n v="174"/>
    <s v="Collected"/>
    <m/>
  </r>
  <r>
    <x v="11"/>
    <n v="8"/>
    <x v="38"/>
    <s v="Good Guys Bankstown"/>
    <n v="19"/>
    <n v="152"/>
    <s v="Collected"/>
    <m/>
  </r>
  <r>
    <x v="11"/>
    <n v="20"/>
    <x v="34"/>
    <s v="Harvey Norman Morre Park"/>
    <n v="30"/>
    <n v="600"/>
    <s v="Pending Collection"/>
    <s v="10% Gift Card"/>
  </r>
  <r>
    <x v="11"/>
    <n v="3"/>
    <x v="28"/>
    <s v="Harvey Norman Alexandria"/>
    <n v="724"/>
    <n v="2172"/>
    <s v="Pending Collection"/>
    <s v="10% Gift Card"/>
  </r>
  <r>
    <x v="11"/>
    <n v="1"/>
    <x v="39"/>
    <s v="Harvey Norman Blacktown"/>
    <n v="2077"/>
    <n v="2077"/>
    <s v="Collected"/>
    <s v="10% Gift Card"/>
  </r>
  <r>
    <x v="11"/>
    <n v="1"/>
    <x v="31"/>
    <s v="Harvey Norman Blacktown"/>
    <n v="2699"/>
    <n v="2699"/>
    <s v="Collected"/>
    <s v="10% Gift Card"/>
  </r>
  <r>
    <x v="11"/>
    <n v="2"/>
    <x v="29"/>
    <s v="JBHIFI Castle Hills"/>
    <n v="299"/>
    <n v="598"/>
    <s v="Collected"/>
    <s v="10% Gift Card"/>
  </r>
  <r>
    <x v="11"/>
    <n v="12"/>
    <x v="38"/>
    <s v="Good Guys Castle Hills"/>
    <n v="19"/>
    <n v="228"/>
    <m/>
    <m/>
  </r>
  <r>
    <x v="11"/>
    <n v="1"/>
    <x v="37"/>
    <s v="Good Guys Castle Hills"/>
    <n v="213"/>
    <n v="213"/>
    <m/>
    <m/>
  </r>
  <r>
    <x v="11"/>
    <n v="3"/>
    <x v="10"/>
    <s v="Good Guys Castle Hills"/>
    <n v="87"/>
    <n v="261"/>
    <m/>
    <m/>
  </r>
  <r>
    <x v="11"/>
    <n v="5"/>
    <x v="40"/>
    <s v="Harvey Norman Castle Hills"/>
    <n v="2605"/>
    <n v="13025"/>
    <m/>
    <s v="10% Gift Card + $200 Gift Card"/>
  </r>
  <r>
    <x v="11"/>
    <n v="1"/>
    <x v="41"/>
    <s v="Harvey Norman Castle Hills"/>
    <n v="3535"/>
    <n v="3535"/>
    <m/>
    <s v="10% Gift Card + $200 Gift Card"/>
  </r>
  <r>
    <x v="11"/>
    <n v="6"/>
    <x v="42"/>
    <s v="Harvey Norman Castle Hills"/>
    <n v="204"/>
    <n v="1224"/>
    <m/>
    <s v="10% Gift Card"/>
  </r>
  <r>
    <x v="11"/>
    <n v="3"/>
    <x v="43"/>
    <s v="Harvey Norman Castle Hills"/>
    <n v="200"/>
    <n v="600"/>
    <m/>
    <s v="10% Gift Card"/>
  </r>
  <r>
    <x v="11"/>
    <n v="11"/>
    <x v="38"/>
    <s v="Harvey Norman Castle Hills"/>
    <n v="21"/>
    <n v="231"/>
    <m/>
    <s v="10% Gift Card"/>
  </r>
  <r>
    <x v="4"/>
    <m/>
    <x v="44"/>
    <m/>
    <m/>
    <m/>
    <m/>
    <m/>
  </r>
  <r>
    <x v="4"/>
    <m/>
    <x v="44"/>
    <m/>
    <m/>
    <m/>
    <m/>
    <m/>
  </r>
  <r>
    <x v="4"/>
    <m/>
    <x v="44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4"/>
    <x v="0"/>
  </r>
  <r>
    <n v="2"/>
    <x v="1"/>
  </r>
  <r>
    <n v="4"/>
    <x v="2"/>
  </r>
  <r>
    <n v="2"/>
    <x v="1"/>
  </r>
  <r>
    <n v="2"/>
    <x v="3"/>
  </r>
  <r>
    <n v="2"/>
    <x v="4"/>
  </r>
  <r>
    <n v="9"/>
    <x v="5"/>
  </r>
  <r>
    <n v="2"/>
    <x v="6"/>
  </r>
  <r>
    <n v="2"/>
    <x v="2"/>
  </r>
  <r>
    <n v="7"/>
    <x v="7"/>
  </r>
  <r>
    <n v="27"/>
    <x v="8"/>
  </r>
  <r>
    <n v="2"/>
    <x v="9"/>
  </r>
  <r>
    <n v="8"/>
    <x v="10"/>
  </r>
  <r>
    <n v="7"/>
    <x v="5"/>
  </r>
  <r>
    <n v="4"/>
    <x v="8"/>
  </r>
  <r>
    <n v="1"/>
    <x v="7"/>
  </r>
  <r>
    <n v="5"/>
    <x v="11"/>
  </r>
  <r>
    <n v="2"/>
    <x v="4"/>
  </r>
  <r>
    <n v="4"/>
    <x v="9"/>
  </r>
  <r>
    <n v="30"/>
    <x v="7"/>
  </r>
  <r>
    <n v="2"/>
    <x v="6"/>
  </r>
  <r>
    <n v="2"/>
    <x v="12"/>
  </r>
  <r>
    <n v="1"/>
    <x v="1"/>
  </r>
  <r>
    <n v="1"/>
    <x v="6"/>
  </r>
  <r>
    <n v="1"/>
    <x v="9"/>
  </r>
  <r>
    <n v="1"/>
    <x v="13"/>
  </r>
  <r>
    <n v="2"/>
    <x v="14"/>
  </r>
  <r>
    <n v="1"/>
    <x v="15"/>
  </r>
  <r>
    <n v="2"/>
    <x v="16"/>
  </r>
  <r>
    <n v="3"/>
    <x v="14"/>
  </r>
  <r>
    <n v="1"/>
    <x v="17"/>
  </r>
  <r>
    <n v="2"/>
    <x v="7"/>
  </r>
  <r>
    <n v="5"/>
    <x v="0"/>
  </r>
  <r>
    <n v="1"/>
    <x v="18"/>
  </r>
  <r>
    <n v="1"/>
    <x v="19"/>
  </r>
  <r>
    <n v="1"/>
    <x v="12"/>
  </r>
  <r>
    <n v="1"/>
    <x v="20"/>
  </r>
  <r>
    <n v="2"/>
    <x v="0"/>
  </r>
  <r>
    <n v="6"/>
    <x v="21"/>
  </r>
  <r>
    <n v="33"/>
    <x v="22"/>
  </r>
  <r>
    <n v="6"/>
    <x v="22"/>
  </r>
  <r>
    <n v="8"/>
    <x v="22"/>
  </r>
  <r>
    <n v="10"/>
    <x v="22"/>
  </r>
  <r>
    <m/>
    <x v="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7"/>
    <x v="0"/>
  </r>
  <r>
    <n v="12"/>
    <x v="1"/>
  </r>
  <r>
    <n v="7"/>
    <x v="0"/>
  </r>
  <r>
    <n v="1"/>
    <x v="2"/>
  </r>
  <r>
    <n v="6"/>
    <x v="0"/>
  </r>
  <r>
    <n v="2"/>
    <x v="2"/>
  </r>
  <r>
    <n v="2"/>
    <x v="3"/>
  </r>
  <r>
    <n v="6"/>
    <x v="0"/>
  </r>
  <r>
    <n v="3"/>
    <x v="4"/>
  </r>
  <r>
    <n v="9"/>
    <x v="0"/>
  </r>
  <r>
    <n v="2"/>
    <x v="4"/>
  </r>
  <r>
    <n v="4"/>
    <x v="5"/>
  </r>
  <r>
    <n v="1"/>
    <x v="0"/>
  </r>
  <r>
    <n v="5"/>
    <x v="6"/>
  </r>
  <r>
    <n v="18"/>
    <x v="1"/>
  </r>
  <r>
    <n v="2"/>
    <x v="4"/>
  </r>
  <r>
    <n v="2"/>
    <x v="5"/>
  </r>
  <r>
    <n v="3"/>
    <x v="3"/>
  </r>
  <r>
    <n v="18"/>
    <x v="7"/>
  </r>
  <r>
    <n v="4"/>
    <x v="5"/>
  </r>
  <r>
    <n v="48"/>
    <x v="8"/>
  </r>
  <r>
    <n v="2"/>
    <x v="0"/>
  </r>
  <r>
    <n v="2"/>
    <x v="4"/>
  </r>
  <r>
    <n v="2"/>
    <x v="4"/>
  </r>
  <r>
    <n v="1"/>
    <x v="0"/>
  </r>
  <r>
    <n v="1"/>
    <x v="9"/>
  </r>
  <r>
    <n v="5"/>
    <x v="9"/>
  </r>
  <r>
    <n v="4"/>
    <x v="5"/>
  </r>
  <r>
    <n v="5"/>
    <x v="10"/>
  </r>
  <r>
    <n v="1"/>
    <x v="3"/>
  </r>
  <r>
    <n v="2"/>
    <x v="11"/>
  </r>
  <r>
    <n v="1"/>
    <x v="12"/>
  </r>
  <r>
    <n v="2"/>
    <x v="9"/>
  </r>
  <r>
    <n v="1"/>
    <x v="5"/>
  </r>
  <r>
    <n v="2"/>
    <x v="9"/>
  </r>
  <r>
    <n v="5"/>
    <x v="8"/>
  </r>
  <r>
    <n v="5"/>
    <x v="9"/>
  </r>
  <r>
    <m/>
    <x v="13"/>
  </r>
  <r>
    <m/>
    <x v="1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</r>
  <r>
    <n v="2"/>
    <x v="0"/>
  </r>
  <r>
    <n v="10"/>
    <x v="0"/>
  </r>
  <r>
    <n v="1"/>
    <x v="1"/>
  </r>
  <r>
    <n v="3"/>
    <x v="2"/>
  </r>
  <r>
    <n v="6"/>
    <x v="0"/>
  </r>
  <r>
    <n v="1"/>
    <x v="3"/>
  </r>
  <r>
    <m/>
    <x v="4"/>
  </r>
  <r>
    <m/>
    <x v="4"/>
  </r>
  <r>
    <m/>
    <x v="4"/>
  </r>
  <r>
    <m/>
    <x v="4"/>
  </r>
  <r>
    <m/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50"/>
    <x v="0"/>
  </r>
  <r>
    <n v="400"/>
    <x v="1"/>
  </r>
  <r>
    <n v="3"/>
    <x v="2"/>
  </r>
  <r>
    <n v="2"/>
    <x v="3"/>
  </r>
  <r>
    <n v="4"/>
    <x v="3"/>
  </r>
  <r>
    <n v="1"/>
    <x v="4"/>
  </r>
  <r>
    <n v="4"/>
    <x v="5"/>
  </r>
  <r>
    <n v="5"/>
    <x v="3"/>
  </r>
  <r>
    <m/>
    <x v="6"/>
  </r>
  <r>
    <m/>
    <x v="6"/>
  </r>
  <r>
    <m/>
    <x v="6"/>
  </r>
  <r>
    <m/>
    <x v="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50"/>
    <x v="0"/>
  </r>
  <r>
    <n v="1"/>
    <x v="1"/>
  </r>
  <r>
    <n v="1"/>
    <x v="1"/>
  </r>
  <r>
    <n v="2"/>
    <x v="1"/>
  </r>
  <r>
    <n v="4"/>
    <x v="2"/>
  </r>
  <r>
    <n v="2"/>
    <x v="2"/>
  </r>
  <r>
    <n v="2"/>
    <x v="2"/>
  </r>
  <r>
    <n v="7"/>
    <x v="2"/>
  </r>
  <r>
    <n v="8"/>
    <x v="2"/>
  </r>
  <r>
    <n v="20"/>
    <x v="2"/>
  </r>
  <r>
    <n v="26"/>
    <x v="2"/>
  </r>
  <r>
    <n v="40"/>
    <x v="2"/>
  </r>
  <r>
    <n v="2"/>
    <x v="2"/>
  </r>
  <r>
    <n v="1"/>
    <x v="3"/>
  </r>
  <r>
    <n v="5"/>
    <x v="4"/>
  </r>
  <r>
    <n v="1"/>
    <x v="4"/>
  </r>
  <r>
    <n v="1"/>
    <x v="4"/>
  </r>
  <r>
    <n v="4"/>
    <x v="4"/>
  </r>
  <r>
    <n v="50"/>
    <x v="0"/>
  </r>
  <r>
    <n v="50"/>
    <x v="5"/>
  </r>
  <r>
    <n v="1"/>
    <x v="6"/>
  </r>
  <r>
    <n v="10"/>
    <x v="4"/>
  </r>
  <r>
    <m/>
    <x v="7"/>
  </r>
  <r>
    <m/>
    <x v="8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s v="Harvey Norman Broadway"/>
    <n v="3750"/>
  </r>
  <r>
    <x v="1"/>
    <x v="1"/>
    <s v="Harvey Norman Broadway"/>
    <n v="2885"/>
  </r>
  <r>
    <x v="2"/>
    <x v="1"/>
    <s v="Harvey Norman Broadway"/>
    <n v="2885"/>
  </r>
  <r>
    <x v="3"/>
    <x v="2"/>
    <s v="Harvey Norman Broadway"/>
    <n v="274"/>
  </r>
  <r>
    <x v="1"/>
    <x v="3"/>
    <s v="Harvey Norman Broadway"/>
    <n v="3750"/>
  </r>
  <r>
    <x v="4"/>
    <x v="4"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d v="2025-11-19T00:00:00"/>
    <n v="15"/>
    <x v="0"/>
    <x v="0"/>
    <n v="125"/>
    <n v="1875"/>
    <x v="0"/>
  </r>
  <r>
    <d v="2025-11-20T00:00:00"/>
    <n v="12"/>
    <x v="0"/>
    <x v="1"/>
    <n v="125"/>
    <n v="1500"/>
    <x v="1"/>
  </r>
  <r>
    <d v="2025-11-20T00:00:00"/>
    <n v="23"/>
    <x v="0"/>
    <x v="2"/>
    <n v="125"/>
    <n v="2875"/>
    <x v="2"/>
  </r>
  <r>
    <d v="2025-11-21T00:00:00"/>
    <n v="1"/>
    <x v="1"/>
    <x v="3"/>
    <n v="598"/>
    <n v="598"/>
    <x v="3"/>
  </r>
  <r>
    <d v="2025-11-21T00:00:00"/>
    <n v="5"/>
    <x v="2"/>
    <x v="4"/>
    <n v="509"/>
    <n v="2545"/>
    <x v="0"/>
  </r>
  <r>
    <d v="2025-11-21T00:00:00"/>
    <n v="6"/>
    <x v="3"/>
    <x v="4"/>
    <n v="659"/>
    <n v="3954"/>
    <x v="0"/>
  </r>
  <r>
    <d v="2025-11-21T00:00:00"/>
    <n v="3"/>
    <x v="3"/>
    <x v="4"/>
    <n v="659"/>
    <n v="1977"/>
    <x v="4"/>
  </r>
  <r>
    <d v="2025-11-21T00:00:00"/>
    <n v="7"/>
    <x v="2"/>
    <x v="4"/>
    <n v="509"/>
    <n v="3563"/>
    <x v="4"/>
  </r>
  <r>
    <d v="2025-11-21T00:00:00"/>
    <n v="5"/>
    <x v="4"/>
    <x v="4"/>
    <n v="659"/>
    <n v="3295"/>
    <x v="2"/>
  </r>
  <r>
    <d v="2025-11-21T00:00:00"/>
    <n v="9"/>
    <x v="5"/>
    <x v="4"/>
    <n v="509"/>
    <n v="4581"/>
    <x v="2"/>
  </r>
  <r>
    <d v="2025-11-21T00:00:00"/>
    <n v="8"/>
    <x v="5"/>
    <x v="4"/>
    <n v="509"/>
    <n v="4072"/>
    <x v="5"/>
  </r>
  <r>
    <d v="2025-11-28T00:00:00"/>
    <n v="6"/>
    <x v="6"/>
    <x v="5"/>
    <n v="419"/>
    <n v="2514"/>
    <x v="6"/>
  </r>
  <r>
    <d v="2025-11-28T00:00:00"/>
    <n v="10"/>
    <x v="7"/>
    <x v="5"/>
    <n v="125"/>
    <n v="1250"/>
    <x v="7"/>
  </r>
  <r>
    <d v="2025-11-28T00:00:00"/>
    <n v="3"/>
    <x v="6"/>
    <x v="5"/>
    <n v="419"/>
    <n v="1257"/>
    <x v="8"/>
  </r>
  <r>
    <d v="2025-11-28T00:00:00"/>
    <n v="2"/>
    <x v="6"/>
    <x v="5"/>
    <n v="419"/>
    <n v="838"/>
    <x v="9"/>
  </r>
  <r>
    <d v="2025-11-29T00:00:00"/>
    <n v="1"/>
    <x v="8"/>
    <x v="6"/>
    <n v="399"/>
    <n v="399"/>
    <x v="9"/>
  </r>
  <r>
    <d v="2025-11-29T00:00:00"/>
    <n v="2"/>
    <x v="9"/>
    <x v="7"/>
    <n v="398"/>
    <n v="796"/>
    <x v="10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d v="2025-11-03T00:00:00"/>
    <n v="10"/>
    <x v="0"/>
    <s v="DJI Macquarie Park"/>
    <n v="410"/>
    <n v="4100"/>
    <s v="Collected 03-11"/>
    <d v="2025-11-05T00:00:00"/>
    <x v="0"/>
  </r>
  <r>
    <d v="2025-11-03T00:00:00"/>
    <n v="7"/>
    <x v="1"/>
    <s v="Good Guys Blacktown"/>
    <n v="150"/>
    <n v="1050"/>
    <s v="Collected 03-11"/>
    <d v="2025-11-05T00:00:00"/>
    <x v="0"/>
  </r>
  <r>
    <d v="2025-11-02T00:00:00"/>
    <n v="4"/>
    <x v="2"/>
    <s v="Good Guys Auburn"/>
    <n v="150"/>
    <n v="600"/>
    <s v="Collected 02-11"/>
    <d v="2025-11-05T00:00:00"/>
    <x v="0"/>
  </r>
  <r>
    <d v="2025-11-02T00:00:00"/>
    <n v="4"/>
    <x v="1"/>
    <s v="Good Guys Auburn"/>
    <n v="150"/>
    <n v="600"/>
    <s v="Collected 02-11"/>
    <d v="2025-11-05T00:00:00"/>
    <x v="0"/>
  </r>
  <r>
    <d v="2025-11-04T00:00:00"/>
    <n v="20"/>
    <x v="3"/>
    <s v="Harvey Norman Moorepark"/>
    <n v="1063"/>
    <n v="21260"/>
    <s v="Collected 04-11"/>
    <d v="2025-11-05T00:00:00"/>
    <x v="1"/>
  </r>
  <r>
    <d v="2025-11-04T00:00:00"/>
    <n v="12"/>
    <x v="4"/>
    <s v="Harvey Norman Broadway"/>
    <n v="3375"/>
    <n v="40500"/>
    <s v="Collected 04-11"/>
    <d v="2025-11-05T00:00:00"/>
    <x v="0"/>
  </r>
  <r>
    <d v="2025-11-04T00:00:00"/>
    <n v="2"/>
    <x v="5"/>
    <s v="Harvey Norman Broadway"/>
    <n v="88"/>
    <n v="176"/>
    <s v="Collected 04-11"/>
    <d v="2025-11-05T00:00:00"/>
    <x v="2"/>
  </r>
  <r>
    <d v="2025-11-05T00:00:00"/>
    <n v="30"/>
    <x v="6"/>
    <s v="DJI Macquarie Park"/>
    <n v="410"/>
    <n v="12300"/>
    <s v="Collected 11 NOV"/>
    <d v="2025-11-18T00:00:00"/>
    <x v="0"/>
  </r>
  <r>
    <d v="2025-11-08T00:00:00"/>
    <n v="1"/>
    <x v="7"/>
    <s v="Bunnings Northmead"/>
    <n v="450"/>
    <n v="450"/>
    <s v="Collected "/>
    <d v="2025-11-18T00:00:00"/>
    <x v="0"/>
  </r>
  <r>
    <d v="2025-11-08T00:00:00"/>
    <n v="1"/>
    <x v="7"/>
    <s v="Bunnings Seven Hills"/>
    <n v="450"/>
    <n v="450"/>
    <s v="Collected "/>
    <d v="2025-11-18T00:00:00"/>
    <x v="0"/>
  </r>
  <r>
    <d v="2025-11-08T00:00:00"/>
    <n v="4"/>
    <x v="7"/>
    <s v="Bunnings Carlingford"/>
    <n v="450"/>
    <n v="1800"/>
    <s v="Collected "/>
    <d v="2025-11-18T00:00:00"/>
    <x v="0"/>
  </r>
  <r>
    <d v="2025-11-08T00:00:00"/>
    <n v="5"/>
    <x v="7"/>
    <s v="Bunnings Rydalmere"/>
    <n v="450"/>
    <n v="2250"/>
    <s v="Collected "/>
    <d v="2025-11-18T00:00:00"/>
    <x v="0"/>
  </r>
  <r>
    <d v="2025-11-08T00:00:00"/>
    <n v="11"/>
    <x v="7"/>
    <s v="Bunnings Gladesville"/>
    <n v="450"/>
    <n v="4950"/>
    <s v="Collected "/>
    <d v="2025-11-18T00:00:00"/>
    <x v="0"/>
  </r>
  <r>
    <d v="2025-11-09T00:00:00"/>
    <n v="10"/>
    <x v="7"/>
    <s v="Bunnings Thornleigh"/>
    <n v="450"/>
    <n v="4500"/>
    <s v="Collected "/>
    <d v="2025-11-18T00:00:00"/>
    <x v="0"/>
  </r>
  <r>
    <d v="2025-11-09T00:00:00"/>
    <n v="1"/>
    <x v="8"/>
    <s v="Harvey Norman Castle Hills"/>
    <n v="1358"/>
    <n v="1358"/>
    <s v="Collected "/>
    <d v="2025-11-18T00:00:00"/>
    <x v="3"/>
  </r>
  <r>
    <d v="2025-11-09T00:00:00"/>
    <n v="2"/>
    <x v="9"/>
    <s v="Officeworks Castle Hills"/>
    <n v="1403"/>
    <n v="2806"/>
    <s v="Collected "/>
    <d v="2025-11-18T00:00:00"/>
    <x v="0"/>
  </r>
  <r>
    <d v="2025-11-09T00:00:00"/>
    <n v="1"/>
    <x v="7"/>
    <s v="Officeworks Castle Hills"/>
    <n v="474"/>
    <n v="474"/>
    <s v="Collected "/>
    <d v="2025-11-18T00:00:00"/>
    <x v="0"/>
  </r>
  <r>
    <d v="2025-11-09T00:00:00"/>
    <n v="1"/>
    <x v="9"/>
    <s v="Office Works Northmead"/>
    <n v="1403"/>
    <n v="1403"/>
    <s v="Collected"/>
    <d v="2025-11-18T00:00:00"/>
    <x v="0"/>
  </r>
  <r>
    <d v="2025-11-09T00:00:00"/>
    <n v="1"/>
    <x v="9"/>
    <s v="Office Works Northmead"/>
    <n v="1403"/>
    <n v="1403"/>
    <s v="Collected 15-11"/>
    <d v="2025-11-18T00:00:00"/>
    <x v="0"/>
  </r>
  <r>
    <d v="2025-11-09T00:00:00"/>
    <n v="2"/>
    <x v="7"/>
    <s v="Bunnings Northmead"/>
    <n v="450"/>
    <n v="900"/>
    <s v="Collected"/>
    <d v="2025-11-18T00:00:00"/>
    <x v="0"/>
  </r>
  <r>
    <d v="2025-11-09T00:00:00"/>
    <n v="1"/>
    <x v="9"/>
    <s v="Officeworks Wentworthville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5"/>
    <x v="7"/>
    <s v="Bunnings Smithfield"/>
    <n v="450"/>
    <n v="2250"/>
    <s v="Collected"/>
    <d v="2025-11-21T00:00:00"/>
    <x v="0"/>
  </r>
  <r>
    <d v="2025-11-09T00:00:00"/>
    <n v="3"/>
    <x v="8"/>
    <s v="Harvey Norman Fyshwick"/>
    <n v="1358"/>
    <n v="4074"/>
    <s v="Collected 21-11"/>
    <d v="2025-11-21T00:00:00"/>
    <x v="3"/>
  </r>
  <r>
    <d v="2025-11-09T00:00:00"/>
    <n v="3"/>
    <x v="9"/>
    <s v="Harvey Norman Fyshwick"/>
    <n v="1477"/>
    <n v="4431"/>
    <s v="Collected 21-11"/>
    <d v="2025-11-21T00:00:00"/>
    <x v="3"/>
  </r>
  <r>
    <d v="2025-11-09T00:00:00"/>
    <n v="5"/>
    <x v="6"/>
    <s v="DJI Macquarie Park"/>
    <n v="410"/>
    <n v="2050"/>
    <s v="Collected/ 2 shipped"/>
    <d v="2025-11-18T00:00:00"/>
    <x v="0"/>
  </r>
  <r>
    <d v="2025-11-11T00:00:00"/>
    <n v="30"/>
    <x v="6"/>
    <s v="DJI Macquarie Park"/>
    <n v="410"/>
    <n v="12300"/>
    <s v="Collected 17-11"/>
    <d v="2025-11-18T00:00:00"/>
    <x v="0"/>
  </r>
  <r>
    <d v="2025-11-11T00:00:00"/>
    <n v="5"/>
    <x v="10"/>
    <s v="DJI Macquarie Park"/>
    <n v="1400"/>
    <n v="7000"/>
    <s v="Collected 17-11"/>
    <d v="2025-11-18T00:00:00"/>
    <x v="0"/>
  </r>
  <r>
    <d v="2025-11-11T00:00:00"/>
    <n v="5"/>
    <x v="11"/>
    <s v="DJI Macquarie Park"/>
    <n v="2500"/>
    <n v="12500"/>
    <s v="Collected 17-11"/>
    <d v="2025-11-18T00:00:00"/>
    <x v="0"/>
  </r>
  <r>
    <d v="2025-11-11T00:00:00"/>
    <n v="10"/>
    <x v="12"/>
    <s v="DJI Macquarie Park"/>
    <n v="3300"/>
    <n v="33000"/>
    <s v="Collected 17-11"/>
    <d v="2025-11-18T00:00:00"/>
    <x v="0"/>
  </r>
  <r>
    <d v="2025-11-17T00:00:00"/>
    <n v="9"/>
    <x v="13"/>
    <s v="Harvey Norman Fyshwick"/>
    <n v="625"/>
    <n v="5625"/>
    <s v="Colledted 20-11"/>
    <d v="2025-11-21T00:00:00"/>
    <x v="3"/>
  </r>
  <r>
    <d v="2025-11-17T00:00:00"/>
    <n v="1"/>
    <x v="14"/>
    <s v="ASIC"/>
    <n v="329"/>
    <n v="329"/>
    <m/>
    <m/>
    <x v="0"/>
  </r>
  <r>
    <d v="2025-11-17T00:00:00"/>
    <n v="1"/>
    <x v="15"/>
    <s v="Megatop"/>
    <n v="5000"/>
    <n v="5000"/>
    <m/>
    <m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4-11"/>
    <m/>
    <x v="4"/>
  </r>
  <r>
    <d v="2025-11-18T00:00:00"/>
    <n v="3"/>
    <x v="1"/>
    <s v="JBHIFI Roselands"/>
    <n v="130"/>
    <n v="390"/>
    <s v="Collected"/>
    <d v="2025-11-21T00:00:00"/>
    <x v="0"/>
  </r>
  <r>
    <d v="2025-11-19T00:00:00"/>
    <n v="6"/>
    <x v="1"/>
    <s v="JBHIFI Roselands"/>
    <n v="130"/>
    <n v="780"/>
    <s v="Collected"/>
    <d v="2025-11-21T00:00:00"/>
    <x v="0"/>
  </r>
  <r>
    <d v="2025-11-19T00:00:00"/>
    <n v="10"/>
    <x v="17"/>
    <s v="JBHIFI Roselands"/>
    <n v="39"/>
    <n v="390"/>
    <s v="Collected"/>
    <d v="2025-11-21T00:00:00"/>
    <x v="0"/>
  </r>
  <r>
    <d v="2025-11-19T00:00:00"/>
    <n v="6"/>
    <x v="18"/>
    <s v="JBHIFI Roselands"/>
    <n v="779"/>
    <n v="4674"/>
    <s v="Collected"/>
    <d v="2025-11-21T00:00:00"/>
    <x v="0"/>
  </r>
  <r>
    <d v="2025-11-19T00:00:00"/>
    <n v="6"/>
    <x v="19"/>
    <s v="JBHIFI Roselands"/>
    <n v="594"/>
    <n v="3564"/>
    <s v="Collected"/>
    <d v="2025-11-21T00:00:00"/>
    <x v="0"/>
  </r>
  <r>
    <d v="2025-11-19T00:00:00"/>
    <n v="3"/>
    <x v="19"/>
    <s v="JBHIFI Roselands"/>
    <n v="594"/>
    <n v="1782"/>
    <s v="Collected Parramatta"/>
    <d v="2025-11-21T00:00:00"/>
    <x v="0"/>
  </r>
  <r>
    <d v="2025-11-19T00:00:00"/>
    <n v="4"/>
    <x v="16"/>
    <s v="JBHIFI Roselands"/>
    <n v="454"/>
    <n v="1816"/>
    <s v="Delivered 24-11"/>
    <m/>
    <x v="4"/>
  </r>
  <r>
    <d v="2025-11-19T00:00:00"/>
    <n v="10"/>
    <x v="20"/>
    <s v="DJI Macquarie Park"/>
    <n v="777"/>
    <n v="7770"/>
    <s v="Collected 29-11"/>
    <m/>
    <x v="0"/>
  </r>
  <r>
    <d v="2025-11-19T00:00:00"/>
    <n v="10"/>
    <x v="10"/>
    <s v="DJI Macquarie Park"/>
    <n v="1400"/>
    <n v="14000"/>
    <s v="Collected 29-11"/>
    <m/>
    <x v="0"/>
  </r>
  <r>
    <d v="2025-11-19T00:00:00"/>
    <n v="7"/>
    <x v="19"/>
    <s v="JBHIFI Bankstown"/>
    <n v="559"/>
    <n v="3913"/>
    <s v="Collected"/>
    <d v="2025-11-21T00:00:00"/>
    <x v="0"/>
  </r>
  <r>
    <d v="2025-11-19T00:00:00"/>
    <n v="6"/>
    <x v="21"/>
    <s v="JBHIFI Bankstown"/>
    <n v="779"/>
    <n v="4674"/>
    <s v="Collected"/>
    <d v="2025-11-21T00:00:00"/>
    <x v="0"/>
  </r>
  <r>
    <d v="2025-11-19T00:00:00"/>
    <n v="4"/>
    <x v="2"/>
    <s v="JBHIFI Bankstown"/>
    <n v="125"/>
    <n v="500"/>
    <s v="Collected"/>
    <d v="2025-11-21T00:00:00"/>
    <x v="0"/>
  </r>
  <r>
    <d v="2025-11-19T00:00:00"/>
    <n v="1"/>
    <x v="22"/>
    <s v="Eb Games Parramatta"/>
    <n v="699"/>
    <n v="699"/>
    <s v="Collected 20-11"/>
    <d v="2025-11-21T00:00:00"/>
    <x v="0"/>
  </r>
  <r>
    <d v="2025-11-19T00:00:00"/>
    <n v="15"/>
    <x v="2"/>
    <s v="Good Guys Auburn"/>
    <n v="125"/>
    <n v="1875"/>
    <s v="Collected 02-12"/>
    <m/>
    <x v="0"/>
  </r>
  <r>
    <d v="2025-11-20T00:00:00"/>
    <n v="12"/>
    <x v="2"/>
    <s v="Good Guys Wetherill Park"/>
    <n v="125"/>
    <n v="1500"/>
    <s v="Collected 01-12"/>
    <m/>
    <x v="0"/>
  </r>
  <r>
    <d v="2025-11-20T00:00:00"/>
    <n v="23"/>
    <x v="2"/>
    <s v="Good Guys Casula"/>
    <n v="125"/>
    <n v="2875"/>
    <s v="22 Units Collected 30-11"/>
    <m/>
    <x v="5"/>
  </r>
  <r>
    <d v="2025-11-20T00:00:00"/>
    <n v="1"/>
    <x v="22"/>
    <s v="Eb Games Parramatta"/>
    <n v="699"/>
    <n v="699"/>
    <s v="Collected 20-11"/>
    <d v="2025-11-21T00:00:00"/>
    <x v="0"/>
  </r>
  <r>
    <d v="2025-11-20T00:00:00"/>
    <n v="2"/>
    <x v="23"/>
    <s v="JBHIFI Parramatta"/>
    <n v="2100"/>
    <n v="42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2"/>
    <x v="24"/>
    <s v="JBHIFI Merrylands"/>
    <n v="2100"/>
    <n v="4200"/>
    <s v="Colected 21-11"/>
    <d v="2025-11-21T00:00:00"/>
    <x v="0"/>
  </r>
  <r>
    <d v="2025-11-20T00:00:00"/>
    <n v="5"/>
    <x v="25"/>
    <s v="JBHIFI Parramatta"/>
    <n v="574"/>
    <n v="2870"/>
    <s v="Collected"/>
    <d v="2025-11-21T00:00:00"/>
    <x v="0"/>
  </r>
  <r>
    <d v="2025-11-20T00:00:00"/>
    <n v="10"/>
    <x v="26"/>
    <s v="JBHIFI Parramatta"/>
    <n v="103"/>
    <n v="1030"/>
    <s v="Collected"/>
    <d v="2025-11-21T00:00:00"/>
    <x v="0"/>
  </r>
  <r>
    <d v="2025-11-20T00:00:00"/>
    <n v="3"/>
    <x v="2"/>
    <s v="JBHIFI Parramatta"/>
    <n v="125"/>
    <n v="375"/>
    <s v="Collected"/>
    <d v="2025-11-21T00:00:00"/>
    <x v="0"/>
  </r>
  <r>
    <d v="2025-11-20T00:00:00"/>
    <n v="3"/>
    <x v="23"/>
    <s v="JBHIFI Parramatta"/>
    <n v="2100"/>
    <n v="63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12"/>
    <x v="7"/>
    <s v="Bunnings(Mix old P)"/>
    <n v="449"/>
    <n v="5388"/>
    <s v="Collected"/>
    <d v="2025-11-21T00:00:00"/>
    <x v="0"/>
  </r>
  <r>
    <d v="2025-11-21T00:00:00"/>
    <n v="4"/>
    <x v="23"/>
    <s v="JBHIFI Parramatta"/>
    <n v="2100"/>
    <n v="8400"/>
    <s v="Collected"/>
    <d v="2025-11-21T00:00:00"/>
    <x v="0"/>
  </r>
  <r>
    <d v="2025-11-21T00:00:00"/>
    <n v="6"/>
    <x v="23"/>
    <s v="JBHIFI Hurstville"/>
    <n v="2100"/>
    <n v="12600"/>
    <s v="Collected"/>
    <d v="2025-11-21T00:00:00"/>
    <x v="0"/>
  </r>
  <r>
    <d v="2025-11-21T00:00:00"/>
    <n v="6"/>
    <x v="24"/>
    <s v="JBHIFI Hurstville"/>
    <n v="2100"/>
    <n v="12600"/>
    <s v="Collected"/>
    <d v="2025-11-21T00:00:00"/>
    <x v="0"/>
  </r>
  <r>
    <d v="2025-11-21T00:00:00"/>
    <n v="16"/>
    <x v="7"/>
    <s v="Megatop"/>
    <s v="TBC"/>
    <n v="0"/>
    <s v="Collected"/>
    <d v="2025-11-21T00:00:00"/>
    <x v="0"/>
  </r>
  <r>
    <d v="2025-11-21T00:00:00"/>
    <n v="5"/>
    <x v="7"/>
    <s v="Megatop"/>
    <n v="0"/>
    <n v="0"/>
    <s v="Collected"/>
    <d v="2025-11-21T00:00:00"/>
    <x v="6"/>
  </r>
  <r>
    <d v="2025-11-21T00:00:00"/>
    <n v="20"/>
    <x v="7"/>
    <s v="Bunnings Lidcomb"/>
    <n v="399"/>
    <n v="7980"/>
    <s v="Collected"/>
    <d v="2025-11-24T00:00:00"/>
    <x v="0"/>
  </r>
  <r>
    <d v="2025-11-21T00:00:00"/>
    <n v="9"/>
    <x v="7"/>
    <s v="Bunnings Gladesville"/>
    <n v="399"/>
    <n v="3591"/>
    <s v="Collected"/>
    <d v="2025-11-24T00:00:00"/>
    <x v="0"/>
  </r>
  <r>
    <d v="2025-11-21T00:00:00"/>
    <n v="3"/>
    <x v="27"/>
    <s v="Ebgames Online"/>
    <n v="609.95000000000005"/>
    <n v="1829.8500000000001"/>
    <s v="Delivered 22-11"/>
    <m/>
    <x v="4"/>
  </r>
  <r>
    <d v="2025-11-21T00:00:00"/>
    <n v="1"/>
    <x v="27"/>
    <s v="Ebgames Online"/>
    <n v="598"/>
    <n v="598"/>
    <s v="Pending Collection Broadway"/>
    <m/>
    <x v="0"/>
  </r>
  <r>
    <d v="2025-11-21T00:00:00"/>
    <n v="1"/>
    <x v="28"/>
    <s v="Ebgames Parramatta"/>
    <n v="598"/>
    <n v="598"/>
    <s v="Collected 21-11"/>
    <d v="2025-11-21T00:00:00"/>
    <x v="0"/>
  </r>
  <r>
    <d v="2025-11-21T00:00:00"/>
    <n v="5"/>
    <x v="29"/>
    <s v="Good Guys "/>
    <n v="509"/>
    <n v="2545"/>
    <s v="Collected 02-12"/>
    <m/>
    <x v="0"/>
  </r>
  <r>
    <d v="2025-11-21T00:00:00"/>
    <n v="6"/>
    <x v="30"/>
    <s v="Good Guys "/>
    <n v="659"/>
    <n v="3954"/>
    <s v="Collected 02-12"/>
    <m/>
    <x v="0"/>
  </r>
  <r>
    <d v="2025-11-21T00:00:00"/>
    <n v="3"/>
    <x v="30"/>
    <s v="Good Guys "/>
    <n v="659"/>
    <n v="1977"/>
    <s v="Collected 01-12"/>
    <m/>
    <x v="0"/>
  </r>
  <r>
    <d v="2025-11-21T00:00:00"/>
    <n v="7"/>
    <x v="29"/>
    <s v="Good Guys "/>
    <n v="509"/>
    <n v="3563"/>
    <s v="5 Units Collected 01-13"/>
    <m/>
    <x v="7"/>
  </r>
  <r>
    <d v="2025-11-21T00:00:00"/>
    <n v="5"/>
    <x v="31"/>
    <s v="Good Guys "/>
    <n v="659"/>
    <n v="3295"/>
    <s v="Casula (Colledted 30-11)"/>
    <m/>
    <x v="0"/>
  </r>
  <r>
    <d v="2025-11-21T00:00:00"/>
    <n v="9"/>
    <x v="32"/>
    <s v="Good Guys "/>
    <n v="509"/>
    <n v="4581"/>
    <s v="Casula (Colledted 30-11)"/>
    <m/>
    <x v="0"/>
  </r>
  <r>
    <d v="2025-11-21T00:00:00"/>
    <n v="8"/>
    <x v="32"/>
    <s v="Good Guys "/>
    <n v="509"/>
    <n v="4072"/>
    <s v="Campbelltown (7 Units Collected)"/>
    <m/>
    <x v="8"/>
  </r>
  <r>
    <d v="2025-11-23T00:00:00"/>
    <n v="14"/>
    <x v="7"/>
    <s v="Bunnings Leppington"/>
    <n v="398"/>
    <n v="5572"/>
    <s v="Collected"/>
    <d v="2025-11-24T00:00:00"/>
    <x v="0"/>
  </r>
  <r>
    <d v="2025-11-23T00:00:00"/>
    <n v="5"/>
    <x v="7"/>
    <s v="Bunnings Northmead"/>
    <n v="398"/>
    <n v="1990"/>
    <s v="Collected"/>
    <d v="2025-11-24T00:00:00"/>
    <x v="0"/>
  </r>
  <r>
    <d v="2025-11-23T00:00:00"/>
    <n v="27"/>
    <x v="7"/>
    <s v="Bunnings Seven Hills"/>
    <n v="398"/>
    <n v="10746"/>
    <s v="Collected"/>
    <d v="2025-11-24T00:00:00"/>
    <x v="0"/>
  </r>
  <r>
    <d v="2025-11-23T00:00:00"/>
    <n v="20"/>
    <x v="7"/>
    <s v="Bunnings Minchinbury"/>
    <n v="398"/>
    <n v="7960"/>
    <s v="Collected"/>
    <d v="2025-11-24T00:00:00"/>
    <x v="0"/>
  </r>
  <r>
    <d v="2025-11-23T00:00:00"/>
    <n v="12"/>
    <x v="7"/>
    <s v="Bunnings Blacktown"/>
    <n v="398"/>
    <n v="4776"/>
    <s v="Collected"/>
    <d v="2025-11-24T00:00:00"/>
    <x v="0"/>
  </r>
  <r>
    <d v="2025-11-23T00:00:00"/>
    <n v="19"/>
    <x v="7"/>
    <s v="Bunnings Hoxton park"/>
    <n v="398"/>
    <n v="7562"/>
    <s v="Collected"/>
    <d v="2025-11-24T00:00:00"/>
    <x v="0"/>
  </r>
  <r>
    <d v="2025-11-23T00:00:00"/>
    <n v="10"/>
    <x v="7"/>
    <s v="Bunnings North Penrith"/>
    <n v="398"/>
    <n v="3980"/>
    <s v="Collected"/>
    <d v="2025-11-24T00:00:00"/>
    <x v="0"/>
  </r>
  <r>
    <d v="2025-11-23T00:00:00"/>
    <n v="17"/>
    <x v="7"/>
    <s v="Bunnings Penrith"/>
    <n v="398"/>
    <n v="6766"/>
    <s v="Collected"/>
    <d v="2025-11-24T00:00:00"/>
    <x v="0"/>
  </r>
  <r>
    <d v="2025-11-24T00:00:00"/>
    <n v="27"/>
    <x v="7"/>
    <s v="Bunnings Bankstown"/>
    <n v="398"/>
    <n v="10746"/>
    <s v="Collected"/>
    <d v="2025-11-24T00:00:00"/>
    <x v="0"/>
  </r>
  <r>
    <d v="2025-11-24T00:00:00"/>
    <n v="11"/>
    <x v="7"/>
    <s v="Bunnings Bankstown"/>
    <n v="398"/>
    <n v="4378"/>
    <s v="Collected"/>
    <m/>
    <x v="4"/>
  </r>
  <r>
    <d v="2025-11-24T00:00:00"/>
    <n v="1"/>
    <x v="33"/>
    <s v="Anis Rental"/>
    <n v="105"/>
    <n v="105"/>
    <m/>
    <m/>
    <x v="9"/>
  </r>
  <r>
    <d v="2025-11-24T00:00:00"/>
    <n v="2"/>
    <x v="34"/>
    <s v="Digi Direct Parramatta"/>
    <n v="679"/>
    <n v="1358"/>
    <s v="Collected "/>
    <m/>
    <x v="1"/>
  </r>
  <r>
    <d v="2025-11-27T00:00:00"/>
    <n v="50"/>
    <x v="7"/>
    <s v="Bunnings Packenham"/>
    <n v="398"/>
    <n v="19900"/>
    <s v="Delivered 28-11"/>
    <m/>
    <x v="0"/>
  </r>
  <r>
    <d v="2025-11-27T00:00:00"/>
    <n v="1"/>
    <x v="35"/>
    <s v="Bunnings Packenham"/>
    <n v="200"/>
    <n v="200"/>
    <m/>
    <m/>
    <x v="9"/>
  </r>
  <r>
    <d v="2025-11-27T00:00:00"/>
    <n v="10"/>
    <x v="0"/>
    <s v="DJI Macquarie Park"/>
    <n v="410"/>
    <n v="4100"/>
    <s v="Collected 29-11"/>
    <m/>
    <x v="4"/>
  </r>
  <r>
    <d v="2025-11-28T00:00:00"/>
    <n v="6"/>
    <x v="0"/>
    <s v="JBHIFI Parramatta"/>
    <n v="419"/>
    <n v="2514"/>
    <s v="Macarthur Square (Collected 30-11)"/>
    <m/>
    <x v="4"/>
  </r>
  <r>
    <d v="2025-11-28T00:00:00"/>
    <n v="10"/>
    <x v="36"/>
    <s v="JBHIFI Parramatta"/>
    <n v="125"/>
    <n v="1250"/>
    <s v="Pending Collection TBC"/>
    <m/>
    <x v="0"/>
  </r>
  <r>
    <d v="2025-11-28T00:00:00"/>
    <n v="3"/>
    <x v="0"/>
    <s v="JBHIFI Parramatta"/>
    <n v="419"/>
    <n v="1257"/>
    <s v="Pending Collection Merrylands"/>
    <m/>
    <x v="0"/>
  </r>
  <r>
    <d v="2025-11-28T00:00:00"/>
    <n v="2"/>
    <x v="0"/>
    <s v="JBHIFI Parramatta"/>
    <n v="419"/>
    <n v="838"/>
    <s v="Pending Collection Parramatta"/>
    <m/>
    <x v="0"/>
  </r>
  <r>
    <d v="2025-11-29T00:00:00"/>
    <n v="1"/>
    <x v="29"/>
    <s v="Ebgames Macuarie Park"/>
    <n v="467"/>
    <n v="467"/>
    <s v="Collected"/>
    <m/>
    <x v="4"/>
  </r>
  <r>
    <d v="2025-11-29T00:00:00"/>
    <n v="2"/>
    <x v="29"/>
    <s v="JBHIFI Macquarie Park"/>
    <n v="479"/>
    <n v="958"/>
    <s v="Collected"/>
    <m/>
    <x v="4"/>
  </r>
  <r>
    <d v="2025-11-29T00:00:00"/>
    <n v="2"/>
    <x v="7"/>
    <s v="JBHIFI Macquarie Park"/>
    <n v="399"/>
    <n v="798"/>
    <s v="Collected"/>
    <m/>
    <x v="4"/>
  </r>
  <r>
    <d v="2025-11-29T00:00:00"/>
    <n v="3"/>
    <x v="0"/>
    <s v="JBHIFI Top Ryde"/>
    <n v="419"/>
    <n v="1257"/>
    <s v="Collected"/>
    <m/>
    <x v="4"/>
  </r>
  <r>
    <d v="2025-11-29T00:00:00"/>
    <n v="2"/>
    <x v="29"/>
    <s v="JBHIFI Top Ryde"/>
    <n v="479"/>
    <n v="958"/>
    <s v="Collected"/>
    <m/>
    <x v="4"/>
  </r>
  <r>
    <d v="2025-11-29T00:00:00"/>
    <n v="3"/>
    <x v="37"/>
    <s v="JBHIFI Top Ryde"/>
    <n v="105"/>
    <n v="315"/>
    <s v="Collected"/>
    <m/>
    <x v="4"/>
  </r>
  <r>
    <d v="2025-11-29T00:00:00"/>
    <n v="2"/>
    <x v="7"/>
    <s v="JBHIFI Top Ryde"/>
    <n v="299"/>
    <n v="598"/>
    <s v="Collected"/>
    <m/>
    <x v="4"/>
  </r>
  <r>
    <d v="2025-11-29T00:00:00"/>
    <n v="1"/>
    <x v="38"/>
    <s v="JBHIFI Top Ryde"/>
    <n v="399"/>
    <n v="399"/>
    <s v="Pending Collection Parramatta"/>
    <m/>
    <x v="0"/>
  </r>
  <r>
    <d v="2025-11-29T00:00:00"/>
    <n v="4"/>
    <x v="7"/>
    <s v="Office Works Guildford"/>
    <n v="398"/>
    <n v="1592"/>
    <s v="Collected"/>
    <m/>
    <x v="4"/>
  </r>
  <r>
    <d v="2025-11-29T00:00:00"/>
    <n v="2"/>
    <x v="7"/>
    <s v="Office Works Guildford"/>
    <n v="398"/>
    <n v="796"/>
    <s v=" Auburn Collected 02-12"/>
    <m/>
    <x v="4"/>
  </r>
  <r>
    <d v="2025-11-29T00:00:00"/>
    <n v="4"/>
    <x v="7"/>
    <s v="Bunnings Smithfield"/>
    <n v="398"/>
    <n v="1592"/>
    <s v="Collected"/>
    <m/>
    <x v="4"/>
  </r>
  <r>
    <d v="2025-11-29T00:00:00"/>
    <n v="3"/>
    <x v="7"/>
    <s v="Bunnings Villawood"/>
    <n v="398"/>
    <n v="1194"/>
    <s v="Collected"/>
    <m/>
    <x v="4"/>
  </r>
  <r>
    <d v="2025-11-29T00:00:00"/>
    <n v="5"/>
    <x v="7"/>
    <s v="Harvey Norman Fyshwick"/>
    <n v="398"/>
    <n v="1990"/>
    <s v="Pending Delivery"/>
    <m/>
    <x v="0"/>
  </r>
  <r>
    <d v="2025-11-29T00:00:00"/>
    <n v="35"/>
    <x v="7"/>
    <s v="Harvey Norman Fyshwick"/>
    <n v="0"/>
    <n v="0"/>
    <s v="$1000 Deposit Only"/>
    <m/>
    <x v="0"/>
  </r>
  <r>
    <d v="2025-11-30T00:00:00"/>
    <n v="18"/>
    <x v="7"/>
    <s v="Bunnings Campbelltown"/>
    <n v="398"/>
    <n v="7164"/>
    <s v="Collected"/>
    <m/>
    <x v="4"/>
  </r>
  <r>
    <d v="2025-11-30T00:00:00"/>
    <n v="9"/>
    <x v="7"/>
    <s v="Bunnings Gregory Hills"/>
    <n v="398"/>
    <n v="3582"/>
    <s v="Collected"/>
    <m/>
    <x v="4"/>
  </r>
  <r>
    <d v="2025-11-30T00:00:00"/>
    <n v="1"/>
    <x v="7"/>
    <s v="JBHIFI Macarthure Square"/>
    <n v="299"/>
    <n v="299"/>
    <s v="Collected"/>
    <m/>
    <x v="4"/>
  </r>
  <r>
    <d v="2025-11-30T00:00:00"/>
    <n v="2"/>
    <x v="29"/>
    <s v="JBHIFI Macarthure Square"/>
    <n v="479"/>
    <n v="958"/>
    <s v="Collected"/>
    <m/>
    <x v="4"/>
  </r>
  <r>
    <d v="2025-11-30T00:00:00"/>
    <n v="8"/>
    <x v="2"/>
    <s v="JBHIFI Macarthure Square"/>
    <n v="125"/>
    <n v="1000"/>
    <s v="Collected"/>
    <m/>
    <x v="4"/>
  </r>
  <r>
    <d v="2025-11-30T00:00:00"/>
    <n v="1"/>
    <x v="39"/>
    <s v="JBHIFI Macarthure Square"/>
    <n v="380"/>
    <n v="380"/>
    <s v="Collected"/>
    <m/>
    <x v="4"/>
  </r>
  <r>
    <d v="2025-11-30T00:00:00"/>
    <n v="1"/>
    <x v="6"/>
    <s v="JBHIFI Macarthure Square"/>
    <n v="419"/>
    <n v="419"/>
    <s v="Collected"/>
    <m/>
    <x v="4"/>
  </r>
  <r>
    <d v="2025-11-30T00:00:00"/>
    <n v="2"/>
    <x v="7"/>
    <s v="Office Works Gledswood"/>
    <n v="398"/>
    <n v="796"/>
    <s v="Collected"/>
    <m/>
    <x v="4"/>
  </r>
  <r>
    <d v="2025-11-30T00:00:00"/>
    <n v="2"/>
    <x v="7"/>
    <s v="Office Works Gledswood"/>
    <n v="398"/>
    <n v="796"/>
    <s v="Collected 01-12"/>
    <m/>
    <x v="4"/>
  </r>
  <r>
    <d v="2025-11-30T00:00:00"/>
    <n v="4"/>
    <x v="7"/>
    <s v="Office Works Casula"/>
    <n v="398"/>
    <n v="1592"/>
    <s v="Collected 01-12"/>
    <m/>
    <x v="4"/>
  </r>
  <r>
    <d v="2025-11-30T00:00:00"/>
    <n v="2"/>
    <x v="7"/>
    <s v="Office Works Casula"/>
    <n v="398"/>
    <n v="796"/>
    <s v="Collected"/>
    <m/>
    <x v="4"/>
  </r>
  <r>
    <d v="2025-11-30T00:00:00"/>
    <n v="3"/>
    <x v="7"/>
    <s v="JBHIFI Parramatta"/>
    <n v="299"/>
    <n v="897"/>
    <s v="Collected"/>
    <m/>
    <x v="4"/>
  </r>
  <r>
    <d v="2025-11-30T00:00:00"/>
    <n v="2"/>
    <x v="29"/>
    <s v="JBHIFI Parramatta"/>
    <n v="479"/>
    <n v="958"/>
    <s v="Collected"/>
    <m/>
    <x v="4"/>
  </r>
  <r>
    <d v="2025-11-30T00:00:00"/>
    <n v="8"/>
    <x v="2"/>
    <s v="JBHIFI Parramatta"/>
    <n v="125"/>
    <n v="1000"/>
    <s v="Collected"/>
    <m/>
    <x v="4"/>
  </r>
  <r>
    <d v="2025-11-30T00:00:00"/>
    <n v="7"/>
    <x v="38"/>
    <s v="JBHIFI Parramatta"/>
    <n v="380"/>
    <n v="2660"/>
    <s v="Collected"/>
    <m/>
    <x v="4"/>
  </r>
  <r>
    <d v="2025-11-30T00:00:00"/>
    <n v="3"/>
    <x v="6"/>
    <s v="JBHIFI Parramatta"/>
    <n v="410"/>
    <n v="1230"/>
    <s v="Pending Collection Macquarie Park"/>
    <m/>
    <x v="0"/>
  </r>
  <r>
    <d v="2025-11-30T00:00:00"/>
    <n v="47"/>
    <x v="7"/>
    <s v="Perth Waleed"/>
    <n v="398"/>
    <n v="18706"/>
    <s v="Collected Perth Waleed"/>
    <m/>
    <x v="10"/>
  </r>
  <r>
    <d v="2025-11-30T00:00:00"/>
    <n v="1"/>
    <x v="40"/>
    <s v="Waleed"/>
    <n v="470"/>
    <n v="470"/>
    <s v="Perth Collection"/>
    <m/>
    <x v="0"/>
  </r>
  <r>
    <d v="2025-11-30T00:00:00"/>
    <n v="1"/>
    <x v="15"/>
    <s v="Megatop"/>
    <n v="10122.66"/>
    <n v="10122.66"/>
    <s v="Megatop Shipping Charges"/>
    <m/>
    <x v="9"/>
  </r>
  <r>
    <m/>
    <m/>
    <x v="41"/>
    <m/>
    <m/>
    <m/>
    <m/>
    <m/>
    <x v="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d v="2025-12-01T00:00:00"/>
    <n v="2"/>
    <x v="0"/>
    <s v="BCF Wetherill Park"/>
    <n v="399"/>
    <n v="798"/>
    <s v=" Auburn Collected 02-12"/>
    <m/>
    <x v="0"/>
  </r>
  <r>
    <d v="2025-12-01T00:00:00"/>
    <n v="2"/>
    <x v="0"/>
    <s v="Office Works Wetherill park"/>
    <n v="398"/>
    <n v="796"/>
    <s v="Collected"/>
    <m/>
    <x v="0"/>
  </r>
  <r>
    <d v="2025-12-01T00:00:00"/>
    <n v="2"/>
    <x v="1"/>
    <s v="JBHIFI Parramatta"/>
    <n v="479"/>
    <n v="958"/>
    <s v="Pending Collection Bankstown"/>
    <m/>
    <x v="1"/>
  </r>
  <r>
    <d v="2025-12-01T00:00:00"/>
    <n v="2"/>
    <x v="0"/>
    <s v="JBHIFI Parramatta"/>
    <n v="299"/>
    <n v="598"/>
    <s v="Pending Collection Bankstown"/>
    <m/>
    <x v="1"/>
  </r>
  <r>
    <d v="2025-12-01T00:00:00"/>
    <n v="3"/>
    <x v="2"/>
    <s v="JBHIFI Parramatta"/>
    <n v="419"/>
    <n v="1257"/>
    <s v="Pending Collection Bankstown"/>
    <m/>
    <x v="1"/>
  </r>
  <r>
    <d v="2025-12-01T00:00:00"/>
    <n v="10"/>
    <x v="3"/>
    <s v="JBHIFI Parramatta"/>
    <n v="125"/>
    <n v="1250"/>
    <s v="Pending Collection Bankstown"/>
    <m/>
    <x v="1"/>
  </r>
  <r>
    <d v="2025-12-01T00:00:00"/>
    <n v="2"/>
    <x v="1"/>
    <s v="JBHIFI Parramatta"/>
    <n v="479"/>
    <n v="958"/>
    <s v="Collected 03-12"/>
    <m/>
    <x v="1"/>
  </r>
  <r>
    <d v="2025-12-01T00:00:00"/>
    <n v="1"/>
    <x v="0"/>
    <s v="JBHIFI Parramatta"/>
    <n v="299"/>
    <n v="299"/>
    <s v="Collected 03-12"/>
    <m/>
    <x v="1"/>
  </r>
  <r>
    <d v="2025-12-01T00:00:00"/>
    <n v="3"/>
    <x v="2"/>
    <s v="JBHIFI Parramatta"/>
    <n v="419"/>
    <n v="1257"/>
    <s v="Collected 03-12"/>
    <m/>
    <x v="1"/>
  </r>
  <r>
    <d v="2025-12-01T00:00:00"/>
    <n v="1"/>
    <x v="4"/>
    <s v="Good Guys Auburn"/>
    <n v="659"/>
    <n v="659"/>
    <s v="Collected 02-12"/>
    <m/>
    <x v="0"/>
  </r>
  <r>
    <d v="2025-12-01T00:00:00"/>
    <n v="1"/>
    <x v="5"/>
    <s v="Good Guys Auburn"/>
    <n v="509"/>
    <n v="509"/>
    <s v="Collected 02-12"/>
    <m/>
    <x v="0"/>
  </r>
  <r>
    <d v="2025-12-01T00:00:00"/>
    <n v="12"/>
    <x v="0"/>
    <s v="Bunnings Perth"/>
    <n v="398"/>
    <n v="4776"/>
    <s v="Pending Delivery Waleed"/>
    <m/>
    <x v="2"/>
  </r>
  <r>
    <d v="2025-12-02T00:00:00"/>
    <n v="2"/>
    <x v="0"/>
    <s v="Office Works Auburn"/>
    <n v="398"/>
    <n v="796"/>
    <s v="Collected"/>
    <m/>
    <x v="0"/>
  </r>
  <r>
    <d v="2025-12-02T00:00:00"/>
    <n v="2"/>
    <x v="0"/>
    <s v="BCF Auburn"/>
    <n v="398"/>
    <n v="796"/>
    <s v="Collected"/>
    <m/>
    <x v="0"/>
  </r>
  <r>
    <d v="2025-12-02T00:00:00"/>
    <n v="1"/>
    <x v="0"/>
    <s v="Bunnings Perth"/>
    <n v="398"/>
    <n v="398"/>
    <s v="Pending Delivery Waleed"/>
    <m/>
    <x v="2"/>
  </r>
  <r>
    <d v="2025-12-02T00:00:00"/>
    <n v="1"/>
    <x v="6"/>
    <s v="Waleed"/>
    <n v="130"/>
    <n v="130"/>
    <s v="Perth Collection"/>
    <m/>
    <x v="1"/>
  </r>
  <r>
    <d v="2025-12-02T00:00:00"/>
    <n v="5"/>
    <x v="7"/>
    <s v="JBHIFI Parramatta Adil"/>
    <n v="105"/>
    <n v="525"/>
    <s v="Delivered 02-12"/>
    <m/>
    <x v="0"/>
  </r>
  <r>
    <d v="2025-12-02T00:00:00"/>
    <n v="2"/>
    <x v="0"/>
    <s v="JBHIFI Parramatta Adil"/>
    <n v="299"/>
    <n v="598"/>
    <s v="Delivered 02-12"/>
    <m/>
    <x v="0"/>
  </r>
  <r>
    <d v="2025-12-02T00:00:00"/>
    <n v="4"/>
    <x v="3"/>
    <s v="JBHIFI Parramatta Adil"/>
    <n v="125"/>
    <n v="500"/>
    <s v="Delivered 02-12"/>
    <m/>
    <x v="1"/>
  </r>
  <r>
    <d v="2025-12-02T00:00:00"/>
    <n v="2"/>
    <x v="8"/>
    <s v="JBHIFI Parramatta Adil"/>
    <n v="479"/>
    <n v="958"/>
    <s v="Delivered 02-12"/>
    <m/>
    <x v="0"/>
  </r>
  <r>
    <d v="2025-12-02T00:00:00"/>
    <n v="1"/>
    <x v="0"/>
    <s v="JBHIFI Homebush Adil"/>
    <n v="299"/>
    <n v="299"/>
    <s v="Delivered 02-12"/>
    <m/>
    <x v="0"/>
  </r>
  <r>
    <d v="2025-12-02T00:00:00"/>
    <n v="2"/>
    <x v="9"/>
    <s v="JBHIFI Homebush Adil"/>
    <n v="478"/>
    <n v="956"/>
    <s v="Delivered 02-12"/>
    <m/>
    <x v="0"/>
  </r>
  <r>
    <d v="2025-12-02T00:00:00"/>
    <n v="3"/>
    <x v="0"/>
    <s v="BCF Adil"/>
    <n v="399"/>
    <n v="1197"/>
    <s v="Delivered 02-12"/>
    <m/>
    <x v="0"/>
  </r>
  <r>
    <d v="2025-12-03T00:00:00"/>
    <n v="12"/>
    <x v="0"/>
    <s v="Bunnings Castle Hills"/>
    <n v="398"/>
    <n v="4776"/>
    <s v="Collected "/>
    <m/>
    <x v="0"/>
  </r>
  <r>
    <d v="2025-12-03T00:00:00"/>
    <n v="1"/>
    <x v="10"/>
    <s v="EB Games Roselands"/>
    <n v="598"/>
    <n v="598"/>
    <s v="Collected "/>
    <m/>
    <x v="1"/>
  </r>
  <r>
    <d v="2025-12-03T00:00:00"/>
    <n v="6"/>
    <x v="7"/>
    <s v="JBHIFI Roselands"/>
    <n v="103"/>
    <n v="618"/>
    <s v="Collected "/>
    <m/>
    <x v="1"/>
  </r>
  <r>
    <d v="2025-12-03T00:00:00"/>
    <n v="2"/>
    <x v="10"/>
    <s v="JBHIFI Roselands"/>
    <n v="629"/>
    <n v="1258"/>
    <s v="Collected "/>
    <m/>
    <x v="1"/>
  </r>
  <r>
    <d v="2025-12-03T00:00:00"/>
    <n v="1"/>
    <x v="11"/>
    <s v="JBHIFI Roselands"/>
    <n v="69"/>
    <n v="69"/>
    <s v="Collected "/>
    <m/>
    <x v="1"/>
  </r>
  <r>
    <d v="2025-12-03T00:00:00"/>
    <n v="1"/>
    <x v="12"/>
    <s v="JBHIFI Roselands"/>
    <n v="44"/>
    <n v="44"/>
    <s v="Collected "/>
    <m/>
    <x v="1"/>
  </r>
  <r>
    <d v="2025-12-03T00:00:00"/>
    <n v="2"/>
    <x v="0"/>
    <s v="JBHIFI Roselands"/>
    <n v="299"/>
    <n v="598"/>
    <s v="Collected "/>
    <m/>
    <x v="1"/>
  </r>
  <r>
    <d v="2025-12-03T00:00:00"/>
    <n v="14"/>
    <x v="3"/>
    <s v="JBHIFI Roselands"/>
    <n v="125"/>
    <n v="1750"/>
    <s v="Collected "/>
    <m/>
    <x v="1"/>
  </r>
  <r>
    <d v="2025-12-03T00:00:00"/>
    <n v="1"/>
    <x v="2"/>
    <s v="JBHIFI Roselands"/>
    <n v="419"/>
    <n v="419"/>
    <s v="Collected "/>
    <m/>
    <x v="1"/>
  </r>
  <r>
    <d v="2025-12-03T00:00:00"/>
    <n v="5"/>
    <x v="13"/>
    <s v="JBHIFI Roselands"/>
    <n v="419"/>
    <n v="2095"/>
    <s v="Pending Collection Broadway"/>
    <m/>
    <x v="1"/>
  </r>
  <r>
    <d v="2025-12-03T00:00:00"/>
    <n v="1"/>
    <x v="0"/>
    <s v="JBHIFI Roselands"/>
    <n v="299"/>
    <n v="299"/>
    <s v="Pending Collection Broadway"/>
    <m/>
    <x v="1"/>
  </r>
  <r>
    <d v="2025-12-03T00:00:00"/>
    <n v="2"/>
    <x v="0"/>
    <s v="JBHIFI Roselands"/>
    <n v="299"/>
    <n v="598"/>
    <s v="Pending Collection Macquarie"/>
    <m/>
    <x v="1"/>
  </r>
  <r>
    <d v="2025-12-03T00:00:00"/>
    <n v="1"/>
    <x v="0"/>
    <s v="JBHIFI Roselands"/>
    <n v="299"/>
    <n v="299"/>
    <s v="Pending Collection Bankstown"/>
    <m/>
    <x v="1"/>
  </r>
  <r>
    <d v="2025-12-03T00:00:00"/>
    <n v="2"/>
    <x v="8"/>
    <s v="JBHIFI Roselands"/>
    <n v="479"/>
    <n v="958"/>
    <s v="Pending Collection Broadway"/>
    <m/>
    <x v="1"/>
  </r>
  <r>
    <d v="2025-12-03T00:00:00"/>
    <n v="2"/>
    <x v="8"/>
    <s v="JBHIFI Hurstville"/>
    <n v="479"/>
    <n v="958"/>
    <s v="Collected"/>
    <m/>
    <x v="1"/>
  </r>
  <r>
    <d v="2025-12-03T00:00:00"/>
    <n v="1"/>
    <x v="8"/>
    <s v="Eb Games Hurstville"/>
    <n v="499"/>
    <n v="499"/>
    <s v="Collected"/>
    <m/>
    <x v="1"/>
  </r>
  <r>
    <d v="2025-12-03T00:00:00"/>
    <n v="4"/>
    <x v="0"/>
    <s v="Officeworks Hurstville"/>
    <n v="398"/>
    <n v="1592"/>
    <s v="Collected"/>
    <m/>
    <x v="1"/>
  </r>
  <r>
    <m/>
    <m/>
    <x v="14"/>
    <m/>
    <m/>
    <m/>
    <m/>
    <m/>
    <x v="1"/>
  </r>
  <r>
    <m/>
    <m/>
    <x v="14"/>
    <m/>
    <m/>
    <m/>
    <m/>
    <m/>
    <x v="1"/>
  </r>
  <r>
    <m/>
    <m/>
    <x v="14"/>
    <m/>
    <m/>
    <m/>
    <m/>
    <m/>
    <x v="1"/>
  </r>
  <r>
    <m/>
    <m/>
    <x v="14"/>
    <m/>
    <m/>
    <m/>
    <m/>
    <m/>
    <x v="1"/>
  </r>
  <r>
    <m/>
    <m/>
    <x v="14"/>
    <m/>
    <m/>
    <m/>
    <m/>
    <m/>
    <x v="1"/>
  </r>
  <r>
    <m/>
    <m/>
    <x v="14"/>
    <m/>
    <m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CDC26-7888-4022-A435-C26BDFB55F57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K3:M32" firstHeaderRow="0" firstDataRow="1" firstDataCol="1" rowPageCount="1" colPageCount="1"/>
  <pivotFields count="8">
    <pivotField axis="axisPage" multipleItemSelectionAllowed="1" showAll="0">
      <items count="13">
        <item h="1" x="0"/>
        <item h="1" x="1"/>
        <item h="1" x="2"/>
        <item h="1" x="3"/>
        <item h="1" x="5"/>
        <item h="1" x="6"/>
        <item x="7"/>
        <item x="8"/>
        <item x="9"/>
        <item x="10"/>
        <item x="11"/>
        <item h="1" x="4"/>
        <item t="default"/>
      </items>
    </pivotField>
    <pivotField dataField="1" showAll="0"/>
    <pivotField axis="axisRow" showAll="0">
      <items count="54">
        <item x="40"/>
        <item x="41"/>
        <item x="36"/>
        <item x="34"/>
        <item x="38"/>
        <item x="42"/>
        <item x="43"/>
        <item x="10"/>
        <item x="33"/>
        <item x="4"/>
        <item x="37"/>
        <item x="8"/>
        <item x="13"/>
        <item x="0"/>
        <item x="3"/>
        <item m="1" x="50"/>
        <item m="1" x="49"/>
        <item m="1" x="48"/>
        <item m="1" x="47"/>
        <item m="1" x="46"/>
        <item x="15"/>
        <item x="1"/>
        <item x="11"/>
        <item x="2"/>
        <item x="39"/>
        <item x="26"/>
        <item x="30"/>
        <item x="27"/>
        <item x="31"/>
        <item x="35"/>
        <item m="1" x="45"/>
        <item x="6"/>
        <item x="23"/>
        <item x="7"/>
        <item x="9"/>
        <item x="29"/>
        <item m="1" x="51"/>
        <item m="1" x="52"/>
        <item x="28"/>
        <item x="5"/>
        <item x="14"/>
        <item x="44"/>
        <item x="12"/>
        <item x="16"/>
        <item x="17"/>
        <item x="18"/>
        <item x="19"/>
        <item x="20"/>
        <item x="21"/>
        <item x="22"/>
        <item x="24"/>
        <item x="25"/>
        <item x="3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24"/>
    </i>
    <i>
      <x v="25"/>
    </i>
    <i>
      <x v="26"/>
    </i>
    <i>
      <x v="27"/>
    </i>
    <i>
      <x v="28"/>
    </i>
    <i>
      <x v="29"/>
    </i>
    <i>
      <x v="32"/>
    </i>
    <i>
      <x v="35"/>
    </i>
    <i>
      <x v="38"/>
    </i>
    <i>
      <x v="39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Qty" fld="1" baseField="0" baseItem="0"/>
    <dataField name="Sum of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C2DE2-8549-49AA-B615-BA0B091290B9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11" firstHeaderRow="1" firstDataRow="1" firstDataCol="1"/>
  <pivotFields count="4">
    <pivotField axis="axisRow" showAll="0">
      <items count="6">
        <item x="2"/>
        <item x="3"/>
        <item x="0"/>
        <item x="1"/>
        <item h="1" x="4"/>
        <item t="default"/>
      </items>
    </pivotField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dataField="1" showAll="0"/>
  </pivotFields>
  <rowFields count="2">
    <field x="0"/>
    <field x="1"/>
  </rowFields>
  <rowItems count="10">
    <i>
      <x/>
    </i>
    <i r="1">
      <x v="1"/>
    </i>
    <i>
      <x v="1"/>
    </i>
    <i r="1">
      <x v="3"/>
    </i>
    <i>
      <x v="2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Pric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46CD0-3AB8-4CDC-B956-87B9AD7E756F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Items">
  <location ref="E1:F25" firstHeaderRow="1" firstDataRow="1" firstDataCol="1"/>
  <pivotFields count="2">
    <pivotField dataField="1" showAll="0"/>
    <pivotField axis="axisRow" showAll="0">
      <items count="26">
        <item m="1" x="24"/>
        <item x="7"/>
        <item x="4"/>
        <item x="18"/>
        <item x="9"/>
        <item x="2"/>
        <item x="10"/>
        <item x="20"/>
        <item x="0"/>
        <item x="1"/>
        <item x="19"/>
        <item x="12"/>
        <item x="16"/>
        <item x="14"/>
        <item x="21"/>
        <item x="11"/>
        <item x="17"/>
        <item x="5"/>
        <item x="6"/>
        <item x="13"/>
        <item x="8"/>
        <item x="15"/>
        <item x="3"/>
        <item x="22"/>
        <item h="1" x="23"/>
        <item t="default"/>
      </items>
    </pivotField>
  </pivotFields>
  <rowFields count="1">
    <field x="1"/>
  </rowFields>
  <rowItems count="2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Qty" fld="0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D96FA-1A17-4CA2-BCDA-A8BC1AC5A0EA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H1:I16" firstHeaderRow="1" firstDataRow="1" firstDataCol="1"/>
  <pivotFields count="2">
    <pivotField dataField="1" showAll="0"/>
    <pivotField axis="axisRow" showAll="0">
      <items count="16">
        <item x="10"/>
        <item x="7"/>
        <item x="1"/>
        <item x="5"/>
        <item x="4"/>
        <item x="3"/>
        <item x="13"/>
        <item x="11"/>
        <item x="0"/>
        <item x="9"/>
        <item x="8"/>
        <item x="12"/>
        <item x="6"/>
        <item x="2"/>
        <item h="1" x="14"/>
        <item t="default"/>
      </items>
    </pivotField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Qty" fld="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05BE3B-6286-465E-BBE1-291AA35E01BB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:Q19" firstHeaderRow="1" firstDataRow="1" firstDataCol="1"/>
  <pivotFields count="9">
    <pivotField showAll="0"/>
    <pivotField dataField="1" showAll="0"/>
    <pivotField axis="axisRow" showAll="0">
      <items count="43">
        <item x="34"/>
        <item x="40"/>
        <item x="14"/>
        <item x="35"/>
        <item x="12"/>
        <item x="11"/>
        <item x="6"/>
        <item x="26"/>
        <item x="10"/>
        <item x="25"/>
        <item x="5"/>
        <item x="8"/>
        <item x="9"/>
        <item x="13"/>
        <item x="24"/>
        <item x="23"/>
        <item x="36"/>
        <item x="2"/>
        <item x="1"/>
        <item x="4"/>
        <item x="16"/>
        <item x="39"/>
        <item x="0"/>
        <item x="37"/>
        <item x="3"/>
        <item x="22"/>
        <item x="17"/>
        <item x="20"/>
        <item x="18"/>
        <item x="21"/>
        <item x="19"/>
        <item x="29"/>
        <item x="30"/>
        <item x="28"/>
        <item x="27"/>
        <item x="32"/>
        <item x="31"/>
        <item x="38"/>
        <item x="15"/>
        <item x="7"/>
        <item x="33"/>
        <item x="4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8"/>
        <item x="5"/>
        <item h="1" x="3"/>
        <item x="7"/>
        <item h="1" x="6"/>
        <item h="1" x="9"/>
        <item x="4"/>
        <item h="1" x="1"/>
        <item h="1" x="2"/>
        <item h="1" x="0"/>
        <item h="1" x="10"/>
        <item t="default"/>
      </items>
    </pivotField>
  </pivotFields>
  <rowFields count="2">
    <field x="8"/>
    <field x="2"/>
  </rowFields>
  <rowItems count="18">
    <i>
      <x/>
    </i>
    <i r="1">
      <x v="35"/>
    </i>
    <i>
      <x v="1"/>
    </i>
    <i r="1">
      <x v="17"/>
    </i>
    <i>
      <x v="3"/>
    </i>
    <i r="1">
      <x v="31"/>
    </i>
    <i>
      <x v="6"/>
    </i>
    <i r="1">
      <x v="6"/>
    </i>
    <i r="1">
      <x v="17"/>
    </i>
    <i r="1">
      <x v="20"/>
    </i>
    <i r="1">
      <x v="21"/>
    </i>
    <i r="1">
      <x v="22"/>
    </i>
    <i r="1">
      <x v="23"/>
    </i>
    <i r="1">
      <x v="31"/>
    </i>
    <i r="1">
      <x v="34"/>
    </i>
    <i r="1">
      <x v="37"/>
    </i>
    <i r="1">
      <x v="3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1EA51-945D-4AA4-86F0-D097A1C9C91C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1:T9" firstHeaderRow="1" firstDataRow="1" firstDataCol="1"/>
  <pivotFields count="9">
    <pivotField showAll="0"/>
    <pivotField dataField="1" showAll="0"/>
    <pivotField axis="axisRow" showAll="0">
      <items count="16">
        <item x="6"/>
        <item x="2"/>
        <item x="7"/>
        <item x="3"/>
        <item x="9"/>
        <item x="8"/>
        <item x="1"/>
        <item x="5"/>
        <item x="4"/>
        <item x="0"/>
        <item x="14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h="1" x="1"/>
        <item h="1" x="2"/>
        <item t="default"/>
      </items>
    </pivotField>
  </pivotFields>
  <rowFields count="2">
    <field x="8"/>
    <field x="2"/>
  </rowFields>
  <rowItems count="8">
    <i>
      <x/>
    </i>
    <i r="1">
      <x v="2"/>
    </i>
    <i r="1">
      <x v="4"/>
    </i>
    <i r="1">
      <x v="5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607CA-17ED-4342-8BAF-0321C1221DFE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28" firstHeaderRow="1" firstDataRow="1" firstDataCol="1" rowPageCount="1" colPageCount="1"/>
  <pivotFields count="7">
    <pivotField showAll="0"/>
    <pivotField dataField="1" showAll="0"/>
    <pivotField axis="axisRow" showAll="0">
      <items count="12">
        <item x="7"/>
        <item x="0"/>
        <item x="6"/>
        <item x="2"/>
        <item x="3"/>
        <item x="1"/>
        <item x="5"/>
        <item x="4"/>
        <item x="8"/>
        <item x="9"/>
        <item x="10"/>
        <item t="default"/>
      </items>
    </pivotField>
    <pivotField axis="axisPage" showAll="0">
      <items count="10">
        <item x="3"/>
        <item x="4"/>
        <item x="0"/>
        <item x="2"/>
        <item x="1"/>
        <item x="5"/>
        <item x="6"/>
        <item x="7"/>
        <item x="8"/>
        <item t="default"/>
      </items>
    </pivotField>
    <pivotField showAll="0"/>
    <pivotField showAll="0"/>
    <pivotField axis="axisRow" showAll="0">
      <items count="15">
        <item m="1" x="13"/>
        <item x="0"/>
        <item x="3"/>
        <item x="5"/>
        <item x="2"/>
        <item x="6"/>
        <item x="8"/>
        <item x="9"/>
        <item x="7"/>
        <item x="4"/>
        <item h="1" x="11"/>
        <item h="1" m="1" x="12"/>
        <item h="1" x="10"/>
        <item h="1" x="1"/>
        <item t="default"/>
      </items>
    </pivotField>
  </pivotFields>
  <rowFields count="2">
    <field x="6"/>
    <field x="2"/>
  </rowFields>
  <rowItems count="25">
    <i>
      <x v="1"/>
    </i>
    <i r="1">
      <x v="1"/>
    </i>
    <i r="1">
      <x v="3"/>
    </i>
    <i r="1">
      <x v="4"/>
    </i>
    <i>
      <x v="2"/>
    </i>
    <i r="1">
      <x v="5"/>
    </i>
    <i>
      <x v="3"/>
    </i>
    <i r="1">
      <x v="6"/>
    </i>
    <i>
      <x v="4"/>
    </i>
    <i r="1">
      <x v="1"/>
    </i>
    <i r="1">
      <x v="6"/>
    </i>
    <i r="1">
      <x v="7"/>
    </i>
    <i>
      <x v="5"/>
    </i>
    <i r="1">
      <x v="2"/>
    </i>
    <i>
      <x v="6"/>
    </i>
    <i r="1">
      <x v="2"/>
    </i>
    <i>
      <x v="7"/>
    </i>
    <i r="1">
      <x v="2"/>
    </i>
    <i r="1">
      <x v="8"/>
    </i>
    <i>
      <x v="8"/>
    </i>
    <i r="1">
      <x/>
    </i>
    <i>
      <x v="9"/>
    </i>
    <i r="1">
      <x v="3"/>
    </i>
    <i r="1">
      <x v="4"/>
    </i>
    <i t="grand">
      <x/>
    </i>
  </rowItems>
  <colItems count="1">
    <i/>
  </colItems>
  <pageFields count="1">
    <pageField fld="3" hier="-1"/>
  </pageField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863D5-6AF0-4F00-BA97-6261CBBF8E49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1:S4" firstHeaderRow="1" firstDataRow="1" firstDataCol="1"/>
  <pivotFields count="2">
    <pivotField dataField="1" showAll="0"/>
    <pivotField axis="axisRow" showAll="0">
      <items count="10">
        <item x="4"/>
        <item h="1" x="6"/>
        <item x="1"/>
        <item h="1" x="0"/>
        <item h="1" x="5"/>
        <item h="1" x="3"/>
        <item h="1" x="7"/>
        <item h="1" x="2"/>
        <item h="1" x="8"/>
        <item t="default"/>
      </items>
    </pivotField>
  </pivotFields>
  <rowFields count="1">
    <field x="1"/>
  </rowFields>
  <rowItems count="3">
    <i>
      <x/>
    </i>
    <i>
      <x v="2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E6684-692D-429E-AAEB-46A3920AE231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P5" firstHeaderRow="1" firstDataRow="1" firstDataCol="1"/>
  <pivotFields count="2">
    <pivotField dataField="1" showAll="0"/>
    <pivotField axis="axisRow" showAll="0">
      <items count="8">
        <item h="1" x="2"/>
        <item h="1" x="0"/>
        <item x="4"/>
        <item x="3"/>
        <item h="1" x="1"/>
        <item x="5"/>
        <item h="1" x="6"/>
        <item t="default"/>
      </items>
    </pivotField>
  </pivotFields>
  <rowFields count="1">
    <field x="1"/>
  </rowFields>
  <rowItems count="4">
    <i>
      <x v="2"/>
    </i>
    <i>
      <x v="3"/>
    </i>
    <i>
      <x v="5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463A4-B764-4ED8-A7D5-9D5362DEBBE8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5" firstHeaderRow="1" firstDataRow="1" firstDataCol="1"/>
  <pivotFields count="2">
    <pivotField dataField="1" showAll="0"/>
    <pivotField axis="axisRow" showAll="0">
      <items count="6">
        <item h="1" x="1"/>
        <item x="3"/>
        <item x="0"/>
        <item x="2"/>
        <item h="1" x="4"/>
        <item t="default"/>
      </items>
    </pivotField>
  </pivotFields>
  <rowFields count="1"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arveynorman.com.au/dji-mini-4-pro-rc-2.html" TargetMode="External"/><Relationship Id="rId1" Type="http://schemas.openxmlformats.org/officeDocument/2006/relationships/hyperlink" Target="https://www.harveynorman.com.au/dji-mini-4-pro-rc-2.html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B308-AC8E-4EA6-88E6-4FA3FB60CEAC}">
  <dimension ref="A1:F29"/>
  <sheetViews>
    <sheetView topLeftCell="A10" workbookViewId="0">
      <selection activeCell="D34" sqref="D34"/>
    </sheetView>
  </sheetViews>
  <sheetFormatPr defaultRowHeight="14.4" x14ac:dyDescent="0.3"/>
  <cols>
    <col min="1" max="1" width="14.6640625" bestFit="1" customWidth="1"/>
    <col min="2" max="2" width="18.5546875" bestFit="1" customWidth="1"/>
    <col min="3" max="3" width="16.109375" bestFit="1" customWidth="1"/>
    <col min="4" max="4" width="19.88671875" bestFit="1" customWidth="1"/>
    <col min="5" max="5" width="10.5546875" bestFit="1" customWidth="1"/>
    <col min="6" max="6" width="25.88671875" bestFit="1" customWidth="1"/>
  </cols>
  <sheetData>
    <row r="1" spans="1:6" x14ac:dyDescent="0.3">
      <c r="A1" t="s">
        <v>54</v>
      </c>
    </row>
    <row r="2" spans="1:6" x14ac:dyDescent="0.3">
      <c r="A2" t="s">
        <v>47</v>
      </c>
      <c r="B2" t="s">
        <v>48</v>
      </c>
      <c r="F2" t="s">
        <v>53</v>
      </c>
    </row>
    <row r="3" spans="1:6" x14ac:dyDescent="0.3">
      <c r="A3">
        <v>2</v>
      </c>
      <c r="B3" t="s">
        <v>46</v>
      </c>
      <c r="C3" t="s">
        <v>38</v>
      </c>
      <c r="F3" t="s">
        <v>51</v>
      </c>
    </row>
    <row r="4" spans="1:6" x14ac:dyDescent="0.3">
      <c r="A4">
        <v>6</v>
      </c>
      <c r="B4" t="s">
        <v>45</v>
      </c>
      <c r="C4" t="s">
        <v>38</v>
      </c>
      <c r="F4" t="s">
        <v>52</v>
      </c>
    </row>
    <row r="5" spans="1:6" x14ac:dyDescent="0.3">
      <c r="A5">
        <v>4</v>
      </c>
      <c r="B5" t="s">
        <v>44</v>
      </c>
      <c r="C5" t="s">
        <v>38</v>
      </c>
    </row>
    <row r="6" spans="1:6" x14ac:dyDescent="0.3">
      <c r="A6">
        <v>4</v>
      </c>
      <c r="B6" t="s">
        <v>43</v>
      </c>
      <c r="C6" t="s">
        <v>38</v>
      </c>
    </row>
    <row r="7" spans="1:6" x14ac:dyDescent="0.3">
      <c r="A7">
        <v>2</v>
      </c>
      <c r="B7" t="s">
        <v>42</v>
      </c>
      <c r="C7" t="s">
        <v>40</v>
      </c>
    </row>
    <row r="8" spans="1:6" x14ac:dyDescent="0.3">
      <c r="A8">
        <v>1</v>
      </c>
      <c r="B8" t="s">
        <v>41</v>
      </c>
      <c r="C8" t="s">
        <v>40</v>
      </c>
    </row>
    <row r="9" spans="1:6" x14ac:dyDescent="0.3">
      <c r="A9">
        <v>2</v>
      </c>
      <c r="B9" t="s">
        <v>39</v>
      </c>
      <c r="C9" t="s">
        <v>38</v>
      </c>
      <c r="D9" t="s">
        <v>37</v>
      </c>
      <c r="E9" s="6">
        <v>45742</v>
      </c>
      <c r="F9" t="s">
        <v>49</v>
      </c>
    </row>
    <row r="10" spans="1:6" x14ac:dyDescent="0.3">
      <c r="A10" s="1">
        <v>2</v>
      </c>
      <c r="B10" s="2" t="s">
        <v>31</v>
      </c>
      <c r="C10" s="2" t="s">
        <v>30</v>
      </c>
      <c r="D10" s="3">
        <v>220</v>
      </c>
      <c r="E10" s="3">
        <f t="shared" ref="E10:E15" si="0">(A10*D10)</f>
        <v>440</v>
      </c>
      <c r="F10" s="2" t="s">
        <v>36</v>
      </c>
    </row>
    <row r="11" spans="1:6" x14ac:dyDescent="0.3">
      <c r="A11" s="1">
        <v>2</v>
      </c>
      <c r="B11" s="2" t="s">
        <v>31</v>
      </c>
      <c r="C11" s="2" t="s">
        <v>30</v>
      </c>
      <c r="D11" s="3">
        <v>220</v>
      </c>
      <c r="E11" s="3">
        <f t="shared" si="0"/>
        <v>440</v>
      </c>
      <c r="F11" s="2" t="s">
        <v>12</v>
      </c>
    </row>
    <row r="12" spans="1:6" x14ac:dyDescent="0.3">
      <c r="A12" s="1">
        <v>2</v>
      </c>
      <c r="B12" s="2" t="s">
        <v>32</v>
      </c>
      <c r="C12" s="2" t="s">
        <v>30</v>
      </c>
      <c r="D12" s="3">
        <v>89</v>
      </c>
      <c r="E12" s="3">
        <f t="shared" si="0"/>
        <v>178</v>
      </c>
      <c r="F12" s="2" t="s">
        <v>12</v>
      </c>
    </row>
    <row r="13" spans="1:6" x14ac:dyDescent="0.3">
      <c r="A13" s="1">
        <v>1</v>
      </c>
      <c r="B13" s="2" t="s">
        <v>33</v>
      </c>
      <c r="C13" s="2" t="s">
        <v>30</v>
      </c>
      <c r="D13" s="3">
        <v>89</v>
      </c>
      <c r="E13" s="3">
        <f t="shared" si="0"/>
        <v>89</v>
      </c>
      <c r="F13" s="2" t="s">
        <v>12</v>
      </c>
    </row>
    <row r="14" spans="1:6" x14ac:dyDescent="0.3">
      <c r="A14" s="1">
        <v>1</v>
      </c>
      <c r="B14" s="2" t="s">
        <v>6</v>
      </c>
      <c r="C14" s="2" t="s">
        <v>10</v>
      </c>
      <c r="D14" s="3">
        <v>669</v>
      </c>
      <c r="E14" s="3">
        <f t="shared" si="0"/>
        <v>669</v>
      </c>
      <c r="F14" s="2" t="s">
        <v>11</v>
      </c>
    </row>
    <row r="15" spans="1:6" x14ac:dyDescent="0.3">
      <c r="A15" s="1">
        <v>1</v>
      </c>
      <c r="B15" s="2" t="s">
        <v>6</v>
      </c>
      <c r="C15" s="2" t="s">
        <v>10</v>
      </c>
      <c r="D15" s="3">
        <v>669</v>
      </c>
      <c r="E15" s="3">
        <f t="shared" si="0"/>
        <v>669</v>
      </c>
      <c r="F15" s="2" t="s">
        <v>12</v>
      </c>
    </row>
    <row r="17" spans="1:6" x14ac:dyDescent="0.3">
      <c r="A17" s="6">
        <v>45381</v>
      </c>
    </row>
    <row r="18" spans="1:6" x14ac:dyDescent="0.3">
      <c r="A18">
        <v>4</v>
      </c>
      <c r="B18" t="s">
        <v>45</v>
      </c>
      <c r="C18" t="s">
        <v>38</v>
      </c>
    </row>
    <row r="19" spans="1:6" x14ac:dyDescent="0.3">
      <c r="A19">
        <v>4</v>
      </c>
      <c r="B19" t="s">
        <v>44</v>
      </c>
      <c r="C19" t="s">
        <v>38</v>
      </c>
    </row>
    <row r="20" spans="1:6" x14ac:dyDescent="0.3">
      <c r="A20">
        <v>4</v>
      </c>
      <c r="B20" t="s">
        <v>43</v>
      </c>
      <c r="C20" t="s">
        <v>38</v>
      </c>
    </row>
    <row r="21" spans="1:6" x14ac:dyDescent="0.3">
      <c r="A21">
        <v>2</v>
      </c>
      <c r="B21" t="s">
        <v>42</v>
      </c>
      <c r="C21" t="s">
        <v>40</v>
      </c>
    </row>
    <row r="22" spans="1:6" x14ac:dyDescent="0.3">
      <c r="A22">
        <v>1</v>
      </c>
      <c r="B22" t="s">
        <v>41</v>
      </c>
      <c r="C22" t="s">
        <v>40</v>
      </c>
    </row>
    <row r="23" spans="1:6" x14ac:dyDescent="0.3">
      <c r="A23">
        <v>2</v>
      </c>
      <c r="B23" t="s">
        <v>39</v>
      </c>
      <c r="C23" t="s">
        <v>38</v>
      </c>
      <c r="D23" t="s">
        <v>37</v>
      </c>
      <c r="E23" s="6">
        <v>45742</v>
      </c>
      <c r="F23" t="s">
        <v>49</v>
      </c>
    </row>
    <row r="24" spans="1:6" x14ac:dyDescent="0.3">
      <c r="A24" s="1">
        <v>2</v>
      </c>
      <c r="B24" s="2" t="s">
        <v>31</v>
      </c>
      <c r="C24" s="2" t="s">
        <v>30</v>
      </c>
      <c r="D24" s="3">
        <v>220</v>
      </c>
      <c r="E24" s="3">
        <f t="shared" ref="E24:E29" si="1">(A24*D24)</f>
        <v>440</v>
      </c>
      <c r="F24" s="2" t="s">
        <v>36</v>
      </c>
    </row>
    <row r="25" spans="1:6" x14ac:dyDescent="0.3">
      <c r="A25" s="1">
        <v>2</v>
      </c>
      <c r="B25" s="2" t="s">
        <v>31</v>
      </c>
      <c r="C25" s="2" t="s">
        <v>30</v>
      </c>
      <c r="D25" s="3">
        <v>220</v>
      </c>
      <c r="E25" s="3">
        <f t="shared" si="1"/>
        <v>440</v>
      </c>
      <c r="F25" s="2" t="s">
        <v>12</v>
      </c>
    </row>
    <row r="26" spans="1:6" x14ac:dyDescent="0.3">
      <c r="A26" s="1">
        <v>2</v>
      </c>
      <c r="B26" s="2" t="s">
        <v>32</v>
      </c>
      <c r="C26" s="2" t="s">
        <v>30</v>
      </c>
      <c r="D26" s="3">
        <v>89</v>
      </c>
      <c r="E26" s="3">
        <f t="shared" si="1"/>
        <v>178</v>
      </c>
      <c r="F26" s="2" t="s">
        <v>12</v>
      </c>
    </row>
    <row r="27" spans="1:6" x14ac:dyDescent="0.3">
      <c r="A27" s="1">
        <v>1</v>
      </c>
      <c r="B27" s="2" t="s">
        <v>33</v>
      </c>
      <c r="C27" s="2" t="s">
        <v>30</v>
      </c>
      <c r="D27" s="3">
        <v>89</v>
      </c>
      <c r="E27" s="3">
        <f t="shared" si="1"/>
        <v>89</v>
      </c>
      <c r="F27" s="2" t="s">
        <v>12</v>
      </c>
    </row>
    <row r="28" spans="1:6" x14ac:dyDescent="0.3">
      <c r="A28" s="1">
        <v>1</v>
      </c>
      <c r="B28" s="2" t="s">
        <v>6</v>
      </c>
      <c r="C28" s="2" t="s">
        <v>10</v>
      </c>
      <c r="D28" s="3">
        <v>669</v>
      </c>
      <c r="E28" s="3">
        <f t="shared" si="1"/>
        <v>669</v>
      </c>
      <c r="F28" s="2" t="s">
        <v>11</v>
      </c>
    </row>
    <row r="29" spans="1:6" x14ac:dyDescent="0.3">
      <c r="A29" s="1">
        <v>1</v>
      </c>
      <c r="B29" s="2" t="s">
        <v>6</v>
      </c>
      <c r="C29" s="2" t="s">
        <v>10</v>
      </c>
      <c r="D29" s="3">
        <v>669</v>
      </c>
      <c r="E29" s="3">
        <f t="shared" si="1"/>
        <v>669</v>
      </c>
      <c r="F29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3748-E6CA-4C09-ADC4-E9C94C19C6E7}">
  <dimension ref="A1:J39"/>
  <sheetViews>
    <sheetView topLeftCell="A17" workbookViewId="0">
      <selection activeCell="E40" sqref="E40"/>
    </sheetView>
  </sheetViews>
  <sheetFormatPr defaultRowHeight="14.4" x14ac:dyDescent="0.3"/>
  <cols>
    <col min="1" max="1" width="10.5546875" bestFit="1" customWidth="1"/>
    <col min="3" max="3" width="30.33203125" bestFit="1" customWidth="1"/>
    <col min="4" max="4" width="25" bestFit="1" customWidth="1"/>
    <col min="5" max="5" width="9" bestFit="1" customWidth="1"/>
    <col min="6" max="6" width="10" bestFit="1" customWidth="1"/>
    <col min="7" max="7" width="31.5546875" bestFit="1" customWidth="1"/>
    <col min="9" max="9" width="36.33203125" bestFit="1" customWidth="1"/>
    <col min="10" max="10" width="10.44140625" bestFit="1" customWidth="1"/>
  </cols>
  <sheetData>
    <row r="1" spans="1:10" x14ac:dyDescent="0.3">
      <c r="A1" t="s">
        <v>65</v>
      </c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I1" s="13" t="s">
        <v>78</v>
      </c>
      <c r="J1" t="s">
        <v>81</v>
      </c>
    </row>
    <row r="2" spans="1:10" x14ac:dyDescent="0.3">
      <c r="A2" s="6">
        <v>45742</v>
      </c>
      <c r="B2" s="1">
        <v>1</v>
      </c>
      <c r="C2" s="2" t="s">
        <v>6</v>
      </c>
      <c r="D2" s="2" t="s">
        <v>7</v>
      </c>
      <c r="E2" s="3">
        <v>699</v>
      </c>
      <c r="F2" s="3">
        <f>(B2*E2)</f>
        <v>699</v>
      </c>
      <c r="G2" s="2" t="s">
        <v>8</v>
      </c>
      <c r="I2" s="14" t="s">
        <v>18</v>
      </c>
      <c r="J2">
        <v>2</v>
      </c>
    </row>
    <row r="3" spans="1:10" x14ac:dyDescent="0.3">
      <c r="A3" s="6">
        <v>45742</v>
      </c>
      <c r="B3" s="1">
        <v>1</v>
      </c>
      <c r="C3" s="2" t="s">
        <v>9</v>
      </c>
      <c r="D3" s="2" t="s">
        <v>7</v>
      </c>
      <c r="E3" s="3">
        <v>2149</v>
      </c>
      <c r="F3" s="3">
        <f t="shared" ref="F3:F19" si="0">(B3*E3)</f>
        <v>2149</v>
      </c>
      <c r="G3" s="2" t="s">
        <v>8</v>
      </c>
      <c r="I3" s="14" t="s">
        <v>17</v>
      </c>
      <c r="J3">
        <v>23</v>
      </c>
    </row>
    <row r="4" spans="1:10" x14ac:dyDescent="0.3">
      <c r="A4" s="6">
        <v>45742</v>
      </c>
      <c r="B4" s="1">
        <v>1</v>
      </c>
      <c r="C4" s="2" t="s">
        <v>6</v>
      </c>
      <c r="D4" s="2" t="s">
        <v>10</v>
      </c>
      <c r="E4" s="3">
        <v>669</v>
      </c>
      <c r="F4" s="3">
        <f t="shared" si="0"/>
        <v>669</v>
      </c>
      <c r="G4" s="2" t="s">
        <v>108</v>
      </c>
      <c r="I4" s="14" t="s">
        <v>9</v>
      </c>
      <c r="J4">
        <v>6</v>
      </c>
    </row>
    <row r="5" spans="1:10" x14ac:dyDescent="0.3">
      <c r="A5" s="6">
        <v>45742</v>
      </c>
      <c r="B5" s="1">
        <v>1</v>
      </c>
      <c r="C5" s="2" t="s">
        <v>6</v>
      </c>
      <c r="D5" s="2" t="s">
        <v>10</v>
      </c>
      <c r="E5" s="3">
        <v>669</v>
      </c>
      <c r="F5" s="3">
        <f t="shared" si="0"/>
        <v>669</v>
      </c>
      <c r="G5" s="2" t="s">
        <v>89</v>
      </c>
      <c r="I5" s="14" t="s">
        <v>13</v>
      </c>
      <c r="J5">
        <v>5</v>
      </c>
    </row>
    <row r="6" spans="1:10" x14ac:dyDescent="0.3">
      <c r="A6" s="6">
        <v>45742</v>
      </c>
      <c r="B6" s="1">
        <v>5</v>
      </c>
      <c r="C6" s="2" t="s">
        <v>13</v>
      </c>
      <c r="D6" s="2" t="s">
        <v>14</v>
      </c>
      <c r="E6" s="3">
        <v>2199.9899999999998</v>
      </c>
      <c r="F6" s="3">
        <f t="shared" si="0"/>
        <v>10999.949999999999</v>
      </c>
      <c r="G6" s="2" t="s">
        <v>15</v>
      </c>
      <c r="I6" s="14" t="s">
        <v>26</v>
      </c>
      <c r="J6">
        <v>2</v>
      </c>
    </row>
    <row r="7" spans="1:10" x14ac:dyDescent="0.3">
      <c r="A7" s="6">
        <v>45742</v>
      </c>
      <c r="B7" s="1">
        <v>1</v>
      </c>
      <c r="C7" s="2" t="s">
        <v>9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I7" s="14" t="s">
        <v>56</v>
      </c>
      <c r="J7">
        <v>4</v>
      </c>
    </row>
    <row r="8" spans="1:10" x14ac:dyDescent="0.3">
      <c r="A8" s="6">
        <v>45742</v>
      </c>
      <c r="B8" s="1">
        <v>1</v>
      </c>
      <c r="C8" s="2" t="s">
        <v>17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I8" s="14" t="s">
        <v>29</v>
      </c>
      <c r="J8">
        <v>3</v>
      </c>
    </row>
    <row r="9" spans="1:10" x14ac:dyDescent="0.3">
      <c r="A9" s="6">
        <v>45742</v>
      </c>
      <c r="B9" s="1">
        <v>2</v>
      </c>
      <c r="C9" s="2" t="s">
        <v>18</v>
      </c>
      <c r="D9" s="2" t="s">
        <v>19</v>
      </c>
      <c r="E9" s="3">
        <v>1880.99</v>
      </c>
      <c r="F9" s="3">
        <f t="shared" si="0"/>
        <v>3761.98</v>
      </c>
      <c r="G9" s="2" t="s">
        <v>8</v>
      </c>
      <c r="I9" s="14" t="s">
        <v>60</v>
      </c>
      <c r="J9">
        <v>10</v>
      </c>
    </row>
    <row r="10" spans="1:10" x14ac:dyDescent="0.3">
      <c r="A10" s="6">
        <v>45742</v>
      </c>
      <c r="B10" s="1">
        <v>2</v>
      </c>
      <c r="C10" s="2" t="s">
        <v>17</v>
      </c>
      <c r="D10" s="2" t="s">
        <v>19</v>
      </c>
      <c r="E10" s="3">
        <v>2089.4899999999998</v>
      </c>
      <c r="F10" s="3">
        <f t="shared" si="0"/>
        <v>4178.9799999999996</v>
      </c>
      <c r="G10" s="2" t="s">
        <v>8</v>
      </c>
      <c r="I10" s="14" t="s">
        <v>33</v>
      </c>
      <c r="J10">
        <v>3</v>
      </c>
    </row>
    <row r="11" spans="1:10" x14ac:dyDescent="0.3">
      <c r="A11" s="6">
        <v>45742</v>
      </c>
      <c r="B11" s="1">
        <v>2</v>
      </c>
      <c r="C11" s="2" t="s">
        <v>17</v>
      </c>
      <c r="D11" s="2" t="s">
        <v>20</v>
      </c>
      <c r="E11" s="3">
        <v>2089.4899999999998</v>
      </c>
      <c r="F11" s="3">
        <f t="shared" si="0"/>
        <v>4178.9799999999996</v>
      </c>
      <c r="G11" s="2" t="s">
        <v>57</v>
      </c>
      <c r="I11" s="14" t="s">
        <v>32</v>
      </c>
      <c r="J11">
        <v>4</v>
      </c>
    </row>
    <row r="12" spans="1:10" x14ac:dyDescent="0.3">
      <c r="A12" s="6">
        <v>45742</v>
      </c>
      <c r="B12" s="1">
        <v>2</v>
      </c>
      <c r="C12" s="2" t="s">
        <v>17</v>
      </c>
      <c r="D12" s="2" t="s">
        <v>21</v>
      </c>
      <c r="E12" s="3">
        <v>2089.4899999999998</v>
      </c>
      <c r="F12" s="3">
        <f t="shared" si="0"/>
        <v>4178.9799999999996</v>
      </c>
      <c r="G12" s="2" t="s">
        <v>22</v>
      </c>
      <c r="I12" s="14" t="s">
        <v>34</v>
      </c>
      <c r="J12">
        <v>2</v>
      </c>
    </row>
    <row r="13" spans="1:10" x14ac:dyDescent="0.3">
      <c r="A13" s="6">
        <v>45742</v>
      </c>
      <c r="B13" s="1">
        <v>2</v>
      </c>
      <c r="C13" s="2" t="s">
        <v>17</v>
      </c>
      <c r="D13" s="2" t="s">
        <v>23</v>
      </c>
      <c r="E13" s="3">
        <v>2089.4899999999998</v>
      </c>
      <c r="F13" s="3">
        <f t="shared" si="0"/>
        <v>4178.9799999999996</v>
      </c>
      <c r="G13" s="2" t="s">
        <v>8</v>
      </c>
      <c r="I13" s="14" t="s">
        <v>31</v>
      </c>
      <c r="J13">
        <v>16</v>
      </c>
    </row>
    <row r="14" spans="1:10" x14ac:dyDescent="0.3">
      <c r="A14" s="6">
        <v>45743</v>
      </c>
      <c r="B14" s="1">
        <v>2</v>
      </c>
      <c r="C14" s="2" t="s">
        <v>17</v>
      </c>
      <c r="D14" s="2" t="s">
        <v>19</v>
      </c>
      <c r="E14" s="3">
        <v>2089.4899999999998</v>
      </c>
      <c r="F14" s="3">
        <f t="shared" si="0"/>
        <v>4178.9799999999996</v>
      </c>
      <c r="G14" s="2" t="s">
        <v>58</v>
      </c>
      <c r="I14" s="14" t="s">
        <v>35</v>
      </c>
      <c r="J14">
        <v>2</v>
      </c>
    </row>
    <row r="15" spans="1:10" x14ac:dyDescent="0.3">
      <c r="A15" s="6">
        <v>45743</v>
      </c>
      <c r="B15" s="1">
        <v>2</v>
      </c>
      <c r="C15" s="2" t="s">
        <v>17</v>
      </c>
      <c r="D15" s="2" t="s">
        <v>23</v>
      </c>
      <c r="E15" s="3">
        <v>2089.4899999999998</v>
      </c>
      <c r="F15" s="3">
        <f t="shared" si="0"/>
        <v>4178.9799999999996</v>
      </c>
      <c r="G15" s="2" t="s">
        <v>58</v>
      </c>
      <c r="I15" s="14" t="s">
        <v>6</v>
      </c>
      <c r="J15">
        <v>4</v>
      </c>
    </row>
    <row r="16" spans="1:10" x14ac:dyDescent="0.3">
      <c r="A16" s="6">
        <v>45743</v>
      </c>
      <c r="B16" s="1">
        <v>2</v>
      </c>
      <c r="C16" s="2" t="s">
        <v>9</v>
      </c>
      <c r="D16" s="2" t="s">
        <v>23</v>
      </c>
      <c r="E16" s="3">
        <v>2089.4899999999998</v>
      </c>
      <c r="F16" s="3">
        <f t="shared" si="0"/>
        <v>4178.9799999999996</v>
      </c>
      <c r="G16" s="2" t="s">
        <v>58</v>
      </c>
      <c r="I16" s="14" t="s">
        <v>79</v>
      </c>
    </row>
    <row r="17" spans="1:10" x14ac:dyDescent="0.3">
      <c r="A17" s="6">
        <v>45743</v>
      </c>
      <c r="B17" s="1">
        <v>2</v>
      </c>
      <c r="C17" s="2" t="s">
        <v>9</v>
      </c>
      <c r="D17" s="2" t="s">
        <v>25</v>
      </c>
      <c r="E17" s="3">
        <v>2089.4899999999998</v>
      </c>
      <c r="F17" s="3">
        <f t="shared" si="0"/>
        <v>4178.9799999999996</v>
      </c>
      <c r="G17" s="2" t="s">
        <v>58</v>
      </c>
      <c r="I17" s="14" t="s">
        <v>80</v>
      </c>
      <c r="J17">
        <v>86</v>
      </c>
    </row>
    <row r="18" spans="1:10" x14ac:dyDescent="0.3">
      <c r="A18" s="6">
        <v>45743</v>
      </c>
      <c r="B18" s="1">
        <v>2</v>
      </c>
      <c r="C18" s="2" t="s">
        <v>17</v>
      </c>
      <c r="D18" s="2" t="s">
        <v>25</v>
      </c>
      <c r="E18" s="3">
        <v>2089.4899999999998</v>
      </c>
      <c r="F18" s="3">
        <f t="shared" si="0"/>
        <v>4178.9799999999996</v>
      </c>
      <c r="G18" s="2" t="s">
        <v>58</v>
      </c>
    </row>
    <row r="19" spans="1:10" x14ac:dyDescent="0.3">
      <c r="A19" s="6">
        <v>45743</v>
      </c>
      <c r="B19" s="1">
        <v>2</v>
      </c>
      <c r="C19" s="2" t="s">
        <v>26</v>
      </c>
      <c r="D19" s="2" t="s">
        <v>27</v>
      </c>
      <c r="E19" s="3">
        <v>2204</v>
      </c>
      <c r="F19" s="3">
        <f t="shared" si="0"/>
        <v>4408</v>
      </c>
      <c r="G19" s="2" t="s">
        <v>58</v>
      </c>
    </row>
    <row r="20" spans="1:10" x14ac:dyDescent="0.3">
      <c r="A20" s="6">
        <v>45744</v>
      </c>
      <c r="B20" s="1">
        <v>2</v>
      </c>
      <c r="C20" s="2" t="s">
        <v>17</v>
      </c>
      <c r="D20" s="2" t="s">
        <v>28</v>
      </c>
      <c r="E20" s="3">
        <v>2089.4899999999998</v>
      </c>
      <c r="F20" s="3">
        <v>4178.9799999999996</v>
      </c>
      <c r="G20" s="2" t="s">
        <v>77</v>
      </c>
    </row>
    <row r="21" spans="1:10" x14ac:dyDescent="0.3">
      <c r="A21" s="6">
        <v>45744</v>
      </c>
      <c r="B21" s="1">
        <v>1</v>
      </c>
      <c r="C21" s="2" t="s">
        <v>29</v>
      </c>
      <c r="D21" s="2" t="s">
        <v>30</v>
      </c>
      <c r="E21" s="3">
        <v>2204</v>
      </c>
      <c r="F21" s="3">
        <f>(B21*E21)</f>
        <v>2204</v>
      </c>
      <c r="G21" s="2" t="s">
        <v>89</v>
      </c>
    </row>
    <row r="22" spans="1:10" x14ac:dyDescent="0.3">
      <c r="A22" s="6">
        <v>45744</v>
      </c>
      <c r="B22" s="1">
        <v>2</v>
      </c>
      <c r="C22" s="2" t="s">
        <v>31</v>
      </c>
      <c r="D22" s="2" t="s">
        <v>30</v>
      </c>
      <c r="E22" s="3">
        <v>220</v>
      </c>
      <c r="F22" s="3">
        <f t="shared" ref="F22:F30" si="1">(B22*E22)</f>
        <v>440</v>
      </c>
      <c r="G22" s="2" t="s">
        <v>8</v>
      </c>
    </row>
    <row r="23" spans="1:10" x14ac:dyDescent="0.3">
      <c r="A23" s="6">
        <v>45744</v>
      </c>
      <c r="B23" s="1">
        <v>2</v>
      </c>
      <c r="C23" s="2" t="s">
        <v>32</v>
      </c>
      <c r="D23" s="2" t="s">
        <v>30</v>
      </c>
      <c r="E23" s="3">
        <v>89</v>
      </c>
      <c r="F23" s="3">
        <f t="shared" si="1"/>
        <v>178</v>
      </c>
      <c r="G23" s="2" t="s">
        <v>8</v>
      </c>
    </row>
    <row r="24" spans="1:10" x14ac:dyDescent="0.3">
      <c r="A24" s="6">
        <v>45744</v>
      </c>
      <c r="B24" s="1">
        <v>2</v>
      </c>
      <c r="C24" s="2" t="s">
        <v>33</v>
      </c>
      <c r="D24" s="2" t="s">
        <v>30</v>
      </c>
      <c r="E24" s="3">
        <v>89</v>
      </c>
      <c r="F24" s="3">
        <f t="shared" si="1"/>
        <v>178</v>
      </c>
      <c r="G24" s="2" t="s">
        <v>8</v>
      </c>
    </row>
    <row r="25" spans="1:10" x14ac:dyDescent="0.3">
      <c r="A25" s="6">
        <v>45744</v>
      </c>
      <c r="B25" s="1">
        <v>2</v>
      </c>
      <c r="C25" s="2" t="s">
        <v>34</v>
      </c>
      <c r="D25" s="2" t="s">
        <v>30</v>
      </c>
      <c r="E25" s="3">
        <v>89</v>
      </c>
      <c r="F25" s="3">
        <f t="shared" si="1"/>
        <v>178</v>
      </c>
      <c r="G25" s="2" t="s">
        <v>8</v>
      </c>
    </row>
    <row r="26" spans="1:10" x14ac:dyDescent="0.3">
      <c r="A26" s="6">
        <v>45744</v>
      </c>
      <c r="B26" s="1">
        <v>2</v>
      </c>
      <c r="C26" s="2" t="s">
        <v>35</v>
      </c>
      <c r="D26" s="2" t="s">
        <v>30</v>
      </c>
      <c r="E26" s="3">
        <v>55</v>
      </c>
      <c r="F26" s="3">
        <f t="shared" si="1"/>
        <v>110</v>
      </c>
      <c r="G26" s="2" t="s">
        <v>8</v>
      </c>
    </row>
    <row r="27" spans="1:10" x14ac:dyDescent="0.3">
      <c r="A27" s="6">
        <v>45744</v>
      </c>
      <c r="B27" s="1">
        <v>2</v>
      </c>
      <c r="C27" s="2" t="s">
        <v>31</v>
      </c>
      <c r="D27" s="2" t="s">
        <v>30</v>
      </c>
      <c r="E27" s="3">
        <v>220</v>
      </c>
      <c r="F27" s="3">
        <f t="shared" si="1"/>
        <v>440</v>
      </c>
      <c r="G27" s="2" t="s">
        <v>58</v>
      </c>
    </row>
    <row r="28" spans="1:10" x14ac:dyDescent="0.3">
      <c r="A28" s="6">
        <v>45744</v>
      </c>
      <c r="B28" s="1">
        <v>2</v>
      </c>
      <c r="C28" s="2" t="s">
        <v>31</v>
      </c>
      <c r="D28" s="2" t="s">
        <v>30</v>
      </c>
      <c r="E28" s="3">
        <v>220</v>
      </c>
      <c r="F28" s="3">
        <f t="shared" si="1"/>
        <v>440</v>
      </c>
      <c r="G28" s="2" t="s">
        <v>89</v>
      </c>
    </row>
    <row r="29" spans="1:10" x14ac:dyDescent="0.3">
      <c r="A29" s="6">
        <v>45744</v>
      </c>
      <c r="B29" s="1">
        <v>2</v>
      </c>
      <c r="C29" s="2" t="s">
        <v>32</v>
      </c>
      <c r="D29" s="2" t="s">
        <v>30</v>
      </c>
      <c r="E29" s="3">
        <v>89</v>
      </c>
      <c r="F29" s="3">
        <f t="shared" si="1"/>
        <v>178</v>
      </c>
      <c r="G29" s="2" t="s">
        <v>89</v>
      </c>
    </row>
    <row r="30" spans="1:10" x14ac:dyDescent="0.3">
      <c r="A30" s="6">
        <v>45744</v>
      </c>
      <c r="B30" s="1">
        <v>1</v>
      </c>
      <c r="C30" s="2" t="s">
        <v>33</v>
      </c>
      <c r="D30" s="2" t="s">
        <v>30</v>
      </c>
      <c r="E30" s="3">
        <v>89</v>
      </c>
      <c r="F30" s="3">
        <f t="shared" si="1"/>
        <v>89</v>
      </c>
      <c r="G30" s="2" t="s">
        <v>89</v>
      </c>
    </row>
    <row r="31" spans="1:10" x14ac:dyDescent="0.3">
      <c r="A31" s="6">
        <v>45745</v>
      </c>
      <c r="B31" s="1">
        <v>2</v>
      </c>
      <c r="C31" s="2" t="s">
        <v>17</v>
      </c>
      <c r="D31" s="2" t="s">
        <v>28</v>
      </c>
      <c r="E31" s="3">
        <v>2089.4899999999998</v>
      </c>
      <c r="F31" s="3">
        <v>4178.9799999999996</v>
      </c>
      <c r="G31" s="2" t="s">
        <v>77</v>
      </c>
    </row>
    <row r="32" spans="1:10" x14ac:dyDescent="0.3">
      <c r="A32" s="6">
        <v>45745</v>
      </c>
      <c r="B32" s="1">
        <v>2</v>
      </c>
      <c r="C32" s="2" t="s">
        <v>29</v>
      </c>
      <c r="D32" s="2" t="s">
        <v>50</v>
      </c>
      <c r="E32" s="3">
        <v>2204</v>
      </c>
      <c r="F32" s="3">
        <f t="shared" ref="F32:F39" si="2">(B32*E32)</f>
        <v>4408</v>
      </c>
      <c r="G32" s="2" t="s">
        <v>57</v>
      </c>
    </row>
    <row r="33" spans="1:7" x14ac:dyDescent="0.3">
      <c r="A33" s="6">
        <v>45745</v>
      </c>
      <c r="B33" s="1">
        <v>1</v>
      </c>
      <c r="C33" s="2" t="s">
        <v>6</v>
      </c>
      <c r="D33" s="2" t="s">
        <v>10</v>
      </c>
      <c r="E33" s="3">
        <v>669</v>
      </c>
      <c r="F33" s="3">
        <f t="shared" si="2"/>
        <v>669</v>
      </c>
      <c r="G33" s="2" t="s">
        <v>89</v>
      </c>
    </row>
    <row r="34" spans="1:7" x14ac:dyDescent="0.3">
      <c r="A34" s="6">
        <v>45747</v>
      </c>
      <c r="B34" s="2">
        <v>2</v>
      </c>
      <c r="C34" s="2" t="s">
        <v>17</v>
      </c>
      <c r="D34" s="2" t="s">
        <v>19</v>
      </c>
      <c r="E34" s="2">
        <v>2460.9899999999998</v>
      </c>
      <c r="F34" s="2">
        <f t="shared" si="2"/>
        <v>4921.9799999999996</v>
      </c>
      <c r="G34" s="2" t="s">
        <v>77</v>
      </c>
    </row>
    <row r="35" spans="1:7" x14ac:dyDescent="0.3">
      <c r="A35" s="6">
        <v>45747</v>
      </c>
      <c r="B35" s="2">
        <v>2</v>
      </c>
      <c r="C35" s="2" t="s">
        <v>56</v>
      </c>
      <c r="D35" s="2" t="s">
        <v>25</v>
      </c>
      <c r="E35" s="2">
        <v>2089.9899999999998</v>
      </c>
      <c r="F35" s="2">
        <f t="shared" si="2"/>
        <v>4179.9799999999996</v>
      </c>
      <c r="G35" s="2" t="s">
        <v>90</v>
      </c>
    </row>
    <row r="36" spans="1:7" x14ac:dyDescent="0.3">
      <c r="A36" s="6">
        <v>45747</v>
      </c>
      <c r="B36" s="2">
        <v>2</v>
      </c>
      <c r="C36" s="2" t="s">
        <v>56</v>
      </c>
      <c r="D36" s="2" t="s">
        <v>27</v>
      </c>
      <c r="E36" s="2">
        <v>2460.9899999999998</v>
      </c>
      <c r="F36" s="2">
        <f t="shared" si="2"/>
        <v>4921.9799999999996</v>
      </c>
      <c r="G36" s="2" t="s">
        <v>90</v>
      </c>
    </row>
    <row r="37" spans="1:7" x14ac:dyDescent="0.3">
      <c r="A37" s="6">
        <v>45747</v>
      </c>
      <c r="B37" s="2">
        <v>10</v>
      </c>
      <c r="C37" s="2" t="s">
        <v>31</v>
      </c>
      <c r="D37" s="2" t="s">
        <v>59</v>
      </c>
      <c r="E37" s="2">
        <v>213</v>
      </c>
      <c r="F37" s="2">
        <f t="shared" si="2"/>
        <v>2130</v>
      </c>
      <c r="G37" s="2" t="s">
        <v>135</v>
      </c>
    </row>
    <row r="38" spans="1:7" x14ac:dyDescent="0.3">
      <c r="A38" s="6">
        <v>45747</v>
      </c>
      <c r="B38" s="2">
        <v>10</v>
      </c>
      <c r="C38" s="2" t="s">
        <v>60</v>
      </c>
      <c r="D38" s="2" t="s">
        <v>59</v>
      </c>
      <c r="E38" s="2">
        <v>87</v>
      </c>
      <c r="F38" s="2">
        <f t="shared" si="2"/>
        <v>870</v>
      </c>
      <c r="G38" s="2" t="s">
        <v>136</v>
      </c>
    </row>
    <row r="39" spans="1:7" x14ac:dyDescent="0.3">
      <c r="A39" s="15">
        <v>45747</v>
      </c>
      <c r="B39" s="16">
        <v>2</v>
      </c>
      <c r="C39" s="16" t="s">
        <v>17</v>
      </c>
      <c r="D39" s="16" t="s">
        <v>28</v>
      </c>
      <c r="E39" s="16">
        <v>2089.9899999999998</v>
      </c>
      <c r="F39" s="16">
        <f t="shared" si="2"/>
        <v>4179.9799999999996</v>
      </c>
      <c r="G39" s="16" t="s">
        <v>91</v>
      </c>
    </row>
  </sheetData>
  <autoFilter ref="A1:G39" xr:uid="{DC07A957-8A1B-407D-8C45-962A45CF9E96}"/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D81B-C2B7-4955-80BB-EC43B2456073}">
  <dimension ref="A1:K9"/>
  <sheetViews>
    <sheetView workbookViewId="0">
      <selection activeCell="I15" sqref="I15"/>
    </sheetView>
  </sheetViews>
  <sheetFormatPr defaultRowHeight="14.4" x14ac:dyDescent="0.3"/>
  <cols>
    <col min="1" max="1" width="9.5546875" bestFit="1" customWidth="1"/>
    <col min="3" max="3" width="28.6640625" bestFit="1" customWidth="1"/>
    <col min="4" max="4" width="20.6640625" bestFit="1" customWidth="1"/>
    <col min="7" max="7" width="14.44140625" bestFit="1" customWidth="1"/>
    <col min="8" max="8" width="9.5546875" bestFit="1" customWidth="1"/>
    <col min="9" max="9" width="22.33203125" bestFit="1" customWidth="1"/>
  </cols>
  <sheetData>
    <row r="1" spans="1:11" x14ac:dyDescent="0.3">
      <c r="B1" s="106">
        <v>45746</v>
      </c>
      <c r="C1" s="106"/>
      <c r="D1" s="106"/>
      <c r="E1" s="106"/>
      <c r="F1" s="106"/>
      <c r="G1" s="106"/>
    </row>
    <row r="2" spans="1:11" x14ac:dyDescent="0.3"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6">
        <v>45749</v>
      </c>
      <c r="J2" s="7"/>
      <c r="K2" t="s">
        <v>92</v>
      </c>
    </row>
    <row r="3" spans="1:11" x14ac:dyDescent="0.3">
      <c r="B3">
        <v>5</v>
      </c>
      <c r="C3" t="s">
        <v>61</v>
      </c>
      <c r="D3" t="s">
        <v>55</v>
      </c>
      <c r="E3">
        <v>679</v>
      </c>
      <c r="F3">
        <f>(B3*E3)</f>
        <v>3395</v>
      </c>
      <c r="G3" t="s">
        <v>63</v>
      </c>
      <c r="H3">
        <v>4</v>
      </c>
      <c r="I3" t="s">
        <v>63</v>
      </c>
      <c r="K3" s="107">
        <v>125</v>
      </c>
    </row>
    <row r="4" spans="1:11" x14ac:dyDescent="0.3">
      <c r="B4">
        <v>1</v>
      </c>
      <c r="C4" s="2" t="s">
        <v>17</v>
      </c>
      <c r="D4" t="s">
        <v>28</v>
      </c>
      <c r="E4">
        <v>2089</v>
      </c>
      <c r="F4">
        <f>(B4*E4)</f>
        <v>2089</v>
      </c>
      <c r="G4" t="s">
        <v>63</v>
      </c>
      <c r="H4">
        <v>1</v>
      </c>
      <c r="I4" t="s">
        <v>63</v>
      </c>
      <c r="K4" s="107"/>
    </row>
    <row r="5" spans="1:11" x14ac:dyDescent="0.3">
      <c r="A5" s="12">
        <v>45748</v>
      </c>
      <c r="B5" s="11">
        <v>1</v>
      </c>
      <c r="C5" s="10" t="s">
        <v>64</v>
      </c>
      <c r="D5" s="11" t="s">
        <v>28</v>
      </c>
      <c r="E5" s="11">
        <v>2460.4899999999998</v>
      </c>
      <c r="F5" s="11">
        <v>2460.4899999999998</v>
      </c>
      <c r="G5" t="s">
        <v>62</v>
      </c>
    </row>
    <row r="6" spans="1:11" x14ac:dyDescent="0.3">
      <c r="A6" s="6">
        <v>45750</v>
      </c>
      <c r="B6" s="11">
        <v>2</v>
      </c>
      <c r="C6" s="2" t="s">
        <v>17</v>
      </c>
      <c r="D6" s="11" t="s">
        <v>28</v>
      </c>
      <c r="E6" s="11">
        <v>2460.4899999999998</v>
      </c>
      <c r="F6" s="11">
        <f>(B6*E6)</f>
        <v>4920.9799999999996</v>
      </c>
      <c r="G6" t="s">
        <v>62</v>
      </c>
      <c r="H6">
        <v>2</v>
      </c>
      <c r="I6" t="s">
        <v>209</v>
      </c>
      <c r="K6">
        <v>100</v>
      </c>
    </row>
    <row r="7" spans="1:11" x14ac:dyDescent="0.3">
      <c r="A7" s="6">
        <v>45755</v>
      </c>
      <c r="B7">
        <v>2</v>
      </c>
      <c r="C7" s="2" t="s">
        <v>17</v>
      </c>
      <c r="D7" t="s">
        <v>96</v>
      </c>
      <c r="E7">
        <v>2089</v>
      </c>
      <c r="F7" s="11">
        <f>(B7*E7)</f>
        <v>4178</v>
      </c>
      <c r="G7" t="s">
        <v>63</v>
      </c>
      <c r="H7">
        <v>2</v>
      </c>
      <c r="I7" t="s">
        <v>63</v>
      </c>
    </row>
    <row r="8" spans="1:11" x14ac:dyDescent="0.3">
      <c r="A8" t="s">
        <v>127</v>
      </c>
      <c r="B8">
        <v>1</v>
      </c>
      <c r="C8" s="2" t="s">
        <v>131</v>
      </c>
      <c r="D8" t="s">
        <v>130</v>
      </c>
      <c r="E8">
        <v>2299</v>
      </c>
      <c r="F8" s="11">
        <f>(B8*E8)</f>
        <v>2299</v>
      </c>
      <c r="G8" t="s">
        <v>63</v>
      </c>
      <c r="H8">
        <v>1</v>
      </c>
      <c r="I8" t="s">
        <v>129</v>
      </c>
    </row>
    <row r="9" spans="1:11" x14ac:dyDescent="0.3">
      <c r="A9" t="s">
        <v>128</v>
      </c>
      <c r="B9">
        <v>1</v>
      </c>
      <c r="C9" s="22" t="s">
        <v>61</v>
      </c>
      <c r="D9" t="s">
        <v>130</v>
      </c>
      <c r="E9">
        <v>724</v>
      </c>
      <c r="F9" s="11">
        <f>(B9*E9)</f>
        <v>724</v>
      </c>
      <c r="G9" t="s">
        <v>63</v>
      </c>
      <c r="H9">
        <v>1</v>
      </c>
      <c r="I9" t="s">
        <v>129</v>
      </c>
    </row>
  </sheetData>
  <mergeCells count="2">
    <mergeCell ref="B1:G1"/>
    <mergeCell ref="K3:K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222-7D91-4DD5-A208-B3F68A87D525}">
  <dimension ref="A1:W190"/>
  <sheetViews>
    <sheetView topLeftCell="A138" workbookViewId="0">
      <selection activeCell="H98" sqref="H98"/>
    </sheetView>
  </sheetViews>
  <sheetFormatPr defaultRowHeight="14.4" x14ac:dyDescent="0.3"/>
  <cols>
    <col min="1" max="1" width="10.5546875" bestFit="1" customWidth="1"/>
    <col min="3" max="3" width="35.6640625" bestFit="1" customWidth="1"/>
    <col min="4" max="4" width="25.33203125" bestFit="1" customWidth="1"/>
    <col min="6" max="6" width="10" bestFit="1" customWidth="1"/>
    <col min="7" max="7" width="35.21875" bestFit="1" customWidth="1"/>
    <col min="8" max="8" width="30.6640625" bestFit="1" customWidth="1"/>
    <col min="9" max="9" width="10" bestFit="1" customWidth="1"/>
    <col min="10" max="10" width="22" bestFit="1" customWidth="1"/>
    <col min="11" max="11" width="34.88671875" bestFit="1" customWidth="1"/>
    <col min="12" max="12" width="17.88671875" bestFit="1" customWidth="1"/>
    <col min="13" max="13" width="12" bestFit="1" customWidth="1"/>
    <col min="14" max="16" width="11.109375" bestFit="1" customWidth="1"/>
    <col min="17" max="17" width="12" bestFit="1" customWidth="1"/>
    <col min="18" max="21" width="11.109375" bestFit="1" customWidth="1"/>
    <col min="22" max="22" width="15.6640625" bestFit="1" customWidth="1"/>
    <col min="23" max="23" width="17" bestFit="1" customWidth="1"/>
  </cols>
  <sheetData>
    <row r="1" spans="1:23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K1" s="13" t="s">
        <v>65</v>
      </c>
      <c r="L1" t="s">
        <v>147</v>
      </c>
    </row>
    <row r="2" spans="1:23" x14ac:dyDescent="0.3">
      <c r="A2" s="8">
        <v>45748</v>
      </c>
      <c r="B2" s="2">
        <v>2</v>
      </c>
      <c r="C2" s="2" t="s">
        <v>68</v>
      </c>
      <c r="D2" s="2" t="s">
        <v>19</v>
      </c>
      <c r="E2" s="3">
        <f>(F2/2)</f>
        <v>2089.4899999999998</v>
      </c>
      <c r="F2" s="3">
        <v>4178.9799999999996</v>
      </c>
      <c r="G2" s="2" t="s">
        <v>8</v>
      </c>
      <c r="H2" s="8">
        <v>45749</v>
      </c>
    </row>
    <row r="3" spans="1:23" x14ac:dyDescent="0.3">
      <c r="A3" s="8">
        <v>45748</v>
      </c>
      <c r="B3" s="2">
        <v>2</v>
      </c>
      <c r="C3" s="2" t="s">
        <v>69</v>
      </c>
      <c r="D3" s="2" t="s">
        <v>28</v>
      </c>
      <c r="E3" s="3">
        <f>(F3/2)</f>
        <v>2460.4899999999998</v>
      </c>
      <c r="F3" s="3">
        <v>4920.9799999999996</v>
      </c>
      <c r="G3" s="2" t="s">
        <v>8</v>
      </c>
      <c r="H3" s="2"/>
      <c r="K3" s="13" t="s">
        <v>78</v>
      </c>
      <c r="L3" t="s">
        <v>81</v>
      </c>
      <c r="M3" t="s">
        <v>146</v>
      </c>
    </row>
    <row r="4" spans="1:23" x14ac:dyDescent="0.3">
      <c r="A4" s="8">
        <v>45749</v>
      </c>
      <c r="B4" s="2">
        <v>2</v>
      </c>
      <c r="C4" s="2" t="s">
        <v>67</v>
      </c>
      <c r="D4" s="2" t="s">
        <v>19</v>
      </c>
      <c r="E4" s="3">
        <v>2517.4899999999998</v>
      </c>
      <c r="F4" s="3">
        <f>(B4*E4)</f>
        <v>5034.9799999999996</v>
      </c>
      <c r="G4" s="2" t="s">
        <v>8</v>
      </c>
      <c r="H4" s="2"/>
      <c r="K4" s="14" t="s">
        <v>140</v>
      </c>
      <c r="L4">
        <v>5</v>
      </c>
      <c r="M4">
        <v>13025</v>
      </c>
    </row>
    <row r="5" spans="1:23" x14ac:dyDescent="0.3">
      <c r="A5" s="8">
        <v>45749</v>
      </c>
      <c r="B5" s="2">
        <v>2</v>
      </c>
      <c r="C5" s="2" t="s">
        <v>68</v>
      </c>
      <c r="D5" s="2" t="s">
        <v>70</v>
      </c>
      <c r="E5" s="3">
        <v>2089.4899999999998</v>
      </c>
      <c r="F5" s="3">
        <f t="shared" ref="F5:F29" si="0">(B5*E5)</f>
        <v>4178.9799999999996</v>
      </c>
      <c r="G5" s="2" t="s">
        <v>8</v>
      </c>
      <c r="H5" s="2"/>
      <c r="K5" s="14" t="s">
        <v>141</v>
      </c>
      <c r="L5">
        <v>1</v>
      </c>
      <c r="M5">
        <v>3535</v>
      </c>
    </row>
    <row r="6" spans="1:23" x14ac:dyDescent="0.3">
      <c r="A6" s="8">
        <v>45749</v>
      </c>
      <c r="B6" s="2">
        <v>2</v>
      </c>
      <c r="C6" s="2" t="s">
        <v>73</v>
      </c>
      <c r="D6" s="2" t="s">
        <v>70</v>
      </c>
      <c r="E6" s="3">
        <v>2089.4899999999998</v>
      </c>
      <c r="F6" s="3">
        <f t="shared" si="0"/>
        <v>4178.9799999999996</v>
      </c>
      <c r="G6" s="2" t="s">
        <v>8</v>
      </c>
      <c r="H6" s="2"/>
      <c r="K6" s="14" t="s">
        <v>132</v>
      </c>
      <c r="L6">
        <v>1</v>
      </c>
      <c r="M6">
        <v>713</v>
      </c>
    </row>
    <row r="7" spans="1:23" x14ac:dyDescent="0.3">
      <c r="A7" s="8">
        <v>45749</v>
      </c>
      <c r="B7" s="2">
        <v>1</v>
      </c>
      <c r="C7" s="2" t="s">
        <v>68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H7" s="8">
        <v>45755</v>
      </c>
      <c r="K7" s="14" t="s">
        <v>123</v>
      </c>
      <c r="L7">
        <v>52</v>
      </c>
      <c r="M7">
        <v>1560</v>
      </c>
    </row>
    <row r="8" spans="1:23" x14ac:dyDescent="0.3">
      <c r="A8" s="8">
        <v>45749</v>
      </c>
      <c r="B8" s="2">
        <v>1</v>
      </c>
      <c r="C8" s="2" t="s">
        <v>73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H8" s="8">
        <v>45755</v>
      </c>
      <c r="K8" s="14" t="s">
        <v>134</v>
      </c>
      <c r="L8">
        <v>31</v>
      </c>
      <c r="M8">
        <v>611</v>
      </c>
    </row>
    <row r="9" spans="1:23" x14ac:dyDescent="0.3">
      <c r="A9" s="8">
        <v>45749</v>
      </c>
      <c r="B9" s="2">
        <v>8</v>
      </c>
      <c r="C9" s="2" t="s">
        <v>74</v>
      </c>
      <c r="D9" s="2" t="s">
        <v>71</v>
      </c>
      <c r="E9" s="3">
        <v>229</v>
      </c>
      <c r="F9" s="3">
        <f t="shared" si="0"/>
        <v>1832</v>
      </c>
      <c r="G9" s="2" t="s">
        <v>8</v>
      </c>
      <c r="H9" s="8">
        <v>45749</v>
      </c>
      <c r="K9" s="14" t="s">
        <v>143</v>
      </c>
      <c r="L9">
        <v>6</v>
      </c>
      <c r="M9">
        <v>1224</v>
      </c>
    </row>
    <row r="10" spans="1:23" x14ac:dyDescent="0.3">
      <c r="A10" s="8">
        <v>45749</v>
      </c>
      <c r="B10" s="2">
        <v>1</v>
      </c>
      <c r="C10" s="2" t="s">
        <v>98</v>
      </c>
      <c r="D10" s="2" t="s">
        <v>71</v>
      </c>
      <c r="E10" s="3">
        <v>699</v>
      </c>
      <c r="F10" s="3">
        <f t="shared" si="0"/>
        <v>699</v>
      </c>
      <c r="G10" s="2" t="s">
        <v>8</v>
      </c>
      <c r="H10" s="8">
        <v>45750</v>
      </c>
      <c r="K10" s="14" t="s">
        <v>144</v>
      </c>
      <c r="L10">
        <v>3</v>
      </c>
      <c r="M10">
        <v>600</v>
      </c>
    </row>
    <row r="11" spans="1:23" x14ac:dyDescent="0.3">
      <c r="A11" s="8">
        <v>45749</v>
      </c>
      <c r="B11" s="2">
        <v>1</v>
      </c>
      <c r="C11" s="2" t="s">
        <v>75</v>
      </c>
      <c r="D11" s="2" t="s">
        <v>71</v>
      </c>
      <c r="E11" s="3">
        <v>799</v>
      </c>
      <c r="F11" s="3">
        <f t="shared" si="0"/>
        <v>799</v>
      </c>
      <c r="G11" s="2" t="s">
        <v>8</v>
      </c>
      <c r="H11" s="8">
        <v>45750</v>
      </c>
      <c r="K11" s="14" t="s">
        <v>86</v>
      </c>
      <c r="L11">
        <v>5</v>
      </c>
      <c r="M11">
        <v>435</v>
      </c>
    </row>
    <row r="12" spans="1:23" x14ac:dyDescent="0.3">
      <c r="A12" s="8">
        <v>45749</v>
      </c>
      <c r="B12" s="2">
        <v>1</v>
      </c>
      <c r="C12" s="2" t="s">
        <v>68</v>
      </c>
      <c r="D12" s="2" t="s">
        <v>71</v>
      </c>
      <c r="E12" s="3">
        <v>2149</v>
      </c>
      <c r="F12" s="3">
        <f t="shared" si="0"/>
        <v>2149</v>
      </c>
      <c r="G12" s="2" t="s">
        <v>8</v>
      </c>
      <c r="H12" s="8">
        <v>45749</v>
      </c>
      <c r="K12" s="14" t="s">
        <v>122</v>
      </c>
      <c r="L12">
        <v>5</v>
      </c>
      <c r="M12">
        <v>715</v>
      </c>
    </row>
    <row r="13" spans="1:23" x14ac:dyDescent="0.3">
      <c r="A13" s="17">
        <v>45749</v>
      </c>
      <c r="B13" s="18">
        <v>1</v>
      </c>
      <c r="C13" s="18" t="s">
        <v>68</v>
      </c>
      <c r="D13" s="18" t="s">
        <v>21</v>
      </c>
      <c r="E13" s="19">
        <v>2089.9899999999998</v>
      </c>
      <c r="F13" s="19">
        <f t="shared" si="0"/>
        <v>2089.9899999999998</v>
      </c>
      <c r="G13" s="18" t="s">
        <v>110</v>
      </c>
      <c r="H13" s="18" t="s">
        <v>93</v>
      </c>
      <c r="I13" s="60">
        <f>F13/11</f>
        <v>189.99909090909088</v>
      </c>
      <c r="K13" s="14" t="s">
        <v>133</v>
      </c>
      <c r="L13">
        <v>4</v>
      </c>
      <c r="M13">
        <v>852</v>
      </c>
    </row>
    <row r="14" spans="1:23" s="20" customFormat="1" x14ac:dyDescent="0.3">
      <c r="A14" s="17">
        <v>45749</v>
      </c>
      <c r="B14" s="18">
        <v>2</v>
      </c>
      <c r="C14" s="18" t="s">
        <v>68</v>
      </c>
      <c r="D14" s="18" t="s">
        <v>72</v>
      </c>
      <c r="E14" s="19">
        <v>2089.9899999999998</v>
      </c>
      <c r="F14" s="19">
        <f t="shared" si="0"/>
        <v>4179.9799999999996</v>
      </c>
      <c r="G14" s="18" t="s">
        <v>110</v>
      </c>
      <c r="H14" s="18" t="s">
        <v>110</v>
      </c>
      <c r="I14" s="60">
        <f>F14/11</f>
        <v>379.99818181818176</v>
      </c>
      <c r="K14" s="14" t="s">
        <v>145</v>
      </c>
      <c r="L14">
        <v>1</v>
      </c>
      <c r="M14">
        <v>2077</v>
      </c>
      <c r="N14"/>
      <c r="O14"/>
      <c r="P14"/>
      <c r="Q14"/>
      <c r="R14"/>
      <c r="S14"/>
      <c r="T14"/>
      <c r="U14"/>
      <c r="V14"/>
      <c r="W14"/>
    </row>
    <row r="15" spans="1:23" x14ac:dyDescent="0.3">
      <c r="A15" s="8">
        <v>45749</v>
      </c>
      <c r="B15" s="2">
        <v>1</v>
      </c>
      <c r="C15" s="2" t="s">
        <v>68</v>
      </c>
      <c r="D15" s="2" t="s">
        <v>28</v>
      </c>
      <c r="E15" s="3">
        <v>2089.9899999999998</v>
      </c>
      <c r="F15" s="3">
        <f t="shared" si="0"/>
        <v>2089.9899999999998</v>
      </c>
      <c r="G15" s="2" t="s">
        <v>8</v>
      </c>
      <c r="H15" s="8">
        <v>45751</v>
      </c>
      <c r="K15" s="14" t="s">
        <v>112</v>
      </c>
      <c r="L15">
        <v>14</v>
      </c>
      <c r="M15">
        <v>32186</v>
      </c>
    </row>
    <row r="16" spans="1:23" x14ac:dyDescent="0.3">
      <c r="A16" s="8">
        <v>45749</v>
      </c>
      <c r="B16" s="2">
        <v>1</v>
      </c>
      <c r="C16" s="2" t="s">
        <v>73</v>
      </c>
      <c r="D16" s="2" t="s">
        <v>28</v>
      </c>
      <c r="E16" s="3">
        <v>2089.9899999999998</v>
      </c>
      <c r="F16" s="3">
        <f t="shared" si="0"/>
        <v>2089.9899999999998</v>
      </c>
      <c r="G16" s="2" t="s">
        <v>8</v>
      </c>
      <c r="H16" s="8">
        <v>45751</v>
      </c>
      <c r="K16" s="14" t="s">
        <v>119</v>
      </c>
      <c r="L16">
        <v>5</v>
      </c>
      <c r="M16">
        <v>11495</v>
      </c>
    </row>
    <row r="17" spans="1:13" x14ac:dyDescent="0.3">
      <c r="A17" s="8">
        <v>45749</v>
      </c>
      <c r="B17" s="2">
        <v>1</v>
      </c>
      <c r="C17" s="2" t="s">
        <v>76</v>
      </c>
      <c r="D17" s="2" t="s">
        <v>28</v>
      </c>
      <c r="E17" s="3">
        <v>39</v>
      </c>
      <c r="F17" s="3">
        <f t="shared" si="0"/>
        <v>39</v>
      </c>
      <c r="G17" s="2" t="s">
        <v>8</v>
      </c>
      <c r="H17" s="8">
        <v>45749</v>
      </c>
      <c r="K17" s="14" t="s">
        <v>113</v>
      </c>
      <c r="L17">
        <v>18</v>
      </c>
      <c r="M17">
        <v>41382</v>
      </c>
    </row>
    <row r="18" spans="1:13" x14ac:dyDescent="0.3">
      <c r="A18" s="8">
        <v>45750</v>
      </c>
      <c r="B18" s="2">
        <v>1</v>
      </c>
      <c r="C18" s="2" t="s">
        <v>82</v>
      </c>
      <c r="D18" s="2" t="s">
        <v>7</v>
      </c>
      <c r="E18" s="3">
        <v>799</v>
      </c>
      <c r="F18" s="3">
        <f t="shared" si="0"/>
        <v>799</v>
      </c>
      <c r="G18" s="2" t="s">
        <v>8</v>
      </c>
      <c r="H18" s="2"/>
      <c r="K18" s="14" t="s">
        <v>121</v>
      </c>
      <c r="L18">
        <v>11</v>
      </c>
      <c r="M18">
        <v>29241.97</v>
      </c>
    </row>
    <row r="19" spans="1:13" x14ac:dyDescent="0.3">
      <c r="A19" s="8">
        <v>45750</v>
      </c>
      <c r="B19" s="2">
        <v>1</v>
      </c>
      <c r="C19" s="2" t="s">
        <v>98</v>
      </c>
      <c r="D19" s="2" t="s">
        <v>83</v>
      </c>
      <c r="E19" s="3">
        <v>669</v>
      </c>
      <c r="F19" s="3">
        <f t="shared" si="0"/>
        <v>669</v>
      </c>
      <c r="G19" s="2" t="s">
        <v>107</v>
      </c>
      <c r="H19" s="2"/>
      <c r="K19" s="14" t="s">
        <v>126</v>
      </c>
      <c r="L19">
        <v>2</v>
      </c>
      <c r="M19">
        <v>5099.9799999999996</v>
      </c>
    </row>
    <row r="20" spans="1:13" x14ac:dyDescent="0.3">
      <c r="A20" s="8">
        <v>45750</v>
      </c>
      <c r="B20" s="2"/>
      <c r="C20" s="2" t="s">
        <v>84</v>
      </c>
      <c r="D20" s="2" t="s">
        <v>85</v>
      </c>
      <c r="E20" s="3">
        <v>36.54</v>
      </c>
      <c r="F20" s="3">
        <f t="shared" si="0"/>
        <v>0</v>
      </c>
      <c r="G20" s="2"/>
      <c r="H20" s="2"/>
      <c r="K20" s="14" t="s">
        <v>104</v>
      </c>
      <c r="L20">
        <v>1</v>
      </c>
      <c r="M20">
        <v>449</v>
      </c>
    </row>
    <row r="21" spans="1:13" x14ac:dyDescent="0.3">
      <c r="A21" s="8">
        <v>45751</v>
      </c>
      <c r="B21" s="2">
        <v>6</v>
      </c>
      <c r="C21" s="2" t="s">
        <v>86</v>
      </c>
      <c r="D21" s="2" t="s">
        <v>87</v>
      </c>
      <c r="E21" s="3">
        <v>87</v>
      </c>
      <c r="F21" s="3">
        <f t="shared" si="0"/>
        <v>522</v>
      </c>
      <c r="G21" s="2" t="s">
        <v>8</v>
      </c>
      <c r="H21" s="2"/>
      <c r="K21" s="14" t="s">
        <v>117</v>
      </c>
      <c r="L21">
        <v>5</v>
      </c>
      <c r="M21">
        <v>1582</v>
      </c>
    </row>
    <row r="22" spans="1:13" x14ac:dyDescent="0.3">
      <c r="A22" s="8">
        <v>45751</v>
      </c>
      <c r="B22" s="2">
        <v>1</v>
      </c>
      <c r="C22" s="2" t="s">
        <v>29</v>
      </c>
      <c r="D22" s="2" t="s">
        <v>41</v>
      </c>
      <c r="E22" s="3">
        <v>2204</v>
      </c>
      <c r="F22" s="3">
        <f t="shared" si="0"/>
        <v>2204</v>
      </c>
      <c r="G22" s="2" t="s">
        <v>107</v>
      </c>
      <c r="H22" s="2"/>
      <c r="K22" s="14" t="s">
        <v>116</v>
      </c>
      <c r="L22">
        <v>27</v>
      </c>
      <c r="M22">
        <v>19070.82</v>
      </c>
    </row>
    <row r="23" spans="1:13" x14ac:dyDescent="0.3">
      <c r="A23" s="8">
        <v>45751</v>
      </c>
      <c r="B23" s="2">
        <v>1</v>
      </c>
      <c r="C23" s="2" t="s">
        <v>73</v>
      </c>
      <c r="D23" s="2" t="s">
        <v>88</v>
      </c>
      <c r="E23" s="3">
        <v>2089.9899999999998</v>
      </c>
      <c r="F23" s="3">
        <f t="shared" si="0"/>
        <v>2089.9899999999998</v>
      </c>
      <c r="G23" s="2" t="s">
        <v>8</v>
      </c>
      <c r="H23" s="2"/>
      <c r="K23" s="14" t="s">
        <v>98</v>
      </c>
      <c r="L23">
        <v>47</v>
      </c>
      <c r="M23">
        <v>33903</v>
      </c>
    </row>
    <row r="24" spans="1:13" x14ac:dyDescent="0.3">
      <c r="A24" s="57">
        <v>45751</v>
      </c>
      <c r="B24" s="58">
        <v>1</v>
      </c>
      <c r="C24" s="58" t="s">
        <v>68</v>
      </c>
      <c r="D24" s="58" t="s">
        <v>88</v>
      </c>
      <c r="E24" s="59">
        <v>2089.9899999999998</v>
      </c>
      <c r="F24" s="59">
        <f t="shared" si="0"/>
        <v>2089.9899999999998</v>
      </c>
      <c r="G24" s="58" t="s">
        <v>192</v>
      </c>
      <c r="H24" s="2"/>
      <c r="I24" s="60">
        <f>F24/11</f>
        <v>189.99909090909088</v>
      </c>
      <c r="K24" s="14" t="s">
        <v>151</v>
      </c>
      <c r="L24">
        <v>2</v>
      </c>
      <c r="M24">
        <v>3499.98</v>
      </c>
    </row>
    <row r="25" spans="1:13" x14ac:dyDescent="0.3">
      <c r="A25" s="8"/>
      <c r="B25" s="2">
        <v>1</v>
      </c>
      <c r="C25" s="2" t="s">
        <v>148</v>
      </c>
      <c r="D25" s="2" t="s">
        <v>70</v>
      </c>
      <c r="E25" s="3">
        <v>2089.9899999999998</v>
      </c>
      <c r="F25" s="3">
        <f t="shared" si="0"/>
        <v>2089.9899999999998</v>
      </c>
      <c r="G25" s="2" t="s">
        <v>8</v>
      </c>
      <c r="H25" s="2"/>
      <c r="J25" t="s">
        <v>111</v>
      </c>
      <c r="K25" s="14" t="s">
        <v>152</v>
      </c>
      <c r="L25">
        <v>2</v>
      </c>
      <c r="M25">
        <v>3499.98</v>
      </c>
    </row>
    <row r="26" spans="1:13" x14ac:dyDescent="0.3">
      <c r="A26" s="57">
        <v>45752</v>
      </c>
      <c r="B26" s="58">
        <v>1</v>
      </c>
      <c r="C26" s="58" t="s">
        <v>97</v>
      </c>
      <c r="D26" s="58" t="s">
        <v>70</v>
      </c>
      <c r="E26" s="59">
        <v>2089.9899999999998</v>
      </c>
      <c r="F26" s="59">
        <f t="shared" si="0"/>
        <v>2089.9899999999998</v>
      </c>
      <c r="G26" s="58" t="s">
        <v>192</v>
      </c>
      <c r="H26" s="2"/>
      <c r="I26" s="60">
        <f>F26/11</f>
        <v>189.99909090909088</v>
      </c>
      <c r="K26" s="14" t="s">
        <v>153</v>
      </c>
      <c r="L26">
        <v>3</v>
      </c>
      <c r="M26">
        <v>5249.97</v>
      </c>
    </row>
    <row r="27" spans="1:13" x14ac:dyDescent="0.3">
      <c r="A27" s="8">
        <v>45752</v>
      </c>
      <c r="B27" s="2">
        <v>1</v>
      </c>
      <c r="C27" s="2" t="s">
        <v>95</v>
      </c>
      <c r="D27" s="2" t="s">
        <v>7</v>
      </c>
      <c r="E27" s="3">
        <v>149</v>
      </c>
      <c r="F27" s="3">
        <f t="shared" si="0"/>
        <v>149</v>
      </c>
      <c r="G27" s="2" t="s">
        <v>8</v>
      </c>
      <c r="H27" s="2"/>
      <c r="K27" s="14" t="s">
        <v>154</v>
      </c>
      <c r="L27">
        <v>6</v>
      </c>
      <c r="M27">
        <v>10499.94</v>
      </c>
    </row>
    <row r="28" spans="1:13" x14ac:dyDescent="0.3">
      <c r="A28" s="8">
        <v>45752</v>
      </c>
      <c r="B28" s="2">
        <v>1</v>
      </c>
      <c r="C28" s="2" t="s">
        <v>94</v>
      </c>
      <c r="D28" s="2" t="s">
        <v>7</v>
      </c>
      <c r="E28" s="21">
        <v>2549</v>
      </c>
      <c r="F28" s="3">
        <f t="shared" si="0"/>
        <v>2549</v>
      </c>
      <c r="G28" s="2" t="s">
        <v>8</v>
      </c>
      <c r="H28" s="2"/>
      <c r="K28" s="14" t="s">
        <v>155</v>
      </c>
      <c r="L28">
        <v>5</v>
      </c>
      <c r="M28">
        <v>10995</v>
      </c>
    </row>
    <row r="29" spans="1:13" x14ac:dyDescent="0.3">
      <c r="A29" s="57">
        <v>45755</v>
      </c>
      <c r="B29" s="58">
        <v>1</v>
      </c>
      <c r="C29" s="58" t="s">
        <v>149</v>
      </c>
      <c r="D29" s="58" t="s">
        <v>70</v>
      </c>
      <c r="E29" s="59">
        <v>2089.9899999999998</v>
      </c>
      <c r="F29" s="59">
        <f t="shared" si="0"/>
        <v>2089.9899999999998</v>
      </c>
      <c r="G29" s="58" t="s">
        <v>192</v>
      </c>
      <c r="H29" s="2"/>
      <c r="I29" s="60">
        <f t="shared" ref="I29:I31" si="1">F29/11</f>
        <v>189.99909090909088</v>
      </c>
      <c r="K29" s="14" t="s">
        <v>156</v>
      </c>
      <c r="L29">
        <v>3</v>
      </c>
      <c r="M29">
        <v>7649.9699999999993</v>
      </c>
    </row>
    <row r="30" spans="1:13" x14ac:dyDescent="0.3">
      <c r="A30" s="57">
        <v>45755</v>
      </c>
      <c r="B30" s="58">
        <v>1</v>
      </c>
      <c r="C30" s="58" t="s">
        <v>150</v>
      </c>
      <c r="D30" s="58" t="s">
        <v>16</v>
      </c>
      <c r="E30" s="59">
        <v>2089.9899999999998</v>
      </c>
      <c r="F30" s="59">
        <v>2089</v>
      </c>
      <c r="G30" s="58" t="s">
        <v>192</v>
      </c>
      <c r="H30" s="2"/>
      <c r="I30" s="60">
        <f t="shared" si="1"/>
        <v>189.90909090909091</v>
      </c>
      <c r="K30" s="14" t="s">
        <v>157</v>
      </c>
      <c r="L30">
        <v>1</v>
      </c>
      <c r="M30">
        <v>2549.9899999999998</v>
      </c>
    </row>
    <row r="31" spans="1:13" x14ac:dyDescent="0.3">
      <c r="A31" s="57">
        <v>45755</v>
      </c>
      <c r="B31" s="58">
        <v>1</v>
      </c>
      <c r="C31" s="58" t="s">
        <v>150</v>
      </c>
      <c r="D31" s="58" t="s">
        <v>16</v>
      </c>
      <c r="E31" s="59">
        <v>2089.9899999999998</v>
      </c>
      <c r="F31" s="59">
        <v>2089</v>
      </c>
      <c r="G31" s="58" t="s">
        <v>109</v>
      </c>
      <c r="H31" s="2"/>
      <c r="I31" s="60">
        <f t="shared" si="1"/>
        <v>189.90909090909091</v>
      </c>
      <c r="K31" s="14" t="s">
        <v>158</v>
      </c>
      <c r="L31">
        <v>7</v>
      </c>
      <c r="M31">
        <v>18893</v>
      </c>
    </row>
    <row r="32" spans="1:13" x14ac:dyDescent="0.3">
      <c r="A32" s="8">
        <v>45756</v>
      </c>
      <c r="B32" s="2">
        <v>10</v>
      </c>
      <c r="C32" s="2" t="s">
        <v>98</v>
      </c>
      <c r="D32" s="2" t="s">
        <v>103</v>
      </c>
      <c r="E32" s="3">
        <v>724</v>
      </c>
      <c r="F32" s="3">
        <f>B32*E32</f>
        <v>7240</v>
      </c>
      <c r="G32" s="2" t="s">
        <v>8</v>
      </c>
      <c r="H32" s="2"/>
      <c r="K32" s="14" t="s">
        <v>80</v>
      </c>
      <c r="L32">
        <v>273</v>
      </c>
      <c r="M32">
        <v>262594.60000000003</v>
      </c>
    </row>
    <row r="33" spans="1:9" x14ac:dyDescent="0.3">
      <c r="A33" s="8">
        <v>45756</v>
      </c>
      <c r="B33" s="2">
        <v>2</v>
      </c>
      <c r="C33" s="2" t="s">
        <v>151</v>
      </c>
      <c r="D33" s="2" t="s">
        <v>14</v>
      </c>
      <c r="E33" s="3">
        <v>1749.99</v>
      </c>
      <c r="F33" s="3">
        <f t="shared" ref="F33:F39" si="2">B33*E33</f>
        <v>3499.98</v>
      </c>
      <c r="G33" s="2" t="s">
        <v>105</v>
      </c>
      <c r="H33" s="2"/>
    </row>
    <row r="34" spans="1:9" x14ac:dyDescent="0.3">
      <c r="A34" s="8">
        <v>45756</v>
      </c>
      <c r="B34" s="2">
        <v>2</v>
      </c>
      <c r="C34" s="2" t="s">
        <v>152</v>
      </c>
      <c r="D34" s="2" t="s">
        <v>14</v>
      </c>
      <c r="E34" s="3">
        <v>1749.99</v>
      </c>
      <c r="F34" s="3">
        <f t="shared" si="2"/>
        <v>3499.98</v>
      </c>
      <c r="G34" s="2" t="s">
        <v>105</v>
      </c>
      <c r="H34" s="2"/>
    </row>
    <row r="35" spans="1:9" x14ac:dyDescent="0.3">
      <c r="A35" s="8">
        <v>45756</v>
      </c>
      <c r="B35" s="2">
        <v>3</v>
      </c>
      <c r="C35" s="2" t="s">
        <v>153</v>
      </c>
      <c r="D35" s="2" t="s">
        <v>14</v>
      </c>
      <c r="E35" s="3">
        <v>1749.99</v>
      </c>
      <c r="F35" s="3">
        <f t="shared" si="2"/>
        <v>5249.97</v>
      </c>
      <c r="G35" s="2" t="s">
        <v>105</v>
      </c>
      <c r="H35" s="2"/>
    </row>
    <row r="36" spans="1:9" x14ac:dyDescent="0.3">
      <c r="A36" s="8">
        <v>45756</v>
      </c>
      <c r="B36" s="2">
        <v>6</v>
      </c>
      <c r="C36" s="2" t="s">
        <v>154</v>
      </c>
      <c r="D36" s="2" t="s">
        <v>14</v>
      </c>
      <c r="E36" s="3">
        <v>1749.99</v>
      </c>
      <c r="F36" s="3">
        <f t="shared" si="2"/>
        <v>10499.94</v>
      </c>
      <c r="G36" s="2" t="s">
        <v>105</v>
      </c>
      <c r="H36" s="2"/>
    </row>
    <row r="37" spans="1:9" x14ac:dyDescent="0.3">
      <c r="A37" s="55">
        <v>45756</v>
      </c>
      <c r="B37" s="37">
        <v>5</v>
      </c>
      <c r="C37" s="37" t="s">
        <v>280</v>
      </c>
      <c r="D37" s="37" t="s">
        <v>14</v>
      </c>
      <c r="E37" s="56">
        <v>2199</v>
      </c>
      <c r="F37" s="56">
        <f t="shared" si="2"/>
        <v>10995</v>
      </c>
      <c r="G37" s="37" t="s">
        <v>105</v>
      </c>
      <c r="H37" s="37"/>
    </row>
    <row r="38" spans="1:9" x14ac:dyDescent="0.3">
      <c r="A38" s="17">
        <v>45756</v>
      </c>
      <c r="B38" s="18">
        <v>1</v>
      </c>
      <c r="C38" s="18" t="s">
        <v>98</v>
      </c>
      <c r="D38" s="18" t="s">
        <v>106</v>
      </c>
      <c r="E38" s="19">
        <v>669</v>
      </c>
      <c r="F38" s="19">
        <f t="shared" si="2"/>
        <v>669</v>
      </c>
      <c r="G38" s="18" t="s">
        <v>191</v>
      </c>
      <c r="H38" s="2"/>
      <c r="I38" s="60">
        <f>F38/11</f>
        <v>60.81818181818182</v>
      </c>
    </row>
    <row r="39" spans="1:9" x14ac:dyDescent="0.3">
      <c r="A39" s="8">
        <v>45757</v>
      </c>
      <c r="B39" s="2">
        <v>1</v>
      </c>
      <c r="C39" s="2" t="s">
        <v>104</v>
      </c>
      <c r="D39" s="2" t="s">
        <v>101</v>
      </c>
      <c r="E39" s="3">
        <v>449</v>
      </c>
      <c r="F39" s="3">
        <f t="shared" si="2"/>
        <v>449</v>
      </c>
      <c r="G39" s="2" t="s">
        <v>8</v>
      </c>
      <c r="H39" s="2"/>
    </row>
    <row r="40" spans="1:9" x14ac:dyDescent="0.3">
      <c r="A40" s="8">
        <v>45757</v>
      </c>
      <c r="B40" s="2">
        <v>2</v>
      </c>
      <c r="C40" s="2" t="s">
        <v>98</v>
      </c>
      <c r="D40" s="2" t="s">
        <v>101</v>
      </c>
      <c r="E40" s="3">
        <v>689</v>
      </c>
      <c r="F40" s="3">
        <f t="shared" ref="F40:F108" si="3">B40*E40</f>
        <v>1378</v>
      </c>
      <c r="G40" s="2" t="s">
        <v>281</v>
      </c>
      <c r="H40" s="2"/>
    </row>
    <row r="41" spans="1:9" x14ac:dyDescent="0.3">
      <c r="A41" s="8">
        <v>45757</v>
      </c>
      <c r="B41" s="2">
        <v>8</v>
      </c>
      <c r="C41" s="2" t="s">
        <v>98</v>
      </c>
      <c r="D41" s="2" t="s">
        <v>100</v>
      </c>
      <c r="E41" s="3">
        <v>724</v>
      </c>
      <c r="F41" s="3">
        <f t="shared" si="3"/>
        <v>5792</v>
      </c>
      <c r="G41" s="2" t="s">
        <v>8</v>
      </c>
      <c r="H41" s="2"/>
    </row>
    <row r="42" spans="1:9" x14ac:dyDescent="0.3">
      <c r="A42" s="8">
        <v>45757</v>
      </c>
      <c r="B42" s="2">
        <v>5</v>
      </c>
      <c r="C42" s="2" t="s">
        <v>98</v>
      </c>
      <c r="D42" s="2" t="s">
        <v>99</v>
      </c>
      <c r="E42" s="3">
        <v>724</v>
      </c>
      <c r="F42" s="3">
        <f t="shared" si="3"/>
        <v>3620</v>
      </c>
      <c r="G42" s="2" t="s">
        <v>8</v>
      </c>
      <c r="H42" s="2"/>
    </row>
    <row r="43" spans="1:9" x14ac:dyDescent="0.3">
      <c r="A43" s="8">
        <v>45758</v>
      </c>
      <c r="B43" s="2">
        <v>11</v>
      </c>
      <c r="C43" s="2" t="s">
        <v>98</v>
      </c>
      <c r="D43" s="2" t="s">
        <v>99</v>
      </c>
      <c r="E43" s="3">
        <v>724</v>
      </c>
      <c r="F43" s="3">
        <f t="shared" si="3"/>
        <v>7964</v>
      </c>
      <c r="G43" s="2" t="s">
        <v>8</v>
      </c>
      <c r="H43" s="2"/>
    </row>
    <row r="44" spans="1:9" x14ac:dyDescent="0.3">
      <c r="A44" s="8">
        <v>45758</v>
      </c>
      <c r="B44" s="2">
        <v>3</v>
      </c>
      <c r="C44" s="2" t="s">
        <v>156</v>
      </c>
      <c r="D44" s="2" t="s">
        <v>14</v>
      </c>
      <c r="E44" s="3">
        <v>2549.9899999999998</v>
      </c>
      <c r="F44" s="3">
        <f t="shared" si="3"/>
        <v>7649.9699999999993</v>
      </c>
      <c r="G44" s="2" t="s">
        <v>105</v>
      </c>
      <c r="H44" s="2"/>
    </row>
    <row r="45" spans="1:9" x14ac:dyDescent="0.3">
      <c r="A45" s="8">
        <v>45758</v>
      </c>
      <c r="B45" s="2">
        <v>1</v>
      </c>
      <c r="C45" s="2" t="s">
        <v>157</v>
      </c>
      <c r="D45" s="2" t="s">
        <v>14</v>
      </c>
      <c r="E45" s="3">
        <v>2549.9899999999998</v>
      </c>
      <c r="F45" s="3">
        <f t="shared" si="3"/>
        <v>2549.9899999999998</v>
      </c>
      <c r="G45" s="2" t="s">
        <v>105</v>
      </c>
      <c r="H45" s="2"/>
    </row>
    <row r="46" spans="1:9" x14ac:dyDescent="0.3">
      <c r="A46" s="8">
        <v>45759</v>
      </c>
      <c r="B46" s="2">
        <v>1</v>
      </c>
      <c r="C46" s="2" t="s">
        <v>112</v>
      </c>
      <c r="D46" s="2" t="s">
        <v>114</v>
      </c>
      <c r="E46" s="3">
        <v>2299</v>
      </c>
      <c r="F46" s="3">
        <f t="shared" si="3"/>
        <v>2299</v>
      </c>
      <c r="G46" s="2" t="s">
        <v>233</v>
      </c>
      <c r="H46" s="2" t="s">
        <v>115</v>
      </c>
      <c r="I46">
        <v>471</v>
      </c>
    </row>
    <row r="47" spans="1:9" x14ac:dyDescent="0.3">
      <c r="A47" s="8">
        <v>45759</v>
      </c>
      <c r="B47" s="2">
        <v>1</v>
      </c>
      <c r="C47" s="2" t="s">
        <v>113</v>
      </c>
      <c r="D47" s="2" t="s">
        <v>114</v>
      </c>
      <c r="E47" s="3">
        <v>2299</v>
      </c>
      <c r="F47" s="3">
        <f t="shared" si="3"/>
        <v>2299</v>
      </c>
      <c r="G47" s="2" t="s">
        <v>233</v>
      </c>
      <c r="H47" s="2" t="s">
        <v>115</v>
      </c>
      <c r="I47">
        <v>171</v>
      </c>
    </row>
    <row r="48" spans="1:9" x14ac:dyDescent="0.3">
      <c r="A48" s="8">
        <v>45759</v>
      </c>
      <c r="B48" s="2">
        <v>1</v>
      </c>
      <c r="C48" s="2" t="s">
        <v>116</v>
      </c>
      <c r="D48" s="2" t="s">
        <v>114</v>
      </c>
      <c r="E48" s="3">
        <v>724</v>
      </c>
      <c r="F48" s="3">
        <f t="shared" si="3"/>
        <v>724</v>
      </c>
      <c r="G48" s="2" t="s">
        <v>233</v>
      </c>
      <c r="H48" s="2" t="s">
        <v>115</v>
      </c>
    </row>
    <row r="49" spans="1:10" x14ac:dyDescent="0.3">
      <c r="A49" s="8">
        <v>45759</v>
      </c>
      <c r="B49" s="2">
        <v>3</v>
      </c>
      <c r="C49" s="2" t="s">
        <v>117</v>
      </c>
      <c r="D49" s="2" t="s">
        <v>114</v>
      </c>
      <c r="E49" s="3">
        <v>328</v>
      </c>
      <c r="F49" s="3">
        <f t="shared" si="3"/>
        <v>984</v>
      </c>
      <c r="G49" s="2" t="s">
        <v>233</v>
      </c>
      <c r="H49" s="2" t="s">
        <v>115</v>
      </c>
    </row>
    <row r="50" spans="1:10" x14ac:dyDescent="0.3">
      <c r="A50" s="8">
        <v>45759</v>
      </c>
      <c r="B50" s="2">
        <v>15</v>
      </c>
      <c r="C50" s="2" t="s">
        <v>113</v>
      </c>
      <c r="D50" s="2" t="s">
        <v>118</v>
      </c>
      <c r="E50" s="3">
        <v>2299</v>
      </c>
      <c r="F50" s="3">
        <f t="shared" si="3"/>
        <v>34485</v>
      </c>
      <c r="G50" s="10" t="s">
        <v>274</v>
      </c>
      <c r="H50" s="2" t="s">
        <v>115</v>
      </c>
      <c r="I50">
        <v>95960</v>
      </c>
      <c r="J50">
        <v>95960</v>
      </c>
    </row>
    <row r="51" spans="1:10" x14ac:dyDescent="0.3">
      <c r="A51" s="8">
        <v>45759</v>
      </c>
      <c r="B51" s="2">
        <v>10</v>
      </c>
      <c r="C51" s="2" t="s">
        <v>112</v>
      </c>
      <c r="D51" s="2" t="s">
        <v>118</v>
      </c>
      <c r="E51" s="3">
        <v>2299</v>
      </c>
      <c r="F51" s="3">
        <f t="shared" si="3"/>
        <v>22990</v>
      </c>
      <c r="G51" s="2" t="s">
        <v>321</v>
      </c>
      <c r="H51" s="2" t="s">
        <v>115</v>
      </c>
      <c r="I51">
        <v>87231</v>
      </c>
      <c r="J51">
        <v>3000</v>
      </c>
    </row>
    <row r="52" spans="1:10" x14ac:dyDescent="0.3">
      <c r="A52" s="8">
        <v>45759</v>
      </c>
      <c r="B52" s="2">
        <v>5</v>
      </c>
      <c r="C52" s="2" t="s">
        <v>119</v>
      </c>
      <c r="D52" s="2" t="s">
        <v>118</v>
      </c>
      <c r="E52" s="3">
        <v>2299</v>
      </c>
      <c r="F52" s="3">
        <f t="shared" si="3"/>
        <v>11495</v>
      </c>
      <c r="G52" s="2" t="s">
        <v>274</v>
      </c>
      <c r="H52" s="2" t="s">
        <v>115</v>
      </c>
      <c r="I52">
        <v>9596</v>
      </c>
      <c r="J52">
        <v>9000</v>
      </c>
    </row>
    <row r="53" spans="1:10" x14ac:dyDescent="0.3">
      <c r="A53" s="8">
        <v>45759</v>
      </c>
      <c r="B53" s="2">
        <v>5</v>
      </c>
      <c r="C53" s="2" t="s">
        <v>121</v>
      </c>
      <c r="D53" s="2" t="s">
        <v>118</v>
      </c>
      <c r="E53" s="3">
        <v>2699</v>
      </c>
      <c r="F53" s="3">
        <f t="shared" si="3"/>
        <v>13495</v>
      </c>
      <c r="G53" s="2" t="s">
        <v>274</v>
      </c>
      <c r="H53" s="2" t="s">
        <v>115</v>
      </c>
      <c r="I53">
        <v>890</v>
      </c>
      <c r="J53">
        <v>9964</v>
      </c>
    </row>
    <row r="54" spans="1:10" x14ac:dyDescent="0.3">
      <c r="A54" s="8">
        <v>45759</v>
      </c>
      <c r="B54" s="2">
        <v>5</v>
      </c>
      <c r="C54" s="2" t="s">
        <v>158</v>
      </c>
      <c r="D54" s="2" t="s">
        <v>118</v>
      </c>
      <c r="E54" s="3">
        <v>2699</v>
      </c>
      <c r="F54" s="3">
        <f t="shared" si="3"/>
        <v>13495</v>
      </c>
      <c r="G54" s="10" t="s">
        <v>321</v>
      </c>
      <c r="H54" s="2" t="s">
        <v>115</v>
      </c>
      <c r="J54">
        <v>8916</v>
      </c>
    </row>
    <row r="55" spans="1:10" x14ac:dyDescent="0.3">
      <c r="A55" s="8">
        <v>45759</v>
      </c>
      <c r="B55" s="2">
        <v>2</v>
      </c>
      <c r="C55" s="2" t="s">
        <v>112</v>
      </c>
      <c r="D55" s="2" t="s">
        <v>120</v>
      </c>
      <c r="E55" s="3">
        <v>2299</v>
      </c>
      <c r="F55" s="3">
        <f t="shared" si="3"/>
        <v>4598</v>
      </c>
      <c r="G55" s="2" t="s">
        <v>8</v>
      </c>
      <c r="H55" s="2" t="s">
        <v>115</v>
      </c>
      <c r="J55">
        <v>9000</v>
      </c>
    </row>
    <row r="56" spans="1:10" x14ac:dyDescent="0.3">
      <c r="A56" s="8">
        <v>45759</v>
      </c>
      <c r="B56" s="2">
        <v>2</v>
      </c>
      <c r="C56" s="2" t="s">
        <v>113</v>
      </c>
      <c r="D56" s="2" t="s">
        <v>120</v>
      </c>
      <c r="E56" s="3">
        <v>2299</v>
      </c>
      <c r="F56" s="3">
        <f t="shared" si="3"/>
        <v>4598</v>
      </c>
      <c r="G56" s="2" t="s">
        <v>8</v>
      </c>
      <c r="H56" s="2" t="s">
        <v>115</v>
      </c>
      <c r="J56">
        <v>1794</v>
      </c>
    </row>
    <row r="57" spans="1:10" x14ac:dyDescent="0.3">
      <c r="A57" s="8">
        <v>45759</v>
      </c>
      <c r="B57" s="2">
        <v>1</v>
      </c>
      <c r="C57" s="2" t="s">
        <v>121</v>
      </c>
      <c r="D57" s="2" t="s">
        <v>120</v>
      </c>
      <c r="E57" s="3">
        <v>2699</v>
      </c>
      <c r="F57" s="3">
        <f t="shared" si="3"/>
        <v>2699</v>
      </c>
      <c r="G57" s="2" t="s">
        <v>8</v>
      </c>
      <c r="H57" s="2" t="s">
        <v>115</v>
      </c>
      <c r="J57">
        <v>9000</v>
      </c>
    </row>
    <row r="58" spans="1:10" x14ac:dyDescent="0.3">
      <c r="A58" s="8">
        <v>45759</v>
      </c>
      <c r="B58" s="2">
        <v>2</v>
      </c>
      <c r="C58" s="2" t="s">
        <v>158</v>
      </c>
      <c r="D58" s="2" t="s">
        <v>120</v>
      </c>
      <c r="E58" s="3">
        <v>2699</v>
      </c>
      <c r="F58" s="3">
        <f t="shared" si="3"/>
        <v>5398</v>
      </c>
      <c r="G58" s="2" t="s">
        <v>8</v>
      </c>
      <c r="H58" s="2" t="s">
        <v>115</v>
      </c>
      <c r="J58">
        <v>4394</v>
      </c>
    </row>
    <row r="59" spans="1:10" x14ac:dyDescent="0.3">
      <c r="A59" s="8">
        <v>45759</v>
      </c>
      <c r="B59" s="2">
        <v>5</v>
      </c>
      <c r="C59" s="2" t="s">
        <v>122</v>
      </c>
      <c r="D59" s="2" t="s">
        <v>120</v>
      </c>
      <c r="E59" s="3">
        <v>143</v>
      </c>
      <c r="F59" s="3">
        <f t="shared" si="3"/>
        <v>715</v>
      </c>
      <c r="G59" s="2" t="s">
        <v>8</v>
      </c>
      <c r="H59" s="2" t="s">
        <v>115</v>
      </c>
      <c r="J59">
        <v>9000</v>
      </c>
    </row>
    <row r="60" spans="1:10" x14ac:dyDescent="0.3">
      <c r="A60" s="8">
        <v>45759</v>
      </c>
      <c r="B60" s="2">
        <v>6</v>
      </c>
      <c r="C60" s="2" t="s">
        <v>123</v>
      </c>
      <c r="D60" s="2" t="s">
        <v>120</v>
      </c>
      <c r="E60" s="3">
        <v>30</v>
      </c>
      <c r="F60" s="3">
        <f t="shared" si="3"/>
        <v>180</v>
      </c>
      <c r="G60" s="2" t="s">
        <v>8</v>
      </c>
      <c r="H60" s="2" t="s">
        <v>115</v>
      </c>
      <c r="J60">
        <v>4440</v>
      </c>
    </row>
    <row r="61" spans="1:10" x14ac:dyDescent="0.3">
      <c r="A61" s="8">
        <v>45759</v>
      </c>
      <c r="B61" s="2">
        <v>20</v>
      </c>
      <c r="C61" s="2" t="s">
        <v>123</v>
      </c>
      <c r="D61" s="2" t="s">
        <v>120</v>
      </c>
      <c r="E61" s="3">
        <v>30</v>
      </c>
      <c r="F61" s="3">
        <f t="shared" si="3"/>
        <v>600</v>
      </c>
      <c r="G61" s="2" t="s">
        <v>24</v>
      </c>
      <c r="H61" s="2" t="s">
        <v>115</v>
      </c>
      <c r="J61">
        <v>9000</v>
      </c>
    </row>
    <row r="62" spans="1:10" x14ac:dyDescent="0.3">
      <c r="A62" s="8">
        <v>45759</v>
      </c>
      <c r="B62" s="2">
        <v>6</v>
      </c>
      <c r="C62" s="2" t="s">
        <v>123</v>
      </c>
      <c r="D62" s="2" t="s">
        <v>124</v>
      </c>
      <c r="E62" s="3">
        <v>30</v>
      </c>
      <c r="F62" s="3">
        <f t="shared" si="3"/>
        <v>180</v>
      </c>
      <c r="G62" s="2" t="s">
        <v>8</v>
      </c>
      <c r="H62" s="2" t="s">
        <v>115</v>
      </c>
      <c r="J62">
        <v>2623</v>
      </c>
    </row>
    <row r="63" spans="1:10" x14ac:dyDescent="0.3">
      <c r="A63" s="8">
        <v>45759</v>
      </c>
      <c r="B63" s="2">
        <v>5</v>
      </c>
      <c r="C63" s="2" t="s">
        <v>116</v>
      </c>
      <c r="D63" s="2" t="s">
        <v>124</v>
      </c>
      <c r="E63" s="3">
        <v>715</v>
      </c>
      <c r="F63" s="3">
        <f t="shared" si="3"/>
        <v>3575</v>
      </c>
      <c r="G63" s="2" t="s">
        <v>8</v>
      </c>
      <c r="H63" s="2" t="s">
        <v>115</v>
      </c>
      <c r="J63">
        <v>5000</v>
      </c>
    </row>
    <row r="64" spans="1:10" x14ac:dyDescent="0.3">
      <c r="A64" s="8">
        <v>45759</v>
      </c>
      <c r="B64" s="2">
        <v>1</v>
      </c>
      <c r="C64" s="2" t="s">
        <v>112</v>
      </c>
      <c r="D64" s="2" t="s">
        <v>124</v>
      </c>
      <c r="E64" s="3">
        <v>2299</v>
      </c>
      <c r="F64" s="3">
        <f t="shared" si="3"/>
        <v>2299</v>
      </c>
      <c r="G64" s="2" t="s">
        <v>8</v>
      </c>
      <c r="H64" s="2" t="s">
        <v>115</v>
      </c>
      <c r="J64">
        <v>280</v>
      </c>
    </row>
    <row r="65" spans="1:10" x14ac:dyDescent="0.3">
      <c r="A65" s="8">
        <v>45759</v>
      </c>
      <c r="B65" s="2">
        <v>1</v>
      </c>
      <c r="C65" s="2" t="s">
        <v>121</v>
      </c>
      <c r="D65" s="2" t="s">
        <v>124</v>
      </c>
      <c r="E65" s="3">
        <v>2699</v>
      </c>
      <c r="F65" s="3">
        <f t="shared" si="3"/>
        <v>2699</v>
      </c>
      <c r="G65" s="2" t="s">
        <v>8</v>
      </c>
      <c r="H65" s="2" t="s">
        <v>115</v>
      </c>
      <c r="J65">
        <v>270</v>
      </c>
    </row>
    <row r="66" spans="1:10" x14ac:dyDescent="0.3">
      <c r="A66" s="8">
        <v>45760</v>
      </c>
      <c r="B66" s="2">
        <v>17</v>
      </c>
      <c r="C66" s="2" t="s">
        <v>116</v>
      </c>
      <c r="D66" s="2" t="s">
        <v>14</v>
      </c>
      <c r="E66" s="3">
        <v>699.99</v>
      </c>
      <c r="F66" s="3">
        <f t="shared" si="3"/>
        <v>11899.83</v>
      </c>
      <c r="G66" s="2" t="s">
        <v>234</v>
      </c>
      <c r="H66" s="2"/>
      <c r="J66">
        <v>400</v>
      </c>
    </row>
    <row r="67" spans="1:10" x14ac:dyDescent="0.3">
      <c r="A67" s="8">
        <v>45760</v>
      </c>
      <c r="B67" s="2">
        <v>1</v>
      </c>
      <c r="C67" s="2" t="s">
        <v>116</v>
      </c>
      <c r="D67" s="2" t="s">
        <v>14</v>
      </c>
      <c r="E67" s="3">
        <v>699.99</v>
      </c>
      <c r="F67" s="3">
        <f t="shared" si="3"/>
        <v>699.99</v>
      </c>
      <c r="G67" s="2" t="s">
        <v>234</v>
      </c>
      <c r="H67" s="2"/>
      <c r="J67">
        <v>300</v>
      </c>
    </row>
    <row r="68" spans="1:10" x14ac:dyDescent="0.3">
      <c r="A68" s="8">
        <v>45760</v>
      </c>
      <c r="B68" s="2">
        <v>3</v>
      </c>
      <c r="C68" s="2" t="s">
        <v>121</v>
      </c>
      <c r="D68" s="2" t="s">
        <v>14</v>
      </c>
      <c r="E68" s="3">
        <v>2549.9899999999998</v>
      </c>
      <c r="F68" s="3">
        <f t="shared" si="3"/>
        <v>7649.9699999999993</v>
      </c>
      <c r="G68" s="2" t="s">
        <v>234</v>
      </c>
      <c r="H68" s="2"/>
      <c r="J68">
        <v>350</v>
      </c>
    </row>
    <row r="69" spans="1:10" x14ac:dyDescent="0.3">
      <c r="A69" s="8">
        <v>45760</v>
      </c>
      <c r="B69" s="2">
        <v>2</v>
      </c>
      <c r="C69" s="2" t="s">
        <v>126</v>
      </c>
      <c r="D69" s="2" t="s">
        <v>14</v>
      </c>
      <c r="E69" s="3">
        <v>2549.9899999999998</v>
      </c>
      <c r="F69" s="3">
        <f t="shared" si="3"/>
        <v>5099.9799999999996</v>
      </c>
      <c r="G69" s="2" t="s">
        <v>234</v>
      </c>
      <c r="H69" s="2"/>
      <c r="J69">
        <v>500</v>
      </c>
    </row>
    <row r="70" spans="1:10" x14ac:dyDescent="0.3">
      <c r="A70" s="8">
        <v>45760</v>
      </c>
      <c r="B70" s="2">
        <v>10</v>
      </c>
      <c r="C70" s="2" t="s">
        <v>98</v>
      </c>
      <c r="D70" s="2" t="s">
        <v>125</v>
      </c>
      <c r="E70" s="3">
        <v>724</v>
      </c>
      <c r="F70" s="3">
        <f t="shared" si="3"/>
        <v>7240</v>
      </c>
      <c r="G70" s="2" t="s">
        <v>193</v>
      </c>
      <c r="H70" s="2"/>
    </row>
    <row r="71" spans="1:10" x14ac:dyDescent="0.3">
      <c r="A71" s="8">
        <v>45760</v>
      </c>
      <c r="B71" s="2">
        <v>1</v>
      </c>
      <c r="C71" s="2" t="s">
        <v>132</v>
      </c>
      <c r="D71" s="2" t="s">
        <v>59</v>
      </c>
      <c r="E71" s="3">
        <v>713</v>
      </c>
      <c r="F71" s="3">
        <f t="shared" si="3"/>
        <v>713</v>
      </c>
      <c r="G71" s="2" t="s">
        <v>8</v>
      </c>
      <c r="H71" s="2"/>
    </row>
    <row r="72" spans="1:10" x14ac:dyDescent="0.3">
      <c r="A72" s="8">
        <v>45760</v>
      </c>
      <c r="B72" s="2">
        <v>3</v>
      </c>
      <c r="C72" s="2" t="s">
        <v>133</v>
      </c>
      <c r="D72" s="2" t="s">
        <v>41</v>
      </c>
      <c r="E72" s="3">
        <v>213</v>
      </c>
      <c r="F72" s="3">
        <f t="shared" si="3"/>
        <v>639</v>
      </c>
      <c r="G72" s="37" t="s">
        <v>8</v>
      </c>
      <c r="H72" s="2"/>
    </row>
    <row r="73" spans="1:10" x14ac:dyDescent="0.3">
      <c r="A73" s="8">
        <v>45760</v>
      </c>
      <c r="B73" s="2">
        <v>2</v>
      </c>
      <c r="C73" s="2" t="s">
        <v>86</v>
      </c>
      <c r="D73" s="2" t="s">
        <v>41</v>
      </c>
      <c r="E73" s="3">
        <v>87</v>
      </c>
      <c r="F73" s="3">
        <f t="shared" si="3"/>
        <v>174</v>
      </c>
      <c r="G73" s="2" t="s">
        <v>8</v>
      </c>
      <c r="H73" s="2"/>
    </row>
    <row r="74" spans="1:10" x14ac:dyDescent="0.3">
      <c r="A74" s="8">
        <v>45760</v>
      </c>
      <c r="B74" s="2">
        <v>8</v>
      </c>
      <c r="C74" s="2" t="s">
        <v>134</v>
      </c>
      <c r="D74" s="2" t="s">
        <v>41</v>
      </c>
      <c r="E74" s="3">
        <v>19</v>
      </c>
      <c r="F74" s="3">
        <f t="shared" si="3"/>
        <v>152</v>
      </c>
      <c r="G74" s="2" t="s">
        <v>8</v>
      </c>
      <c r="H74" s="2"/>
    </row>
    <row r="75" spans="1:10" x14ac:dyDescent="0.3">
      <c r="A75" s="8">
        <v>45760</v>
      </c>
      <c r="B75" s="2">
        <v>20</v>
      </c>
      <c r="C75" s="2" t="s">
        <v>123</v>
      </c>
      <c r="D75" s="2" t="s">
        <v>250</v>
      </c>
      <c r="E75" s="3">
        <v>30</v>
      </c>
      <c r="F75" s="3">
        <f t="shared" si="3"/>
        <v>600</v>
      </c>
      <c r="G75" s="2" t="s">
        <v>233</v>
      </c>
      <c r="H75" s="2" t="s">
        <v>115</v>
      </c>
    </row>
    <row r="76" spans="1:10" x14ac:dyDescent="0.3">
      <c r="A76" s="8">
        <v>45760</v>
      </c>
      <c r="B76" s="2">
        <v>4</v>
      </c>
      <c r="C76" s="2" t="s">
        <v>116</v>
      </c>
      <c r="D76" s="2" t="s">
        <v>137</v>
      </c>
      <c r="E76" s="3">
        <v>724</v>
      </c>
      <c r="F76" s="3">
        <f t="shared" si="3"/>
        <v>2896</v>
      </c>
      <c r="G76" s="2" t="s">
        <v>233</v>
      </c>
      <c r="H76" s="2" t="s">
        <v>115</v>
      </c>
      <c r="I76">
        <v>60</v>
      </c>
    </row>
    <row r="77" spans="1:10" x14ac:dyDescent="0.3">
      <c r="A77" s="34">
        <v>45760</v>
      </c>
      <c r="B77" s="35">
        <v>1</v>
      </c>
      <c r="C77" s="35" t="s">
        <v>112</v>
      </c>
      <c r="D77" s="35" t="s">
        <v>138</v>
      </c>
      <c r="E77" s="36">
        <v>2249</v>
      </c>
      <c r="F77" s="36">
        <f t="shared" si="3"/>
        <v>2249</v>
      </c>
      <c r="G77" s="18" t="s">
        <v>276</v>
      </c>
      <c r="H77" s="35" t="s">
        <v>115</v>
      </c>
      <c r="I77" s="60">
        <f>F77/11</f>
        <v>204.45454545454547</v>
      </c>
    </row>
    <row r="78" spans="1:10" x14ac:dyDescent="0.3">
      <c r="A78" s="8">
        <v>45760</v>
      </c>
      <c r="B78" s="2">
        <v>1</v>
      </c>
      <c r="C78" s="2" t="s">
        <v>121</v>
      </c>
      <c r="D78" s="2" t="s">
        <v>138</v>
      </c>
      <c r="E78" s="3">
        <v>2699</v>
      </c>
      <c r="F78" s="3">
        <f t="shared" si="3"/>
        <v>2699</v>
      </c>
      <c r="G78" s="2" t="s">
        <v>8</v>
      </c>
      <c r="H78" s="2" t="s">
        <v>115</v>
      </c>
    </row>
    <row r="79" spans="1:10" x14ac:dyDescent="0.3">
      <c r="A79" s="8">
        <v>45760</v>
      </c>
      <c r="B79" s="2">
        <v>2</v>
      </c>
      <c r="C79" s="2" t="s">
        <v>117</v>
      </c>
      <c r="D79" s="2" t="s">
        <v>7</v>
      </c>
      <c r="E79" s="3">
        <v>299</v>
      </c>
      <c r="F79" s="3">
        <f t="shared" si="3"/>
        <v>598</v>
      </c>
      <c r="G79" s="2" t="s">
        <v>8</v>
      </c>
      <c r="H79" s="2" t="s">
        <v>115</v>
      </c>
    </row>
    <row r="80" spans="1:10" x14ac:dyDescent="0.3">
      <c r="A80" s="8">
        <v>45760</v>
      </c>
      <c r="B80" s="2">
        <v>12</v>
      </c>
      <c r="C80" s="2" t="s">
        <v>134</v>
      </c>
      <c r="D80" s="2" t="s">
        <v>139</v>
      </c>
      <c r="E80" s="3">
        <v>19</v>
      </c>
      <c r="F80" s="3">
        <f t="shared" si="3"/>
        <v>228</v>
      </c>
      <c r="G80" s="2" t="s">
        <v>8</v>
      </c>
      <c r="H80" s="2"/>
    </row>
    <row r="81" spans="1:8" x14ac:dyDescent="0.3">
      <c r="A81" s="8">
        <v>45760</v>
      </c>
      <c r="B81" s="2">
        <v>1</v>
      </c>
      <c r="C81" s="2" t="s">
        <v>133</v>
      </c>
      <c r="D81" s="2" t="s">
        <v>139</v>
      </c>
      <c r="E81" s="3">
        <v>213</v>
      </c>
      <c r="F81" s="3">
        <f t="shared" si="3"/>
        <v>213</v>
      </c>
      <c r="G81" s="2" t="s">
        <v>8</v>
      </c>
      <c r="H81" s="2"/>
    </row>
    <row r="82" spans="1:8" x14ac:dyDescent="0.3">
      <c r="A82" s="8">
        <v>45760</v>
      </c>
      <c r="B82" s="2">
        <v>3</v>
      </c>
      <c r="C82" s="2" t="s">
        <v>86</v>
      </c>
      <c r="D82" s="2" t="s">
        <v>139</v>
      </c>
      <c r="E82" s="3">
        <v>87</v>
      </c>
      <c r="F82" s="3">
        <f t="shared" si="3"/>
        <v>261</v>
      </c>
      <c r="G82" s="2" t="s">
        <v>8</v>
      </c>
      <c r="H82" s="2"/>
    </row>
    <row r="83" spans="1:8" x14ac:dyDescent="0.3">
      <c r="A83" s="8">
        <v>45760</v>
      </c>
      <c r="B83" s="2">
        <v>5</v>
      </c>
      <c r="C83" s="2" t="s">
        <v>235</v>
      </c>
      <c r="D83" s="2" t="s">
        <v>120</v>
      </c>
      <c r="E83" s="3">
        <v>2605</v>
      </c>
      <c r="F83" s="3">
        <f t="shared" si="3"/>
        <v>13025</v>
      </c>
      <c r="G83" s="2" t="s">
        <v>8</v>
      </c>
      <c r="H83" s="2" t="s">
        <v>142</v>
      </c>
    </row>
    <row r="84" spans="1:8" x14ac:dyDescent="0.3">
      <c r="A84" s="8">
        <v>45760</v>
      </c>
      <c r="B84" s="2">
        <v>1</v>
      </c>
      <c r="C84" s="2" t="s">
        <v>236</v>
      </c>
      <c r="D84" s="2" t="s">
        <v>120</v>
      </c>
      <c r="E84" s="3">
        <v>3535</v>
      </c>
      <c r="F84" s="3">
        <f t="shared" si="3"/>
        <v>3535</v>
      </c>
      <c r="G84" s="2" t="s">
        <v>8</v>
      </c>
      <c r="H84" s="2" t="s">
        <v>142</v>
      </c>
    </row>
    <row r="85" spans="1:8" x14ac:dyDescent="0.3">
      <c r="A85" s="8">
        <v>45760</v>
      </c>
      <c r="B85" s="2">
        <v>6</v>
      </c>
      <c r="C85" s="2" t="s">
        <v>143</v>
      </c>
      <c r="D85" s="2" t="s">
        <v>120</v>
      </c>
      <c r="E85" s="3">
        <v>204</v>
      </c>
      <c r="F85" s="3">
        <f t="shared" si="3"/>
        <v>1224</v>
      </c>
      <c r="G85" s="2" t="s">
        <v>8</v>
      </c>
      <c r="H85" s="2" t="s">
        <v>115</v>
      </c>
    </row>
    <row r="86" spans="1:8" x14ac:dyDescent="0.3">
      <c r="A86" s="8">
        <v>45760</v>
      </c>
      <c r="B86" s="2">
        <v>3</v>
      </c>
      <c r="C86" s="2" t="s">
        <v>144</v>
      </c>
      <c r="D86" s="2" t="s">
        <v>120</v>
      </c>
      <c r="E86" s="3">
        <v>200</v>
      </c>
      <c r="F86" s="3">
        <f t="shared" si="3"/>
        <v>600</v>
      </c>
      <c r="G86" s="2" t="s">
        <v>8</v>
      </c>
      <c r="H86" s="2" t="s">
        <v>115</v>
      </c>
    </row>
    <row r="87" spans="1:8" x14ac:dyDescent="0.3">
      <c r="A87" s="8">
        <v>45760</v>
      </c>
      <c r="B87" s="2">
        <v>11</v>
      </c>
      <c r="C87" s="2" t="s">
        <v>134</v>
      </c>
      <c r="D87" s="2" t="s">
        <v>120</v>
      </c>
      <c r="E87" s="3">
        <v>21</v>
      </c>
      <c r="F87" s="3">
        <f t="shared" si="3"/>
        <v>231</v>
      </c>
      <c r="G87" s="2" t="s">
        <v>8</v>
      </c>
      <c r="H87" s="2" t="s">
        <v>115</v>
      </c>
    </row>
    <row r="88" spans="1:8" x14ac:dyDescent="0.3">
      <c r="A88" s="6">
        <v>45761</v>
      </c>
      <c r="B88" s="22">
        <v>6</v>
      </c>
      <c r="C88" s="22" t="s">
        <v>188</v>
      </c>
      <c r="D88" s="2" t="s">
        <v>189</v>
      </c>
      <c r="E88" s="23">
        <v>724</v>
      </c>
      <c r="F88" s="23">
        <f t="shared" si="3"/>
        <v>4344</v>
      </c>
      <c r="G88" s="2" t="s">
        <v>190</v>
      </c>
      <c r="H88" s="2"/>
    </row>
    <row r="89" spans="1:8" x14ac:dyDescent="0.3">
      <c r="A89" s="8">
        <v>45762</v>
      </c>
      <c r="B89" s="2">
        <v>2</v>
      </c>
      <c r="C89" s="2" t="s">
        <v>207</v>
      </c>
      <c r="D89" s="2" t="s">
        <v>14</v>
      </c>
      <c r="E89" s="23">
        <v>2549</v>
      </c>
      <c r="F89" s="23">
        <f t="shared" si="3"/>
        <v>5098</v>
      </c>
      <c r="G89" s="2" t="s">
        <v>234</v>
      </c>
      <c r="H89" s="2"/>
    </row>
    <row r="90" spans="1:8" x14ac:dyDescent="0.3">
      <c r="A90" s="8">
        <v>45762</v>
      </c>
      <c r="B90" s="2">
        <v>1</v>
      </c>
      <c r="C90" s="2" t="s">
        <v>126</v>
      </c>
      <c r="D90" s="2" t="s">
        <v>14</v>
      </c>
      <c r="E90" s="23">
        <v>2549</v>
      </c>
      <c r="F90" s="23">
        <f t="shared" si="3"/>
        <v>2549</v>
      </c>
      <c r="G90" s="2" t="s">
        <v>234</v>
      </c>
      <c r="H90" s="2"/>
    </row>
    <row r="91" spans="1:8" x14ac:dyDescent="0.3">
      <c r="A91" s="8">
        <v>45762</v>
      </c>
      <c r="B91" s="2">
        <v>2</v>
      </c>
      <c r="C91" s="2" t="s">
        <v>113</v>
      </c>
      <c r="D91" s="2" t="s">
        <v>14</v>
      </c>
      <c r="E91" s="23">
        <v>2199</v>
      </c>
      <c r="F91" s="23">
        <f t="shared" si="3"/>
        <v>4398</v>
      </c>
      <c r="G91" s="2" t="s">
        <v>234</v>
      </c>
      <c r="H91" s="2"/>
    </row>
    <row r="92" spans="1:8" s="42" customFormat="1" x14ac:dyDescent="0.3">
      <c r="A92" s="38">
        <v>45763</v>
      </c>
      <c r="B92" s="39">
        <v>2</v>
      </c>
      <c r="C92" s="39" t="s">
        <v>211</v>
      </c>
      <c r="D92" s="39" t="s">
        <v>194</v>
      </c>
      <c r="E92" s="40">
        <v>539</v>
      </c>
      <c r="F92" s="40">
        <f t="shared" si="3"/>
        <v>1078</v>
      </c>
      <c r="G92" s="39" t="s">
        <v>208</v>
      </c>
      <c r="H92" s="41" t="s">
        <v>278</v>
      </c>
    </row>
    <row r="93" spans="1:8" x14ac:dyDescent="0.3">
      <c r="A93" s="6">
        <v>45763</v>
      </c>
      <c r="B93" s="22">
        <v>2</v>
      </c>
      <c r="C93" s="22" t="s">
        <v>31</v>
      </c>
      <c r="D93" s="24" t="s">
        <v>30</v>
      </c>
      <c r="E93" s="23">
        <v>213</v>
      </c>
      <c r="F93" s="23">
        <f t="shared" si="3"/>
        <v>426</v>
      </c>
      <c r="G93" s="22" t="s">
        <v>8</v>
      </c>
      <c r="H93" s="2"/>
    </row>
    <row r="94" spans="1:8" x14ac:dyDescent="0.3">
      <c r="A94" s="8">
        <v>45763</v>
      </c>
      <c r="B94" s="2">
        <v>6</v>
      </c>
      <c r="C94" s="2" t="s">
        <v>134</v>
      </c>
      <c r="D94" s="2" t="s">
        <v>30</v>
      </c>
      <c r="E94" s="3">
        <v>19</v>
      </c>
      <c r="F94" s="3">
        <f t="shared" si="3"/>
        <v>114</v>
      </c>
      <c r="G94" s="2" t="s">
        <v>8</v>
      </c>
      <c r="H94" s="2"/>
    </row>
    <row r="95" spans="1:8" x14ac:dyDescent="0.3">
      <c r="A95" s="8">
        <v>45763</v>
      </c>
      <c r="B95" s="2">
        <v>2</v>
      </c>
      <c r="C95" s="2" t="s">
        <v>195</v>
      </c>
      <c r="D95" s="2" t="s">
        <v>30</v>
      </c>
      <c r="E95" s="3">
        <v>646</v>
      </c>
      <c r="F95" s="3">
        <f t="shared" si="3"/>
        <v>1292</v>
      </c>
      <c r="G95" s="2" t="s">
        <v>24</v>
      </c>
      <c r="H95" s="2" t="s">
        <v>605</v>
      </c>
    </row>
    <row r="96" spans="1:8" x14ac:dyDescent="0.3">
      <c r="A96" s="8">
        <v>45763</v>
      </c>
      <c r="B96" s="2">
        <v>4</v>
      </c>
      <c r="C96" s="2" t="s">
        <v>196</v>
      </c>
      <c r="D96" s="2" t="s">
        <v>30</v>
      </c>
      <c r="E96" s="3">
        <v>713</v>
      </c>
      <c r="F96" s="3">
        <f t="shared" si="3"/>
        <v>2852</v>
      </c>
      <c r="G96" s="2" t="s">
        <v>24</v>
      </c>
      <c r="H96" s="2"/>
    </row>
    <row r="97" spans="1:8" x14ac:dyDescent="0.3">
      <c r="A97" s="8">
        <v>45763</v>
      </c>
      <c r="B97" s="2">
        <v>2</v>
      </c>
      <c r="C97" s="2" t="s">
        <v>197</v>
      </c>
      <c r="D97" s="2" t="s">
        <v>30</v>
      </c>
      <c r="E97" s="3">
        <v>184</v>
      </c>
      <c r="F97" s="3">
        <f t="shared" si="3"/>
        <v>368</v>
      </c>
      <c r="G97" s="2" t="s">
        <v>24</v>
      </c>
      <c r="H97" s="2" t="s">
        <v>308</v>
      </c>
    </row>
    <row r="98" spans="1:8" x14ac:dyDescent="0.3">
      <c r="A98" s="8">
        <v>45764</v>
      </c>
      <c r="B98" s="2">
        <v>1</v>
      </c>
      <c r="C98" s="2" t="s">
        <v>210</v>
      </c>
      <c r="D98" s="2" t="s">
        <v>205</v>
      </c>
      <c r="E98" s="3">
        <v>489</v>
      </c>
      <c r="F98" s="3">
        <f t="shared" si="3"/>
        <v>489</v>
      </c>
      <c r="G98" s="2" t="s">
        <v>8</v>
      </c>
      <c r="H98" s="2"/>
    </row>
    <row r="99" spans="1:8" x14ac:dyDescent="0.3">
      <c r="A99" s="8">
        <v>45764</v>
      </c>
      <c r="B99" s="2">
        <v>1</v>
      </c>
      <c r="C99" s="2" t="s">
        <v>198</v>
      </c>
      <c r="D99" s="2" t="s">
        <v>205</v>
      </c>
      <c r="E99" s="3">
        <v>489</v>
      </c>
      <c r="F99" s="3">
        <f t="shared" si="3"/>
        <v>489</v>
      </c>
      <c r="G99" s="2" t="s">
        <v>8</v>
      </c>
      <c r="H99" s="2"/>
    </row>
    <row r="100" spans="1:8" x14ac:dyDescent="0.3">
      <c r="A100" s="8">
        <v>45764</v>
      </c>
      <c r="B100" s="2">
        <v>1</v>
      </c>
      <c r="C100" s="2" t="s">
        <v>200</v>
      </c>
      <c r="D100" s="2" t="s">
        <v>199</v>
      </c>
      <c r="E100" s="3">
        <v>539</v>
      </c>
      <c r="F100" s="3">
        <f t="shared" si="3"/>
        <v>539</v>
      </c>
      <c r="G100" s="2" t="s">
        <v>8</v>
      </c>
      <c r="H100" s="2"/>
    </row>
    <row r="101" spans="1:8" x14ac:dyDescent="0.3">
      <c r="A101" s="8">
        <v>45764</v>
      </c>
      <c r="B101" s="2">
        <v>1</v>
      </c>
      <c r="C101" s="2" t="s">
        <v>201</v>
      </c>
      <c r="D101" s="2" t="s">
        <v>199</v>
      </c>
      <c r="E101" s="3">
        <v>539</v>
      </c>
      <c r="F101" s="3">
        <f t="shared" si="3"/>
        <v>539</v>
      </c>
      <c r="G101" s="2" t="s">
        <v>8</v>
      </c>
      <c r="H101" s="2"/>
    </row>
    <row r="102" spans="1:8" x14ac:dyDescent="0.3">
      <c r="A102" s="8">
        <v>45764</v>
      </c>
      <c r="B102" s="2">
        <v>1</v>
      </c>
      <c r="C102" s="25" t="s">
        <v>202</v>
      </c>
      <c r="D102" s="2" t="s">
        <v>203</v>
      </c>
      <c r="E102" s="3">
        <v>539</v>
      </c>
      <c r="F102" s="3">
        <f t="shared" si="3"/>
        <v>539</v>
      </c>
      <c r="G102" s="2" t="s">
        <v>8</v>
      </c>
      <c r="H102" s="2"/>
    </row>
    <row r="103" spans="1:8" x14ac:dyDescent="0.3">
      <c r="A103" s="8">
        <v>45764</v>
      </c>
      <c r="B103" s="2">
        <v>1</v>
      </c>
      <c r="C103" s="25" t="s">
        <v>206</v>
      </c>
      <c r="D103" s="2" t="s">
        <v>203</v>
      </c>
      <c r="E103" s="3">
        <v>489</v>
      </c>
      <c r="F103" s="3">
        <f t="shared" si="3"/>
        <v>489</v>
      </c>
      <c r="G103" s="2" t="s">
        <v>8</v>
      </c>
      <c r="H103" s="2"/>
    </row>
    <row r="104" spans="1:8" x14ac:dyDescent="0.3">
      <c r="A104" s="8">
        <v>45764</v>
      </c>
      <c r="B104" s="2">
        <v>5</v>
      </c>
      <c r="C104" s="25" t="s">
        <v>200</v>
      </c>
      <c r="D104" s="2" t="s">
        <v>203</v>
      </c>
      <c r="E104" s="3">
        <v>539</v>
      </c>
      <c r="F104" s="3">
        <f t="shared" si="3"/>
        <v>2695</v>
      </c>
      <c r="G104" s="2" t="s">
        <v>8</v>
      </c>
      <c r="H104" s="2"/>
    </row>
    <row r="105" spans="1:8" x14ac:dyDescent="0.3">
      <c r="A105" s="8">
        <v>45764</v>
      </c>
      <c r="B105" s="2">
        <v>4</v>
      </c>
      <c r="C105" s="2" t="s">
        <v>204</v>
      </c>
      <c r="D105" s="2" t="s">
        <v>203</v>
      </c>
      <c r="E105" s="3">
        <v>539</v>
      </c>
      <c r="F105" s="3">
        <f t="shared" si="3"/>
        <v>2156</v>
      </c>
      <c r="G105" s="2" t="s">
        <v>8</v>
      </c>
      <c r="H105" s="2"/>
    </row>
    <row r="106" spans="1:8" x14ac:dyDescent="0.3">
      <c r="A106" s="8">
        <v>45767</v>
      </c>
      <c r="B106" s="2">
        <v>1</v>
      </c>
      <c r="C106" s="26" t="s">
        <v>85</v>
      </c>
      <c r="D106" s="2" t="s">
        <v>224</v>
      </c>
      <c r="E106" s="3">
        <v>597</v>
      </c>
      <c r="F106" s="3">
        <f t="shared" si="3"/>
        <v>597</v>
      </c>
      <c r="G106" s="2"/>
      <c r="H106" s="2"/>
    </row>
    <row r="107" spans="1:8" x14ac:dyDescent="0.3">
      <c r="A107" s="8">
        <v>45767</v>
      </c>
      <c r="B107" s="2">
        <v>9</v>
      </c>
      <c r="C107" s="25" t="s">
        <v>222</v>
      </c>
      <c r="D107" s="2" t="s">
        <v>213</v>
      </c>
      <c r="E107" s="3">
        <v>539</v>
      </c>
      <c r="F107" s="3">
        <f t="shared" si="3"/>
        <v>4851</v>
      </c>
      <c r="G107" s="2" t="s">
        <v>8</v>
      </c>
      <c r="H107" s="2"/>
    </row>
    <row r="108" spans="1:8" x14ac:dyDescent="0.3">
      <c r="A108" s="8">
        <v>45767</v>
      </c>
      <c r="B108" s="2">
        <v>5</v>
      </c>
      <c r="C108" s="2" t="s">
        <v>214</v>
      </c>
      <c r="D108" s="2" t="s">
        <v>212</v>
      </c>
      <c r="E108" s="3">
        <v>489</v>
      </c>
      <c r="F108" s="3">
        <f t="shared" si="3"/>
        <v>2445</v>
      </c>
      <c r="G108" s="2" t="s">
        <v>234</v>
      </c>
      <c r="H108" s="2"/>
    </row>
    <row r="109" spans="1:8" x14ac:dyDescent="0.3">
      <c r="A109" s="8">
        <v>45768</v>
      </c>
      <c r="B109" s="2">
        <v>1</v>
      </c>
      <c r="C109" s="2" t="s">
        <v>215</v>
      </c>
      <c r="D109" s="2" t="s">
        <v>139</v>
      </c>
      <c r="E109" s="2">
        <v>184</v>
      </c>
      <c r="F109" s="3">
        <f t="shared" ref="F109:F152" si="4">B109*E109</f>
        <v>184</v>
      </c>
      <c r="G109" s="2" t="s">
        <v>8</v>
      </c>
      <c r="H109" s="2"/>
    </row>
    <row r="110" spans="1:8" x14ac:dyDescent="0.3">
      <c r="A110" s="8">
        <v>45768</v>
      </c>
      <c r="B110" s="2">
        <v>6</v>
      </c>
      <c r="C110" s="2" t="s">
        <v>216</v>
      </c>
      <c r="D110" s="2" t="s">
        <v>120</v>
      </c>
      <c r="E110" s="2">
        <v>2590</v>
      </c>
      <c r="F110" s="3">
        <f t="shared" si="4"/>
        <v>15540</v>
      </c>
      <c r="G110" s="2" t="s">
        <v>8</v>
      </c>
      <c r="H110" s="2" t="s">
        <v>217</v>
      </c>
    </row>
    <row r="111" spans="1:8" x14ac:dyDescent="0.3">
      <c r="A111" s="8">
        <v>45768</v>
      </c>
      <c r="B111" s="2">
        <v>5</v>
      </c>
      <c r="C111" s="2" t="s">
        <v>134</v>
      </c>
      <c r="D111" s="2" t="s">
        <v>120</v>
      </c>
      <c r="E111" s="2">
        <v>21</v>
      </c>
      <c r="F111" s="2">
        <f t="shared" si="4"/>
        <v>105</v>
      </c>
      <c r="G111" s="2" t="s">
        <v>8</v>
      </c>
      <c r="H111" s="2"/>
    </row>
    <row r="112" spans="1:8" x14ac:dyDescent="0.3">
      <c r="A112" s="8">
        <v>45768</v>
      </c>
      <c r="B112" s="2">
        <v>6</v>
      </c>
      <c r="C112" s="25" t="s">
        <v>222</v>
      </c>
      <c r="D112" s="2" t="s">
        <v>218</v>
      </c>
      <c r="E112" s="3">
        <v>539</v>
      </c>
      <c r="F112" s="3">
        <f t="shared" si="4"/>
        <v>3234</v>
      </c>
      <c r="G112" s="2" t="s">
        <v>8</v>
      </c>
      <c r="H112" s="2"/>
    </row>
    <row r="113" spans="1:9" x14ac:dyDescent="0.3">
      <c r="A113" s="8">
        <v>45768</v>
      </c>
      <c r="B113" s="2">
        <v>2</v>
      </c>
      <c r="C113" s="26" t="s">
        <v>220</v>
      </c>
      <c r="D113" s="18" t="s">
        <v>219</v>
      </c>
      <c r="E113" s="19">
        <v>489</v>
      </c>
      <c r="F113" s="19">
        <f t="shared" si="4"/>
        <v>978</v>
      </c>
      <c r="G113" s="18" t="s">
        <v>322</v>
      </c>
      <c r="H113" s="18" t="s">
        <v>307</v>
      </c>
      <c r="I113" s="60">
        <f>F113/11</f>
        <v>88.909090909090907</v>
      </c>
    </row>
    <row r="114" spans="1:9" x14ac:dyDescent="0.3">
      <c r="A114" s="8">
        <v>45768</v>
      </c>
      <c r="B114" s="2">
        <v>4</v>
      </c>
      <c r="C114" s="25" t="s">
        <v>222</v>
      </c>
      <c r="D114" s="2" t="s">
        <v>221</v>
      </c>
      <c r="E114" s="3">
        <v>539</v>
      </c>
      <c r="F114" s="3">
        <f t="shared" si="4"/>
        <v>2156</v>
      </c>
      <c r="G114" s="2" t="s">
        <v>8</v>
      </c>
      <c r="H114" s="2"/>
    </row>
    <row r="115" spans="1:9" x14ac:dyDescent="0.3">
      <c r="A115" s="8">
        <v>45768</v>
      </c>
      <c r="B115" s="2">
        <v>4</v>
      </c>
      <c r="C115" s="25" t="s">
        <v>222</v>
      </c>
      <c r="D115" s="2" t="s">
        <v>223</v>
      </c>
      <c r="E115" s="3">
        <v>539</v>
      </c>
      <c r="F115" s="3">
        <f t="shared" si="4"/>
        <v>2156</v>
      </c>
      <c r="G115" s="2" t="s">
        <v>8</v>
      </c>
      <c r="H115" s="2"/>
    </row>
    <row r="116" spans="1:9" x14ac:dyDescent="0.3">
      <c r="A116" s="8">
        <v>45768</v>
      </c>
      <c r="B116" s="2">
        <v>3</v>
      </c>
      <c r="C116" s="2" t="s">
        <v>113</v>
      </c>
      <c r="D116" s="2" t="s">
        <v>14</v>
      </c>
      <c r="E116" s="3">
        <v>2199</v>
      </c>
      <c r="F116" s="3">
        <f t="shared" si="4"/>
        <v>6597</v>
      </c>
      <c r="G116" s="2" t="s">
        <v>234</v>
      </c>
      <c r="H116" s="2"/>
    </row>
    <row r="117" spans="1:9" x14ac:dyDescent="0.3">
      <c r="A117" s="8">
        <v>45768</v>
      </c>
      <c r="B117" s="2">
        <v>6</v>
      </c>
      <c r="C117" s="2" t="s">
        <v>112</v>
      </c>
      <c r="D117" s="2" t="s">
        <v>14</v>
      </c>
      <c r="E117" s="3">
        <v>2199</v>
      </c>
      <c r="F117" s="3">
        <f t="shared" si="4"/>
        <v>13194</v>
      </c>
      <c r="G117" s="2" t="s">
        <v>234</v>
      </c>
      <c r="H117" s="2"/>
    </row>
    <row r="118" spans="1:9" x14ac:dyDescent="0.3">
      <c r="A118" s="8">
        <v>45769</v>
      </c>
      <c r="B118" s="2">
        <v>2</v>
      </c>
      <c r="C118" s="2" t="s">
        <v>225</v>
      </c>
      <c r="D118" s="2" t="s">
        <v>72</v>
      </c>
      <c r="E118" s="3">
        <v>254.6</v>
      </c>
      <c r="F118" s="3">
        <f t="shared" si="4"/>
        <v>509.2</v>
      </c>
      <c r="G118" s="2" t="s">
        <v>8</v>
      </c>
      <c r="H118" s="2"/>
    </row>
    <row r="119" spans="1:9" x14ac:dyDescent="0.3">
      <c r="A119" s="8">
        <v>45769</v>
      </c>
      <c r="B119" s="2">
        <v>17</v>
      </c>
      <c r="C119" s="2" t="s">
        <v>86</v>
      </c>
      <c r="D119" s="2" t="s">
        <v>226</v>
      </c>
      <c r="E119" s="3">
        <v>98</v>
      </c>
      <c r="F119" s="3">
        <f t="shared" si="4"/>
        <v>1666</v>
      </c>
      <c r="G119" s="2" t="s">
        <v>8</v>
      </c>
      <c r="H119" s="2"/>
    </row>
    <row r="120" spans="1:9" x14ac:dyDescent="0.3">
      <c r="A120" s="8">
        <v>45769</v>
      </c>
      <c r="B120" s="2">
        <v>1</v>
      </c>
      <c r="C120" s="2" t="s">
        <v>227</v>
      </c>
      <c r="D120" s="2" t="s">
        <v>124</v>
      </c>
      <c r="E120" s="3">
        <v>2588</v>
      </c>
      <c r="F120" s="3">
        <f t="shared" si="4"/>
        <v>2588</v>
      </c>
      <c r="G120" s="2" t="s">
        <v>8</v>
      </c>
      <c r="H120" s="2" t="s">
        <v>229</v>
      </c>
    </row>
    <row r="121" spans="1:9" x14ac:dyDescent="0.3">
      <c r="A121" s="8">
        <v>45769</v>
      </c>
      <c r="B121" s="2">
        <v>1</v>
      </c>
      <c r="C121" s="2" t="s">
        <v>228</v>
      </c>
      <c r="D121" s="2" t="s">
        <v>124</v>
      </c>
      <c r="E121" s="3">
        <v>3518</v>
      </c>
      <c r="F121" s="3">
        <f t="shared" si="4"/>
        <v>3518</v>
      </c>
      <c r="G121" s="2" t="s">
        <v>8</v>
      </c>
      <c r="H121" s="2" t="s">
        <v>229</v>
      </c>
    </row>
    <row r="122" spans="1:9" x14ac:dyDescent="0.3">
      <c r="A122" s="17">
        <v>45769</v>
      </c>
      <c r="B122" s="18">
        <v>1</v>
      </c>
      <c r="C122" s="18" t="s">
        <v>113</v>
      </c>
      <c r="D122" s="18" t="s">
        <v>230</v>
      </c>
      <c r="E122" s="19">
        <v>2197</v>
      </c>
      <c r="F122" s="19">
        <f t="shared" si="4"/>
        <v>2197</v>
      </c>
      <c r="G122" s="18" t="s">
        <v>231</v>
      </c>
      <c r="H122" s="18" t="s">
        <v>308</v>
      </c>
    </row>
    <row r="123" spans="1:9" x14ac:dyDescent="0.3">
      <c r="A123" s="17">
        <v>45769</v>
      </c>
      <c r="B123" s="18">
        <v>1</v>
      </c>
      <c r="C123" s="18" t="s">
        <v>158</v>
      </c>
      <c r="D123" s="18" t="s">
        <v>230</v>
      </c>
      <c r="E123" s="19">
        <v>2549</v>
      </c>
      <c r="F123" s="19">
        <f t="shared" si="4"/>
        <v>2549</v>
      </c>
      <c r="G123" s="18" t="s">
        <v>102</v>
      </c>
      <c r="H123" s="18" t="s">
        <v>308</v>
      </c>
    </row>
    <row r="124" spans="1:9" x14ac:dyDescent="0.3">
      <c r="A124" s="8">
        <v>45769</v>
      </c>
      <c r="B124" s="2">
        <v>1</v>
      </c>
      <c r="C124" s="2" t="s">
        <v>158</v>
      </c>
      <c r="D124" s="2" t="s">
        <v>232</v>
      </c>
      <c r="E124" s="3">
        <v>2549</v>
      </c>
      <c r="F124" s="3">
        <f t="shared" si="4"/>
        <v>2549</v>
      </c>
      <c r="G124" s="2" t="s">
        <v>8</v>
      </c>
      <c r="H124" s="2"/>
    </row>
    <row r="125" spans="1:9" x14ac:dyDescent="0.3">
      <c r="A125" s="8">
        <v>45769</v>
      </c>
      <c r="B125" s="2">
        <v>3</v>
      </c>
      <c r="C125" s="2" t="s">
        <v>113</v>
      </c>
      <c r="D125" s="2" t="s">
        <v>232</v>
      </c>
      <c r="E125" s="3">
        <v>2197</v>
      </c>
      <c r="F125" s="3">
        <f t="shared" si="4"/>
        <v>6591</v>
      </c>
      <c r="G125" s="2" t="s">
        <v>8</v>
      </c>
      <c r="H125" s="2"/>
    </row>
    <row r="126" spans="1:9" x14ac:dyDescent="0.3">
      <c r="A126" s="8">
        <v>45769</v>
      </c>
      <c r="B126" s="2">
        <v>3</v>
      </c>
      <c r="C126" s="2" t="s">
        <v>225</v>
      </c>
      <c r="D126" s="2" t="s">
        <v>28</v>
      </c>
      <c r="E126" s="3">
        <v>254.6</v>
      </c>
      <c r="F126" s="3">
        <f t="shared" si="4"/>
        <v>763.8</v>
      </c>
      <c r="G126" s="2" t="s">
        <v>8</v>
      </c>
      <c r="H126" s="2"/>
    </row>
    <row r="127" spans="1:9" x14ac:dyDescent="0.3">
      <c r="A127" s="8">
        <v>45769</v>
      </c>
      <c r="B127" s="2">
        <v>1</v>
      </c>
      <c r="C127" s="2" t="s">
        <v>86</v>
      </c>
      <c r="D127" s="2" t="s">
        <v>28</v>
      </c>
      <c r="E127" s="3">
        <v>98</v>
      </c>
      <c r="F127" s="3">
        <f t="shared" si="4"/>
        <v>98</v>
      </c>
      <c r="G127" s="2" t="s">
        <v>8</v>
      </c>
      <c r="H127" s="2"/>
    </row>
    <row r="128" spans="1:9" x14ac:dyDescent="0.3">
      <c r="A128" s="8">
        <v>45771</v>
      </c>
      <c r="B128" s="2">
        <v>4</v>
      </c>
      <c r="C128" s="2" t="s">
        <v>235</v>
      </c>
      <c r="D128" s="2" t="s">
        <v>114</v>
      </c>
      <c r="E128" s="3">
        <v>2530</v>
      </c>
      <c r="F128" s="3">
        <f t="shared" si="4"/>
        <v>10120</v>
      </c>
      <c r="G128" s="2" t="s">
        <v>8</v>
      </c>
      <c r="H128" s="2" t="s">
        <v>229</v>
      </c>
    </row>
    <row r="129" spans="1:8" x14ac:dyDescent="0.3">
      <c r="A129" s="8">
        <v>45771</v>
      </c>
      <c r="B129" s="2">
        <v>4</v>
      </c>
      <c r="C129" s="2" t="s">
        <v>236</v>
      </c>
      <c r="D129" s="2" t="s">
        <v>114</v>
      </c>
      <c r="E129" s="3">
        <v>3450</v>
      </c>
      <c r="F129" s="3">
        <f t="shared" si="4"/>
        <v>13800</v>
      </c>
      <c r="G129" s="2" t="s">
        <v>8</v>
      </c>
      <c r="H129" s="2" t="s">
        <v>229</v>
      </c>
    </row>
    <row r="130" spans="1:8" x14ac:dyDescent="0.3">
      <c r="A130" s="8">
        <v>45771</v>
      </c>
      <c r="B130" s="2">
        <v>3</v>
      </c>
      <c r="C130" s="2" t="s">
        <v>237</v>
      </c>
      <c r="D130" s="2" t="s">
        <v>114</v>
      </c>
      <c r="E130" s="3">
        <v>521</v>
      </c>
      <c r="F130" s="3">
        <f t="shared" si="4"/>
        <v>1563</v>
      </c>
      <c r="G130" s="2" t="s">
        <v>8</v>
      </c>
      <c r="H130" s="2"/>
    </row>
    <row r="131" spans="1:8" x14ac:dyDescent="0.3">
      <c r="A131" s="8">
        <v>45771</v>
      </c>
      <c r="B131" s="2">
        <v>12</v>
      </c>
      <c r="C131" s="2" t="s">
        <v>238</v>
      </c>
      <c r="D131" s="2" t="s">
        <v>114</v>
      </c>
      <c r="E131" s="3">
        <v>14.5</v>
      </c>
      <c r="F131" s="3">
        <f t="shared" si="4"/>
        <v>174</v>
      </c>
      <c r="G131" s="2" t="s">
        <v>8</v>
      </c>
      <c r="H131" s="2"/>
    </row>
    <row r="132" spans="1:8" x14ac:dyDescent="0.3">
      <c r="A132" s="8">
        <v>45771</v>
      </c>
      <c r="B132" s="2">
        <v>15</v>
      </c>
      <c r="C132" s="2" t="s">
        <v>239</v>
      </c>
      <c r="D132" s="2" t="s">
        <v>114</v>
      </c>
      <c r="E132" s="3">
        <v>26.5</v>
      </c>
      <c r="F132" s="3">
        <f t="shared" si="4"/>
        <v>397.5</v>
      </c>
      <c r="G132" s="2" t="s">
        <v>8</v>
      </c>
      <c r="H132" s="2"/>
    </row>
    <row r="133" spans="1:8" x14ac:dyDescent="0.3">
      <c r="A133" s="8">
        <v>45771</v>
      </c>
      <c r="B133" s="2">
        <v>23</v>
      </c>
      <c r="C133" s="2" t="s">
        <v>240</v>
      </c>
      <c r="D133" s="2" t="s">
        <v>114</v>
      </c>
      <c r="E133" s="3">
        <v>12</v>
      </c>
      <c r="F133" s="3">
        <f t="shared" si="4"/>
        <v>276</v>
      </c>
      <c r="G133" s="2" t="s">
        <v>8</v>
      </c>
      <c r="H133" s="2"/>
    </row>
    <row r="134" spans="1:8" x14ac:dyDescent="0.3">
      <c r="A134" s="8">
        <v>45771</v>
      </c>
      <c r="B134" s="2">
        <v>3</v>
      </c>
      <c r="C134" s="2" t="s">
        <v>241</v>
      </c>
      <c r="D134" s="2" t="s">
        <v>114</v>
      </c>
      <c r="E134" s="3">
        <v>18</v>
      </c>
      <c r="F134" s="3">
        <f t="shared" si="4"/>
        <v>54</v>
      </c>
      <c r="G134" s="2" t="s">
        <v>8</v>
      </c>
      <c r="H134" s="2"/>
    </row>
    <row r="135" spans="1:8" x14ac:dyDescent="0.3">
      <c r="A135" s="8">
        <v>45771</v>
      </c>
      <c r="B135" s="2">
        <v>3</v>
      </c>
      <c r="C135" s="2" t="s">
        <v>242</v>
      </c>
      <c r="D135" s="2" t="s">
        <v>114</v>
      </c>
      <c r="E135" s="3">
        <v>18</v>
      </c>
      <c r="F135" s="3">
        <f t="shared" si="4"/>
        <v>54</v>
      </c>
      <c r="G135" s="2" t="s">
        <v>8</v>
      </c>
      <c r="H135" s="2"/>
    </row>
    <row r="136" spans="1:8" x14ac:dyDescent="0.3">
      <c r="A136" s="8">
        <v>45771</v>
      </c>
      <c r="B136" s="2">
        <v>2</v>
      </c>
      <c r="C136" s="2" t="s">
        <v>243</v>
      </c>
      <c r="D136" s="2" t="s">
        <v>114</v>
      </c>
      <c r="E136" s="3">
        <v>18</v>
      </c>
      <c r="F136" s="3">
        <f t="shared" si="4"/>
        <v>36</v>
      </c>
      <c r="G136" s="2" t="s">
        <v>8</v>
      </c>
      <c r="H136" s="2"/>
    </row>
    <row r="137" spans="1:8" x14ac:dyDescent="0.3">
      <c r="A137" s="8">
        <v>45771</v>
      </c>
      <c r="B137" s="2">
        <v>2</v>
      </c>
      <c r="C137" s="2" t="s">
        <v>244</v>
      </c>
      <c r="D137" s="2" t="s">
        <v>114</v>
      </c>
      <c r="E137" s="3">
        <v>18</v>
      </c>
      <c r="F137" s="3">
        <f t="shared" si="4"/>
        <v>36</v>
      </c>
      <c r="G137" s="2" t="s">
        <v>8</v>
      </c>
      <c r="H137" s="2"/>
    </row>
    <row r="138" spans="1:8" x14ac:dyDescent="0.3">
      <c r="A138" s="8">
        <v>45771</v>
      </c>
      <c r="B138" s="2">
        <v>2</v>
      </c>
      <c r="C138" s="2" t="s">
        <v>245</v>
      </c>
      <c r="D138" s="2" t="s">
        <v>114</v>
      </c>
      <c r="E138" s="3">
        <v>18</v>
      </c>
      <c r="F138" s="3">
        <f t="shared" si="4"/>
        <v>36</v>
      </c>
      <c r="G138" s="2" t="s">
        <v>8</v>
      </c>
      <c r="H138" s="2"/>
    </row>
    <row r="139" spans="1:8" x14ac:dyDescent="0.3">
      <c r="A139" s="8">
        <v>45771</v>
      </c>
      <c r="B139" s="2">
        <v>1</v>
      </c>
      <c r="C139" s="2" t="s">
        <v>246</v>
      </c>
      <c r="D139" s="2" t="s">
        <v>114</v>
      </c>
      <c r="E139" s="3">
        <v>136</v>
      </c>
      <c r="F139" s="3">
        <f t="shared" si="4"/>
        <v>136</v>
      </c>
      <c r="G139" s="2" t="s">
        <v>8</v>
      </c>
      <c r="H139" s="2"/>
    </row>
    <row r="140" spans="1:8" x14ac:dyDescent="0.3">
      <c r="A140" s="8">
        <v>45771</v>
      </c>
      <c r="B140" s="2">
        <v>2</v>
      </c>
      <c r="C140" s="2" t="s">
        <v>247</v>
      </c>
      <c r="D140" s="2" t="s">
        <v>114</v>
      </c>
      <c r="E140" s="3">
        <v>191</v>
      </c>
      <c r="F140" s="3">
        <f t="shared" si="4"/>
        <v>382</v>
      </c>
      <c r="G140" s="2" t="s">
        <v>8</v>
      </c>
      <c r="H140" s="2"/>
    </row>
    <row r="141" spans="1:8" x14ac:dyDescent="0.3">
      <c r="A141" s="8">
        <v>45771</v>
      </c>
      <c r="B141" s="2">
        <v>4</v>
      </c>
      <c r="C141" s="2" t="s">
        <v>197</v>
      </c>
      <c r="D141" s="2" t="s">
        <v>114</v>
      </c>
      <c r="E141" s="3">
        <v>184</v>
      </c>
      <c r="F141" s="3">
        <f t="shared" si="4"/>
        <v>736</v>
      </c>
      <c r="G141" s="2" t="s">
        <v>8</v>
      </c>
      <c r="H141" s="2"/>
    </row>
    <row r="142" spans="1:8" x14ac:dyDescent="0.3">
      <c r="A142" s="8">
        <v>45771</v>
      </c>
      <c r="B142" s="2">
        <v>4</v>
      </c>
      <c r="C142" s="2" t="s">
        <v>248</v>
      </c>
      <c r="D142" s="2" t="s">
        <v>114</v>
      </c>
      <c r="E142" s="3">
        <v>238</v>
      </c>
      <c r="F142" s="3">
        <f t="shared" si="4"/>
        <v>952</v>
      </c>
      <c r="G142" s="2" t="s">
        <v>8</v>
      </c>
      <c r="H142" s="2"/>
    </row>
    <row r="143" spans="1:8" x14ac:dyDescent="0.3">
      <c r="A143" s="8">
        <v>45771</v>
      </c>
      <c r="B143" s="2">
        <v>3</v>
      </c>
      <c r="C143" s="2" t="s">
        <v>237</v>
      </c>
      <c r="D143" s="2" t="s">
        <v>137</v>
      </c>
      <c r="E143" s="3">
        <v>510</v>
      </c>
      <c r="F143" s="3">
        <f t="shared" si="4"/>
        <v>1530</v>
      </c>
      <c r="G143" s="2" t="s">
        <v>8</v>
      </c>
      <c r="H143" s="2"/>
    </row>
    <row r="144" spans="1:8" x14ac:dyDescent="0.3">
      <c r="A144" s="8">
        <v>45771</v>
      </c>
      <c r="B144" s="2">
        <v>2</v>
      </c>
      <c r="C144" s="2" t="s">
        <v>236</v>
      </c>
      <c r="D144" s="2" t="s">
        <v>137</v>
      </c>
      <c r="E144" s="3">
        <v>3500</v>
      </c>
      <c r="F144" s="3">
        <f t="shared" si="4"/>
        <v>7000</v>
      </c>
      <c r="G144" s="2" t="s">
        <v>8</v>
      </c>
      <c r="H144" s="2" t="s">
        <v>229</v>
      </c>
    </row>
    <row r="145" spans="1:10" x14ac:dyDescent="0.3">
      <c r="A145" s="8">
        <v>45771</v>
      </c>
      <c r="B145" s="2">
        <v>2</v>
      </c>
      <c r="C145" s="2" t="s">
        <v>113</v>
      </c>
      <c r="D145" s="2" t="s">
        <v>249</v>
      </c>
      <c r="E145" s="3">
        <v>2149</v>
      </c>
      <c r="F145" s="3">
        <f t="shared" si="4"/>
        <v>4298</v>
      </c>
      <c r="G145" s="2" t="s">
        <v>8</v>
      </c>
      <c r="H145" s="2"/>
    </row>
    <row r="146" spans="1:10" x14ac:dyDescent="0.3">
      <c r="A146" s="8">
        <v>45773</v>
      </c>
      <c r="B146" s="2">
        <v>3</v>
      </c>
      <c r="C146" s="2" t="s">
        <v>237</v>
      </c>
      <c r="D146" s="2" t="s">
        <v>118</v>
      </c>
      <c r="E146" s="3">
        <v>520</v>
      </c>
      <c r="F146" s="3">
        <f t="shared" si="4"/>
        <v>1560</v>
      </c>
      <c r="G146" s="2" t="s">
        <v>8</v>
      </c>
      <c r="H146" s="2"/>
    </row>
    <row r="147" spans="1:10" x14ac:dyDescent="0.3">
      <c r="A147" s="8">
        <v>45774</v>
      </c>
      <c r="B147" s="2">
        <v>2</v>
      </c>
      <c r="C147" s="2" t="s">
        <v>236</v>
      </c>
      <c r="D147" s="2" t="s">
        <v>138</v>
      </c>
      <c r="E147" s="3">
        <v>3420</v>
      </c>
      <c r="F147" s="3">
        <f t="shared" si="4"/>
        <v>6840</v>
      </c>
      <c r="G147" s="2" t="s">
        <v>8</v>
      </c>
      <c r="H147" s="2" t="s">
        <v>229</v>
      </c>
    </row>
    <row r="148" spans="1:10" x14ac:dyDescent="0.3">
      <c r="A148" s="8">
        <v>45774</v>
      </c>
      <c r="B148" s="2">
        <v>1</v>
      </c>
      <c r="C148" s="2" t="s">
        <v>273</v>
      </c>
      <c r="D148" s="2" t="s">
        <v>138</v>
      </c>
      <c r="E148" s="3">
        <v>2515</v>
      </c>
      <c r="F148" s="3">
        <f t="shared" si="4"/>
        <v>2515</v>
      </c>
      <c r="G148" s="2" t="s">
        <v>8</v>
      </c>
      <c r="H148" s="2" t="s">
        <v>229</v>
      </c>
    </row>
    <row r="149" spans="1:10" x14ac:dyDescent="0.3">
      <c r="A149" s="8">
        <v>45774</v>
      </c>
      <c r="B149" s="2">
        <v>2</v>
      </c>
      <c r="C149" s="2" t="s">
        <v>236</v>
      </c>
      <c r="D149" s="2" t="s">
        <v>272</v>
      </c>
      <c r="E149" s="3">
        <v>3500</v>
      </c>
      <c r="F149" s="3">
        <f t="shared" si="4"/>
        <v>7000</v>
      </c>
      <c r="G149" s="2" t="s">
        <v>8</v>
      </c>
      <c r="H149" s="2" t="s">
        <v>229</v>
      </c>
    </row>
    <row r="150" spans="1:10" x14ac:dyDescent="0.3">
      <c r="A150" s="8">
        <v>45774</v>
      </c>
      <c r="B150" s="2">
        <v>2</v>
      </c>
      <c r="C150" s="2" t="s">
        <v>273</v>
      </c>
      <c r="D150" s="2" t="s">
        <v>272</v>
      </c>
      <c r="E150" s="3">
        <v>2580</v>
      </c>
      <c r="F150" s="3">
        <f t="shared" si="4"/>
        <v>5160</v>
      </c>
      <c r="G150" s="2" t="s">
        <v>8</v>
      </c>
      <c r="H150" s="2" t="s">
        <v>229</v>
      </c>
    </row>
    <row r="151" spans="1:10" x14ac:dyDescent="0.3">
      <c r="A151" s="8">
        <v>45774</v>
      </c>
      <c r="B151" s="2">
        <v>1</v>
      </c>
      <c r="C151" s="2" t="s">
        <v>237</v>
      </c>
      <c r="D151" s="2" t="s">
        <v>272</v>
      </c>
      <c r="E151" s="3">
        <v>520</v>
      </c>
      <c r="F151" s="3">
        <f t="shared" si="4"/>
        <v>520</v>
      </c>
      <c r="G151" s="2" t="s">
        <v>8</v>
      </c>
      <c r="H151" s="2"/>
      <c r="J151" t="s">
        <v>277</v>
      </c>
    </row>
    <row r="152" spans="1:10" x14ac:dyDescent="0.3">
      <c r="A152" s="8">
        <v>45775</v>
      </c>
      <c r="B152" s="2">
        <v>2</v>
      </c>
      <c r="C152" s="2" t="s">
        <v>237</v>
      </c>
      <c r="D152" s="2" t="s">
        <v>279</v>
      </c>
      <c r="E152" s="3">
        <v>539</v>
      </c>
      <c r="F152" s="3">
        <f t="shared" si="4"/>
        <v>1078</v>
      </c>
      <c r="G152" s="2" t="s">
        <v>8</v>
      </c>
      <c r="H152" s="2"/>
    </row>
    <row r="153" spans="1:10" x14ac:dyDescent="0.3">
      <c r="A153" s="2"/>
      <c r="B153" s="2"/>
      <c r="C153" s="2"/>
      <c r="D153" s="2"/>
      <c r="E153" s="2"/>
      <c r="F153" s="2"/>
      <c r="G153" s="2"/>
      <c r="H153" s="2"/>
    </row>
    <row r="154" spans="1:10" x14ac:dyDescent="0.3">
      <c r="A154" s="2"/>
      <c r="B154" s="2"/>
      <c r="C154" s="2"/>
      <c r="D154" s="2"/>
      <c r="E154" s="2"/>
      <c r="F154" s="2"/>
      <c r="G154" s="2"/>
      <c r="H154" s="2"/>
    </row>
    <row r="155" spans="1:10" x14ac:dyDescent="0.3">
      <c r="A155" s="2"/>
      <c r="B155" s="2"/>
      <c r="C155" s="2"/>
      <c r="D155" s="2"/>
      <c r="E155" s="2"/>
      <c r="F155" s="2"/>
      <c r="G155" s="2"/>
      <c r="H155" s="2"/>
      <c r="J155">
        <v>5000</v>
      </c>
    </row>
    <row r="156" spans="1:10" x14ac:dyDescent="0.3">
      <c r="A156" s="2"/>
      <c r="B156" s="2"/>
      <c r="C156" s="2"/>
      <c r="D156" s="2"/>
      <c r="E156" s="2"/>
      <c r="F156" s="2"/>
      <c r="G156" s="2"/>
      <c r="H156" s="2"/>
      <c r="J156">
        <v>11872</v>
      </c>
    </row>
    <row r="157" spans="1:10" x14ac:dyDescent="0.3">
      <c r="A157" s="2"/>
      <c r="B157" s="2"/>
      <c r="C157" s="2"/>
      <c r="D157" s="2"/>
      <c r="E157" s="2"/>
      <c r="F157" s="2"/>
      <c r="G157" s="2"/>
      <c r="H157" s="2"/>
      <c r="J157">
        <v>22500</v>
      </c>
    </row>
    <row r="158" spans="1:10" x14ac:dyDescent="0.3">
      <c r="A158" s="2"/>
      <c r="B158" s="2"/>
      <c r="C158" s="2"/>
      <c r="D158" s="2"/>
      <c r="E158" s="2"/>
      <c r="F158" s="2"/>
      <c r="G158" s="2"/>
      <c r="H158" s="2"/>
      <c r="J158">
        <v>16500</v>
      </c>
    </row>
    <row r="159" spans="1:10" x14ac:dyDescent="0.3">
      <c r="A159" s="2"/>
      <c r="B159" s="2"/>
      <c r="C159" s="2"/>
      <c r="D159" s="2"/>
      <c r="E159" s="2"/>
      <c r="F159" s="2"/>
      <c r="G159" s="2"/>
      <c r="H159" s="2"/>
    </row>
    <row r="160" spans="1:10" x14ac:dyDescent="0.3">
      <c r="A160" s="2"/>
      <c r="B160" s="2"/>
      <c r="C160" s="2"/>
      <c r="D160" s="2"/>
      <c r="E160" s="2"/>
      <c r="F160" s="2"/>
      <c r="G160" s="2"/>
      <c r="H160" s="2"/>
    </row>
    <row r="161" spans="1:8" x14ac:dyDescent="0.3">
      <c r="A161" s="2"/>
      <c r="B161" s="2"/>
      <c r="C161" s="2"/>
      <c r="D161" s="2"/>
      <c r="E161" s="2"/>
      <c r="F161" s="2"/>
      <c r="G161" s="2"/>
      <c r="H161" s="2"/>
    </row>
    <row r="162" spans="1:8" x14ac:dyDescent="0.3">
      <c r="A162" s="2"/>
      <c r="B162" s="2"/>
      <c r="C162" s="2"/>
      <c r="D162" s="2"/>
      <c r="E162" s="2"/>
      <c r="F162" s="2"/>
      <c r="G162" s="2"/>
      <c r="H162" s="2"/>
    </row>
    <row r="163" spans="1:8" x14ac:dyDescent="0.3">
      <c r="A163" s="2"/>
      <c r="B163" s="2"/>
      <c r="C163" s="2"/>
      <c r="D163" s="2"/>
      <c r="E163" s="2"/>
      <c r="F163" s="2"/>
      <c r="G163" s="2"/>
      <c r="H163" s="2"/>
    </row>
    <row r="164" spans="1:8" x14ac:dyDescent="0.3">
      <c r="A164" s="2"/>
      <c r="B164" s="2"/>
      <c r="C164" s="2"/>
      <c r="D164" s="2"/>
      <c r="E164" s="2"/>
      <c r="F164" s="2"/>
      <c r="G164" s="2"/>
      <c r="H164" s="2"/>
    </row>
    <row r="165" spans="1:8" x14ac:dyDescent="0.3">
      <c r="A165" s="2"/>
      <c r="B165" s="2"/>
      <c r="C165" s="2"/>
      <c r="D165" s="2"/>
      <c r="E165" s="2"/>
      <c r="F165" s="2"/>
      <c r="G165" s="2"/>
      <c r="H165" s="2"/>
    </row>
    <row r="166" spans="1:8" x14ac:dyDescent="0.3">
      <c r="A166" s="2"/>
      <c r="B166" s="2"/>
      <c r="C166" s="2"/>
      <c r="D166" s="2"/>
      <c r="E166" s="2"/>
      <c r="F166" s="2"/>
      <c r="G166" s="2"/>
      <c r="H166" s="2"/>
    </row>
    <row r="167" spans="1:8" x14ac:dyDescent="0.3">
      <c r="A167" s="2"/>
      <c r="B167" s="2"/>
      <c r="C167" s="2"/>
      <c r="D167" s="2"/>
      <c r="E167" s="2"/>
      <c r="F167" s="2"/>
      <c r="G167" s="2"/>
      <c r="H167" s="2"/>
    </row>
    <row r="168" spans="1:8" x14ac:dyDescent="0.3">
      <c r="A168" s="2"/>
      <c r="B168" s="2"/>
      <c r="C168" s="2"/>
      <c r="D168" s="2"/>
      <c r="E168" s="2"/>
      <c r="F168" s="2"/>
      <c r="G168" s="2"/>
      <c r="H168" s="2"/>
    </row>
    <row r="169" spans="1:8" x14ac:dyDescent="0.3">
      <c r="A169" s="2"/>
      <c r="B169" s="2"/>
      <c r="C169" s="2"/>
      <c r="D169" s="2"/>
      <c r="E169" s="2"/>
      <c r="F169" s="2"/>
      <c r="G169" s="2"/>
      <c r="H169" s="2"/>
    </row>
    <row r="170" spans="1:8" x14ac:dyDescent="0.3">
      <c r="A170" s="2"/>
      <c r="B170" s="2"/>
      <c r="C170" s="2"/>
      <c r="D170" s="2"/>
      <c r="E170" s="2"/>
      <c r="F170" s="2"/>
      <c r="G170" s="2"/>
      <c r="H170" s="2"/>
    </row>
    <row r="171" spans="1:8" x14ac:dyDescent="0.3">
      <c r="A171" s="2"/>
      <c r="B171" s="2"/>
      <c r="C171" s="2"/>
      <c r="D171" s="2"/>
      <c r="E171" s="2"/>
      <c r="F171" s="2"/>
      <c r="G171" s="2"/>
      <c r="H171" s="2"/>
    </row>
    <row r="172" spans="1:8" x14ac:dyDescent="0.3">
      <c r="A172" s="2"/>
      <c r="B172" s="2"/>
      <c r="C172" s="2"/>
      <c r="D172" s="2"/>
      <c r="E172" s="2"/>
      <c r="F172" s="2"/>
      <c r="G172" s="2"/>
      <c r="H172" s="2"/>
    </row>
    <row r="173" spans="1:8" x14ac:dyDescent="0.3">
      <c r="A173" s="2"/>
      <c r="B173" s="2"/>
      <c r="C173" s="2"/>
      <c r="D173" s="2"/>
      <c r="E173" s="2"/>
      <c r="F173" s="2"/>
      <c r="G173" s="2"/>
      <c r="H173" s="2"/>
    </row>
    <row r="174" spans="1:8" x14ac:dyDescent="0.3">
      <c r="A174" s="2"/>
      <c r="B174" s="2"/>
      <c r="C174" s="2"/>
      <c r="D174" s="2"/>
      <c r="E174" s="2"/>
      <c r="F174" s="2"/>
      <c r="G174" s="2"/>
      <c r="H174" s="2"/>
    </row>
    <row r="175" spans="1:8" x14ac:dyDescent="0.3">
      <c r="A175" s="2"/>
      <c r="B175" s="2"/>
      <c r="C175" s="2"/>
      <c r="D175" s="2"/>
      <c r="E175" s="2"/>
      <c r="F175" s="2"/>
      <c r="G175" s="2"/>
      <c r="H175" s="2"/>
    </row>
    <row r="176" spans="1:8" x14ac:dyDescent="0.3">
      <c r="A176" s="2"/>
      <c r="B176" s="2"/>
      <c r="C176" s="2"/>
      <c r="D176" s="2"/>
      <c r="E176" s="2"/>
      <c r="F176" s="2"/>
      <c r="G176" s="2"/>
      <c r="H176" s="2"/>
    </row>
    <row r="177" spans="1:8" x14ac:dyDescent="0.3">
      <c r="A177" s="2"/>
      <c r="B177" s="2"/>
      <c r="C177" s="2"/>
      <c r="D177" s="2"/>
      <c r="E177" s="2"/>
      <c r="F177" s="2"/>
      <c r="G177" s="2"/>
      <c r="H177" s="2"/>
    </row>
    <row r="178" spans="1:8" x14ac:dyDescent="0.3">
      <c r="A178" s="2"/>
      <c r="B178" s="2"/>
      <c r="C178" s="2"/>
      <c r="D178" s="2"/>
      <c r="E178" s="2"/>
      <c r="F178" s="2"/>
      <c r="G178" s="2"/>
      <c r="H178" s="2"/>
    </row>
    <row r="179" spans="1:8" x14ac:dyDescent="0.3">
      <c r="A179" s="2"/>
      <c r="B179" s="2"/>
      <c r="C179" s="2"/>
      <c r="D179" s="2"/>
      <c r="E179" s="2"/>
      <c r="F179" s="2"/>
      <c r="G179" s="2"/>
      <c r="H179" s="2"/>
    </row>
    <row r="180" spans="1:8" x14ac:dyDescent="0.3">
      <c r="A180" s="2"/>
      <c r="B180" s="2"/>
      <c r="C180" s="2"/>
      <c r="D180" s="2"/>
      <c r="E180" s="2"/>
      <c r="F180" s="2"/>
      <c r="G180" s="2"/>
      <c r="H180" s="2"/>
    </row>
    <row r="181" spans="1:8" x14ac:dyDescent="0.3">
      <c r="A181" s="2"/>
      <c r="B181" s="2"/>
      <c r="C181" s="2"/>
      <c r="D181" s="2"/>
      <c r="E181" s="2"/>
      <c r="F181" s="2"/>
      <c r="G181" s="2"/>
      <c r="H181" s="2"/>
    </row>
    <row r="182" spans="1:8" x14ac:dyDescent="0.3">
      <c r="A182" s="2"/>
      <c r="B182" s="2"/>
      <c r="C182" s="2"/>
      <c r="D182" s="2"/>
      <c r="E182" s="2"/>
      <c r="F182" s="2"/>
      <c r="G182" s="2"/>
      <c r="H182" s="2"/>
    </row>
    <row r="183" spans="1:8" x14ac:dyDescent="0.3">
      <c r="A183" s="2"/>
      <c r="B183" s="2"/>
      <c r="C183" s="2"/>
      <c r="D183" s="2"/>
      <c r="E183" s="2"/>
      <c r="F183" s="2"/>
      <c r="G183" s="2"/>
      <c r="H183" s="2"/>
    </row>
    <row r="184" spans="1:8" x14ac:dyDescent="0.3">
      <c r="A184" s="2"/>
      <c r="B184" s="2"/>
      <c r="C184" s="2"/>
      <c r="D184" s="2"/>
      <c r="E184" s="2"/>
      <c r="F184" s="2"/>
      <c r="G184" s="2"/>
      <c r="H184" s="2"/>
    </row>
    <row r="185" spans="1:8" x14ac:dyDescent="0.3">
      <c r="A185" s="2"/>
      <c r="B185" s="2"/>
      <c r="C185" s="2"/>
      <c r="D185" s="2"/>
      <c r="E185" s="2"/>
      <c r="F185" s="2"/>
      <c r="G185" s="2"/>
      <c r="H185" s="2"/>
    </row>
    <row r="186" spans="1:8" x14ac:dyDescent="0.3">
      <c r="A186" s="2"/>
      <c r="B186" s="2"/>
      <c r="C186" s="2"/>
      <c r="D186" s="2"/>
      <c r="E186" s="2"/>
      <c r="F186" s="2"/>
      <c r="G186" s="2"/>
      <c r="H186" s="2"/>
    </row>
    <row r="187" spans="1:8" x14ac:dyDescent="0.3">
      <c r="A187" s="2"/>
      <c r="B187" s="2"/>
      <c r="C187" s="2"/>
      <c r="D187" s="2"/>
      <c r="E187" s="2"/>
      <c r="F187" s="2"/>
      <c r="G187" s="2"/>
      <c r="H187" s="2"/>
    </row>
    <row r="188" spans="1:8" x14ac:dyDescent="0.3">
      <c r="A188" s="2"/>
      <c r="B188" s="2"/>
      <c r="C188" s="2"/>
      <c r="D188" s="2"/>
      <c r="E188" s="2"/>
      <c r="F188" s="2"/>
      <c r="G188" s="2"/>
      <c r="H188" s="2"/>
    </row>
    <row r="189" spans="1:8" x14ac:dyDescent="0.3">
      <c r="A189" s="2"/>
      <c r="B189" s="2"/>
      <c r="C189" s="2"/>
      <c r="D189" s="2"/>
      <c r="E189" s="2"/>
      <c r="F189" s="2"/>
      <c r="G189" s="2"/>
      <c r="H189" s="2"/>
    </row>
    <row r="190" spans="1:8" x14ac:dyDescent="0.3">
      <c r="A190" s="2"/>
      <c r="B190" s="2"/>
      <c r="C190" s="2"/>
      <c r="D190" s="2"/>
      <c r="E190" s="2"/>
      <c r="F190" s="2"/>
      <c r="G190" s="2"/>
      <c r="H190" s="2"/>
    </row>
  </sheetData>
  <autoFilter ref="A1:H152" xr:uid="{59636CEA-D1B9-4BE4-8046-94F5B918FE6C}"/>
  <phoneticPr fontId="3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9494-4CD3-42D3-9A85-66AB1F6BD735}">
  <dimension ref="A1:O27"/>
  <sheetViews>
    <sheetView topLeftCell="A3" workbookViewId="0">
      <selection activeCell="L18" sqref="L18"/>
    </sheetView>
  </sheetViews>
  <sheetFormatPr defaultRowHeight="14.4" x14ac:dyDescent="0.3"/>
  <cols>
    <col min="1" max="1" width="10.5546875" bestFit="1" customWidth="1"/>
    <col min="3" max="3" width="27.6640625" bestFit="1" customWidth="1"/>
    <col min="4" max="4" width="23.77734375" bestFit="1" customWidth="1"/>
    <col min="5" max="5" width="9" bestFit="1" customWidth="1"/>
    <col min="6" max="6" width="10" bestFit="1" customWidth="1"/>
    <col min="7" max="7" width="16.109375" bestFit="1" customWidth="1"/>
    <col min="8" max="8" width="19.109375" bestFit="1" customWidth="1"/>
    <col min="14" max="14" width="10.5546875" bestFit="1" customWidth="1"/>
  </cols>
  <sheetData>
    <row r="1" spans="1:15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</row>
    <row r="2" spans="1:15" x14ac:dyDescent="0.3">
      <c r="A2" s="8">
        <v>45778</v>
      </c>
      <c r="B2" s="2">
        <v>2</v>
      </c>
      <c r="C2" s="25" t="s">
        <v>282</v>
      </c>
      <c r="D2" s="2" t="s">
        <v>283</v>
      </c>
      <c r="E2" s="3">
        <v>489</v>
      </c>
      <c r="F2" s="3">
        <f>(B2*E2)</f>
        <v>978</v>
      </c>
      <c r="G2" s="2" t="s">
        <v>8</v>
      </c>
      <c r="H2" s="8">
        <v>45778</v>
      </c>
    </row>
    <row r="3" spans="1:15" x14ac:dyDescent="0.3">
      <c r="A3" s="8">
        <v>45778</v>
      </c>
      <c r="B3" s="2">
        <v>2</v>
      </c>
      <c r="C3" s="25" t="s">
        <v>284</v>
      </c>
      <c r="D3" s="2" t="s">
        <v>283</v>
      </c>
      <c r="E3" s="3">
        <v>539</v>
      </c>
      <c r="F3" s="3">
        <f t="shared" ref="F3:F27" si="0">(B3*E3)</f>
        <v>1078</v>
      </c>
      <c r="G3" s="2" t="s">
        <v>8</v>
      </c>
      <c r="H3" s="8">
        <v>45778</v>
      </c>
      <c r="N3">
        <v>3729</v>
      </c>
    </row>
    <row r="4" spans="1:15" x14ac:dyDescent="0.3">
      <c r="A4" s="8">
        <v>45778</v>
      </c>
      <c r="B4" s="2">
        <v>2</v>
      </c>
      <c r="C4" s="25" t="s">
        <v>282</v>
      </c>
      <c r="D4" s="2" t="s">
        <v>223</v>
      </c>
      <c r="E4" s="3">
        <v>489</v>
      </c>
      <c r="F4" s="3">
        <f t="shared" si="0"/>
        <v>978</v>
      </c>
      <c r="G4" s="2" t="s">
        <v>8</v>
      </c>
      <c r="H4" s="8">
        <v>45778</v>
      </c>
    </row>
    <row r="5" spans="1:15" x14ac:dyDescent="0.3">
      <c r="A5" s="8">
        <v>45778</v>
      </c>
      <c r="B5" s="2">
        <v>3</v>
      </c>
      <c r="C5" s="25" t="s">
        <v>285</v>
      </c>
      <c r="D5" s="2" t="s">
        <v>286</v>
      </c>
      <c r="E5" s="3">
        <v>449</v>
      </c>
      <c r="F5" s="3">
        <f t="shared" si="0"/>
        <v>1347</v>
      </c>
      <c r="G5" s="2" t="s">
        <v>8</v>
      </c>
      <c r="H5" s="8">
        <v>45778</v>
      </c>
    </row>
    <row r="6" spans="1:15" x14ac:dyDescent="0.3">
      <c r="A6" s="8">
        <v>45780</v>
      </c>
      <c r="B6" s="2">
        <v>3</v>
      </c>
      <c r="C6" s="25" t="s">
        <v>284</v>
      </c>
      <c r="D6" s="2" t="s">
        <v>289</v>
      </c>
      <c r="E6" s="3">
        <v>539</v>
      </c>
      <c r="F6" s="3">
        <f t="shared" si="0"/>
        <v>1617</v>
      </c>
      <c r="G6" s="2" t="s">
        <v>8</v>
      </c>
      <c r="H6" s="8">
        <v>45780</v>
      </c>
    </row>
    <row r="7" spans="1:15" x14ac:dyDescent="0.3">
      <c r="A7" s="2"/>
      <c r="B7" s="2">
        <v>2</v>
      </c>
      <c r="C7" s="25" t="s">
        <v>284</v>
      </c>
      <c r="D7" s="2" t="s">
        <v>306</v>
      </c>
      <c r="E7" s="3">
        <v>520</v>
      </c>
      <c r="F7" s="3">
        <f t="shared" si="0"/>
        <v>1040</v>
      </c>
      <c r="G7" s="2" t="s">
        <v>8</v>
      </c>
      <c r="H7" s="2"/>
    </row>
    <row r="8" spans="1:15" x14ac:dyDescent="0.3">
      <c r="A8" s="8">
        <v>45790</v>
      </c>
      <c r="B8" s="2">
        <v>4</v>
      </c>
      <c r="C8" s="25" t="s">
        <v>284</v>
      </c>
      <c r="D8" s="2" t="s">
        <v>305</v>
      </c>
      <c r="E8" s="3">
        <v>539</v>
      </c>
      <c r="F8" s="3">
        <f t="shared" si="0"/>
        <v>2156</v>
      </c>
      <c r="G8" s="2" t="s">
        <v>8</v>
      </c>
      <c r="H8" s="2"/>
    </row>
    <row r="9" spans="1:15" x14ac:dyDescent="0.3">
      <c r="A9" s="8">
        <v>45785</v>
      </c>
      <c r="B9" s="2">
        <v>22</v>
      </c>
      <c r="C9" s="2" t="s">
        <v>310</v>
      </c>
      <c r="D9" s="2" t="s">
        <v>309</v>
      </c>
      <c r="E9" s="3">
        <v>539</v>
      </c>
      <c r="F9" s="3">
        <f t="shared" si="0"/>
        <v>11858</v>
      </c>
      <c r="G9" s="2" t="s">
        <v>8</v>
      </c>
      <c r="H9" s="2"/>
    </row>
    <row r="10" spans="1:15" x14ac:dyDescent="0.3">
      <c r="A10" s="8">
        <v>45793</v>
      </c>
      <c r="B10" s="2">
        <v>2</v>
      </c>
      <c r="C10" s="2" t="s">
        <v>314</v>
      </c>
      <c r="D10" s="2" t="s">
        <v>315</v>
      </c>
      <c r="E10" s="3">
        <v>699</v>
      </c>
      <c r="F10" s="3">
        <f t="shared" si="0"/>
        <v>1398</v>
      </c>
      <c r="G10" s="2" t="s">
        <v>8</v>
      </c>
      <c r="H10" s="2"/>
    </row>
    <row r="11" spans="1:15" x14ac:dyDescent="0.3">
      <c r="A11" s="8">
        <v>45794</v>
      </c>
      <c r="B11" s="2">
        <v>3</v>
      </c>
      <c r="C11" s="2" t="s">
        <v>317</v>
      </c>
      <c r="D11" s="2" t="s">
        <v>318</v>
      </c>
      <c r="E11" s="3">
        <v>355</v>
      </c>
      <c r="F11" s="3">
        <f t="shared" si="0"/>
        <v>1065</v>
      </c>
      <c r="G11" s="2" t="s">
        <v>8</v>
      </c>
      <c r="H11" s="2"/>
    </row>
    <row r="12" spans="1:15" x14ac:dyDescent="0.3">
      <c r="A12" s="8">
        <v>45794</v>
      </c>
      <c r="B12" s="2">
        <v>3</v>
      </c>
      <c r="C12" s="2" t="s">
        <v>317</v>
      </c>
      <c r="D12" s="2" t="s">
        <v>286</v>
      </c>
      <c r="E12" s="3">
        <v>351</v>
      </c>
      <c r="F12" s="3">
        <f t="shared" si="0"/>
        <v>1053</v>
      </c>
      <c r="G12" s="2" t="s">
        <v>8</v>
      </c>
      <c r="H12" s="2"/>
    </row>
    <row r="13" spans="1:15" x14ac:dyDescent="0.3">
      <c r="A13" s="8">
        <v>45794</v>
      </c>
      <c r="B13" s="2">
        <v>3</v>
      </c>
      <c r="C13" s="2" t="s">
        <v>319</v>
      </c>
      <c r="D13" s="2" t="s">
        <v>283</v>
      </c>
      <c r="E13" s="3">
        <v>539</v>
      </c>
      <c r="F13" s="3">
        <f t="shared" si="0"/>
        <v>1617</v>
      </c>
      <c r="G13" s="2" t="s">
        <v>8</v>
      </c>
      <c r="H13" s="2"/>
      <c r="N13" s="6">
        <v>45782</v>
      </c>
      <c r="O13">
        <v>1200</v>
      </c>
    </row>
    <row r="14" spans="1:15" x14ac:dyDescent="0.3">
      <c r="A14" s="8">
        <v>45794</v>
      </c>
      <c r="B14" s="2">
        <v>2</v>
      </c>
      <c r="C14" s="2" t="s">
        <v>320</v>
      </c>
      <c r="D14" s="2" t="s">
        <v>283</v>
      </c>
      <c r="E14" s="3">
        <v>117</v>
      </c>
      <c r="F14" s="3">
        <f t="shared" si="0"/>
        <v>234</v>
      </c>
      <c r="G14" s="2" t="s">
        <v>62</v>
      </c>
      <c r="H14" s="2" t="s">
        <v>348</v>
      </c>
      <c r="O14">
        <v>10000</v>
      </c>
    </row>
    <row r="15" spans="1:15" x14ac:dyDescent="0.3">
      <c r="A15" s="8">
        <v>45794</v>
      </c>
      <c r="B15" s="2">
        <v>1</v>
      </c>
      <c r="C15" s="2" t="s">
        <v>317</v>
      </c>
      <c r="D15" s="2" t="s">
        <v>286</v>
      </c>
      <c r="E15" s="3">
        <v>377</v>
      </c>
      <c r="F15" s="3">
        <f t="shared" si="0"/>
        <v>377</v>
      </c>
      <c r="G15" s="2" t="s">
        <v>8</v>
      </c>
      <c r="H15" s="2"/>
      <c r="N15" s="6">
        <v>45793</v>
      </c>
      <c r="O15">
        <v>20000</v>
      </c>
    </row>
    <row r="16" spans="1:15" x14ac:dyDescent="0.3">
      <c r="A16" s="8">
        <v>45793</v>
      </c>
      <c r="B16" s="2">
        <v>4</v>
      </c>
      <c r="C16" s="2" t="s">
        <v>323</v>
      </c>
      <c r="D16" s="2" t="s">
        <v>324</v>
      </c>
      <c r="E16" s="3">
        <v>679</v>
      </c>
      <c r="F16" s="3">
        <f t="shared" si="0"/>
        <v>2716</v>
      </c>
      <c r="G16" s="2" t="s">
        <v>8</v>
      </c>
      <c r="H16" s="2"/>
      <c r="I16" s="108" t="s">
        <v>330</v>
      </c>
      <c r="O16">
        <v>6250</v>
      </c>
    </row>
    <row r="17" spans="1:15" x14ac:dyDescent="0.3">
      <c r="A17" s="8">
        <v>45793</v>
      </c>
      <c r="B17" s="2">
        <v>1</v>
      </c>
      <c r="C17" s="2" t="s">
        <v>325</v>
      </c>
      <c r="D17" s="2" t="s">
        <v>324</v>
      </c>
      <c r="E17" s="3">
        <v>3748</v>
      </c>
      <c r="F17" s="3">
        <f t="shared" si="0"/>
        <v>3748</v>
      </c>
      <c r="G17" s="2" t="s">
        <v>8</v>
      </c>
      <c r="H17" s="2"/>
      <c r="I17" s="108"/>
      <c r="O17">
        <v>9000</v>
      </c>
    </row>
    <row r="18" spans="1:15" x14ac:dyDescent="0.3">
      <c r="A18" s="8">
        <v>45793</v>
      </c>
      <c r="B18" s="2">
        <v>22</v>
      </c>
      <c r="C18" s="2" t="s">
        <v>236</v>
      </c>
      <c r="D18" s="2" t="s">
        <v>324</v>
      </c>
      <c r="E18" s="3">
        <v>3478</v>
      </c>
      <c r="F18" s="3">
        <f t="shared" si="0"/>
        <v>76516</v>
      </c>
      <c r="G18" s="2" t="s">
        <v>326</v>
      </c>
      <c r="H18" s="2" t="s">
        <v>327</v>
      </c>
      <c r="I18" s="108"/>
      <c r="O18">
        <v>9000</v>
      </c>
    </row>
    <row r="19" spans="1:15" x14ac:dyDescent="0.3">
      <c r="A19" s="8">
        <v>45793</v>
      </c>
      <c r="B19" s="2">
        <v>20</v>
      </c>
      <c r="C19" s="2" t="s">
        <v>273</v>
      </c>
      <c r="D19" s="2" t="s">
        <v>324</v>
      </c>
      <c r="E19" s="3">
        <v>2558</v>
      </c>
      <c r="F19" s="3">
        <f t="shared" si="0"/>
        <v>51160</v>
      </c>
      <c r="G19" s="2" t="s">
        <v>328</v>
      </c>
      <c r="H19" s="2" t="s">
        <v>327</v>
      </c>
      <c r="I19" s="108"/>
      <c r="O19">
        <v>9000</v>
      </c>
    </row>
    <row r="20" spans="1:15" x14ac:dyDescent="0.3">
      <c r="A20" s="8">
        <v>45793</v>
      </c>
      <c r="B20" s="2">
        <v>3</v>
      </c>
      <c r="C20" s="2" t="s">
        <v>329</v>
      </c>
      <c r="D20" s="2" t="s">
        <v>70</v>
      </c>
      <c r="E20" s="3">
        <v>98</v>
      </c>
      <c r="F20" s="3">
        <f t="shared" si="0"/>
        <v>294</v>
      </c>
      <c r="G20" s="2" t="s">
        <v>8</v>
      </c>
      <c r="H20" s="2"/>
      <c r="O20">
        <v>9000</v>
      </c>
    </row>
    <row r="21" spans="1:15" x14ac:dyDescent="0.3">
      <c r="A21" s="8">
        <v>45794</v>
      </c>
      <c r="B21" s="2">
        <v>4</v>
      </c>
      <c r="C21" s="2" t="s">
        <v>323</v>
      </c>
      <c r="D21" s="2" t="s">
        <v>336</v>
      </c>
      <c r="E21" s="3">
        <v>615</v>
      </c>
      <c r="F21" s="3">
        <f t="shared" si="0"/>
        <v>2460</v>
      </c>
      <c r="G21" s="2" t="s">
        <v>24</v>
      </c>
      <c r="H21" s="2" t="s">
        <v>365</v>
      </c>
      <c r="O21">
        <v>9000</v>
      </c>
    </row>
    <row r="22" spans="1:15" x14ac:dyDescent="0.3">
      <c r="A22" s="8">
        <v>45794</v>
      </c>
      <c r="B22" s="2">
        <v>2</v>
      </c>
      <c r="C22" s="2" t="s">
        <v>317</v>
      </c>
      <c r="D22" s="2" t="s">
        <v>336</v>
      </c>
      <c r="E22" s="3">
        <v>351</v>
      </c>
      <c r="F22" s="3">
        <f t="shared" si="0"/>
        <v>702</v>
      </c>
      <c r="G22" s="2" t="s">
        <v>8</v>
      </c>
      <c r="H22" s="2"/>
      <c r="O22">
        <v>9000</v>
      </c>
    </row>
    <row r="23" spans="1:15" x14ac:dyDescent="0.3">
      <c r="A23" s="49">
        <v>45795</v>
      </c>
      <c r="B23" s="10">
        <v>2</v>
      </c>
      <c r="C23" s="10" t="s">
        <v>317</v>
      </c>
      <c r="D23" s="10" t="s">
        <v>331</v>
      </c>
      <c r="E23" s="50">
        <v>351</v>
      </c>
      <c r="F23" s="50">
        <f t="shared" si="0"/>
        <v>702</v>
      </c>
      <c r="G23" s="10" t="s">
        <v>332</v>
      </c>
      <c r="H23" s="10"/>
      <c r="O23">
        <v>1000</v>
      </c>
    </row>
    <row r="24" spans="1:15" x14ac:dyDescent="0.3">
      <c r="A24" s="8">
        <v>45795</v>
      </c>
      <c r="B24" s="2">
        <v>50</v>
      </c>
      <c r="C24" s="2" t="s">
        <v>317</v>
      </c>
      <c r="D24" s="2" t="s">
        <v>333</v>
      </c>
      <c r="E24" s="3">
        <v>359</v>
      </c>
      <c r="F24" s="3">
        <f t="shared" si="0"/>
        <v>17950</v>
      </c>
      <c r="G24" s="2" t="s">
        <v>8</v>
      </c>
      <c r="H24" s="2"/>
      <c r="N24" t="s">
        <v>316</v>
      </c>
      <c r="O24">
        <v>92450</v>
      </c>
    </row>
    <row r="25" spans="1:15" x14ac:dyDescent="0.3">
      <c r="A25" s="8">
        <v>45795</v>
      </c>
      <c r="B25" s="2">
        <v>5</v>
      </c>
      <c r="C25" s="2" t="s">
        <v>334</v>
      </c>
      <c r="D25" s="2" t="s">
        <v>333</v>
      </c>
      <c r="E25" s="3">
        <v>1050</v>
      </c>
      <c r="F25" s="3">
        <f t="shared" si="0"/>
        <v>5250</v>
      </c>
      <c r="G25" s="2" t="s">
        <v>8</v>
      </c>
      <c r="H25" s="2"/>
    </row>
    <row r="26" spans="1:15" x14ac:dyDescent="0.3">
      <c r="A26" s="8">
        <v>45795</v>
      </c>
      <c r="B26" s="2">
        <v>5</v>
      </c>
      <c r="C26" s="2" t="s">
        <v>334</v>
      </c>
      <c r="D26" s="2" t="s">
        <v>335</v>
      </c>
      <c r="E26" s="3">
        <v>1030</v>
      </c>
      <c r="F26" s="3">
        <f t="shared" si="0"/>
        <v>5150</v>
      </c>
      <c r="G26" s="2" t="s">
        <v>8</v>
      </c>
      <c r="H26" s="2"/>
    </row>
    <row r="27" spans="1:15" x14ac:dyDescent="0.3">
      <c r="A27" s="8">
        <v>45795</v>
      </c>
      <c r="B27" s="2">
        <v>30</v>
      </c>
      <c r="C27" s="2" t="s">
        <v>317</v>
      </c>
      <c r="D27" s="2" t="s">
        <v>335</v>
      </c>
      <c r="E27" s="3">
        <v>340</v>
      </c>
      <c r="F27" s="3">
        <f t="shared" si="0"/>
        <v>10200</v>
      </c>
      <c r="G27" s="2" t="s">
        <v>24</v>
      </c>
      <c r="H27" s="2" t="s">
        <v>348</v>
      </c>
    </row>
  </sheetData>
  <autoFilter ref="A1:O27" xr:uid="{BAFC9494-4CD3-42D3-9A85-66AB1F6BD735}"/>
  <mergeCells count="1">
    <mergeCell ref="I16:I19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D62A-9B1B-4DE7-A86F-EAC8A25EA44A}">
  <dimension ref="A1:B12"/>
  <sheetViews>
    <sheetView workbookViewId="0">
      <selection activeCell="D23" sqref="D23"/>
    </sheetView>
  </sheetViews>
  <sheetFormatPr defaultRowHeight="14.4" x14ac:dyDescent="0.3"/>
  <cols>
    <col min="1" max="1" width="19.77734375" bestFit="1" customWidth="1"/>
    <col min="2" max="2" width="10.44140625" bestFit="1" customWidth="1"/>
  </cols>
  <sheetData>
    <row r="1" spans="1:2" x14ac:dyDescent="0.3">
      <c r="A1" s="52" t="s">
        <v>367</v>
      </c>
      <c r="B1" s="52" t="s">
        <v>0</v>
      </c>
    </row>
    <row r="2" spans="1:2" x14ac:dyDescent="0.3">
      <c r="A2" s="14" t="s">
        <v>323</v>
      </c>
      <c r="B2">
        <v>13</v>
      </c>
    </row>
    <row r="3" spans="1:2" x14ac:dyDescent="0.3">
      <c r="A3" s="14" t="s">
        <v>317</v>
      </c>
      <c r="B3">
        <v>73</v>
      </c>
    </row>
    <row r="4" spans="1:2" x14ac:dyDescent="0.3">
      <c r="A4" s="14" t="s">
        <v>353</v>
      </c>
      <c r="B4">
        <v>6</v>
      </c>
    </row>
    <row r="5" spans="1:2" x14ac:dyDescent="0.3">
      <c r="A5" s="14" t="s">
        <v>354</v>
      </c>
      <c r="B5">
        <v>6</v>
      </c>
    </row>
    <row r="6" spans="1:2" x14ac:dyDescent="0.3">
      <c r="A6" s="14" t="s">
        <v>351</v>
      </c>
      <c r="B6">
        <v>11</v>
      </c>
    </row>
    <row r="7" spans="1:2" x14ac:dyDescent="0.3">
      <c r="A7" s="14" t="s">
        <v>352</v>
      </c>
      <c r="B7">
        <v>8</v>
      </c>
    </row>
    <row r="8" spans="1:2" x14ac:dyDescent="0.3">
      <c r="A8" s="14" t="s">
        <v>350</v>
      </c>
      <c r="B8">
        <v>3</v>
      </c>
    </row>
    <row r="9" spans="1:2" x14ac:dyDescent="0.3">
      <c r="A9" s="14" t="s">
        <v>334</v>
      </c>
      <c r="B9">
        <v>6</v>
      </c>
    </row>
    <row r="10" spans="1:2" x14ac:dyDescent="0.3">
      <c r="A10" s="14" t="s">
        <v>356</v>
      </c>
      <c r="B10">
        <v>38</v>
      </c>
    </row>
    <row r="11" spans="1:2" x14ac:dyDescent="0.3">
      <c r="A11" s="14" t="s">
        <v>357</v>
      </c>
      <c r="B11">
        <v>1</v>
      </c>
    </row>
    <row r="12" spans="1:2" x14ac:dyDescent="0.3">
      <c r="A12" s="53" t="s">
        <v>80</v>
      </c>
      <c r="B12" s="54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3A8C-0794-4CA2-8789-B041BEEEFC66}">
  <dimension ref="A1:M34"/>
  <sheetViews>
    <sheetView workbookViewId="0">
      <selection sqref="A1:B12"/>
    </sheetView>
  </sheetViews>
  <sheetFormatPr defaultRowHeight="14.4" x14ac:dyDescent="0.3"/>
  <cols>
    <col min="1" max="1" width="17.88671875" bestFit="1" customWidth="1"/>
  </cols>
  <sheetData>
    <row r="1" spans="1:13" x14ac:dyDescent="0.3">
      <c r="A1" s="2" t="s">
        <v>1</v>
      </c>
      <c r="B1" s="2" t="s">
        <v>0</v>
      </c>
      <c r="M1">
        <v>3</v>
      </c>
    </row>
    <row r="2" spans="1:13" x14ac:dyDescent="0.3">
      <c r="A2" s="2" t="s">
        <v>337</v>
      </c>
      <c r="B2" s="18">
        <v>13</v>
      </c>
      <c r="C2">
        <v>2</v>
      </c>
      <c r="D2">
        <v>3</v>
      </c>
      <c r="E2">
        <v>2</v>
      </c>
      <c r="F2">
        <v>1</v>
      </c>
      <c r="G2">
        <v>2</v>
      </c>
      <c r="M2">
        <v>4</v>
      </c>
    </row>
    <row r="3" spans="1:13" x14ac:dyDescent="0.3">
      <c r="A3" s="2" t="s">
        <v>338</v>
      </c>
      <c r="B3" s="2">
        <v>10</v>
      </c>
      <c r="C3">
        <v>2</v>
      </c>
      <c r="D3">
        <v>2</v>
      </c>
      <c r="E3">
        <v>2</v>
      </c>
      <c r="F3">
        <v>2</v>
      </c>
      <c r="M3">
        <v>2</v>
      </c>
    </row>
    <row r="4" spans="1:13" x14ac:dyDescent="0.3">
      <c r="A4" s="2" t="s">
        <v>339</v>
      </c>
      <c r="B4" s="18">
        <v>8</v>
      </c>
      <c r="C4">
        <v>4</v>
      </c>
      <c r="M4">
        <v>2</v>
      </c>
    </row>
    <row r="5" spans="1:13" x14ac:dyDescent="0.3">
      <c r="A5" s="2" t="s">
        <v>340</v>
      </c>
      <c r="B5" s="2">
        <v>61</v>
      </c>
      <c r="C5">
        <v>8</v>
      </c>
      <c r="D5">
        <v>3</v>
      </c>
      <c r="E5">
        <v>2</v>
      </c>
      <c r="F5">
        <v>11</v>
      </c>
      <c r="G5">
        <v>14</v>
      </c>
      <c r="H5">
        <v>12</v>
      </c>
      <c r="I5">
        <v>3</v>
      </c>
      <c r="M5">
        <v>8</v>
      </c>
    </row>
    <row r="6" spans="1:13" x14ac:dyDescent="0.3">
      <c r="A6" s="2" t="s">
        <v>341</v>
      </c>
      <c r="B6" s="2">
        <v>1</v>
      </c>
      <c r="M6">
        <v>1</v>
      </c>
    </row>
    <row r="7" spans="1:13" x14ac:dyDescent="0.3">
      <c r="A7" s="2" t="s">
        <v>342</v>
      </c>
      <c r="B7" s="2">
        <v>10</v>
      </c>
      <c r="C7">
        <v>4</v>
      </c>
      <c r="D7">
        <v>2</v>
      </c>
      <c r="M7">
        <v>2</v>
      </c>
    </row>
    <row r="8" spans="1:13" x14ac:dyDescent="0.3">
      <c r="A8" s="2" t="s">
        <v>344</v>
      </c>
      <c r="B8" s="2">
        <v>10</v>
      </c>
      <c r="C8">
        <v>4</v>
      </c>
      <c r="D8">
        <v>2</v>
      </c>
      <c r="M8">
        <v>4</v>
      </c>
    </row>
    <row r="9" spans="1:13" x14ac:dyDescent="0.3">
      <c r="A9" s="2" t="s">
        <v>343</v>
      </c>
      <c r="B9" s="2">
        <v>4</v>
      </c>
      <c r="M9">
        <v>2</v>
      </c>
    </row>
    <row r="10" spans="1:13" x14ac:dyDescent="0.3">
      <c r="A10" s="2" t="s">
        <v>345</v>
      </c>
      <c r="B10" s="2">
        <v>48</v>
      </c>
      <c r="C10">
        <v>20</v>
      </c>
      <c r="M10">
        <v>2</v>
      </c>
    </row>
    <row r="11" spans="1:13" x14ac:dyDescent="0.3">
      <c r="A11" s="2" t="s">
        <v>165</v>
      </c>
      <c r="B11" s="2">
        <v>3</v>
      </c>
      <c r="C11">
        <v>1</v>
      </c>
      <c r="M11">
        <v>8</v>
      </c>
    </row>
    <row r="12" spans="1:13" x14ac:dyDescent="0.3">
      <c r="A12" s="2" t="s">
        <v>183</v>
      </c>
      <c r="B12" s="2">
        <v>26</v>
      </c>
      <c r="M12">
        <v>2</v>
      </c>
    </row>
    <row r="13" spans="1:13" x14ac:dyDescent="0.3">
      <c r="M13">
        <v>3</v>
      </c>
    </row>
    <row r="14" spans="1:13" x14ac:dyDescent="0.3">
      <c r="M14">
        <v>4</v>
      </c>
    </row>
    <row r="15" spans="1:13" x14ac:dyDescent="0.3">
      <c r="M15">
        <v>1</v>
      </c>
    </row>
    <row r="16" spans="1:13" x14ac:dyDescent="0.3">
      <c r="M16">
        <v>4</v>
      </c>
    </row>
    <row r="17" spans="1:13" x14ac:dyDescent="0.3">
      <c r="M17">
        <v>2</v>
      </c>
    </row>
    <row r="18" spans="1:13" x14ac:dyDescent="0.3">
      <c r="M18">
        <v>4</v>
      </c>
    </row>
    <row r="19" spans="1:13" x14ac:dyDescent="0.3">
      <c r="A19" t="s">
        <v>183</v>
      </c>
      <c r="B19">
        <v>26</v>
      </c>
      <c r="M19">
        <v>2</v>
      </c>
    </row>
    <row r="20" spans="1:13" x14ac:dyDescent="0.3">
      <c r="A20" t="s">
        <v>346</v>
      </c>
      <c r="B20">
        <v>14</v>
      </c>
      <c r="M20">
        <v>2</v>
      </c>
    </row>
    <row r="21" spans="1:13" x14ac:dyDescent="0.3">
      <c r="A21" t="s">
        <v>347</v>
      </c>
      <c r="B21">
        <v>154</v>
      </c>
      <c r="M21">
        <v>2</v>
      </c>
    </row>
    <row r="22" spans="1:13" x14ac:dyDescent="0.3">
      <c r="M22">
        <v>11</v>
      </c>
    </row>
    <row r="23" spans="1:13" x14ac:dyDescent="0.3">
      <c r="M23">
        <v>14</v>
      </c>
    </row>
    <row r="24" spans="1:13" x14ac:dyDescent="0.3">
      <c r="M24">
        <v>2</v>
      </c>
    </row>
    <row r="25" spans="1:13" x14ac:dyDescent="0.3">
      <c r="M25">
        <v>28</v>
      </c>
    </row>
    <row r="26" spans="1:13" x14ac:dyDescent="0.3">
      <c r="M26">
        <v>20</v>
      </c>
    </row>
    <row r="27" spans="1:13" x14ac:dyDescent="0.3">
      <c r="M27">
        <v>2</v>
      </c>
    </row>
    <row r="28" spans="1:13" x14ac:dyDescent="0.3">
      <c r="M28">
        <v>4</v>
      </c>
    </row>
    <row r="29" spans="1:13" x14ac:dyDescent="0.3">
      <c r="M29">
        <v>12</v>
      </c>
    </row>
    <row r="30" spans="1:13" x14ac:dyDescent="0.3">
      <c r="M30">
        <v>4</v>
      </c>
    </row>
    <row r="31" spans="1:13" x14ac:dyDescent="0.3">
      <c r="M31">
        <v>3</v>
      </c>
    </row>
    <row r="32" spans="1:13" x14ac:dyDescent="0.3">
      <c r="M32">
        <v>1</v>
      </c>
    </row>
    <row r="33" spans="13:13" x14ac:dyDescent="0.3">
      <c r="M33">
        <v>26</v>
      </c>
    </row>
    <row r="34" spans="13:13" x14ac:dyDescent="0.3">
      <c r="M34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96DB-CEA1-4F1A-834F-9ABE2B4B1DF7}">
  <dimension ref="A1:L19"/>
  <sheetViews>
    <sheetView workbookViewId="0">
      <selection activeCell="G23" sqref="G23"/>
    </sheetView>
  </sheetViews>
  <sheetFormatPr defaultRowHeight="14.4" x14ac:dyDescent="0.3"/>
  <cols>
    <col min="1" max="1" width="10.5546875" bestFit="1" customWidth="1"/>
    <col min="3" max="3" width="32" bestFit="1" customWidth="1"/>
    <col min="5" max="5" width="31.5546875" bestFit="1" customWidth="1"/>
    <col min="6" max="6" width="10" bestFit="1" customWidth="1"/>
    <col min="7" max="7" width="18.88671875" bestFit="1" customWidth="1"/>
    <col min="8" max="8" width="10.21875" bestFit="1" customWidth="1"/>
  </cols>
  <sheetData>
    <row r="1" spans="1:12" x14ac:dyDescent="0.3">
      <c r="C1" s="2" t="s">
        <v>65</v>
      </c>
      <c r="D1" s="2" t="s">
        <v>0</v>
      </c>
      <c r="E1" s="2" t="s">
        <v>252</v>
      </c>
      <c r="F1" s="2" t="s">
        <v>251</v>
      </c>
      <c r="G1" s="2" t="s">
        <v>4</v>
      </c>
      <c r="H1" s="2" t="s">
        <v>255</v>
      </c>
    </row>
    <row r="2" spans="1:12" x14ac:dyDescent="0.3">
      <c r="C2" s="8">
        <v>45759</v>
      </c>
      <c r="D2" s="2">
        <v>30</v>
      </c>
      <c r="E2" s="2" t="s">
        <v>253</v>
      </c>
      <c r="F2" s="2">
        <v>2299</v>
      </c>
      <c r="G2" s="2">
        <f>(D2*F2)</f>
        <v>68970</v>
      </c>
      <c r="H2" s="109">
        <v>95960</v>
      </c>
    </row>
    <row r="3" spans="1:12" x14ac:dyDescent="0.3">
      <c r="B3">
        <v>95960</v>
      </c>
      <c r="C3" s="8">
        <v>45759</v>
      </c>
      <c r="D3" s="2">
        <v>10</v>
      </c>
      <c r="E3" s="2" t="s">
        <v>254</v>
      </c>
      <c r="F3" s="2">
        <v>2699</v>
      </c>
      <c r="G3" s="2">
        <f>(D3*F3)</f>
        <v>26990</v>
      </c>
      <c r="H3" s="109"/>
    </row>
    <row r="4" spans="1:12" x14ac:dyDescent="0.3">
      <c r="B4">
        <v>87231</v>
      </c>
      <c r="C4" s="8">
        <v>45759</v>
      </c>
      <c r="D4" s="2"/>
      <c r="E4" s="2" t="s">
        <v>256</v>
      </c>
      <c r="F4" s="2"/>
      <c r="G4" s="2"/>
      <c r="H4" s="2">
        <v>3000</v>
      </c>
      <c r="L4">
        <v>78865</v>
      </c>
    </row>
    <row r="5" spans="1:12" x14ac:dyDescent="0.3">
      <c r="B5">
        <v>9596</v>
      </c>
      <c r="C5" s="8">
        <v>45759</v>
      </c>
      <c r="D5" s="2"/>
      <c r="E5" s="2" t="s">
        <v>256</v>
      </c>
      <c r="F5" s="2"/>
      <c r="G5" s="2"/>
      <c r="H5" s="2">
        <v>2100</v>
      </c>
    </row>
    <row r="6" spans="1:12" x14ac:dyDescent="0.3">
      <c r="B6">
        <v>890</v>
      </c>
      <c r="C6" s="8">
        <v>45773</v>
      </c>
      <c r="D6" s="2"/>
      <c r="E6" s="2" t="s">
        <v>257</v>
      </c>
      <c r="F6" s="2"/>
      <c r="G6" s="2"/>
      <c r="H6" s="2">
        <v>82131</v>
      </c>
    </row>
    <row r="7" spans="1:12" x14ac:dyDescent="0.3">
      <c r="C7" s="8">
        <v>45759</v>
      </c>
      <c r="D7" s="2"/>
      <c r="E7" s="2" t="s">
        <v>258</v>
      </c>
      <c r="F7" s="2"/>
      <c r="G7" s="2"/>
      <c r="H7" s="2">
        <v>9596</v>
      </c>
    </row>
    <row r="8" spans="1:12" x14ac:dyDescent="0.3">
      <c r="C8" s="8">
        <v>45652</v>
      </c>
      <c r="D8" s="2"/>
      <c r="E8" s="2" t="s">
        <v>259</v>
      </c>
      <c r="F8" s="2"/>
      <c r="G8" s="2"/>
      <c r="H8" s="2">
        <v>890</v>
      </c>
    </row>
    <row r="9" spans="1:12" x14ac:dyDescent="0.3">
      <c r="C9" s="2"/>
      <c r="D9" s="2"/>
      <c r="E9" s="2" t="s">
        <v>260</v>
      </c>
      <c r="F9" s="2"/>
      <c r="G9" s="2"/>
      <c r="H9" s="18">
        <v>157</v>
      </c>
    </row>
    <row r="10" spans="1:12" x14ac:dyDescent="0.3">
      <c r="E10" s="22" t="s">
        <v>290</v>
      </c>
      <c r="F10">
        <v>520</v>
      </c>
      <c r="G10">
        <v>1560</v>
      </c>
      <c r="H10" s="22">
        <v>1560</v>
      </c>
    </row>
    <row r="11" spans="1:12" x14ac:dyDescent="0.3">
      <c r="E11" t="s">
        <v>288</v>
      </c>
    </row>
    <row r="15" spans="1:12" x14ac:dyDescent="0.3">
      <c r="A15" s="8">
        <v>45759</v>
      </c>
      <c r="B15" s="2">
        <v>15</v>
      </c>
      <c r="C15" s="2" t="s">
        <v>113</v>
      </c>
      <c r="D15" s="2" t="s">
        <v>118</v>
      </c>
      <c r="E15" s="3">
        <v>2299</v>
      </c>
      <c r="F15" s="3">
        <f t="shared" ref="F15:F19" si="0">B15*E15</f>
        <v>34485</v>
      </c>
      <c r="G15" s="10" t="s">
        <v>274</v>
      </c>
    </row>
    <row r="16" spans="1:12" x14ac:dyDescent="0.3">
      <c r="A16" s="8">
        <v>45759</v>
      </c>
      <c r="B16" s="2">
        <v>10</v>
      </c>
      <c r="C16" s="2" t="s">
        <v>112</v>
      </c>
      <c r="D16" s="2" t="s">
        <v>118</v>
      </c>
      <c r="E16" s="3">
        <v>2299</v>
      </c>
      <c r="F16" s="3">
        <f t="shared" si="0"/>
        <v>22990</v>
      </c>
      <c r="G16" s="10" t="s">
        <v>24</v>
      </c>
    </row>
    <row r="17" spans="1:7" x14ac:dyDescent="0.3">
      <c r="A17" s="8">
        <v>45759</v>
      </c>
      <c r="B17" s="2">
        <v>5</v>
      </c>
      <c r="C17" s="2" t="s">
        <v>119</v>
      </c>
      <c r="D17" s="2" t="s">
        <v>118</v>
      </c>
      <c r="E17" s="3">
        <v>2299</v>
      </c>
      <c r="F17" s="3">
        <f t="shared" si="0"/>
        <v>11495</v>
      </c>
      <c r="G17" s="10" t="s">
        <v>274</v>
      </c>
    </row>
    <row r="18" spans="1:7" x14ac:dyDescent="0.3">
      <c r="A18" s="8">
        <v>45759</v>
      </c>
      <c r="B18" s="2">
        <v>5</v>
      </c>
      <c r="C18" s="2" t="s">
        <v>121</v>
      </c>
      <c r="D18" s="2" t="s">
        <v>118</v>
      </c>
      <c r="E18" s="3">
        <v>2699</v>
      </c>
      <c r="F18" s="3">
        <f t="shared" si="0"/>
        <v>13495</v>
      </c>
      <c r="G18" s="10" t="s">
        <v>274</v>
      </c>
    </row>
    <row r="19" spans="1:7" x14ac:dyDescent="0.3">
      <c r="A19" s="8">
        <v>45759</v>
      </c>
      <c r="B19" s="2">
        <v>5</v>
      </c>
      <c r="C19" s="2" t="s">
        <v>158</v>
      </c>
      <c r="D19" s="2" t="s">
        <v>118</v>
      </c>
      <c r="E19" s="3">
        <v>2699</v>
      </c>
      <c r="F19" s="3">
        <f t="shared" si="0"/>
        <v>13495</v>
      </c>
      <c r="G19" s="10" t="s">
        <v>275</v>
      </c>
    </row>
  </sheetData>
  <mergeCells count="1">
    <mergeCell ref="H2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03F0-F7B2-4D3F-BA2B-165AC3C50A32}">
  <dimension ref="A1:M21"/>
  <sheetViews>
    <sheetView workbookViewId="0">
      <selection activeCell="F22" sqref="F22"/>
    </sheetView>
  </sheetViews>
  <sheetFormatPr defaultRowHeight="14.4" x14ac:dyDescent="0.3"/>
  <cols>
    <col min="1" max="1" width="10.5546875" bestFit="1" customWidth="1"/>
    <col min="3" max="3" width="20" bestFit="1" customWidth="1"/>
    <col min="4" max="4" width="22.77734375" bestFit="1" customWidth="1"/>
    <col min="6" max="6" width="10" bestFit="1" customWidth="1"/>
    <col min="7" max="7" width="16.109375" bestFit="1" customWidth="1"/>
    <col min="8" max="8" width="13.77734375" bestFit="1" customWidth="1"/>
    <col min="12" max="12" width="24.109375" bestFit="1" customWidth="1"/>
    <col min="13" max="13" width="11.5546875" bestFit="1" customWidth="1"/>
  </cols>
  <sheetData>
    <row r="1" spans="1:13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L1" s="13" t="s">
        <v>78</v>
      </c>
      <c r="M1" t="s">
        <v>650</v>
      </c>
    </row>
    <row r="2" spans="1:13" x14ac:dyDescent="0.3">
      <c r="A2" s="34">
        <v>45830</v>
      </c>
      <c r="B2" s="35">
        <v>6</v>
      </c>
      <c r="C2" s="35" t="s">
        <v>352</v>
      </c>
      <c r="D2" s="35" t="s">
        <v>118</v>
      </c>
      <c r="E2" s="36">
        <v>3750</v>
      </c>
      <c r="F2" s="36">
        <f t="shared" ref="F2:F4" si="0">(B2*E2)</f>
        <v>22500</v>
      </c>
      <c r="G2" s="35" t="s">
        <v>8</v>
      </c>
      <c r="H2" s="34">
        <v>45834</v>
      </c>
      <c r="I2" t="s">
        <v>415</v>
      </c>
      <c r="L2" s="14">
        <v>3</v>
      </c>
      <c r="M2">
        <v>2885</v>
      </c>
    </row>
    <row r="3" spans="1:13" x14ac:dyDescent="0.3">
      <c r="A3" s="34">
        <v>45830</v>
      </c>
      <c r="B3" s="35">
        <v>8</v>
      </c>
      <c r="C3" s="35" t="s">
        <v>351</v>
      </c>
      <c r="D3" s="35" t="s">
        <v>118</v>
      </c>
      <c r="E3" s="36">
        <v>2885</v>
      </c>
      <c r="F3" s="36">
        <f t="shared" si="0"/>
        <v>23080</v>
      </c>
      <c r="G3" s="35" t="s">
        <v>8</v>
      </c>
      <c r="H3" s="34">
        <v>45834</v>
      </c>
      <c r="I3" t="s">
        <v>415</v>
      </c>
      <c r="L3" s="74" t="s">
        <v>351</v>
      </c>
      <c r="M3">
        <v>2885</v>
      </c>
    </row>
    <row r="4" spans="1:13" x14ac:dyDescent="0.3">
      <c r="A4" s="34">
        <v>45860</v>
      </c>
      <c r="B4" s="35">
        <v>3</v>
      </c>
      <c r="C4" s="35" t="s">
        <v>351</v>
      </c>
      <c r="D4" s="35" t="s">
        <v>118</v>
      </c>
      <c r="E4" s="36">
        <v>2885</v>
      </c>
      <c r="F4" s="36">
        <f t="shared" si="0"/>
        <v>8655</v>
      </c>
      <c r="G4" s="35" t="s">
        <v>8</v>
      </c>
      <c r="L4" s="14">
        <v>5</v>
      </c>
      <c r="M4">
        <v>274</v>
      </c>
    </row>
    <row r="5" spans="1:13" x14ac:dyDescent="0.3">
      <c r="A5" s="8">
        <v>45885</v>
      </c>
      <c r="B5" s="2">
        <v>5</v>
      </c>
      <c r="C5" s="2" t="s">
        <v>295</v>
      </c>
      <c r="D5" s="2" t="s">
        <v>118</v>
      </c>
      <c r="E5" s="3">
        <v>274</v>
      </c>
      <c r="F5" s="3">
        <f>B5*E5</f>
        <v>1370</v>
      </c>
      <c r="G5" s="2" t="s">
        <v>24</v>
      </c>
      <c r="H5" s="2"/>
      <c r="L5" s="74" t="s">
        <v>295</v>
      </c>
      <c r="M5">
        <v>274</v>
      </c>
    </row>
    <row r="6" spans="1:13" x14ac:dyDescent="0.3">
      <c r="A6" s="8">
        <v>45885</v>
      </c>
      <c r="B6" s="35">
        <v>8</v>
      </c>
      <c r="C6" s="35" t="s">
        <v>508</v>
      </c>
      <c r="D6" s="35" t="s">
        <v>118</v>
      </c>
      <c r="E6" s="36">
        <v>3750</v>
      </c>
      <c r="F6" s="36">
        <f>B6*E6</f>
        <v>30000</v>
      </c>
      <c r="G6" s="35" t="s">
        <v>8</v>
      </c>
      <c r="H6" s="2" t="s">
        <v>517</v>
      </c>
      <c r="L6" s="14">
        <v>6</v>
      </c>
      <c r="M6">
        <v>3750</v>
      </c>
    </row>
    <row r="7" spans="1:13" x14ac:dyDescent="0.3">
      <c r="L7" s="74" t="s">
        <v>352</v>
      </c>
      <c r="M7">
        <v>3750</v>
      </c>
    </row>
    <row r="8" spans="1:13" x14ac:dyDescent="0.3">
      <c r="L8" s="14">
        <v>8</v>
      </c>
      <c r="M8">
        <v>6635</v>
      </c>
    </row>
    <row r="9" spans="1:13" x14ac:dyDescent="0.3">
      <c r="L9" s="74" t="s">
        <v>508</v>
      </c>
      <c r="M9">
        <v>3750</v>
      </c>
    </row>
    <row r="10" spans="1:13" x14ac:dyDescent="0.3">
      <c r="L10" s="74" t="s">
        <v>351</v>
      </c>
      <c r="M10">
        <v>2885</v>
      </c>
    </row>
    <row r="11" spans="1:13" x14ac:dyDescent="0.3">
      <c r="L11" s="14" t="s">
        <v>80</v>
      </c>
      <c r="M11">
        <v>13544</v>
      </c>
    </row>
    <row r="16" spans="1:13" x14ac:dyDescent="0.3">
      <c r="F16">
        <v>84235</v>
      </c>
    </row>
    <row r="17" spans="6:6" x14ac:dyDescent="0.3">
      <c r="F17">
        <f>F16*10%</f>
        <v>8423.5</v>
      </c>
    </row>
    <row r="18" spans="6:6" x14ac:dyDescent="0.3">
      <c r="F18">
        <v>9000</v>
      </c>
    </row>
    <row r="19" spans="6:6" x14ac:dyDescent="0.3">
      <c r="F19">
        <f>F17+F18</f>
        <v>17423.5</v>
      </c>
    </row>
    <row r="20" spans="6:6" x14ac:dyDescent="0.3">
      <c r="F20">
        <v>6000</v>
      </c>
    </row>
    <row r="21" spans="6:6" x14ac:dyDescent="0.3">
      <c r="F21">
        <f>F19+F20</f>
        <v>23423.5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D018-7B12-4043-8BEC-1C9924762218}">
  <dimension ref="B1:G11"/>
  <sheetViews>
    <sheetView workbookViewId="0">
      <selection activeCell="B1" sqref="B1:C10"/>
    </sheetView>
  </sheetViews>
  <sheetFormatPr defaultRowHeight="14.4" x14ac:dyDescent="0.3"/>
  <cols>
    <col min="2" max="2" width="32.77734375" bestFit="1" customWidth="1"/>
  </cols>
  <sheetData>
    <row r="1" spans="2:7" x14ac:dyDescent="0.3">
      <c r="B1" s="44" t="s">
        <v>662</v>
      </c>
      <c r="C1" s="44" t="s">
        <v>0</v>
      </c>
    </row>
    <row r="2" spans="2:7" x14ac:dyDescent="0.3">
      <c r="B2" s="2" t="s">
        <v>658</v>
      </c>
      <c r="C2" s="2">
        <v>5</v>
      </c>
      <c r="D2">
        <v>4400</v>
      </c>
      <c r="E2">
        <f>C2*D2</f>
        <v>22000</v>
      </c>
      <c r="F2">
        <v>3000</v>
      </c>
      <c r="G2">
        <f>F2*C2</f>
        <v>15000</v>
      </c>
    </row>
    <row r="3" spans="2:7" x14ac:dyDescent="0.3">
      <c r="B3" s="2" t="s">
        <v>659</v>
      </c>
      <c r="C3" s="2">
        <v>13</v>
      </c>
      <c r="D3">
        <v>3370</v>
      </c>
      <c r="E3">
        <f t="shared" ref="E3:E10" si="0">C3*D3</f>
        <v>43810</v>
      </c>
      <c r="F3">
        <v>1000</v>
      </c>
      <c r="G3">
        <f t="shared" ref="G3:G10" si="1">F3*C3</f>
        <v>13000</v>
      </c>
    </row>
    <row r="4" spans="2:7" x14ac:dyDescent="0.3">
      <c r="B4" s="2" t="s">
        <v>660</v>
      </c>
      <c r="C4" s="2">
        <v>13</v>
      </c>
      <c r="D4">
        <v>1400</v>
      </c>
      <c r="E4">
        <f t="shared" si="0"/>
        <v>18200</v>
      </c>
      <c r="F4">
        <v>350</v>
      </c>
      <c r="G4">
        <f t="shared" si="1"/>
        <v>4550</v>
      </c>
    </row>
    <row r="5" spans="2:7" x14ac:dyDescent="0.3">
      <c r="B5" s="2" t="s">
        <v>661</v>
      </c>
      <c r="C5" s="2">
        <v>10</v>
      </c>
      <c r="D5">
        <v>410</v>
      </c>
      <c r="E5">
        <f t="shared" si="0"/>
        <v>4100</v>
      </c>
      <c r="F5">
        <v>100</v>
      </c>
      <c r="G5">
        <f t="shared" si="1"/>
        <v>1000</v>
      </c>
    </row>
    <row r="6" spans="2:7" x14ac:dyDescent="0.3">
      <c r="B6" s="2" t="s">
        <v>651</v>
      </c>
      <c r="C6" s="2">
        <v>24</v>
      </c>
      <c r="D6">
        <v>150</v>
      </c>
      <c r="E6">
        <f t="shared" si="0"/>
        <v>3600</v>
      </c>
      <c r="F6">
        <v>10</v>
      </c>
      <c r="G6">
        <f t="shared" si="1"/>
        <v>240</v>
      </c>
    </row>
    <row r="7" spans="2:7" x14ac:dyDescent="0.3">
      <c r="B7" s="2" t="s">
        <v>652</v>
      </c>
      <c r="C7" s="2">
        <v>2</v>
      </c>
      <c r="D7">
        <v>88</v>
      </c>
      <c r="E7">
        <f t="shared" si="0"/>
        <v>176</v>
      </c>
      <c r="F7">
        <v>10</v>
      </c>
      <c r="G7">
        <f t="shared" si="1"/>
        <v>20</v>
      </c>
    </row>
    <row r="8" spans="2:7" x14ac:dyDescent="0.3">
      <c r="B8" s="2" t="s">
        <v>587</v>
      </c>
      <c r="C8" s="10">
        <v>25</v>
      </c>
      <c r="D8">
        <v>1063</v>
      </c>
      <c r="E8">
        <f t="shared" si="0"/>
        <v>26575</v>
      </c>
      <c r="F8">
        <v>300</v>
      </c>
      <c r="G8">
        <f t="shared" si="1"/>
        <v>7500</v>
      </c>
    </row>
    <row r="9" spans="2:7" x14ac:dyDescent="0.3">
      <c r="B9" s="2" t="s">
        <v>646</v>
      </c>
      <c r="C9" s="2">
        <v>5</v>
      </c>
      <c r="D9">
        <v>840</v>
      </c>
      <c r="E9">
        <f t="shared" si="0"/>
        <v>4200</v>
      </c>
      <c r="F9">
        <v>50</v>
      </c>
      <c r="G9">
        <f t="shared" si="1"/>
        <v>250</v>
      </c>
    </row>
    <row r="10" spans="2:7" x14ac:dyDescent="0.3">
      <c r="B10" s="2" t="s">
        <v>657</v>
      </c>
      <c r="C10" s="2">
        <v>1</v>
      </c>
      <c r="D10">
        <v>2885</v>
      </c>
      <c r="E10">
        <f t="shared" si="0"/>
        <v>2885</v>
      </c>
      <c r="F10">
        <v>700</v>
      </c>
      <c r="G10">
        <f t="shared" si="1"/>
        <v>700</v>
      </c>
    </row>
    <row r="11" spans="2:7" x14ac:dyDescent="0.3">
      <c r="E11">
        <f>SUM(E2:E10)</f>
        <v>125546</v>
      </c>
      <c r="G11">
        <f>SUM(G2:G10)</f>
        <v>42260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F591-BE75-4ECD-9580-82F76D615CAC}">
  <dimension ref="A1:F44"/>
  <sheetViews>
    <sheetView topLeftCell="A19" workbookViewId="0">
      <selection activeCell="E37" sqref="E37"/>
    </sheetView>
  </sheetViews>
  <sheetFormatPr defaultRowHeight="14.4" x14ac:dyDescent="0.3"/>
  <cols>
    <col min="1" max="1" width="20" bestFit="1" customWidth="1"/>
    <col min="2" max="2" width="25.6640625" bestFit="1" customWidth="1"/>
    <col min="5" max="5" width="24.77734375" bestFit="1" customWidth="1"/>
    <col min="6" max="6" width="10.44140625" bestFit="1" customWidth="1"/>
  </cols>
  <sheetData>
    <row r="1" spans="1:6" x14ac:dyDescent="0.3">
      <c r="A1" t="s">
        <v>0</v>
      </c>
      <c r="B1" t="s">
        <v>159</v>
      </c>
      <c r="E1" s="13" t="s">
        <v>1</v>
      </c>
      <c r="F1" t="s">
        <v>81</v>
      </c>
    </row>
    <row r="2" spans="1:6" x14ac:dyDescent="0.3">
      <c r="A2">
        <v>4</v>
      </c>
      <c r="B2" t="s">
        <v>160</v>
      </c>
      <c r="C2">
        <v>1</v>
      </c>
      <c r="E2" s="14" t="s">
        <v>168</v>
      </c>
      <c r="F2">
        <v>40</v>
      </c>
    </row>
    <row r="3" spans="1:6" x14ac:dyDescent="0.3">
      <c r="A3">
        <v>2</v>
      </c>
      <c r="B3" t="s">
        <v>161</v>
      </c>
      <c r="C3">
        <v>1</v>
      </c>
      <c r="E3" s="14" t="s">
        <v>164</v>
      </c>
      <c r="F3">
        <v>4</v>
      </c>
    </row>
    <row r="4" spans="1:6" x14ac:dyDescent="0.3">
      <c r="A4">
        <v>4</v>
      </c>
      <c r="B4" t="s">
        <v>162</v>
      </c>
      <c r="C4">
        <v>1</v>
      </c>
      <c r="E4" s="14" t="s">
        <v>178</v>
      </c>
      <c r="F4">
        <v>1</v>
      </c>
    </row>
    <row r="5" spans="1:6" x14ac:dyDescent="0.3">
      <c r="A5">
        <v>2</v>
      </c>
      <c r="B5" t="s">
        <v>161</v>
      </c>
      <c r="C5">
        <v>2</v>
      </c>
      <c r="E5" s="14" t="s">
        <v>167</v>
      </c>
      <c r="F5">
        <v>7</v>
      </c>
    </row>
    <row r="6" spans="1:6" x14ac:dyDescent="0.3">
      <c r="A6">
        <v>2</v>
      </c>
      <c r="B6" t="s">
        <v>163</v>
      </c>
      <c r="C6">
        <v>2</v>
      </c>
      <c r="E6" s="14" t="s">
        <v>162</v>
      </c>
      <c r="F6">
        <v>6</v>
      </c>
    </row>
    <row r="7" spans="1:6" x14ac:dyDescent="0.3">
      <c r="A7">
        <v>2</v>
      </c>
      <c r="B7" t="s">
        <v>164</v>
      </c>
      <c r="C7">
        <v>2</v>
      </c>
      <c r="E7" s="14" t="s">
        <v>170</v>
      </c>
      <c r="F7">
        <v>8</v>
      </c>
    </row>
    <row r="8" spans="1:6" x14ac:dyDescent="0.3">
      <c r="A8">
        <v>9</v>
      </c>
      <c r="B8" t="s">
        <v>165</v>
      </c>
      <c r="C8">
        <v>2</v>
      </c>
      <c r="E8" s="14" t="s">
        <v>180</v>
      </c>
      <c r="F8">
        <v>1</v>
      </c>
    </row>
    <row r="9" spans="1:6" x14ac:dyDescent="0.3">
      <c r="A9">
        <v>2</v>
      </c>
      <c r="B9" t="s">
        <v>166</v>
      </c>
      <c r="C9">
        <v>2</v>
      </c>
      <c r="E9" s="14" t="s">
        <v>160</v>
      </c>
      <c r="F9">
        <v>11</v>
      </c>
    </row>
    <row r="10" spans="1:6" x14ac:dyDescent="0.3">
      <c r="A10">
        <v>2</v>
      </c>
      <c r="B10" t="s">
        <v>162</v>
      </c>
      <c r="C10">
        <v>2</v>
      </c>
      <c r="E10" s="14" t="s">
        <v>161</v>
      </c>
      <c r="F10">
        <v>5</v>
      </c>
    </row>
    <row r="11" spans="1:6" x14ac:dyDescent="0.3">
      <c r="A11">
        <v>7</v>
      </c>
      <c r="B11" t="s">
        <v>168</v>
      </c>
      <c r="C11">
        <v>3</v>
      </c>
      <c r="E11" s="14" t="s">
        <v>179</v>
      </c>
      <c r="F11">
        <v>1</v>
      </c>
    </row>
    <row r="12" spans="1:6" x14ac:dyDescent="0.3">
      <c r="A12">
        <v>27</v>
      </c>
      <c r="B12" t="s">
        <v>169</v>
      </c>
      <c r="C12">
        <v>3</v>
      </c>
      <c r="E12" s="14" t="s">
        <v>172</v>
      </c>
      <c r="F12">
        <v>3</v>
      </c>
    </row>
    <row r="13" spans="1:6" x14ac:dyDescent="0.3">
      <c r="A13">
        <v>2</v>
      </c>
      <c r="B13" t="s">
        <v>167</v>
      </c>
      <c r="C13">
        <v>4</v>
      </c>
      <c r="E13" s="14" t="s">
        <v>176</v>
      </c>
      <c r="F13">
        <v>2</v>
      </c>
    </row>
    <row r="14" spans="1:6" x14ac:dyDescent="0.3">
      <c r="A14">
        <v>8</v>
      </c>
      <c r="B14" t="s">
        <v>170</v>
      </c>
      <c r="C14">
        <v>4</v>
      </c>
      <c r="E14" s="14" t="s">
        <v>174</v>
      </c>
      <c r="F14">
        <v>5</v>
      </c>
    </row>
    <row r="15" spans="1:6" x14ac:dyDescent="0.3">
      <c r="A15">
        <v>7</v>
      </c>
      <c r="B15" t="s">
        <v>165</v>
      </c>
      <c r="C15">
        <v>4</v>
      </c>
      <c r="E15" s="14" t="s">
        <v>182</v>
      </c>
      <c r="F15">
        <v>6</v>
      </c>
    </row>
    <row r="16" spans="1:6" x14ac:dyDescent="0.3">
      <c r="A16">
        <v>4</v>
      </c>
      <c r="B16" t="s">
        <v>169</v>
      </c>
      <c r="C16">
        <v>4</v>
      </c>
      <c r="E16" s="14" t="s">
        <v>187</v>
      </c>
      <c r="F16">
        <v>5</v>
      </c>
    </row>
    <row r="17" spans="1:6" x14ac:dyDescent="0.3">
      <c r="A17">
        <v>1</v>
      </c>
      <c r="B17" t="s">
        <v>168</v>
      </c>
      <c r="C17">
        <v>4</v>
      </c>
      <c r="E17" s="14" t="s">
        <v>177</v>
      </c>
      <c r="F17">
        <v>1</v>
      </c>
    </row>
    <row r="18" spans="1:6" x14ac:dyDescent="0.3">
      <c r="A18">
        <v>5</v>
      </c>
      <c r="B18" t="s">
        <v>187</v>
      </c>
      <c r="C18">
        <v>5</v>
      </c>
      <c r="E18" s="14" t="s">
        <v>165</v>
      </c>
      <c r="F18">
        <v>16</v>
      </c>
    </row>
    <row r="19" spans="1:6" x14ac:dyDescent="0.3">
      <c r="A19">
        <v>2</v>
      </c>
      <c r="B19" t="s">
        <v>164</v>
      </c>
      <c r="C19">
        <v>5</v>
      </c>
      <c r="E19" s="14" t="s">
        <v>166</v>
      </c>
      <c r="F19">
        <v>5</v>
      </c>
    </row>
    <row r="20" spans="1:6" x14ac:dyDescent="0.3">
      <c r="A20">
        <v>4</v>
      </c>
      <c r="B20" t="s">
        <v>171</v>
      </c>
      <c r="C20">
        <v>5</v>
      </c>
      <c r="E20" s="14" t="s">
        <v>173</v>
      </c>
      <c r="F20">
        <v>1</v>
      </c>
    </row>
    <row r="21" spans="1:6" x14ac:dyDescent="0.3">
      <c r="A21">
        <v>30</v>
      </c>
      <c r="B21" t="s">
        <v>168</v>
      </c>
      <c r="C21">
        <v>5</v>
      </c>
      <c r="E21" s="14" t="s">
        <v>169</v>
      </c>
      <c r="F21">
        <v>31</v>
      </c>
    </row>
    <row r="22" spans="1:6" x14ac:dyDescent="0.3">
      <c r="A22">
        <v>2</v>
      </c>
      <c r="B22" t="s">
        <v>186</v>
      </c>
      <c r="C22">
        <v>5</v>
      </c>
      <c r="E22" s="14" t="s">
        <v>175</v>
      </c>
      <c r="F22">
        <v>1</v>
      </c>
    </row>
    <row r="23" spans="1:6" x14ac:dyDescent="0.3">
      <c r="A23">
        <v>2</v>
      </c>
      <c r="B23" t="s">
        <v>172</v>
      </c>
      <c r="C23">
        <v>6</v>
      </c>
      <c r="E23" s="14" t="s">
        <v>163</v>
      </c>
      <c r="F23">
        <v>2</v>
      </c>
    </row>
    <row r="24" spans="1:6" x14ac:dyDescent="0.3">
      <c r="A24">
        <v>1</v>
      </c>
      <c r="B24" t="s">
        <v>161</v>
      </c>
      <c r="C24">
        <v>6</v>
      </c>
      <c r="E24" s="14" t="s">
        <v>183</v>
      </c>
      <c r="F24">
        <v>57</v>
      </c>
    </row>
    <row r="25" spans="1:6" x14ac:dyDescent="0.3">
      <c r="A25">
        <v>1</v>
      </c>
      <c r="B25" t="s">
        <v>166</v>
      </c>
      <c r="C25">
        <v>6</v>
      </c>
      <c r="E25" s="14" t="s">
        <v>80</v>
      </c>
      <c r="F25">
        <v>219</v>
      </c>
    </row>
    <row r="26" spans="1:6" x14ac:dyDescent="0.3">
      <c r="A26">
        <v>1</v>
      </c>
      <c r="B26" t="s">
        <v>171</v>
      </c>
      <c r="C26">
        <v>6</v>
      </c>
    </row>
    <row r="27" spans="1:6" x14ac:dyDescent="0.3">
      <c r="A27">
        <v>1</v>
      </c>
      <c r="B27" t="s">
        <v>173</v>
      </c>
      <c r="C27">
        <v>6</v>
      </c>
    </row>
    <row r="28" spans="1:6" x14ac:dyDescent="0.3">
      <c r="A28">
        <v>2</v>
      </c>
      <c r="B28" t="s">
        <v>174</v>
      </c>
      <c r="C28">
        <v>7</v>
      </c>
    </row>
    <row r="29" spans="1:6" x14ac:dyDescent="0.3">
      <c r="A29">
        <v>1</v>
      </c>
      <c r="B29" t="s">
        <v>175</v>
      </c>
      <c r="C29">
        <v>7</v>
      </c>
    </row>
    <row r="30" spans="1:6" x14ac:dyDescent="0.3">
      <c r="A30">
        <v>2</v>
      </c>
      <c r="B30" t="s">
        <v>176</v>
      </c>
      <c r="C30">
        <v>8</v>
      </c>
    </row>
    <row r="31" spans="1:6" x14ac:dyDescent="0.3">
      <c r="A31">
        <v>3</v>
      </c>
      <c r="B31" t="s">
        <v>174</v>
      </c>
      <c r="C31">
        <v>8</v>
      </c>
    </row>
    <row r="32" spans="1:6" x14ac:dyDescent="0.3">
      <c r="A32">
        <v>1</v>
      </c>
      <c r="B32" t="s">
        <v>177</v>
      </c>
      <c r="C32">
        <v>8</v>
      </c>
    </row>
    <row r="33" spans="1:3" x14ac:dyDescent="0.3">
      <c r="A33">
        <v>2</v>
      </c>
      <c r="B33" t="s">
        <v>168</v>
      </c>
      <c r="C33">
        <v>8</v>
      </c>
    </row>
    <row r="34" spans="1:3" x14ac:dyDescent="0.3">
      <c r="A34">
        <v>5</v>
      </c>
      <c r="B34" t="s">
        <v>160</v>
      </c>
      <c r="C34">
        <v>9</v>
      </c>
    </row>
    <row r="35" spans="1:3" x14ac:dyDescent="0.3">
      <c r="A35">
        <v>1</v>
      </c>
      <c r="B35" t="s">
        <v>178</v>
      </c>
      <c r="C35">
        <v>9</v>
      </c>
    </row>
    <row r="36" spans="1:3" x14ac:dyDescent="0.3">
      <c r="A36">
        <v>1</v>
      </c>
      <c r="B36" t="s">
        <v>179</v>
      </c>
      <c r="C36">
        <v>10</v>
      </c>
    </row>
    <row r="37" spans="1:3" x14ac:dyDescent="0.3">
      <c r="A37">
        <v>1</v>
      </c>
      <c r="B37" t="s">
        <v>172</v>
      </c>
      <c r="C37">
        <v>10</v>
      </c>
    </row>
    <row r="38" spans="1:3" x14ac:dyDescent="0.3">
      <c r="A38">
        <v>1</v>
      </c>
      <c r="B38" t="s">
        <v>180</v>
      </c>
      <c r="C38">
        <v>10</v>
      </c>
    </row>
    <row r="39" spans="1:3" x14ac:dyDescent="0.3">
      <c r="A39">
        <v>2</v>
      </c>
      <c r="B39" t="s">
        <v>160</v>
      </c>
      <c r="C39" t="s">
        <v>181</v>
      </c>
    </row>
    <row r="40" spans="1:3" x14ac:dyDescent="0.3">
      <c r="A40">
        <v>6</v>
      </c>
      <c r="B40" t="s">
        <v>182</v>
      </c>
      <c r="C40">
        <v>11</v>
      </c>
    </row>
    <row r="41" spans="1:3" x14ac:dyDescent="0.3">
      <c r="A41">
        <v>33</v>
      </c>
      <c r="B41" t="s">
        <v>183</v>
      </c>
      <c r="C41" t="s">
        <v>185</v>
      </c>
    </row>
    <row r="42" spans="1:3" x14ac:dyDescent="0.3">
      <c r="A42">
        <v>6</v>
      </c>
      <c r="B42" t="s">
        <v>183</v>
      </c>
      <c r="C42" t="s">
        <v>184</v>
      </c>
    </row>
    <row r="43" spans="1:3" x14ac:dyDescent="0.3">
      <c r="A43">
        <v>8</v>
      </c>
      <c r="B43" t="s">
        <v>183</v>
      </c>
    </row>
    <row r="44" spans="1:3" x14ac:dyDescent="0.3">
      <c r="A44">
        <v>10</v>
      </c>
      <c r="B44" t="s">
        <v>183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CF8A-1783-48C5-B2D0-3C476830C2F6}">
  <dimension ref="A1:N39"/>
  <sheetViews>
    <sheetView topLeftCell="A19" zoomScale="102" workbookViewId="0">
      <selection activeCell="E24" sqref="E24"/>
    </sheetView>
  </sheetViews>
  <sheetFormatPr defaultRowHeight="14.4" x14ac:dyDescent="0.3"/>
  <cols>
    <col min="2" max="2" width="24.77734375" bestFit="1" customWidth="1"/>
    <col min="8" max="8" width="24.77734375" bestFit="1" customWidth="1"/>
    <col min="9" max="9" width="10" bestFit="1" customWidth="1"/>
    <col min="10" max="10" width="10" customWidth="1"/>
  </cols>
  <sheetData>
    <row r="1" spans="1:14" x14ac:dyDescent="0.3">
      <c r="A1" t="s">
        <v>0</v>
      </c>
      <c r="B1" t="s">
        <v>159</v>
      </c>
      <c r="C1" t="s">
        <v>261</v>
      </c>
      <c r="H1" s="27" t="s">
        <v>78</v>
      </c>
      <c r="I1" s="28" t="s">
        <v>81</v>
      </c>
    </row>
    <row r="2" spans="1:14" x14ac:dyDescent="0.3">
      <c r="A2">
        <v>7</v>
      </c>
      <c r="B2" t="s">
        <v>160</v>
      </c>
      <c r="C2">
        <v>1</v>
      </c>
      <c r="H2" s="29" t="s">
        <v>225</v>
      </c>
      <c r="I2" s="28">
        <v>5</v>
      </c>
      <c r="J2" s="28">
        <v>5</v>
      </c>
      <c r="K2">
        <v>255</v>
      </c>
      <c r="L2">
        <f>(J2*K2)</f>
        <v>1275</v>
      </c>
      <c r="M2">
        <v>20</v>
      </c>
      <c r="N2">
        <f>(M2*J2)</f>
        <v>100</v>
      </c>
    </row>
    <row r="3" spans="1:14" x14ac:dyDescent="0.3">
      <c r="A3">
        <v>12</v>
      </c>
      <c r="B3" t="s">
        <v>168</v>
      </c>
      <c r="C3">
        <v>1</v>
      </c>
      <c r="H3" s="30" t="s">
        <v>267</v>
      </c>
      <c r="I3" s="31">
        <v>18</v>
      </c>
      <c r="J3" s="31">
        <v>18</v>
      </c>
      <c r="K3">
        <v>98</v>
      </c>
      <c r="L3">
        <f t="shared" ref="L3:L23" si="0">(J3*K3)</f>
        <v>1764</v>
      </c>
      <c r="M3">
        <v>40</v>
      </c>
      <c r="N3">
        <f t="shared" ref="N3:N23" si="1">(M3*J3)</f>
        <v>720</v>
      </c>
    </row>
    <row r="4" spans="1:14" x14ac:dyDescent="0.3">
      <c r="A4">
        <v>7</v>
      </c>
      <c r="B4" t="s">
        <v>160</v>
      </c>
      <c r="C4">
        <v>2</v>
      </c>
      <c r="H4" s="30" t="s">
        <v>168</v>
      </c>
      <c r="I4" s="31">
        <v>30</v>
      </c>
      <c r="J4" s="31">
        <v>30</v>
      </c>
      <c r="K4">
        <v>60</v>
      </c>
      <c r="L4">
        <f t="shared" si="0"/>
        <v>1800</v>
      </c>
      <c r="M4">
        <v>30</v>
      </c>
      <c r="N4">
        <f t="shared" si="1"/>
        <v>900</v>
      </c>
    </row>
    <row r="5" spans="1:14" x14ac:dyDescent="0.3">
      <c r="A5">
        <v>1</v>
      </c>
      <c r="B5" t="s">
        <v>262</v>
      </c>
      <c r="C5">
        <v>2</v>
      </c>
      <c r="H5" s="30" t="s">
        <v>265</v>
      </c>
      <c r="I5" s="31">
        <v>15</v>
      </c>
      <c r="J5" s="31">
        <v>15</v>
      </c>
      <c r="K5">
        <v>2560</v>
      </c>
      <c r="L5">
        <f t="shared" si="0"/>
        <v>38400</v>
      </c>
      <c r="M5">
        <v>1500</v>
      </c>
      <c r="N5">
        <f t="shared" si="1"/>
        <v>22500</v>
      </c>
    </row>
    <row r="6" spans="1:14" x14ac:dyDescent="0.3">
      <c r="A6">
        <v>6</v>
      </c>
      <c r="B6" t="s">
        <v>160</v>
      </c>
      <c r="C6">
        <v>3</v>
      </c>
      <c r="H6" s="30" t="s">
        <v>264</v>
      </c>
      <c r="I6" s="31">
        <v>11</v>
      </c>
      <c r="J6" s="31">
        <v>11</v>
      </c>
      <c r="K6">
        <v>3650</v>
      </c>
      <c r="L6">
        <f t="shared" si="0"/>
        <v>40150</v>
      </c>
      <c r="M6">
        <v>1775</v>
      </c>
      <c r="N6">
        <f t="shared" si="1"/>
        <v>19525</v>
      </c>
    </row>
    <row r="7" spans="1:14" x14ac:dyDescent="0.3">
      <c r="A7">
        <v>2</v>
      </c>
      <c r="B7" t="s">
        <v>262</v>
      </c>
      <c r="C7">
        <v>3</v>
      </c>
      <c r="H7" s="30" t="s">
        <v>263</v>
      </c>
      <c r="I7" s="31">
        <v>6</v>
      </c>
      <c r="J7" s="31">
        <v>6</v>
      </c>
      <c r="K7">
        <v>230</v>
      </c>
      <c r="L7">
        <f t="shared" si="0"/>
        <v>1380</v>
      </c>
      <c r="M7">
        <v>80</v>
      </c>
      <c r="N7">
        <f t="shared" si="1"/>
        <v>480</v>
      </c>
    </row>
    <row r="8" spans="1:14" x14ac:dyDescent="0.3">
      <c r="A8">
        <v>2</v>
      </c>
      <c r="B8" t="s">
        <v>263</v>
      </c>
      <c r="C8">
        <v>3</v>
      </c>
      <c r="H8" s="30" t="s">
        <v>271</v>
      </c>
      <c r="I8" s="31"/>
      <c r="J8" s="31"/>
      <c r="L8">
        <f t="shared" si="0"/>
        <v>0</v>
      </c>
      <c r="N8">
        <f t="shared" si="1"/>
        <v>0</v>
      </c>
    </row>
    <row r="9" spans="1:14" x14ac:dyDescent="0.3">
      <c r="A9">
        <v>6</v>
      </c>
      <c r="B9" t="s">
        <v>160</v>
      </c>
      <c r="C9">
        <v>4</v>
      </c>
      <c r="H9" s="30" t="s">
        <v>170</v>
      </c>
      <c r="I9" s="31">
        <v>2</v>
      </c>
      <c r="J9" s="31">
        <v>2</v>
      </c>
      <c r="K9">
        <v>400</v>
      </c>
      <c r="L9">
        <f t="shared" si="0"/>
        <v>800</v>
      </c>
      <c r="M9">
        <v>80</v>
      </c>
      <c r="N9">
        <f t="shared" si="1"/>
        <v>160</v>
      </c>
    </row>
    <row r="10" spans="1:14" x14ac:dyDescent="0.3">
      <c r="A10">
        <v>3</v>
      </c>
      <c r="B10" t="s">
        <v>264</v>
      </c>
      <c r="C10">
        <v>4</v>
      </c>
      <c r="H10" s="30" t="s">
        <v>160</v>
      </c>
      <c r="I10" s="31">
        <v>39</v>
      </c>
      <c r="J10" s="31">
        <v>39</v>
      </c>
      <c r="K10">
        <v>2299</v>
      </c>
      <c r="L10">
        <f t="shared" si="0"/>
        <v>89661</v>
      </c>
      <c r="M10">
        <v>428</v>
      </c>
      <c r="N10">
        <f t="shared" si="1"/>
        <v>16692</v>
      </c>
    </row>
    <row r="11" spans="1:14" x14ac:dyDescent="0.3">
      <c r="A11">
        <v>9</v>
      </c>
      <c r="B11" t="s">
        <v>160</v>
      </c>
      <c r="C11">
        <v>5</v>
      </c>
      <c r="H11" s="30" t="s">
        <v>161</v>
      </c>
      <c r="I11" s="31">
        <v>15</v>
      </c>
      <c r="J11" s="31">
        <v>15</v>
      </c>
      <c r="K11">
        <v>2699</v>
      </c>
      <c r="L11">
        <f t="shared" si="0"/>
        <v>40485</v>
      </c>
      <c r="M11">
        <v>372</v>
      </c>
      <c r="N11">
        <f t="shared" si="1"/>
        <v>5580</v>
      </c>
    </row>
    <row r="12" spans="1:14" x14ac:dyDescent="0.3">
      <c r="A12">
        <v>2</v>
      </c>
      <c r="B12" t="s">
        <v>264</v>
      </c>
      <c r="C12">
        <v>5</v>
      </c>
      <c r="H12" s="30" t="s">
        <v>268</v>
      </c>
      <c r="I12" s="31">
        <v>53</v>
      </c>
      <c r="J12" s="31">
        <v>53</v>
      </c>
      <c r="K12">
        <v>539</v>
      </c>
      <c r="L12">
        <f t="shared" si="0"/>
        <v>28567</v>
      </c>
      <c r="M12">
        <v>300</v>
      </c>
      <c r="N12">
        <f t="shared" si="1"/>
        <v>15900</v>
      </c>
    </row>
    <row r="13" spans="1:14" x14ac:dyDescent="0.3">
      <c r="A13">
        <v>4</v>
      </c>
      <c r="B13" t="s">
        <v>265</v>
      </c>
      <c r="C13">
        <v>6</v>
      </c>
      <c r="H13" s="30" t="s">
        <v>269</v>
      </c>
      <c r="I13" s="31">
        <v>1</v>
      </c>
      <c r="J13" s="31">
        <v>1</v>
      </c>
      <c r="K13">
        <v>200</v>
      </c>
      <c r="L13">
        <f t="shared" si="0"/>
        <v>200</v>
      </c>
      <c r="M13">
        <v>80</v>
      </c>
      <c r="N13">
        <f t="shared" si="1"/>
        <v>80</v>
      </c>
    </row>
    <row r="14" spans="1:14" x14ac:dyDescent="0.3">
      <c r="A14">
        <v>1</v>
      </c>
      <c r="B14" t="s">
        <v>160</v>
      </c>
      <c r="C14">
        <v>6</v>
      </c>
      <c r="H14" s="30" t="s">
        <v>266</v>
      </c>
      <c r="I14" s="31">
        <v>5</v>
      </c>
      <c r="J14" s="31">
        <v>5</v>
      </c>
      <c r="K14">
        <v>185</v>
      </c>
      <c r="L14">
        <f t="shared" si="0"/>
        <v>925</v>
      </c>
      <c r="M14">
        <v>20</v>
      </c>
      <c r="N14">
        <f t="shared" si="1"/>
        <v>100</v>
      </c>
    </row>
    <row r="15" spans="1:14" x14ac:dyDescent="0.3">
      <c r="A15">
        <v>5</v>
      </c>
      <c r="B15" t="s">
        <v>266</v>
      </c>
      <c r="C15">
        <v>6</v>
      </c>
      <c r="H15" s="30" t="s">
        <v>262</v>
      </c>
      <c r="I15" s="31">
        <v>3</v>
      </c>
      <c r="J15" s="31">
        <v>3</v>
      </c>
      <c r="K15">
        <v>328</v>
      </c>
      <c r="L15">
        <f t="shared" si="0"/>
        <v>984</v>
      </c>
      <c r="M15">
        <v>30</v>
      </c>
      <c r="N15">
        <f t="shared" si="1"/>
        <v>90</v>
      </c>
    </row>
    <row r="16" spans="1:14" x14ac:dyDescent="0.3">
      <c r="A16">
        <v>18</v>
      </c>
      <c r="B16" t="s">
        <v>168</v>
      </c>
      <c r="C16">
        <v>6</v>
      </c>
      <c r="H16" s="32" t="s">
        <v>80</v>
      </c>
      <c r="I16" s="33">
        <v>203</v>
      </c>
      <c r="L16">
        <f t="shared" si="0"/>
        <v>0</v>
      </c>
      <c r="N16">
        <f t="shared" si="1"/>
        <v>0</v>
      </c>
    </row>
    <row r="17" spans="1:14" x14ac:dyDescent="0.3">
      <c r="A17">
        <v>2</v>
      </c>
      <c r="B17" t="s">
        <v>264</v>
      </c>
      <c r="C17">
        <v>8</v>
      </c>
      <c r="J17">
        <v>26</v>
      </c>
      <c r="K17">
        <v>724</v>
      </c>
      <c r="L17">
        <f t="shared" si="0"/>
        <v>18824</v>
      </c>
      <c r="M17">
        <v>200</v>
      </c>
      <c r="N17">
        <f t="shared" si="1"/>
        <v>5200</v>
      </c>
    </row>
    <row r="18" spans="1:14" x14ac:dyDescent="0.3">
      <c r="A18">
        <v>2</v>
      </c>
      <c r="B18" t="s">
        <v>265</v>
      </c>
      <c r="C18">
        <v>8</v>
      </c>
      <c r="J18">
        <v>4</v>
      </c>
      <c r="K18">
        <v>2299</v>
      </c>
      <c r="L18">
        <f t="shared" si="0"/>
        <v>9196</v>
      </c>
      <c r="M18">
        <v>428</v>
      </c>
      <c r="N18">
        <f t="shared" si="1"/>
        <v>1712</v>
      </c>
    </row>
    <row r="19" spans="1:14" x14ac:dyDescent="0.3">
      <c r="A19">
        <v>3</v>
      </c>
      <c r="B19" t="s">
        <v>263</v>
      </c>
      <c r="C19">
        <v>8</v>
      </c>
      <c r="J19">
        <v>10</v>
      </c>
      <c r="K19">
        <v>2699</v>
      </c>
      <c r="L19">
        <f t="shared" si="0"/>
        <v>26990</v>
      </c>
      <c r="M19">
        <v>372</v>
      </c>
      <c r="N19">
        <f t="shared" si="1"/>
        <v>3720</v>
      </c>
    </row>
    <row r="20" spans="1:14" x14ac:dyDescent="0.3">
      <c r="A20">
        <v>18</v>
      </c>
      <c r="B20" t="s">
        <v>267</v>
      </c>
      <c r="C20">
        <v>7</v>
      </c>
      <c r="J20">
        <v>100</v>
      </c>
      <c r="K20">
        <v>539</v>
      </c>
      <c r="L20">
        <f t="shared" si="0"/>
        <v>53900</v>
      </c>
      <c r="M20">
        <v>300</v>
      </c>
      <c r="N20">
        <f t="shared" si="1"/>
        <v>30000</v>
      </c>
    </row>
    <row r="21" spans="1:14" x14ac:dyDescent="0.3">
      <c r="A21">
        <v>4</v>
      </c>
      <c r="B21" t="s">
        <v>265</v>
      </c>
      <c r="C21">
        <v>7</v>
      </c>
      <c r="I21" t="s">
        <v>287</v>
      </c>
      <c r="J21" s="11">
        <v>300</v>
      </c>
      <c r="K21" s="11">
        <v>329</v>
      </c>
      <c r="L21" s="11">
        <f t="shared" si="0"/>
        <v>98700</v>
      </c>
      <c r="M21" s="11">
        <v>80</v>
      </c>
      <c r="N21" s="11">
        <f t="shared" si="1"/>
        <v>24000</v>
      </c>
    </row>
    <row r="22" spans="1:14" x14ac:dyDescent="0.3">
      <c r="A22">
        <v>48</v>
      </c>
      <c r="B22" t="s">
        <v>268</v>
      </c>
      <c r="C22" t="s">
        <v>270</v>
      </c>
      <c r="J22" s="11">
        <v>250</v>
      </c>
      <c r="K22" s="11">
        <v>149</v>
      </c>
      <c r="L22" s="11">
        <f t="shared" si="0"/>
        <v>37250</v>
      </c>
      <c r="M22" s="11">
        <v>20</v>
      </c>
      <c r="N22" s="11">
        <f t="shared" si="1"/>
        <v>5000</v>
      </c>
    </row>
    <row r="23" spans="1:14" x14ac:dyDescent="0.3">
      <c r="A23">
        <v>2</v>
      </c>
      <c r="B23" t="s">
        <v>160</v>
      </c>
      <c r="C23">
        <v>9</v>
      </c>
      <c r="J23" s="11">
        <v>10</v>
      </c>
      <c r="K23" s="11">
        <v>755</v>
      </c>
      <c r="L23" s="11">
        <f t="shared" si="0"/>
        <v>7550</v>
      </c>
      <c r="M23" s="11">
        <v>1000</v>
      </c>
      <c r="N23" s="11">
        <f t="shared" si="1"/>
        <v>10000</v>
      </c>
    </row>
    <row r="24" spans="1:14" x14ac:dyDescent="0.3">
      <c r="A24">
        <v>2</v>
      </c>
      <c r="B24" t="s">
        <v>264</v>
      </c>
      <c r="C24">
        <v>9</v>
      </c>
    </row>
    <row r="25" spans="1:14" x14ac:dyDescent="0.3">
      <c r="A25">
        <v>2</v>
      </c>
      <c r="B25" t="s">
        <v>264</v>
      </c>
      <c r="C25">
        <v>10</v>
      </c>
    </row>
    <row r="26" spans="1:14" x14ac:dyDescent="0.3">
      <c r="A26">
        <v>1</v>
      </c>
      <c r="B26" t="s">
        <v>160</v>
      </c>
      <c r="C26">
        <v>10</v>
      </c>
    </row>
    <row r="27" spans="1:14" x14ac:dyDescent="0.3">
      <c r="A27">
        <v>1</v>
      </c>
      <c r="B27" t="s">
        <v>161</v>
      </c>
      <c r="C27">
        <v>10</v>
      </c>
    </row>
    <row r="28" spans="1:14" x14ac:dyDescent="0.3">
      <c r="A28">
        <v>5</v>
      </c>
      <c r="B28" t="s">
        <v>161</v>
      </c>
      <c r="C28">
        <v>11</v>
      </c>
    </row>
    <row r="29" spans="1:14" x14ac:dyDescent="0.3">
      <c r="A29">
        <v>4</v>
      </c>
      <c r="B29" t="s">
        <v>265</v>
      </c>
      <c r="C29">
        <v>11</v>
      </c>
    </row>
    <row r="30" spans="1:14" x14ac:dyDescent="0.3">
      <c r="A30">
        <v>5</v>
      </c>
      <c r="B30" t="s">
        <v>225</v>
      </c>
      <c r="C30">
        <v>11</v>
      </c>
    </row>
    <row r="31" spans="1:14" x14ac:dyDescent="0.3">
      <c r="A31">
        <v>1</v>
      </c>
      <c r="B31" t="s">
        <v>263</v>
      </c>
      <c r="C31">
        <v>11</v>
      </c>
    </row>
    <row r="32" spans="1:14" x14ac:dyDescent="0.3">
      <c r="A32">
        <v>2</v>
      </c>
      <c r="B32" t="s">
        <v>170</v>
      </c>
      <c r="C32">
        <v>11</v>
      </c>
    </row>
    <row r="33" spans="1:3" x14ac:dyDescent="0.3">
      <c r="A33">
        <v>1</v>
      </c>
      <c r="B33" t="s">
        <v>269</v>
      </c>
      <c r="C33">
        <v>11</v>
      </c>
    </row>
    <row r="34" spans="1:3" x14ac:dyDescent="0.3">
      <c r="A34">
        <v>2</v>
      </c>
      <c r="B34" t="s">
        <v>161</v>
      </c>
      <c r="C34">
        <v>12</v>
      </c>
    </row>
    <row r="35" spans="1:3" x14ac:dyDescent="0.3">
      <c r="A35">
        <v>1</v>
      </c>
      <c r="B35" t="s">
        <v>265</v>
      </c>
      <c r="C35">
        <v>13</v>
      </c>
    </row>
    <row r="36" spans="1:3" x14ac:dyDescent="0.3">
      <c r="A36">
        <v>2</v>
      </c>
      <c r="B36" t="s">
        <v>161</v>
      </c>
      <c r="C36">
        <v>13</v>
      </c>
    </row>
    <row r="37" spans="1:3" x14ac:dyDescent="0.3">
      <c r="A37">
        <v>5</v>
      </c>
      <c r="B37" t="s">
        <v>268</v>
      </c>
      <c r="C37">
        <v>13</v>
      </c>
    </row>
    <row r="38" spans="1:3" x14ac:dyDescent="0.3">
      <c r="A38">
        <v>5</v>
      </c>
      <c r="B38" t="s">
        <v>161</v>
      </c>
      <c r="C38">
        <v>14</v>
      </c>
    </row>
    <row r="39" spans="1:3" x14ac:dyDescent="0.3">
      <c r="B39" t="s">
        <v>271</v>
      </c>
      <c r="C39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A41E-00E7-42BD-91C7-161F6EC4D8C7}">
  <dimension ref="A1:Q22"/>
  <sheetViews>
    <sheetView zoomScale="108" workbookViewId="0">
      <selection activeCell="J22" sqref="J22"/>
    </sheetView>
  </sheetViews>
  <sheetFormatPr defaultRowHeight="14.4" x14ac:dyDescent="0.3"/>
  <cols>
    <col min="1" max="1" width="10.77734375" bestFit="1" customWidth="1"/>
    <col min="3" max="3" width="26.77734375" bestFit="1" customWidth="1"/>
    <col min="4" max="4" width="22.77734375" bestFit="1" customWidth="1"/>
    <col min="5" max="5" width="9" bestFit="1" customWidth="1"/>
    <col min="6" max="6" width="11" bestFit="1" customWidth="1"/>
    <col min="7" max="7" width="12.6640625" bestFit="1" customWidth="1"/>
    <col min="8" max="8" width="13.77734375" bestFit="1" customWidth="1"/>
    <col min="10" max="10" width="10.21875" bestFit="1" customWidth="1"/>
    <col min="11" max="11" width="0" hidden="1" customWidth="1"/>
    <col min="12" max="12" width="10" hidden="1" customWidth="1"/>
    <col min="13" max="17" width="0" hidden="1" customWidth="1"/>
  </cols>
  <sheetData>
    <row r="1" spans="1:17" x14ac:dyDescent="0.3">
      <c r="A1" s="110" t="s">
        <v>299</v>
      </c>
      <c r="B1" s="110"/>
      <c r="C1" s="110"/>
      <c r="D1" s="110"/>
      <c r="E1" s="110"/>
      <c r="F1" s="110"/>
      <c r="G1" s="110"/>
      <c r="H1" s="110"/>
      <c r="I1" s="2"/>
      <c r="J1" s="2"/>
    </row>
    <row r="2" spans="1:17" x14ac:dyDescent="0.3">
      <c r="A2" s="44" t="s">
        <v>65</v>
      </c>
      <c r="B2" s="4" t="s">
        <v>0</v>
      </c>
      <c r="C2" s="5" t="s">
        <v>252</v>
      </c>
      <c r="D2" s="4" t="s">
        <v>2</v>
      </c>
      <c r="E2" s="9" t="s">
        <v>3</v>
      </c>
      <c r="F2" s="9" t="s">
        <v>4</v>
      </c>
      <c r="G2" s="4" t="s">
        <v>5</v>
      </c>
      <c r="H2" s="4" t="s">
        <v>293</v>
      </c>
      <c r="I2" s="4" t="s">
        <v>303</v>
      </c>
      <c r="J2" s="4" t="s">
        <v>304</v>
      </c>
      <c r="K2" s="48" t="s">
        <v>311</v>
      </c>
      <c r="L2" s="48" t="s">
        <v>312</v>
      </c>
      <c r="M2" s="48" t="s">
        <v>313</v>
      </c>
    </row>
    <row r="3" spans="1:17" x14ac:dyDescent="0.3">
      <c r="A3" s="46">
        <v>45785</v>
      </c>
      <c r="B3" s="4">
        <v>5</v>
      </c>
      <c r="C3" s="5" t="s">
        <v>300</v>
      </c>
      <c r="D3" s="4" t="s">
        <v>302</v>
      </c>
      <c r="E3" s="9">
        <v>755</v>
      </c>
      <c r="F3" s="43">
        <f t="shared" ref="F3:F5" si="0">(E3*B3)</f>
        <v>3775</v>
      </c>
      <c r="G3" s="2" t="s">
        <v>292</v>
      </c>
      <c r="H3" s="5">
        <v>45789</v>
      </c>
      <c r="I3" s="3">
        <f t="shared" ref="I3:I5" si="1">(E3*13.04%)</f>
        <v>98.451999999999984</v>
      </c>
      <c r="J3" s="3">
        <f t="shared" ref="J3:J5" si="2">E3-I3</f>
        <v>656.548</v>
      </c>
      <c r="K3" s="47">
        <f>J3*2.13</f>
        <v>1398.44724</v>
      </c>
      <c r="L3" s="47">
        <f>(K3*B3)</f>
        <v>6992.2361999999994</v>
      </c>
      <c r="M3">
        <v>2480</v>
      </c>
      <c r="N3">
        <f>(M3*B3)</f>
        <v>12400</v>
      </c>
      <c r="P3">
        <v>10459</v>
      </c>
      <c r="Q3">
        <f>(P3*2.13)</f>
        <v>22277.67</v>
      </c>
    </row>
    <row r="4" spans="1:17" x14ac:dyDescent="0.3">
      <c r="A4" s="46">
        <v>45785</v>
      </c>
      <c r="B4" s="4">
        <v>5</v>
      </c>
      <c r="C4" s="5" t="s">
        <v>196</v>
      </c>
      <c r="D4" s="2" t="s">
        <v>291</v>
      </c>
      <c r="E4" s="9">
        <v>965</v>
      </c>
      <c r="F4" s="43">
        <f t="shared" si="0"/>
        <v>4825</v>
      </c>
      <c r="G4" s="2" t="s">
        <v>292</v>
      </c>
      <c r="H4" s="5">
        <v>45789</v>
      </c>
      <c r="I4" s="3">
        <f t="shared" si="1"/>
        <v>125.83599999999998</v>
      </c>
      <c r="J4" s="3">
        <f t="shared" si="2"/>
        <v>839.16399999999999</v>
      </c>
      <c r="K4" s="47">
        <f t="shared" ref="K4:K19" si="3">J4*2.13</f>
        <v>1787.41932</v>
      </c>
      <c r="L4" s="47">
        <f t="shared" ref="L4:L16" si="4">(K4*B4)</f>
        <v>8937.0966000000008</v>
      </c>
      <c r="M4">
        <v>1850</v>
      </c>
      <c r="N4">
        <f t="shared" ref="N4:N17" si="5">(M4*B4)</f>
        <v>9250</v>
      </c>
    </row>
    <row r="5" spans="1:17" x14ac:dyDescent="0.3">
      <c r="A5" s="46">
        <v>45785</v>
      </c>
      <c r="B5" s="4">
        <v>5</v>
      </c>
      <c r="C5" s="5" t="s">
        <v>301</v>
      </c>
      <c r="D5" s="2" t="s">
        <v>291</v>
      </c>
      <c r="E5" s="9">
        <v>1205</v>
      </c>
      <c r="F5" s="43">
        <f t="shared" si="0"/>
        <v>6025</v>
      </c>
      <c r="G5" s="2" t="s">
        <v>292</v>
      </c>
      <c r="H5" s="5">
        <v>45789</v>
      </c>
      <c r="I5" s="3">
        <f t="shared" si="1"/>
        <v>157.13199999999998</v>
      </c>
      <c r="J5" s="3">
        <f t="shared" si="2"/>
        <v>1047.8679999999999</v>
      </c>
      <c r="K5" s="47">
        <f t="shared" si="3"/>
        <v>2231.9588399999998</v>
      </c>
      <c r="L5" s="47">
        <f t="shared" si="4"/>
        <v>11159.794199999998</v>
      </c>
      <c r="M5">
        <v>2450</v>
      </c>
      <c r="N5">
        <f t="shared" si="5"/>
        <v>12250</v>
      </c>
    </row>
    <row r="6" spans="1:17" x14ac:dyDescent="0.3">
      <c r="A6" s="8">
        <v>45784</v>
      </c>
      <c r="B6" s="45">
        <v>147</v>
      </c>
      <c r="C6" s="2" t="s">
        <v>295</v>
      </c>
      <c r="D6" s="2" t="s">
        <v>291</v>
      </c>
      <c r="E6" s="3">
        <v>520</v>
      </c>
      <c r="F6" s="43">
        <f>(E6*B6)</f>
        <v>76440</v>
      </c>
      <c r="G6" s="2" t="s">
        <v>292</v>
      </c>
      <c r="H6" s="5">
        <v>45789</v>
      </c>
      <c r="I6" s="3">
        <f>(E6*13.04%)</f>
        <v>67.807999999999993</v>
      </c>
      <c r="J6" s="3">
        <f>E6-I6</f>
        <v>452.19200000000001</v>
      </c>
      <c r="K6" s="47">
        <f t="shared" si="3"/>
        <v>963.16895999999997</v>
      </c>
      <c r="L6" s="47">
        <f t="shared" si="4"/>
        <v>141585.83711999998</v>
      </c>
      <c r="M6">
        <v>1145</v>
      </c>
      <c r="N6">
        <f t="shared" si="5"/>
        <v>168315</v>
      </c>
    </row>
    <row r="7" spans="1:17" x14ac:dyDescent="0.3">
      <c r="A7" s="8">
        <v>45784</v>
      </c>
      <c r="B7" s="45">
        <v>500</v>
      </c>
      <c r="C7" s="2" t="s">
        <v>294</v>
      </c>
      <c r="D7" s="2" t="s">
        <v>291</v>
      </c>
      <c r="E7" s="3">
        <v>28.99</v>
      </c>
      <c r="F7" s="43">
        <f>(E7*B7)</f>
        <v>14495</v>
      </c>
      <c r="G7" s="2" t="s">
        <v>292</v>
      </c>
      <c r="H7" s="5">
        <v>45789</v>
      </c>
      <c r="I7" s="3">
        <f t="shared" ref="I7:I19" si="6">(E7*13.04%)</f>
        <v>3.7802959999999994</v>
      </c>
      <c r="J7" s="3">
        <f t="shared" ref="J7:J19" si="7">E7-I7</f>
        <v>25.209703999999999</v>
      </c>
      <c r="K7" s="47">
        <f t="shared" si="3"/>
        <v>53.696669519999993</v>
      </c>
      <c r="L7" s="47">
        <f t="shared" si="4"/>
        <v>26848.334759999998</v>
      </c>
      <c r="M7">
        <v>68</v>
      </c>
      <c r="N7">
        <f t="shared" si="5"/>
        <v>34000</v>
      </c>
    </row>
    <row r="8" spans="1:17" x14ac:dyDescent="0.3">
      <c r="A8" s="8">
        <v>45784</v>
      </c>
      <c r="B8" s="45">
        <v>200</v>
      </c>
      <c r="C8" s="2" t="s">
        <v>162</v>
      </c>
      <c r="D8" s="2" t="s">
        <v>291</v>
      </c>
      <c r="E8" s="3">
        <v>328.99</v>
      </c>
      <c r="F8" s="43">
        <f t="shared" ref="F8:F22" si="8">(E8*B8)</f>
        <v>65798</v>
      </c>
      <c r="G8" s="2" t="s">
        <v>292</v>
      </c>
      <c r="H8" s="5">
        <v>45789</v>
      </c>
      <c r="I8" s="3">
        <f t="shared" si="6"/>
        <v>42.900295999999997</v>
      </c>
      <c r="J8" s="3">
        <f t="shared" si="7"/>
        <v>286.08970399999998</v>
      </c>
      <c r="K8" s="47">
        <f t="shared" si="3"/>
        <v>609.37106951999988</v>
      </c>
      <c r="L8" s="47">
        <f t="shared" si="4"/>
        <v>121874.21390399997</v>
      </c>
      <c r="M8">
        <v>705</v>
      </c>
      <c r="N8">
        <f t="shared" si="5"/>
        <v>141000</v>
      </c>
    </row>
    <row r="9" spans="1:17" x14ac:dyDescent="0.3">
      <c r="A9" s="8">
        <v>45784</v>
      </c>
      <c r="B9" s="45">
        <v>10</v>
      </c>
      <c r="C9" s="2" t="s">
        <v>297</v>
      </c>
      <c r="D9" s="2" t="s">
        <v>291</v>
      </c>
      <c r="E9" s="3">
        <v>759</v>
      </c>
      <c r="F9" s="43">
        <f t="shared" si="8"/>
        <v>7590</v>
      </c>
      <c r="G9" s="2" t="s">
        <v>292</v>
      </c>
      <c r="H9" s="5">
        <v>45789</v>
      </c>
      <c r="I9" s="3">
        <f t="shared" si="6"/>
        <v>98.97359999999999</v>
      </c>
      <c r="J9" s="3">
        <f t="shared" si="7"/>
        <v>660.02639999999997</v>
      </c>
      <c r="K9" s="47">
        <f t="shared" si="3"/>
        <v>1405.8562319999999</v>
      </c>
      <c r="L9" s="47">
        <f t="shared" si="4"/>
        <v>14058.562319999999</v>
      </c>
      <c r="M9">
        <v>1700</v>
      </c>
      <c r="N9">
        <f t="shared" si="5"/>
        <v>17000</v>
      </c>
    </row>
    <row r="10" spans="1:17" x14ac:dyDescent="0.3">
      <c r="A10" s="8">
        <v>45784</v>
      </c>
      <c r="B10" s="45">
        <v>10</v>
      </c>
      <c r="C10" s="2" t="s">
        <v>297</v>
      </c>
      <c r="D10" s="2" t="s">
        <v>291</v>
      </c>
      <c r="E10" s="3">
        <v>759</v>
      </c>
      <c r="F10" s="43">
        <f t="shared" si="8"/>
        <v>7590</v>
      </c>
      <c r="G10" s="2" t="s">
        <v>292</v>
      </c>
      <c r="H10" s="5">
        <v>45789</v>
      </c>
      <c r="I10" s="3">
        <f t="shared" si="6"/>
        <v>98.97359999999999</v>
      </c>
      <c r="J10" s="3">
        <f t="shared" si="7"/>
        <v>660.02639999999997</v>
      </c>
      <c r="K10" s="47">
        <f t="shared" si="3"/>
        <v>1405.8562319999999</v>
      </c>
      <c r="L10" s="47">
        <f t="shared" si="4"/>
        <v>14058.562319999999</v>
      </c>
      <c r="M10">
        <v>1700</v>
      </c>
      <c r="N10">
        <f t="shared" si="5"/>
        <v>17000</v>
      </c>
    </row>
    <row r="11" spans="1:17" x14ac:dyDescent="0.3">
      <c r="A11" s="8">
        <v>45784</v>
      </c>
      <c r="B11" s="45">
        <v>2</v>
      </c>
      <c r="C11" s="2" t="s">
        <v>297</v>
      </c>
      <c r="D11" s="2" t="s">
        <v>291</v>
      </c>
      <c r="E11" s="3">
        <v>759</v>
      </c>
      <c r="F11" s="43">
        <f t="shared" si="8"/>
        <v>1518</v>
      </c>
      <c r="G11" s="2" t="s">
        <v>292</v>
      </c>
      <c r="H11" s="5">
        <v>45789</v>
      </c>
      <c r="I11" s="3">
        <f t="shared" si="6"/>
        <v>98.97359999999999</v>
      </c>
      <c r="J11" s="3">
        <f t="shared" si="7"/>
        <v>660.02639999999997</v>
      </c>
      <c r="K11" s="47">
        <f t="shared" si="3"/>
        <v>1405.8562319999999</v>
      </c>
      <c r="L11" s="47">
        <f t="shared" si="4"/>
        <v>2811.7124639999997</v>
      </c>
      <c r="M11">
        <v>1700</v>
      </c>
      <c r="N11">
        <f t="shared" si="5"/>
        <v>3400</v>
      </c>
    </row>
    <row r="12" spans="1:17" x14ac:dyDescent="0.3">
      <c r="A12" s="8">
        <v>45784</v>
      </c>
      <c r="B12" s="45">
        <v>2</v>
      </c>
      <c r="C12" s="2" t="s">
        <v>297</v>
      </c>
      <c r="D12" s="2" t="s">
        <v>291</v>
      </c>
      <c r="E12" s="3">
        <v>759</v>
      </c>
      <c r="F12" s="43">
        <f t="shared" si="8"/>
        <v>1518</v>
      </c>
      <c r="G12" s="2" t="s">
        <v>292</v>
      </c>
      <c r="H12" s="5">
        <v>45789</v>
      </c>
      <c r="I12" s="3">
        <f t="shared" si="6"/>
        <v>98.97359999999999</v>
      </c>
      <c r="J12" s="3">
        <f t="shared" si="7"/>
        <v>660.02639999999997</v>
      </c>
      <c r="K12" s="47">
        <f t="shared" si="3"/>
        <v>1405.8562319999999</v>
      </c>
      <c r="L12" s="47">
        <f t="shared" si="4"/>
        <v>2811.7124639999997</v>
      </c>
      <c r="M12">
        <v>1700</v>
      </c>
      <c r="N12">
        <f t="shared" si="5"/>
        <v>3400</v>
      </c>
    </row>
    <row r="13" spans="1:17" x14ac:dyDescent="0.3">
      <c r="A13" s="8">
        <v>45784</v>
      </c>
      <c r="B13" s="45">
        <v>10</v>
      </c>
      <c r="C13" s="2" t="s">
        <v>297</v>
      </c>
      <c r="D13" s="2" t="s">
        <v>291</v>
      </c>
      <c r="E13" s="3">
        <v>759</v>
      </c>
      <c r="F13" s="43">
        <f t="shared" si="8"/>
        <v>7590</v>
      </c>
      <c r="G13" s="2" t="s">
        <v>292</v>
      </c>
      <c r="H13" s="5">
        <v>45789</v>
      </c>
      <c r="I13" s="3">
        <f t="shared" si="6"/>
        <v>98.97359999999999</v>
      </c>
      <c r="J13" s="3">
        <f t="shared" si="7"/>
        <v>660.02639999999997</v>
      </c>
      <c r="K13" s="47">
        <f t="shared" si="3"/>
        <v>1405.8562319999999</v>
      </c>
      <c r="L13" s="47">
        <f t="shared" si="4"/>
        <v>14058.562319999999</v>
      </c>
      <c r="M13">
        <v>1700</v>
      </c>
      <c r="N13">
        <f t="shared" si="5"/>
        <v>17000</v>
      </c>
    </row>
    <row r="14" spans="1:17" x14ac:dyDescent="0.3">
      <c r="A14" s="8">
        <v>45784</v>
      </c>
      <c r="B14" s="45">
        <v>250</v>
      </c>
      <c r="C14" s="2" t="s">
        <v>298</v>
      </c>
      <c r="D14" s="2" t="s">
        <v>291</v>
      </c>
      <c r="E14" s="3">
        <v>149</v>
      </c>
      <c r="F14" s="43">
        <f t="shared" si="8"/>
        <v>37250</v>
      </c>
      <c r="G14" s="2" t="s">
        <v>292</v>
      </c>
      <c r="H14" s="5">
        <v>45789</v>
      </c>
      <c r="I14" s="3">
        <f t="shared" si="6"/>
        <v>19.429599999999997</v>
      </c>
      <c r="J14" s="3">
        <f t="shared" si="7"/>
        <v>129.57040000000001</v>
      </c>
      <c r="K14" s="47">
        <f t="shared" si="3"/>
        <v>275.98495200000002</v>
      </c>
      <c r="L14" s="47">
        <f t="shared" si="4"/>
        <v>68996.238000000012</v>
      </c>
      <c r="M14">
        <v>305</v>
      </c>
      <c r="N14">
        <f t="shared" si="5"/>
        <v>76250</v>
      </c>
    </row>
    <row r="15" spans="1:17" x14ac:dyDescent="0.3">
      <c r="A15" s="8">
        <v>45784</v>
      </c>
      <c r="B15" s="45">
        <v>200</v>
      </c>
      <c r="C15" s="2" t="s">
        <v>294</v>
      </c>
      <c r="D15" s="2" t="s">
        <v>291</v>
      </c>
      <c r="E15" s="3">
        <v>28.99</v>
      </c>
      <c r="F15" s="43">
        <f t="shared" si="8"/>
        <v>5798</v>
      </c>
      <c r="G15" s="2" t="s">
        <v>292</v>
      </c>
      <c r="H15" s="5">
        <v>45789</v>
      </c>
      <c r="I15" s="3">
        <f t="shared" si="6"/>
        <v>3.7802959999999994</v>
      </c>
      <c r="J15" s="3">
        <f t="shared" si="7"/>
        <v>25.209703999999999</v>
      </c>
      <c r="K15" s="47">
        <f t="shared" si="3"/>
        <v>53.696669519999993</v>
      </c>
      <c r="L15" s="47">
        <f t="shared" si="4"/>
        <v>10739.333903999999</v>
      </c>
      <c r="M15">
        <v>68</v>
      </c>
      <c r="N15">
        <f t="shared" si="5"/>
        <v>13600</v>
      </c>
    </row>
    <row r="16" spans="1:17" x14ac:dyDescent="0.3">
      <c r="A16" s="8">
        <v>45784</v>
      </c>
      <c r="B16" s="45">
        <v>2</v>
      </c>
      <c r="C16" s="2" t="s">
        <v>296</v>
      </c>
      <c r="D16" s="2" t="s">
        <v>291</v>
      </c>
      <c r="E16" s="3">
        <v>89</v>
      </c>
      <c r="F16" s="43">
        <f t="shared" si="8"/>
        <v>178</v>
      </c>
      <c r="G16" s="2" t="s">
        <v>292</v>
      </c>
      <c r="H16" s="5">
        <v>45789</v>
      </c>
      <c r="I16" s="3">
        <f t="shared" si="6"/>
        <v>11.605599999999999</v>
      </c>
      <c r="J16" s="3">
        <f t="shared" si="7"/>
        <v>77.394400000000005</v>
      </c>
      <c r="K16" s="47">
        <f t="shared" si="3"/>
        <v>164.85007200000001</v>
      </c>
      <c r="L16" s="47">
        <f t="shared" si="4"/>
        <v>329.70014400000002</v>
      </c>
      <c r="N16">
        <f t="shared" si="5"/>
        <v>0</v>
      </c>
    </row>
    <row r="17" spans="1:15" x14ac:dyDescent="0.3">
      <c r="A17" s="8">
        <v>45790</v>
      </c>
      <c r="B17" s="2">
        <v>300</v>
      </c>
      <c r="C17" s="2" t="s">
        <v>295</v>
      </c>
      <c r="D17" s="2" t="s">
        <v>291</v>
      </c>
      <c r="E17" s="2">
        <v>492</v>
      </c>
      <c r="F17" s="3">
        <f t="shared" si="8"/>
        <v>147600</v>
      </c>
      <c r="G17" s="2" t="s">
        <v>292</v>
      </c>
      <c r="H17" s="2"/>
      <c r="I17" s="2">
        <f t="shared" si="6"/>
        <v>64.15679999999999</v>
      </c>
      <c r="J17" s="2">
        <f t="shared" si="7"/>
        <v>427.84320000000002</v>
      </c>
      <c r="K17" s="47">
        <f t="shared" si="3"/>
        <v>911.306016</v>
      </c>
      <c r="L17">
        <v>22277.67</v>
      </c>
      <c r="N17">
        <f t="shared" si="5"/>
        <v>0</v>
      </c>
    </row>
    <row r="18" spans="1:15" x14ac:dyDescent="0.3">
      <c r="A18" s="8">
        <v>45793</v>
      </c>
      <c r="B18" s="2">
        <v>200</v>
      </c>
      <c r="C18" s="2" t="s">
        <v>295</v>
      </c>
      <c r="D18" s="2" t="s">
        <v>291</v>
      </c>
      <c r="E18" s="2">
        <v>492</v>
      </c>
      <c r="F18" s="2">
        <f t="shared" si="8"/>
        <v>98400</v>
      </c>
      <c r="G18" s="2" t="s">
        <v>292</v>
      </c>
      <c r="H18" s="2"/>
      <c r="I18" s="3">
        <f t="shared" si="6"/>
        <v>64.15679999999999</v>
      </c>
      <c r="J18" s="3">
        <f t="shared" si="7"/>
        <v>427.84320000000002</v>
      </c>
      <c r="K18" s="47">
        <f t="shared" si="3"/>
        <v>911.306016</v>
      </c>
      <c r="L18" s="47">
        <f>SUM(L3:L17)</f>
        <v>467539.56672</v>
      </c>
      <c r="N18">
        <f>SUM(N3:N17)</f>
        <v>524865</v>
      </c>
      <c r="O18" s="47">
        <f>(N18-L18)</f>
        <v>57325.433279999997</v>
      </c>
    </row>
    <row r="19" spans="1:15" x14ac:dyDescent="0.3">
      <c r="A19" s="8">
        <v>45793</v>
      </c>
      <c r="B19" s="45">
        <v>20</v>
      </c>
      <c r="C19" s="2" t="s">
        <v>323</v>
      </c>
      <c r="D19" s="2" t="s">
        <v>302</v>
      </c>
      <c r="E19" s="3">
        <v>755</v>
      </c>
      <c r="F19" s="43">
        <f t="shared" si="8"/>
        <v>15100</v>
      </c>
      <c r="G19" s="2" t="s">
        <v>292</v>
      </c>
      <c r="H19" s="2"/>
      <c r="I19" s="3">
        <f t="shared" si="6"/>
        <v>98.451999999999984</v>
      </c>
      <c r="J19" s="3">
        <f t="shared" si="7"/>
        <v>656.548</v>
      </c>
      <c r="K19" s="47">
        <f t="shared" si="3"/>
        <v>1398.44724</v>
      </c>
      <c r="O19">
        <v>55000</v>
      </c>
    </row>
    <row r="20" spans="1:15" x14ac:dyDescent="0.3">
      <c r="F20" s="43">
        <f t="shared" si="8"/>
        <v>0</v>
      </c>
      <c r="O20">
        <v>120000</v>
      </c>
    </row>
    <row r="21" spans="1:15" x14ac:dyDescent="0.3">
      <c r="A21" s="6">
        <v>45831</v>
      </c>
      <c r="B21">
        <v>4</v>
      </c>
      <c r="C21" s="2" t="s">
        <v>323</v>
      </c>
      <c r="D21" t="s">
        <v>363</v>
      </c>
      <c r="E21" s="51">
        <v>775</v>
      </c>
      <c r="F21" s="43">
        <f t="shared" si="8"/>
        <v>3100</v>
      </c>
      <c r="G21" s="2" t="s">
        <v>292</v>
      </c>
      <c r="H21" t="s">
        <v>348</v>
      </c>
    </row>
    <row r="22" spans="1:15" x14ac:dyDescent="0.3">
      <c r="A22" s="6">
        <v>45836</v>
      </c>
      <c r="B22">
        <v>4</v>
      </c>
      <c r="C22" s="2" t="s">
        <v>323</v>
      </c>
      <c r="D22" t="s">
        <v>363</v>
      </c>
      <c r="E22" s="51">
        <v>775</v>
      </c>
      <c r="F22" s="43">
        <f t="shared" si="8"/>
        <v>3100</v>
      </c>
      <c r="G22" s="2" t="s">
        <v>292</v>
      </c>
      <c r="H22" t="s">
        <v>348</v>
      </c>
    </row>
  </sheetData>
  <mergeCells count="1">
    <mergeCell ref="A1:H1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CB92-836B-4A91-B149-F8D8E3EC3F6F}">
  <dimension ref="A1:J44"/>
  <sheetViews>
    <sheetView workbookViewId="0">
      <selection activeCell="H50" sqref="H50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31.44140625" bestFit="1" customWidth="1"/>
    <col min="4" max="4" width="26.6640625" bestFit="1" customWidth="1"/>
    <col min="5" max="5" width="9" style="60" bestFit="1" customWidth="1"/>
    <col min="6" max="6" width="11" style="60" bestFit="1" customWidth="1"/>
    <col min="7" max="7" width="23.88671875" bestFit="1" customWidth="1"/>
    <col min="8" max="8" width="22.33203125" bestFit="1" customWidth="1"/>
    <col min="10" max="10" width="10.21875" bestFit="1" customWidth="1"/>
  </cols>
  <sheetData>
    <row r="1" spans="1:10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293</v>
      </c>
      <c r="I1" s="4" t="s">
        <v>303</v>
      </c>
      <c r="J1" s="61" t="s">
        <v>304</v>
      </c>
    </row>
    <row r="2" spans="1:10" x14ac:dyDescent="0.3">
      <c r="A2" s="8">
        <v>45839</v>
      </c>
      <c r="B2" s="2">
        <v>5</v>
      </c>
      <c r="C2" s="2" t="s">
        <v>372</v>
      </c>
      <c r="D2" s="2" t="s">
        <v>373</v>
      </c>
      <c r="E2" s="3">
        <v>1380</v>
      </c>
      <c r="F2" s="3">
        <f>B2*E2</f>
        <v>6900</v>
      </c>
      <c r="G2" s="2" t="s">
        <v>8</v>
      </c>
      <c r="H2" s="2"/>
      <c r="I2" s="2"/>
    </row>
    <row r="3" spans="1:10" x14ac:dyDescent="0.3">
      <c r="A3" s="8">
        <v>45839</v>
      </c>
      <c r="B3" s="2">
        <v>1</v>
      </c>
      <c r="C3" s="2" t="s">
        <v>375</v>
      </c>
      <c r="D3" s="2" t="s">
        <v>373</v>
      </c>
      <c r="E3" s="3">
        <v>1295</v>
      </c>
      <c r="F3" s="3">
        <f t="shared" ref="F3:F8" si="0">B3*E3</f>
        <v>1295</v>
      </c>
      <c r="G3" s="2" t="s">
        <v>8</v>
      </c>
      <c r="H3" s="2"/>
      <c r="I3" s="2"/>
    </row>
    <row r="4" spans="1:10" x14ac:dyDescent="0.3">
      <c r="A4" s="8">
        <v>45839</v>
      </c>
      <c r="B4" s="2">
        <v>1</v>
      </c>
      <c r="C4" s="2" t="s">
        <v>374</v>
      </c>
      <c r="D4" s="2" t="s">
        <v>373</v>
      </c>
      <c r="E4" s="3">
        <v>1375</v>
      </c>
      <c r="F4" s="3">
        <f t="shared" si="0"/>
        <v>1375</v>
      </c>
      <c r="G4" s="2" t="s">
        <v>8</v>
      </c>
      <c r="H4" s="2"/>
      <c r="I4" s="2"/>
    </row>
    <row r="5" spans="1:10" x14ac:dyDescent="0.3">
      <c r="A5" s="8">
        <v>45839</v>
      </c>
      <c r="B5" s="2">
        <v>1</v>
      </c>
      <c r="C5" s="2" t="s">
        <v>376</v>
      </c>
      <c r="D5" s="2" t="s">
        <v>373</v>
      </c>
      <c r="E5" s="3">
        <v>852</v>
      </c>
      <c r="F5" s="3">
        <f t="shared" si="0"/>
        <v>852</v>
      </c>
      <c r="G5" s="2" t="s">
        <v>8</v>
      </c>
      <c r="H5" s="2"/>
      <c r="I5" s="2"/>
    </row>
    <row r="6" spans="1:10" x14ac:dyDescent="0.3">
      <c r="A6" s="8">
        <v>45839</v>
      </c>
      <c r="B6" s="2">
        <v>4</v>
      </c>
      <c r="C6" s="2" t="s">
        <v>378</v>
      </c>
      <c r="D6" s="2" t="s">
        <v>379</v>
      </c>
      <c r="E6" s="3">
        <v>679</v>
      </c>
      <c r="F6" s="3">
        <f t="shared" si="0"/>
        <v>2716</v>
      </c>
      <c r="G6" s="2" t="s">
        <v>348</v>
      </c>
      <c r="H6" s="2"/>
      <c r="I6" s="2"/>
    </row>
    <row r="7" spans="1:10" x14ac:dyDescent="0.3">
      <c r="A7" s="8">
        <v>45840</v>
      </c>
      <c r="B7" s="2">
        <v>2</v>
      </c>
      <c r="C7" s="2" t="s">
        <v>410</v>
      </c>
      <c r="D7" s="2" t="s">
        <v>382</v>
      </c>
      <c r="E7" s="3">
        <v>1229</v>
      </c>
      <c r="F7" s="3">
        <f t="shared" si="0"/>
        <v>2458</v>
      </c>
      <c r="G7" s="2" t="s">
        <v>428</v>
      </c>
      <c r="H7" s="2"/>
      <c r="I7" s="2"/>
    </row>
    <row r="8" spans="1:10" x14ac:dyDescent="0.3">
      <c r="A8" s="8">
        <v>45840</v>
      </c>
      <c r="B8" s="2">
        <v>1</v>
      </c>
      <c r="C8" s="2" t="s">
        <v>376</v>
      </c>
      <c r="D8" s="2" t="s">
        <v>382</v>
      </c>
      <c r="E8" s="3">
        <v>852</v>
      </c>
      <c r="F8" s="3">
        <f t="shared" si="0"/>
        <v>852</v>
      </c>
      <c r="G8" s="2" t="s">
        <v>428</v>
      </c>
      <c r="H8" s="2"/>
      <c r="I8" s="2"/>
    </row>
    <row r="9" spans="1:10" x14ac:dyDescent="0.3">
      <c r="A9" s="8">
        <v>45839</v>
      </c>
      <c r="B9" s="2">
        <v>3</v>
      </c>
      <c r="C9" s="2" t="s">
        <v>378</v>
      </c>
      <c r="D9" s="2" t="s">
        <v>383</v>
      </c>
      <c r="E9" s="3">
        <v>765.71</v>
      </c>
      <c r="F9" s="3">
        <f>B9*E9</f>
        <v>2297.13</v>
      </c>
      <c r="G9" s="2" t="s">
        <v>428</v>
      </c>
      <c r="H9" s="2"/>
      <c r="I9" s="2"/>
    </row>
    <row r="10" spans="1:10" x14ac:dyDescent="0.3">
      <c r="A10" s="8">
        <v>45839</v>
      </c>
      <c r="B10" s="2">
        <v>1</v>
      </c>
      <c r="C10" s="2" t="s">
        <v>406</v>
      </c>
      <c r="D10" s="2" t="s">
        <v>383</v>
      </c>
      <c r="E10" s="3">
        <v>1345</v>
      </c>
      <c r="F10" s="3">
        <f>B10*E10</f>
        <v>1345</v>
      </c>
      <c r="G10" s="2" t="s">
        <v>428</v>
      </c>
      <c r="H10" s="2"/>
      <c r="I10" s="2"/>
    </row>
    <row r="11" spans="1:10" x14ac:dyDescent="0.3">
      <c r="A11" s="8">
        <v>45839</v>
      </c>
      <c r="B11" s="2">
        <v>3</v>
      </c>
      <c r="C11" s="2" t="s">
        <v>378</v>
      </c>
      <c r="D11" s="2" t="s">
        <v>383</v>
      </c>
      <c r="E11" s="3">
        <v>738</v>
      </c>
      <c r="F11" s="3">
        <f t="shared" ref="F11:F23" si="1">B11*E11</f>
        <v>2214</v>
      </c>
      <c r="G11" s="2" t="s">
        <v>428</v>
      </c>
      <c r="H11" s="2"/>
      <c r="I11" s="2"/>
    </row>
    <row r="12" spans="1:10" x14ac:dyDescent="0.3">
      <c r="A12" s="8">
        <v>45839</v>
      </c>
      <c r="B12" s="2">
        <v>1</v>
      </c>
      <c r="C12" s="2" t="s">
        <v>376</v>
      </c>
      <c r="D12" s="2" t="s">
        <v>383</v>
      </c>
      <c r="E12" s="3">
        <v>852</v>
      </c>
      <c r="F12" s="3">
        <f t="shared" si="1"/>
        <v>852</v>
      </c>
      <c r="G12" s="2" t="s">
        <v>428</v>
      </c>
      <c r="H12" s="2"/>
      <c r="I12" s="2"/>
    </row>
    <row r="13" spans="1:10" x14ac:dyDescent="0.3">
      <c r="A13" s="8">
        <v>45840</v>
      </c>
      <c r="B13" s="2">
        <v>1</v>
      </c>
      <c r="C13" s="2" t="s">
        <v>388</v>
      </c>
      <c r="D13" s="2" t="s">
        <v>403</v>
      </c>
      <c r="E13" s="3">
        <v>775</v>
      </c>
      <c r="F13" s="3">
        <f t="shared" si="1"/>
        <v>775</v>
      </c>
      <c r="G13" s="2" t="s">
        <v>428</v>
      </c>
      <c r="H13" s="2"/>
      <c r="I13" s="2"/>
    </row>
    <row r="14" spans="1:10" x14ac:dyDescent="0.3">
      <c r="A14" s="8">
        <v>45840</v>
      </c>
      <c r="B14" s="2">
        <v>1</v>
      </c>
      <c r="C14" s="2" t="s">
        <v>404</v>
      </c>
      <c r="D14" s="2" t="s">
        <v>403</v>
      </c>
      <c r="E14" s="3">
        <v>1295</v>
      </c>
      <c r="F14" s="3">
        <f t="shared" si="1"/>
        <v>1295</v>
      </c>
      <c r="G14" s="2" t="s">
        <v>428</v>
      </c>
      <c r="H14" s="2"/>
      <c r="I14" s="2"/>
    </row>
    <row r="15" spans="1:10" x14ac:dyDescent="0.3">
      <c r="A15" s="8">
        <v>45840</v>
      </c>
      <c r="B15" s="2">
        <v>1</v>
      </c>
      <c r="C15" s="2" t="s">
        <v>405</v>
      </c>
      <c r="D15" s="2" t="s">
        <v>403</v>
      </c>
      <c r="E15" s="3">
        <v>1375</v>
      </c>
      <c r="F15" s="3">
        <f t="shared" si="1"/>
        <v>1375</v>
      </c>
      <c r="G15" s="2" t="s">
        <v>428</v>
      </c>
      <c r="H15" s="2"/>
      <c r="I15" s="2"/>
    </row>
    <row r="16" spans="1:10" x14ac:dyDescent="0.3">
      <c r="A16" s="8">
        <v>45840</v>
      </c>
      <c r="B16" s="2">
        <v>1</v>
      </c>
      <c r="C16" s="2" t="s">
        <v>376</v>
      </c>
      <c r="D16" s="2" t="s">
        <v>403</v>
      </c>
      <c r="E16" s="3">
        <v>852</v>
      </c>
      <c r="F16" s="3">
        <f t="shared" si="1"/>
        <v>852</v>
      </c>
      <c r="G16" s="2" t="s">
        <v>428</v>
      </c>
      <c r="H16" s="2"/>
      <c r="I16" s="2"/>
    </row>
    <row r="17" spans="1:9" x14ac:dyDescent="0.3">
      <c r="A17" s="49">
        <v>45840</v>
      </c>
      <c r="B17" s="10">
        <v>1</v>
      </c>
      <c r="C17" s="10" t="s">
        <v>404</v>
      </c>
      <c r="D17" s="10" t="s">
        <v>385</v>
      </c>
      <c r="E17" s="50">
        <v>1228</v>
      </c>
      <c r="F17" s="50">
        <f t="shared" si="1"/>
        <v>1228</v>
      </c>
      <c r="G17" s="10" t="s">
        <v>435</v>
      </c>
      <c r="H17" s="2"/>
      <c r="I17" s="2"/>
    </row>
    <row r="18" spans="1:9" x14ac:dyDescent="0.3">
      <c r="A18" s="49">
        <v>45840</v>
      </c>
      <c r="B18" s="10">
        <v>1</v>
      </c>
      <c r="C18" s="10" t="s">
        <v>388</v>
      </c>
      <c r="D18" s="10" t="s">
        <v>385</v>
      </c>
      <c r="E18" s="50">
        <v>750</v>
      </c>
      <c r="F18" s="50">
        <f t="shared" si="1"/>
        <v>750</v>
      </c>
      <c r="G18" s="10" t="s">
        <v>435</v>
      </c>
      <c r="H18" s="2"/>
      <c r="I18" s="2"/>
    </row>
    <row r="19" spans="1:9" x14ac:dyDescent="0.3">
      <c r="A19" s="8">
        <v>45841</v>
      </c>
      <c r="B19" s="2">
        <v>4</v>
      </c>
      <c r="C19" s="2" t="s">
        <v>404</v>
      </c>
      <c r="D19" s="2" t="s">
        <v>387</v>
      </c>
      <c r="E19" s="3">
        <v>1197</v>
      </c>
      <c r="F19" s="3">
        <f t="shared" si="1"/>
        <v>4788</v>
      </c>
      <c r="G19" s="2" t="s">
        <v>428</v>
      </c>
      <c r="H19" s="2"/>
      <c r="I19" s="2"/>
    </row>
    <row r="20" spans="1:9" x14ac:dyDescent="0.3">
      <c r="A20" s="8">
        <v>45841</v>
      </c>
      <c r="B20" s="2">
        <v>1</v>
      </c>
      <c r="C20" s="2" t="s">
        <v>376</v>
      </c>
      <c r="D20" s="2" t="s">
        <v>387</v>
      </c>
      <c r="E20" s="3">
        <v>852</v>
      </c>
      <c r="F20" s="3">
        <f t="shared" si="1"/>
        <v>852</v>
      </c>
      <c r="G20" s="2" t="s">
        <v>428</v>
      </c>
      <c r="H20" s="2"/>
      <c r="I20" s="2"/>
    </row>
    <row r="21" spans="1:9" x14ac:dyDescent="0.3">
      <c r="A21" s="17">
        <v>45841</v>
      </c>
      <c r="B21" s="18">
        <v>1</v>
      </c>
      <c r="C21" s="18" t="s">
        <v>411</v>
      </c>
      <c r="D21" s="18" t="s">
        <v>387</v>
      </c>
      <c r="E21" s="19">
        <v>338</v>
      </c>
      <c r="F21" s="19">
        <f t="shared" si="1"/>
        <v>338</v>
      </c>
      <c r="G21" s="18" t="s">
        <v>487</v>
      </c>
      <c r="H21" s="18" t="s">
        <v>488</v>
      </c>
      <c r="I21" s="2"/>
    </row>
    <row r="22" spans="1:9" x14ac:dyDescent="0.3">
      <c r="A22" s="8">
        <v>45840</v>
      </c>
      <c r="B22" s="2">
        <v>1</v>
      </c>
      <c r="C22" s="2" t="s">
        <v>409</v>
      </c>
      <c r="D22" s="2" t="s">
        <v>384</v>
      </c>
      <c r="E22" s="3">
        <v>1375</v>
      </c>
      <c r="F22" s="3">
        <f t="shared" si="1"/>
        <v>1375</v>
      </c>
      <c r="G22" s="2" t="s">
        <v>428</v>
      </c>
      <c r="H22" s="2"/>
      <c r="I22" s="2"/>
    </row>
    <row r="23" spans="1:9" x14ac:dyDescent="0.3">
      <c r="A23" s="8">
        <v>45840</v>
      </c>
      <c r="B23" s="2">
        <v>1</v>
      </c>
      <c r="C23" s="2" t="s">
        <v>378</v>
      </c>
      <c r="D23" s="2" t="s">
        <v>384</v>
      </c>
      <c r="E23" s="3">
        <v>775</v>
      </c>
      <c r="F23" s="3">
        <f t="shared" si="1"/>
        <v>775</v>
      </c>
      <c r="G23" s="2" t="s">
        <v>428</v>
      </c>
      <c r="H23" s="2"/>
      <c r="I23" s="2"/>
    </row>
    <row r="24" spans="1:9" x14ac:dyDescent="0.3">
      <c r="A24" s="49">
        <v>45841</v>
      </c>
      <c r="B24" s="10">
        <v>4</v>
      </c>
      <c r="C24" s="10" t="s">
        <v>388</v>
      </c>
      <c r="D24" s="10" t="s">
        <v>408</v>
      </c>
      <c r="E24" s="50">
        <v>766</v>
      </c>
      <c r="F24" s="50">
        <v>3064</v>
      </c>
      <c r="G24" s="10" t="s">
        <v>435</v>
      </c>
      <c r="H24" s="2"/>
      <c r="I24" s="2"/>
    </row>
    <row r="25" spans="1:9" x14ac:dyDescent="0.3">
      <c r="A25" s="8">
        <v>45844</v>
      </c>
      <c r="B25" s="2">
        <v>2</v>
      </c>
      <c r="C25" s="2" t="s">
        <v>391</v>
      </c>
      <c r="D25" s="2" t="s">
        <v>392</v>
      </c>
      <c r="E25" s="3">
        <v>89</v>
      </c>
      <c r="F25" s="3">
        <v>89</v>
      </c>
      <c r="G25" s="2"/>
      <c r="H25" s="2"/>
      <c r="I25" s="2"/>
    </row>
    <row r="26" spans="1:9" x14ac:dyDescent="0.3">
      <c r="A26" s="8">
        <v>45844</v>
      </c>
      <c r="B26" s="2">
        <v>150</v>
      </c>
      <c r="C26" s="2" t="s">
        <v>407</v>
      </c>
      <c r="D26" s="2" t="s">
        <v>390</v>
      </c>
      <c r="E26" s="3">
        <v>494</v>
      </c>
      <c r="F26" s="3">
        <v>74100</v>
      </c>
      <c r="G26" s="2" t="s">
        <v>428</v>
      </c>
      <c r="H26" s="2"/>
      <c r="I26" s="2"/>
    </row>
    <row r="27" spans="1:9" x14ac:dyDescent="0.3">
      <c r="A27" s="8">
        <v>45842</v>
      </c>
      <c r="B27" s="2"/>
      <c r="C27" s="2" t="s">
        <v>401</v>
      </c>
      <c r="D27" s="2" t="s">
        <v>390</v>
      </c>
      <c r="E27" s="3">
        <v>1900</v>
      </c>
      <c r="F27" s="3">
        <v>1900</v>
      </c>
      <c r="G27" s="2"/>
      <c r="H27" s="2"/>
      <c r="I27" s="2"/>
    </row>
    <row r="28" spans="1:9" x14ac:dyDescent="0.3">
      <c r="A28" s="8">
        <v>45846</v>
      </c>
      <c r="B28" s="2">
        <v>100</v>
      </c>
      <c r="C28" s="2" t="s">
        <v>395</v>
      </c>
      <c r="D28" s="2" t="s">
        <v>291</v>
      </c>
      <c r="E28" s="3">
        <v>494</v>
      </c>
      <c r="F28" s="3">
        <v>49400</v>
      </c>
      <c r="G28" s="2" t="s">
        <v>428</v>
      </c>
      <c r="H28" s="2"/>
      <c r="I28" s="2"/>
    </row>
    <row r="29" spans="1:9" x14ac:dyDescent="0.3">
      <c r="A29" s="8">
        <v>45848</v>
      </c>
      <c r="B29" s="2">
        <v>100</v>
      </c>
      <c r="C29" s="2" t="s">
        <v>396</v>
      </c>
      <c r="D29" s="2" t="s">
        <v>291</v>
      </c>
      <c r="E29" s="3">
        <v>229</v>
      </c>
      <c r="F29" s="3">
        <v>32900</v>
      </c>
      <c r="G29" s="2" t="s">
        <v>427</v>
      </c>
      <c r="H29" s="2"/>
      <c r="I29" s="2"/>
    </row>
    <row r="30" spans="1:9" x14ac:dyDescent="0.3">
      <c r="A30" s="8">
        <v>45854</v>
      </c>
      <c r="B30" s="2">
        <v>200</v>
      </c>
      <c r="C30" s="2" t="s">
        <v>356</v>
      </c>
      <c r="D30" s="2" t="s">
        <v>291</v>
      </c>
      <c r="E30" s="3">
        <v>728</v>
      </c>
      <c r="F30" s="3">
        <f>E30*B30</f>
        <v>145600</v>
      </c>
      <c r="G30" s="2" t="s">
        <v>429</v>
      </c>
      <c r="H30" s="2"/>
      <c r="I30" s="2"/>
    </row>
    <row r="31" spans="1:9" x14ac:dyDescent="0.3">
      <c r="A31" s="8">
        <v>45854</v>
      </c>
      <c r="B31" s="2">
        <v>80</v>
      </c>
      <c r="C31" s="2" t="s">
        <v>357</v>
      </c>
      <c r="D31" s="2" t="s">
        <v>291</v>
      </c>
      <c r="E31" s="3">
        <v>85</v>
      </c>
      <c r="F31" s="3">
        <f>B31*E31</f>
        <v>6800</v>
      </c>
      <c r="G31" s="2" t="s">
        <v>430</v>
      </c>
      <c r="H31" s="2"/>
      <c r="I31" s="2"/>
    </row>
    <row r="32" spans="1:9" x14ac:dyDescent="0.3">
      <c r="A32" s="8">
        <v>45857</v>
      </c>
      <c r="B32" s="2">
        <v>2</v>
      </c>
      <c r="C32" s="2" t="s">
        <v>296</v>
      </c>
      <c r="D32" s="2" t="s">
        <v>291</v>
      </c>
      <c r="E32" s="3">
        <v>89</v>
      </c>
      <c r="F32" s="3">
        <f>B32*E32</f>
        <v>178</v>
      </c>
      <c r="G32" s="2"/>
      <c r="H32" s="2"/>
      <c r="I32" s="2"/>
    </row>
    <row r="33" spans="1:9" x14ac:dyDescent="0.3">
      <c r="A33" s="49">
        <v>45861</v>
      </c>
      <c r="B33" s="10">
        <v>10</v>
      </c>
      <c r="C33" s="10" t="s">
        <v>447</v>
      </c>
      <c r="D33" s="10" t="s">
        <v>383</v>
      </c>
      <c r="E33" s="50">
        <v>1449</v>
      </c>
      <c r="F33" s="50">
        <f>B33*E33</f>
        <v>14490</v>
      </c>
      <c r="G33" s="10" t="s">
        <v>469</v>
      </c>
      <c r="H33" s="10" t="s">
        <v>472</v>
      </c>
      <c r="I33" s="2"/>
    </row>
    <row r="34" spans="1:9" x14ac:dyDescent="0.3">
      <c r="A34" s="49">
        <v>45862</v>
      </c>
      <c r="B34" s="10">
        <v>5</v>
      </c>
      <c r="C34" s="10" t="s">
        <v>448</v>
      </c>
      <c r="D34" s="10" t="s">
        <v>383</v>
      </c>
      <c r="E34" s="50">
        <v>1449</v>
      </c>
      <c r="F34" s="50">
        <f t="shared" ref="F34:F35" si="2">B34*E34</f>
        <v>7245</v>
      </c>
      <c r="G34" s="10" t="s">
        <v>469</v>
      </c>
      <c r="H34" s="10" t="s">
        <v>472</v>
      </c>
      <c r="I34" s="2"/>
    </row>
    <row r="35" spans="1:9" x14ac:dyDescent="0.3">
      <c r="A35" s="49">
        <v>45863</v>
      </c>
      <c r="B35" s="10">
        <v>2</v>
      </c>
      <c r="C35" s="10" t="s">
        <v>431</v>
      </c>
      <c r="D35" s="10" t="s">
        <v>383</v>
      </c>
      <c r="E35" s="50">
        <v>852</v>
      </c>
      <c r="F35" s="50">
        <f t="shared" si="2"/>
        <v>1704</v>
      </c>
      <c r="G35" s="10" t="s">
        <v>469</v>
      </c>
      <c r="H35" s="10" t="s">
        <v>472</v>
      </c>
      <c r="I35" s="2"/>
    </row>
    <row r="36" spans="1:9" x14ac:dyDescent="0.3">
      <c r="A36" s="49">
        <v>45863</v>
      </c>
      <c r="B36" s="10">
        <v>4</v>
      </c>
      <c r="C36" s="10" t="s">
        <v>378</v>
      </c>
      <c r="D36" s="10" t="s">
        <v>383</v>
      </c>
      <c r="E36" s="50">
        <v>738</v>
      </c>
      <c r="F36" s="50">
        <f>B36*E36</f>
        <v>2952</v>
      </c>
      <c r="G36" s="10" t="s">
        <v>432</v>
      </c>
      <c r="H36" s="10" t="s">
        <v>472</v>
      </c>
      <c r="I36" s="2"/>
    </row>
    <row r="37" spans="1:9" x14ac:dyDescent="0.3">
      <c r="A37" s="49">
        <v>45864</v>
      </c>
      <c r="B37" s="10">
        <v>6</v>
      </c>
      <c r="C37" s="10" t="s">
        <v>378</v>
      </c>
      <c r="D37" s="10" t="s">
        <v>383</v>
      </c>
      <c r="E37" s="50">
        <v>0</v>
      </c>
      <c r="F37" s="50">
        <f t="shared" ref="F37" si="3">B37*E37</f>
        <v>0</v>
      </c>
      <c r="G37" s="10" t="s">
        <v>470</v>
      </c>
      <c r="H37" s="16" t="s">
        <v>519</v>
      </c>
      <c r="I37" s="2"/>
    </row>
    <row r="38" spans="1:9" x14ac:dyDescent="0.3">
      <c r="A38" s="8">
        <v>45864</v>
      </c>
      <c r="B38" s="2">
        <v>10</v>
      </c>
      <c r="C38" s="2" t="s">
        <v>447</v>
      </c>
      <c r="D38" s="2" t="s">
        <v>433</v>
      </c>
      <c r="E38" s="3">
        <v>1348</v>
      </c>
      <c r="F38" s="50"/>
      <c r="G38" s="111" t="s">
        <v>471</v>
      </c>
      <c r="H38" s="10" t="s">
        <v>470</v>
      </c>
      <c r="I38" s="2"/>
    </row>
    <row r="39" spans="1:9" x14ac:dyDescent="0.3">
      <c r="A39" s="8">
        <v>45864</v>
      </c>
      <c r="B39" s="2">
        <v>10</v>
      </c>
      <c r="C39" s="2" t="s">
        <v>448</v>
      </c>
      <c r="D39" s="2" t="s">
        <v>433</v>
      </c>
      <c r="E39" s="3">
        <v>1348</v>
      </c>
      <c r="F39" s="50"/>
      <c r="G39" s="111"/>
      <c r="H39" s="10" t="s">
        <v>470</v>
      </c>
      <c r="I39" s="2"/>
    </row>
    <row r="40" spans="1:9" x14ac:dyDescent="0.3">
      <c r="A40" s="8">
        <v>45864</v>
      </c>
      <c r="B40" s="2">
        <v>4</v>
      </c>
      <c r="C40" s="2" t="s">
        <v>378</v>
      </c>
      <c r="D40" s="2" t="s">
        <v>433</v>
      </c>
      <c r="E40" s="3">
        <v>738</v>
      </c>
      <c r="F40" s="50"/>
      <c r="G40" s="111"/>
      <c r="H40" s="10" t="s">
        <v>470</v>
      </c>
      <c r="I40" s="2"/>
    </row>
    <row r="41" spans="1:9" x14ac:dyDescent="0.3">
      <c r="A41" s="8">
        <v>45864</v>
      </c>
      <c r="B41" s="2">
        <v>6</v>
      </c>
      <c r="C41" s="2" t="s">
        <v>378</v>
      </c>
      <c r="D41" s="2" t="s">
        <v>433</v>
      </c>
      <c r="E41" s="3">
        <v>738</v>
      </c>
      <c r="F41" s="50">
        <f t="shared" ref="F41" si="4">B41*E41</f>
        <v>4428</v>
      </c>
      <c r="G41" s="10" t="s">
        <v>469</v>
      </c>
      <c r="H41" s="2"/>
      <c r="I41" s="2"/>
    </row>
    <row r="42" spans="1:9" x14ac:dyDescent="0.3">
      <c r="A42" s="8">
        <v>45862</v>
      </c>
      <c r="B42" s="2">
        <v>1</v>
      </c>
      <c r="C42" s="2" t="s">
        <v>409</v>
      </c>
      <c r="D42" s="2" t="s">
        <v>385</v>
      </c>
      <c r="E42" s="3">
        <v>1359</v>
      </c>
      <c r="F42" s="3">
        <v>1359</v>
      </c>
      <c r="G42" s="2" t="s">
        <v>435</v>
      </c>
      <c r="H42" s="2"/>
      <c r="I42" s="2"/>
    </row>
    <row r="43" spans="1:9" x14ac:dyDescent="0.3">
      <c r="A43" s="8">
        <v>45865</v>
      </c>
      <c r="B43" s="2">
        <v>20</v>
      </c>
      <c r="C43" s="2" t="s">
        <v>378</v>
      </c>
      <c r="D43" s="2" t="s">
        <v>291</v>
      </c>
      <c r="E43" s="3">
        <v>720</v>
      </c>
      <c r="F43" s="3"/>
      <c r="G43" s="2" t="s">
        <v>436</v>
      </c>
      <c r="H43" s="2"/>
      <c r="I43" s="2"/>
    </row>
    <row r="44" spans="1:9" x14ac:dyDescent="0.3">
      <c r="A44" s="2" t="s">
        <v>449</v>
      </c>
      <c r="B44" s="2">
        <v>1</v>
      </c>
      <c r="C44" s="2" t="s">
        <v>448</v>
      </c>
      <c r="D44" s="2" t="s">
        <v>387</v>
      </c>
      <c r="E44" s="3">
        <v>1359</v>
      </c>
      <c r="F44" s="3">
        <v>1359</v>
      </c>
      <c r="G44" s="2" t="s">
        <v>435</v>
      </c>
      <c r="H44" s="2"/>
      <c r="I44" s="2"/>
    </row>
  </sheetData>
  <mergeCells count="1">
    <mergeCell ref="G38:G40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70A1-9445-4C5C-97D5-458973010FC8}">
  <dimension ref="A1:O24"/>
  <sheetViews>
    <sheetView workbookViewId="0">
      <selection activeCell="B23" activeCellId="1" sqref="B16:B19 B23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31.44140625" bestFit="1" customWidth="1"/>
    <col min="4" max="4" width="26.5546875" bestFit="1" customWidth="1"/>
    <col min="5" max="5" width="9" bestFit="1" customWidth="1"/>
    <col min="6" max="6" width="10" bestFit="1" customWidth="1"/>
    <col min="7" max="7" width="17.5546875" bestFit="1" customWidth="1"/>
    <col min="8" max="8" width="15" bestFit="1" customWidth="1"/>
    <col min="9" max="9" width="21.88671875" bestFit="1" customWidth="1"/>
  </cols>
  <sheetData>
    <row r="1" spans="1:15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15" x14ac:dyDescent="0.3">
      <c r="A2" s="8">
        <v>45873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569</v>
      </c>
      <c r="H2" s="2" t="s">
        <v>463</v>
      </c>
      <c r="I2" s="2"/>
    </row>
    <row r="3" spans="1:15" x14ac:dyDescent="0.3">
      <c r="A3" s="8">
        <v>45874</v>
      </c>
      <c r="B3" s="2">
        <v>1</v>
      </c>
      <c r="C3" s="2" t="s">
        <v>459</v>
      </c>
      <c r="D3" s="2" t="s">
        <v>460</v>
      </c>
      <c r="E3" s="3">
        <v>1449</v>
      </c>
      <c r="F3" s="3">
        <f t="shared" ref="F3:F22" si="0">B3*E3</f>
        <v>1449</v>
      </c>
      <c r="G3" s="2" t="s">
        <v>348</v>
      </c>
      <c r="H3" s="2" t="s">
        <v>464</v>
      </c>
      <c r="I3" s="2" t="s">
        <v>474</v>
      </c>
    </row>
    <row r="4" spans="1:15" x14ac:dyDescent="0.3">
      <c r="A4" s="8">
        <v>45874</v>
      </c>
      <c r="B4" s="2">
        <v>1</v>
      </c>
      <c r="C4" s="2" t="s">
        <v>459</v>
      </c>
      <c r="D4" s="2" t="s">
        <v>461</v>
      </c>
      <c r="E4" s="3">
        <v>1449</v>
      </c>
      <c r="F4" s="3">
        <f t="shared" si="0"/>
        <v>1449</v>
      </c>
      <c r="G4" s="2" t="s">
        <v>348</v>
      </c>
      <c r="H4" s="2" t="s">
        <v>464</v>
      </c>
      <c r="I4" s="2" t="s">
        <v>473</v>
      </c>
    </row>
    <row r="5" spans="1:15" x14ac:dyDescent="0.3">
      <c r="A5" s="8">
        <v>45874</v>
      </c>
      <c r="B5" s="2">
        <v>2</v>
      </c>
      <c r="C5" s="2" t="s">
        <v>459</v>
      </c>
      <c r="D5" s="2" t="s">
        <v>466</v>
      </c>
      <c r="E5" s="3">
        <v>1449</v>
      </c>
      <c r="F5" s="3">
        <f t="shared" si="0"/>
        <v>2898</v>
      </c>
      <c r="G5" s="2" t="s">
        <v>348</v>
      </c>
      <c r="H5" s="2" t="s">
        <v>467</v>
      </c>
      <c r="I5" s="2" t="s">
        <v>473</v>
      </c>
    </row>
    <row r="6" spans="1:15" x14ac:dyDescent="0.3">
      <c r="A6" s="8">
        <v>45876</v>
      </c>
      <c r="B6" s="2">
        <v>4</v>
      </c>
      <c r="C6" s="2" t="s">
        <v>295</v>
      </c>
      <c r="D6" s="2" t="s">
        <v>475</v>
      </c>
      <c r="E6" s="2">
        <v>299</v>
      </c>
      <c r="F6" s="3">
        <f t="shared" si="0"/>
        <v>1196</v>
      </c>
      <c r="G6" s="2" t="s">
        <v>8</v>
      </c>
      <c r="H6" s="2"/>
      <c r="I6" s="2" t="s">
        <v>484</v>
      </c>
    </row>
    <row r="7" spans="1:15" x14ac:dyDescent="0.3">
      <c r="A7" s="8">
        <v>45876</v>
      </c>
      <c r="B7" s="2">
        <v>2</v>
      </c>
      <c r="C7" s="2" t="s">
        <v>295</v>
      </c>
      <c r="D7" s="2" t="s">
        <v>476</v>
      </c>
      <c r="E7" s="2">
        <v>299</v>
      </c>
      <c r="F7" s="3">
        <f t="shared" si="0"/>
        <v>598</v>
      </c>
      <c r="G7" s="2" t="s">
        <v>8</v>
      </c>
      <c r="H7" s="2"/>
      <c r="I7" s="2" t="s">
        <v>484</v>
      </c>
      <c r="O7">
        <v>26.88</v>
      </c>
    </row>
    <row r="8" spans="1:15" x14ac:dyDescent="0.3">
      <c r="A8" s="8">
        <v>45876</v>
      </c>
      <c r="B8" s="2">
        <v>2</v>
      </c>
      <c r="C8" s="2" t="s">
        <v>295</v>
      </c>
      <c r="D8" s="2" t="s">
        <v>477</v>
      </c>
      <c r="E8" s="2">
        <v>299</v>
      </c>
      <c r="F8" s="3">
        <f t="shared" si="0"/>
        <v>598</v>
      </c>
      <c r="G8" s="2" t="s">
        <v>8</v>
      </c>
      <c r="H8" s="2"/>
      <c r="I8" s="2" t="s">
        <v>484</v>
      </c>
      <c r="L8">
        <v>7844</v>
      </c>
      <c r="M8">
        <f>L8/299</f>
        <v>26.234113712374583</v>
      </c>
      <c r="O8">
        <v>2.33</v>
      </c>
    </row>
    <row r="9" spans="1:15" x14ac:dyDescent="0.3">
      <c r="A9" s="8">
        <v>45876</v>
      </c>
      <c r="B9" s="2">
        <v>7</v>
      </c>
      <c r="C9" s="2" t="s">
        <v>295</v>
      </c>
      <c r="D9" s="2" t="s">
        <v>478</v>
      </c>
      <c r="E9" s="2">
        <v>299</v>
      </c>
      <c r="F9" s="3">
        <f t="shared" si="0"/>
        <v>2093</v>
      </c>
      <c r="G9" s="2" t="s">
        <v>8</v>
      </c>
      <c r="H9" s="2"/>
      <c r="I9" s="2" t="s">
        <v>484</v>
      </c>
      <c r="L9">
        <v>6034.22</v>
      </c>
      <c r="M9">
        <f>L9/299</f>
        <v>20.18133779264214</v>
      </c>
      <c r="O9">
        <v>7.46</v>
      </c>
    </row>
    <row r="10" spans="1:15" x14ac:dyDescent="0.3">
      <c r="A10" s="8">
        <v>45876</v>
      </c>
      <c r="B10" s="2">
        <v>8</v>
      </c>
      <c r="C10" s="2" t="s">
        <v>295</v>
      </c>
      <c r="D10" s="2" t="s">
        <v>479</v>
      </c>
      <c r="E10" s="2">
        <v>299</v>
      </c>
      <c r="F10" s="3">
        <f t="shared" si="0"/>
        <v>2392</v>
      </c>
      <c r="G10" s="2" t="s">
        <v>8</v>
      </c>
      <c r="H10" s="2"/>
      <c r="I10" s="2" t="s">
        <v>484</v>
      </c>
      <c r="O10">
        <v>123.72</v>
      </c>
    </row>
    <row r="11" spans="1:15" x14ac:dyDescent="0.3">
      <c r="A11" s="8">
        <v>45876</v>
      </c>
      <c r="B11" s="2">
        <v>20</v>
      </c>
      <c r="C11" s="2" t="s">
        <v>295</v>
      </c>
      <c r="D11" s="2" t="s">
        <v>480</v>
      </c>
      <c r="E11" s="2">
        <v>299</v>
      </c>
      <c r="F11" s="3">
        <f t="shared" si="0"/>
        <v>5980</v>
      </c>
      <c r="G11" s="2" t="s">
        <v>8</v>
      </c>
      <c r="H11" s="2"/>
      <c r="I11" s="2" t="s">
        <v>484</v>
      </c>
      <c r="O11">
        <v>495.62</v>
      </c>
    </row>
    <row r="12" spans="1:15" x14ac:dyDescent="0.3">
      <c r="A12" s="8">
        <v>45876</v>
      </c>
      <c r="B12" s="2">
        <v>26</v>
      </c>
      <c r="C12" s="2" t="s">
        <v>295</v>
      </c>
      <c r="D12" s="2" t="s">
        <v>481</v>
      </c>
      <c r="E12" s="2">
        <v>299</v>
      </c>
      <c r="F12" s="3">
        <f t="shared" si="0"/>
        <v>7774</v>
      </c>
      <c r="G12" s="2" t="s">
        <v>8</v>
      </c>
      <c r="H12" s="2"/>
      <c r="I12" s="2" t="s">
        <v>484</v>
      </c>
      <c r="O12">
        <v>100</v>
      </c>
    </row>
    <row r="13" spans="1:15" x14ac:dyDescent="0.3">
      <c r="A13" s="8">
        <v>45876</v>
      </c>
      <c r="B13" s="2">
        <v>40</v>
      </c>
      <c r="C13" s="2" t="s">
        <v>295</v>
      </c>
      <c r="D13" s="2" t="s">
        <v>482</v>
      </c>
      <c r="E13" s="2">
        <v>299</v>
      </c>
      <c r="F13" s="3">
        <f t="shared" si="0"/>
        <v>11960</v>
      </c>
      <c r="G13" s="2" t="s">
        <v>8</v>
      </c>
      <c r="H13" s="2"/>
      <c r="I13" s="2" t="s">
        <v>484</v>
      </c>
      <c r="O13">
        <v>52.68</v>
      </c>
    </row>
    <row r="14" spans="1:15" x14ac:dyDescent="0.3">
      <c r="A14" s="8">
        <v>45877</v>
      </c>
      <c r="B14" s="2">
        <v>2</v>
      </c>
      <c r="C14" s="2" t="s">
        <v>295</v>
      </c>
      <c r="D14" s="2" t="s">
        <v>483</v>
      </c>
      <c r="E14" s="2">
        <v>299</v>
      </c>
      <c r="F14" s="3">
        <f t="shared" si="0"/>
        <v>598</v>
      </c>
      <c r="G14" s="2" t="s">
        <v>8</v>
      </c>
      <c r="H14" s="2"/>
      <c r="I14" s="2" t="s">
        <v>484</v>
      </c>
      <c r="O14">
        <v>24.6</v>
      </c>
    </row>
    <row r="15" spans="1:15" x14ac:dyDescent="0.3">
      <c r="A15" s="8">
        <v>45877</v>
      </c>
      <c r="B15" s="2">
        <v>1</v>
      </c>
      <c r="C15" s="2" t="s">
        <v>485</v>
      </c>
      <c r="D15" s="2" t="s">
        <v>486</v>
      </c>
      <c r="E15" s="2">
        <v>1600</v>
      </c>
      <c r="F15" s="3">
        <f t="shared" si="0"/>
        <v>1600</v>
      </c>
      <c r="G15" s="2"/>
      <c r="H15" s="2"/>
      <c r="I15" s="2"/>
      <c r="O15">
        <v>2.33</v>
      </c>
    </row>
    <row r="16" spans="1:15" x14ac:dyDescent="0.3">
      <c r="A16" s="8">
        <v>45889</v>
      </c>
      <c r="B16" s="2">
        <v>5</v>
      </c>
      <c r="C16" s="2" t="s">
        <v>323</v>
      </c>
      <c r="D16" s="2" t="s">
        <v>518</v>
      </c>
      <c r="E16" s="2">
        <v>779.9</v>
      </c>
      <c r="F16" s="3">
        <f t="shared" si="0"/>
        <v>3899.5</v>
      </c>
      <c r="G16" s="2" t="s">
        <v>24</v>
      </c>
      <c r="H16" s="2"/>
      <c r="I16" s="2"/>
      <c r="O16">
        <v>3.66</v>
      </c>
    </row>
    <row r="17" spans="1:15" x14ac:dyDescent="0.3">
      <c r="A17" s="8">
        <v>45889</v>
      </c>
      <c r="B17" s="2">
        <v>1</v>
      </c>
      <c r="C17" s="2" t="s">
        <v>323</v>
      </c>
      <c r="D17" s="2" t="s">
        <v>466</v>
      </c>
      <c r="E17" s="2">
        <v>779.9</v>
      </c>
      <c r="F17" s="3">
        <f t="shared" si="0"/>
        <v>779.9</v>
      </c>
      <c r="G17" s="2" t="s">
        <v>520</v>
      </c>
      <c r="H17" s="2" t="s">
        <v>467</v>
      </c>
      <c r="I17" s="2" t="s">
        <v>521</v>
      </c>
      <c r="M17">
        <v>156</v>
      </c>
      <c r="O17">
        <v>3.66</v>
      </c>
    </row>
    <row r="18" spans="1:15" x14ac:dyDescent="0.3">
      <c r="A18" s="8">
        <v>45889</v>
      </c>
      <c r="B18" s="2">
        <v>1</v>
      </c>
      <c r="C18" s="2" t="s">
        <v>323</v>
      </c>
      <c r="D18" s="2" t="s">
        <v>461</v>
      </c>
      <c r="E18" s="2">
        <v>775</v>
      </c>
      <c r="F18" s="3">
        <f t="shared" si="0"/>
        <v>775</v>
      </c>
      <c r="G18" s="2" t="s">
        <v>520</v>
      </c>
      <c r="H18" s="2" t="s">
        <v>464</v>
      </c>
      <c r="I18" s="2" t="s">
        <v>521</v>
      </c>
      <c r="M18">
        <v>113</v>
      </c>
      <c r="O18">
        <v>6.27</v>
      </c>
    </row>
    <row r="19" spans="1:15" x14ac:dyDescent="0.3">
      <c r="A19" s="8">
        <v>45889</v>
      </c>
      <c r="B19" s="2">
        <v>4</v>
      </c>
      <c r="C19" s="2" t="s">
        <v>323</v>
      </c>
      <c r="D19" s="2" t="s">
        <v>522</v>
      </c>
      <c r="E19" s="2">
        <v>750</v>
      </c>
      <c r="F19" s="3">
        <f t="shared" si="0"/>
        <v>3000</v>
      </c>
      <c r="G19" s="2" t="s">
        <v>520</v>
      </c>
      <c r="H19" s="2" t="s">
        <v>464</v>
      </c>
      <c r="I19" s="2" t="s">
        <v>521</v>
      </c>
      <c r="M19">
        <f>SUM(M17:M18)</f>
        <v>269</v>
      </c>
      <c r="O19">
        <v>13.05</v>
      </c>
    </row>
    <row r="20" spans="1:15" x14ac:dyDescent="0.3">
      <c r="A20" s="8">
        <v>45895</v>
      </c>
      <c r="B20" s="2">
        <v>50</v>
      </c>
      <c r="C20" s="2" t="s">
        <v>458</v>
      </c>
      <c r="D20" s="2" t="s">
        <v>291</v>
      </c>
      <c r="E20" s="2">
        <v>329</v>
      </c>
      <c r="F20" s="3">
        <f t="shared" si="0"/>
        <v>16450</v>
      </c>
      <c r="G20" s="2" t="s">
        <v>520</v>
      </c>
      <c r="H20" s="2" t="s">
        <v>463</v>
      </c>
      <c r="I20" s="2"/>
      <c r="M20">
        <v>269000</v>
      </c>
      <c r="O20">
        <v>10.61</v>
      </c>
    </row>
    <row r="21" spans="1:15" x14ac:dyDescent="0.3">
      <c r="A21" s="8">
        <v>45895</v>
      </c>
      <c r="B21" s="2">
        <v>50</v>
      </c>
      <c r="C21" s="2" t="s">
        <v>523</v>
      </c>
      <c r="D21" s="2" t="s">
        <v>291</v>
      </c>
      <c r="E21" s="2">
        <v>329</v>
      </c>
      <c r="F21" s="3">
        <f t="shared" si="0"/>
        <v>16450</v>
      </c>
      <c r="G21" s="2" t="s">
        <v>520</v>
      </c>
      <c r="H21" s="2" t="s">
        <v>463</v>
      </c>
      <c r="I21" s="2"/>
      <c r="M21">
        <f>M20*13.04%</f>
        <v>35077.599999999999</v>
      </c>
      <c r="O21">
        <v>588</v>
      </c>
    </row>
    <row r="22" spans="1:15" x14ac:dyDescent="0.3">
      <c r="A22" s="8">
        <v>45895</v>
      </c>
      <c r="B22" s="2">
        <v>1</v>
      </c>
      <c r="C22" s="2" t="s">
        <v>524</v>
      </c>
      <c r="D22" s="2" t="s">
        <v>291</v>
      </c>
      <c r="E22" s="2">
        <v>89</v>
      </c>
      <c r="F22" s="3">
        <f t="shared" si="0"/>
        <v>89</v>
      </c>
      <c r="G22" s="2"/>
      <c r="H22" s="2"/>
      <c r="I22" s="2"/>
      <c r="O22">
        <v>25</v>
      </c>
    </row>
    <row r="23" spans="1:15" x14ac:dyDescent="0.3">
      <c r="A23" s="8">
        <v>45891</v>
      </c>
      <c r="B23" s="2">
        <v>10</v>
      </c>
      <c r="C23" s="2" t="s">
        <v>323</v>
      </c>
      <c r="D23" s="2" t="s">
        <v>433</v>
      </c>
      <c r="E23" s="2">
        <v>738</v>
      </c>
      <c r="F23" s="3">
        <v>0</v>
      </c>
      <c r="G23" s="2" t="s">
        <v>541</v>
      </c>
      <c r="H23" s="2" t="s">
        <v>433</v>
      </c>
      <c r="I23" s="2" t="s">
        <v>540</v>
      </c>
    </row>
    <row r="24" spans="1:15" x14ac:dyDescent="0.3">
      <c r="A24" s="8">
        <v>45898</v>
      </c>
      <c r="B24" s="2"/>
      <c r="C24" s="2" t="s">
        <v>542</v>
      </c>
      <c r="D24" s="2" t="s">
        <v>543</v>
      </c>
      <c r="E24" s="2">
        <v>1</v>
      </c>
      <c r="F24" s="21">
        <v>15000</v>
      </c>
      <c r="G24" s="2" t="s">
        <v>92</v>
      </c>
      <c r="H24" s="2"/>
      <c r="I24" s="2"/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FF02-F460-4855-8211-31AD166EA921}">
  <dimension ref="A1:I12"/>
  <sheetViews>
    <sheetView workbookViewId="0">
      <selection activeCell="E25" sqref="E25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18.6640625" bestFit="1" customWidth="1"/>
    <col min="4" max="4" width="15.21875" bestFit="1" customWidth="1"/>
    <col min="5" max="5" width="9" bestFit="1" customWidth="1"/>
    <col min="6" max="6" width="11" bestFit="1" customWidth="1"/>
    <col min="7" max="7" width="18.77734375" bestFit="1" customWidth="1"/>
    <col min="8" max="8" width="15" bestFit="1" customWidth="1"/>
    <col min="9" max="9" width="12.1093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9" x14ac:dyDescent="0.3">
      <c r="A2" s="8">
        <v>45909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578</v>
      </c>
      <c r="H2" s="2" t="s">
        <v>463</v>
      </c>
      <c r="I2" s="2"/>
    </row>
    <row r="3" spans="1:9" x14ac:dyDescent="0.3">
      <c r="A3" s="8">
        <v>45909</v>
      </c>
      <c r="B3" s="2">
        <v>400</v>
      </c>
      <c r="C3" s="2" t="s">
        <v>295</v>
      </c>
      <c r="D3" s="2" t="s">
        <v>291</v>
      </c>
      <c r="E3" s="3">
        <v>299</v>
      </c>
      <c r="F3" s="3">
        <f t="shared" ref="F3:F11" si="0">B3*E3</f>
        <v>119600</v>
      </c>
      <c r="G3" s="2" t="s">
        <v>569</v>
      </c>
      <c r="H3" s="2" t="s">
        <v>463</v>
      </c>
      <c r="I3" s="8">
        <v>45909</v>
      </c>
    </row>
    <row r="4" spans="1:9" x14ac:dyDescent="0.3">
      <c r="A4" s="8">
        <v>45909</v>
      </c>
      <c r="B4" s="2">
        <v>3</v>
      </c>
      <c r="C4" s="2" t="s">
        <v>391</v>
      </c>
      <c r="D4" s="2" t="s">
        <v>291</v>
      </c>
      <c r="E4" s="3">
        <v>89</v>
      </c>
      <c r="F4" s="3">
        <f t="shared" si="0"/>
        <v>267</v>
      </c>
      <c r="G4" s="2" t="s">
        <v>569</v>
      </c>
      <c r="H4" s="2"/>
      <c r="I4" s="2"/>
    </row>
    <row r="5" spans="1:9" x14ac:dyDescent="0.3">
      <c r="A5" s="8">
        <v>45925</v>
      </c>
      <c r="B5" s="2">
        <v>2</v>
      </c>
      <c r="C5" s="2" t="s">
        <v>580</v>
      </c>
      <c r="D5" s="2" t="s">
        <v>460</v>
      </c>
      <c r="E5" s="3">
        <v>1449</v>
      </c>
      <c r="F5" s="3">
        <f t="shared" si="0"/>
        <v>2898</v>
      </c>
      <c r="G5" s="2" t="s">
        <v>579</v>
      </c>
      <c r="H5" s="2"/>
      <c r="I5" s="2"/>
    </row>
    <row r="6" spans="1:9" x14ac:dyDescent="0.3">
      <c r="A6" s="8">
        <v>45926</v>
      </c>
      <c r="B6" s="2">
        <v>4</v>
      </c>
      <c r="C6" s="2" t="s">
        <v>580</v>
      </c>
      <c r="D6" s="2" t="s">
        <v>581</v>
      </c>
      <c r="E6" s="3">
        <v>1348</v>
      </c>
      <c r="F6" s="3">
        <f t="shared" si="0"/>
        <v>5392</v>
      </c>
      <c r="G6" s="2" t="s">
        <v>579</v>
      </c>
      <c r="H6" s="2"/>
      <c r="I6" s="2"/>
    </row>
    <row r="7" spans="1:9" x14ac:dyDescent="0.3">
      <c r="A7" s="8">
        <v>45926</v>
      </c>
      <c r="B7" s="2">
        <v>1</v>
      </c>
      <c r="C7" s="2" t="s">
        <v>582</v>
      </c>
      <c r="D7" s="2" t="s">
        <v>581</v>
      </c>
      <c r="E7" s="3">
        <v>1348</v>
      </c>
      <c r="F7" s="3">
        <f t="shared" si="0"/>
        <v>1348</v>
      </c>
      <c r="G7" s="2" t="s">
        <v>579</v>
      </c>
      <c r="H7" s="2"/>
      <c r="I7" s="2"/>
    </row>
    <row r="8" spans="1:9" x14ac:dyDescent="0.3">
      <c r="A8" s="8">
        <v>45926</v>
      </c>
      <c r="B8" s="2">
        <v>4</v>
      </c>
      <c r="C8" s="2" t="s">
        <v>378</v>
      </c>
      <c r="D8" s="2" t="s">
        <v>581</v>
      </c>
      <c r="E8" s="3">
        <v>738</v>
      </c>
      <c r="F8" s="3">
        <f t="shared" si="0"/>
        <v>2952</v>
      </c>
      <c r="G8" s="2" t="s">
        <v>579</v>
      </c>
      <c r="H8" s="2"/>
      <c r="I8" s="2"/>
    </row>
    <row r="9" spans="1:9" x14ac:dyDescent="0.3">
      <c r="A9" s="8">
        <v>45926</v>
      </c>
      <c r="B9" s="2">
        <v>5</v>
      </c>
      <c r="C9" s="2" t="s">
        <v>580</v>
      </c>
      <c r="D9" s="2" t="s">
        <v>383</v>
      </c>
      <c r="E9" s="3">
        <v>1449</v>
      </c>
      <c r="F9" s="3">
        <f t="shared" ref="F9" si="1">B9*E9</f>
        <v>7245</v>
      </c>
      <c r="G9" s="2" t="s">
        <v>579</v>
      </c>
      <c r="H9" s="2"/>
      <c r="I9" s="2"/>
    </row>
    <row r="10" spans="1:9" x14ac:dyDescent="0.3">
      <c r="A10" s="2"/>
      <c r="B10" s="2"/>
      <c r="C10" s="2"/>
      <c r="D10" s="2"/>
      <c r="E10" s="3"/>
      <c r="F10" s="3">
        <f t="shared" si="0"/>
        <v>0</v>
      </c>
      <c r="G10" s="2"/>
      <c r="H10" s="2"/>
      <c r="I10" s="2"/>
    </row>
    <row r="11" spans="1:9" x14ac:dyDescent="0.3">
      <c r="A11" s="2"/>
      <c r="B11" s="2"/>
      <c r="C11" s="2"/>
      <c r="D11" s="2"/>
      <c r="E11" s="3"/>
      <c r="F11" s="3">
        <f t="shared" si="0"/>
        <v>0</v>
      </c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9298-5C54-4CDB-BEF8-098854693744}">
  <dimension ref="A3:A5"/>
  <sheetViews>
    <sheetView workbookViewId="0">
      <selection activeCell="B9" sqref="B9"/>
    </sheetView>
  </sheetViews>
  <sheetFormatPr defaultRowHeight="14.4" x14ac:dyDescent="0.3"/>
  <sheetData>
    <row r="3" spans="1:1" x14ac:dyDescent="0.3">
      <c r="A3">
        <v>3000</v>
      </c>
    </row>
    <row r="4" spans="1:1" x14ac:dyDescent="0.3">
      <c r="A4">
        <v>5000</v>
      </c>
    </row>
    <row r="5" spans="1:1" x14ac:dyDescent="0.3">
      <c r="A5">
        <v>5000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7062-552F-4B11-AEB6-C2C085C5AB59}">
  <dimension ref="A1:P70"/>
  <sheetViews>
    <sheetView topLeftCell="A5" workbookViewId="0">
      <selection activeCell="A11" sqref="A11:I12"/>
    </sheetView>
  </sheetViews>
  <sheetFormatPr defaultRowHeight="14.4" x14ac:dyDescent="0.3"/>
  <cols>
    <col min="1" max="1" width="10.5546875" bestFit="1" customWidth="1"/>
    <col min="3" max="3" width="19.77734375" bestFit="1" customWidth="1"/>
    <col min="4" max="4" width="23.6640625" bestFit="1" customWidth="1"/>
    <col min="6" max="6" width="10" bestFit="1" customWidth="1"/>
    <col min="7" max="7" width="28.33203125" bestFit="1" customWidth="1"/>
    <col min="8" max="8" width="27.109375" bestFit="1" customWidth="1"/>
    <col min="9" max="9" width="19.109375" bestFit="1" customWidth="1"/>
  </cols>
  <sheetData>
    <row r="1" spans="1:15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M1">
        <v>7437</v>
      </c>
      <c r="O1">
        <v>7380</v>
      </c>
    </row>
    <row r="2" spans="1:15" x14ac:dyDescent="0.3">
      <c r="A2" s="8">
        <v>45830</v>
      </c>
      <c r="B2" s="2">
        <v>3</v>
      </c>
      <c r="C2" s="25" t="s">
        <v>334</v>
      </c>
      <c r="D2" s="2" t="s">
        <v>349</v>
      </c>
      <c r="E2" s="3">
        <v>1129</v>
      </c>
      <c r="F2" s="3">
        <f>(B2*E2)</f>
        <v>3387</v>
      </c>
      <c r="G2" s="2" t="s">
        <v>8</v>
      </c>
      <c r="H2" s="8">
        <v>45834</v>
      </c>
      <c r="M2">
        <v>9000</v>
      </c>
      <c r="O2">
        <v>8500</v>
      </c>
    </row>
    <row r="3" spans="1:15" x14ac:dyDescent="0.3">
      <c r="A3" s="8">
        <v>45830</v>
      </c>
      <c r="B3" s="2">
        <v>3</v>
      </c>
      <c r="C3" s="25" t="s">
        <v>334</v>
      </c>
      <c r="D3" s="2" t="s">
        <v>349</v>
      </c>
      <c r="E3" s="3">
        <v>1033</v>
      </c>
      <c r="F3" s="3">
        <f>(B3*E3)</f>
        <v>3099</v>
      </c>
      <c r="G3" s="2" t="s">
        <v>8</v>
      </c>
      <c r="H3" s="8"/>
    </row>
    <row r="4" spans="1:15" x14ac:dyDescent="0.3">
      <c r="A4" s="8">
        <v>45830</v>
      </c>
      <c r="B4" s="2">
        <v>3</v>
      </c>
      <c r="C4" s="25" t="s">
        <v>350</v>
      </c>
      <c r="D4" s="2" t="s">
        <v>349</v>
      </c>
      <c r="E4" s="3">
        <v>751</v>
      </c>
      <c r="F4" s="3">
        <f t="shared" ref="F4:F25" si="0">(B4*E4)</f>
        <v>2253</v>
      </c>
      <c r="G4" s="2" t="s">
        <v>8</v>
      </c>
      <c r="H4" s="8">
        <v>45834</v>
      </c>
      <c r="M4">
        <v>4430</v>
      </c>
      <c r="O4">
        <v>9900</v>
      </c>
    </row>
    <row r="5" spans="1:15" x14ac:dyDescent="0.3">
      <c r="A5" s="8">
        <v>45830</v>
      </c>
      <c r="B5" s="10">
        <v>5</v>
      </c>
      <c r="C5" s="2" t="s">
        <v>323</v>
      </c>
      <c r="D5" s="2" t="s">
        <v>349</v>
      </c>
      <c r="E5" s="3">
        <v>679</v>
      </c>
      <c r="F5" s="3">
        <f t="shared" si="0"/>
        <v>3395</v>
      </c>
      <c r="G5" s="2" t="s">
        <v>8</v>
      </c>
      <c r="H5" s="8">
        <v>45834</v>
      </c>
      <c r="I5">
        <v>4</v>
      </c>
      <c r="M5">
        <v>9000</v>
      </c>
      <c r="O5">
        <v>9900</v>
      </c>
    </row>
    <row r="6" spans="1:15" x14ac:dyDescent="0.3">
      <c r="A6" s="8">
        <v>45830</v>
      </c>
      <c r="B6" s="2">
        <v>3</v>
      </c>
      <c r="C6" s="2" t="s">
        <v>317</v>
      </c>
      <c r="D6" s="2" t="s">
        <v>349</v>
      </c>
      <c r="E6" s="3">
        <v>348</v>
      </c>
      <c r="F6" s="3">
        <f t="shared" si="0"/>
        <v>1044</v>
      </c>
      <c r="G6" s="2" t="s">
        <v>8</v>
      </c>
      <c r="H6" s="8">
        <v>45834</v>
      </c>
      <c r="M6">
        <v>1654</v>
      </c>
      <c r="O6">
        <v>9900</v>
      </c>
    </row>
    <row r="7" spans="1:15" x14ac:dyDescent="0.3">
      <c r="A7" s="8">
        <v>45830</v>
      </c>
      <c r="B7" s="10">
        <v>3</v>
      </c>
      <c r="C7" s="2" t="s">
        <v>351</v>
      </c>
      <c r="D7" s="2" t="s">
        <v>349</v>
      </c>
      <c r="E7" s="3">
        <v>2834</v>
      </c>
      <c r="F7" s="3">
        <f t="shared" si="0"/>
        <v>8502</v>
      </c>
      <c r="G7" s="2" t="s">
        <v>8</v>
      </c>
      <c r="H7" s="8">
        <v>45834</v>
      </c>
      <c r="I7">
        <v>1</v>
      </c>
      <c r="M7">
        <v>3420</v>
      </c>
    </row>
    <row r="8" spans="1:15" x14ac:dyDescent="0.3">
      <c r="A8" s="8">
        <v>45830</v>
      </c>
      <c r="B8" s="2">
        <v>2</v>
      </c>
      <c r="C8" s="2" t="s">
        <v>352</v>
      </c>
      <c r="D8" s="2" t="s">
        <v>349</v>
      </c>
      <c r="E8" s="3">
        <v>3694</v>
      </c>
      <c r="F8" s="3">
        <f t="shared" si="0"/>
        <v>7388</v>
      </c>
      <c r="G8" s="2" t="s">
        <v>8</v>
      </c>
      <c r="H8" s="8">
        <v>45834</v>
      </c>
    </row>
    <row r="9" spans="1:15" x14ac:dyDescent="0.3">
      <c r="A9" s="8">
        <v>45830</v>
      </c>
      <c r="B9" s="2">
        <v>6</v>
      </c>
      <c r="C9" s="2" t="s">
        <v>353</v>
      </c>
      <c r="D9" s="2" t="s">
        <v>349</v>
      </c>
      <c r="E9" s="3">
        <v>2558</v>
      </c>
      <c r="F9" s="3">
        <f t="shared" si="0"/>
        <v>15348</v>
      </c>
      <c r="G9" s="2" t="s">
        <v>8</v>
      </c>
      <c r="H9" s="8">
        <v>45834</v>
      </c>
    </row>
    <row r="10" spans="1:15" x14ac:dyDescent="0.3">
      <c r="A10" s="8">
        <v>45830</v>
      </c>
      <c r="B10" s="2">
        <v>6</v>
      </c>
      <c r="C10" s="2" t="s">
        <v>354</v>
      </c>
      <c r="D10" s="2" t="s">
        <v>349</v>
      </c>
      <c r="E10" s="3">
        <v>3478</v>
      </c>
      <c r="F10" s="3">
        <f t="shared" si="0"/>
        <v>20868</v>
      </c>
      <c r="G10" s="2" t="s">
        <v>8</v>
      </c>
      <c r="H10" s="8">
        <v>45834</v>
      </c>
    </row>
    <row r="11" spans="1:15" x14ac:dyDescent="0.3">
      <c r="A11" s="34">
        <v>45830</v>
      </c>
      <c r="B11" s="35">
        <v>6</v>
      </c>
      <c r="C11" s="35" t="s">
        <v>352</v>
      </c>
      <c r="D11" s="35" t="s">
        <v>118</v>
      </c>
      <c r="E11" s="36">
        <v>3750</v>
      </c>
      <c r="F11" s="36">
        <f t="shared" si="0"/>
        <v>22500</v>
      </c>
      <c r="G11" s="35" t="s">
        <v>8</v>
      </c>
      <c r="H11" s="34">
        <v>45834</v>
      </c>
      <c r="I11" t="s">
        <v>415</v>
      </c>
    </row>
    <row r="12" spans="1:15" x14ac:dyDescent="0.3">
      <c r="A12" s="34">
        <v>45830</v>
      </c>
      <c r="B12" s="35">
        <v>8</v>
      </c>
      <c r="C12" s="35" t="s">
        <v>351</v>
      </c>
      <c r="D12" s="35" t="s">
        <v>118</v>
      </c>
      <c r="E12" s="36">
        <v>2885</v>
      </c>
      <c r="F12" s="36">
        <f t="shared" si="0"/>
        <v>23080</v>
      </c>
      <c r="G12" s="35" t="s">
        <v>8</v>
      </c>
      <c r="H12" s="34">
        <v>45834</v>
      </c>
      <c r="I12" t="s">
        <v>415</v>
      </c>
    </row>
    <row r="13" spans="1:15" x14ac:dyDescent="0.3">
      <c r="A13" s="8">
        <v>45826</v>
      </c>
      <c r="B13" s="2">
        <v>32</v>
      </c>
      <c r="C13" s="2" t="s">
        <v>356</v>
      </c>
      <c r="D13" s="2" t="s">
        <v>355</v>
      </c>
      <c r="E13" s="3">
        <v>629</v>
      </c>
      <c r="F13" s="3">
        <f t="shared" si="0"/>
        <v>20128</v>
      </c>
      <c r="G13" s="2" t="s">
        <v>348</v>
      </c>
      <c r="H13" s="2"/>
    </row>
    <row r="14" spans="1:15" x14ac:dyDescent="0.3">
      <c r="A14" s="8">
        <v>45826</v>
      </c>
      <c r="B14" s="2">
        <v>1</v>
      </c>
      <c r="C14" s="2" t="s">
        <v>357</v>
      </c>
      <c r="D14" s="2" t="s">
        <v>355</v>
      </c>
      <c r="E14" s="3">
        <v>75</v>
      </c>
      <c r="F14" s="3">
        <f t="shared" si="0"/>
        <v>75</v>
      </c>
      <c r="G14" s="2" t="s">
        <v>8</v>
      </c>
      <c r="H14" s="2"/>
    </row>
    <row r="15" spans="1:15" x14ac:dyDescent="0.3">
      <c r="A15" s="8">
        <v>45826</v>
      </c>
      <c r="B15" s="2">
        <v>1</v>
      </c>
      <c r="C15" s="2" t="s">
        <v>356</v>
      </c>
      <c r="D15" s="2" t="s">
        <v>361</v>
      </c>
      <c r="E15" s="3">
        <v>615</v>
      </c>
      <c r="F15" s="3">
        <f t="shared" si="0"/>
        <v>615</v>
      </c>
      <c r="G15" s="2" t="s">
        <v>393</v>
      </c>
      <c r="H15" s="2"/>
    </row>
    <row r="16" spans="1:15" x14ac:dyDescent="0.3">
      <c r="A16" s="8">
        <v>45826</v>
      </c>
      <c r="B16" s="2">
        <v>2</v>
      </c>
      <c r="C16" s="2" t="s">
        <v>356</v>
      </c>
      <c r="D16" s="2" t="s">
        <v>364</v>
      </c>
      <c r="E16" s="3">
        <v>629</v>
      </c>
      <c r="F16" s="3">
        <f t="shared" si="0"/>
        <v>1258</v>
      </c>
      <c r="G16" s="2" t="s">
        <v>8</v>
      </c>
      <c r="H16" s="2"/>
    </row>
    <row r="17" spans="1:16" x14ac:dyDescent="0.3">
      <c r="A17" s="8">
        <v>45826</v>
      </c>
      <c r="B17" s="2">
        <v>1</v>
      </c>
      <c r="C17" s="2" t="s">
        <v>356</v>
      </c>
      <c r="D17" s="2" t="s">
        <v>360</v>
      </c>
      <c r="E17" s="3">
        <v>615</v>
      </c>
      <c r="F17" s="3">
        <f t="shared" si="0"/>
        <v>615</v>
      </c>
      <c r="G17" s="2" t="s">
        <v>8</v>
      </c>
      <c r="H17" s="2"/>
    </row>
    <row r="18" spans="1:16" x14ac:dyDescent="0.3">
      <c r="A18" s="8">
        <v>45826</v>
      </c>
      <c r="B18" s="2">
        <v>4</v>
      </c>
      <c r="C18" s="2" t="s">
        <v>323</v>
      </c>
      <c r="D18" s="2" t="s">
        <v>358</v>
      </c>
      <c r="E18" s="3">
        <v>648</v>
      </c>
      <c r="F18" s="3">
        <f t="shared" si="0"/>
        <v>2592</v>
      </c>
      <c r="G18" s="2" t="s">
        <v>8</v>
      </c>
      <c r="H18" s="2"/>
      <c r="P18">
        <v>120</v>
      </c>
    </row>
    <row r="19" spans="1:16" x14ac:dyDescent="0.3">
      <c r="A19" s="8">
        <v>45826</v>
      </c>
      <c r="B19" s="2">
        <v>1</v>
      </c>
      <c r="C19" s="2" t="s">
        <v>359</v>
      </c>
      <c r="D19" s="2" t="s">
        <v>358</v>
      </c>
      <c r="E19" s="3">
        <v>2799</v>
      </c>
      <c r="F19" s="3">
        <f t="shared" si="0"/>
        <v>2799</v>
      </c>
      <c r="G19" s="2" t="s">
        <v>368</v>
      </c>
      <c r="H19" s="2"/>
      <c r="P19">
        <v>140</v>
      </c>
    </row>
    <row r="20" spans="1:16" x14ac:dyDescent="0.3">
      <c r="A20" s="8">
        <v>45832</v>
      </c>
      <c r="B20" s="2">
        <v>2</v>
      </c>
      <c r="C20" s="2" t="s">
        <v>356</v>
      </c>
      <c r="D20" s="2" t="s">
        <v>360</v>
      </c>
      <c r="E20" s="3">
        <v>615</v>
      </c>
      <c r="F20" s="3">
        <f t="shared" si="0"/>
        <v>1230</v>
      </c>
      <c r="G20" s="2" t="s">
        <v>8</v>
      </c>
      <c r="H20" s="2"/>
      <c r="P20">
        <v>140</v>
      </c>
    </row>
    <row r="21" spans="1:16" x14ac:dyDescent="0.3">
      <c r="A21" s="8">
        <v>45832</v>
      </c>
      <c r="B21" s="2">
        <v>2</v>
      </c>
      <c r="C21" s="2" t="s">
        <v>356</v>
      </c>
      <c r="D21" s="2" t="s">
        <v>362</v>
      </c>
      <c r="E21" s="3">
        <v>615</v>
      </c>
      <c r="F21" s="3">
        <f t="shared" si="0"/>
        <v>1230</v>
      </c>
      <c r="G21" s="2" t="s">
        <v>8</v>
      </c>
      <c r="H21" s="2"/>
      <c r="P21">
        <v>190</v>
      </c>
    </row>
    <row r="22" spans="1:16" x14ac:dyDescent="0.3">
      <c r="A22" s="8">
        <v>45832</v>
      </c>
      <c r="B22" s="2">
        <v>2</v>
      </c>
      <c r="C22" s="2" t="s">
        <v>356</v>
      </c>
      <c r="D22" s="2" t="s">
        <v>101</v>
      </c>
      <c r="E22" s="3">
        <v>629</v>
      </c>
      <c r="F22" s="3">
        <f t="shared" si="0"/>
        <v>1258</v>
      </c>
      <c r="G22" s="2" t="s">
        <v>393</v>
      </c>
      <c r="H22" s="2"/>
      <c r="P22">
        <v>190</v>
      </c>
    </row>
    <row r="23" spans="1:16" x14ac:dyDescent="0.3">
      <c r="A23" s="49">
        <v>45832</v>
      </c>
      <c r="B23" s="10">
        <v>4</v>
      </c>
      <c r="C23" s="10" t="s">
        <v>323</v>
      </c>
      <c r="D23" s="10" t="s">
        <v>358</v>
      </c>
      <c r="E23" s="50">
        <v>648</v>
      </c>
      <c r="F23" s="50">
        <f t="shared" si="0"/>
        <v>2592</v>
      </c>
      <c r="G23" s="10" t="s">
        <v>412</v>
      </c>
      <c r="H23" s="64" t="s">
        <v>552</v>
      </c>
      <c r="P23">
        <v>190</v>
      </c>
    </row>
    <row r="24" spans="1:16" x14ac:dyDescent="0.3">
      <c r="A24" s="8">
        <v>45833</v>
      </c>
      <c r="B24" s="2">
        <v>40</v>
      </c>
      <c r="C24" s="2" t="s">
        <v>317</v>
      </c>
      <c r="D24" s="2" t="s">
        <v>366</v>
      </c>
      <c r="E24" s="3">
        <v>340</v>
      </c>
      <c r="F24" s="3">
        <f t="shared" si="0"/>
        <v>13600</v>
      </c>
      <c r="G24" s="2" t="s">
        <v>8</v>
      </c>
      <c r="H24" s="2"/>
      <c r="P24">
        <v>652</v>
      </c>
    </row>
    <row r="25" spans="1:16" x14ac:dyDescent="0.3">
      <c r="A25" s="62">
        <v>45810</v>
      </c>
      <c r="B25" s="16">
        <v>200</v>
      </c>
      <c r="C25" s="16" t="s">
        <v>317</v>
      </c>
      <c r="D25" s="16" t="s">
        <v>335</v>
      </c>
      <c r="E25" s="63">
        <v>330</v>
      </c>
      <c r="F25" s="63">
        <f t="shared" si="0"/>
        <v>66000</v>
      </c>
      <c r="G25" s="16" t="s">
        <v>62</v>
      </c>
      <c r="H25" s="16" t="s">
        <v>414</v>
      </c>
      <c r="P25">
        <v>474.5</v>
      </c>
    </row>
    <row r="26" spans="1:16" x14ac:dyDescent="0.3">
      <c r="A26" s="49">
        <v>45837</v>
      </c>
      <c r="B26" s="10">
        <v>4</v>
      </c>
      <c r="C26" s="10" t="s">
        <v>323</v>
      </c>
      <c r="D26" s="10" t="s">
        <v>358</v>
      </c>
      <c r="E26" s="10">
        <v>699</v>
      </c>
      <c r="F26" s="10">
        <v>0</v>
      </c>
      <c r="G26" s="10" t="s">
        <v>24</v>
      </c>
      <c r="H26" s="10" t="s">
        <v>369</v>
      </c>
      <c r="P26">
        <v>3461</v>
      </c>
    </row>
    <row r="27" spans="1:16" x14ac:dyDescent="0.3">
      <c r="A27" s="49">
        <v>45837</v>
      </c>
      <c r="B27" s="10">
        <v>2</v>
      </c>
      <c r="C27" s="10" t="s">
        <v>323</v>
      </c>
      <c r="D27" s="10" t="s">
        <v>358</v>
      </c>
      <c r="E27" s="10">
        <v>699</v>
      </c>
      <c r="F27" s="10">
        <v>0</v>
      </c>
      <c r="G27" s="10" t="s">
        <v>24</v>
      </c>
      <c r="H27" s="10" t="s">
        <v>370</v>
      </c>
      <c r="I27" s="71" t="s">
        <v>625</v>
      </c>
    </row>
    <row r="28" spans="1:16" x14ac:dyDescent="0.3">
      <c r="A28" s="8">
        <v>45837</v>
      </c>
      <c r="B28" s="2">
        <v>2</v>
      </c>
      <c r="C28" s="2" t="s">
        <v>323</v>
      </c>
      <c r="D28" s="2" t="s">
        <v>371</v>
      </c>
      <c r="E28" s="2">
        <v>707</v>
      </c>
      <c r="F28" s="2">
        <v>1412.75</v>
      </c>
      <c r="G28" s="2" t="s">
        <v>413</v>
      </c>
      <c r="H28" s="2"/>
    </row>
    <row r="29" spans="1:16" x14ac:dyDescent="0.3">
      <c r="A29" s="2"/>
      <c r="B29" s="2"/>
      <c r="C29" s="2"/>
      <c r="D29" s="2"/>
      <c r="E29" s="2"/>
      <c r="F29" s="2"/>
      <c r="G29" s="2"/>
      <c r="H29" s="2"/>
    </row>
    <row r="30" spans="1:16" x14ac:dyDescent="0.3">
      <c r="A30" s="2"/>
      <c r="B30" s="2"/>
      <c r="C30" s="2"/>
      <c r="D30" s="2"/>
      <c r="E30" s="2"/>
      <c r="F30" s="2"/>
      <c r="G30" s="2"/>
      <c r="H30" s="2"/>
    </row>
    <row r="31" spans="1:16" x14ac:dyDescent="0.3">
      <c r="A31" s="2"/>
      <c r="B31" s="2"/>
      <c r="C31" s="2"/>
      <c r="D31" s="2"/>
      <c r="E31" s="2"/>
      <c r="F31" s="2"/>
      <c r="G31" s="2"/>
      <c r="H31" s="2"/>
    </row>
    <row r="32" spans="1:16" x14ac:dyDescent="0.3">
      <c r="A32" s="2"/>
      <c r="B32" s="2"/>
      <c r="C32" s="2"/>
      <c r="D32" s="2"/>
      <c r="E32" s="2"/>
      <c r="F32" s="2"/>
      <c r="G32" s="2"/>
      <c r="H32" s="2"/>
    </row>
    <row r="33" spans="1:8" x14ac:dyDescent="0.3">
      <c r="A33" s="2"/>
      <c r="B33" s="2"/>
      <c r="C33" s="2"/>
      <c r="D33" s="2"/>
      <c r="E33" s="2"/>
      <c r="F33" s="2"/>
      <c r="G33" s="2"/>
      <c r="H33" s="2"/>
    </row>
    <row r="34" spans="1:8" x14ac:dyDescent="0.3">
      <c r="A34" s="2"/>
      <c r="B34" s="2"/>
      <c r="C34" s="2"/>
      <c r="D34" s="2"/>
      <c r="E34" s="2"/>
      <c r="F34" s="2"/>
      <c r="G34" s="2"/>
      <c r="H34" s="2"/>
    </row>
    <row r="35" spans="1:8" x14ac:dyDescent="0.3">
      <c r="A35" s="2"/>
      <c r="B35" s="2"/>
      <c r="C35" s="2"/>
      <c r="D35" s="2"/>
      <c r="E35" s="2"/>
      <c r="F35" s="2"/>
      <c r="G35" s="2"/>
      <c r="H35" s="2"/>
    </row>
    <row r="36" spans="1:8" x14ac:dyDescent="0.3">
      <c r="A36" s="2"/>
      <c r="B36" s="2"/>
      <c r="C36" s="2"/>
      <c r="D36" s="2"/>
      <c r="E36" s="2"/>
      <c r="F36" s="2"/>
      <c r="G36" s="2"/>
      <c r="H36" s="2"/>
    </row>
    <row r="37" spans="1:8" x14ac:dyDescent="0.3">
      <c r="A37" s="2"/>
      <c r="B37" s="2"/>
      <c r="C37" s="2"/>
      <c r="D37" s="2"/>
      <c r="E37" s="2"/>
      <c r="F37" s="2"/>
      <c r="G37" s="2"/>
      <c r="H37" s="2"/>
    </row>
    <row r="38" spans="1:8" x14ac:dyDescent="0.3">
      <c r="A38" s="2"/>
      <c r="B38" s="2"/>
      <c r="C38" s="2"/>
      <c r="D38" s="2"/>
      <c r="E38" s="2"/>
      <c r="F38" s="2"/>
      <c r="G38" s="2"/>
      <c r="H38" s="2"/>
    </row>
    <row r="39" spans="1:8" x14ac:dyDescent="0.3">
      <c r="A39" s="2"/>
      <c r="B39" s="2"/>
      <c r="C39" s="2"/>
      <c r="D39" s="2"/>
      <c r="E39" s="2"/>
      <c r="F39" s="2"/>
      <c r="G39" s="2"/>
      <c r="H39" s="2"/>
    </row>
    <row r="40" spans="1:8" x14ac:dyDescent="0.3">
      <c r="A40" s="2"/>
      <c r="B40" s="2"/>
      <c r="C40" s="2"/>
      <c r="D40" s="2"/>
      <c r="E40" s="2"/>
      <c r="F40" s="2"/>
      <c r="G40" s="2"/>
      <c r="H40" s="2"/>
    </row>
    <row r="41" spans="1:8" x14ac:dyDescent="0.3">
      <c r="A41" s="2"/>
      <c r="B41" s="2"/>
      <c r="C41" s="2"/>
      <c r="D41" s="2"/>
      <c r="E41" s="2"/>
      <c r="F41" s="2"/>
      <c r="G41" s="2"/>
      <c r="H41" s="2"/>
    </row>
    <row r="42" spans="1:8" x14ac:dyDescent="0.3">
      <c r="A42" s="2"/>
      <c r="B42" s="2"/>
      <c r="C42" s="2"/>
      <c r="D42" s="2"/>
      <c r="E42" s="2"/>
      <c r="F42" s="2"/>
      <c r="G42" s="2"/>
      <c r="H42" s="2"/>
    </row>
    <row r="43" spans="1:8" x14ac:dyDescent="0.3">
      <c r="A43" s="2"/>
      <c r="B43" s="2"/>
      <c r="C43" s="2"/>
      <c r="D43" s="2"/>
      <c r="E43" s="2"/>
      <c r="F43" s="2"/>
      <c r="G43" s="2"/>
      <c r="H43" s="2"/>
    </row>
    <row r="44" spans="1:8" x14ac:dyDescent="0.3">
      <c r="A44" s="2"/>
      <c r="B44" s="2"/>
      <c r="C44" s="2"/>
      <c r="D44" s="2"/>
      <c r="E44" s="2"/>
      <c r="F44" s="2"/>
      <c r="G44" s="2"/>
      <c r="H44" s="2"/>
    </row>
    <row r="45" spans="1:8" x14ac:dyDescent="0.3">
      <c r="A45" s="2"/>
      <c r="B45" s="2"/>
      <c r="C45" s="2"/>
      <c r="D45" s="2"/>
      <c r="E45" s="2"/>
      <c r="F45" s="2"/>
      <c r="G45" s="2"/>
      <c r="H45" s="2"/>
    </row>
    <row r="46" spans="1:8" x14ac:dyDescent="0.3">
      <c r="A46" s="2"/>
      <c r="B46" s="2"/>
      <c r="C46" s="2"/>
      <c r="D46" s="2"/>
      <c r="E46" s="2"/>
      <c r="F46" s="2"/>
      <c r="G46" s="2"/>
      <c r="H46" s="2"/>
    </row>
    <row r="47" spans="1:8" x14ac:dyDescent="0.3">
      <c r="A47" s="2"/>
      <c r="B47" s="2"/>
      <c r="C47" s="2"/>
      <c r="D47" s="2"/>
      <c r="E47" s="2"/>
      <c r="F47" s="2"/>
      <c r="G47" s="2"/>
      <c r="H47" s="2"/>
    </row>
    <row r="48" spans="1:8" x14ac:dyDescent="0.3">
      <c r="A48" s="2"/>
      <c r="B48" s="2"/>
      <c r="C48" s="2"/>
      <c r="D48" s="2"/>
      <c r="E48" s="2"/>
      <c r="F48" s="2"/>
      <c r="G48" s="2"/>
      <c r="H48" s="2"/>
    </row>
    <row r="49" spans="1:8" x14ac:dyDescent="0.3">
      <c r="A49" s="2"/>
      <c r="B49" s="2"/>
      <c r="C49" s="2"/>
      <c r="D49" s="2"/>
      <c r="E49" s="2"/>
      <c r="F49" s="2"/>
      <c r="G49" s="2"/>
      <c r="H49" s="2"/>
    </row>
    <row r="50" spans="1:8" x14ac:dyDescent="0.3">
      <c r="A50" s="2"/>
      <c r="B50" s="2"/>
      <c r="C50" s="2"/>
      <c r="D50" s="2"/>
      <c r="E50" s="2"/>
      <c r="F50" s="2"/>
      <c r="G50" s="2"/>
      <c r="H50" s="2"/>
    </row>
    <row r="51" spans="1:8" x14ac:dyDescent="0.3">
      <c r="A51" s="2"/>
      <c r="B51" s="2"/>
      <c r="C51" s="2"/>
      <c r="D51" s="2"/>
      <c r="E51" s="2"/>
      <c r="F51" s="2"/>
      <c r="G51" s="2"/>
      <c r="H51" s="2"/>
    </row>
    <row r="52" spans="1:8" x14ac:dyDescent="0.3">
      <c r="A52" s="2"/>
      <c r="B52" s="2"/>
      <c r="C52" s="2"/>
      <c r="D52" s="2"/>
      <c r="E52" s="2"/>
      <c r="F52" s="2"/>
      <c r="G52" s="2"/>
      <c r="H52" s="2"/>
    </row>
    <row r="53" spans="1:8" x14ac:dyDescent="0.3">
      <c r="A53" s="2"/>
      <c r="B53" s="2"/>
      <c r="C53" s="2"/>
      <c r="D53" s="2"/>
      <c r="E53" s="2"/>
      <c r="F53" s="2"/>
      <c r="G53" s="2"/>
      <c r="H53" s="2"/>
    </row>
    <row r="54" spans="1:8" x14ac:dyDescent="0.3">
      <c r="A54" s="2"/>
      <c r="B54" s="2"/>
      <c r="C54" s="2"/>
      <c r="D54" s="2"/>
      <c r="E54" s="2"/>
      <c r="F54" s="2"/>
      <c r="G54" s="2"/>
      <c r="H54" s="2"/>
    </row>
    <row r="55" spans="1:8" x14ac:dyDescent="0.3">
      <c r="A55" s="2"/>
      <c r="B55" s="2"/>
      <c r="C55" s="2"/>
      <c r="D55" s="2"/>
      <c r="E55" s="2"/>
      <c r="F55" s="2"/>
      <c r="G55" s="2"/>
      <c r="H55" s="2"/>
    </row>
    <row r="56" spans="1:8" x14ac:dyDescent="0.3">
      <c r="A56" s="2"/>
      <c r="B56" s="2"/>
      <c r="C56" s="2"/>
      <c r="D56" s="2"/>
      <c r="E56" s="2"/>
      <c r="F56" s="2"/>
      <c r="G56" s="2"/>
      <c r="H56" s="2"/>
    </row>
    <row r="57" spans="1:8" x14ac:dyDescent="0.3">
      <c r="A57" s="2"/>
      <c r="B57" s="2"/>
      <c r="C57" s="2"/>
      <c r="D57" s="2"/>
      <c r="E57" s="2"/>
      <c r="F57" s="2"/>
      <c r="G57" s="2"/>
      <c r="H57" s="2"/>
    </row>
    <row r="58" spans="1:8" x14ac:dyDescent="0.3">
      <c r="A58" s="2"/>
      <c r="B58" s="2"/>
      <c r="C58" s="2"/>
      <c r="D58" s="2"/>
      <c r="E58" s="2"/>
      <c r="F58" s="2"/>
      <c r="G58" s="2"/>
      <c r="H58" s="2"/>
    </row>
    <row r="59" spans="1:8" x14ac:dyDescent="0.3">
      <c r="A59" s="2"/>
      <c r="B59" s="2"/>
      <c r="C59" s="2"/>
      <c r="D59" s="2"/>
      <c r="E59" s="2"/>
      <c r="F59" s="2"/>
      <c r="G59" s="2"/>
      <c r="H59" s="2"/>
    </row>
    <row r="60" spans="1:8" x14ac:dyDescent="0.3">
      <c r="A60" s="2"/>
      <c r="B60" s="2"/>
      <c r="C60" s="2"/>
      <c r="D60" s="2"/>
      <c r="E60" s="2"/>
      <c r="F60" s="2"/>
      <c r="G60" s="2"/>
      <c r="H60" s="2"/>
    </row>
    <row r="61" spans="1:8" x14ac:dyDescent="0.3">
      <c r="A61" s="2"/>
      <c r="B61" s="2"/>
      <c r="C61" s="2"/>
      <c r="D61" s="2"/>
      <c r="E61" s="2"/>
      <c r="F61" s="2"/>
      <c r="G61" s="2"/>
      <c r="H61" s="2"/>
    </row>
    <row r="62" spans="1:8" x14ac:dyDescent="0.3">
      <c r="A62" s="2"/>
      <c r="B62" s="2"/>
      <c r="C62" s="2"/>
      <c r="D62" s="2"/>
      <c r="E62" s="2"/>
      <c r="F62" s="2"/>
      <c r="G62" s="2"/>
      <c r="H62" s="2"/>
    </row>
    <row r="63" spans="1:8" x14ac:dyDescent="0.3">
      <c r="A63" s="2"/>
      <c r="B63" s="2"/>
      <c r="C63" s="2"/>
      <c r="D63" s="2"/>
      <c r="E63" s="2"/>
      <c r="F63" s="2"/>
      <c r="G63" s="2"/>
      <c r="H63" s="2"/>
    </row>
    <row r="64" spans="1:8" x14ac:dyDescent="0.3">
      <c r="A64" s="2"/>
      <c r="B64" s="2"/>
      <c r="C64" s="2"/>
      <c r="D64" s="2"/>
      <c r="E64" s="2"/>
      <c r="F64" s="2"/>
      <c r="G64" s="2"/>
      <c r="H64" s="2"/>
    </row>
    <row r="65" spans="1:8" x14ac:dyDescent="0.3">
      <c r="A65" s="2"/>
      <c r="B65" s="2"/>
      <c r="C65" s="2"/>
      <c r="D65" s="2"/>
      <c r="E65" s="2"/>
      <c r="F65" s="2"/>
      <c r="G65" s="2"/>
      <c r="H65" s="2"/>
    </row>
    <row r="66" spans="1:8" x14ac:dyDescent="0.3">
      <c r="A66" s="2"/>
      <c r="B66" s="2"/>
      <c r="C66" s="2"/>
      <c r="D66" s="2"/>
      <c r="E66" s="2"/>
      <c r="F66" s="2"/>
      <c r="G66" s="2"/>
      <c r="H66" s="2"/>
    </row>
    <row r="67" spans="1:8" x14ac:dyDescent="0.3">
      <c r="A67" s="2"/>
      <c r="B67" s="2"/>
      <c r="C67" s="2"/>
      <c r="D67" s="2"/>
      <c r="E67" s="2"/>
      <c r="F67" s="2"/>
      <c r="G67" s="2"/>
      <c r="H67" s="2"/>
    </row>
    <row r="68" spans="1:8" x14ac:dyDescent="0.3">
      <c r="A68" s="2"/>
      <c r="B68" s="2"/>
      <c r="C68" s="2"/>
      <c r="D68" s="2"/>
      <c r="E68" s="2"/>
      <c r="F68" s="2"/>
      <c r="G68" s="2"/>
      <c r="H68" s="2"/>
    </row>
    <row r="69" spans="1:8" x14ac:dyDescent="0.3">
      <c r="A69" s="2"/>
      <c r="B69" s="2"/>
      <c r="C69" s="2"/>
      <c r="D69" s="2"/>
      <c r="E69" s="2"/>
      <c r="F69" s="2"/>
      <c r="G69" s="2"/>
      <c r="H69" s="2"/>
    </row>
    <row r="70" spans="1:8" x14ac:dyDescent="0.3">
      <c r="A70" s="2"/>
      <c r="B70" s="2"/>
      <c r="C70" s="2"/>
      <c r="D70" s="2"/>
      <c r="E70" s="2"/>
      <c r="F70" s="2"/>
      <c r="G70" s="2"/>
      <c r="H70" s="2"/>
    </row>
  </sheetData>
  <autoFilter ref="A1:P70" xr:uid="{08457062-552F-4B11-AEB6-C2C085C5AB59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B8CDA-1945-474E-B42E-BED211C1449D}">
  <dimension ref="A1:N45"/>
  <sheetViews>
    <sheetView topLeftCell="A24" workbookViewId="0">
      <selection activeCell="D26" sqref="D26"/>
    </sheetView>
  </sheetViews>
  <sheetFormatPr defaultRowHeight="14.4" x14ac:dyDescent="0.3"/>
  <cols>
    <col min="1" max="1" width="11.5546875" bestFit="1" customWidth="1"/>
    <col min="2" max="2" width="12" bestFit="1" customWidth="1"/>
    <col min="3" max="3" width="26.44140625" bestFit="1" customWidth="1"/>
    <col min="4" max="4" width="30.77734375" bestFit="1" customWidth="1"/>
    <col min="5" max="5" width="8.88671875" style="60"/>
    <col min="6" max="6" width="15.88671875" style="60" bestFit="1" customWidth="1"/>
    <col min="7" max="7" width="33.33203125" bestFit="1" customWidth="1"/>
    <col min="8" max="8" width="20.77734375" bestFit="1" customWidth="1"/>
  </cols>
  <sheetData>
    <row r="1" spans="1:8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</row>
    <row r="2" spans="1:8" x14ac:dyDescent="0.3">
      <c r="A2" s="8">
        <v>45873</v>
      </c>
      <c r="B2" s="2">
        <v>1</v>
      </c>
      <c r="C2" s="2" t="s">
        <v>468</v>
      </c>
      <c r="D2" s="2" t="s">
        <v>28</v>
      </c>
      <c r="E2" s="3">
        <v>285</v>
      </c>
      <c r="F2" s="3">
        <f>B2*E2</f>
        <v>285</v>
      </c>
      <c r="G2" s="2" t="s">
        <v>8</v>
      </c>
      <c r="H2" s="2"/>
    </row>
    <row r="3" spans="1:8" x14ac:dyDescent="0.3">
      <c r="A3" s="8">
        <v>45873</v>
      </c>
      <c r="B3" s="2">
        <v>2</v>
      </c>
      <c r="C3" s="2" t="s">
        <v>468</v>
      </c>
      <c r="D3" s="2" t="s">
        <v>28</v>
      </c>
      <c r="E3" s="3">
        <v>285</v>
      </c>
      <c r="F3" s="3">
        <f>B3*E3</f>
        <v>570</v>
      </c>
      <c r="G3" s="2" t="s">
        <v>348</v>
      </c>
      <c r="H3" s="2"/>
    </row>
    <row r="4" spans="1:8" x14ac:dyDescent="0.3">
      <c r="A4" s="8">
        <v>45875</v>
      </c>
      <c r="B4" s="2">
        <v>1</v>
      </c>
      <c r="C4" s="2" t="s">
        <v>295</v>
      </c>
      <c r="D4" s="2" t="s">
        <v>70</v>
      </c>
      <c r="E4" s="3">
        <v>274</v>
      </c>
      <c r="F4" s="3">
        <v>274</v>
      </c>
      <c r="G4" s="2" t="s">
        <v>8</v>
      </c>
      <c r="H4" s="2"/>
    </row>
    <row r="5" spans="1:8" x14ac:dyDescent="0.3">
      <c r="A5" s="8">
        <v>45876</v>
      </c>
      <c r="B5" s="2">
        <v>30</v>
      </c>
      <c r="C5" s="2" t="s">
        <v>295</v>
      </c>
      <c r="D5" s="2" t="s">
        <v>506</v>
      </c>
      <c r="E5" s="3">
        <v>274</v>
      </c>
      <c r="F5" s="3">
        <f t="shared" ref="F5:F8" si="0">B5*E5</f>
        <v>8220</v>
      </c>
      <c r="G5" s="2" t="s">
        <v>538</v>
      </c>
      <c r="H5" s="2" t="s">
        <v>535</v>
      </c>
    </row>
    <row r="6" spans="1:8" x14ac:dyDescent="0.3">
      <c r="A6" s="8">
        <v>45880</v>
      </c>
      <c r="B6" s="2">
        <v>4</v>
      </c>
      <c r="C6" s="2" t="s">
        <v>295</v>
      </c>
      <c r="D6" s="2" t="s">
        <v>489</v>
      </c>
      <c r="E6" s="3">
        <v>274</v>
      </c>
      <c r="F6" s="3">
        <f t="shared" si="0"/>
        <v>1096</v>
      </c>
      <c r="G6" s="2" t="s">
        <v>8</v>
      </c>
      <c r="H6" s="2"/>
    </row>
    <row r="7" spans="1:8" x14ac:dyDescent="0.3">
      <c r="A7" s="8">
        <v>45880</v>
      </c>
      <c r="B7" s="2">
        <v>4</v>
      </c>
      <c r="C7" s="2" t="s">
        <v>295</v>
      </c>
      <c r="D7" s="2" t="s">
        <v>490</v>
      </c>
      <c r="E7" s="3">
        <v>274</v>
      </c>
      <c r="F7" s="3">
        <f t="shared" si="0"/>
        <v>1096</v>
      </c>
      <c r="G7" s="2" t="s">
        <v>8</v>
      </c>
      <c r="H7" s="2"/>
    </row>
    <row r="8" spans="1:8" x14ac:dyDescent="0.3">
      <c r="A8" s="8">
        <v>45880</v>
      </c>
      <c r="B8" s="2">
        <v>2</v>
      </c>
      <c r="C8" s="2" t="s">
        <v>295</v>
      </c>
      <c r="D8" s="2" t="s">
        <v>491</v>
      </c>
      <c r="E8" s="3">
        <v>274</v>
      </c>
      <c r="F8" s="3">
        <f t="shared" si="0"/>
        <v>548</v>
      </c>
      <c r="G8" s="2" t="s">
        <v>8</v>
      </c>
      <c r="H8" s="2"/>
    </row>
    <row r="9" spans="1:8" x14ac:dyDescent="0.3">
      <c r="A9" s="8">
        <v>45881</v>
      </c>
      <c r="B9" s="2">
        <f>F9/E9</f>
        <v>4</v>
      </c>
      <c r="C9" s="2" t="s">
        <v>295</v>
      </c>
      <c r="D9" s="2" t="s">
        <v>492</v>
      </c>
      <c r="E9" s="3">
        <v>274</v>
      </c>
      <c r="F9" s="3">
        <v>1096</v>
      </c>
      <c r="G9" s="2" t="s">
        <v>8</v>
      </c>
      <c r="H9" s="2"/>
    </row>
    <row r="10" spans="1:8" x14ac:dyDescent="0.3">
      <c r="A10" s="8">
        <v>45881</v>
      </c>
      <c r="B10" s="2">
        <f t="shared" ref="B10:B28" si="1">F10/E10</f>
        <v>8</v>
      </c>
      <c r="C10" s="2" t="s">
        <v>295</v>
      </c>
      <c r="D10" s="2" t="s">
        <v>492</v>
      </c>
      <c r="E10" s="3">
        <v>274</v>
      </c>
      <c r="F10" s="3">
        <v>2192</v>
      </c>
      <c r="G10" s="2" t="s">
        <v>8</v>
      </c>
      <c r="H10" s="2"/>
    </row>
    <row r="11" spans="1:8" x14ac:dyDescent="0.3">
      <c r="A11" s="8">
        <v>45881</v>
      </c>
      <c r="B11" s="2">
        <f t="shared" si="1"/>
        <v>4</v>
      </c>
      <c r="C11" s="2" t="s">
        <v>295</v>
      </c>
      <c r="D11" s="2" t="s">
        <v>493</v>
      </c>
      <c r="E11" s="3">
        <v>274</v>
      </c>
      <c r="F11" s="3">
        <v>1096</v>
      </c>
      <c r="G11" s="2" t="s">
        <v>8</v>
      </c>
      <c r="H11" s="2"/>
    </row>
    <row r="12" spans="1:8" x14ac:dyDescent="0.3">
      <c r="A12" s="8">
        <v>45881</v>
      </c>
      <c r="B12" s="2">
        <f t="shared" si="1"/>
        <v>4</v>
      </c>
      <c r="C12" s="2" t="s">
        <v>295</v>
      </c>
      <c r="D12" s="2" t="s">
        <v>494</v>
      </c>
      <c r="E12" s="3">
        <v>274</v>
      </c>
      <c r="F12" s="3">
        <v>1096</v>
      </c>
      <c r="G12" s="2" t="s">
        <v>8</v>
      </c>
      <c r="H12" s="2"/>
    </row>
    <row r="13" spans="1:8" x14ac:dyDescent="0.3">
      <c r="A13" s="8">
        <v>45881</v>
      </c>
      <c r="B13" s="2">
        <v>12</v>
      </c>
      <c r="C13" s="2" t="s">
        <v>295</v>
      </c>
      <c r="D13" s="2" t="s">
        <v>494</v>
      </c>
      <c r="E13" s="3">
        <v>274</v>
      </c>
      <c r="F13" s="3">
        <v>3291</v>
      </c>
      <c r="G13" s="2" t="s">
        <v>8</v>
      </c>
      <c r="H13" s="2"/>
    </row>
    <row r="14" spans="1:8" x14ac:dyDescent="0.3">
      <c r="A14" s="8">
        <v>45881</v>
      </c>
      <c r="B14" s="2">
        <f t="shared" si="1"/>
        <v>4</v>
      </c>
      <c r="C14" s="2" t="s">
        <v>295</v>
      </c>
      <c r="D14" s="2" t="s">
        <v>490</v>
      </c>
      <c r="E14" s="3">
        <v>274</v>
      </c>
      <c r="F14" s="3">
        <v>1096</v>
      </c>
      <c r="G14" s="2" t="s">
        <v>8</v>
      </c>
      <c r="H14" s="2"/>
    </row>
    <row r="15" spans="1:8" x14ac:dyDescent="0.3">
      <c r="A15" s="8">
        <v>45882</v>
      </c>
      <c r="B15" s="2">
        <f t="shared" si="1"/>
        <v>2</v>
      </c>
      <c r="C15" s="2" t="s">
        <v>295</v>
      </c>
      <c r="D15" s="2" t="s">
        <v>490</v>
      </c>
      <c r="E15" s="3">
        <v>274</v>
      </c>
      <c r="F15" s="3">
        <v>548</v>
      </c>
      <c r="G15" s="2" t="s">
        <v>8</v>
      </c>
      <c r="H15" s="2"/>
    </row>
    <row r="16" spans="1:8" x14ac:dyDescent="0.3">
      <c r="A16" s="8">
        <v>45882</v>
      </c>
      <c r="B16" s="2">
        <f t="shared" si="1"/>
        <v>2</v>
      </c>
      <c r="C16" s="2" t="s">
        <v>295</v>
      </c>
      <c r="D16" s="2" t="s">
        <v>490</v>
      </c>
      <c r="E16" s="3">
        <v>274</v>
      </c>
      <c r="F16" s="3">
        <v>548</v>
      </c>
      <c r="G16" s="2" t="s">
        <v>8</v>
      </c>
      <c r="H16" s="2"/>
    </row>
    <row r="17" spans="1:14" x14ac:dyDescent="0.3">
      <c r="A17" s="8">
        <v>45882</v>
      </c>
      <c r="B17" s="2">
        <f t="shared" si="1"/>
        <v>2</v>
      </c>
      <c r="C17" s="2" t="s">
        <v>295</v>
      </c>
      <c r="D17" s="2" t="s">
        <v>495</v>
      </c>
      <c r="E17" s="3">
        <v>274</v>
      </c>
      <c r="F17" s="3">
        <v>548</v>
      </c>
      <c r="G17" s="2" t="s">
        <v>8</v>
      </c>
      <c r="H17" s="2"/>
    </row>
    <row r="18" spans="1:14" x14ac:dyDescent="0.3">
      <c r="A18" s="8">
        <v>45882</v>
      </c>
      <c r="B18" s="2">
        <f t="shared" si="1"/>
        <v>4</v>
      </c>
      <c r="C18" s="2" t="s">
        <v>295</v>
      </c>
      <c r="D18" s="2" t="s">
        <v>496</v>
      </c>
      <c r="E18" s="3">
        <v>274</v>
      </c>
      <c r="F18" s="3">
        <v>1096</v>
      </c>
      <c r="G18" s="2" t="s">
        <v>8</v>
      </c>
      <c r="H18" s="2"/>
    </row>
    <row r="19" spans="1:14" x14ac:dyDescent="0.3">
      <c r="A19" s="8">
        <v>45882</v>
      </c>
      <c r="B19" s="2">
        <f t="shared" si="1"/>
        <v>6</v>
      </c>
      <c r="C19" s="2" t="s">
        <v>295</v>
      </c>
      <c r="D19" s="2" t="s">
        <v>497</v>
      </c>
      <c r="E19" s="3">
        <v>274</v>
      </c>
      <c r="F19" s="3">
        <v>1644</v>
      </c>
      <c r="G19" s="2" t="s">
        <v>8</v>
      </c>
      <c r="H19" s="2"/>
    </row>
    <row r="20" spans="1:14" x14ac:dyDescent="0.3">
      <c r="A20" s="8">
        <v>45882</v>
      </c>
      <c r="B20" s="2">
        <f t="shared" si="1"/>
        <v>2</v>
      </c>
      <c r="C20" s="2" t="s">
        <v>295</v>
      </c>
      <c r="D20" s="2" t="s">
        <v>498</v>
      </c>
      <c r="E20" s="3">
        <v>274</v>
      </c>
      <c r="F20" s="3">
        <v>548</v>
      </c>
      <c r="G20" s="2" t="s">
        <v>8</v>
      </c>
      <c r="H20" s="2"/>
    </row>
    <row r="21" spans="1:14" x14ac:dyDescent="0.3">
      <c r="A21" s="8">
        <v>45882</v>
      </c>
      <c r="B21" s="2">
        <f t="shared" si="1"/>
        <v>4</v>
      </c>
      <c r="C21" s="2" t="s">
        <v>295</v>
      </c>
      <c r="D21" s="2" t="s">
        <v>499</v>
      </c>
      <c r="E21" s="3">
        <v>274</v>
      </c>
      <c r="F21" s="3">
        <v>1096</v>
      </c>
      <c r="G21" s="2" t="s">
        <v>8</v>
      </c>
      <c r="H21" s="2"/>
    </row>
    <row r="22" spans="1:14" x14ac:dyDescent="0.3">
      <c r="A22" s="8">
        <v>45882</v>
      </c>
      <c r="B22" s="2">
        <f t="shared" si="1"/>
        <v>6</v>
      </c>
      <c r="C22" s="2" t="s">
        <v>295</v>
      </c>
      <c r="D22" s="2" t="s">
        <v>500</v>
      </c>
      <c r="E22" s="3">
        <v>274</v>
      </c>
      <c r="F22" s="3">
        <v>1644</v>
      </c>
      <c r="G22" s="2" t="s">
        <v>8</v>
      </c>
      <c r="H22" s="2"/>
    </row>
    <row r="23" spans="1:14" x14ac:dyDescent="0.3">
      <c r="A23" s="8">
        <v>45882</v>
      </c>
      <c r="B23" s="2">
        <f t="shared" si="1"/>
        <v>2</v>
      </c>
      <c r="C23" s="2" t="s">
        <v>295</v>
      </c>
      <c r="D23" s="2" t="s">
        <v>500</v>
      </c>
      <c r="E23" s="3">
        <v>274</v>
      </c>
      <c r="F23" s="3">
        <v>548</v>
      </c>
      <c r="G23" s="2" t="s">
        <v>8</v>
      </c>
      <c r="H23" s="2"/>
      <c r="K23">
        <v>12435</v>
      </c>
      <c r="M23">
        <v>9948</v>
      </c>
      <c r="N23" t="s">
        <v>516</v>
      </c>
    </row>
    <row r="24" spans="1:14" x14ac:dyDescent="0.3">
      <c r="A24" s="8">
        <v>45882</v>
      </c>
      <c r="B24" s="2">
        <f t="shared" si="1"/>
        <v>7</v>
      </c>
      <c r="C24" s="2" t="s">
        <v>295</v>
      </c>
      <c r="D24" s="2" t="s">
        <v>501</v>
      </c>
      <c r="E24" s="3">
        <v>274</v>
      </c>
      <c r="F24" s="3">
        <v>1918</v>
      </c>
      <c r="G24" s="2" t="s">
        <v>8</v>
      </c>
      <c r="H24" s="2"/>
      <c r="K24">
        <v>21087</v>
      </c>
      <c r="M24">
        <v>869</v>
      </c>
    </row>
    <row r="25" spans="1:14" x14ac:dyDescent="0.3">
      <c r="A25" s="8">
        <v>45883</v>
      </c>
      <c r="B25" s="2">
        <f t="shared" si="1"/>
        <v>8</v>
      </c>
      <c r="C25" s="2" t="s">
        <v>295</v>
      </c>
      <c r="D25" s="2" t="s">
        <v>502</v>
      </c>
      <c r="E25" s="3">
        <v>274</v>
      </c>
      <c r="F25" s="3">
        <v>2192</v>
      </c>
      <c r="G25" s="2" t="s">
        <v>8</v>
      </c>
      <c r="H25" s="2"/>
      <c r="M25">
        <v>9998</v>
      </c>
    </row>
    <row r="26" spans="1:14" x14ac:dyDescent="0.3">
      <c r="A26" s="8">
        <v>45883</v>
      </c>
      <c r="B26" s="2">
        <v>56</v>
      </c>
      <c r="C26" s="2" t="s">
        <v>295</v>
      </c>
      <c r="D26" s="2" t="s">
        <v>492</v>
      </c>
      <c r="E26" s="3">
        <v>274</v>
      </c>
      <c r="F26" s="3">
        <f>B26*274</f>
        <v>15344</v>
      </c>
      <c r="G26" s="2" t="s">
        <v>533</v>
      </c>
      <c r="H26" s="2" t="s">
        <v>525</v>
      </c>
      <c r="M26">
        <v>9699</v>
      </c>
    </row>
    <row r="27" spans="1:14" x14ac:dyDescent="0.3">
      <c r="A27" s="8">
        <v>45883</v>
      </c>
      <c r="B27" s="2">
        <v>56</v>
      </c>
      <c r="C27" s="2" t="s">
        <v>295</v>
      </c>
      <c r="D27" s="2" t="s">
        <v>492</v>
      </c>
      <c r="E27" s="3">
        <v>274</v>
      </c>
      <c r="F27" s="3">
        <f>B27*274</f>
        <v>15344</v>
      </c>
      <c r="G27" s="2" t="s">
        <v>533</v>
      </c>
      <c r="H27" s="2" t="s">
        <v>532</v>
      </c>
      <c r="K27">
        <v>33522</v>
      </c>
      <c r="M27">
        <v>573</v>
      </c>
    </row>
    <row r="28" spans="1:14" x14ac:dyDescent="0.3">
      <c r="A28" s="8">
        <v>45883</v>
      </c>
      <c r="B28" s="2">
        <f t="shared" si="1"/>
        <v>24</v>
      </c>
      <c r="C28" s="2" t="s">
        <v>295</v>
      </c>
      <c r="D28" s="2" t="s">
        <v>503</v>
      </c>
      <c r="E28" s="3">
        <v>274</v>
      </c>
      <c r="F28" s="3">
        <v>6576</v>
      </c>
      <c r="G28" s="2" t="s">
        <v>528</v>
      </c>
      <c r="H28" s="2"/>
      <c r="M28">
        <v>573</v>
      </c>
    </row>
    <row r="29" spans="1:14" x14ac:dyDescent="0.3">
      <c r="A29" s="8">
        <v>45883</v>
      </c>
      <c r="B29" s="2">
        <v>20</v>
      </c>
      <c r="C29" s="2" t="s">
        <v>295</v>
      </c>
      <c r="D29" s="2" t="s">
        <v>504</v>
      </c>
      <c r="E29" s="3">
        <v>274</v>
      </c>
      <c r="F29" s="3">
        <v>5530</v>
      </c>
      <c r="G29" s="2" t="s">
        <v>528</v>
      </c>
      <c r="H29" s="18" t="s">
        <v>604</v>
      </c>
      <c r="M29">
        <v>713</v>
      </c>
    </row>
    <row r="30" spans="1:14" x14ac:dyDescent="0.3">
      <c r="A30" s="17">
        <v>45883</v>
      </c>
      <c r="B30" s="18">
        <v>20</v>
      </c>
      <c r="C30" s="18" t="s">
        <v>295</v>
      </c>
      <c r="D30" s="18" t="s">
        <v>505</v>
      </c>
      <c r="E30" s="19">
        <v>274</v>
      </c>
      <c r="F30" s="19">
        <v>5530</v>
      </c>
      <c r="G30" s="18" t="s">
        <v>507</v>
      </c>
      <c r="H30" s="2"/>
      <c r="M30">
        <v>2448</v>
      </c>
    </row>
    <row r="31" spans="1:14" x14ac:dyDescent="0.3">
      <c r="A31" s="8">
        <v>45885</v>
      </c>
      <c r="B31" s="2">
        <v>5</v>
      </c>
      <c r="C31" s="2" t="s">
        <v>295</v>
      </c>
      <c r="D31" s="2" t="s">
        <v>118</v>
      </c>
      <c r="E31" s="3">
        <v>274</v>
      </c>
      <c r="F31" s="3">
        <f>B31*E31</f>
        <v>1370</v>
      </c>
      <c r="G31" s="2" t="s">
        <v>24</v>
      </c>
      <c r="H31" s="2"/>
    </row>
    <row r="32" spans="1:14" x14ac:dyDescent="0.3">
      <c r="A32" s="8">
        <v>45885</v>
      </c>
      <c r="B32" s="35">
        <v>8</v>
      </c>
      <c r="C32" s="35" t="s">
        <v>508</v>
      </c>
      <c r="D32" s="35" t="s">
        <v>118</v>
      </c>
      <c r="E32" s="36">
        <v>3750</v>
      </c>
      <c r="F32" s="36">
        <f>B32*E32</f>
        <v>30000</v>
      </c>
      <c r="G32" s="35" t="s">
        <v>8</v>
      </c>
      <c r="H32" s="2" t="s">
        <v>517</v>
      </c>
      <c r="M32">
        <v>34821</v>
      </c>
    </row>
    <row r="33" spans="1:13" x14ac:dyDescent="0.3">
      <c r="A33" s="8">
        <v>45885</v>
      </c>
      <c r="B33" s="2">
        <v>2</v>
      </c>
      <c r="C33" s="2" t="s">
        <v>419</v>
      </c>
      <c r="D33" s="2" t="s">
        <v>349</v>
      </c>
      <c r="E33" s="3">
        <v>655</v>
      </c>
      <c r="F33" s="3">
        <f t="shared" ref="F33:F41" si="2">B33*E33</f>
        <v>1310</v>
      </c>
      <c r="G33" s="2" t="s">
        <v>8</v>
      </c>
      <c r="H33" s="2" t="s">
        <v>517</v>
      </c>
    </row>
    <row r="34" spans="1:13" x14ac:dyDescent="0.3">
      <c r="A34" s="8">
        <v>45885</v>
      </c>
      <c r="B34" s="2">
        <v>5</v>
      </c>
      <c r="C34" s="2" t="s">
        <v>512</v>
      </c>
      <c r="D34" s="2" t="s">
        <v>349</v>
      </c>
      <c r="E34" s="3">
        <v>433</v>
      </c>
      <c r="F34" s="3">
        <f t="shared" si="2"/>
        <v>2165</v>
      </c>
      <c r="G34" s="2" t="s">
        <v>8</v>
      </c>
      <c r="H34" s="2" t="s">
        <v>517</v>
      </c>
    </row>
    <row r="35" spans="1:13" x14ac:dyDescent="0.3">
      <c r="A35" s="8">
        <v>45885</v>
      </c>
      <c r="B35" s="2">
        <v>2</v>
      </c>
      <c r="C35" s="2" t="s">
        <v>513</v>
      </c>
      <c r="D35" s="2" t="s">
        <v>349</v>
      </c>
      <c r="E35" s="3">
        <v>573</v>
      </c>
      <c r="F35" s="3">
        <f t="shared" si="2"/>
        <v>1146</v>
      </c>
      <c r="G35" s="2" t="s">
        <v>8</v>
      </c>
      <c r="H35" s="2"/>
      <c r="M35">
        <f>M32-K27</f>
        <v>1299</v>
      </c>
    </row>
    <row r="36" spans="1:13" x14ac:dyDescent="0.3">
      <c r="A36" s="8">
        <v>45885</v>
      </c>
      <c r="B36" s="2">
        <v>15</v>
      </c>
      <c r="C36" s="2" t="s">
        <v>514</v>
      </c>
      <c r="D36" s="2" t="s">
        <v>349</v>
      </c>
      <c r="E36" s="3">
        <v>560</v>
      </c>
      <c r="F36" s="3">
        <f t="shared" si="2"/>
        <v>8400</v>
      </c>
      <c r="G36" s="2" t="s">
        <v>8</v>
      </c>
      <c r="H36" s="2"/>
    </row>
    <row r="37" spans="1:13" x14ac:dyDescent="0.3">
      <c r="A37" s="8">
        <v>45885</v>
      </c>
      <c r="B37" s="2">
        <v>1</v>
      </c>
      <c r="C37" s="2" t="s">
        <v>515</v>
      </c>
      <c r="D37" s="2" t="s">
        <v>349</v>
      </c>
      <c r="E37" s="3">
        <v>713</v>
      </c>
      <c r="F37" s="3">
        <f t="shared" si="2"/>
        <v>713</v>
      </c>
      <c r="G37" s="2" t="s">
        <v>8</v>
      </c>
      <c r="H37" s="2"/>
    </row>
    <row r="38" spans="1:13" x14ac:dyDescent="0.3">
      <c r="A38" s="8">
        <v>45889</v>
      </c>
      <c r="B38" s="2">
        <v>5</v>
      </c>
      <c r="C38" s="2" t="s">
        <v>323</v>
      </c>
      <c r="D38" s="2" t="s">
        <v>364</v>
      </c>
      <c r="E38" s="3">
        <v>690</v>
      </c>
      <c r="F38" s="3">
        <f t="shared" si="2"/>
        <v>3450</v>
      </c>
      <c r="G38" s="2" t="s">
        <v>8</v>
      </c>
      <c r="H38" s="2"/>
    </row>
    <row r="39" spans="1:13" x14ac:dyDescent="0.3">
      <c r="A39" s="8">
        <v>45891</v>
      </c>
      <c r="B39" s="2">
        <v>400</v>
      </c>
      <c r="C39" s="2" t="s">
        <v>295</v>
      </c>
      <c r="D39" s="2" t="s">
        <v>526</v>
      </c>
      <c r="E39" s="3">
        <v>274</v>
      </c>
      <c r="F39" s="3">
        <f t="shared" si="2"/>
        <v>109600</v>
      </c>
      <c r="G39" s="2" t="s">
        <v>528</v>
      </c>
      <c r="H39" s="2" t="s">
        <v>527</v>
      </c>
    </row>
    <row r="40" spans="1:13" x14ac:dyDescent="0.3">
      <c r="A40" s="8">
        <v>45895</v>
      </c>
      <c r="B40" s="2">
        <v>60</v>
      </c>
      <c r="C40" s="2" t="s">
        <v>295</v>
      </c>
      <c r="D40" s="2" t="s">
        <v>506</v>
      </c>
      <c r="E40" s="3">
        <v>274</v>
      </c>
      <c r="F40" s="3">
        <f t="shared" si="2"/>
        <v>16440</v>
      </c>
      <c r="G40" s="2" t="s">
        <v>534</v>
      </c>
      <c r="H40" s="2" t="s">
        <v>535</v>
      </c>
    </row>
    <row r="41" spans="1:13" x14ac:dyDescent="0.3">
      <c r="A41" s="8">
        <v>45891</v>
      </c>
      <c r="B41" s="2">
        <v>57</v>
      </c>
      <c r="C41" s="2" t="s">
        <v>295</v>
      </c>
      <c r="D41" s="2" t="s">
        <v>530</v>
      </c>
      <c r="E41" s="3">
        <v>300</v>
      </c>
      <c r="F41" s="3">
        <f t="shared" si="2"/>
        <v>17100</v>
      </c>
      <c r="G41" s="2" t="s">
        <v>348</v>
      </c>
      <c r="H41" s="2" t="s">
        <v>529</v>
      </c>
    </row>
    <row r="42" spans="1:13" x14ac:dyDescent="0.3">
      <c r="A42" s="8">
        <v>45891</v>
      </c>
      <c r="B42" s="2">
        <v>1</v>
      </c>
      <c r="C42" s="2" t="s">
        <v>536</v>
      </c>
      <c r="D42" s="2" t="s">
        <v>531</v>
      </c>
      <c r="E42" s="3">
        <v>0</v>
      </c>
      <c r="F42" s="3">
        <v>6046.73</v>
      </c>
      <c r="G42" s="2" t="s">
        <v>537</v>
      </c>
      <c r="H42" s="2"/>
    </row>
    <row r="43" spans="1:13" x14ac:dyDescent="0.3">
      <c r="A43" s="8">
        <v>45897</v>
      </c>
      <c r="B43" s="2">
        <v>10</v>
      </c>
      <c r="C43" s="2" t="s">
        <v>539</v>
      </c>
      <c r="D43" s="2" t="s">
        <v>335</v>
      </c>
      <c r="E43" s="3">
        <v>2600</v>
      </c>
      <c r="F43" s="3">
        <f>B43*E43</f>
        <v>26000</v>
      </c>
      <c r="G43" s="2" t="s">
        <v>551</v>
      </c>
      <c r="H43" s="2"/>
    </row>
    <row r="44" spans="1:13" x14ac:dyDescent="0.3">
      <c r="A44" s="8">
        <v>45898</v>
      </c>
      <c r="B44" s="2">
        <v>30</v>
      </c>
      <c r="C44" s="2" t="s">
        <v>295</v>
      </c>
      <c r="D44" s="2" t="s">
        <v>545</v>
      </c>
      <c r="E44" s="3">
        <v>274</v>
      </c>
      <c r="F44" s="3">
        <f>B44*E44</f>
        <v>8220</v>
      </c>
      <c r="G44" s="2" t="s">
        <v>8</v>
      </c>
      <c r="H44" s="2"/>
    </row>
    <row r="45" spans="1:13" x14ac:dyDescent="0.3">
      <c r="A45" s="49">
        <v>45899</v>
      </c>
      <c r="B45" s="10">
        <v>20</v>
      </c>
      <c r="C45" s="10" t="s">
        <v>546</v>
      </c>
      <c r="D45" s="10" t="s">
        <v>349</v>
      </c>
      <c r="E45" s="50">
        <v>560</v>
      </c>
      <c r="F45" s="50">
        <v>0</v>
      </c>
      <c r="G45" s="10" t="s">
        <v>547</v>
      </c>
      <c r="H45" s="10" t="s">
        <v>563</v>
      </c>
    </row>
  </sheetData>
  <autoFilter ref="A1:N37" xr:uid="{4C4B8CDA-1945-474E-B42E-BED211C1449D}"/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D4C6-F42C-4BA1-AF11-E3361F8A40B4}">
  <dimension ref="A1:M43"/>
  <sheetViews>
    <sheetView topLeftCell="A19" zoomScaleNormal="100" workbookViewId="0">
      <selection activeCell="N36" sqref="N36"/>
    </sheetView>
  </sheetViews>
  <sheetFormatPr defaultRowHeight="14.4" x14ac:dyDescent="0.3"/>
  <cols>
    <col min="1" max="1" width="10.5546875" bestFit="1" customWidth="1"/>
    <col min="3" max="3" width="26.6640625" bestFit="1" customWidth="1"/>
    <col min="4" max="4" width="29.6640625" bestFit="1" customWidth="1"/>
    <col min="5" max="5" width="10" style="60" bestFit="1" customWidth="1"/>
    <col min="6" max="6" width="10" bestFit="1" customWidth="1"/>
    <col min="7" max="7" width="26.109375" bestFit="1" customWidth="1"/>
    <col min="8" max="8" width="13.5546875" bestFit="1" customWidth="1"/>
    <col min="10" max="10" width="10.21875" bestFit="1" customWidth="1"/>
    <col min="11" max="11" width="19.109375" bestFit="1" customWidth="1"/>
  </cols>
  <sheetData>
    <row r="1" spans="1:1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  <c r="I1" s="61" t="s">
        <v>303</v>
      </c>
      <c r="J1" s="4" t="s">
        <v>304</v>
      </c>
    </row>
    <row r="2" spans="1:13" x14ac:dyDescent="0.3">
      <c r="A2" s="8">
        <v>45848</v>
      </c>
      <c r="B2" s="2">
        <v>1</v>
      </c>
      <c r="C2" s="2" t="s">
        <v>402</v>
      </c>
      <c r="D2" s="2"/>
      <c r="E2" s="3">
        <v>10000</v>
      </c>
      <c r="F2" s="2">
        <v>10000</v>
      </c>
      <c r="G2" s="2"/>
      <c r="H2" s="2"/>
    </row>
    <row r="3" spans="1:13" x14ac:dyDescent="0.3">
      <c r="A3" s="34">
        <v>45860</v>
      </c>
      <c r="B3" s="35">
        <v>3</v>
      </c>
      <c r="C3" s="35" t="s">
        <v>351</v>
      </c>
      <c r="D3" s="35" t="s">
        <v>118</v>
      </c>
      <c r="E3" s="36">
        <v>2885</v>
      </c>
      <c r="F3" s="36">
        <f t="shared" ref="F3:F40" si="0">(B3*E3)</f>
        <v>8655</v>
      </c>
      <c r="G3" s="35" t="s">
        <v>8</v>
      </c>
      <c r="H3" s="2"/>
      <c r="K3" t="s">
        <v>415</v>
      </c>
    </row>
    <row r="4" spans="1:13" x14ac:dyDescent="0.3">
      <c r="A4" s="8">
        <v>45860</v>
      </c>
      <c r="B4" s="2">
        <v>10</v>
      </c>
      <c r="C4" s="2" t="s">
        <v>423</v>
      </c>
      <c r="D4" s="2" t="s">
        <v>349</v>
      </c>
      <c r="E4" s="3">
        <v>2288</v>
      </c>
      <c r="F4" s="3">
        <f t="shared" si="0"/>
        <v>22880</v>
      </c>
      <c r="G4" s="2" t="s">
        <v>8</v>
      </c>
      <c r="H4" s="2"/>
    </row>
    <row r="5" spans="1:13" x14ac:dyDescent="0.3">
      <c r="A5" s="8">
        <v>45860</v>
      </c>
      <c r="B5" s="2">
        <v>30</v>
      </c>
      <c r="C5" s="2" t="s">
        <v>416</v>
      </c>
      <c r="D5" s="2" t="s">
        <v>349</v>
      </c>
      <c r="E5" s="3">
        <v>560</v>
      </c>
      <c r="F5" s="3">
        <f t="shared" si="0"/>
        <v>16800</v>
      </c>
      <c r="G5" s="2" t="s">
        <v>8</v>
      </c>
      <c r="H5" s="2"/>
    </row>
    <row r="6" spans="1:13" x14ac:dyDescent="0.3">
      <c r="A6" s="8">
        <v>45860</v>
      </c>
      <c r="B6" s="2">
        <v>28</v>
      </c>
      <c r="C6" s="2" t="s">
        <v>417</v>
      </c>
      <c r="D6" s="2" t="s">
        <v>349</v>
      </c>
      <c r="E6" s="3">
        <v>1063</v>
      </c>
      <c r="F6" s="3">
        <f t="shared" si="0"/>
        <v>29764</v>
      </c>
      <c r="G6" s="2" t="s">
        <v>8</v>
      </c>
      <c r="H6" s="2"/>
    </row>
    <row r="7" spans="1:13" x14ac:dyDescent="0.3">
      <c r="A7" s="8">
        <v>45860</v>
      </c>
      <c r="B7" s="2">
        <v>1</v>
      </c>
      <c r="C7" s="2" t="s">
        <v>418</v>
      </c>
      <c r="D7" s="2" t="s">
        <v>349</v>
      </c>
      <c r="E7" s="3">
        <v>433</v>
      </c>
      <c r="F7" s="3">
        <f t="shared" si="0"/>
        <v>433</v>
      </c>
      <c r="G7" s="2" t="s">
        <v>8</v>
      </c>
      <c r="H7" s="2"/>
    </row>
    <row r="8" spans="1:13" x14ac:dyDescent="0.3">
      <c r="A8" s="8">
        <v>45860</v>
      </c>
      <c r="B8" s="2">
        <v>6</v>
      </c>
      <c r="C8" s="2" t="s">
        <v>419</v>
      </c>
      <c r="D8" s="2" t="s">
        <v>349</v>
      </c>
      <c r="E8" s="3">
        <v>655</v>
      </c>
      <c r="F8" s="3">
        <f t="shared" si="0"/>
        <v>3930</v>
      </c>
      <c r="G8" s="2" t="s">
        <v>8</v>
      </c>
      <c r="H8" s="2"/>
    </row>
    <row r="9" spans="1:13" x14ac:dyDescent="0.3">
      <c r="A9" s="8">
        <v>45860</v>
      </c>
      <c r="B9" s="2">
        <v>5</v>
      </c>
      <c r="C9" s="2" t="s">
        <v>422</v>
      </c>
      <c r="D9" s="2" t="s">
        <v>349</v>
      </c>
      <c r="E9" s="3">
        <v>751</v>
      </c>
      <c r="F9" s="3">
        <f t="shared" si="0"/>
        <v>3755</v>
      </c>
      <c r="G9" s="2" t="s">
        <v>509</v>
      </c>
      <c r="H9" s="2"/>
    </row>
    <row r="10" spans="1:13" x14ac:dyDescent="0.3">
      <c r="A10" s="8">
        <v>45860</v>
      </c>
      <c r="B10" s="2">
        <v>2</v>
      </c>
      <c r="C10" s="2" t="s">
        <v>423</v>
      </c>
      <c r="D10" s="2" t="s">
        <v>349</v>
      </c>
      <c r="E10" s="3">
        <v>2288</v>
      </c>
      <c r="F10" s="3">
        <f t="shared" si="0"/>
        <v>4576</v>
      </c>
      <c r="G10" s="2" t="s">
        <v>510</v>
      </c>
      <c r="H10" s="2"/>
    </row>
    <row r="11" spans="1:13" x14ac:dyDescent="0.3">
      <c r="A11" s="8">
        <v>45860</v>
      </c>
      <c r="B11" s="2">
        <v>12</v>
      </c>
      <c r="C11" s="2" t="s">
        <v>417</v>
      </c>
      <c r="D11" s="2" t="s">
        <v>349</v>
      </c>
      <c r="E11" s="3">
        <v>1063</v>
      </c>
      <c r="F11" s="3">
        <f t="shared" si="0"/>
        <v>12756</v>
      </c>
      <c r="G11" s="2" t="s">
        <v>511</v>
      </c>
      <c r="H11" s="2"/>
    </row>
    <row r="12" spans="1:13" x14ac:dyDescent="0.3">
      <c r="A12" s="49">
        <v>45860</v>
      </c>
      <c r="B12" s="10">
        <v>4</v>
      </c>
      <c r="C12" s="10" t="s">
        <v>419</v>
      </c>
      <c r="D12" s="10" t="s">
        <v>424</v>
      </c>
      <c r="E12" s="112">
        <v>400</v>
      </c>
      <c r="F12" s="50">
        <v>400</v>
      </c>
      <c r="G12" s="10" t="s">
        <v>565</v>
      </c>
      <c r="H12" s="2"/>
    </row>
    <row r="13" spans="1:13" x14ac:dyDescent="0.3">
      <c r="A13" s="49">
        <v>45860</v>
      </c>
      <c r="B13" s="10">
        <v>4</v>
      </c>
      <c r="C13" s="10" t="s">
        <v>425</v>
      </c>
      <c r="D13" s="10" t="s">
        <v>424</v>
      </c>
      <c r="E13" s="112"/>
      <c r="F13" s="50">
        <f t="shared" si="0"/>
        <v>0</v>
      </c>
      <c r="G13" s="10" t="s">
        <v>565</v>
      </c>
      <c r="H13" s="2"/>
    </row>
    <row r="14" spans="1:13" x14ac:dyDescent="0.3">
      <c r="A14" s="8">
        <v>45860</v>
      </c>
      <c r="B14" s="2">
        <v>3</v>
      </c>
      <c r="C14" s="2" t="s">
        <v>419</v>
      </c>
      <c r="D14" s="2" t="s">
        <v>420</v>
      </c>
      <c r="E14" s="3">
        <v>679</v>
      </c>
      <c r="F14" s="3">
        <f t="shared" si="0"/>
        <v>2037</v>
      </c>
      <c r="G14" s="2" t="s">
        <v>426</v>
      </c>
      <c r="H14" s="2"/>
      <c r="K14">
        <v>30</v>
      </c>
      <c r="L14">
        <v>2885</v>
      </c>
      <c r="M14">
        <f>K14*L14</f>
        <v>86550</v>
      </c>
    </row>
    <row r="15" spans="1:13" x14ac:dyDescent="0.3">
      <c r="A15" s="8">
        <v>45860</v>
      </c>
      <c r="B15" s="2">
        <v>1</v>
      </c>
      <c r="C15" s="2" t="s">
        <v>421</v>
      </c>
      <c r="D15" s="2" t="s">
        <v>420</v>
      </c>
      <c r="E15" s="3">
        <v>1069</v>
      </c>
      <c r="F15" s="3">
        <f t="shared" si="0"/>
        <v>1069</v>
      </c>
      <c r="G15" s="2" t="s">
        <v>426</v>
      </c>
      <c r="H15" s="2"/>
      <c r="K15">
        <v>30</v>
      </c>
      <c r="L15">
        <v>3750</v>
      </c>
      <c r="M15">
        <f>K15*L15</f>
        <v>112500</v>
      </c>
    </row>
    <row r="16" spans="1:13" x14ac:dyDescent="0.3">
      <c r="A16" s="8">
        <v>45862</v>
      </c>
      <c r="B16" s="2">
        <v>2</v>
      </c>
      <c r="C16" s="2" t="s">
        <v>419</v>
      </c>
      <c r="D16" s="2" t="s">
        <v>434</v>
      </c>
      <c r="E16" s="3">
        <v>679</v>
      </c>
      <c r="F16" s="3">
        <f t="shared" si="0"/>
        <v>1358</v>
      </c>
      <c r="G16" s="2" t="s">
        <v>8</v>
      </c>
      <c r="H16" s="2"/>
    </row>
    <row r="17" spans="1:8" x14ac:dyDescent="0.3">
      <c r="A17" s="8">
        <v>45862</v>
      </c>
      <c r="B17" s="2">
        <v>1</v>
      </c>
      <c r="C17" s="2" t="s">
        <v>416</v>
      </c>
      <c r="D17" s="2" t="s">
        <v>434</v>
      </c>
      <c r="E17" s="3">
        <v>645</v>
      </c>
      <c r="F17" s="3">
        <f t="shared" si="0"/>
        <v>645</v>
      </c>
      <c r="G17" s="2" t="s">
        <v>8</v>
      </c>
      <c r="H17" s="2"/>
    </row>
    <row r="18" spans="1:8" x14ac:dyDescent="0.3">
      <c r="A18" s="8">
        <v>45866</v>
      </c>
      <c r="B18" s="2">
        <v>1</v>
      </c>
      <c r="C18" s="2" t="s">
        <v>438</v>
      </c>
      <c r="D18" s="2" t="s">
        <v>361</v>
      </c>
      <c r="E18" s="3">
        <v>549</v>
      </c>
      <c r="F18" s="3">
        <f t="shared" si="0"/>
        <v>549</v>
      </c>
      <c r="G18" s="2" t="s">
        <v>8</v>
      </c>
      <c r="H18" s="2"/>
    </row>
    <row r="19" spans="1:8" x14ac:dyDescent="0.3">
      <c r="A19" s="8">
        <v>45866</v>
      </c>
      <c r="B19" s="2">
        <v>1</v>
      </c>
      <c r="C19" s="2" t="s">
        <v>437</v>
      </c>
      <c r="D19" s="2" t="s">
        <v>360</v>
      </c>
      <c r="E19" s="3">
        <v>684</v>
      </c>
      <c r="F19" s="3">
        <f t="shared" si="0"/>
        <v>684</v>
      </c>
      <c r="G19" s="2" t="s">
        <v>8</v>
      </c>
      <c r="H19" s="2"/>
    </row>
    <row r="20" spans="1:8" x14ac:dyDescent="0.3">
      <c r="A20" s="8">
        <v>45866</v>
      </c>
      <c r="B20" s="2">
        <v>2</v>
      </c>
      <c r="C20" s="2" t="s">
        <v>439</v>
      </c>
      <c r="D20" s="2" t="s">
        <v>318</v>
      </c>
      <c r="E20" s="3">
        <v>80</v>
      </c>
      <c r="F20" s="3">
        <f t="shared" si="0"/>
        <v>160</v>
      </c>
      <c r="G20" s="2" t="s">
        <v>8</v>
      </c>
      <c r="H20" s="2"/>
    </row>
    <row r="21" spans="1:8" x14ac:dyDescent="0.3">
      <c r="A21" s="8">
        <v>45866</v>
      </c>
      <c r="B21" s="2">
        <v>1</v>
      </c>
      <c r="C21" s="2" t="s">
        <v>437</v>
      </c>
      <c r="D21" s="2" t="s">
        <v>318</v>
      </c>
      <c r="E21" s="3">
        <v>714</v>
      </c>
      <c r="F21" s="3">
        <f t="shared" si="0"/>
        <v>714</v>
      </c>
      <c r="G21" s="2" t="s">
        <v>8</v>
      </c>
      <c r="H21" s="2"/>
    </row>
    <row r="22" spans="1:8" x14ac:dyDescent="0.3">
      <c r="A22" s="8">
        <v>45866</v>
      </c>
      <c r="B22" s="2">
        <v>1</v>
      </c>
      <c r="C22" s="2" t="s">
        <v>437</v>
      </c>
      <c r="D22" s="2" t="s">
        <v>364</v>
      </c>
      <c r="E22" s="3">
        <v>714</v>
      </c>
      <c r="F22" s="3">
        <f t="shared" si="0"/>
        <v>714</v>
      </c>
      <c r="G22" s="2" t="s">
        <v>8</v>
      </c>
      <c r="H22" s="2"/>
    </row>
    <row r="23" spans="1:8" x14ac:dyDescent="0.3">
      <c r="A23" s="8">
        <v>45866</v>
      </c>
      <c r="B23" s="2">
        <v>2</v>
      </c>
      <c r="C23" s="2" t="s">
        <v>438</v>
      </c>
      <c r="D23" s="2" t="s">
        <v>364</v>
      </c>
      <c r="E23" s="3">
        <v>574</v>
      </c>
      <c r="F23" s="3">
        <f t="shared" si="0"/>
        <v>1148</v>
      </c>
      <c r="G23" s="2" t="s">
        <v>453</v>
      </c>
      <c r="H23" s="2"/>
    </row>
    <row r="24" spans="1:8" x14ac:dyDescent="0.3">
      <c r="A24" s="8">
        <v>45867</v>
      </c>
      <c r="B24" s="2">
        <v>2</v>
      </c>
      <c r="C24" s="2" t="s">
        <v>438</v>
      </c>
      <c r="D24" s="2" t="s">
        <v>440</v>
      </c>
      <c r="E24" s="3">
        <v>574</v>
      </c>
      <c r="F24" s="3">
        <f t="shared" si="0"/>
        <v>1148</v>
      </c>
      <c r="G24" s="2" t="s">
        <v>8</v>
      </c>
      <c r="H24" s="2"/>
    </row>
    <row r="25" spans="1:8" x14ac:dyDescent="0.3">
      <c r="A25" s="8">
        <v>45867</v>
      </c>
      <c r="B25" s="2">
        <v>2</v>
      </c>
      <c r="C25" s="2" t="s">
        <v>438</v>
      </c>
      <c r="D25" s="2" t="s">
        <v>441</v>
      </c>
      <c r="E25" s="3">
        <v>549</v>
      </c>
      <c r="F25" s="3">
        <f t="shared" si="0"/>
        <v>1098</v>
      </c>
      <c r="G25" s="2" t="s">
        <v>8</v>
      </c>
      <c r="H25" s="2"/>
    </row>
    <row r="26" spans="1:8" x14ac:dyDescent="0.3">
      <c r="A26" s="49">
        <v>45867</v>
      </c>
      <c r="B26" s="10">
        <v>1</v>
      </c>
      <c r="C26" s="10" t="s">
        <v>438</v>
      </c>
      <c r="D26" s="10" t="s">
        <v>442</v>
      </c>
      <c r="E26" s="50">
        <v>549</v>
      </c>
      <c r="F26" s="50">
        <f t="shared" si="0"/>
        <v>549</v>
      </c>
      <c r="G26" s="10" t="s">
        <v>558</v>
      </c>
      <c r="H26" s="2"/>
    </row>
    <row r="27" spans="1:8" x14ac:dyDescent="0.3">
      <c r="A27" s="8">
        <v>45867</v>
      </c>
      <c r="B27" s="2">
        <v>1</v>
      </c>
      <c r="C27" s="2" t="s">
        <v>438</v>
      </c>
      <c r="D27" s="2" t="s">
        <v>361</v>
      </c>
      <c r="E27" s="3">
        <v>549</v>
      </c>
      <c r="F27" s="3">
        <f t="shared" si="0"/>
        <v>549</v>
      </c>
      <c r="G27" s="2" t="s">
        <v>544</v>
      </c>
      <c r="H27" s="2"/>
    </row>
    <row r="28" spans="1:8" x14ac:dyDescent="0.3">
      <c r="A28" s="8">
        <v>45867</v>
      </c>
      <c r="B28" s="2">
        <v>1</v>
      </c>
      <c r="C28" s="2" t="s">
        <v>438</v>
      </c>
      <c r="D28" s="2" t="s">
        <v>443</v>
      </c>
      <c r="E28" s="3">
        <v>549</v>
      </c>
      <c r="F28" s="3">
        <f t="shared" si="0"/>
        <v>549</v>
      </c>
      <c r="G28" s="2" t="s">
        <v>8</v>
      </c>
      <c r="H28" s="2"/>
    </row>
    <row r="29" spans="1:8" x14ac:dyDescent="0.3">
      <c r="A29" s="8">
        <v>45867</v>
      </c>
      <c r="B29" s="2">
        <v>2</v>
      </c>
      <c r="C29" s="2" t="s">
        <v>438</v>
      </c>
      <c r="D29" s="2" t="s">
        <v>230</v>
      </c>
      <c r="E29" s="3">
        <v>574</v>
      </c>
      <c r="F29" s="3">
        <f t="shared" si="0"/>
        <v>1148</v>
      </c>
      <c r="G29" s="2" t="s">
        <v>8</v>
      </c>
      <c r="H29" s="2"/>
    </row>
    <row r="30" spans="1:8" x14ac:dyDescent="0.3">
      <c r="A30" s="8">
        <v>45867</v>
      </c>
      <c r="B30" s="2">
        <v>2</v>
      </c>
      <c r="C30" s="2" t="s">
        <v>438</v>
      </c>
      <c r="D30" s="2" t="s">
        <v>444</v>
      </c>
      <c r="E30" s="3">
        <v>574</v>
      </c>
      <c r="F30" s="3">
        <f t="shared" si="0"/>
        <v>1148</v>
      </c>
      <c r="G30" s="2" t="s">
        <v>8</v>
      </c>
      <c r="H30" s="2"/>
    </row>
    <row r="31" spans="1:8" x14ac:dyDescent="0.3">
      <c r="A31" s="17">
        <v>45867</v>
      </c>
      <c r="B31" s="18">
        <v>2</v>
      </c>
      <c r="C31" s="18" t="s">
        <v>438</v>
      </c>
      <c r="D31" s="18" t="s">
        <v>445</v>
      </c>
      <c r="E31" s="19">
        <v>574</v>
      </c>
      <c r="F31" s="19">
        <f t="shared" si="0"/>
        <v>1148</v>
      </c>
      <c r="G31" s="18" t="s">
        <v>308</v>
      </c>
      <c r="H31" s="18" t="s">
        <v>308</v>
      </c>
    </row>
    <row r="32" spans="1:8" x14ac:dyDescent="0.3">
      <c r="A32" s="8">
        <v>45867</v>
      </c>
      <c r="B32" s="2">
        <v>2</v>
      </c>
      <c r="C32" s="2" t="s">
        <v>438</v>
      </c>
      <c r="D32" s="2" t="s">
        <v>446</v>
      </c>
      <c r="E32" s="3">
        <v>574</v>
      </c>
      <c r="F32" s="3">
        <f t="shared" si="0"/>
        <v>1148</v>
      </c>
      <c r="G32" s="2" t="s">
        <v>8</v>
      </c>
      <c r="H32" s="2"/>
    </row>
    <row r="33" spans="1:8" x14ac:dyDescent="0.3">
      <c r="A33" s="8">
        <v>45869</v>
      </c>
      <c r="B33" s="2">
        <v>4</v>
      </c>
      <c r="C33" s="2" t="s">
        <v>438</v>
      </c>
      <c r="D33" s="2" t="s">
        <v>450</v>
      </c>
      <c r="E33" s="3">
        <v>574</v>
      </c>
      <c r="F33" s="3">
        <f t="shared" si="0"/>
        <v>2296</v>
      </c>
      <c r="G33" s="2" t="s">
        <v>8</v>
      </c>
      <c r="H33" s="2"/>
    </row>
    <row r="34" spans="1:8" x14ac:dyDescent="0.3">
      <c r="A34" s="8">
        <v>45869</v>
      </c>
      <c r="B34" s="2">
        <v>2</v>
      </c>
      <c r="C34" s="2" t="s">
        <v>378</v>
      </c>
      <c r="D34" s="2" t="s">
        <v>450</v>
      </c>
      <c r="E34" s="3">
        <v>640</v>
      </c>
      <c r="F34" s="3">
        <f t="shared" si="0"/>
        <v>1280</v>
      </c>
      <c r="G34" s="2" t="s">
        <v>62</v>
      </c>
      <c r="H34" s="2"/>
    </row>
    <row r="35" spans="1:8" x14ac:dyDescent="0.3">
      <c r="A35" s="8">
        <v>45869</v>
      </c>
      <c r="B35" s="2">
        <v>2</v>
      </c>
      <c r="C35" s="2" t="s">
        <v>437</v>
      </c>
      <c r="D35" s="2" t="s">
        <v>451</v>
      </c>
      <c r="E35" s="3">
        <v>714</v>
      </c>
      <c r="F35" s="3">
        <f t="shared" si="0"/>
        <v>1428</v>
      </c>
      <c r="G35" s="2" t="s">
        <v>8</v>
      </c>
      <c r="H35" s="2"/>
    </row>
    <row r="36" spans="1:8" x14ac:dyDescent="0.3">
      <c r="A36" s="8">
        <v>45869</v>
      </c>
      <c r="B36" s="2">
        <v>2</v>
      </c>
      <c r="C36" s="2" t="s">
        <v>438</v>
      </c>
      <c r="D36" s="2" t="s">
        <v>452</v>
      </c>
      <c r="E36" s="3">
        <v>574</v>
      </c>
      <c r="F36" s="3">
        <f t="shared" si="0"/>
        <v>1148</v>
      </c>
      <c r="G36" s="2" t="s">
        <v>8</v>
      </c>
      <c r="H36" s="2"/>
    </row>
    <row r="37" spans="1:8" x14ac:dyDescent="0.3">
      <c r="A37" s="8">
        <v>45869</v>
      </c>
      <c r="B37" s="2">
        <v>2</v>
      </c>
      <c r="C37" s="2" t="s">
        <v>438</v>
      </c>
      <c r="D37" s="2" t="s">
        <v>360</v>
      </c>
      <c r="E37" s="3">
        <v>549</v>
      </c>
      <c r="F37" s="3">
        <f t="shared" si="0"/>
        <v>1098</v>
      </c>
      <c r="G37" s="2" t="s">
        <v>348</v>
      </c>
      <c r="H37" s="2"/>
    </row>
    <row r="38" spans="1:8" x14ac:dyDescent="0.3">
      <c r="A38" s="8">
        <v>45862</v>
      </c>
      <c r="B38" s="2">
        <v>6</v>
      </c>
      <c r="C38" s="2" t="s">
        <v>455</v>
      </c>
      <c r="D38" s="2" t="s">
        <v>454</v>
      </c>
      <c r="E38" s="3">
        <v>87</v>
      </c>
      <c r="F38" s="3">
        <f t="shared" si="0"/>
        <v>522</v>
      </c>
      <c r="G38" s="2" t="s">
        <v>8</v>
      </c>
      <c r="H38" s="2"/>
    </row>
    <row r="39" spans="1:8" x14ac:dyDescent="0.3">
      <c r="A39" s="8">
        <v>45862</v>
      </c>
      <c r="B39" s="2">
        <v>4</v>
      </c>
      <c r="C39" s="2" t="s">
        <v>456</v>
      </c>
      <c r="D39" s="2" t="s">
        <v>454</v>
      </c>
      <c r="E39" s="3">
        <v>51</v>
      </c>
      <c r="F39" s="3">
        <f t="shared" si="0"/>
        <v>204</v>
      </c>
      <c r="G39" s="2" t="s">
        <v>8</v>
      </c>
      <c r="H39" s="2"/>
    </row>
    <row r="40" spans="1:8" x14ac:dyDescent="0.3">
      <c r="A40" s="8">
        <v>45862</v>
      </c>
      <c r="B40" s="2">
        <v>7</v>
      </c>
      <c r="C40" s="2" t="s">
        <v>457</v>
      </c>
      <c r="D40" s="2" t="s">
        <v>454</v>
      </c>
      <c r="E40" s="3">
        <v>19</v>
      </c>
      <c r="F40" s="3">
        <f t="shared" si="0"/>
        <v>133</v>
      </c>
      <c r="G40" s="2" t="s">
        <v>8</v>
      </c>
      <c r="H40" s="2"/>
    </row>
    <row r="42" spans="1:8" x14ac:dyDescent="0.3">
      <c r="C42" s="2"/>
      <c r="D42" s="2"/>
    </row>
    <row r="43" spans="1:8" x14ac:dyDescent="0.3">
      <c r="C43" s="2"/>
      <c r="D43" s="2"/>
    </row>
  </sheetData>
  <autoFilter ref="A1:K40" xr:uid="{3E67D4C6-F42C-4BA1-AF11-E3361F8A40B4}"/>
  <mergeCells count="1">
    <mergeCell ref="E12:E13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DC65F-F8F3-4199-AB9B-9BCCD679FD60}">
  <dimension ref="A1:M36"/>
  <sheetViews>
    <sheetView topLeftCell="A15" workbookViewId="0">
      <selection activeCell="D40" sqref="D40"/>
    </sheetView>
  </sheetViews>
  <sheetFormatPr defaultRowHeight="14.4" x14ac:dyDescent="0.3"/>
  <cols>
    <col min="1" max="2" width="10.5546875" bestFit="1" customWidth="1"/>
    <col min="3" max="3" width="33" bestFit="1" customWidth="1"/>
    <col min="4" max="4" width="31.109375" bestFit="1" customWidth="1"/>
    <col min="5" max="5" width="7.5546875" customWidth="1"/>
    <col min="6" max="6" width="10" customWidth="1"/>
    <col min="7" max="7" width="34" bestFit="1" customWidth="1"/>
    <col min="8" max="8" width="10.5546875" customWidth="1"/>
    <col min="9" max="9" width="18.21875" bestFit="1" customWidth="1"/>
  </cols>
  <sheetData>
    <row r="1" spans="1:1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13" x14ac:dyDescent="0.3">
      <c r="A2" s="8">
        <v>45909</v>
      </c>
      <c r="B2" s="2">
        <v>10</v>
      </c>
      <c r="C2" s="2" t="s">
        <v>549</v>
      </c>
      <c r="D2" s="2" t="s">
        <v>548</v>
      </c>
      <c r="E2" s="3">
        <v>397</v>
      </c>
      <c r="F2" s="3">
        <f>B2*E2</f>
        <v>3970</v>
      </c>
      <c r="G2" s="2" t="s">
        <v>557</v>
      </c>
      <c r="H2" s="8">
        <v>45912</v>
      </c>
      <c r="I2" s="2"/>
      <c r="M2">
        <v>139000</v>
      </c>
    </row>
    <row r="3" spans="1:13" x14ac:dyDescent="0.3">
      <c r="A3" s="8">
        <v>45909</v>
      </c>
      <c r="B3" s="2">
        <v>10</v>
      </c>
      <c r="C3" s="2" t="s">
        <v>550</v>
      </c>
      <c r="D3" s="2" t="s">
        <v>548</v>
      </c>
      <c r="E3" s="65">
        <v>353</v>
      </c>
      <c r="F3" s="65">
        <f>B3*E3</f>
        <v>3530</v>
      </c>
      <c r="G3" s="2" t="s">
        <v>557</v>
      </c>
      <c r="H3" s="8">
        <v>45912</v>
      </c>
      <c r="I3" s="2"/>
      <c r="M3">
        <v>314000</v>
      </c>
    </row>
    <row r="4" spans="1:13" x14ac:dyDescent="0.3">
      <c r="A4" s="8">
        <v>45910</v>
      </c>
      <c r="B4" s="2">
        <v>5</v>
      </c>
      <c r="C4" s="2" t="s">
        <v>553</v>
      </c>
      <c r="D4" s="2" t="s">
        <v>335</v>
      </c>
      <c r="E4" s="65">
        <v>999</v>
      </c>
      <c r="F4" s="65">
        <f t="shared" ref="F4:F16" si="0">B4*E4</f>
        <v>4995</v>
      </c>
      <c r="G4" s="2" t="s">
        <v>558</v>
      </c>
      <c r="H4" s="8">
        <v>45912</v>
      </c>
      <c r="I4" s="2"/>
      <c r="M4">
        <v>202800</v>
      </c>
    </row>
    <row r="5" spans="1:13" x14ac:dyDescent="0.3">
      <c r="A5" s="8">
        <v>45910</v>
      </c>
      <c r="B5" s="2">
        <v>15</v>
      </c>
      <c r="C5" s="2" t="s">
        <v>555</v>
      </c>
      <c r="D5" s="2" t="s">
        <v>335</v>
      </c>
      <c r="E5" s="65">
        <v>1150</v>
      </c>
      <c r="F5" s="65">
        <f t="shared" si="0"/>
        <v>17250</v>
      </c>
      <c r="G5" s="2" t="s">
        <v>558</v>
      </c>
      <c r="H5" s="8">
        <v>45912</v>
      </c>
      <c r="I5" s="2"/>
    </row>
    <row r="6" spans="1:13" x14ac:dyDescent="0.3">
      <c r="A6" s="8">
        <v>45910</v>
      </c>
      <c r="B6" s="2">
        <v>10</v>
      </c>
      <c r="C6" s="2" t="s">
        <v>556</v>
      </c>
      <c r="D6" s="2" t="s">
        <v>335</v>
      </c>
      <c r="E6" s="65">
        <v>1260</v>
      </c>
      <c r="F6" s="65">
        <f t="shared" si="0"/>
        <v>12600</v>
      </c>
      <c r="G6" s="2" t="s">
        <v>558</v>
      </c>
      <c r="H6" s="8">
        <v>45912</v>
      </c>
      <c r="I6" s="2"/>
    </row>
    <row r="7" spans="1:13" x14ac:dyDescent="0.3">
      <c r="A7" s="8">
        <v>45910</v>
      </c>
      <c r="B7" s="2">
        <v>5</v>
      </c>
      <c r="C7" s="2" t="s">
        <v>554</v>
      </c>
      <c r="D7" s="2" t="s">
        <v>335</v>
      </c>
      <c r="E7" s="65">
        <v>3300</v>
      </c>
      <c r="F7" s="65">
        <f t="shared" si="0"/>
        <v>16500</v>
      </c>
      <c r="G7" s="2" t="s">
        <v>558</v>
      </c>
      <c r="H7" s="8">
        <v>45912</v>
      </c>
      <c r="I7" s="2"/>
    </row>
    <row r="8" spans="1:13" x14ac:dyDescent="0.3">
      <c r="A8" s="8">
        <v>45910</v>
      </c>
      <c r="B8" s="2">
        <v>9</v>
      </c>
      <c r="C8" s="2" t="s">
        <v>553</v>
      </c>
      <c r="D8" s="2" t="s">
        <v>349</v>
      </c>
      <c r="E8" s="65">
        <v>1063</v>
      </c>
      <c r="F8" s="65">
        <f t="shared" si="0"/>
        <v>9567</v>
      </c>
      <c r="G8" s="2" t="s">
        <v>557</v>
      </c>
      <c r="H8" s="8">
        <v>45912</v>
      </c>
      <c r="I8" s="2"/>
    </row>
    <row r="9" spans="1:13" x14ac:dyDescent="0.3">
      <c r="A9" s="8">
        <v>45910</v>
      </c>
      <c r="B9" s="2">
        <v>9</v>
      </c>
      <c r="C9" s="2" t="s">
        <v>560</v>
      </c>
      <c r="D9" s="2" t="s">
        <v>349</v>
      </c>
      <c r="E9" s="65">
        <v>433</v>
      </c>
      <c r="F9" s="65">
        <f t="shared" si="0"/>
        <v>3897</v>
      </c>
      <c r="G9" s="2" t="s">
        <v>557</v>
      </c>
      <c r="H9" s="8">
        <v>45912</v>
      </c>
      <c r="I9" s="2"/>
    </row>
    <row r="10" spans="1:13" x14ac:dyDescent="0.3">
      <c r="A10" s="8">
        <v>45910</v>
      </c>
      <c r="B10" s="2">
        <v>1</v>
      </c>
      <c r="C10" s="2" t="s">
        <v>323</v>
      </c>
      <c r="D10" s="2" t="s">
        <v>349</v>
      </c>
      <c r="E10" s="65">
        <v>655</v>
      </c>
      <c r="F10" s="65">
        <f t="shared" si="0"/>
        <v>655</v>
      </c>
      <c r="G10" s="2" t="s">
        <v>557</v>
      </c>
      <c r="H10" s="8">
        <v>45912</v>
      </c>
      <c r="I10" s="2"/>
    </row>
    <row r="11" spans="1:13" x14ac:dyDescent="0.3">
      <c r="A11" s="8">
        <v>45910</v>
      </c>
      <c r="B11" s="2">
        <v>5</v>
      </c>
      <c r="C11" s="2" t="s">
        <v>196</v>
      </c>
      <c r="D11" s="2" t="s">
        <v>349</v>
      </c>
      <c r="E11" s="65">
        <v>751</v>
      </c>
      <c r="F11" s="65">
        <f t="shared" si="0"/>
        <v>3755</v>
      </c>
      <c r="G11" s="2" t="s">
        <v>557</v>
      </c>
      <c r="H11" s="8">
        <v>45912</v>
      </c>
      <c r="I11" s="2" t="s">
        <v>115</v>
      </c>
    </row>
    <row r="12" spans="1:13" x14ac:dyDescent="0.3">
      <c r="A12" s="8">
        <v>45910</v>
      </c>
      <c r="B12" s="2">
        <v>2</v>
      </c>
      <c r="C12" s="2" t="s">
        <v>561</v>
      </c>
      <c r="D12" s="2" t="s">
        <v>349</v>
      </c>
      <c r="E12" s="65">
        <v>2800</v>
      </c>
      <c r="F12" s="65">
        <f t="shared" si="0"/>
        <v>5600</v>
      </c>
      <c r="G12" s="2" t="s">
        <v>557</v>
      </c>
      <c r="H12" s="8">
        <v>45912</v>
      </c>
      <c r="I12" s="2" t="s">
        <v>115</v>
      </c>
    </row>
    <row r="13" spans="1:13" x14ac:dyDescent="0.3">
      <c r="A13" s="8">
        <v>45910</v>
      </c>
      <c r="B13" s="2">
        <v>20</v>
      </c>
      <c r="C13" s="2" t="s">
        <v>562</v>
      </c>
      <c r="D13" s="2" t="s">
        <v>349</v>
      </c>
      <c r="E13" s="65">
        <v>560</v>
      </c>
      <c r="F13" s="65">
        <f t="shared" si="0"/>
        <v>11200</v>
      </c>
      <c r="G13" s="2" t="s">
        <v>557</v>
      </c>
      <c r="H13" s="8">
        <v>45912</v>
      </c>
      <c r="I13" s="2" t="s">
        <v>115</v>
      </c>
    </row>
    <row r="14" spans="1:13" x14ac:dyDescent="0.3">
      <c r="A14" s="8">
        <v>45910</v>
      </c>
      <c r="B14" s="2">
        <v>1</v>
      </c>
      <c r="C14" s="2" t="s">
        <v>554</v>
      </c>
      <c r="D14" s="2" t="s">
        <v>349</v>
      </c>
      <c r="E14" s="65">
        <v>3690</v>
      </c>
      <c r="F14" s="65">
        <f t="shared" si="0"/>
        <v>3690</v>
      </c>
      <c r="G14" s="2" t="s">
        <v>557</v>
      </c>
      <c r="H14" s="8">
        <v>45912</v>
      </c>
      <c r="I14" s="2" t="s">
        <v>115</v>
      </c>
    </row>
    <row r="15" spans="1:13" x14ac:dyDescent="0.3">
      <c r="A15" s="8">
        <v>45910</v>
      </c>
      <c r="B15" s="2">
        <v>50</v>
      </c>
      <c r="C15" s="2" t="s">
        <v>559</v>
      </c>
      <c r="D15" s="2" t="s">
        <v>349</v>
      </c>
      <c r="E15" s="65">
        <v>49</v>
      </c>
      <c r="F15" s="65">
        <f t="shared" si="0"/>
        <v>2450</v>
      </c>
      <c r="G15" s="2" t="s">
        <v>557</v>
      </c>
      <c r="H15" s="8">
        <v>45912</v>
      </c>
      <c r="I15" s="2"/>
    </row>
    <row r="16" spans="1:13" x14ac:dyDescent="0.3">
      <c r="A16" s="8">
        <v>45910</v>
      </c>
      <c r="B16" s="10">
        <v>4</v>
      </c>
      <c r="C16" s="10" t="s">
        <v>419</v>
      </c>
      <c r="D16" s="10" t="s">
        <v>424</v>
      </c>
      <c r="E16" s="67">
        <v>679</v>
      </c>
      <c r="F16" s="66">
        <f t="shared" si="0"/>
        <v>2716</v>
      </c>
      <c r="G16" s="10" t="s">
        <v>566</v>
      </c>
      <c r="H16" s="8">
        <v>45912</v>
      </c>
      <c r="I16" s="2" t="s">
        <v>567</v>
      </c>
    </row>
    <row r="17" spans="1:12" x14ac:dyDescent="0.3">
      <c r="A17" s="17">
        <v>45910</v>
      </c>
      <c r="B17" s="16">
        <v>4</v>
      </c>
      <c r="C17" s="16" t="s">
        <v>425</v>
      </c>
      <c r="D17" s="16" t="s">
        <v>424</v>
      </c>
      <c r="E17" s="69"/>
      <c r="F17" s="70">
        <v>200</v>
      </c>
      <c r="G17" s="16" t="s">
        <v>568</v>
      </c>
      <c r="H17" s="18" t="s">
        <v>47</v>
      </c>
      <c r="I17" s="18" t="s">
        <v>623</v>
      </c>
    </row>
    <row r="18" spans="1:12" x14ac:dyDescent="0.3">
      <c r="A18" s="8">
        <v>45912</v>
      </c>
      <c r="B18" s="2">
        <v>6</v>
      </c>
      <c r="C18" s="2" t="s">
        <v>571</v>
      </c>
      <c r="D18" s="2" t="s">
        <v>570</v>
      </c>
      <c r="E18" s="65">
        <v>2599</v>
      </c>
      <c r="F18" s="65">
        <f>E18*B18</f>
        <v>15594</v>
      </c>
      <c r="G18" s="2" t="s">
        <v>577</v>
      </c>
      <c r="H18" s="8">
        <v>45919</v>
      </c>
      <c r="I18" s="2"/>
    </row>
    <row r="19" spans="1:12" x14ac:dyDescent="0.3">
      <c r="A19" s="8">
        <v>45912</v>
      </c>
      <c r="B19" s="2">
        <v>28</v>
      </c>
      <c r="C19" s="2" t="s">
        <v>573</v>
      </c>
      <c r="D19" s="2" t="s">
        <v>572</v>
      </c>
      <c r="E19" s="65">
        <v>2199</v>
      </c>
      <c r="F19" s="65">
        <f>E19*B19</f>
        <v>61572</v>
      </c>
      <c r="G19" s="2" t="s">
        <v>577</v>
      </c>
      <c r="H19" s="8">
        <v>45919</v>
      </c>
      <c r="I19" s="2"/>
    </row>
    <row r="20" spans="1:12" x14ac:dyDescent="0.3">
      <c r="A20" s="8">
        <v>45912</v>
      </c>
      <c r="B20" s="2">
        <v>6</v>
      </c>
      <c r="C20" s="2" t="s">
        <v>573</v>
      </c>
      <c r="D20" s="2" t="s">
        <v>574</v>
      </c>
      <c r="E20" s="65">
        <v>2199</v>
      </c>
      <c r="F20" s="65">
        <f t="shared" ref="F20:F21" si="1">E20*B20</f>
        <v>13194</v>
      </c>
      <c r="G20" s="18" t="s">
        <v>600</v>
      </c>
      <c r="H20" s="2"/>
      <c r="I20" s="2"/>
    </row>
    <row r="21" spans="1:12" x14ac:dyDescent="0.3">
      <c r="A21" s="8">
        <v>45912</v>
      </c>
      <c r="B21" s="2">
        <v>4</v>
      </c>
      <c r="C21" s="2" t="s">
        <v>573</v>
      </c>
      <c r="D21" s="2" t="s">
        <v>574</v>
      </c>
      <c r="E21" s="65">
        <v>2199</v>
      </c>
      <c r="F21" s="65">
        <f t="shared" si="1"/>
        <v>8796</v>
      </c>
      <c r="G21" s="18" t="s">
        <v>599</v>
      </c>
      <c r="H21" s="8">
        <v>45919</v>
      </c>
      <c r="I21" s="2"/>
    </row>
    <row r="22" spans="1:12" x14ac:dyDescent="0.3">
      <c r="A22" s="8">
        <v>45912</v>
      </c>
      <c r="B22" s="2">
        <v>1</v>
      </c>
      <c r="C22" s="2" t="s">
        <v>575</v>
      </c>
      <c r="D22" s="2" t="s">
        <v>576</v>
      </c>
      <c r="E22" s="65">
        <v>350</v>
      </c>
      <c r="F22" s="65">
        <v>350</v>
      </c>
      <c r="G22" s="2"/>
      <c r="H22" s="2"/>
      <c r="I22" s="2"/>
    </row>
    <row r="23" spans="1:12" x14ac:dyDescent="0.3">
      <c r="A23" s="8">
        <v>45925</v>
      </c>
      <c r="B23" s="2">
        <v>5</v>
      </c>
      <c r="C23" s="2" t="s">
        <v>583</v>
      </c>
      <c r="D23" s="2" t="s">
        <v>335</v>
      </c>
      <c r="E23" s="65">
        <v>1449</v>
      </c>
      <c r="F23" s="65">
        <f>B23*E23</f>
        <v>7245</v>
      </c>
      <c r="G23" s="2" t="s">
        <v>584</v>
      </c>
      <c r="H23" s="2"/>
      <c r="I23" s="2"/>
    </row>
    <row r="24" spans="1:12" x14ac:dyDescent="0.3">
      <c r="A24" s="8">
        <v>45925</v>
      </c>
      <c r="B24" s="2">
        <v>5</v>
      </c>
      <c r="C24" s="2" t="s">
        <v>585</v>
      </c>
      <c r="D24" s="2" t="s">
        <v>335</v>
      </c>
      <c r="E24" s="65">
        <v>4400</v>
      </c>
      <c r="F24" s="65">
        <f t="shared" ref="F24:F34" si="2">B24*E24</f>
        <v>22000</v>
      </c>
      <c r="G24" s="2" t="s">
        <v>589</v>
      </c>
      <c r="H24" s="2"/>
      <c r="I24" s="2"/>
    </row>
    <row r="25" spans="1:12" x14ac:dyDescent="0.3">
      <c r="A25" s="8">
        <v>45925</v>
      </c>
      <c r="B25" s="2">
        <v>5</v>
      </c>
      <c r="C25" s="2" t="s">
        <v>196</v>
      </c>
      <c r="D25" s="2" t="s">
        <v>335</v>
      </c>
      <c r="E25" s="65">
        <v>645</v>
      </c>
      <c r="F25" s="65">
        <f t="shared" si="2"/>
        <v>3225</v>
      </c>
      <c r="G25" s="2" t="s">
        <v>584</v>
      </c>
      <c r="H25" s="2"/>
      <c r="I25" s="2"/>
    </row>
    <row r="26" spans="1:12" x14ac:dyDescent="0.3">
      <c r="A26" s="8">
        <v>45925</v>
      </c>
      <c r="B26" s="2">
        <v>5</v>
      </c>
      <c r="C26" s="2" t="s">
        <v>586</v>
      </c>
      <c r="D26" s="2" t="s">
        <v>335</v>
      </c>
      <c r="E26" s="65">
        <v>860</v>
      </c>
      <c r="F26" s="65">
        <f t="shared" si="2"/>
        <v>4300</v>
      </c>
      <c r="G26" s="2" t="s">
        <v>584</v>
      </c>
      <c r="H26" s="2"/>
      <c r="I26" s="2"/>
    </row>
    <row r="27" spans="1:12" x14ac:dyDescent="0.3">
      <c r="A27" s="8">
        <v>45925</v>
      </c>
      <c r="B27" s="2">
        <v>5</v>
      </c>
      <c r="C27" s="2" t="s">
        <v>587</v>
      </c>
      <c r="D27" s="2" t="s">
        <v>335</v>
      </c>
      <c r="E27" s="65">
        <v>999</v>
      </c>
      <c r="F27" s="65">
        <f t="shared" si="2"/>
        <v>4995</v>
      </c>
      <c r="G27" s="2" t="s">
        <v>584</v>
      </c>
      <c r="H27" s="2"/>
      <c r="I27" s="2"/>
    </row>
    <row r="28" spans="1:12" x14ac:dyDescent="0.3">
      <c r="A28" s="8">
        <v>45925</v>
      </c>
      <c r="B28" s="2">
        <v>5</v>
      </c>
      <c r="C28" s="2" t="s">
        <v>588</v>
      </c>
      <c r="D28" s="2" t="s">
        <v>335</v>
      </c>
      <c r="E28" s="65">
        <v>1150</v>
      </c>
      <c r="F28" s="65">
        <f t="shared" si="2"/>
        <v>5750</v>
      </c>
      <c r="G28" s="2" t="s">
        <v>584</v>
      </c>
      <c r="H28" s="2"/>
      <c r="I28" s="2"/>
      <c r="L28" t="s">
        <v>590</v>
      </c>
    </row>
    <row r="29" spans="1:12" x14ac:dyDescent="0.3">
      <c r="A29" s="8">
        <v>45926</v>
      </c>
      <c r="B29" s="2">
        <v>23</v>
      </c>
      <c r="C29" s="2" t="s">
        <v>593</v>
      </c>
      <c r="D29" s="2" t="s">
        <v>594</v>
      </c>
      <c r="E29" s="65">
        <v>2199</v>
      </c>
      <c r="F29" s="65">
        <f t="shared" si="2"/>
        <v>50577</v>
      </c>
      <c r="G29" s="2" t="s">
        <v>595</v>
      </c>
      <c r="H29" s="8">
        <v>45926</v>
      </c>
      <c r="I29" s="2"/>
      <c r="L29" t="s">
        <v>591</v>
      </c>
    </row>
    <row r="30" spans="1:12" x14ac:dyDescent="0.3">
      <c r="A30" s="8">
        <v>45926</v>
      </c>
      <c r="B30" s="2">
        <v>2</v>
      </c>
      <c r="C30" s="2" t="s">
        <v>593</v>
      </c>
      <c r="D30" s="2" t="s">
        <v>594</v>
      </c>
      <c r="E30" s="65">
        <v>2199</v>
      </c>
      <c r="F30" s="65">
        <f t="shared" si="2"/>
        <v>4398</v>
      </c>
      <c r="G30" s="18" t="s">
        <v>598</v>
      </c>
      <c r="H30" s="8">
        <v>45926</v>
      </c>
      <c r="I30" s="2"/>
      <c r="L30" t="s">
        <v>592</v>
      </c>
    </row>
    <row r="31" spans="1:12" x14ac:dyDescent="0.3">
      <c r="A31" s="49">
        <v>45926</v>
      </c>
      <c r="B31" s="10">
        <v>2</v>
      </c>
      <c r="C31" s="10" t="s">
        <v>596</v>
      </c>
      <c r="D31" s="10" t="s">
        <v>601</v>
      </c>
      <c r="E31" s="66">
        <v>2199</v>
      </c>
      <c r="F31" s="66">
        <f t="shared" si="2"/>
        <v>4398</v>
      </c>
      <c r="G31" s="10" t="s">
        <v>598</v>
      </c>
      <c r="H31" s="8"/>
      <c r="I31" s="2"/>
    </row>
    <row r="32" spans="1:12" x14ac:dyDescent="0.3">
      <c r="A32" s="8">
        <v>45926</v>
      </c>
      <c r="B32" s="2">
        <v>2</v>
      </c>
      <c r="C32" s="2" t="s">
        <v>597</v>
      </c>
      <c r="D32" s="2" t="s">
        <v>602</v>
      </c>
      <c r="E32" s="65">
        <v>1999</v>
      </c>
      <c r="F32" s="65">
        <f t="shared" si="2"/>
        <v>3998</v>
      </c>
      <c r="G32" s="2" t="s">
        <v>8</v>
      </c>
      <c r="H32" s="8">
        <v>45929</v>
      </c>
      <c r="I32" s="2"/>
    </row>
    <row r="33" spans="1:9" x14ac:dyDescent="0.3">
      <c r="A33" s="8">
        <v>45917</v>
      </c>
      <c r="B33" s="2">
        <v>30</v>
      </c>
      <c r="C33" s="2" t="s">
        <v>587</v>
      </c>
      <c r="D33" s="2" t="s">
        <v>349</v>
      </c>
      <c r="E33" s="21">
        <v>1063</v>
      </c>
      <c r="F33" s="65"/>
      <c r="G33" s="2" t="s">
        <v>603</v>
      </c>
      <c r="H33" s="2"/>
      <c r="I33" s="2"/>
    </row>
    <row r="34" spans="1:9" x14ac:dyDescent="0.3">
      <c r="A34" s="8">
        <v>45928</v>
      </c>
      <c r="B34" s="22">
        <v>9</v>
      </c>
      <c r="C34" s="2" t="s">
        <v>606</v>
      </c>
      <c r="D34" s="2" t="s">
        <v>607</v>
      </c>
      <c r="E34" s="21">
        <v>539</v>
      </c>
      <c r="F34" s="65">
        <f t="shared" si="2"/>
        <v>4851</v>
      </c>
      <c r="G34" s="2" t="s">
        <v>624</v>
      </c>
      <c r="H34" s="2"/>
      <c r="I34" s="2"/>
    </row>
    <row r="35" spans="1:9" x14ac:dyDescent="0.3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2"/>
      <c r="B36" s="2"/>
      <c r="C36" s="2"/>
      <c r="D36" s="2"/>
      <c r="E36" s="2"/>
      <c r="F36" s="2"/>
      <c r="G36" s="2"/>
      <c r="H36" s="2"/>
      <c r="I36" s="2"/>
    </row>
  </sheetData>
  <autoFilter ref="A1:M32" xr:uid="{AEBDC65F-F8F3-4199-AB9B-9BCCD679FD60}"/>
  <phoneticPr fontId="3" type="noConversion"/>
  <hyperlinks>
    <hyperlink ref="C27" r:id="rId1" display="https://www.harveynorman.com.au/dji-mini-4-pro-rc-2.html" xr:uid="{FCDD0906-2199-4A11-97F6-205E9D128C2D}"/>
    <hyperlink ref="C33" r:id="rId2" display="https://www.harveynorman.com.au/dji-mini-4-pro-rc-2.html" xr:uid="{3E11E993-7455-4BE6-B274-DF1308A287A4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FE7A0-DEA8-4BEF-9E79-261D0A739160}">
  <dimension ref="A1:I29"/>
  <sheetViews>
    <sheetView topLeftCell="A7" workbookViewId="0">
      <selection activeCell="L24" sqref="L24"/>
    </sheetView>
  </sheetViews>
  <sheetFormatPr defaultRowHeight="14.4" x14ac:dyDescent="0.3"/>
  <cols>
    <col min="1" max="1" width="10.5546875" bestFit="1" customWidth="1"/>
    <col min="2" max="2" width="8.44140625" bestFit="1" customWidth="1"/>
    <col min="3" max="3" width="32.77734375" bestFit="1" customWidth="1"/>
    <col min="4" max="4" width="29" bestFit="1" customWidth="1"/>
    <col min="5" max="5" width="9" bestFit="1" customWidth="1"/>
    <col min="6" max="6" width="10" bestFit="1" customWidth="1"/>
    <col min="7" max="7" width="19.109375" bestFit="1" customWidth="1"/>
    <col min="8" max="8" width="15.109375" bestFit="1" customWidth="1"/>
    <col min="9" max="9" width="17.55468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2" t="s">
        <v>626</v>
      </c>
      <c r="I1" s="2" t="s">
        <v>632</v>
      </c>
    </row>
    <row r="2" spans="1:9" x14ac:dyDescent="0.3">
      <c r="A2" s="8">
        <v>45946</v>
      </c>
      <c r="B2" s="2">
        <v>100</v>
      </c>
      <c r="C2" s="2" t="s">
        <v>295</v>
      </c>
      <c r="D2" s="2" t="s">
        <v>608</v>
      </c>
      <c r="E2" s="3">
        <v>274</v>
      </c>
      <c r="F2" s="3">
        <f>E2*B2</f>
        <v>27400</v>
      </c>
      <c r="G2" s="2" t="s">
        <v>609</v>
      </c>
      <c r="H2" s="2"/>
      <c r="I2" s="2"/>
    </row>
    <row r="3" spans="1:9" x14ac:dyDescent="0.3">
      <c r="A3" s="8">
        <v>45946</v>
      </c>
      <c r="B3" s="2">
        <v>1</v>
      </c>
      <c r="C3" s="2" t="s">
        <v>295</v>
      </c>
      <c r="D3" s="2" t="s">
        <v>296</v>
      </c>
      <c r="E3" s="3">
        <v>120</v>
      </c>
      <c r="F3" s="3">
        <f t="shared" ref="F3:F28" si="0">E3*B3</f>
        <v>120</v>
      </c>
      <c r="G3" s="2"/>
      <c r="H3" s="2"/>
      <c r="I3" s="2"/>
    </row>
    <row r="4" spans="1:9" x14ac:dyDescent="0.3">
      <c r="A4" s="8">
        <v>45950</v>
      </c>
      <c r="B4" s="2">
        <v>2</v>
      </c>
      <c r="C4" s="2" t="s">
        <v>378</v>
      </c>
      <c r="D4" s="2" t="s">
        <v>610</v>
      </c>
      <c r="E4" s="3">
        <v>699</v>
      </c>
      <c r="F4" s="3">
        <f t="shared" si="0"/>
        <v>1398</v>
      </c>
      <c r="G4" s="2" t="s">
        <v>620</v>
      </c>
      <c r="H4" s="8">
        <v>45837</v>
      </c>
      <c r="I4" s="2"/>
    </row>
    <row r="5" spans="1:9" x14ac:dyDescent="0.3">
      <c r="A5" s="8">
        <v>45950</v>
      </c>
      <c r="B5" s="2">
        <v>4</v>
      </c>
      <c r="C5" s="2" t="s">
        <v>611</v>
      </c>
      <c r="D5" s="2" t="s">
        <v>628</v>
      </c>
      <c r="E5" s="3">
        <v>1239</v>
      </c>
      <c r="F5" s="3">
        <f t="shared" si="0"/>
        <v>4956</v>
      </c>
      <c r="G5" s="2" t="s">
        <v>620</v>
      </c>
      <c r="H5" s="8">
        <v>45910</v>
      </c>
      <c r="I5" s="2" t="s">
        <v>633</v>
      </c>
    </row>
    <row r="6" spans="1:9" x14ac:dyDescent="0.3">
      <c r="A6" s="68">
        <v>45948</v>
      </c>
      <c r="B6" s="2">
        <v>2</v>
      </c>
      <c r="C6" s="2" t="s">
        <v>612</v>
      </c>
      <c r="D6" s="2" t="s">
        <v>615</v>
      </c>
      <c r="E6" s="3">
        <v>2999</v>
      </c>
      <c r="F6" s="3">
        <f t="shared" si="0"/>
        <v>5998</v>
      </c>
      <c r="G6" s="2" t="s">
        <v>630</v>
      </c>
      <c r="H6" s="2"/>
      <c r="I6" s="2" t="s">
        <v>633</v>
      </c>
    </row>
    <row r="7" spans="1:9" x14ac:dyDescent="0.3">
      <c r="A7" s="68">
        <v>45948</v>
      </c>
      <c r="B7" s="2">
        <v>2</v>
      </c>
      <c r="C7" s="2" t="s">
        <v>612</v>
      </c>
      <c r="D7" s="2" t="s">
        <v>615</v>
      </c>
      <c r="E7" s="3">
        <v>2999</v>
      </c>
      <c r="F7" s="3">
        <f t="shared" si="0"/>
        <v>5998</v>
      </c>
      <c r="G7" s="2" t="s">
        <v>630</v>
      </c>
      <c r="H7" s="2"/>
      <c r="I7" s="2" t="s">
        <v>633</v>
      </c>
    </row>
    <row r="8" spans="1:9" x14ac:dyDescent="0.3">
      <c r="A8" s="68">
        <v>45948</v>
      </c>
      <c r="B8" s="2">
        <v>1</v>
      </c>
      <c r="C8" s="2" t="s">
        <v>612</v>
      </c>
      <c r="D8" s="2" t="s">
        <v>615</v>
      </c>
      <c r="E8" s="3">
        <v>2999</v>
      </c>
      <c r="F8" s="3">
        <f t="shared" si="0"/>
        <v>2999</v>
      </c>
      <c r="G8" s="2" t="s">
        <v>630</v>
      </c>
      <c r="H8" s="2"/>
      <c r="I8" s="2" t="s">
        <v>633</v>
      </c>
    </row>
    <row r="9" spans="1:9" x14ac:dyDescent="0.3">
      <c r="A9" s="68">
        <v>45949</v>
      </c>
      <c r="B9" s="2">
        <v>2</v>
      </c>
      <c r="C9" s="18" t="s">
        <v>614</v>
      </c>
      <c r="D9" s="2" t="s">
        <v>615</v>
      </c>
      <c r="E9" s="3">
        <v>2199</v>
      </c>
      <c r="F9" s="3">
        <f t="shared" si="0"/>
        <v>4398</v>
      </c>
      <c r="G9" s="18" t="s">
        <v>629</v>
      </c>
      <c r="H9" s="18" t="s">
        <v>640</v>
      </c>
      <c r="I9" s="2"/>
    </row>
    <row r="10" spans="1:9" x14ac:dyDescent="0.3">
      <c r="A10" s="68">
        <v>45950</v>
      </c>
      <c r="B10" s="2">
        <v>2</v>
      </c>
      <c r="C10" s="18" t="s">
        <v>614</v>
      </c>
      <c r="D10" s="2" t="s">
        <v>615</v>
      </c>
      <c r="E10" s="3">
        <v>2199</v>
      </c>
      <c r="F10" s="3">
        <f t="shared" si="0"/>
        <v>4398</v>
      </c>
      <c r="G10" s="18" t="s">
        <v>629</v>
      </c>
      <c r="H10" s="18" t="s">
        <v>634</v>
      </c>
      <c r="I10" s="2"/>
    </row>
    <row r="11" spans="1:9" x14ac:dyDescent="0.3">
      <c r="A11" s="68">
        <v>45950</v>
      </c>
      <c r="B11" s="2">
        <v>2</v>
      </c>
      <c r="C11" s="18" t="s">
        <v>614</v>
      </c>
      <c r="D11" s="2" t="s">
        <v>615</v>
      </c>
      <c r="E11" s="3">
        <v>2199</v>
      </c>
      <c r="F11" s="3">
        <f t="shared" si="0"/>
        <v>4398</v>
      </c>
      <c r="G11" s="18" t="s">
        <v>629</v>
      </c>
      <c r="H11" s="18" t="s">
        <v>634</v>
      </c>
      <c r="I11" s="2"/>
    </row>
    <row r="12" spans="1:9" x14ac:dyDescent="0.3">
      <c r="A12" s="68">
        <v>45950</v>
      </c>
      <c r="B12" s="2">
        <v>2</v>
      </c>
      <c r="C12" s="2" t="s">
        <v>612</v>
      </c>
      <c r="D12" s="2" t="s">
        <v>616</v>
      </c>
      <c r="E12" s="3">
        <v>2999</v>
      </c>
      <c r="F12" s="3">
        <f t="shared" si="0"/>
        <v>5998</v>
      </c>
      <c r="G12" s="2" t="s">
        <v>619</v>
      </c>
      <c r="H12" s="18"/>
      <c r="I12" s="2" t="s">
        <v>633</v>
      </c>
    </row>
    <row r="13" spans="1:9" x14ac:dyDescent="0.3">
      <c r="A13" s="68">
        <v>45950</v>
      </c>
      <c r="B13" s="2">
        <v>2</v>
      </c>
      <c r="C13" s="18" t="s">
        <v>613</v>
      </c>
      <c r="D13" s="2" t="s">
        <v>615</v>
      </c>
      <c r="E13" s="3">
        <v>2599</v>
      </c>
      <c r="F13" s="3">
        <f t="shared" si="0"/>
        <v>5198</v>
      </c>
      <c r="G13" s="18" t="s">
        <v>629</v>
      </c>
      <c r="H13" s="18" t="s">
        <v>640</v>
      </c>
      <c r="I13" s="2"/>
    </row>
    <row r="14" spans="1:9" x14ac:dyDescent="0.3">
      <c r="A14" s="68">
        <v>45950</v>
      </c>
      <c r="B14" s="2">
        <v>2</v>
      </c>
      <c r="C14" s="2" t="s">
        <v>612</v>
      </c>
      <c r="D14" s="2" t="s">
        <v>616</v>
      </c>
      <c r="E14" s="3">
        <v>2999</v>
      </c>
      <c r="F14" s="3">
        <f t="shared" si="0"/>
        <v>5998</v>
      </c>
      <c r="G14" s="2" t="s">
        <v>619</v>
      </c>
      <c r="H14" s="2"/>
      <c r="I14" s="2" t="s">
        <v>633</v>
      </c>
    </row>
    <row r="15" spans="1:9" x14ac:dyDescent="0.3">
      <c r="A15" s="68">
        <v>45950</v>
      </c>
      <c r="B15" s="2">
        <v>2</v>
      </c>
      <c r="C15" s="2" t="s">
        <v>612</v>
      </c>
      <c r="D15" s="2" t="s">
        <v>616</v>
      </c>
      <c r="E15" s="3">
        <v>2999</v>
      </c>
      <c r="F15" s="3">
        <f t="shared" si="0"/>
        <v>5998</v>
      </c>
      <c r="G15" s="2" t="s">
        <v>619</v>
      </c>
      <c r="H15" s="2"/>
      <c r="I15" s="2" t="s">
        <v>633</v>
      </c>
    </row>
    <row r="16" spans="1:9" x14ac:dyDescent="0.3">
      <c r="A16" s="68">
        <v>45950</v>
      </c>
      <c r="B16" s="2">
        <v>2</v>
      </c>
      <c r="C16" s="2" t="s">
        <v>612</v>
      </c>
      <c r="D16" s="2" t="s">
        <v>616</v>
      </c>
      <c r="E16" s="3">
        <v>2999</v>
      </c>
      <c r="F16" s="3">
        <f t="shared" si="0"/>
        <v>5998</v>
      </c>
      <c r="G16" s="2" t="s">
        <v>619</v>
      </c>
      <c r="H16" s="2"/>
      <c r="I16" s="2" t="s">
        <v>633</v>
      </c>
    </row>
    <row r="17" spans="1:9" x14ac:dyDescent="0.3">
      <c r="A17" s="68">
        <v>45950</v>
      </c>
      <c r="B17" s="2">
        <v>2</v>
      </c>
      <c r="C17" s="2" t="s">
        <v>612</v>
      </c>
      <c r="D17" s="2" t="s">
        <v>616</v>
      </c>
      <c r="E17" s="3">
        <v>2999</v>
      </c>
      <c r="F17" s="3">
        <f t="shared" si="0"/>
        <v>5998</v>
      </c>
      <c r="G17" s="2" t="s">
        <v>619</v>
      </c>
      <c r="H17" s="2"/>
      <c r="I17" s="2" t="s">
        <v>633</v>
      </c>
    </row>
    <row r="18" spans="1:9" x14ac:dyDescent="0.3">
      <c r="A18" s="68">
        <v>45950</v>
      </c>
      <c r="B18" s="2">
        <v>2</v>
      </c>
      <c r="C18" s="2" t="s">
        <v>612</v>
      </c>
      <c r="D18" s="2" t="s">
        <v>616</v>
      </c>
      <c r="E18" s="3">
        <v>2999</v>
      </c>
      <c r="F18" s="3">
        <f t="shared" si="0"/>
        <v>5998</v>
      </c>
      <c r="G18" s="2" t="s">
        <v>619</v>
      </c>
      <c r="H18" s="2"/>
      <c r="I18" s="2" t="s">
        <v>633</v>
      </c>
    </row>
    <row r="19" spans="1:9" x14ac:dyDescent="0.3">
      <c r="A19" s="68">
        <v>45950</v>
      </c>
      <c r="B19" s="2">
        <v>2</v>
      </c>
      <c r="C19" s="2" t="s">
        <v>612</v>
      </c>
      <c r="D19" s="2" t="s">
        <v>617</v>
      </c>
      <c r="E19" s="3">
        <v>2999</v>
      </c>
      <c r="F19" s="3">
        <f t="shared" si="0"/>
        <v>5998</v>
      </c>
      <c r="G19" s="2" t="s">
        <v>630</v>
      </c>
      <c r="H19" s="2"/>
      <c r="I19" s="2" t="s">
        <v>633</v>
      </c>
    </row>
    <row r="20" spans="1:9" x14ac:dyDescent="0.3">
      <c r="A20" s="68">
        <v>45951</v>
      </c>
      <c r="B20" s="2">
        <v>2</v>
      </c>
      <c r="C20" s="2" t="s">
        <v>612</v>
      </c>
      <c r="D20" s="2" t="s">
        <v>617</v>
      </c>
      <c r="E20" s="3">
        <v>2999</v>
      </c>
      <c r="F20" s="3">
        <f t="shared" si="0"/>
        <v>5998</v>
      </c>
      <c r="G20" s="2" t="s">
        <v>630</v>
      </c>
      <c r="H20" s="2"/>
      <c r="I20" s="2" t="s">
        <v>633</v>
      </c>
    </row>
    <row r="21" spans="1:9" x14ac:dyDescent="0.3">
      <c r="A21" s="68">
        <v>45950</v>
      </c>
      <c r="B21" s="2">
        <v>1</v>
      </c>
      <c r="C21" s="2" t="s">
        <v>612</v>
      </c>
      <c r="D21" s="2" t="s">
        <v>618</v>
      </c>
      <c r="E21" s="3">
        <v>3006</v>
      </c>
      <c r="F21" s="3">
        <f t="shared" si="0"/>
        <v>3006</v>
      </c>
      <c r="G21" s="2" t="s">
        <v>631</v>
      </c>
      <c r="H21" s="2"/>
      <c r="I21" s="2" t="s">
        <v>633</v>
      </c>
    </row>
    <row r="22" spans="1:9" x14ac:dyDescent="0.3">
      <c r="A22" s="68">
        <v>45952</v>
      </c>
      <c r="B22" s="2">
        <v>1</v>
      </c>
      <c r="C22" s="2" t="s">
        <v>621</v>
      </c>
      <c r="D22" s="2" t="s">
        <v>627</v>
      </c>
      <c r="E22" s="3">
        <v>9442.8799999999992</v>
      </c>
      <c r="F22" s="3">
        <f t="shared" si="0"/>
        <v>9442.8799999999992</v>
      </c>
      <c r="G22" s="2" t="s">
        <v>622</v>
      </c>
      <c r="H22" s="2"/>
      <c r="I22" s="2"/>
    </row>
    <row r="23" spans="1:9" x14ac:dyDescent="0.3">
      <c r="A23" s="68">
        <v>45953</v>
      </c>
      <c r="B23" s="2">
        <v>8</v>
      </c>
      <c r="C23" s="2" t="s">
        <v>612</v>
      </c>
      <c r="D23" s="2" t="s">
        <v>615</v>
      </c>
      <c r="E23" s="3">
        <v>2199</v>
      </c>
      <c r="F23" s="3">
        <f t="shared" si="0"/>
        <v>17592</v>
      </c>
      <c r="G23" s="2" t="s">
        <v>630</v>
      </c>
      <c r="H23" s="2"/>
      <c r="I23" s="2" t="s">
        <v>633</v>
      </c>
    </row>
    <row r="24" spans="1:9" x14ac:dyDescent="0.3">
      <c r="A24" s="68">
        <v>45953</v>
      </c>
      <c r="B24" s="2">
        <v>4</v>
      </c>
      <c r="C24" s="2" t="s">
        <v>612</v>
      </c>
      <c r="D24" s="2" t="s">
        <v>44</v>
      </c>
      <c r="E24" s="3">
        <v>2199</v>
      </c>
      <c r="F24" s="3">
        <f t="shared" si="0"/>
        <v>8796</v>
      </c>
      <c r="G24" s="2" t="s">
        <v>630</v>
      </c>
      <c r="H24" s="2"/>
      <c r="I24" s="2" t="s">
        <v>633</v>
      </c>
    </row>
    <row r="25" spans="1:9" x14ac:dyDescent="0.3">
      <c r="A25" s="68">
        <v>45960</v>
      </c>
      <c r="B25" s="2">
        <v>5</v>
      </c>
      <c r="C25" s="2" t="s">
        <v>642</v>
      </c>
      <c r="D25" s="2" t="s">
        <v>641</v>
      </c>
      <c r="E25" s="65">
        <v>150</v>
      </c>
      <c r="F25" s="65">
        <f t="shared" si="0"/>
        <v>750</v>
      </c>
      <c r="G25" s="2" t="s">
        <v>644</v>
      </c>
      <c r="H25" s="2"/>
      <c r="I25" s="2" t="s">
        <v>690</v>
      </c>
    </row>
    <row r="26" spans="1:9" x14ac:dyDescent="0.3">
      <c r="A26" s="68">
        <v>45960</v>
      </c>
      <c r="B26" s="2">
        <v>4</v>
      </c>
      <c r="C26" s="2" t="s">
        <v>643</v>
      </c>
      <c r="D26" s="2" t="s">
        <v>641</v>
      </c>
      <c r="E26" s="65">
        <v>150</v>
      </c>
      <c r="F26" s="65">
        <f t="shared" si="0"/>
        <v>600</v>
      </c>
      <c r="G26" s="2" t="s">
        <v>644</v>
      </c>
      <c r="H26" s="2"/>
      <c r="I26" s="2" t="s">
        <v>690</v>
      </c>
    </row>
    <row r="27" spans="1:9" x14ac:dyDescent="0.3">
      <c r="A27" s="68">
        <v>45961</v>
      </c>
      <c r="B27" s="2">
        <v>10</v>
      </c>
      <c r="C27" s="2" t="s">
        <v>645</v>
      </c>
      <c r="D27" s="2" t="s">
        <v>335</v>
      </c>
      <c r="E27" s="65">
        <v>1400</v>
      </c>
      <c r="F27" s="65">
        <f t="shared" si="0"/>
        <v>14000</v>
      </c>
      <c r="G27" s="2" t="s">
        <v>648</v>
      </c>
      <c r="H27" s="2"/>
      <c r="I27" s="2" t="s">
        <v>690</v>
      </c>
    </row>
    <row r="28" spans="1:9" x14ac:dyDescent="0.3">
      <c r="A28" s="68">
        <v>45961</v>
      </c>
      <c r="B28" s="2">
        <v>5</v>
      </c>
      <c r="C28" s="2" t="s">
        <v>646</v>
      </c>
      <c r="D28" s="2" t="s">
        <v>335</v>
      </c>
      <c r="E28" s="65">
        <v>840</v>
      </c>
      <c r="F28" s="65">
        <f t="shared" si="0"/>
        <v>4200</v>
      </c>
      <c r="G28" s="2" t="s">
        <v>648</v>
      </c>
      <c r="H28" s="2"/>
      <c r="I28" s="2" t="s">
        <v>690</v>
      </c>
    </row>
    <row r="29" spans="1:9" x14ac:dyDescent="0.3">
      <c r="A29" s="68"/>
      <c r="B29" s="2"/>
      <c r="C29" s="2"/>
      <c r="D29" s="2"/>
      <c r="E29" s="65"/>
      <c r="F29" s="65"/>
      <c r="G29" s="2"/>
      <c r="H29" s="2"/>
      <c r="I29" s="2"/>
    </row>
  </sheetData>
  <autoFilter ref="A1:G24" xr:uid="{77EFE7A0-DEA8-4BEF-9E79-261D0A739160}"/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712B-5933-404F-B2E1-AD38379E5E9E}">
  <dimension ref="A1:W135"/>
  <sheetViews>
    <sheetView topLeftCell="A112" workbookViewId="0">
      <selection activeCell="C16" sqref="C16"/>
    </sheetView>
  </sheetViews>
  <sheetFormatPr defaultRowHeight="14.4" x14ac:dyDescent="0.3"/>
  <cols>
    <col min="1" max="1" width="7" bestFit="1" customWidth="1"/>
    <col min="2" max="2" width="8.44140625" bestFit="1" customWidth="1"/>
    <col min="3" max="3" width="32.6640625" bestFit="1" customWidth="1"/>
    <col min="4" max="4" width="23.6640625" bestFit="1" customWidth="1"/>
    <col min="5" max="6" width="10" style="60" bestFit="1" customWidth="1"/>
    <col min="7" max="7" width="31.5546875" bestFit="1" customWidth="1"/>
    <col min="8" max="8" width="12.33203125" bestFit="1" customWidth="1"/>
    <col min="9" max="9" width="22.21875" bestFit="1" customWidth="1"/>
    <col min="12" max="12" width="22.44140625" hidden="1" customWidth="1"/>
    <col min="13" max="13" width="12.77734375" hidden="1" customWidth="1"/>
    <col min="14" max="15" width="0" hidden="1" customWidth="1"/>
    <col min="16" max="16" width="30" bestFit="1" customWidth="1"/>
    <col min="17" max="17" width="10.44140625" bestFit="1" customWidth="1"/>
    <col min="19" max="19" width="21.44140625" bestFit="1" customWidth="1"/>
    <col min="20" max="20" width="10.44140625" bestFit="1" customWidth="1"/>
  </cols>
  <sheetData>
    <row r="1" spans="1:2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P1" s="13" t="s">
        <v>78</v>
      </c>
      <c r="Q1" t="s">
        <v>81</v>
      </c>
      <c r="S1" s="13" t="s">
        <v>78</v>
      </c>
      <c r="T1" t="s">
        <v>81</v>
      </c>
    </row>
    <row r="2" spans="1:23" x14ac:dyDescent="0.3">
      <c r="A2" s="99">
        <v>45964</v>
      </c>
      <c r="B2" s="100">
        <v>10</v>
      </c>
      <c r="C2" s="100" t="s">
        <v>647</v>
      </c>
      <c r="D2" s="100" t="s">
        <v>335</v>
      </c>
      <c r="E2" s="105">
        <v>410</v>
      </c>
      <c r="F2" s="105">
        <f>E2*B2</f>
        <v>4100</v>
      </c>
      <c r="G2" s="100" t="s">
        <v>648</v>
      </c>
      <c r="H2" s="99">
        <v>45966</v>
      </c>
      <c r="I2" s="100" t="s">
        <v>824</v>
      </c>
      <c r="L2" s="76" t="s">
        <v>692</v>
      </c>
      <c r="M2" s="77">
        <v>45979</v>
      </c>
      <c r="P2" s="14" t="s">
        <v>768</v>
      </c>
      <c r="Q2">
        <v>8</v>
      </c>
      <c r="S2" s="14" t="s">
        <v>686</v>
      </c>
      <c r="T2">
        <v>37</v>
      </c>
      <c r="W2">
        <v>299</v>
      </c>
    </row>
    <row r="3" spans="1:23" x14ac:dyDescent="0.3">
      <c r="A3" s="99">
        <v>45964</v>
      </c>
      <c r="B3" s="100">
        <v>7</v>
      </c>
      <c r="C3" s="100" t="s">
        <v>723</v>
      </c>
      <c r="D3" s="100" t="s">
        <v>59</v>
      </c>
      <c r="E3" s="105">
        <v>150</v>
      </c>
      <c r="F3" s="105">
        <f>E3*B3</f>
        <v>1050</v>
      </c>
      <c r="G3" s="100" t="s">
        <v>648</v>
      </c>
      <c r="H3" s="99">
        <v>45966</v>
      </c>
      <c r="I3" s="100" t="s">
        <v>824</v>
      </c>
      <c r="L3" s="44"/>
      <c r="M3" s="44"/>
      <c r="P3" s="74" t="s">
        <v>722</v>
      </c>
      <c r="Q3">
        <v>8</v>
      </c>
      <c r="S3" s="74" t="s">
        <v>707</v>
      </c>
      <c r="T3">
        <v>5</v>
      </c>
      <c r="W3">
        <v>821</v>
      </c>
    </row>
    <row r="4" spans="1:23" x14ac:dyDescent="0.3">
      <c r="A4" s="99">
        <v>45963</v>
      </c>
      <c r="B4" s="100">
        <v>4</v>
      </c>
      <c r="C4" s="100" t="s">
        <v>697</v>
      </c>
      <c r="D4" s="100" t="s">
        <v>30</v>
      </c>
      <c r="E4" s="105">
        <v>150</v>
      </c>
      <c r="F4" s="105">
        <f t="shared" ref="F4:F68" si="0">E4*B4</f>
        <v>600</v>
      </c>
      <c r="G4" s="100" t="s">
        <v>649</v>
      </c>
      <c r="H4" s="99">
        <v>45966</v>
      </c>
      <c r="I4" s="100" t="s">
        <v>824</v>
      </c>
      <c r="L4" s="44" t="s">
        <v>1</v>
      </c>
      <c r="M4" s="44" t="s">
        <v>81</v>
      </c>
      <c r="P4" s="14" t="s">
        <v>766</v>
      </c>
      <c r="Q4">
        <v>23</v>
      </c>
      <c r="S4" s="74" t="s">
        <v>183</v>
      </c>
      <c r="T4">
        <v>2</v>
      </c>
      <c r="W4">
        <v>2394</v>
      </c>
    </row>
    <row r="5" spans="1:23" x14ac:dyDescent="0.3">
      <c r="A5" s="99">
        <v>45963</v>
      </c>
      <c r="B5" s="100">
        <v>4</v>
      </c>
      <c r="C5" s="100" t="s">
        <v>723</v>
      </c>
      <c r="D5" s="100" t="s">
        <v>30</v>
      </c>
      <c r="E5" s="105">
        <v>150</v>
      </c>
      <c r="F5" s="105">
        <f t="shared" si="0"/>
        <v>600</v>
      </c>
      <c r="G5" s="100" t="s">
        <v>649</v>
      </c>
      <c r="H5" s="99">
        <v>45966</v>
      </c>
      <c r="I5" s="100" t="s">
        <v>824</v>
      </c>
      <c r="L5" s="2" t="s">
        <v>681</v>
      </c>
      <c r="M5" s="2">
        <v>10</v>
      </c>
      <c r="N5">
        <v>3300</v>
      </c>
      <c r="O5">
        <f>M5*N5</f>
        <v>33000</v>
      </c>
      <c r="P5" s="74" t="s">
        <v>697</v>
      </c>
      <c r="Q5">
        <v>23</v>
      </c>
      <c r="S5" s="74" t="s">
        <v>716</v>
      </c>
      <c r="T5">
        <v>2</v>
      </c>
      <c r="W5">
        <v>958</v>
      </c>
    </row>
    <row r="6" spans="1:23" x14ac:dyDescent="0.3">
      <c r="A6" s="99">
        <v>45965</v>
      </c>
      <c r="B6" s="100">
        <v>20</v>
      </c>
      <c r="C6" s="100" t="s">
        <v>876</v>
      </c>
      <c r="D6" s="100" t="s">
        <v>349</v>
      </c>
      <c r="E6" s="105">
        <v>1063</v>
      </c>
      <c r="F6" s="105">
        <f t="shared" si="0"/>
        <v>21260</v>
      </c>
      <c r="G6" s="100" t="s">
        <v>656</v>
      </c>
      <c r="H6" s="99">
        <v>45966</v>
      </c>
      <c r="I6" s="100" t="s">
        <v>654</v>
      </c>
      <c r="L6" s="2" t="s">
        <v>680</v>
      </c>
      <c r="M6" s="2">
        <v>5</v>
      </c>
      <c r="N6">
        <v>2500</v>
      </c>
      <c r="O6">
        <f t="shared" ref="O6:O11" si="1">M6*N6</f>
        <v>12500</v>
      </c>
      <c r="P6" s="14" t="s">
        <v>783</v>
      </c>
      <c r="Q6">
        <v>7</v>
      </c>
      <c r="S6" s="74" t="s">
        <v>786</v>
      </c>
      <c r="T6">
        <v>1</v>
      </c>
      <c r="W6">
        <v>505</v>
      </c>
    </row>
    <row r="7" spans="1:23" x14ac:dyDescent="0.3">
      <c r="A7" s="99">
        <v>45965</v>
      </c>
      <c r="B7" s="100">
        <v>12</v>
      </c>
      <c r="C7" s="100" t="s">
        <v>653</v>
      </c>
      <c r="D7" s="100" t="s">
        <v>118</v>
      </c>
      <c r="E7" s="105">
        <v>3375</v>
      </c>
      <c r="F7" s="105">
        <f t="shared" si="0"/>
        <v>40500</v>
      </c>
      <c r="G7" s="100" t="s">
        <v>656</v>
      </c>
      <c r="H7" s="99">
        <v>45966</v>
      </c>
      <c r="I7" s="100" t="s">
        <v>824</v>
      </c>
      <c r="L7" s="2" t="s">
        <v>691</v>
      </c>
      <c r="M7" s="2">
        <v>62</v>
      </c>
      <c r="N7">
        <v>410</v>
      </c>
      <c r="O7">
        <f t="shared" si="1"/>
        <v>25420</v>
      </c>
      <c r="P7" s="74" t="s">
        <v>716</v>
      </c>
      <c r="Q7">
        <v>7</v>
      </c>
      <c r="S7" s="74" t="s">
        <v>785</v>
      </c>
      <c r="T7">
        <v>1</v>
      </c>
      <c r="W7">
        <v>1680</v>
      </c>
    </row>
    <row r="8" spans="1:23" x14ac:dyDescent="0.3">
      <c r="A8" s="80">
        <v>45965</v>
      </c>
      <c r="B8" s="10">
        <v>2</v>
      </c>
      <c r="C8" s="10" t="s">
        <v>663</v>
      </c>
      <c r="D8" s="10" t="s">
        <v>118</v>
      </c>
      <c r="E8" s="50">
        <v>88</v>
      </c>
      <c r="F8" s="50">
        <f t="shared" si="0"/>
        <v>176</v>
      </c>
      <c r="G8" s="10" t="s">
        <v>656</v>
      </c>
      <c r="H8" s="80">
        <v>45966</v>
      </c>
      <c r="I8" s="10" t="s">
        <v>655</v>
      </c>
      <c r="L8" s="2" t="s">
        <v>645</v>
      </c>
      <c r="M8" s="2">
        <v>5</v>
      </c>
      <c r="N8">
        <v>1400</v>
      </c>
      <c r="O8">
        <f t="shared" si="1"/>
        <v>7000</v>
      </c>
      <c r="P8" s="14" t="s">
        <v>686</v>
      </c>
      <c r="Q8">
        <v>138</v>
      </c>
      <c r="S8" s="74" t="s">
        <v>664</v>
      </c>
      <c r="T8">
        <v>26</v>
      </c>
      <c r="W8">
        <v>500</v>
      </c>
    </row>
    <row r="9" spans="1:23" x14ac:dyDescent="0.3">
      <c r="A9" s="99">
        <v>45966</v>
      </c>
      <c r="B9" s="100">
        <v>30</v>
      </c>
      <c r="C9" s="100" t="s">
        <v>691</v>
      </c>
      <c r="D9" s="100" t="s">
        <v>335</v>
      </c>
      <c r="E9" s="105">
        <v>410</v>
      </c>
      <c r="F9" s="105">
        <f t="shared" si="0"/>
        <v>12300</v>
      </c>
      <c r="G9" s="100" t="s">
        <v>679</v>
      </c>
      <c r="H9" s="99">
        <v>45979</v>
      </c>
      <c r="I9" s="100" t="s">
        <v>824</v>
      </c>
      <c r="L9" s="2" t="s">
        <v>672</v>
      </c>
      <c r="M9" s="2">
        <v>1</v>
      </c>
      <c r="N9">
        <v>1257</v>
      </c>
      <c r="O9">
        <f t="shared" si="1"/>
        <v>1257</v>
      </c>
      <c r="P9" s="74" t="s">
        <v>691</v>
      </c>
      <c r="Q9">
        <v>1</v>
      </c>
      <c r="S9" s="14" t="s">
        <v>80</v>
      </c>
      <c r="T9">
        <v>37</v>
      </c>
      <c r="W9">
        <v>625</v>
      </c>
    </row>
    <row r="10" spans="1:23" x14ac:dyDescent="0.3">
      <c r="A10" s="99">
        <v>45969</v>
      </c>
      <c r="B10" s="100">
        <v>1</v>
      </c>
      <c r="C10" s="100" t="s">
        <v>664</v>
      </c>
      <c r="D10" s="100" t="s">
        <v>496</v>
      </c>
      <c r="E10" s="105">
        <v>450</v>
      </c>
      <c r="F10" s="105">
        <f t="shared" si="0"/>
        <v>450</v>
      </c>
      <c r="G10" s="100" t="s">
        <v>365</v>
      </c>
      <c r="H10" s="99">
        <v>45979</v>
      </c>
      <c r="I10" s="100" t="s">
        <v>824</v>
      </c>
      <c r="L10" s="2" t="s">
        <v>673</v>
      </c>
      <c r="M10" s="2">
        <v>7</v>
      </c>
      <c r="N10">
        <v>1357</v>
      </c>
      <c r="O10">
        <f t="shared" si="1"/>
        <v>9499</v>
      </c>
      <c r="P10" s="74" t="s">
        <v>697</v>
      </c>
      <c r="Q10">
        <v>16</v>
      </c>
      <c r="W10">
        <v>625</v>
      </c>
    </row>
    <row r="11" spans="1:23" x14ac:dyDescent="0.3">
      <c r="A11" s="99">
        <v>45969</v>
      </c>
      <c r="B11" s="100">
        <v>1</v>
      </c>
      <c r="C11" s="100" t="s">
        <v>664</v>
      </c>
      <c r="D11" s="100" t="s">
        <v>492</v>
      </c>
      <c r="E11" s="105">
        <v>450</v>
      </c>
      <c r="F11" s="105">
        <f t="shared" si="0"/>
        <v>450</v>
      </c>
      <c r="G11" s="100" t="s">
        <v>365</v>
      </c>
      <c r="H11" s="99">
        <v>45979</v>
      </c>
      <c r="I11" s="100" t="s">
        <v>824</v>
      </c>
      <c r="L11" s="2" t="s">
        <v>664</v>
      </c>
      <c r="M11" s="2">
        <v>36</v>
      </c>
      <c r="N11">
        <v>449</v>
      </c>
      <c r="O11">
        <f t="shared" si="1"/>
        <v>16164</v>
      </c>
      <c r="P11" s="74" t="s">
        <v>687</v>
      </c>
      <c r="Q11">
        <v>10</v>
      </c>
      <c r="W11">
        <v>598</v>
      </c>
    </row>
    <row r="12" spans="1:23" x14ac:dyDescent="0.3">
      <c r="A12" s="99">
        <v>45969</v>
      </c>
      <c r="B12" s="100">
        <v>4</v>
      </c>
      <c r="C12" s="100" t="s">
        <v>664</v>
      </c>
      <c r="D12" s="100" t="s">
        <v>493</v>
      </c>
      <c r="E12" s="105">
        <v>450</v>
      </c>
      <c r="F12" s="105">
        <f t="shared" si="0"/>
        <v>1800</v>
      </c>
      <c r="G12" s="100" t="s">
        <v>365</v>
      </c>
      <c r="H12" s="99">
        <v>45979</v>
      </c>
      <c r="I12" s="100" t="s">
        <v>824</v>
      </c>
      <c r="L12" s="2" t="s">
        <v>80</v>
      </c>
      <c r="M12" s="2">
        <v>128</v>
      </c>
      <c r="O12">
        <f>SUM(O5:O11)</f>
        <v>104840</v>
      </c>
      <c r="P12" s="74" t="s">
        <v>762</v>
      </c>
      <c r="Q12">
        <v>1</v>
      </c>
    </row>
    <row r="13" spans="1:23" x14ac:dyDescent="0.3">
      <c r="A13" s="99">
        <v>45969</v>
      </c>
      <c r="B13" s="100">
        <v>5</v>
      </c>
      <c r="C13" s="100" t="s">
        <v>664</v>
      </c>
      <c r="D13" s="100" t="s">
        <v>665</v>
      </c>
      <c r="E13" s="105">
        <v>450</v>
      </c>
      <c r="F13" s="105">
        <f t="shared" si="0"/>
        <v>2250</v>
      </c>
      <c r="G13" s="100" t="s">
        <v>365</v>
      </c>
      <c r="H13" s="99">
        <v>45979</v>
      </c>
      <c r="I13" s="100" t="s">
        <v>824</v>
      </c>
      <c r="P13" s="74" t="s">
        <v>647</v>
      </c>
      <c r="Q13">
        <v>19</v>
      </c>
    </row>
    <row r="14" spans="1:23" x14ac:dyDescent="0.3">
      <c r="A14" s="99">
        <v>45969</v>
      </c>
      <c r="B14" s="100">
        <v>11</v>
      </c>
      <c r="C14" s="100" t="s">
        <v>664</v>
      </c>
      <c r="D14" s="100" t="s">
        <v>494</v>
      </c>
      <c r="E14" s="105">
        <v>450</v>
      </c>
      <c r="F14" s="105">
        <f t="shared" si="0"/>
        <v>4950</v>
      </c>
      <c r="G14" s="100" t="s">
        <v>365</v>
      </c>
      <c r="H14" s="99">
        <v>45979</v>
      </c>
      <c r="I14" s="100" t="s">
        <v>824</v>
      </c>
      <c r="P14" s="74" t="s">
        <v>746</v>
      </c>
      <c r="Q14">
        <v>3</v>
      </c>
    </row>
    <row r="15" spans="1:23" x14ac:dyDescent="0.3">
      <c r="A15" s="99">
        <v>45970</v>
      </c>
      <c r="B15" s="100">
        <v>10</v>
      </c>
      <c r="C15" s="100" t="s">
        <v>664</v>
      </c>
      <c r="D15" s="100" t="s">
        <v>501</v>
      </c>
      <c r="E15" s="105">
        <v>450</v>
      </c>
      <c r="F15" s="105">
        <f t="shared" si="0"/>
        <v>4500</v>
      </c>
      <c r="G15" s="100" t="s">
        <v>365</v>
      </c>
      <c r="H15" s="99">
        <v>45979</v>
      </c>
      <c r="I15" s="100" t="s">
        <v>824</v>
      </c>
      <c r="P15" s="74" t="s">
        <v>716</v>
      </c>
      <c r="Q15">
        <v>9</v>
      </c>
      <c r="W15">
        <v>800</v>
      </c>
    </row>
    <row r="16" spans="1:23" x14ac:dyDescent="0.3">
      <c r="A16" s="99">
        <v>45970</v>
      </c>
      <c r="B16" s="100">
        <v>1</v>
      </c>
      <c r="C16" s="100" t="s">
        <v>725</v>
      </c>
      <c r="D16" s="100" t="s">
        <v>120</v>
      </c>
      <c r="E16" s="105">
        <v>1358</v>
      </c>
      <c r="F16" s="105">
        <f t="shared" si="0"/>
        <v>1358</v>
      </c>
      <c r="G16" s="100" t="s">
        <v>365</v>
      </c>
      <c r="H16" s="99">
        <v>45979</v>
      </c>
      <c r="I16" s="100" t="s">
        <v>115</v>
      </c>
      <c r="P16" s="74" t="s">
        <v>711</v>
      </c>
      <c r="Q16">
        <v>3</v>
      </c>
      <c r="W16">
        <v>796</v>
      </c>
    </row>
    <row r="17" spans="1:23" x14ac:dyDescent="0.3">
      <c r="A17" s="99">
        <v>45970</v>
      </c>
      <c r="B17" s="100">
        <v>2</v>
      </c>
      <c r="C17" s="100" t="s">
        <v>726</v>
      </c>
      <c r="D17" s="100" t="s">
        <v>674</v>
      </c>
      <c r="E17" s="105">
        <v>1403</v>
      </c>
      <c r="F17" s="105">
        <f t="shared" si="0"/>
        <v>2806</v>
      </c>
      <c r="G17" s="100" t="s">
        <v>365</v>
      </c>
      <c r="H17" s="99">
        <v>45979</v>
      </c>
      <c r="I17" s="100" t="s">
        <v>824</v>
      </c>
      <c r="P17" s="74" t="s">
        <v>747</v>
      </c>
      <c r="Q17">
        <v>7</v>
      </c>
      <c r="W17">
        <v>499</v>
      </c>
    </row>
    <row r="18" spans="1:23" x14ac:dyDescent="0.3">
      <c r="A18" s="99">
        <v>45970</v>
      </c>
      <c r="B18" s="100">
        <v>1</v>
      </c>
      <c r="C18" s="100" t="s">
        <v>664</v>
      </c>
      <c r="D18" s="100" t="s">
        <v>674</v>
      </c>
      <c r="E18" s="105">
        <v>474</v>
      </c>
      <c r="F18" s="105">
        <f t="shared" si="0"/>
        <v>474</v>
      </c>
      <c r="G18" s="100" t="s">
        <v>365</v>
      </c>
      <c r="H18" s="99">
        <v>45979</v>
      </c>
      <c r="I18" s="100" t="s">
        <v>824</v>
      </c>
      <c r="P18" s="74" t="s">
        <v>664</v>
      </c>
      <c r="Q18">
        <v>69</v>
      </c>
      <c r="W18">
        <v>598</v>
      </c>
    </row>
    <row r="19" spans="1:23" x14ac:dyDescent="0.3">
      <c r="A19" s="99">
        <v>45970</v>
      </c>
      <c r="B19" s="100">
        <v>1</v>
      </c>
      <c r="C19" s="100" t="s">
        <v>726</v>
      </c>
      <c r="D19" s="100" t="s">
        <v>19</v>
      </c>
      <c r="E19" s="105">
        <v>1403</v>
      </c>
      <c r="F19" s="105">
        <f t="shared" si="0"/>
        <v>1403</v>
      </c>
      <c r="G19" s="100" t="s">
        <v>8</v>
      </c>
      <c r="H19" s="99">
        <v>45979</v>
      </c>
      <c r="I19" s="100" t="s">
        <v>824</v>
      </c>
      <c r="P19" s="14" t="s">
        <v>80</v>
      </c>
      <c r="Q19">
        <v>176</v>
      </c>
      <c r="W19">
        <v>958</v>
      </c>
    </row>
    <row r="20" spans="1:23" x14ac:dyDescent="0.3">
      <c r="A20" s="99">
        <v>45970</v>
      </c>
      <c r="B20" s="100">
        <v>1</v>
      </c>
      <c r="C20" s="100" t="s">
        <v>726</v>
      </c>
      <c r="D20" s="100" t="s">
        <v>19</v>
      </c>
      <c r="E20" s="105">
        <v>1403</v>
      </c>
      <c r="F20" s="105">
        <f t="shared" si="0"/>
        <v>1403</v>
      </c>
      <c r="G20" s="100" t="s">
        <v>683</v>
      </c>
      <c r="H20" s="99">
        <v>45979</v>
      </c>
      <c r="I20" s="100" t="s">
        <v>824</v>
      </c>
    </row>
    <row r="21" spans="1:23" x14ac:dyDescent="0.3">
      <c r="A21" s="99">
        <v>45970</v>
      </c>
      <c r="B21" s="100">
        <v>2</v>
      </c>
      <c r="C21" s="100" t="s">
        <v>664</v>
      </c>
      <c r="D21" s="100" t="s">
        <v>496</v>
      </c>
      <c r="E21" s="105">
        <v>450</v>
      </c>
      <c r="F21" s="105">
        <f t="shared" si="0"/>
        <v>900</v>
      </c>
      <c r="G21" s="100" t="s">
        <v>8</v>
      </c>
      <c r="H21" s="99">
        <v>45979</v>
      </c>
      <c r="I21" s="100" t="s">
        <v>824</v>
      </c>
    </row>
    <row r="22" spans="1:23" x14ac:dyDescent="0.3">
      <c r="A22" s="99">
        <v>45970</v>
      </c>
      <c r="B22" s="100">
        <v>1</v>
      </c>
      <c r="C22" s="100" t="s">
        <v>726</v>
      </c>
      <c r="D22" s="100" t="s">
        <v>675</v>
      </c>
      <c r="E22" s="105">
        <v>1403</v>
      </c>
      <c r="F22" s="105">
        <f t="shared" si="0"/>
        <v>1403</v>
      </c>
      <c r="G22" s="100" t="s">
        <v>8</v>
      </c>
      <c r="H22" s="99">
        <v>45979</v>
      </c>
      <c r="I22" s="100" t="s">
        <v>824</v>
      </c>
    </row>
    <row r="23" spans="1:23" x14ac:dyDescent="0.3">
      <c r="A23" s="99">
        <v>45970</v>
      </c>
      <c r="B23" s="100">
        <v>1</v>
      </c>
      <c r="C23" s="100" t="s">
        <v>726</v>
      </c>
      <c r="D23" s="100" t="s">
        <v>676</v>
      </c>
      <c r="E23" s="105">
        <v>1403</v>
      </c>
      <c r="F23" s="105">
        <f t="shared" si="0"/>
        <v>1403</v>
      </c>
      <c r="G23" s="100" t="s">
        <v>8</v>
      </c>
      <c r="H23" s="99">
        <v>45979</v>
      </c>
      <c r="I23" s="100" t="s">
        <v>824</v>
      </c>
    </row>
    <row r="24" spans="1:23" x14ac:dyDescent="0.3">
      <c r="A24" s="99">
        <v>45970</v>
      </c>
      <c r="B24" s="100">
        <v>1</v>
      </c>
      <c r="C24" s="100" t="s">
        <v>726</v>
      </c>
      <c r="D24" s="100" t="s">
        <v>676</v>
      </c>
      <c r="E24" s="105">
        <v>1403</v>
      </c>
      <c r="F24" s="105">
        <f t="shared" si="0"/>
        <v>1403</v>
      </c>
      <c r="G24" s="100" t="s">
        <v>8</v>
      </c>
      <c r="H24" s="99">
        <v>45979</v>
      </c>
      <c r="I24" s="100" t="s">
        <v>824</v>
      </c>
    </row>
    <row r="25" spans="1:23" x14ac:dyDescent="0.3">
      <c r="A25" s="99">
        <v>45970</v>
      </c>
      <c r="B25" s="100">
        <v>5</v>
      </c>
      <c r="C25" s="100" t="s">
        <v>664</v>
      </c>
      <c r="D25" s="100" t="s">
        <v>495</v>
      </c>
      <c r="E25" s="105">
        <v>450</v>
      </c>
      <c r="F25" s="105">
        <f t="shared" si="0"/>
        <v>2250</v>
      </c>
      <c r="G25" s="100" t="s">
        <v>8</v>
      </c>
      <c r="H25" s="99">
        <v>45982</v>
      </c>
      <c r="I25" s="100" t="s">
        <v>824</v>
      </c>
    </row>
    <row r="26" spans="1:23" x14ac:dyDescent="0.3">
      <c r="A26" s="99">
        <v>45970</v>
      </c>
      <c r="B26" s="100">
        <v>3</v>
      </c>
      <c r="C26" s="100" t="s">
        <v>725</v>
      </c>
      <c r="D26" s="100" t="s">
        <v>677</v>
      </c>
      <c r="E26" s="105">
        <v>1358</v>
      </c>
      <c r="F26" s="105">
        <f t="shared" si="0"/>
        <v>4074</v>
      </c>
      <c r="G26" s="100" t="s">
        <v>715</v>
      </c>
      <c r="H26" s="99">
        <v>45982</v>
      </c>
      <c r="I26" s="100" t="s">
        <v>115</v>
      </c>
    </row>
    <row r="27" spans="1:23" x14ac:dyDescent="0.3">
      <c r="A27" s="99">
        <v>45970</v>
      </c>
      <c r="B27" s="100">
        <v>3</v>
      </c>
      <c r="C27" s="100" t="s">
        <v>726</v>
      </c>
      <c r="D27" s="100" t="s">
        <v>677</v>
      </c>
      <c r="E27" s="105">
        <v>1477</v>
      </c>
      <c r="F27" s="105">
        <f t="shared" si="0"/>
        <v>4431</v>
      </c>
      <c r="G27" s="100" t="s">
        <v>715</v>
      </c>
      <c r="H27" s="99">
        <v>45982</v>
      </c>
      <c r="I27" s="100" t="s">
        <v>115</v>
      </c>
    </row>
    <row r="28" spans="1:23" x14ac:dyDescent="0.3">
      <c r="A28" s="99">
        <v>45970</v>
      </c>
      <c r="B28" s="100">
        <v>5</v>
      </c>
      <c r="C28" s="100" t="s">
        <v>691</v>
      </c>
      <c r="D28" s="100" t="s">
        <v>335</v>
      </c>
      <c r="E28" s="105">
        <v>410</v>
      </c>
      <c r="F28" s="105">
        <f t="shared" si="0"/>
        <v>2050</v>
      </c>
      <c r="G28" s="100" t="s">
        <v>689</v>
      </c>
      <c r="H28" s="99">
        <v>45979</v>
      </c>
      <c r="I28" s="100" t="s">
        <v>824</v>
      </c>
    </row>
    <row r="29" spans="1:23" x14ac:dyDescent="0.3">
      <c r="A29" s="99">
        <v>45972</v>
      </c>
      <c r="B29" s="100">
        <v>30</v>
      </c>
      <c r="C29" s="100" t="s">
        <v>691</v>
      </c>
      <c r="D29" s="100" t="s">
        <v>335</v>
      </c>
      <c r="E29" s="105">
        <v>410</v>
      </c>
      <c r="F29" s="105">
        <f t="shared" si="0"/>
        <v>12300</v>
      </c>
      <c r="G29" s="100" t="s">
        <v>682</v>
      </c>
      <c r="H29" s="99">
        <v>45979</v>
      </c>
      <c r="I29" s="100" t="s">
        <v>824</v>
      </c>
    </row>
    <row r="30" spans="1:23" x14ac:dyDescent="0.3">
      <c r="A30" s="99">
        <v>45972</v>
      </c>
      <c r="B30" s="100">
        <v>5</v>
      </c>
      <c r="C30" s="100" t="s">
        <v>645</v>
      </c>
      <c r="D30" s="100" t="s">
        <v>335</v>
      </c>
      <c r="E30" s="105">
        <v>1400</v>
      </c>
      <c r="F30" s="105">
        <f t="shared" si="0"/>
        <v>7000</v>
      </c>
      <c r="G30" s="100" t="s">
        <v>682</v>
      </c>
      <c r="H30" s="99">
        <v>45979</v>
      </c>
      <c r="I30" s="100" t="s">
        <v>824</v>
      </c>
    </row>
    <row r="31" spans="1:23" x14ac:dyDescent="0.3">
      <c r="A31" s="99">
        <v>45972</v>
      </c>
      <c r="B31" s="100">
        <v>5</v>
      </c>
      <c r="C31" s="100" t="s">
        <v>680</v>
      </c>
      <c r="D31" s="100" t="s">
        <v>335</v>
      </c>
      <c r="E31" s="105">
        <v>2500</v>
      </c>
      <c r="F31" s="105">
        <f t="shared" si="0"/>
        <v>12500</v>
      </c>
      <c r="G31" s="100" t="s">
        <v>682</v>
      </c>
      <c r="H31" s="99">
        <v>45979</v>
      </c>
      <c r="I31" s="100" t="s">
        <v>824</v>
      </c>
    </row>
    <row r="32" spans="1:23" x14ac:dyDescent="0.3">
      <c r="A32" s="99">
        <v>45972</v>
      </c>
      <c r="B32" s="100">
        <v>10</v>
      </c>
      <c r="C32" s="100" t="s">
        <v>681</v>
      </c>
      <c r="D32" s="100" t="s">
        <v>335</v>
      </c>
      <c r="E32" s="105">
        <v>3300</v>
      </c>
      <c r="F32" s="105">
        <f t="shared" si="0"/>
        <v>33000</v>
      </c>
      <c r="G32" s="100" t="s">
        <v>682</v>
      </c>
      <c r="H32" s="99">
        <v>45979</v>
      </c>
      <c r="I32" s="100" t="s">
        <v>824</v>
      </c>
    </row>
    <row r="33" spans="1:9" x14ac:dyDescent="0.3">
      <c r="A33" s="99">
        <v>45978</v>
      </c>
      <c r="B33" s="100">
        <v>9</v>
      </c>
      <c r="C33" s="100" t="s">
        <v>727</v>
      </c>
      <c r="D33" s="100" t="s">
        <v>677</v>
      </c>
      <c r="E33" s="105">
        <v>625</v>
      </c>
      <c r="F33" s="105">
        <f t="shared" si="0"/>
        <v>5625</v>
      </c>
      <c r="G33" s="100" t="s">
        <v>728</v>
      </c>
      <c r="H33" s="99">
        <v>45982</v>
      </c>
      <c r="I33" s="100" t="s">
        <v>115</v>
      </c>
    </row>
    <row r="34" spans="1:9" x14ac:dyDescent="0.3">
      <c r="A34" s="99">
        <v>45978</v>
      </c>
      <c r="B34" s="100">
        <v>1</v>
      </c>
      <c r="C34" s="100" t="s">
        <v>685</v>
      </c>
      <c r="D34" s="100" t="s">
        <v>684</v>
      </c>
      <c r="E34" s="105">
        <v>329</v>
      </c>
      <c r="F34" s="105">
        <f t="shared" si="0"/>
        <v>329</v>
      </c>
      <c r="G34" s="100"/>
      <c r="H34" s="100"/>
      <c r="I34" s="100" t="s">
        <v>85</v>
      </c>
    </row>
    <row r="35" spans="1:9" x14ac:dyDescent="0.3">
      <c r="A35" s="99">
        <v>45978</v>
      </c>
      <c r="B35" s="100">
        <v>1</v>
      </c>
      <c r="C35" s="100" t="s">
        <v>542</v>
      </c>
      <c r="D35" s="100" t="s">
        <v>686</v>
      </c>
      <c r="E35" s="105">
        <v>5000</v>
      </c>
      <c r="F35" s="105">
        <f t="shared" si="0"/>
        <v>5000</v>
      </c>
      <c r="G35" s="100"/>
      <c r="H35" s="100"/>
      <c r="I35" s="100" t="s">
        <v>85</v>
      </c>
    </row>
    <row r="36" spans="1:9" x14ac:dyDescent="0.3">
      <c r="A36" s="99">
        <v>45979</v>
      </c>
      <c r="B36" s="100">
        <v>2</v>
      </c>
      <c r="C36" s="100" t="s">
        <v>687</v>
      </c>
      <c r="D36" s="100" t="s">
        <v>101</v>
      </c>
      <c r="E36" s="105">
        <v>454</v>
      </c>
      <c r="F36" s="105">
        <f t="shared" si="0"/>
        <v>908</v>
      </c>
      <c r="G36" s="100" t="s">
        <v>700</v>
      </c>
      <c r="H36" s="99">
        <v>45982</v>
      </c>
      <c r="I36" s="100" t="s">
        <v>824</v>
      </c>
    </row>
    <row r="37" spans="1:9" x14ac:dyDescent="0.3">
      <c r="A37" s="99">
        <v>45979</v>
      </c>
      <c r="B37" s="100">
        <v>2</v>
      </c>
      <c r="C37" s="100" t="s">
        <v>687</v>
      </c>
      <c r="D37" s="100" t="s">
        <v>101</v>
      </c>
      <c r="E37" s="105">
        <v>454</v>
      </c>
      <c r="F37" s="105">
        <f t="shared" si="0"/>
        <v>908</v>
      </c>
      <c r="G37" s="100" t="s">
        <v>700</v>
      </c>
      <c r="H37" s="99">
        <v>45982</v>
      </c>
      <c r="I37" s="100" t="s">
        <v>824</v>
      </c>
    </row>
    <row r="38" spans="1:9" x14ac:dyDescent="0.3">
      <c r="A38" s="99">
        <v>45979</v>
      </c>
      <c r="B38" s="100">
        <v>2</v>
      </c>
      <c r="C38" s="100" t="s">
        <v>687</v>
      </c>
      <c r="D38" s="100" t="s">
        <v>688</v>
      </c>
      <c r="E38" s="105">
        <v>454</v>
      </c>
      <c r="F38" s="105">
        <f t="shared" si="0"/>
        <v>908</v>
      </c>
      <c r="G38" s="100" t="s">
        <v>719</v>
      </c>
      <c r="H38" s="100"/>
      <c r="I38" s="100" t="s">
        <v>824</v>
      </c>
    </row>
    <row r="39" spans="1:9" x14ac:dyDescent="0.3">
      <c r="A39" s="99">
        <v>45979</v>
      </c>
      <c r="B39" s="100">
        <v>2</v>
      </c>
      <c r="C39" s="100" t="s">
        <v>687</v>
      </c>
      <c r="D39" s="100" t="s">
        <v>688</v>
      </c>
      <c r="E39" s="105">
        <v>454</v>
      </c>
      <c r="F39" s="105">
        <f t="shared" si="0"/>
        <v>908</v>
      </c>
      <c r="G39" s="100" t="s">
        <v>719</v>
      </c>
      <c r="H39" s="100"/>
      <c r="I39" s="100" t="s">
        <v>824</v>
      </c>
    </row>
    <row r="40" spans="1:9" x14ac:dyDescent="0.3">
      <c r="A40" s="99">
        <v>45979</v>
      </c>
      <c r="B40" s="100">
        <v>2</v>
      </c>
      <c r="C40" s="100" t="s">
        <v>687</v>
      </c>
      <c r="D40" s="100" t="s">
        <v>688</v>
      </c>
      <c r="E40" s="105">
        <v>454</v>
      </c>
      <c r="F40" s="105">
        <f t="shared" si="0"/>
        <v>908</v>
      </c>
      <c r="G40" s="100" t="s">
        <v>729</v>
      </c>
      <c r="H40" s="100"/>
      <c r="I40" s="100" t="s">
        <v>824</v>
      </c>
    </row>
    <row r="41" spans="1:9" x14ac:dyDescent="0.3">
      <c r="A41" s="99">
        <v>45979</v>
      </c>
      <c r="B41" s="100">
        <v>3</v>
      </c>
      <c r="C41" s="100" t="s">
        <v>723</v>
      </c>
      <c r="D41" s="100" t="s">
        <v>688</v>
      </c>
      <c r="E41" s="105">
        <v>130</v>
      </c>
      <c r="F41" s="105">
        <f t="shared" si="0"/>
        <v>390</v>
      </c>
      <c r="G41" s="100" t="s">
        <v>8</v>
      </c>
      <c r="H41" s="99">
        <v>45982</v>
      </c>
      <c r="I41" s="100" t="s">
        <v>824</v>
      </c>
    </row>
    <row r="42" spans="1:9" x14ac:dyDescent="0.3">
      <c r="A42" s="99">
        <v>45980</v>
      </c>
      <c r="B42" s="100">
        <v>6</v>
      </c>
      <c r="C42" s="100" t="s">
        <v>723</v>
      </c>
      <c r="D42" s="100" t="s">
        <v>688</v>
      </c>
      <c r="E42" s="105">
        <v>130</v>
      </c>
      <c r="F42" s="105">
        <f t="shared" si="0"/>
        <v>780</v>
      </c>
      <c r="G42" s="100" t="s">
        <v>8</v>
      </c>
      <c r="H42" s="99">
        <v>45982</v>
      </c>
      <c r="I42" s="100" t="s">
        <v>824</v>
      </c>
    </row>
    <row r="43" spans="1:9" x14ac:dyDescent="0.3">
      <c r="A43" s="99">
        <v>45980</v>
      </c>
      <c r="B43" s="100">
        <v>10</v>
      </c>
      <c r="C43" s="100" t="s">
        <v>559</v>
      </c>
      <c r="D43" s="100" t="s">
        <v>688</v>
      </c>
      <c r="E43" s="105">
        <v>39</v>
      </c>
      <c r="F43" s="105">
        <f t="shared" si="0"/>
        <v>390</v>
      </c>
      <c r="G43" s="100" t="s">
        <v>8</v>
      </c>
      <c r="H43" s="99">
        <v>45982</v>
      </c>
      <c r="I43" s="100" t="s">
        <v>824</v>
      </c>
    </row>
    <row r="44" spans="1:9" x14ac:dyDescent="0.3">
      <c r="A44" s="99">
        <v>45980</v>
      </c>
      <c r="B44" s="100">
        <v>6</v>
      </c>
      <c r="C44" s="100" t="s">
        <v>696</v>
      </c>
      <c r="D44" s="100" t="s">
        <v>688</v>
      </c>
      <c r="E44" s="105">
        <v>779</v>
      </c>
      <c r="F44" s="105">
        <f t="shared" si="0"/>
        <v>4674</v>
      </c>
      <c r="G44" s="100" t="s">
        <v>8</v>
      </c>
      <c r="H44" s="99">
        <v>45982</v>
      </c>
      <c r="I44" s="100" t="s">
        <v>824</v>
      </c>
    </row>
    <row r="45" spans="1:9" x14ac:dyDescent="0.3">
      <c r="A45" s="99">
        <v>45980</v>
      </c>
      <c r="B45" s="100">
        <v>6</v>
      </c>
      <c r="C45" s="100" t="s">
        <v>693</v>
      </c>
      <c r="D45" s="100" t="s">
        <v>688</v>
      </c>
      <c r="E45" s="105">
        <v>594</v>
      </c>
      <c r="F45" s="105">
        <f t="shared" si="0"/>
        <v>3564</v>
      </c>
      <c r="G45" s="100" t="s">
        <v>8</v>
      </c>
      <c r="H45" s="99">
        <v>45982</v>
      </c>
      <c r="I45" s="100" t="s">
        <v>824</v>
      </c>
    </row>
    <row r="46" spans="1:9" x14ac:dyDescent="0.3">
      <c r="A46" s="99">
        <v>45980</v>
      </c>
      <c r="B46" s="100">
        <v>3</v>
      </c>
      <c r="C46" s="100" t="s">
        <v>693</v>
      </c>
      <c r="D46" s="100" t="s">
        <v>688</v>
      </c>
      <c r="E46" s="105">
        <v>594</v>
      </c>
      <c r="F46" s="105">
        <f t="shared" si="0"/>
        <v>1782</v>
      </c>
      <c r="G46" s="100" t="s">
        <v>694</v>
      </c>
      <c r="H46" s="99">
        <v>45982</v>
      </c>
      <c r="I46" s="100" t="s">
        <v>824</v>
      </c>
    </row>
    <row r="47" spans="1:9" x14ac:dyDescent="0.3">
      <c r="A47" s="99">
        <v>45980</v>
      </c>
      <c r="B47" s="100">
        <v>4</v>
      </c>
      <c r="C47" s="100" t="s">
        <v>687</v>
      </c>
      <c r="D47" s="100" t="s">
        <v>688</v>
      </c>
      <c r="E47" s="105">
        <v>454</v>
      </c>
      <c r="F47" s="105">
        <f t="shared" si="0"/>
        <v>1816</v>
      </c>
      <c r="G47" s="100" t="s">
        <v>729</v>
      </c>
      <c r="H47" s="100"/>
      <c r="I47" s="100" t="s">
        <v>824</v>
      </c>
    </row>
    <row r="48" spans="1:9" x14ac:dyDescent="0.3">
      <c r="A48" s="99">
        <v>45980</v>
      </c>
      <c r="B48" s="100">
        <v>10</v>
      </c>
      <c r="C48" s="100" t="s">
        <v>695</v>
      </c>
      <c r="D48" s="100" t="s">
        <v>335</v>
      </c>
      <c r="E48" s="105">
        <v>777</v>
      </c>
      <c r="F48" s="105">
        <f t="shared" si="0"/>
        <v>7770</v>
      </c>
      <c r="G48" s="100" t="s">
        <v>742</v>
      </c>
      <c r="H48" s="99"/>
      <c r="I48" s="100" t="s">
        <v>824</v>
      </c>
    </row>
    <row r="49" spans="1:9" x14ac:dyDescent="0.3">
      <c r="A49" s="99">
        <v>45980</v>
      </c>
      <c r="B49" s="100">
        <v>10</v>
      </c>
      <c r="C49" s="100" t="s">
        <v>645</v>
      </c>
      <c r="D49" s="100" t="s">
        <v>335</v>
      </c>
      <c r="E49" s="105">
        <v>1400</v>
      </c>
      <c r="F49" s="105">
        <f t="shared" si="0"/>
        <v>14000</v>
      </c>
      <c r="G49" s="100" t="s">
        <v>742</v>
      </c>
      <c r="H49" s="100"/>
      <c r="I49" s="100" t="s">
        <v>824</v>
      </c>
    </row>
    <row r="50" spans="1:9" x14ac:dyDescent="0.3">
      <c r="A50" s="99">
        <v>45980</v>
      </c>
      <c r="B50" s="100">
        <v>7</v>
      </c>
      <c r="C50" s="100" t="s">
        <v>693</v>
      </c>
      <c r="D50" s="100" t="s">
        <v>101</v>
      </c>
      <c r="E50" s="105">
        <v>559</v>
      </c>
      <c r="F50" s="105">
        <f t="shared" si="0"/>
        <v>3913</v>
      </c>
      <c r="G50" s="100" t="s">
        <v>8</v>
      </c>
      <c r="H50" s="99">
        <v>45982</v>
      </c>
      <c r="I50" s="100" t="s">
        <v>824</v>
      </c>
    </row>
    <row r="51" spans="1:9" x14ac:dyDescent="0.3">
      <c r="A51" s="99">
        <v>45980</v>
      </c>
      <c r="B51" s="100">
        <v>6</v>
      </c>
      <c r="C51" s="100" t="s">
        <v>724</v>
      </c>
      <c r="D51" s="100" t="s">
        <v>101</v>
      </c>
      <c r="E51" s="105">
        <v>779</v>
      </c>
      <c r="F51" s="105">
        <f t="shared" si="0"/>
        <v>4674</v>
      </c>
      <c r="G51" s="100" t="s">
        <v>8</v>
      </c>
      <c r="H51" s="99">
        <v>45982</v>
      </c>
      <c r="I51" s="100" t="s">
        <v>824</v>
      </c>
    </row>
    <row r="52" spans="1:9" x14ac:dyDescent="0.3">
      <c r="A52" s="99">
        <v>45980</v>
      </c>
      <c r="B52" s="100">
        <v>4</v>
      </c>
      <c r="C52" s="100" t="s">
        <v>697</v>
      </c>
      <c r="D52" s="100" t="s">
        <v>101</v>
      </c>
      <c r="E52" s="105">
        <v>125</v>
      </c>
      <c r="F52" s="105">
        <f t="shared" si="0"/>
        <v>500</v>
      </c>
      <c r="G52" s="100" t="s">
        <v>8</v>
      </c>
      <c r="H52" s="99">
        <v>45982</v>
      </c>
      <c r="I52" s="100" t="s">
        <v>824</v>
      </c>
    </row>
    <row r="53" spans="1:9" x14ac:dyDescent="0.3">
      <c r="A53" s="99">
        <v>45980</v>
      </c>
      <c r="B53" s="100">
        <v>1</v>
      </c>
      <c r="C53" s="100" t="s">
        <v>698</v>
      </c>
      <c r="D53" s="100" t="s">
        <v>703</v>
      </c>
      <c r="E53" s="105">
        <v>699</v>
      </c>
      <c r="F53" s="105">
        <f t="shared" si="0"/>
        <v>699</v>
      </c>
      <c r="G53" s="100" t="s">
        <v>699</v>
      </c>
      <c r="H53" s="99">
        <v>45982</v>
      </c>
      <c r="I53" s="100" t="s">
        <v>824</v>
      </c>
    </row>
    <row r="54" spans="1:9" x14ac:dyDescent="0.3">
      <c r="A54" s="99">
        <v>45980</v>
      </c>
      <c r="B54" s="100">
        <v>15</v>
      </c>
      <c r="C54" s="100" t="s">
        <v>697</v>
      </c>
      <c r="D54" s="100" t="s">
        <v>30</v>
      </c>
      <c r="E54" s="105">
        <v>125</v>
      </c>
      <c r="F54" s="105">
        <f t="shared" si="0"/>
        <v>1875</v>
      </c>
      <c r="G54" s="100" t="s">
        <v>791</v>
      </c>
      <c r="H54" s="100"/>
      <c r="I54" s="100" t="s">
        <v>824</v>
      </c>
    </row>
    <row r="55" spans="1:9" x14ac:dyDescent="0.3">
      <c r="A55" s="99">
        <v>45981</v>
      </c>
      <c r="B55" s="100">
        <v>12</v>
      </c>
      <c r="C55" s="100" t="s">
        <v>697</v>
      </c>
      <c r="D55" s="100" t="s">
        <v>767</v>
      </c>
      <c r="E55" s="105">
        <v>125</v>
      </c>
      <c r="F55" s="105">
        <f t="shared" si="0"/>
        <v>1500</v>
      </c>
      <c r="G55" s="100" t="s">
        <v>781</v>
      </c>
      <c r="H55" s="100"/>
      <c r="I55" s="100" t="s">
        <v>824</v>
      </c>
    </row>
    <row r="56" spans="1:9" x14ac:dyDescent="0.3">
      <c r="A56" s="99">
        <v>45981</v>
      </c>
      <c r="B56" s="100">
        <v>23</v>
      </c>
      <c r="C56" s="100" t="s">
        <v>697</v>
      </c>
      <c r="D56" s="100" t="s">
        <v>702</v>
      </c>
      <c r="E56" s="105">
        <v>125</v>
      </c>
      <c r="F56" s="105">
        <f t="shared" si="0"/>
        <v>2875</v>
      </c>
      <c r="G56" s="100" t="s">
        <v>765</v>
      </c>
      <c r="H56" s="100"/>
      <c r="I56" s="100" t="s">
        <v>766</v>
      </c>
    </row>
    <row r="57" spans="1:9" x14ac:dyDescent="0.3">
      <c r="A57" s="99">
        <v>45981</v>
      </c>
      <c r="B57" s="100">
        <v>1</v>
      </c>
      <c r="C57" s="100" t="s">
        <v>698</v>
      </c>
      <c r="D57" s="100" t="s">
        <v>703</v>
      </c>
      <c r="E57" s="105">
        <v>699</v>
      </c>
      <c r="F57" s="105">
        <f t="shared" si="0"/>
        <v>699</v>
      </c>
      <c r="G57" s="100" t="s">
        <v>699</v>
      </c>
      <c r="H57" s="99">
        <v>45982</v>
      </c>
      <c r="I57" s="100" t="s">
        <v>824</v>
      </c>
    </row>
    <row r="58" spans="1:9" x14ac:dyDescent="0.3">
      <c r="A58" s="99">
        <v>45981</v>
      </c>
      <c r="B58" s="100">
        <v>2</v>
      </c>
      <c r="C58" s="100" t="s">
        <v>704</v>
      </c>
      <c r="D58" s="100" t="s">
        <v>364</v>
      </c>
      <c r="E58" s="105">
        <v>2100</v>
      </c>
      <c r="F58" s="105">
        <f t="shared" si="0"/>
        <v>4200</v>
      </c>
      <c r="G58" s="100" t="s">
        <v>8</v>
      </c>
      <c r="H58" s="99">
        <v>45982</v>
      </c>
      <c r="I58" s="100" t="s">
        <v>824</v>
      </c>
    </row>
    <row r="59" spans="1:9" x14ac:dyDescent="0.3">
      <c r="A59" s="99">
        <v>45981</v>
      </c>
      <c r="B59" s="100">
        <v>3</v>
      </c>
      <c r="C59" s="100" t="s">
        <v>705</v>
      </c>
      <c r="D59" s="100" t="s">
        <v>364</v>
      </c>
      <c r="E59" s="105">
        <v>2100</v>
      </c>
      <c r="F59" s="105">
        <f t="shared" si="0"/>
        <v>6300</v>
      </c>
      <c r="G59" s="100" t="s">
        <v>8</v>
      </c>
      <c r="H59" s="99">
        <v>45982</v>
      </c>
      <c r="I59" s="100" t="s">
        <v>824</v>
      </c>
    </row>
    <row r="60" spans="1:9" x14ac:dyDescent="0.3">
      <c r="A60" s="99">
        <v>45981</v>
      </c>
      <c r="B60" s="100">
        <v>2</v>
      </c>
      <c r="C60" s="100" t="s">
        <v>705</v>
      </c>
      <c r="D60" s="100" t="s">
        <v>318</v>
      </c>
      <c r="E60" s="105">
        <v>2100</v>
      </c>
      <c r="F60" s="105">
        <f t="shared" si="0"/>
        <v>4200</v>
      </c>
      <c r="G60" s="100" t="s">
        <v>709</v>
      </c>
      <c r="H60" s="99">
        <v>45982</v>
      </c>
      <c r="I60" s="100" t="s">
        <v>824</v>
      </c>
    </row>
    <row r="61" spans="1:9" x14ac:dyDescent="0.3">
      <c r="A61" s="99">
        <v>45981</v>
      </c>
      <c r="B61" s="100">
        <v>5</v>
      </c>
      <c r="C61" s="100" t="s">
        <v>706</v>
      </c>
      <c r="D61" s="100" t="s">
        <v>364</v>
      </c>
      <c r="E61" s="105">
        <v>574</v>
      </c>
      <c r="F61" s="105">
        <f t="shared" si="0"/>
        <v>2870</v>
      </c>
      <c r="G61" s="100" t="s">
        <v>8</v>
      </c>
      <c r="H61" s="99">
        <v>45982</v>
      </c>
      <c r="I61" s="100" t="s">
        <v>824</v>
      </c>
    </row>
    <row r="62" spans="1:9" x14ac:dyDescent="0.3">
      <c r="A62" s="99">
        <v>45981</v>
      </c>
      <c r="B62" s="100">
        <v>10</v>
      </c>
      <c r="C62" s="100" t="s">
        <v>707</v>
      </c>
      <c r="D62" s="100" t="s">
        <v>364</v>
      </c>
      <c r="E62" s="105">
        <v>103</v>
      </c>
      <c r="F62" s="105">
        <f t="shared" si="0"/>
        <v>1030</v>
      </c>
      <c r="G62" s="100" t="s">
        <v>8</v>
      </c>
      <c r="H62" s="99">
        <v>45982</v>
      </c>
      <c r="I62" s="100" t="s">
        <v>824</v>
      </c>
    </row>
    <row r="63" spans="1:9" x14ac:dyDescent="0.3">
      <c r="A63" s="99">
        <v>45981</v>
      </c>
      <c r="B63" s="100">
        <v>3</v>
      </c>
      <c r="C63" s="100" t="s">
        <v>697</v>
      </c>
      <c r="D63" s="100" t="s">
        <v>364</v>
      </c>
      <c r="E63" s="105">
        <v>125</v>
      </c>
      <c r="F63" s="105">
        <f t="shared" si="0"/>
        <v>375</v>
      </c>
      <c r="G63" s="100" t="s">
        <v>8</v>
      </c>
      <c r="H63" s="99">
        <v>45982</v>
      </c>
      <c r="I63" s="100" t="s">
        <v>824</v>
      </c>
    </row>
    <row r="64" spans="1:9" x14ac:dyDescent="0.3">
      <c r="A64" s="99">
        <v>45981</v>
      </c>
      <c r="B64" s="100">
        <v>3</v>
      </c>
      <c r="C64" s="100" t="s">
        <v>704</v>
      </c>
      <c r="D64" s="100" t="s">
        <v>364</v>
      </c>
      <c r="E64" s="105">
        <v>2100</v>
      </c>
      <c r="F64" s="105">
        <f t="shared" si="0"/>
        <v>6300</v>
      </c>
      <c r="G64" s="100" t="s">
        <v>8</v>
      </c>
      <c r="H64" s="99">
        <v>45982</v>
      </c>
      <c r="I64" s="100" t="s">
        <v>824</v>
      </c>
    </row>
    <row r="65" spans="1:9" x14ac:dyDescent="0.3">
      <c r="A65" s="99">
        <v>45981</v>
      </c>
      <c r="B65" s="100">
        <v>3</v>
      </c>
      <c r="C65" s="100" t="s">
        <v>705</v>
      </c>
      <c r="D65" s="100" t="s">
        <v>364</v>
      </c>
      <c r="E65" s="105">
        <v>2100</v>
      </c>
      <c r="F65" s="105">
        <f t="shared" si="0"/>
        <v>6300</v>
      </c>
      <c r="G65" s="100" t="s">
        <v>8</v>
      </c>
      <c r="H65" s="99">
        <v>45982</v>
      </c>
      <c r="I65" s="100" t="s">
        <v>824</v>
      </c>
    </row>
    <row r="66" spans="1:9" x14ac:dyDescent="0.3">
      <c r="A66" s="99">
        <v>45981</v>
      </c>
      <c r="B66" s="100">
        <v>12</v>
      </c>
      <c r="C66" s="100" t="s">
        <v>664</v>
      </c>
      <c r="D66" s="100" t="s">
        <v>708</v>
      </c>
      <c r="E66" s="105">
        <v>449</v>
      </c>
      <c r="F66" s="105">
        <f t="shared" si="0"/>
        <v>5388</v>
      </c>
      <c r="G66" s="100" t="s">
        <v>8</v>
      </c>
      <c r="H66" s="99">
        <v>45982</v>
      </c>
      <c r="I66" s="100" t="s">
        <v>824</v>
      </c>
    </row>
    <row r="67" spans="1:9" x14ac:dyDescent="0.3">
      <c r="A67" s="99">
        <v>45982</v>
      </c>
      <c r="B67" s="100">
        <v>4</v>
      </c>
      <c r="C67" s="100" t="s">
        <v>704</v>
      </c>
      <c r="D67" s="100" t="s">
        <v>364</v>
      </c>
      <c r="E67" s="105">
        <v>2100</v>
      </c>
      <c r="F67" s="105">
        <f t="shared" si="0"/>
        <v>8400</v>
      </c>
      <c r="G67" s="100" t="s">
        <v>8</v>
      </c>
      <c r="H67" s="99">
        <v>45982</v>
      </c>
      <c r="I67" s="100" t="s">
        <v>824</v>
      </c>
    </row>
    <row r="68" spans="1:9" x14ac:dyDescent="0.3">
      <c r="A68" s="99">
        <v>45982</v>
      </c>
      <c r="B68" s="100">
        <v>6</v>
      </c>
      <c r="C68" s="100" t="s">
        <v>704</v>
      </c>
      <c r="D68" s="100" t="s">
        <v>710</v>
      </c>
      <c r="E68" s="105">
        <v>2100</v>
      </c>
      <c r="F68" s="105">
        <f t="shared" si="0"/>
        <v>12600</v>
      </c>
      <c r="G68" s="100" t="s">
        <v>8</v>
      </c>
      <c r="H68" s="99">
        <v>45982</v>
      </c>
      <c r="I68" s="100" t="s">
        <v>824</v>
      </c>
    </row>
    <row r="69" spans="1:9" x14ac:dyDescent="0.3">
      <c r="A69" s="99">
        <v>45982</v>
      </c>
      <c r="B69" s="100">
        <v>6</v>
      </c>
      <c r="C69" s="100" t="s">
        <v>705</v>
      </c>
      <c r="D69" s="100" t="s">
        <v>710</v>
      </c>
      <c r="E69" s="105">
        <v>2100</v>
      </c>
      <c r="F69" s="105">
        <f t="shared" ref="F69:F135" si="2">E69*B69</f>
        <v>12600</v>
      </c>
      <c r="G69" s="100" t="s">
        <v>8</v>
      </c>
      <c r="H69" s="99">
        <v>45982</v>
      </c>
      <c r="I69" s="100" t="s">
        <v>824</v>
      </c>
    </row>
    <row r="70" spans="1:9" x14ac:dyDescent="0.3">
      <c r="A70" s="99">
        <v>45982</v>
      </c>
      <c r="B70" s="100">
        <v>16</v>
      </c>
      <c r="C70" s="100" t="s">
        <v>664</v>
      </c>
      <c r="D70" s="100" t="s">
        <v>686</v>
      </c>
      <c r="E70" s="105" t="s">
        <v>720</v>
      </c>
      <c r="F70" s="105">
        <v>0</v>
      </c>
      <c r="G70" s="100" t="s">
        <v>8</v>
      </c>
      <c r="H70" s="99">
        <v>45982</v>
      </c>
      <c r="I70" s="100" t="s">
        <v>824</v>
      </c>
    </row>
    <row r="71" spans="1:9" x14ac:dyDescent="0.3">
      <c r="A71" s="99">
        <v>45982</v>
      </c>
      <c r="B71" s="100">
        <v>5</v>
      </c>
      <c r="C71" s="100" t="s">
        <v>664</v>
      </c>
      <c r="D71" s="100" t="s">
        <v>686</v>
      </c>
      <c r="E71" s="105">
        <v>0</v>
      </c>
      <c r="F71" s="105">
        <v>0</v>
      </c>
      <c r="G71" s="100" t="s">
        <v>8</v>
      </c>
      <c r="H71" s="99">
        <v>45982</v>
      </c>
      <c r="I71" s="100" t="s">
        <v>736</v>
      </c>
    </row>
    <row r="72" spans="1:9" x14ac:dyDescent="0.3">
      <c r="A72" s="99">
        <v>45982</v>
      </c>
      <c r="B72" s="100">
        <v>20</v>
      </c>
      <c r="C72" s="100" t="s">
        <v>664</v>
      </c>
      <c r="D72" s="100" t="s">
        <v>490</v>
      </c>
      <c r="E72" s="105">
        <v>399</v>
      </c>
      <c r="F72" s="105">
        <f t="shared" si="2"/>
        <v>7980</v>
      </c>
      <c r="G72" s="100" t="s">
        <v>8</v>
      </c>
      <c r="H72" s="99">
        <v>45985</v>
      </c>
      <c r="I72" s="100" t="s">
        <v>824</v>
      </c>
    </row>
    <row r="73" spans="1:9" x14ac:dyDescent="0.3">
      <c r="A73" s="99">
        <v>45982</v>
      </c>
      <c r="B73" s="100">
        <v>9</v>
      </c>
      <c r="C73" s="100" t="s">
        <v>664</v>
      </c>
      <c r="D73" s="100" t="s">
        <v>494</v>
      </c>
      <c r="E73" s="105">
        <v>399</v>
      </c>
      <c r="F73" s="105">
        <f t="shared" si="2"/>
        <v>3591</v>
      </c>
      <c r="G73" s="100" t="s">
        <v>8</v>
      </c>
      <c r="H73" s="99">
        <v>45985</v>
      </c>
      <c r="I73" s="100" t="s">
        <v>824</v>
      </c>
    </row>
    <row r="74" spans="1:9" x14ac:dyDescent="0.3">
      <c r="A74" s="99">
        <v>45982</v>
      </c>
      <c r="B74" s="100">
        <v>3</v>
      </c>
      <c r="C74" s="100" t="s">
        <v>711</v>
      </c>
      <c r="D74" s="100" t="s">
        <v>712</v>
      </c>
      <c r="E74" s="105">
        <v>609.95000000000005</v>
      </c>
      <c r="F74" s="105">
        <f t="shared" si="2"/>
        <v>1829.8500000000001</v>
      </c>
      <c r="G74" s="100" t="s">
        <v>730</v>
      </c>
      <c r="H74" s="100"/>
      <c r="I74" s="100" t="s">
        <v>824</v>
      </c>
    </row>
    <row r="75" spans="1:9" x14ac:dyDescent="0.3">
      <c r="A75" s="99">
        <v>45982</v>
      </c>
      <c r="B75" s="100">
        <v>1</v>
      </c>
      <c r="C75" s="100" t="s">
        <v>711</v>
      </c>
      <c r="D75" s="100" t="s">
        <v>712</v>
      </c>
      <c r="E75" s="105">
        <v>598</v>
      </c>
      <c r="F75" s="105">
        <f t="shared" si="2"/>
        <v>598</v>
      </c>
      <c r="G75" s="100" t="s">
        <v>825</v>
      </c>
      <c r="H75" s="100"/>
      <c r="I75" s="100" t="s">
        <v>824</v>
      </c>
    </row>
    <row r="76" spans="1:9" x14ac:dyDescent="0.3">
      <c r="A76" s="99">
        <v>45982</v>
      </c>
      <c r="B76" s="100">
        <v>1</v>
      </c>
      <c r="C76" s="100" t="s">
        <v>713</v>
      </c>
      <c r="D76" s="100" t="s">
        <v>714</v>
      </c>
      <c r="E76" s="105">
        <v>598</v>
      </c>
      <c r="F76" s="105">
        <f t="shared" si="2"/>
        <v>598</v>
      </c>
      <c r="G76" s="100" t="s">
        <v>715</v>
      </c>
      <c r="H76" s="99">
        <v>45982</v>
      </c>
      <c r="I76" s="100" t="s">
        <v>824</v>
      </c>
    </row>
    <row r="77" spans="1:9" x14ac:dyDescent="0.3">
      <c r="A77" s="99">
        <v>45982</v>
      </c>
      <c r="B77" s="100">
        <v>5</v>
      </c>
      <c r="C77" s="100" t="s">
        <v>716</v>
      </c>
      <c r="D77" s="100" t="s">
        <v>87</v>
      </c>
      <c r="E77" s="105">
        <v>509</v>
      </c>
      <c r="F77" s="105">
        <f t="shared" si="2"/>
        <v>2545</v>
      </c>
      <c r="G77" s="100" t="s">
        <v>791</v>
      </c>
      <c r="H77" s="100"/>
      <c r="I77" s="100" t="s">
        <v>824</v>
      </c>
    </row>
    <row r="78" spans="1:9" x14ac:dyDescent="0.3">
      <c r="A78" s="99">
        <v>45982</v>
      </c>
      <c r="B78" s="100">
        <v>6</v>
      </c>
      <c r="C78" s="100" t="s">
        <v>717</v>
      </c>
      <c r="D78" s="100" t="s">
        <v>87</v>
      </c>
      <c r="E78" s="105">
        <v>659</v>
      </c>
      <c r="F78" s="105">
        <f t="shared" si="2"/>
        <v>3954</v>
      </c>
      <c r="G78" s="100" t="s">
        <v>791</v>
      </c>
      <c r="H78" s="100"/>
      <c r="I78" s="100" t="s">
        <v>824</v>
      </c>
    </row>
    <row r="79" spans="1:9" x14ac:dyDescent="0.3">
      <c r="A79" s="99">
        <v>45982</v>
      </c>
      <c r="B79" s="100">
        <v>3</v>
      </c>
      <c r="C79" s="100" t="s">
        <v>717</v>
      </c>
      <c r="D79" s="100" t="s">
        <v>87</v>
      </c>
      <c r="E79" s="105">
        <v>659</v>
      </c>
      <c r="F79" s="105">
        <f t="shared" si="2"/>
        <v>1977</v>
      </c>
      <c r="G79" s="100" t="s">
        <v>781</v>
      </c>
      <c r="H79" s="100"/>
      <c r="I79" s="100" t="s">
        <v>824</v>
      </c>
    </row>
    <row r="80" spans="1:9" x14ac:dyDescent="0.3">
      <c r="A80" s="99">
        <v>45982</v>
      </c>
      <c r="B80" s="100">
        <v>7</v>
      </c>
      <c r="C80" s="100" t="s">
        <v>716</v>
      </c>
      <c r="D80" s="100" t="s">
        <v>87</v>
      </c>
      <c r="E80" s="105">
        <v>509</v>
      </c>
      <c r="F80" s="105">
        <f t="shared" si="2"/>
        <v>3563</v>
      </c>
      <c r="G80" s="100" t="s">
        <v>782</v>
      </c>
      <c r="H80" s="100"/>
      <c r="I80" s="100" t="s">
        <v>783</v>
      </c>
    </row>
    <row r="81" spans="1:11" x14ac:dyDescent="0.3">
      <c r="A81" s="99">
        <v>45982</v>
      </c>
      <c r="B81" s="100">
        <v>5</v>
      </c>
      <c r="C81" s="100" t="s">
        <v>721</v>
      </c>
      <c r="D81" s="100" t="s">
        <v>87</v>
      </c>
      <c r="E81" s="105">
        <v>659</v>
      </c>
      <c r="F81" s="105">
        <f t="shared" si="2"/>
        <v>3295</v>
      </c>
      <c r="G81" s="100" t="s">
        <v>770</v>
      </c>
      <c r="H81" s="100"/>
      <c r="I81" s="100" t="s">
        <v>824</v>
      </c>
    </row>
    <row r="82" spans="1:11" x14ac:dyDescent="0.3">
      <c r="A82" s="99">
        <v>45982</v>
      </c>
      <c r="B82" s="100">
        <v>9</v>
      </c>
      <c r="C82" s="100" t="s">
        <v>722</v>
      </c>
      <c r="D82" s="100" t="s">
        <v>87</v>
      </c>
      <c r="E82" s="105">
        <v>509</v>
      </c>
      <c r="F82" s="105">
        <f t="shared" si="2"/>
        <v>4581</v>
      </c>
      <c r="G82" s="100" t="s">
        <v>770</v>
      </c>
      <c r="H82" s="100"/>
      <c r="I82" s="100" t="s">
        <v>824</v>
      </c>
    </row>
    <row r="83" spans="1:11" x14ac:dyDescent="0.3">
      <c r="A83" s="99">
        <v>45982</v>
      </c>
      <c r="B83" s="100">
        <v>8</v>
      </c>
      <c r="C83" s="100" t="s">
        <v>722</v>
      </c>
      <c r="D83" s="100" t="s">
        <v>87</v>
      </c>
      <c r="E83" s="105">
        <v>509</v>
      </c>
      <c r="F83" s="105">
        <f t="shared" si="2"/>
        <v>4072</v>
      </c>
      <c r="G83" s="100" t="s">
        <v>769</v>
      </c>
      <c r="H83" s="100"/>
      <c r="I83" s="100" t="s">
        <v>768</v>
      </c>
    </row>
    <row r="84" spans="1:11" x14ac:dyDescent="0.3">
      <c r="A84" s="99">
        <v>45984</v>
      </c>
      <c r="B84" s="100">
        <v>14</v>
      </c>
      <c r="C84" s="100" t="s">
        <v>664</v>
      </c>
      <c r="D84" s="100" t="s">
        <v>731</v>
      </c>
      <c r="E84" s="105">
        <v>398</v>
      </c>
      <c r="F84" s="105">
        <f t="shared" si="2"/>
        <v>5572</v>
      </c>
      <c r="G84" s="100" t="s">
        <v>8</v>
      </c>
      <c r="H84" s="99">
        <v>45985</v>
      </c>
      <c r="I84" s="100" t="s">
        <v>824</v>
      </c>
    </row>
    <row r="85" spans="1:11" x14ac:dyDescent="0.3">
      <c r="A85" s="99">
        <v>45984</v>
      </c>
      <c r="B85" s="100">
        <v>5</v>
      </c>
      <c r="C85" s="100" t="s">
        <v>664</v>
      </c>
      <c r="D85" s="100" t="s">
        <v>496</v>
      </c>
      <c r="E85" s="105">
        <v>398</v>
      </c>
      <c r="F85" s="105">
        <f t="shared" si="2"/>
        <v>1990</v>
      </c>
      <c r="G85" s="100" t="s">
        <v>8</v>
      </c>
      <c r="H85" s="99">
        <v>45985</v>
      </c>
      <c r="I85" s="100" t="s">
        <v>824</v>
      </c>
      <c r="K85" t="s">
        <v>739</v>
      </c>
    </row>
    <row r="86" spans="1:11" x14ac:dyDescent="0.3">
      <c r="A86" s="99">
        <v>45984</v>
      </c>
      <c r="B86" s="100">
        <v>27</v>
      </c>
      <c r="C86" s="100" t="s">
        <v>664</v>
      </c>
      <c r="D86" s="100" t="s">
        <v>492</v>
      </c>
      <c r="E86" s="105">
        <v>398</v>
      </c>
      <c r="F86" s="105">
        <f t="shared" si="2"/>
        <v>10746</v>
      </c>
      <c r="G86" s="100" t="s">
        <v>8</v>
      </c>
      <c r="H86" s="99">
        <v>45985</v>
      </c>
      <c r="I86" s="100" t="s">
        <v>824</v>
      </c>
    </row>
    <row r="87" spans="1:11" x14ac:dyDescent="0.3">
      <c r="A87" s="99">
        <v>45984</v>
      </c>
      <c r="B87" s="100">
        <v>20</v>
      </c>
      <c r="C87" s="100" t="s">
        <v>664</v>
      </c>
      <c r="D87" s="100" t="s">
        <v>498</v>
      </c>
      <c r="E87" s="105">
        <v>398</v>
      </c>
      <c r="F87" s="105">
        <f t="shared" si="2"/>
        <v>7960</v>
      </c>
      <c r="G87" s="100" t="s">
        <v>8</v>
      </c>
      <c r="H87" s="99">
        <v>45985</v>
      </c>
      <c r="I87" s="100" t="s">
        <v>824</v>
      </c>
    </row>
    <row r="88" spans="1:11" x14ac:dyDescent="0.3">
      <c r="A88" s="99">
        <v>45984</v>
      </c>
      <c r="B88" s="100">
        <v>12</v>
      </c>
      <c r="C88" s="100" t="s">
        <v>664</v>
      </c>
      <c r="D88" s="100" t="s">
        <v>497</v>
      </c>
      <c r="E88" s="105">
        <v>398</v>
      </c>
      <c r="F88" s="105">
        <f t="shared" si="2"/>
        <v>4776</v>
      </c>
      <c r="G88" s="100" t="s">
        <v>8</v>
      </c>
      <c r="H88" s="99">
        <v>45985</v>
      </c>
      <c r="I88" s="100" t="s">
        <v>824</v>
      </c>
    </row>
    <row r="89" spans="1:11" x14ac:dyDescent="0.3">
      <c r="A89" s="99">
        <v>45984</v>
      </c>
      <c r="B89" s="100">
        <v>19</v>
      </c>
      <c r="C89" s="100" t="s">
        <v>664</v>
      </c>
      <c r="D89" s="100" t="s">
        <v>733</v>
      </c>
      <c r="E89" s="105">
        <v>398</v>
      </c>
      <c r="F89" s="105">
        <f t="shared" si="2"/>
        <v>7562</v>
      </c>
      <c r="G89" s="100" t="s">
        <v>8</v>
      </c>
      <c r="H89" s="99">
        <v>45985</v>
      </c>
      <c r="I89" s="100" t="s">
        <v>824</v>
      </c>
    </row>
    <row r="90" spans="1:11" x14ac:dyDescent="0.3">
      <c r="A90" s="99">
        <v>45984</v>
      </c>
      <c r="B90" s="100">
        <v>10</v>
      </c>
      <c r="C90" s="100" t="s">
        <v>664</v>
      </c>
      <c r="D90" s="100" t="s">
        <v>734</v>
      </c>
      <c r="E90" s="105">
        <v>398</v>
      </c>
      <c r="F90" s="105">
        <f t="shared" si="2"/>
        <v>3980</v>
      </c>
      <c r="G90" s="100" t="s">
        <v>8</v>
      </c>
      <c r="H90" s="99">
        <v>45985</v>
      </c>
      <c r="I90" s="100" t="s">
        <v>824</v>
      </c>
    </row>
    <row r="91" spans="1:11" x14ac:dyDescent="0.3">
      <c r="A91" s="99">
        <v>45984</v>
      </c>
      <c r="B91" s="100">
        <v>17</v>
      </c>
      <c r="C91" s="100" t="s">
        <v>664</v>
      </c>
      <c r="D91" s="100" t="s">
        <v>735</v>
      </c>
      <c r="E91" s="105">
        <v>398</v>
      </c>
      <c r="F91" s="105">
        <f t="shared" si="2"/>
        <v>6766</v>
      </c>
      <c r="G91" s="100" t="s">
        <v>8</v>
      </c>
      <c r="H91" s="99">
        <v>45985</v>
      </c>
      <c r="I91" s="100" t="s">
        <v>824</v>
      </c>
    </row>
    <row r="92" spans="1:11" x14ac:dyDescent="0.3">
      <c r="A92" s="99">
        <v>45985</v>
      </c>
      <c r="B92" s="100">
        <v>27</v>
      </c>
      <c r="C92" s="100" t="s">
        <v>664</v>
      </c>
      <c r="D92" s="100" t="s">
        <v>732</v>
      </c>
      <c r="E92" s="105">
        <v>398</v>
      </c>
      <c r="F92" s="105">
        <f t="shared" si="2"/>
        <v>10746</v>
      </c>
      <c r="G92" s="100" t="s">
        <v>8</v>
      </c>
      <c r="H92" s="99">
        <v>45985</v>
      </c>
      <c r="I92" s="100" t="s">
        <v>824</v>
      </c>
    </row>
    <row r="93" spans="1:11" x14ac:dyDescent="0.3">
      <c r="A93" s="99">
        <v>45985</v>
      </c>
      <c r="B93" s="100">
        <v>11</v>
      </c>
      <c r="C93" s="100" t="s">
        <v>664</v>
      </c>
      <c r="D93" s="100" t="s">
        <v>732</v>
      </c>
      <c r="E93" s="105">
        <v>398</v>
      </c>
      <c r="F93" s="105">
        <f t="shared" si="2"/>
        <v>4378</v>
      </c>
      <c r="G93" s="100" t="s">
        <v>8</v>
      </c>
      <c r="H93" s="100"/>
      <c r="I93" s="100" t="s">
        <v>824</v>
      </c>
    </row>
    <row r="94" spans="1:11" x14ac:dyDescent="0.3">
      <c r="A94" s="99">
        <v>45985</v>
      </c>
      <c r="B94" s="100">
        <v>1</v>
      </c>
      <c r="C94" s="100" t="s">
        <v>737</v>
      </c>
      <c r="D94" s="100" t="s">
        <v>738</v>
      </c>
      <c r="E94" s="105">
        <v>105</v>
      </c>
      <c r="F94" s="105">
        <f t="shared" si="2"/>
        <v>105</v>
      </c>
      <c r="G94" s="100"/>
      <c r="H94" s="100"/>
      <c r="I94" s="100" t="s">
        <v>85</v>
      </c>
    </row>
    <row r="95" spans="1:11" x14ac:dyDescent="0.3">
      <c r="A95" s="99">
        <v>45985</v>
      </c>
      <c r="B95" s="100">
        <v>2</v>
      </c>
      <c r="C95" s="100" t="s">
        <v>323</v>
      </c>
      <c r="D95" s="100" t="s">
        <v>358</v>
      </c>
      <c r="E95" s="105">
        <v>679</v>
      </c>
      <c r="F95" s="105">
        <f t="shared" si="2"/>
        <v>1358</v>
      </c>
      <c r="G95" s="100" t="s">
        <v>365</v>
      </c>
      <c r="H95" s="100"/>
      <c r="I95" s="100" t="s">
        <v>654</v>
      </c>
    </row>
    <row r="96" spans="1:11" x14ac:dyDescent="0.3">
      <c r="A96" s="99">
        <v>45988</v>
      </c>
      <c r="B96" s="100">
        <v>50</v>
      </c>
      <c r="C96" s="100" t="s">
        <v>664</v>
      </c>
      <c r="D96" s="100" t="s">
        <v>740</v>
      </c>
      <c r="E96" s="105">
        <v>398</v>
      </c>
      <c r="F96" s="105">
        <f t="shared" si="2"/>
        <v>19900</v>
      </c>
      <c r="G96" s="100" t="s">
        <v>751</v>
      </c>
      <c r="H96" s="100"/>
      <c r="I96" s="100" t="s">
        <v>824</v>
      </c>
    </row>
    <row r="97" spans="1:9" x14ac:dyDescent="0.3">
      <c r="A97" s="99">
        <v>45988</v>
      </c>
      <c r="B97" s="100">
        <v>1</v>
      </c>
      <c r="C97" s="100" t="s">
        <v>741</v>
      </c>
      <c r="D97" s="100" t="s">
        <v>740</v>
      </c>
      <c r="E97" s="105">
        <v>200</v>
      </c>
      <c r="F97" s="105">
        <f t="shared" si="2"/>
        <v>200</v>
      </c>
      <c r="G97" s="100"/>
      <c r="H97" s="100"/>
      <c r="I97" s="100" t="s">
        <v>85</v>
      </c>
    </row>
    <row r="98" spans="1:9" x14ac:dyDescent="0.3">
      <c r="A98" s="99">
        <v>45988</v>
      </c>
      <c r="B98" s="100">
        <v>10</v>
      </c>
      <c r="C98" s="100" t="s">
        <v>647</v>
      </c>
      <c r="D98" s="100" t="s">
        <v>335</v>
      </c>
      <c r="E98" s="105">
        <v>410</v>
      </c>
      <c r="F98" s="105">
        <f t="shared" si="2"/>
        <v>4100</v>
      </c>
      <c r="G98" s="100" t="s">
        <v>742</v>
      </c>
      <c r="H98" s="100"/>
      <c r="I98" s="100" t="s">
        <v>824</v>
      </c>
    </row>
    <row r="99" spans="1:9" x14ac:dyDescent="0.3">
      <c r="A99" s="99">
        <v>45989</v>
      </c>
      <c r="B99" s="100">
        <v>6</v>
      </c>
      <c r="C99" s="100" t="s">
        <v>647</v>
      </c>
      <c r="D99" s="100" t="s">
        <v>364</v>
      </c>
      <c r="E99" s="105">
        <v>419</v>
      </c>
      <c r="F99" s="105">
        <f t="shared" si="2"/>
        <v>2514</v>
      </c>
      <c r="G99" s="100" t="s">
        <v>771</v>
      </c>
      <c r="H99" s="100"/>
      <c r="I99" s="100" t="s">
        <v>824</v>
      </c>
    </row>
    <row r="100" spans="1:9" x14ac:dyDescent="0.3">
      <c r="A100" s="99">
        <v>45989</v>
      </c>
      <c r="B100" s="100">
        <v>10</v>
      </c>
      <c r="C100" s="100" t="s">
        <v>744</v>
      </c>
      <c r="D100" s="100" t="s">
        <v>364</v>
      </c>
      <c r="E100" s="105">
        <v>125</v>
      </c>
      <c r="F100" s="105">
        <f t="shared" si="2"/>
        <v>1250</v>
      </c>
      <c r="G100" s="100" t="s">
        <v>873</v>
      </c>
      <c r="H100" s="100"/>
      <c r="I100" s="100"/>
    </row>
    <row r="101" spans="1:9" x14ac:dyDescent="0.3">
      <c r="A101" s="99">
        <v>45989</v>
      </c>
      <c r="B101" s="100">
        <v>3</v>
      </c>
      <c r="C101" s="100" t="s">
        <v>647</v>
      </c>
      <c r="D101" s="100" t="s">
        <v>364</v>
      </c>
      <c r="E101" s="105">
        <v>419</v>
      </c>
      <c r="F101" s="105">
        <f t="shared" si="2"/>
        <v>1257</v>
      </c>
      <c r="G101" s="100" t="s">
        <v>873</v>
      </c>
      <c r="H101" s="100"/>
      <c r="I101" s="100"/>
    </row>
    <row r="102" spans="1:9" x14ac:dyDescent="0.3">
      <c r="A102" s="99">
        <v>45989</v>
      </c>
      <c r="B102" s="100">
        <v>2</v>
      </c>
      <c r="C102" s="100" t="s">
        <v>647</v>
      </c>
      <c r="D102" s="100" t="s">
        <v>364</v>
      </c>
      <c r="E102" s="105">
        <v>419</v>
      </c>
      <c r="F102" s="105">
        <f t="shared" si="2"/>
        <v>838</v>
      </c>
      <c r="G102" s="100" t="s">
        <v>902</v>
      </c>
      <c r="H102" s="100"/>
      <c r="I102" s="100"/>
    </row>
    <row r="103" spans="1:9" x14ac:dyDescent="0.3">
      <c r="A103" s="99">
        <v>45990</v>
      </c>
      <c r="B103" s="100">
        <v>1</v>
      </c>
      <c r="C103" s="100" t="s">
        <v>716</v>
      </c>
      <c r="D103" s="100" t="s">
        <v>745</v>
      </c>
      <c r="E103" s="105">
        <v>467</v>
      </c>
      <c r="F103" s="105">
        <f t="shared" si="2"/>
        <v>467</v>
      </c>
      <c r="G103" s="100" t="s">
        <v>8</v>
      </c>
      <c r="H103" s="100"/>
      <c r="I103" s="100" t="s">
        <v>824</v>
      </c>
    </row>
    <row r="104" spans="1:9" x14ac:dyDescent="0.3">
      <c r="A104" s="99">
        <v>45990</v>
      </c>
      <c r="B104" s="100">
        <v>2</v>
      </c>
      <c r="C104" s="100" t="s">
        <v>716</v>
      </c>
      <c r="D104" s="100" t="s">
        <v>331</v>
      </c>
      <c r="E104" s="105">
        <v>479</v>
      </c>
      <c r="F104" s="105">
        <f t="shared" si="2"/>
        <v>958</v>
      </c>
      <c r="G104" s="100" t="s">
        <v>8</v>
      </c>
      <c r="H104" s="100"/>
      <c r="I104" s="100" t="s">
        <v>824</v>
      </c>
    </row>
    <row r="105" spans="1:9" x14ac:dyDescent="0.3">
      <c r="A105" s="99">
        <v>45990</v>
      </c>
      <c r="B105" s="100">
        <v>2</v>
      </c>
      <c r="C105" s="100" t="s">
        <v>664</v>
      </c>
      <c r="D105" s="100" t="s">
        <v>331</v>
      </c>
      <c r="E105" s="105">
        <v>399</v>
      </c>
      <c r="F105" s="105">
        <f t="shared" si="2"/>
        <v>798</v>
      </c>
      <c r="G105" s="100" t="s">
        <v>8</v>
      </c>
      <c r="H105" s="100"/>
      <c r="I105" s="100" t="s">
        <v>824</v>
      </c>
    </row>
    <row r="106" spans="1:9" x14ac:dyDescent="0.3">
      <c r="A106" s="99">
        <v>45990</v>
      </c>
      <c r="B106" s="100">
        <v>3</v>
      </c>
      <c r="C106" s="100" t="s">
        <v>647</v>
      </c>
      <c r="D106" s="100" t="s">
        <v>230</v>
      </c>
      <c r="E106" s="105">
        <v>419</v>
      </c>
      <c r="F106" s="105">
        <f t="shared" si="2"/>
        <v>1257</v>
      </c>
      <c r="G106" s="100" t="s">
        <v>8</v>
      </c>
      <c r="H106" s="100"/>
      <c r="I106" s="100" t="s">
        <v>824</v>
      </c>
    </row>
    <row r="107" spans="1:9" x14ac:dyDescent="0.3">
      <c r="A107" s="99">
        <v>45990</v>
      </c>
      <c r="B107" s="100">
        <v>2</v>
      </c>
      <c r="C107" s="100" t="s">
        <v>716</v>
      </c>
      <c r="D107" s="100" t="s">
        <v>230</v>
      </c>
      <c r="E107" s="105">
        <v>479</v>
      </c>
      <c r="F107" s="105">
        <f t="shared" si="2"/>
        <v>958</v>
      </c>
      <c r="G107" s="100" t="s">
        <v>8</v>
      </c>
      <c r="H107" s="100"/>
      <c r="I107" s="100" t="s">
        <v>824</v>
      </c>
    </row>
    <row r="108" spans="1:9" x14ac:dyDescent="0.3">
      <c r="A108" s="99">
        <v>45990</v>
      </c>
      <c r="B108" s="100">
        <v>3</v>
      </c>
      <c r="C108" s="100" t="s">
        <v>746</v>
      </c>
      <c r="D108" s="100" t="s">
        <v>230</v>
      </c>
      <c r="E108" s="105">
        <v>105</v>
      </c>
      <c r="F108" s="105">
        <f t="shared" si="2"/>
        <v>315</v>
      </c>
      <c r="G108" s="100" t="s">
        <v>8</v>
      </c>
      <c r="H108" s="100"/>
      <c r="I108" s="100" t="s">
        <v>824</v>
      </c>
    </row>
    <row r="109" spans="1:9" x14ac:dyDescent="0.3">
      <c r="A109" s="99">
        <v>45990</v>
      </c>
      <c r="B109" s="100">
        <v>2</v>
      </c>
      <c r="C109" s="100" t="s">
        <v>664</v>
      </c>
      <c r="D109" s="100" t="s">
        <v>230</v>
      </c>
      <c r="E109" s="105">
        <v>299</v>
      </c>
      <c r="F109" s="105">
        <f t="shared" si="2"/>
        <v>598</v>
      </c>
      <c r="G109" s="100" t="s">
        <v>8</v>
      </c>
      <c r="H109" s="100"/>
      <c r="I109" s="100" t="s">
        <v>824</v>
      </c>
    </row>
    <row r="110" spans="1:9" x14ac:dyDescent="0.3">
      <c r="A110" s="99">
        <v>45990</v>
      </c>
      <c r="B110" s="100">
        <v>1</v>
      </c>
      <c r="C110" s="100" t="s">
        <v>747</v>
      </c>
      <c r="D110" s="100" t="s">
        <v>230</v>
      </c>
      <c r="E110" s="105">
        <v>399</v>
      </c>
      <c r="F110" s="105">
        <f t="shared" si="2"/>
        <v>399</v>
      </c>
      <c r="G110" s="100" t="s">
        <v>873</v>
      </c>
      <c r="H110" s="100"/>
      <c r="I110" s="100"/>
    </row>
    <row r="111" spans="1:9" x14ac:dyDescent="0.3">
      <c r="A111" s="99">
        <v>45990</v>
      </c>
      <c r="B111" s="100">
        <v>4</v>
      </c>
      <c r="C111" s="100" t="s">
        <v>664</v>
      </c>
      <c r="D111" s="100" t="s">
        <v>748</v>
      </c>
      <c r="E111" s="105">
        <v>398</v>
      </c>
      <c r="F111" s="105">
        <f t="shared" si="2"/>
        <v>1592</v>
      </c>
      <c r="G111" s="100" t="s">
        <v>8</v>
      </c>
      <c r="H111" s="100"/>
      <c r="I111" s="100" t="s">
        <v>824</v>
      </c>
    </row>
    <row r="112" spans="1:9" x14ac:dyDescent="0.3">
      <c r="A112" s="99">
        <v>45990</v>
      </c>
      <c r="B112" s="100">
        <v>2</v>
      </c>
      <c r="C112" s="100" t="s">
        <v>664</v>
      </c>
      <c r="D112" s="100" t="s">
        <v>748</v>
      </c>
      <c r="E112" s="105">
        <v>398</v>
      </c>
      <c r="F112" s="105">
        <f t="shared" si="2"/>
        <v>796</v>
      </c>
      <c r="G112" s="100" t="s">
        <v>792</v>
      </c>
      <c r="H112" s="100"/>
      <c r="I112" s="100" t="s">
        <v>824</v>
      </c>
    </row>
    <row r="113" spans="1:9" x14ac:dyDescent="0.3">
      <c r="A113" s="99">
        <v>45990</v>
      </c>
      <c r="B113" s="100">
        <v>4</v>
      </c>
      <c r="C113" s="100" t="s">
        <v>664</v>
      </c>
      <c r="D113" s="100" t="s">
        <v>495</v>
      </c>
      <c r="E113" s="105">
        <v>398</v>
      </c>
      <c r="F113" s="105">
        <f t="shared" si="2"/>
        <v>1592</v>
      </c>
      <c r="G113" s="100" t="s">
        <v>8</v>
      </c>
      <c r="H113" s="100"/>
      <c r="I113" s="100" t="s">
        <v>824</v>
      </c>
    </row>
    <row r="114" spans="1:9" x14ac:dyDescent="0.3">
      <c r="A114" s="99">
        <v>45990</v>
      </c>
      <c r="B114" s="100">
        <v>3</v>
      </c>
      <c r="C114" s="100" t="s">
        <v>664</v>
      </c>
      <c r="D114" s="100" t="s">
        <v>749</v>
      </c>
      <c r="E114" s="105">
        <v>398</v>
      </c>
      <c r="F114" s="105">
        <f t="shared" si="2"/>
        <v>1194</v>
      </c>
      <c r="G114" s="100" t="s">
        <v>8</v>
      </c>
      <c r="H114" s="100"/>
      <c r="I114" s="100" t="s">
        <v>824</v>
      </c>
    </row>
    <row r="115" spans="1:9" x14ac:dyDescent="0.3">
      <c r="A115" s="99">
        <v>45990</v>
      </c>
      <c r="B115" s="100">
        <v>5</v>
      </c>
      <c r="C115" s="100" t="s">
        <v>664</v>
      </c>
      <c r="D115" s="100" t="s">
        <v>677</v>
      </c>
      <c r="E115" s="105">
        <v>398</v>
      </c>
      <c r="F115" s="105">
        <f t="shared" si="2"/>
        <v>1990</v>
      </c>
      <c r="G115" s="100" t="s">
        <v>62</v>
      </c>
      <c r="H115" s="100"/>
      <c r="I115" s="100" t="s">
        <v>823</v>
      </c>
    </row>
    <row r="116" spans="1:9" x14ac:dyDescent="0.3">
      <c r="A116" s="99">
        <v>45990</v>
      </c>
      <c r="B116" s="100">
        <v>35</v>
      </c>
      <c r="C116" s="100" t="s">
        <v>664</v>
      </c>
      <c r="D116" s="100" t="s">
        <v>677</v>
      </c>
      <c r="E116" s="105">
        <v>0</v>
      </c>
      <c r="F116" s="105">
        <f t="shared" si="2"/>
        <v>0</v>
      </c>
      <c r="G116" s="100" t="s">
        <v>758</v>
      </c>
      <c r="H116" s="100"/>
      <c r="I116" s="100" t="s">
        <v>823</v>
      </c>
    </row>
    <row r="117" spans="1:9" x14ac:dyDescent="0.3">
      <c r="A117" s="99">
        <v>45991</v>
      </c>
      <c r="B117" s="100">
        <v>18</v>
      </c>
      <c r="C117" s="100" t="s">
        <v>664</v>
      </c>
      <c r="D117" s="100" t="s">
        <v>759</v>
      </c>
      <c r="E117" s="105">
        <v>398</v>
      </c>
      <c r="F117" s="105">
        <f t="shared" si="2"/>
        <v>7164</v>
      </c>
      <c r="G117" s="100" t="s">
        <v>8</v>
      </c>
      <c r="H117" s="100"/>
      <c r="I117" s="100" t="s">
        <v>824</v>
      </c>
    </row>
    <row r="118" spans="1:9" x14ac:dyDescent="0.3">
      <c r="A118" s="99">
        <v>45991</v>
      </c>
      <c r="B118" s="100">
        <v>9</v>
      </c>
      <c r="C118" s="100" t="s">
        <v>664</v>
      </c>
      <c r="D118" s="100" t="s">
        <v>760</v>
      </c>
      <c r="E118" s="105">
        <v>398</v>
      </c>
      <c r="F118" s="105">
        <f t="shared" si="2"/>
        <v>3582</v>
      </c>
      <c r="G118" s="100" t="s">
        <v>8</v>
      </c>
      <c r="H118" s="100"/>
      <c r="I118" s="100" t="s">
        <v>824</v>
      </c>
    </row>
    <row r="119" spans="1:9" x14ac:dyDescent="0.3">
      <c r="A119" s="99">
        <v>45991</v>
      </c>
      <c r="B119" s="100">
        <v>1</v>
      </c>
      <c r="C119" s="100" t="s">
        <v>664</v>
      </c>
      <c r="D119" s="100" t="s">
        <v>761</v>
      </c>
      <c r="E119" s="105">
        <v>299</v>
      </c>
      <c r="F119" s="105">
        <f t="shared" si="2"/>
        <v>299</v>
      </c>
      <c r="G119" s="100" t="s">
        <v>8</v>
      </c>
      <c r="H119" s="100"/>
      <c r="I119" s="100" t="s">
        <v>824</v>
      </c>
    </row>
    <row r="120" spans="1:9" x14ac:dyDescent="0.3">
      <c r="A120" s="99">
        <v>45991</v>
      </c>
      <c r="B120" s="100">
        <v>2</v>
      </c>
      <c r="C120" s="100" t="s">
        <v>716</v>
      </c>
      <c r="D120" s="100" t="s">
        <v>761</v>
      </c>
      <c r="E120" s="105">
        <v>479</v>
      </c>
      <c r="F120" s="105">
        <f t="shared" si="2"/>
        <v>958</v>
      </c>
      <c r="G120" s="100" t="s">
        <v>8</v>
      </c>
      <c r="H120" s="100"/>
      <c r="I120" s="100" t="s">
        <v>824</v>
      </c>
    </row>
    <row r="121" spans="1:9" x14ac:dyDescent="0.3">
      <c r="A121" s="99">
        <v>45991</v>
      </c>
      <c r="B121" s="100">
        <v>8</v>
      </c>
      <c r="C121" s="100" t="s">
        <v>697</v>
      </c>
      <c r="D121" s="100" t="s">
        <v>761</v>
      </c>
      <c r="E121" s="105">
        <v>125</v>
      </c>
      <c r="F121" s="105">
        <f t="shared" si="2"/>
        <v>1000</v>
      </c>
      <c r="G121" s="100" t="s">
        <v>8</v>
      </c>
      <c r="H121" s="100"/>
      <c r="I121" s="100" t="s">
        <v>824</v>
      </c>
    </row>
    <row r="122" spans="1:9" x14ac:dyDescent="0.3">
      <c r="A122" s="99">
        <v>45991</v>
      </c>
      <c r="B122" s="100">
        <v>1</v>
      </c>
      <c r="C122" s="100" t="s">
        <v>762</v>
      </c>
      <c r="D122" s="100" t="s">
        <v>761</v>
      </c>
      <c r="E122" s="105">
        <v>380</v>
      </c>
      <c r="F122" s="105">
        <f t="shared" si="2"/>
        <v>380</v>
      </c>
      <c r="G122" s="100" t="s">
        <v>8</v>
      </c>
      <c r="H122" s="100"/>
      <c r="I122" s="100" t="s">
        <v>824</v>
      </c>
    </row>
    <row r="123" spans="1:9" x14ac:dyDescent="0.3">
      <c r="A123" s="99">
        <v>45991</v>
      </c>
      <c r="B123" s="100">
        <v>1</v>
      </c>
      <c r="C123" s="100" t="s">
        <v>691</v>
      </c>
      <c r="D123" s="100" t="s">
        <v>761</v>
      </c>
      <c r="E123" s="105">
        <v>419</v>
      </c>
      <c r="F123" s="105">
        <f t="shared" si="2"/>
        <v>419</v>
      </c>
      <c r="G123" s="100" t="s">
        <v>8</v>
      </c>
      <c r="H123" s="100"/>
      <c r="I123" s="100" t="s">
        <v>824</v>
      </c>
    </row>
    <row r="124" spans="1:9" x14ac:dyDescent="0.3">
      <c r="A124" s="99">
        <v>45991</v>
      </c>
      <c r="B124" s="100">
        <v>2</v>
      </c>
      <c r="C124" s="100" t="s">
        <v>664</v>
      </c>
      <c r="D124" s="100" t="s">
        <v>763</v>
      </c>
      <c r="E124" s="105">
        <v>398</v>
      </c>
      <c r="F124" s="105">
        <f t="shared" si="2"/>
        <v>796</v>
      </c>
      <c r="G124" s="100" t="s">
        <v>8</v>
      </c>
      <c r="H124" s="100"/>
      <c r="I124" s="100" t="s">
        <v>824</v>
      </c>
    </row>
    <row r="125" spans="1:9" x14ac:dyDescent="0.3">
      <c r="A125" s="99">
        <v>45991</v>
      </c>
      <c r="B125" s="100">
        <v>2</v>
      </c>
      <c r="C125" s="100" t="s">
        <v>664</v>
      </c>
      <c r="D125" s="100" t="s">
        <v>763</v>
      </c>
      <c r="E125" s="105">
        <v>398</v>
      </c>
      <c r="F125" s="105">
        <f t="shared" si="2"/>
        <v>796</v>
      </c>
      <c r="G125" s="100" t="s">
        <v>781</v>
      </c>
      <c r="H125" s="100"/>
      <c r="I125" s="100" t="s">
        <v>824</v>
      </c>
    </row>
    <row r="126" spans="1:9" x14ac:dyDescent="0.3">
      <c r="A126" s="99">
        <v>45991</v>
      </c>
      <c r="B126" s="100">
        <v>4</v>
      </c>
      <c r="C126" s="100" t="s">
        <v>664</v>
      </c>
      <c r="D126" s="100" t="s">
        <v>764</v>
      </c>
      <c r="E126" s="105">
        <v>398</v>
      </c>
      <c r="F126" s="105">
        <f t="shared" si="2"/>
        <v>1592</v>
      </c>
      <c r="G126" s="100" t="s">
        <v>781</v>
      </c>
      <c r="H126" s="100"/>
      <c r="I126" s="100" t="s">
        <v>824</v>
      </c>
    </row>
    <row r="127" spans="1:9" x14ac:dyDescent="0.3">
      <c r="A127" s="99">
        <v>45991</v>
      </c>
      <c r="B127" s="100">
        <v>2</v>
      </c>
      <c r="C127" s="100" t="s">
        <v>664</v>
      </c>
      <c r="D127" s="100" t="s">
        <v>764</v>
      </c>
      <c r="E127" s="105">
        <v>398</v>
      </c>
      <c r="F127" s="105">
        <f t="shared" si="2"/>
        <v>796</v>
      </c>
      <c r="G127" s="100" t="s">
        <v>8</v>
      </c>
      <c r="H127" s="100"/>
      <c r="I127" s="100" t="s">
        <v>824</v>
      </c>
    </row>
    <row r="128" spans="1:9" x14ac:dyDescent="0.3">
      <c r="A128" s="99">
        <v>45991</v>
      </c>
      <c r="B128" s="100">
        <v>3</v>
      </c>
      <c r="C128" s="100" t="s">
        <v>664</v>
      </c>
      <c r="D128" s="100" t="s">
        <v>364</v>
      </c>
      <c r="E128" s="105">
        <v>299</v>
      </c>
      <c r="F128" s="105">
        <f t="shared" si="2"/>
        <v>897</v>
      </c>
      <c r="G128" s="100" t="s">
        <v>8</v>
      </c>
      <c r="H128" s="100"/>
      <c r="I128" s="100" t="s">
        <v>824</v>
      </c>
    </row>
    <row r="129" spans="1:9" x14ac:dyDescent="0.3">
      <c r="A129" s="99">
        <v>45991</v>
      </c>
      <c r="B129" s="100">
        <v>2</v>
      </c>
      <c r="C129" s="100" t="s">
        <v>716</v>
      </c>
      <c r="D129" s="100" t="s">
        <v>364</v>
      </c>
      <c r="E129" s="105">
        <v>479</v>
      </c>
      <c r="F129" s="105">
        <f t="shared" si="2"/>
        <v>958</v>
      </c>
      <c r="G129" s="100" t="s">
        <v>8</v>
      </c>
      <c r="H129" s="100"/>
      <c r="I129" s="100" t="s">
        <v>824</v>
      </c>
    </row>
    <row r="130" spans="1:9" x14ac:dyDescent="0.3">
      <c r="A130" s="99">
        <v>45991</v>
      </c>
      <c r="B130" s="100">
        <v>8</v>
      </c>
      <c r="C130" s="100" t="s">
        <v>697</v>
      </c>
      <c r="D130" s="100" t="s">
        <v>364</v>
      </c>
      <c r="E130" s="105">
        <v>125</v>
      </c>
      <c r="F130" s="105">
        <f t="shared" si="2"/>
        <v>1000</v>
      </c>
      <c r="G130" s="100" t="s">
        <v>8</v>
      </c>
      <c r="H130" s="100"/>
      <c r="I130" s="100" t="s">
        <v>824</v>
      </c>
    </row>
    <row r="131" spans="1:9" x14ac:dyDescent="0.3">
      <c r="A131" s="99">
        <v>45991</v>
      </c>
      <c r="B131" s="100">
        <v>7</v>
      </c>
      <c r="C131" s="100" t="s">
        <v>747</v>
      </c>
      <c r="D131" s="100" t="s">
        <v>364</v>
      </c>
      <c r="E131" s="105">
        <v>380</v>
      </c>
      <c r="F131" s="105">
        <f t="shared" si="2"/>
        <v>2660</v>
      </c>
      <c r="G131" s="100" t="s">
        <v>8</v>
      </c>
      <c r="H131" s="100"/>
      <c r="I131" s="100" t="s">
        <v>824</v>
      </c>
    </row>
    <row r="132" spans="1:9" x14ac:dyDescent="0.3">
      <c r="A132" s="99">
        <v>45991</v>
      </c>
      <c r="B132" s="100">
        <v>3</v>
      </c>
      <c r="C132" s="100" t="s">
        <v>691</v>
      </c>
      <c r="D132" s="100" t="s">
        <v>364</v>
      </c>
      <c r="E132" s="105">
        <v>410</v>
      </c>
      <c r="F132" s="105">
        <f t="shared" si="2"/>
        <v>1230</v>
      </c>
      <c r="G132" s="100" t="s">
        <v>826</v>
      </c>
      <c r="H132" s="100"/>
      <c r="I132" s="100" t="s">
        <v>824</v>
      </c>
    </row>
    <row r="133" spans="1:9" x14ac:dyDescent="0.3">
      <c r="A133" s="99">
        <v>45991</v>
      </c>
      <c r="B133" s="100">
        <v>47</v>
      </c>
      <c r="C133" s="100" t="s">
        <v>664</v>
      </c>
      <c r="D133" s="100" t="s">
        <v>775</v>
      </c>
      <c r="E133" s="105">
        <v>398</v>
      </c>
      <c r="F133" s="105">
        <f t="shared" si="2"/>
        <v>18706</v>
      </c>
      <c r="G133" s="100" t="s">
        <v>774</v>
      </c>
      <c r="H133" s="100"/>
      <c r="I133" s="100" t="s">
        <v>824</v>
      </c>
    </row>
    <row r="134" spans="1:9" x14ac:dyDescent="0.3">
      <c r="A134" s="99">
        <v>45991</v>
      </c>
      <c r="B134" s="100">
        <v>1</v>
      </c>
      <c r="C134" s="100" t="s">
        <v>776</v>
      </c>
      <c r="D134" s="100" t="s">
        <v>777</v>
      </c>
      <c r="E134" s="105">
        <v>470</v>
      </c>
      <c r="F134" s="105">
        <f t="shared" si="2"/>
        <v>470</v>
      </c>
      <c r="G134" s="100" t="s">
        <v>778</v>
      </c>
      <c r="H134" s="100"/>
      <c r="I134" s="100" t="s">
        <v>85</v>
      </c>
    </row>
    <row r="135" spans="1:9" x14ac:dyDescent="0.3">
      <c r="A135" s="99">
        <v>45991</v>
      </c>
      <c r="B135" s="100">
        <v>1</v>
      </c>
      <c r="C135" s="100" t="s">
        <v>542</v>
      </c>
      <c r="D135" s="100" t="s">
        <v>686</v>
      </c>
      <c r="E135" s="105">
        <v>10122.66</v>
      </c>
      <c r="F135" s="105">
        <f t="shared" si="2"/>
        <v>10122.66</v>
      </c>
      <c r="G135" s="100" t="s">
        <v>779</v>
      </c>
      <c r="H135" s="100"/>
      <c r="I135" s="100" t="s">
        <v>85</v>
      </c>
    </row>
  </sheetData>
  <autoFilter ref="A1:I135" xr:uid="{F843712B-5933-404F-B2E1-AD38379E5E9E}"/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2FB64-39E0-4CD5-A2A8-B4DACC1E3C5C}">
  <dimension ref="A1:V216"/>
  <sheetViews>
    <sheetView topLeftCell="A195" workbookViewId="0">
      <selection activeCell="D219" sqref="D219"/>
    </sheetView>
  </sheetViews>
  <sheetFormatPr defaultRowHeight="14.4" x14ac:dyDescent="0.3"/>
  <cols>
    <col min="3" max="3" width="26.109375" bestFit="1" customWidth="1"/>
    <col min="4" max="4" width="28.21875" bestFit="1" customWidth="1"/>
    <col min="7" max="7" width="25.88671875" bestFit="1" customWidth="1"/>
    <col min="8" max="8" width="7.88671875" bestFit="1" customWidth="1"/>
    <col min="9" max="9" width="27.44140625" bestFit="1" customWidth="1"/>
    <col min="14" max="14" width="16.6640625" bestFit="1" customWidth="1"/>
    <col min="18" max="18" width="30.33203125" hidden="1" customWidth="1"/>
    <col min="19" max="19" width="10.44140625" hidden="1" customWidth="1"/>
    <col min="20" max="22" width="0" hidden="1" customWidth="1"/>
  </cols>
  <sheetData>
    <row r="1" spans="1:22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22" x14ac:dyDescent="0.3">
      <c r="A2" s="99">
        <v>45992</v>
      </c>
      <c r="B2" s="100">
        <v>2</v>
      </c>
      <c r="C2" s="100" t="s">
        <v>664</v>
      </c>
      <c r="D2" s="100" t="s">
        <v>780</v>
      </c>
      <c r="E2" s="101">
        <v>399</v>
      </c>
      <c r="F2" s="101">
        <f t="shared" ref="F2:F15" si="0">E2*B2</f>
        <v>798</v>
      </c>
      <c r="G2" s="100" t="s">
        <v>792</v>
      </c>
      <c r="H2" s="100"/>
      <c r="I2" s="100" t="s">
        <v>824</v>
      </c>
      <c r="R2" t="s">
        <v>78</v>
      </c>
      <c r="S2" t="s">
        <v>81</v>
      </c>
    </row>
    <row r="3" spans="1:22" x14ac:dyDescent="0.3">
      <c r="A3" s="99">
        <v>45992</v>
      </c>
      <c r="B3" s="100">
        <v>2</v>
      </c>
      <c r="C3" s="100" t="s">
        <v>664</v>
      </c>
      <c r="D3" s="100" t="s">
        <v>794</v>
      </c>
      <c r="E3" s="101">
        <v>398</v>
      </c>
      <c r="F3" s="101">
        <f t="shared" si="0"/>
        <v>796</v>
      </c>
      <c r="G3" s="100" t="s">
        <v>8</v>
      </c>
      <c r="H3" s="100"/>
      <c r="I3" s="100" t="s">
        <v>824</v>
      </c>
      <c r="L3">
        <v>2</v>
      </c>
      <c r="M3" t="s">
        <v>789</v>
      </c>
      <c r="N3" t="s">
        <v>39</v>
      </c>
      <c r="O3" t="s">
        <v>790</v>
      </c>
      <c r="R3" t="s">
        <v>866</v>
      </c>
      <c r="S3">
        <v>10</v>
      </c>
      <c r="U3">
        <v>200</v>
      </c>
      <c r="V3">
        <f>S3*U3</f>
        <v>2000</v>
      </c>
    </row>
    <row r="4" spans="1:22" x14ac:dyDescent="0.3">
      <c r="A4" s="99">
        <v>45992</v>
      </c>
      <c r="B4" s="100">
        <v>2</v>
      </c>
      <c r="C4" s="100" t="s">
        <v>784</v>
      </c>
      <c r="D4" s="100" t="s">
        <v>364</v>
      </c>
      <c r="E4" s="101">
        <v>479</v>
      </c>
      <c r="F4" s="101">
        <f t="shared" si="0"/>
        <v>958</v>
      </c>
      <c r="G4" s="100" t="s">
        <v>830</v>
      </c>
      <c r="H4" s="100"/>
      <c r="I4" s="100"/>
      <c r="R4" t="s">
        <v>803</v>
      </c>
      <c r="S4">
        <v>1</v>
      </c>
      <c r="V4">
        <f t="shared" ref="V4:V32" si="1">S4*U4</f>
        <v>0</v>
      </c>
    </row>
    <row r="5" spans="1:22" x14ac:dyDescent="0.3">
      <c r="A5" s="99">
        <v>45992</v>
      </c>
      <c r="B5" s="100">
        <v>2</v>
      </c>
      <c r="C5" s="100" t="s">
        <v>664</v>
      </c>
      <c r="D5" s="100" t="s">
        <v>364</v>
      </c>
      <c r="E5" s="101">
        <v>299</v>
      </c>
      <c r="F5" s="101">
        <f t="shared" si="0"/>
        <v>598</v>
      </c>
      <c r="G5" s="100" t="s">
        <v>830</v>
      </c>
      <c r="H5" s="100"/>
      <c r="I5" s="100"/>
      <c r="R5" t="s">
        <v>908</v>
      </c>
      <c r="S5">
        <v>27</v>
      </c>
      <c r="U5">
        <v>125</v>
      </c>
      <c r="V5">
        <f t="shared" si="1"/>
        <v>3375</v>
      </c>
    </row>
    <row r="6" spans="1:22" x14ac:dyDescent="0.3">
      <c r="A6" s="99">
        <v>45992</v>
      </c>
      <c r="B6" s="100">
        <v>3</v>
      </c>
      <c r="C6" s="100" t="s">
        <v>661</v>
      </c>
      <c r="D6" s="100" t="s">
        <v>364</v>
      </c>
      <c r="E6" s="101">
        <v>419</v>
      </c>
      <c r="F6" s="101">
        <f t="shared" si="0"/>
        <v>1257</v>
      </c>
      <c r="G6" s="100" t="s">
        <v>830</v>
      </c>
      <c r="H6" s="100"/>
      <c r="I6" s="100"/>
      <c r="R6" t="s">
        <v>323</v>
      </c>
      <c r="S6">
        <v>1</v>
      </c>
      <c r="U6">
        <v>400</v>
      </c>
      <c r="V6">
        <f t="shared" si="1"/>
        <v>400</v>
      </c>
    </row>
    <row r="7" spans="1:22" x14ac:dyDescent="0.3">
      <c r="A7" s="99">
        <v>45992</v>
      </c>
      <c r="B7" s="100">
        <v>10</v>
      </c>
      <c r="C7" s="100" t="s">
        <v>697</v>
      </c>
      <c r="D7" s="100" t="s">
        <v>364</v>
      </c>
      <c r="E7" s="101">
        <v>125</v>
      </c>
      <c r="F7" s="101">
        <f t="shared" si="0"/>
        <v>1250</v>
      </c>
      <c r="G7" s="100" t="s">
        <v>830</v>
      </c>
      <c r="H7" s="100"/>
      <c r="I7" s="100"/>
      <c r="R7" t="s">
        <v>874</v>
      </c>
      <c r="S7">
        <v>3</v>
      </c>
      <c r="U7">
        <v>990</v>
      </c>
      <c r="V7">
        <f t="shared" si="1"/>
        <v>2970</v>
      </c>
    </row>
    <row r="8" spans="1:22" x14ac:dyDescent="0.3">
      <c r="A8" s="99">
        <v>45992</v>
      </c>
      <c r="B8" s="100">
        <v>2</v>
      </c>
      <c r="C8" s="100" t="s">
        <v>784</v>
      </c>
      <c r="D8" s="100" t="s">
        <v>364</v>
      </c>
      <c r="E8" s="101">
        <v>479</v>
      </c>
      <c r="F8" s="101">
        <f t="shared" si="0"/>
        <v>958</v>
      </c>
      <c r="G8" s="100" t="s">
        <v>800</v>
      </c>
      <c r="H8" s="100"/>
      <c r="I8" s="100"/>
      <c r="R8" t="s">
        <v>863</v>
      </c>
      <c r="S8">
        <v>3</v>
      </c>
      <c r="U8">
        <v>700</v>
      </c>
      <c r="V8">
        <f t="shared" si="1"/>
        <v>2100</v>
      </c>
    </row>
    <row r="9" spans="1:22" x14ac:dyDescent="0.3">
      <c r="A9" s="99">
        <v>45992</v>
      </c>
      <c r="B9" s="100">
        <v>1</v>
      </c>
      <c r="C9" s="100" t="s">
        <v>664</v>
      </c>
      <c r="D9" s="100" t="s">
        <v>364</v>
      </c>
      <c r="E9" s="101">
        <v>299</v>
      </c>
      <c r="F9" s="101">
        <f t="shared" si="0"/>
        <v>299</v>
      </c>
      <c r="G9" s="100" t="s">
        <v>800</v>
      </c>
      <c r="H9" s="100"/>
      <c r="I9" s="100"/>
      <c r="R9" t="s">
        <v>661</v>
      </c>
      <c r="S9">
        <v>11</v>
      </c>
      <c r="U9">
        <v>100</v>
      </c>
      <c r="V9">
        <f t="shared" si="1"/>
        <v>1100</v>
      </c>
    </row>
    <row r="10" spans="1:22" x14ac:dyDescent="0.3">
      <c r="A10" s="102">
        <v>45992</v>
      </c>
      <c r="B10" s="103">
        <v>3</v>
      </c>
      <c r="C10" s="103" t="s">
        <v>661</v>
      </c>
      <c r="D10" s="103" t="s">
        <v>364</v>
      </c>
      <c r="E10" s="104">
        <v>419</v>
      </c>
      <c r="F10" s="104">
        <f t="shared" si="0"/>
        <v>1257</v>
      </c>
      <c r="G10" s="103" t="s">
        <v>800</v>
      </c>
      <c r="H10" s="103"/>
      <c r="I10" s="103"/>
      <c r="R10" t="s">
        <v>707</v>
      </c>
      <c r="S10">
        <v>11</v>
      </c>
      <c r="U10">
        <v>50</v>
      </c>
      <c r="V10">
        <f t="shared" si="1"/>
        <v>550</v>
      </c>
    </row>
    <row r="11" spans="1:22" x14ac:dyDescent="0.3">
      <c r="A11" s="99">
        <v>45992</v>
      </c>
      <c r="B11" s="100">
        <v>1</v>
      </c>
      <c r="C11" s="100" t="s">
        <v>785</v>
      </c>
      <c r="D11" s="100" t="s">
        <v>30</v>
      </c>
      <c r="E11" s="101">
        <v>659</v>
      </c>
      <c r="F11" s="101">
        <f t="shared" si="0"/>
        <v>659</v>
      </c>
      <c r="G11" s="100" t="s">
        <v>791</v>
      </c>
      <c r="H11" s="100"/>
      <c r="I11" s="100" t="s">
        <v>824</v>
      </c>
      <c r="R11" t="s">
        <v>837</v>
      </c>
      <c r="S11">
        <v>27</v>
      </c>
      <c r="U11">
        <v>500</v>
      </c>
      <c r="V11">
        <f t="shared" si="1"/>
        <v>13500</v>
      </c>
    </row>
    <row r="12" spans="1:22" x14ac:dyDescent="0.3">
      <c r="A12" s="99">
        <v>45992</v>
      </c>
      <c r="B12" s="100">
        <v>1</v>
      </c>
      <c r="C12" s="100" t="s">
        <v>786</v>
      </c>
      <c r="D12" s="100" t="s">
        <v>30</v>
      </c>
      <c r="E12" s="101">
        <v>509</v>
      </c>
      <c r="F12" s="101">
        <f t="shared" si="0"/>
        <v>509</v>
      </c>
      <c r="G12" s="100" t="s">
        <v>791</v>
      </c>
      <c r="H12" s="100"/>
      <c r="I12" s="100" t="s">
        <v>824</v>
      </c>
      <c r="R12" t="s">
        <v>639</v>
      </c>
      <c r="S12">
        <v>3</v>
      </c>
      <c r="U12">
        <v>1300</v>
      </c>
      <c r="V12">
        <f t="shared" si="1"/>
        <v>3900</v>
      </c>
    </row>
    <row r="13" spans="1:22" x14ac:dyDescent="0.3">
      <c r="A13" s="99">
        <v>45992</v>
      </c>
      <c r="B13" s="100">
        <v>12</v>
      </c>
      <c r="C13" s="100" t="s">
        <v>664</v>
      </c>
      <c r="D13" s="100" t="s">
        <v>788</v>
      </c>
      <c r="E13" s="101">
        <v>398</v>
      </c>
      <c r="F13" s="101">
        <f t="shared" si="0"/>
        <v>4776</v>
      </c>
      <c r="G13" s="100" t="s">
        <v>428</v>
      </c>
      <c r="H13" s="100"/>
      <c r="I13" s="100" t="s">
        <v>824</v>
      </c>
      <c r="R13" t="s">
        <v>832</v>
      </c>
      <c r="S13">
        <v>4</v>
      </c>
      <c r="U13">
        <v>350</v>
      </c>
      <c r="V13">
        <f t="shared" si="1"/>
        <v>1400</v>
      </c>
    </row>
    <row r="14" spans="1:22" x14ac:dyDescent="0.3">
      <c r="A14" s="99">
        <v>45993</v>
      </c>
      <c r="B14" s="100">
        <v>2</v>
      </c>
      <c r="C14" s="100" t="s">
        <v>664</v>
      </c>
      <c r="D14" s="100" t="s">
        <v>28</v>
      </c>
      <c r="E14" s="101">
        <v>398</v>
      </c>
      <c r="F14" s="101">
        <f t="shared" si="0"/>
        <v>796</v>
      </c>
      <c r="G14" s="100" t="s">
        <v>8</v>
      </c>
      <c r="H14" s="100"/>
      <c r="I14" s="100" t="s">
        <v>824</v>
      </c>
      <c r="R14" t="s">
        <v>697</v>
      </c>
      <c r="S14">
        <v>160</v>
      </c>
      <c r="U14">
        <v>50</v>
      </c>
      <c r="V14">
        <f t="shared" si="1"/>
        <v>8000</v>
      </c>
    </row>
    <row r="15" spans="1:22" x14ac:dyDescent="0.3">
      <c r="A15" s="99">
        <v>45993</v>
      </c>
      <c r="B15" s="100">
        <v>2</v>
      </c>
      <c r="C15" s="100" t="s">
        <v>664</v>
      </c>
      <c r="D15" s="100" t="s">
        <v>793</v>
      </c>
      <c r="E15" s="101">
        <v>398</v>
      </c>
      <c r="F15" s="101">
        <f t="shared" si="0"/>
        <v>796</v>
      </c>
      <c r="G15" s="100" t="s">
        <v>8</v>
      </c>
      <c r="H15" s="100"/>
      <c r="I15" s="100" t="s">
        <v>824</v>
      </c>
      <c r="R15" t="s">
        <v>409</v>
      </c>
      <c r="S15">
        <v>3</v>
      </c>
      <c r="U15">
        <v>1300</v>
      </c>
      <c r="V15">
        <f t="shared" si="1"/>
        <v>3900</v>
      </c>
    </row>
    <row r="16" spans="1:22" x14ac:dyDescent="0.3">
      <c r="A16" s="99">
        <v>45993</v>
      </c>
      <c r="B16" s="100">
        <v>1</v>
      </c>
      <c r="C16" s="100" t="s">
        <v>664</v>
      </c>
      <c r="D16" s="100" t="s">
        <v>788</v>
      </c>
      <c r="E16" s="101">
        <v>398</v>
      </c>
      <c r="F16" s="101">
        <f t="shared" ref="F16:F119" si="2">E16*B16</f>
        <v>398</v>
      </c>
      <c r="G16" s="100" t="s">
        <v>428</v>
      </c>
      <c r="H16" s="100"/>
      <c r="I16" s="100" t="s">
        <v>824</v>
      </c>
      <c r="R16" t="s">
        <v>900</v>
      </c>
      <c r="S16">
        <v>3</v>
      </c>
      <c r="U16">
        <v>990</v>
      </c>
      <c r="V16">
        <f t="shared" si="1"/>
        <v>2970</v>
      </c>
    </row>
    <row r="17" spans="1:22" x14ac:dyDescent="0.3">
      <c r="A17" s="99">
        <v>45993</v>
      </c>
      <c r="B17" s="100">
        <v>1</v>
      </c>
      <c r="C17" s="100" t="s">
        <v>776</v>
      </c>
      <c r="D17" s="100" t="s">
        <v>777</v>
      </c>
      <c r="E17" s="101">
        <v>130</v>
      </c>
      <c r="F17" s="101">
        <f t="shared" si="2"/>
        <v>130</v>
      </c>
      <c r="G17" s="100" t="s">
        <v>778</v>
      </c>
      <c r="H17" s="100"/>
      <c r="I17" s="100"/>
      <c r="R17" t="s">
        <v>899</v>
      </c>
      <c r="S17">
        <v>2</v>
      </c>
      <c r="U17">
        <v>700</v>
      </c>
      <c r="V17">
        <f t="shared" si="1"/>
        <v>1400</v>
      </c>
    </row>
    <row r="18" spans="1:22" x14ac:dyDescent="0.3">
      <c r="A18" s="99">
        <v>45993</v>
      </c>
      <c r="B18" s="100">
        <v>5</v>
      </c>
      <c r="C18" s="100" t="s">
        <v>707</v>
      </c>
      <c r="D18" s="100" t="s">
        <v>795</v>
      </c>
      <c r="E18" s="101">
        <v>105</v>
      </c>
      <c r="F18" s="101">
        <f t="shared" si="2"/>
        <v>525</v>
      </c>
      <c r="G18" s="100" t="s">
        <v>796</v>
      </c>
      <c r="H18" s="100"/>
      <c r="I18" s="100" t="s">
        <v>824</v>
      </c>
      <c r="R18" t="s">
        <v>804</v>
      </c>
      <c r="S18">
        <v>24</v>
      </c>
      <c r="U18">
        <v>100</v>
      </c>
      <c r="V18">
        <f t="shared" si="1"/>
        <v>2400</v>
      </c>
    </row>
    <row r="19" spans="1:22" x14ac:dyDescent="0.3">
      <c r="A19" s="99">
        <v>45993</v>
      </c>
      <c r="B19" s="100">
        <v>2</v>
      </c>
      <c r="C19" s="100" t="s">
        <v>664</v>
      </c>
      <c r="D19" s="100" t="s">
        <v>795</v>
      </c>
      <c r="E19" s="101">
        <v>299</v>
      </c>
      <c r="F19" s="101">
        <f t="shared" si="2"/>
        <v>598</v>
      </c>
      <c r="G19" s="100" t="s">
        <v>796</v>
      </c>
      <c r="H19" s="100"/>
      <c r="I19" s="100" t="s">
        <v>824</v>
      </c>
      <c r="R19" t="s">
        <v>746</v>
      </c>
      <c r="S19">
        <v>4</v>
      </c>
      <c r="U19">
        <v>50</v>
      </c>
      <c r="V19">
        <f t="shared" si="1"/>
        <v>200</v>
      </c>
    </row>
    <row r="20" spans="1:22" x14ac:dyDescent="0.3">
      <c r="A20" s="99">
        <v>45993</v>
      </c>
      <c r="B20" s="100">
        <v>4</v>
      </c>
      <c r="C20" s="100" t="s">
        <v>697</v>
      </c>
      <c r="D20" s="100" t="s">
        <v>795</v>
      </c>
      <c r="E20" s="101">
        <v>125</v>
      </c>
      <c r="F20" s="101">
        <f t="shared" si="2"/>
        <v>500</v>
      </c>
      <c r="G20" s="100" t="s">
        <v>796</v>
      </c>
      <c r="H20" s="100"/>
      <c r="I20" s="100" t="s">
        <v>824</v>
      </c>
      <c r="R20" t="s">
        <v>898</v>
      </c>
      <c r="S20">
        <v>20</v>
      </c>
      <c r="U20">
        <v>20</v>
      </c>
      <c r="V20">
        <f t="shared" si="1"/>
        <v>400</v>
      </c>
    </row>
    <row r="21" spans="1:22" x14ac:dyDescent="0.3">
      <c r="A21" s="99">
        <v>45993</v>
      </c>
      <c r="B21" s="100">
        <v>2</v>
      </c>
      <c r="C21" s="100" t="s">
        <v>716</v>
      </c>
      <c r="D21" s="100" t="s">
        <v>795</v>
      </c>
      <c r="E21" s="101">
        <v>479</v>
      </c>
      <c r="F21" s="101">
        <f t="shared" si="2"/>
        <v>958</v>
      </c>
      <c r="G21" s="100" t="s">
        <v>796</v>
      </c>
      <c r="H21" s="100"/>
      <c r="I21" s="100" t="s">
        <v>824</v>
      </c>
      <c r="R21" t="s">
        <v>716</v>
      </c>
      <c r="S21">
        <v>13</v>
      </c>
      <c r="U21">
        <v>200</v>
      </c>
      <c r="V21">
        <f t="shared" si="1"/>
        <v>2600</v>
      </c>
    </row>
    <row r="22" spans="1:22" x14ac:dyDescent="0.3">
      <c r="A22" s="99">
        <v>45993</v>
      </c>
      <c r="B22" s="100">
        <v>1</v>
      </c>
      <c r="C22" s="100" t="s">
        <v>664</v>
      </c>
      <c r="D22" s="100" t="s">
        <v>797</v>
      </c>
      <c r="E22" s="101">
        <v>299</v>
      </c>
      <c r="F22" s="101">
        <f t="shared" si="2"/>
        <v>299</v>
      </c>
      <c r="G22" s="100" t="s">
        <v>796</v>
      </c>
      <c r="H22" s="100"/>
      <c r="I22" s="100" t="s">
        <v>824</v>
      </c>
      <c r="R22" t="s">
        <v>801</v>
      </c>
      <c r="S22">
        <v>5</v>
      </c>
      <c r="U22">
        <v>200</v>
      </c>
      <c r="V22">
        <f t="shared" si="1"/>
        <v>1000</v>
      </c>
    </row>
    <row r="23" spans="1:22" x14ac:dyDescent="0.3">
      <c r="A23" s="99">
        <v>45993</v>
      </c>
      <c r="B23" s="100">
        <v>2</v>
      </c>
      <c r="C23" s="100" t="s">
        <v>716</v>
      </c>
      <c r="D23" s="100" t="s">
        <v>797</v>
      </c>
      <c r="E23" s="101">
        <v>478</v>
      </c>
      <c r="F23" s="101">
        <f t="shared" si="2"/>
        <v>956</v>
      </c>
      <c r="G23" s="100" t="s">
        <v>796</v>
      </c>
      <c r="H23" s="100"/>
      <c r="I23" s="100" t="s">
        <v>824</v>
      </c>
      <c r="R23" t="s">
        <v>784</v>
      </c>
      <c r="S23">
        <v>4</v>
      </c>
      <c r="U23">
        <v>200</v>
      </c>
      <c r="V23">
        <f t="shared" si="1"/>
        <v>800</v>
      </c>
    </row>
    <row r="24" spans="1:22" x14ac:dyDescent="0.3">
      <c r="A24" s="99">
        <v>45993</v>
      </c>
      <c r="B24" s="100">
        <v>3</v>
      </c>
      <c r="C24" s="100" t="s">
        <v>664</v>
      </c>
      <c r="D24" s="100" t="s">
        <v>798</v>
      </c>
      <c r="E24" s="101">
        <v>399</v>
      </c>
      <c r="F24" s="101">
        <f t="shared" si="2"/>
        <v>1197</v>
      </c>
      <c r="G24" s="100" t="s">
        <v>796</v>
      </c>
      <c r="H24" s="100"/>
      <c r="I24" s="100" t="s">
        <v>824</v>
      </c>
      <c r="R24" t="s">
        <v>786</v>
      </c>
      <c r="S24">
        <v>1</v>
      </c>
      <c r="U24">
        <v>200</v>
      </c>
      <c r="V24">
        <f t="shared" si="1"/>
        <v>200</v>
      </c>
    </row>
    <row r="25" spans="1:22" x14ac:dyDescent="0.3">
      <c r="A25" s="99">
        <v>45994</v>
      </c>
      <c r="B25" s="100">
        <v>12</v>
      </c>
      <c r="C25" s="100" t="s">
        <v>664</v>
      </c>
      <c r="D25" s="100" t="s">
        <v>799</v>
      </c>
      <c r="E25" s="101">
        <v>398</v>
      </c>
      <c r="F25" s="101">
        <f t="shared" si="2"/>
        <v>4776</v>
      </c>
      <c r="G25" s="100" t="s">
        <v>365</v>
      </c>
      <c r="H25" s="100"/>
      <c r="I25" s="100" t="s">
        <v>824</v>
      </c>
      <c r="R25" t="s">
        <v>897</v>
      </c>
      <c r="S25">
        <v>75</v>
      </c>
      <c r="U25">
        <v>300</v>
      </c>
      <c r="V25">
        <f t="shared" si="1"/>
        <v>22500</v>
      </c>
    </row>
    <row r="26" spans="1:22" x14ac:dyDescent="0.3">
      <c r="A26" s="99">
        <v>45994</v>
      </c>
      <c r="B26" s="100">
        <v>1</v>
      </c>
      <c r="C26" s="100" t="s">
        <v>801</v>
      </c>
      <c r="D26" s="100" t="s">
        <v>442</v>
      </c>
      <c r="E26" s="101">
        <v>598</v>
      </c>
      <c r="F26" s="101">
        <f t="shared" si="2"/>
        <v>598</v>
      </c>
      <c r="G26" s="100" t="s">
        <v>365</v>
      </c>
      <c r="H26" s="100"/>
      <c r="I26" s="100"/>
      <c r="J26" t="s">
        <v>812</v>
      </c>
      <c r="R26" t="s">
        <v>785</v>
      </c>
      <c r="S26">
        <v>1</v>
      </c>
      <c r="U26">
        <v>300</v>
      </c>
      <c r="V26">
        <f t="shared" si="1"/>
        <v>300</v>
      </c>
    </row>
    <row r="27" spans="1:22" x14ac:dyDescent="0.3">
      <c r="A27" s="99">
        <v>45994</v>
      </c>
      <c r="B27" s="100">
        <v>6</v>
      </c>
      <c r="C27" s="100" t="s">
        <v>707</v>
      </c>
      <c r="D27" s="100" t="s">
        <v>688</v>
      </c>
      <c r="E27" s="101">
        <v>103</v>
      </c>
      <c r="F27" s="101">
        <f t="shared" si="2"/>
        <v>618</v>
      </c>
      <c r="G27" s="100" t="s">
        <v>365</v>
      </c>
      <c r="H27" s="100"/>
      <c r="I27" s="100"/>
      <c r="R27" t="s">
        <v>893</v>
      </c>
      <c r="S27">
        <v>8</v>
      </c>
      <c r="U27">
        <v>200</v>
      </c>
      <c r="V27">
        <f t="shared" si="1"/>
        <v>1600</v>
      </c>
    </row>
    <row r="28" spans="1:22" x14ac:dyDescent="0.3">
      <c r="A28" s="99">
        <v>45994</v>
      </c>
      <c r="B28" s="100">
        <v>2</v>
      </c>
      <c r="C28" s="100" t="s">
        <v>717</v>
      </c>
      <c r="D28" s="100" t="s">
        <v>688</v>
      </c>
      <c r="E28" s="101">
        <v>629</v>
      </c>
      <c r="F28" s="101">
        <f t="shared" si="2"/>
        <v>1258</v>
      </c>
      <c r="G28" s="100" t="s">
        <v>365</v>
      </c>
      <c r="H28" s="100"/>
      <c r="I28" s="100"/>
      <c r="R28" t="s">
        <v>883</v>
      </c>
      <c r="S28">
        <v>19</v>
      </c>
      <c r="U28">
        <v>300</v>
      </c>
      <c r="V28">
        <f t="shared" si="1"/>
        <v>5700</v>
      </c>
    </row>
    <row r="29" spans="1:22" x14ac:dyDescent="0.3">
      <c r="A29" s="99">
        <v>45994</v>
      </c>
      <c r="B29" s="100">
        <v>1</v>
      </c>
      <c r="C29" s="100" t="s">
        <v>802</v>
      </c>
      <c r="D29" s="100" t="s">
        <v>688</v>
      </c>
      <c r="E29" s="101">
        <v>69</v>
      </c>
      <c r="F29" s="101">
        <f t="shared" si="2"/>
        <v>69</v>
      </c>
      <c r="G29" s="100" t="s">
        <v>365</v>
      </c>
      <c r="H29" s="100"/>
      <c r="I29" s="100"/>
      <c r="J29" t="s">
        <v>812</v>
      </c>
      <c r="R29" t="s">
        <v>896</v>
      </c>
      <c r="S29">
        <v>42</v>
      </c>
      <c r="U29">
        <v>280</v>
      </c>
      <c r="V29">
        <f t="shared" si="1"/>
        <v>11760</v>
      </c>
    </row>
    <row r="30" spans="1:22" x14ac:dyDescent="0.3">
      <c r="A30" s="99">
        <v>45994</v>
      </c>
      <c r="B30" s="100">
        <v>1</v>
      </c>
      <c r="C30" s="100" t="s">
        <v>803</v>
      </c>
      <c r="D30" s="100" t="s">
        <v>688</v>
      </c>
      <c r="E30" s="101">
        <v>44</v>
      </c>
      <c r="F30" s="101">
        <f t="shared" si="2"/>
        <v>44</v>
      </c>
      <c r="G30" s="100" t="s">
        <v>365</v>
      </c>
      <c r="H30" s="100"/>
      <c r="I30" s="100"/>
      <c r="J30" t="s">
        <v>812</v>
      </c>
      <c r="R30" t="s">
        <v>910</v>
      </c>
      <c r="S30">
        <v>4</v>
      </c>
      <c r="U30">
        <v>200</v>
      </c>
      <c r="V30">
        <f t="shared" si="1"/>
        <v>800</v>
      </c>
    </row>
    <row r="31" spans="1:22" x14ac:dyDescent="0.3">
      <c r="A31" s="99">
        <v>45994</v>
      </c>
      <c r="B31" s="100">
        <v>2</v>
      </c>
      <c r="C31" s="100" t="s">
        <v>664</v>
      </c>
      <c r="D31" s="100" t="s">
        <v>688</v>
      </c>
      <c r="E31" s="101">
        <v>299</v>
      </c>
      <c r="F31" s="101">
        <f t="shared" si="2"/>
        <v>598</v>
      </c>
      <c r="G31" s="100" t="s">
        <v>365</v>
      </c>
      <c r="H31" s="100"/>
      <c r="I31" s="100"/>
      <c r="R31" t="s">
        <v>664</v>
      </c>
      <c r="S31">
        <v>730</v>
      </c>
      <c r="U31">
        <v>350</v>
      </c>
      <c r="V31">
        <f t="shared" si="1"/>
        <v>255500</v>
      </c>
    </row>
    <row r="32" spans="1:22" x14ac:dyDescent="0.3">
      <c r="A32" s="99">
        <v>45994</v>
      </c>
      <c r="B32" s="100">
        <v>14</v>
      </c>
      <c r="C32" s="100" t="s">
        <v>697</v>
      </c>
      <c r="D32" s="100" t="s">
        <v>688</v>
      </c>
      <c r="E32" s="101">
        <v>125</v>
      </c>
      <c r="F32" s="101">
        <f t="shared" si="2"/>
        <v>1750</v>
      </c>
      <c r="G32" s="100" t="s">
        <v>365</v>
      </c>
      <c r="H32" s="100"/>
      <c r="I32" s="100"/>
      <c r="R32" t="s">
        <v>378</v>
      </c>
      <c r="S32">
        <v>4</v>
      </c>
      <c r="U32">
        <v>400</v>
      </c>
      <c r="V32">
        <f t="shared" si="1"/>
        <v>1600</v>
      </c>
    </row>
    <row r="33" spans="1:22" x14ac:dyDescent="0.3">
      <c r="A33" s="99">
        <v>45994</v>
      </c>
      <c r="B33" s="100">
        <v>1</v>
      </c>
      <c r="C33" s="100" t="s">
        <v>661</v>
      </c>
      <c r="D33" s="100" t="s">
        <v>688</v>
      </c>
      <c r="E33" s="101">
        <v>419</v>
      </c>
      <c r="F33" s="101">
        <f t="shared" si="2"/>
        <v>419</v>
      </c>
      <c r="G33" s="100" t="s">
        <v>365</v>
      </c>
      <c r="H33" s="100"/>
      <c r="I33" s="100"/>
      <c r="R33" t="s">
        <v>80</v>
      </c>
      <c r="S33">
        <v>1223</v>
      </c>
      <c r="V33">
        <f>SUM(V3:V32)</f>
        <v>354925</v>
      </c>
    </row>
    <row r="34" spans="1:22" x14ac:dyDescent="0.3">
      <c r="A34" s="99">
        <v>45994</v>
      </c>
      <c r="B34" s="100">
        <v>5</v>
      </c>
      <c r="C34" s="100" t="s">
        <v>804</v>
      </c>
      <c r="D34" s="100" t="s">
        <v>688</v>
      </c>
      <c r="E34" s="101">
        <v>419</v>
      </c>
      <c r="F34" s="101">
        <f t="shared" si="2"/>
        <v>2095</v>
      </c>
      <c r="G34" s="100" t="s">
        <v>365</v>
      </c>
      <c r="H34" s="100"/>
      <c r="I34" s="100"/>
    </row>
    <row r="35" spans="1:22" x14ac:dyDescent="0.3">
      <c r="A35" s="99">
        <v>45994</v>
      </c>
      <c r="B35" s="100">
        <v>1</v>
      </c>
      <c r="C35" s="100" t="s">
        <v>664</v>
      </c>
      <c r="D35" s="100" t="s">
        <v>688</v>
      </c>
      <c r="E35" s="101">
        <v>299</v>
      </c>
      <c r="F35" s="101">
        <f t="shared" si="2"/>
        <v>299</v>
      </c>
      <c r="G35" s="100" t="s">
        <v>365</v>
      </c>
      <c r="H35" s="100"/>
      <c r="I35" s="100"/>
    </row>
    <row r="36" spans="1:22" x14ac:dyDescent="0.3">
      <c r="A36" s="99">
        <v>45994</v>
      </c>
      <c r="B36" s="100">
        <v>2</v>
      </c>
      <c r="C36" s="100" t="s">
        <v>664</v>
      </c>
      <c r="D36" s="100" t="s">
        <v>688</v>
      </c>
      <c r="E36" s="101">
        <v>299</v>
      </c>
      <c r="F36" s="101">
        <f t="shared" si="2"/>
        <v>598</v>
      </c>
      <c r="G36" s="100" t="s">
        <v>365</v>
      </c>
      <c r="H36" s="100"/>
      <c r="I36" s="100"/>
    </row>
    <row r="37" spans="1:22" x14ac:dyDescent="0.3">
      <c r="A37" s="99">
        <v>45994</v>
      </c>
      <c r="B37" s="100">
        <v>1</v>
      </c>
      <c r="C37" s="100" t="s">
        <v>664</v>
      </c>
      <c r="D37" s="100" t="s">
        <v>688</v>
      </c>
      <c r="E37" s="101">
        <v>299</v>
      </c>
      <c r="F37" s="101">
        <f t="shared" si="2"/>
        <v>299</v>
      </c>
      <c r="G37" s="100" t="s">
        <v>365</v>
      </c>
      <c r="H37" s="100"/>
      <c r="I37" s="100"/>
    </row>
    <row r="38" spans="1:22" x14ac:dyDescent="0.3">
      <c r="A38" s="99">
        <v>45994</v>
      </c>
      <c r="B38" s="100">
        <v>2</v>
      </c>
      <c r="C38" s="100" t="s">
        <v>716</v>
      </c>
      <c r="D38" s="100" t="s">
        <v>688</v>
      </c>
      <c r="E38" s="101">
        <v>479</v>
      </c>
      <c r="F38" s="101">
        <f t="shared" si="2"/>
        <v>958</v>
      </c>
      <c r="G38" s="100" t="s">
        <v>365</v>
      </c>
      <c r="H38" s="100"/>
      <c r="I38" s="100"/>
    </row>
    <row r="39" spans="1:22" x14ac:dyDescent="0.3">
      <c r="A39" s="99">
        <v>45994</v>
      </c>
      <c r="B39" s="100">
        <v>2</v>
      </c>
      <c r="C39" s="100" t="s">
        <v>716</v>
      </c>
      <c r="D39" s="100" t="s">
        <v>710</v>
      </c>
      <c r="E39" s="101">
        <v>479</v>
      </c>
      <c r="F39" s="101">
        <f t="shared" si="2"/>
        <v>958</v>
      </c>
      <c r="G39" s="100" t="s">
        <v>8</v>
      </c>
      <c r="H39" s="100"/>
      <c r="I39" s="100"/>
    </row>
    <row r="40" spans="1:22" x14ac:dyDescent="0.3">
      <c r="A40" s="99">
        <v>45994</v>
      </c>
      <c r="B40" s="100">
        <v>1</v>
      </c>
      <c r="C40" s="100" t="s">
        <v>716</v>
      </c>
      <c r="D40" s="100" t="s">
        <v>805</v>
      </c>
      <c r="E40" s="101">
        <v>499</v>
      </c>
      <c r="F40" s="101">
        <v>499</v>
      </c>
      <c r="G40" s="100" t="s">
        <v>8</v>
      </c>
      <c r="H40" s="100"/>
      <c r="I40" s="100"/>
      <c r="J40" t="s">
        <v>806</v>
      </c>
    </row>
    <row r="41" spans="1:22" x14ac:dyDescent="0.3">
      <c r="A41" s="99">
        <v>45994</v>
      </c>
      <c r="B41" s="100">
        <v>4</v>
      </c>
      <c r="C41" s="100" t="s">
        <v>664</v>
      </c>
      <c r="D41" s="100" t="s">
        <v>807</v>
      </c>
      <c r="E41" s="101">
        <v>398</v>
      </c>
      <c r="F41" s="101">
        <f t="shared" si="2"/>
        <v>1592</v>
      </c>
      <c r="G41" s="100" t="s">
        <v>8</v>
      </c>
      <c r="H41" s="100"/>
      <c r="I41" s="100"/>
    </row>
    <row r="42" spans="1:22" x14ac:dyDescent="0.3">
      <c r="A42" s="99">
        <v>45995</v>
      </c>
      <c r="B42" s="100">
        <v>1</v>
      </c>
      <c r="C42" s="100" t="s">
        <v>664</v>
      </c>
      <c r="D42" s="100" t="s">
        <v>688</v>
      </c>
      <c r="E42" s="101">
        <v>299</v>
      </c>
      <c r="F42" s="101">
        <f t="shared" si="2"/>
        <v>299</v>
      </c>
      <c r="G42" s="100" t="s">
        <v>8</v>
      </c>
      <c r="H42" s="100"/>
      <c r="I42" s="100"/>
    </row>
    <row r="43" spans="1:22" x14ac:dyDescent="0.3">
      <c r="A43" s="99">
        <v>45995</v>
      </c>
      <c r="B43" s="100">
        <v>2</v>
      </c>
      <c r="C43" s="100" t="s">
        <v>664</v>
      </c>
      <c r="D43" s="100" t="s">
        <v>793</v>
      </c>
      <c r="E43" s="101">
        <v>399</v>
      </c>
      <c r="F43" s="101">
        <f t="shared" si="2"/>
        <v>798</v>
      </c>
      <c r="G43" s="100" t="s">
        <v>8</v>
      </c>
      <c r="H43" s="100"/>
      <c r="I43" s="100"/>
    </row>
    <row r="44" spans="1:22" x14ac:dyDescent="0.3">
      <c r="A44" s="99">
        <v>45995</v>
      </c>
      <c r="B44" s="100">
        <v>3</v>
      </c>
      <c r="C44" s="100" t="s">
        <v>804</v>
      </c>
      <c r="D44" s="100" t="s">
        <v>840</v>
      </c>
      <c r="E44" s="101">
        <v>419</v>
      </c>
      <c r="F44" s="101">
        <f t="shared" si="2"/>
        <v>1257</v>
      </c>
      <c r="G44" s="100" t="s">
        <v>8</v>
      </c>
      <c r="H44" s="100"/>
      <c r="I44" s="100"/>
    </row>
    <row r="45" spans="1:22" x14ac:dyDescent="0.3">
      <c r="A45" s="99">
        <v>45995</v>
      </c>
      <c r="B45" s="100">
        <v>2</v>
      </c>
      <c r="C45" s="100" t="s">
        <v>664</v>
      </c>
      <c r="D45" s="100" t="s">
        <v>491</v>
      </c>
      <c r="E45" s="101">
        <v>299</v>
      </c>
      <c r="F45" s="101">
        <f t="shared" si="2"/>
        <v>598</v>
      </c>
      <c r="G45" s="100" t="s">
        <v>8</v>
      </c>
      <c r="H45" s="100"/>
      <c r="I45" s="100"/>
    </row>
    <row r="46" spans="1:22" x14ac:dyDescent="0.3">
      <c r="A46" s="99">
        <v>45995</v>
      </c>
      <c r="B46" s="100">
        <v>1</v>
      </c>
      <c r="C46" s="100" t="s">
        <v>829</v>
      </c>
      <c r="D46" s="100" t="s">
        <v>738</v>
      </c>
      <c r="E46" s="101">
        <v>221</v>
      </c>
      <c r="F46" s="101">
        <f t="shared" si="2"/>
        <v>221</v>
      </c>
      <c r="G46" s="100"/>
      <c r="H46" s="100"/>
      <c r="I46" s="100" t="s">
        <v>85</v>
      </c>
    </row>
    <row r="47" spans="1:22" x14ac:dyDescent="0.3">
      <c r="A47" s="99">
        <v>45995</v>
      </c>
      <c r="B47" s="100">
        <v>2</v>
      </c>
      <c r="C47" s="100" t="s">
        <v>664</v>
      </c>
      <c r="D47" s="100" t="s">
        <v>72</v>
      </c>
      <c r="E47" s="101">
        <v>398</v>
      </c>
      <c r="F47" s="101">
        <f t="shared" si="2"/>
        <v>796</v>
      </c>
      <c r="G47" s="100" t="s">
        <v>8</v>
      </c>
      <c r="H47" s="100"/>
      <c r="I47" s="100"/>
    </row>
    <row r="48" spans="1:22" x14ac:dyDescent="0.3">
      <c r="A48" s="99">
        <v>45995</v>
      </c>
      <c r="B48" s="100">
        <v>2</v>
      </c>
      <c r="C48" s="100" t="s">
        <v>664</v>
      </c>
      <c r="D48" s="100" t="s">
        <v>21</v>
      </c>
      <c r="E48" s="101">
        <v>398</v>
      </c>
      <c r="F48" s="101">
        <f t="shared" si="2"/>
        <v>796</v>
      </c>
      <c r="G48" s="100" t="s">
        <v>8</v>
      </c>
      <c r="H48" s="100"/>
      <c r="I48" s="100"/>
    </row>
    <row r="49" spans="1:13" x14ac:dyDescent="0.3">
      <c r="A49" s="99">
        <v>45995</v>
      </c>
      <c r="B49" s="100">
        <v>2</v>
      </c>
      <c r="C49" s="100" t="s">
        <v>664</v>
      </c>
      <c r="D49" s="100" t="s">
        <v>21</v>
      </c>
      <c r="E49" s="101">
        <v>398</v>
      </c>
      <c r="F49" s="101">
        <f t="shared" si="2"/>
        <v>796</v>
      </c>
      <c r="G49" s="100" t="s">
        <v>8</v>
      </c>
      <c r="H49" s="100"/>
      <c r="I49" s="100"/>
    </row>
    <row r="50" spans="1:13" x14ac:dyDescent="0.3">
      <c r="A50" s="99">
        <v>45995</v>
      </c>
      <c r="B50" s="100">
        <v>1</v>
      </c>
      <c r="C50" s="100" t="s">
        <v>664</v>
      </c>
      <c r="D50" s="100" t="s">
        <v>808</v>
      </c>
      <c r="E50" s="101">
        <v>399</v>
      </c>
      <c r="F50" s="101">
        <f t="shared" si="2"/>
        <v>399</v>
      </c>
      <c r="G50" s="100" t="s">
        <v>8</v>
      </c>
      <c r="H50" s="100"/>
      <c r="I50" s="100"/>
    </row>
    <row r="51" spans="1:13" x14ac:dyDescent="0.3">
      <c r="A51" s="99">
        <v>45995</v>
      </c>
      <c r="B51" s="100">
        <v>1</v>
      </c>
      <c r="C51" s="100" t="s">
        <v>664</v>
      </c>
      <c r="D51" s="100" t="s">
        <v>101</v>
      </c>
      <c r="E51" s="101">
        <v>299</v>
      </c>
      <c r="F51" s="101">
        <f t="shared" si="2"/>
        <v>299</v>
      </c>
      <c r="G51" s="100" t="s">
        <v>844</v>
      </c>
      <c r="H51" s="100"/>
      <c r="I51" s="100"/>
      <c r="J51">
        <v>924</v>
      </c>
    </row>
    <row r="52" spans="1:13" x14ac:dyDescent="0.3">
      <c r="A52" s="99">
        <v>45995</v>
      </c>
      <c r="B52" s="100">
        <v>5</v>
      </c>
      <c r="C52" s="100" t="s">
        <v>697</v>
      </c>
      <c r="D52" s="100" t="s">
        <v>101</v>
      </c>
      <c r="E52" s="101">
        <v>125</v>
      </c>
      <c r="F52" s="101">
        <f t="shared" si="2"/>
        <v>625</v>
      </c>
      <c r="G52" s="100" t="s">
        <v>365</v>
      </c>
      <c r="H52" s="100"/>
      <c r="I52" s="100"/>
    </row>
    <row r="53" spans="1:13" x14ac:dyDescent="0.3">
      <c r="A53" s="99">
        <v>45995</v>
      </c>
      <c r="B53" s="100">
        <v>1</v>
      </c>
      <c r="C53" s="100" t="s">
        <v>664</v>
      </c>
      <c r="D53" s="100" t="s">
        <v>101</v>
      </c>
      <c r="E53" s="101">
        <v>299</v>
      </c>
      <c r="F53" s="101">
        <f t="shared" si="2"/>
        <v>299</v>
      </c>
      <c r="G53" s="100" t="s">
        <v>914</v>
      </c>
      <c r="H53" s="100"/>
      <c r="I53" s="100"/>
    </row>
    <row r="54" spans="1:13" x14ac:dyDescent="0.3">
      <c r="A54" s="99">
        <v>45995</v>
      </c>
      <c r="B54" s="100">
        <v>4</v>
      </c>
      <c r="C54" s="100" t="s">
        <v>661</v>
      </c>
      <c r="D54" s="100" t="s">
        <v>101</v>
      </c>
      <c r="E54" s="101">
        <v>419</v>
      </c>
      <c r="F54" s="101">
        <f t="shared" si="2"/>
        <v>1676</v>
      </c>
      <c r="G54" s="100" t="s">
        <v>8</v>
      </c>
      <c r="H54" s="100"/>
      <c r="I54" s="100"/>
    </row>
    <row r="55" spans="1:13" x14ac:dyDescent="0.3">
      <c r="A55" s="99">
        <v>45995</v>
      </c>
      <c r="B55" s="100">
        <v>1</v>
      </c>
      <c r="C55" s="100" t="s">
        <v>664</v>
      </c>
      <c r="D55" s="100" t="s">
        <v>101</v>
      </c>
      <c r="E55" s="101">
        <v>299</v>
      </c>
      <c r="F55" s="101">
        <f t="shared" si="2"/>
        <v>299</v>
      </c>
      <c r="G55" s="100" t="s">
        <v>8</v>
      </c>
      <c r="H55" s="100"/>
      <c r="I55" s="100"/>
    </row>
    <row r="56" spans="1:13" x14ac:dyDescent="0.3">
      <c r="A56" s="99">
        <v>45995</v>
      </c>
      <c r="B56" s="100">
        <v>2</v>
      </c>
      <c r="C56" s="100" t="s">
        <v>843</v>
      </c>
      <c r="D56" s="100" t="s">
        <v>101</v>
      </c>
      <c r="E56" s="101">
        <v>479</v>
      </c>
      <c r="F56" s="101">
        <f t="shared" si="2"/>
        <v>958</v>
      </c>
      <c r="G56" s="100" t="s">
        <v>11</v>
      </c>
      <c r="H56" s="100"/>
      <c r="I56" s="100" t="s">
        <v>903</v>
      </c>
    </row>
    <row r="57" spans="1:13" x14ac:dyDescent="0.3">
      <c r="A57" s="99">
        <v>45996</v>
      </c>
      <c r="B57" s="100">
        <v>2</v>
      </c>
      <c r="C57" s="100" t="s">
        <v>697</v>
      </c>
      <c r="D57" s="100" t="s">
        <v>101</v>
      </c>
      <c r="E57" s="101">
        <v>125</v>
      </c>
      <c r="F57" s="101">
        <f t="shared" si="2"/>
        <v>250</v>
      </c>
      <c r="G57" s="100" t="s">
        <v>8</v>
      </c>
      <c r="H57" s="100"/>
      <c r="I57" s="100"/>
      <c r="J57">
        <v>3183</v>
      </c>
    </row>
    <row r="58" spans="1:13" x14ac:dyDescent="0.3">
      <c r="A58" s="99">
        <v>45996</v>
      </c>
      <c r="B58" s="100">
        <v>3</v>
      </c>
      <c r="C58" s="100" t="s">
        <v>664</v>
      </c>
      <c r="D58" s="100" t="s">
        <v>230</v>
      </c>
      <c r="E58" s="101">
        <v>329</v>
      </c>
      <c r="F58" s="101">
        <f t="shared" si="2"/>
        <v>987</v>
      </c>
      <c r="G58" s="100" t="s">
        <v>8</v>
      </c>
      <c r="H58" s="100"/>
      <c r="I58" s="100"/>
    </row>
    <row r="59" spans="1:13" x14ac:dyDescent="0.3">
      <c r="A59" s="99">
        <v>45996</v>
      </c>
      <c r="B59" s="100">
        <v>1</v>
      </c>
      <c r="C59" s="100" t="s">
        <v>804</v>
      </c>
      <c r="D59" s="100" t="s">
        <v>230</v>
      </c>
      <c r="E59" s="101">
        <v>429</v>
      </c>
      <c r="F59" s="101">
        <f t="shared" si="2"/>
        <v>429</v>
      </c>
      <c r="G59" s="100" t="s">
        <v>8</v>
      </c>
      <c r="H59" s="100"/>
      <c r="I59" s="100"/>
    </row>
    <row r="60" spans="1:13" x14ac:dyDescent="0.3">
      <c r="A60" s="99">
        <v>45996</v>
      </c>
      <c r="B60" s="100">
        <v>2</v>
      </c>
      <c r="C60" s="100" t="s">
        <v>717</v>
      </c>
      <c r="D60" s="100" t="s">
        <v>230</v>
      </c>
      <c r="E60" s="101">
        <v>629</v>
      </c>
      <c r="F60" s="101">
        <f t="shared" si="2"/>
        <v>1258</v>
      </c>
      <c r="G60" s="100" t="s">
        <v>8</v>
      </c>
      <c r="H60" s="100"/>
      <c r="I60" s="100"/>
    </row>
    <row r="61" spans="1:13" x14ac:dyDescent="0.3">
      <c r="A61" s="99">
        <v>45996</v>
      </c>
      <c r="B61" s="100">
        <v>2</v>
      </c>
      <c r="C61" s="100" t="s">
        <v>664</v>
      </c>
      <c r="D61" s="100" t="s">
        <v>19</v>
      </c>
      <c r="E61" s="101">
        <v>398</v>
      </c>
      <c r="F61" s="101">
        <f t="shared" si="2"/>
        <v>796</v>
      </c>
      <c r="G61" s="100" t="s">
        <v>8</v>
      </c>
      <c r="H61" s="100"/>
      <c r="I61" s="100"/>
      <c r="M61">
        <v>67</v>
      </c>
    </row>
    <row r="62" spans="1:13" x14ac:dyDescent="0.3">
      <c r="A62" s="99">
        <v>45996</v>
      </c>
      <c r="B62" s="100">
        <v>4</v>
      </c>
      <c r="C62" s="100" t="s">
        <v>664</v>
      </c>
      <c r="D62" s="100" t="s">
        <v>675</v>
      </c>
      <c r="E62" s="101">
        <v>398</v>
      </c>
      <c r="F62" s="101">
        <f t="shared" si="2"/>
        <v>1592</v>
      </c>
      <c r="G62" s="100" t="s">
        <v>8</v>
      </c>
      <c r="H62" s="100"/>
      <c r="I62" s="100"/>
      <c r="M62">
        <v>67</v>
      </c>
    </row>
    <row r="63" spans="1:13" x14ac:dyDescent="0.3">
      <c r="A63" s="99">
        <v>45996</v>
      </c>
      <c r="B63" s="100">
        <v>2</v>
      </c>
      <c r="C63" s="100" t="s">
        <v>664</v>
      </c>
      <c r="D63" s="100" t="s">
        <v>813</v>
      </c>
      <c r="E63" s="101">
        <v>398</v>
      </c>
      <c r="F63" s="101">
        <f t="shared" si="2"/>
        <v>796</v>
      </c>
      <c r="G63" s="100" t="s">
        <v>854</v>
      </c>
      <c r="H63" s="100"/>
      <c r="I63" s="100"/>
      <c r="M63">
        <v>20</v>
      </c>
    </row>
    <row r="64" spans="1:13" x14ac:dyDescent="0.3">
      <c r="A64" s="99">
        <v>45997</v>
      </c>
      <c r="B64" s="100">
        <v>20</v>
      </c>
      <c r="C64" s="100" t="s">
        <v>664</v>
      </c>
      <c r="D64" s="100" t="s">
        <v>118</v>
      </c>
      <c r="E64" s="101">
        <v>380</v>
      </c>
      <c r="F64" s="101">
        <f t="shared" si="2"/>
        <v>7600</v>
      </c>
      <c r="G64" s="100" t="s">
        <v>830</v>
      </c>
      <c r="H64" s="100"/>
      <c r="I64" s="100"/>
    </row>
    <row r="65" spans="1:9" x14ac:dyDescent="0.3">
      <c r="A65" s="99">
        <v>45998</v>
      </c>
      <c r="B65" s="100">
        <v>4</v>
      </c>
      <c r="C65" s="100" t="s">
        <v>664</v>
      </c>
      <c r="D65" s="100" t="s">
        <v>834</v>
      </c>
      <c r="E65" s="101">
        <v>398</v>
      </c>
      <c r="F65" s="101">
        <f t="shared" si="2"/>
        <v>1592</v>
      </c>
      <c r="G65" s="100" t="s">
        <v>8</v>
      </c>
      <c r="H65" s="100"/>
      <c r="I65" s="100"/>
    </row>
    <row r="66" spans="1:9" x14ac:dyDescent="0.3">
      <c r="A66" s="99">
        <v>45998</v>
      </c>
      <c r="B66" s="100">
        <v>2</v>
      </c>
      <c r="C66" s="100" t="s">
        <v>664</v>
      </c>
      <c r="D66" s="100" t="s">
        <v>835</v>
      </c>
      <c r="E66" s="101">
        <v>398</v>
      </c>
      <c r="F66" s="101">
        <f t="shared" si="2"/>
        <v>796</v>
      </c>
      <c r="G66" s="100" t="s">
        <v>8</v>
      </c>
      <c r="H66" s="100"/>
      <c r="I66" s="100"/>
    </row>
    <row r="67" spans="1:9" x14ac:dyDescent="0.3">
      <c r="A67" s="99">
        <v>45998</v>
      </c>
      <c r="B67" s="100">
        <v>2</v>
      </c>
      <c r="C67" s="100" t="s">
        <v>664</v>
      </c>
      <c r="D67" s="100" t="s">
        <v>819</v>
      </c>
      <c r="E67" s="101">
        <v>398</v>
      </c>
      <c r="F67" s="101">
        <f t="shared" si="2"/>
        <v>796</v>
      </c>
      <c r="G67" s="100" t="s">
        <v>8</v>
      </c>
      <c r="H67" s="100"/>
      <c r="I67" s="100"/>
    </row>
    <row r="68" spans="1:9" x14ac:dyDescent="0.3">
      <c r="A68" s="99">
        <v>45998</v>
      </c>
      <c r="B68" s="100">
        <v>2</v>
      </c>
      <c r="C68" s="100" t="s">
        <v>664</v>
      </c>
      <c r="D68" s="100" t="s">
        <v>819</v>
      </c>
      <c r="E68" s="101">
        <v>398</v>
      </c>
      <c r="F68" s="101">
        <f t="shared" si="2"/>
        <v>796</v>
      </c>
      <c r="G68" s="100" t="s">
        <v>836</v>
      </c>
      <c r="H68" s="100"/>
      <c r="I68" s="100"/>
    </row>
    <row r="69" spans="1:9" x14ac:dyDescent="0.3">
      <c r="A69" s="99">
        <v>45998</v>
      </c>
      <c r="B69" s="100">
        <v>3</v>
      </c>
      <c r="C69" s="100" t="s">
        <v>837</v>
      </c>
      <c r="D69" s="100" t="s">
        <v>838</v>
      </c>
      <c r="E69" s="101">
        <v>1400</v>
      </c>
      <c r="F69" s="101">
        <f t="shared" si="2"/>
        <v>4200</v>
      </c>
      <c r="G69" s="100" t="s">
        <v>8</v>
      </c>
      <c r="H69" s="100"/>
      <c r="I69" s="100"/>
    </row>
    <row r="70" spans="1:9" x14ac:dyDescent="0.3">
      <c r="A70" s="99">
        <v>45998</v>
      </c>
      <c r="B70" s="100">
        <v>1</v>
      </c>
      <c r="C70" s="100" t="s">
        <v>664</v>
      </c>
      <c r="D70" s="100" t="s">
        <v>491</v>
      </c>
      <c r="E70" s="101">
        <v>399</v>
      </c>
      <c r="F70" s="101">
        <f t="shared" si="2"/>
        <v>399</v>
      </c>
      <c r="G70" s="100" t="s">
        <v>8</v>
      </c>
      <c r="H70" s="100"/>
      <c r="I70" s="100"/>
    </row>
    <row r="71" spans="1:9" x14ac:dyDescent="0.3">
      <c r="A71" s="99">
        <v>45998</v>
      </c>
      <c r="B71" s="100">
        <v>7</v>
      </c>
      <c r="C71" s="100" t="s">
        <v>664</v>
      </c>
      <c r="D71" s="100" t="s">
        <v>839</v>
      </c>
      <c r="E71" s="101">
        <v>398</v>
      </c>
      <c r="F71" s="101">
        <f t="shared" si="2"/>
        <v>2786</v>
      </c>
      <c r="G71" s="100" t="s">
        <v>8</v>
      </c>
      <c r="H71" s="100"/>
      <c r="I71" s="100"/>
    </row>
    <row r="72" spans="1:9" x14ac:dyDescent="0.3">
      <c r="A72" s="99">
        <v>45998</v>
      </c>
      <c r="B72" s="100">
        <v>2</v>
      </c>
      <c r="C72" s="100" t="s">
        <v>664</v>
      </c>
      <c r="D72" s="100" t="s">
        <v>841</v>
      </c>
      <c r="E72" s="101">
        <v>379</v>
      </c>
      <c r="F72" s="101">
        <f t="shared" si="2"/>
        <v>758</v>
      </c>
      <c r="G72" s="100" t="s">
        <v>842</v>
      </c>
      <c r="H72" s="100"/>
      <c r="I72" s="100"/>
    </row>
    <row r="73" spans="1:9" x14ac:dyDescent="0.3">
      <c r="A73" s="99">
        <v>45998</v>
      </c>
      <c r="B73" s="100">
        <v>30</v>
      </c>
      <c r="C73" s="100" t="s">
        <v>664</v>
      </c>
      <c r="D73" s="100" t="s">
        <v>855</v>
      </c>
      <c r="E73" s="101">
        <v>399</v>
      </c>
      <c r="F73" s="101">
        <f t="shared" ref="F73:F75" si="3">E73*B73</f>
        <v>11970</v>
      </c>
      <c r="G73" s="100" t="s">
        <v>856</v>
      </c>
      <c r="H73" s="100"/>
      <c r="I73" s="100" t="s">
        <v>824</v>
      </c>
    </row>
    <row r="74" spans="1:9" x14ac:dyDescent="0.3">
      <c r="A74" s="99">
        <v>45998</v>
      </c>
      <c r="B74" s="100">
        <v>26</v>
      </c>
      <c r="C74" s="100" t="s">
        <v>664</v>
      </c>
      <c r="D74" s="100" t="s">
        <v>855</v>
      </c>
      <c r="E74" s="101">
        <v>399</v>
      </c>
      <c r="F74" s="101">
        <f t="shared" si="3"/>
        <v>10374</v>
      </c>
      <c r="G74" s="100" t="s">
        <v>856</v>
      </c>
      <c r="H74" s="100"/>
      <c r="I74" s="100" t="s">
        <v>824</v>
      </c>
    </row>
    <row r="75" spans="1:9" x14ac:dyDescent="0.3">
      <c r="A75" s="99">
        <v>45998</v>
      </c>
      <c r="B75" s="100">
        <v>1</v>
      </c>
      <c r="C75" s="100" t="s">
        <v>776</v>
      </c>
      <c r="D75" s="100" t="s">
        <v>857</v>
      </c>
      <c r="E75" s="101">
        <v>1020</v>
      </c>
      <c r="F75" s="101">
        <f t="shared" si="3"/>
        <v>1020</v>
      </c>
      <c r="G75" s="100" t="s">
        <v>858</v>
      </c>
      <c r="H75" s="100"/>
      <c r="I75" s="100" t="s">
        <v>85</v>
      </c>
    </row>
    <row r="76" spans="1:9" x14ac:dyDescent="0.3">
      <c r="A76" s="99">
        <v>45999</v>
      </c>
      <c r="B76" s="100">
        <v>15</v>
      </c>
      <c r="C76" s="100" t="s">
        <v>697</v>
      </c>
      <c r="D76" s="100" t="s">
        <v>688</v>
      </c>
      <c r="E76" s="101">
        <v>125</v>
      </c>
      <c r="F76" s="101">
        <f t="shared" si="2"/>
        <v>1875</v>
      </c>
      <c r="G76" s="100" t="s">
        <v>8</v>
      </c>
      <c r="H76" s="100"/>
      <c r="I76" s="100"/>
    </row>
    <row r="77" spans="1:9" x14ac:dyDescent="0.3">
      <c r="A77" s="99">
        <v>45999</v>
      </c>
      <c r="B77" s="100">
        <v>1</v>
      </c>
      <c r="C77" s="100" t="s">
        <v>664</v>
      </c>
      <c r="D77" s="100" t="s">
        <v>688</v>
      </c>
      <c r="E77" s="101">
        <v>299</v>
      </c>
      <c r="F77" s="101">
        <f t="shared" si="2"/>
        <v>299</v>
      </c>
      <c r="G77" s="100" t="s">
        <v>8</v>
      </c>
      <c r="H77" s="100"/>
      <c r="I77" s="100"/>
    </row>
    <row r="78" spans="1:9" x14ac:dyDescent="0.3">
      <c r="A78" s="99">
        <v>45999</v>
      </c>
      <c r="B78" s="100">
        <v>2</v>
      </c>
      <c r="C78" s="100" t="s">
        <v>664</v>
      </c>
      <c r="D78" s="100" t="s">
        <v>688</v>
      </c>
      <c r="E78" s="101">
        <v>299</v>
      </c>
      <c r="F78" s="101">
        <f t="shared" si="2"/>
        <v>598</v>
      </c>
      <c r="G78" s="100" t="s">
        <v>868</v>
      </c>
      <c r="H78" s="100"/>
      <c r="I78" s="100"/>
    </row>
    <row r="79" spans="1:9" x14ac:dyDescent="0.3">
      <c r="A79" s="99">
        <v>45999</v>
      </c>
      <c r="B79" s="100">
        <v>2</v>
      </c>
      <c r="C79" s="100" t="s">
        <v>804</v>
      </c>
      <c r="D79" s="100" t="s">
        <v>688</v>
      </c>
      <c r="E79" s="101">
        <v>419</v>
      </c>
      <c r="F79" s="101">
        <f t="shared" si="2"/>
        <v>838</v>
      </c>
      <c r="G79" s="100" t="s">
        <v>8</v>
      </c>
      <c r="H79" s="100"/>
      <c r="I79" s="100"/>
    </row>
    <row r="80" spans="1:9" x14ac:dyDescent="0.3">
      <c r="A80" s="99">
        <v>45999</v>
      </c>
      <c r="B80" s="100">
        <v>18</v>
      </c>
      <c r="C80" s="100" t="s">
        <v>697</v>
      </c>
      <c r="D80" s="100" t="s">
        <v>101</v>
      </c>
      <c r="E80" s="101">
        <v>125</v>
      </c>
      <c r="F80" s="101">
        <f t="shared" si="2"/>
        <v>2250</v>
      </c>
      <c r="G80" s="100" t="s">
        <v>8</v>
      </c>
      <c r="H80" s="100"/>
      <c r="I80" s="100"/>
    </row>
    <row r="81" spans="1:9" x14ac:dyDescent="0.3">
      <c r="A81" s="99">
        <v>45999</v>
      </c>
      <c r="B81" s="100">
        <v>2</v>
      </c>
      <c r="C81" s="100" t="s">
        <v>832</v>
      </c>
      <c r="D81" s="100" t="s">
        <v>101</v>
      </c>
      <c r="E81" s="101">
        <v>2059</v>
      </c>
      <c r="F81" s="101">
        <f t="shared" si="2"/>
        <v>4118</v>
      </c>
      <c r="G81" s="100" t="s">
        <v>8</v>
      </c>
      <c r="H81" s="100"/>
      <c r="I81" s="100"/>
    </row>
    <row r="82" spans="1:9" x14ac:dyDescent="0.3">
      <c r="A82" s="99">
        <v>45999</v>
      </c>
      <c r="B82" s="100">
        <v>1</v>
      </c>
      <c r="C82" s="100" t="s">
        <v>664</v>
      </c>
      <c r="D82" s="100" t="s">
        <v>101</v>
      </c>
      <c r="E82" s="101">
        <v>299</v>
      </c>
      <c r="F82" s="101">
        <f t="shared" si="2"/>
        <v>299</v>
      </c>
      <c r="G82" s="100" t="s">
        <v>914</v>
      </c>
      <c r="H82" s="100"/>
      <c r="I82" s="100"/>
    </row>
    <row r="83" spans="1:9" x14ac:dyDescent="0.3">
      <c r="A83" s="87">
        <v>45999</v>
      </c>
      <c r="B83" s="88">
        <v>1</v>
      </c>
      <c r="C83" s="88" t="s">
        <v>664</v>
      </c>
      <c r="D83" s="88" t="s">
        <v>101</v>
      </c>
      <c r="E83" s="89">
        <v>299</v>
      </c>
      <c r="F83" s="89">
        <f t="shared" si="2"/>
        <v>299</v>
      </c>
      <c r="G83" s="88" t="s">
        <v>833</v>
      </c>
      <c r="H83" s="88"/>
      <c r="I83" s="88"/>
    </row>
    <row r="84" spans="1:9" x14ac:dyDescent="0.3">
      <c r="A84" s="99">
        <v>46000</v>
      </c>
      <c r="B84" s="100">
        <v>12</v>
      </c>
      <c r="C84" s="100" t="s">
        <v>664</v>
      </c>
      <c r="D84" s="100" t="s">
        <v>494</v>
      </c>
      <c r="E84" s="101">
        <v>398</v>
      </c>
      <c r="F84" s="101">
        <f t="shared" si="2"/>
        <v>4776</v>
      </c>
      <c r="G84" s="100" t="s">
        <v>8</v>
      </c>
      <c r="H84" s="100"/>
      <c r="I84" s="100"/>
    </row>
    <row r="85" spans="1:9" x14ac:dyDescent="0.3">
      <c r="A85" s="99">
        <v>46000</v>
      </c>
      <c r="B85" s="100">
        <v>40</v>
      </c>
      <c r="C85" s="100" t="s">
        <v>664</v>
      </c>
      <c r="D85" s="100" t="s">
        <v>827</v>
      </c>
      <c r="E85" s="101">
        <v>398</v>
      </c>
      <c r="F85" s="101">
        <f t="shared" si="2"/>
        <v>15920</v>
      </c>
      <c r="G85" s="100" t="s">
        <v>859</v>
      </c>
      <c r="H85" s="100"/>
      <c r="I85" s="100" t="s">
        <v>860</v>
      </c>
    </row>
    <row r="86" spans="1:9" x14ac:dyDescent="0.3">
      <c r="A86" s="99">
        <v>46000</v>
      </c>
      <c r="B86" s="100">
        <v>1</v>
      </c>
      <c r="C86" s="100" t="s">
        <v>296</v>
      </c>
      <c r="D86" s="100" t="s">
        <v>827</v>
      </c>
      <c r="E86" s="101">
        <v>110</v>
      </c>
      <c r="F86" s="101">
        <f t="shared" si="2"/>
        <v>110</v>
      </c>
      <c r="G86" s="100" t="s">
        <v>859</v>
      </c>
      <c r="H86" s="100"/>
      <c r="I86" s="100"/>
    </row>
    <row r="87" spans="1:9" x14ac:dyDescent="0.3">
      <c r="A87" s="99">
        <v>46000</v>
      </c>
      <c r="B87" s="100">
        <v>1</v>
      </c>
      <c r="C87" s="100" t="s">
        <v>664</v>
      </c>
      <c r="D87" s="100" t="s">
        <v>828</v>
      </c>
      <c r="E87" s="101">
        <v>398</v>
      </c>
      <c r="F87" s="101">
        <f t="shared" si="2"/>
        <v>398</v>
      </c>
      <c r="G87" s="100" t="s">
        <v>8</v>
      </c>
      <c r="H87" s="100"/>
      <c r="I87" s="100"/>
    </row>
    <row r="88" spans="1:9" x14ac:dyDescent="0.3">
      <c r="A88" s="99">
        <v>46000</v>
      </c>
      <c r="B88" s="100">
        <v>1</v>
      </c>
      <c r="C88" s="100" t="s">
        <v>829</v>
      </c>
      <c r="D88" s="100" t="s">
        <v>738</v>
      </c>
      <c r="E88" s="101">
        <v>90</v>
      </c>
      <c r="F88" s="101">
        <f t="shared" si="2"/>
        <v>90</v>
      </c>
      <c r="G88" s="100"/>
      <c r="H88" s="100"/>
      <c r="I88" s="100" t="s">
        <v>85</v>
      </c>
    </row>
    <row r="89" spans="1:9" x14ac:dyDescent="0.3">
      <c r="A89" s="96">
        <v>46000</v>
      </c>
      <c r="B89" s="97">
        <v>1</v>
      </c>
      <c r="C89" s="97" t="s">
        <v>664</v>
      </c>
      <c r="D89" s="97" t="s">
        <v>492</v>
      </c>
      <c r="E89" s="98">
        <v>0</v>
      </c>
      <c r="F89" s="98">
        <f t="shared" si="2"/>
        <v>0</v>
      </c>
      <c r="G89" s="97" t="s">
        <v>831</v>
      </c>
      <c r="H89" s="97"/>
      <c r="I89" s="97"/>
    </row>
    <row r="90" spans="1:9" x14ac:dyDescent="0.3">
      <c r="A90" s="99">
        <v>46001</v>
      </c>
      <c r="B90" s="100">
        <v>10</v>
      </c>
      <c r="C90" s="100" t="s">
        <v>664</v>
      </c>
      <c r="D90" s="100" t="s">
        <v>740</v>
      </c>
      <c r="E90" s="101">
        <v>398</v>
      </c>
      <c r="F90" s="101">
        <f t="shared" si="2"/>
        <v>3980</v>
      </c>
      <c r="G90" s="100" t="s">
        <v>859</v>
      </c>
      <c r="H90" s="100"/>
      <c r="I90" s="100" t="s">
        <v>860</v>
      </c>
    </row>
    <row r="91" spans="1:9" x14ac:dyDescent="0.3">
      <c r="A91" s="99">
        <v>46001</v>
      </c>
      <c r="B91" s="100">
        <v>2</v>
      </c>
      <c r="C91" s="100" t="s">
        <v>664</v>
      </c>
      <c r="D91" s="100" t="s">
        <v>809</v>
      </c>
      <c r="E91" s="101">
        <v>399</v>
      </c>
      <c r="F91" s="101">
        <f t="shared" si="2"/>
        <v>798</v>
      </c>
      <c r="G91" s="100" t="s">
        <v>873</v>
      </c>
      <c r="H91" s="100"/>
      <c r="I91" s="100"/>
    </row>
    <row r="92" spans="1:9" x14ac:dyDescent="0.3">
      <c r="A92" s="99">
        <v>46001</v>
      </c>
      <c r="B92" s="100">
        <v>2</v>
      </c>
      <c r="C92" s="100" t="s">
        <v>664</v>
      </c>
      <c r="D92" s="100" t="s">
        <v>819</v>
      </c>
      <c r="E92" s="101">
        <v>398</v>
      </c>
      <c r="F92" s="101">
        <f t="shared" si="2"/>
        <v>796</v>
      </c>
      <c r="G92" s="100" t="s">
        <v>859</v>
      </c>
      <c r="H92" s="100"/>
      <c r="I92" s="100"/>
    </row>
    <row r="93" spans="1:9" x14ac:dyDescent="0.3">
      <c r="A93" s="99">
        <v>46001</v>
      </c>
      <c r="B93" s="100">
        <v>1</v>
      </c>
      <c r="C93" s="100" t="s">
        <v>664</v>
      </c>
      <c r="D93" s="100" t="s">
        <v>819</v>
      </c>
      <c r="E93" s="101">
        <v>398</v>
      </c>
      <c r="F93" s="101">
        <f t="shared" si="2"/>
        <v>398</v>
      </c>
      <c r="G93" s="100" t="s">
        <v>8</v>
      </c>
      <c r="H93" s="100"/>
      <c r="I93" s="100"/>
    </row>
    <row r="94" spans="1:9" x14ac:dyDescent="0.3">
      <c r="A94" s="99">
        <v>46002</v>
      </c>
      <c r="B94" s="100">
        <v>2</v>
      </c>
      <c r="C94" s="100" t="s">
        <v>804</v>
      </c>
      <c r="D94" s="100" t="s">
        <v>364</v>
      </c>
      <c r="E94" s="101">
        <v>419</v>
      </c>
      <c r="F94" s="101">
        <f t="shared" si="2"/>
        <v>838</v>
      </c>
      <c r="G94" s="100" t="s">
        <v>8</v>
      </c>
      <c r="H94" s="100"/>
      <c r="I94" s="100"/>
    </row>
    <row r="95" spans="1:9" x14ac:dyDescent="0.3">
      <c r="A95" s="87">
        <v>46002</v>
      </c>
      <c r="B95" s="88">
        <v>3</v>
      </c>
      <c r="C95" s="88" t="s">
        <v>664</v>
      </c>
      <c r="D95" s="88" t="s">
        <v>364</v>
      </c>
      <c r="E95" s="89">
        <v>340</v>
      </c>
      <c r="F95" s="89">
        <f t="shared" si="2"/>
        <v>1020</v>
      </c>
      <c r="G95" s="88" t="s">
        <v>861</v>
      </c>
      <c r="H95" s="88"/>
      <c r="I95" s="88"/>
    </row>
    <row r="96" spans="1:9" x14ac:dyDescent="0.3">
      <c r="A96" s="99">
        <v>46002</v>
      </c>
      <c r="B96" s="100">
        <v>4</v>
      </c>
      <c r="C96" s="100" t="s">
        <v>746</v>
      </c>
      <c r="D96" s="100" t="s">
        <v>364</v>
      </c>
      <c r="E96" s="101">
        <v>105</v>
      </c>
      <c r="F96" s="101">
        <f t="shared" si="2"/>
        <v>420</v>
      </c>
      <c r="G96" s="100" t="s">
        <v>8</v>
      </c>
      <c r="H96" s="100"/>
      <c r="I96" s="100"/>
    </row>
    <row r="97" spans="1:9" x14ac:dyDescent="0.3">
      <c r="A97" s="99">
        <v>46002</v>
      </c>
      <c r="B97" s="100">
        <v>1</v>
      </c>
      <c r="C97" s="100" t="s">
        <v>323</v>
      </c>
      <c r="D97" s="100" t="s">
        <v>364</v>
      </c>
      <c r="E97" s="101">
        <v>573</v>
      </c>
      <c r="F97" s="101">
        <f t="shared" si="2"/>
        <v>573</v>
      </c>
      <c r="G97" s="100" t="s">
        <v>8</v>
      </c>
      <c r="H97" s="100"/>
      <c r="I97" s="100"/>
    </row>
    <row r="98" spans="1:9" x14ac:dyDescent="0.3">
      <c r="A98" s="99">
        <v>46002</v>
      </c>
      <c r="B98" s="100">
        <v>10</v>
      </c>
      <c r="C98" s="100" t="s">
        <v>697</v>
      </c>
      <c r="D98" s="100" t="s">
        <v>364</v>
      </c>
      <c r="E98" s="101">
        <v>130</v>
      </c>
      <c r="F98" s="101">
        <f t="shared" si="2"/>
        <v>1300</v>
      </c>
      <c r="G98" s="100" t="s">
        <v>8</v>
      </c>
      <c r="H98" s="100"/>
      <c r="I98" s="100"/>
    </row>
    <row r="99" spans="1:9" x14ac:dyDescent="0.3">
      <c r="A99" s="99">
        <v>46002</v>
      </c>
      <c r="B99" s="100">
        <v>3</v>
      </c>
      <c r="C99" s="100" t="s">
        <v>378</v>
      </c>
      <c r="D99" s="100" t="s">
        <v>364</v>
      </c>
      <c r="E99" s="101">
        <v>573</v>
      </c>
      <c r="F99" s="101">
        <f t="shared" si="2"/>
        <v>1719</v>
      </c>
      <c r="G99" s="100" t="s">
        <v>873</v>
      </c>
      <c r="H99" s="100"/>
      <c r="I99" s="100"/>
    </row>
    <row r="100" spans="1:9" x14ac:dyDescent="0.3">
      <c r="A100" s="99">
        <v>46002</v>
      </c>
      <c r="B100" s="100">
        <v>3</v>
      </c>
      <c r="C100" s="100" t="s">
        <v>639</v>
      </c>
      <c r="D100" s="100" t="s">
        <v>364</v>
      </c>
      <c r="E100" s="101">
        <v>1095</v>
      </c>
      <c r="F100" s="101">
        <f t="shared" si="2"/>
        <v>3285</v>
      </c>
      <c r="G100" s="100" t="s">
        <v>873</v>
      </c>
      <c r="H100" s="100"/>
      <c r="I100" s="100"/>
    </row>
    <row r="101" spans="1:9" x14ac:dyDescent="0.3">
      <c r="A101" s="99">
        <v>46002</v>
      </c>
      <c r="B101" s="100">
        <v>2</v>
      </c>
      <c r="C101" s="100" t="s">
        <v>837</v>
      </c>
      <c r="D101" s="100" t="s">
        <v>101</v>
      </c>
      <c r="E101" s="101">
        <v>1400</v>
      </c>
      <c r="F101" s="101">
        <f t="shared" si="2"/>
        <v>2800</v>
      </c>
      <c r="G101" s="100" t="s">
        <v>862</v>
      </c>
      <c r="H101" s="100"/>
      <c r="I101" s="100"/>
    </row>
    <row r="102" spans="1:9" x14ac:dyDescent="0.3">
      <c r="A102" s="99">
        <v>46002</v>
      </c>
      <c r="B102" s="100">
        <v>2</v>
      </c>
      <c r="C102" s="100" t="s">
        <v>664</v>
      </c>
      <c r="D102" s="100" t="s">
        <v>101</v>
      </c>
      <c r="E102" s="101">
        <v>399</v>
      </c>
      <c r="F102" s="101">
        <f t="shared" si="2"/>
        <v>798</v>
      </c>
      <c r="G102" s="100" t="s">
        <v>862</v>
      </c>
      <c r="H102" s="100"/>
      <c r="I102" s="100"/>
    </row>
    <row r="103" spans="1:9" x14ac:dyDescent="0.3">
      <c r="A103" s="99">
        <v>46002</v>
      </c>
      <c r="B103" s="100">
        <v>10</v>
      </c>
      <c r="C103" s="100" t="s">
        <v>697</v>
      </c>
      <c r="D103" s="100" t="s">
        <v>101</v>
      </c>
      <c r="E103" s="101">
        <v>125</v>
      </c>
      <c r="F103" s="101">
        <f t="shared" si="2"/>
        <v>1250</v>
      </c>
      <c r="G103" s="100" t="s">
        <v>862</v>
      </c>
      <c r="H103" s="100"/>
      <c r="I103" s="100"/>
    </row>
    <row r="104" spans="1:9" x14ac:dyDescent="0.3">
      <c r="A104" s="99">
        <v>46002</v>
      </c>
      <c r="B104" s="100">
        <v>2</v>
      </c>
      <c r="C104" s="100" t="s">
        <v>837</v>
      </c>
      <c r="D104" s="100" t="s">
        <v>101</v>
      </c>
      <c r="E104" s="101">
        <v>1400</v>
      </c>
      <c r="F104" s="101">
        <f t="shared" si="2"/>
        <v>2800</v>
      </c>
      <c r="G104" s="100" t="s">
        <v>365</v>
      </c>
      <c r="H104" s="100"/>
      <c r="I104" s="100"/>
    </row>
    <row r="105" spans="1:9" x14ac:dyDescent="0.3">
      <c r="A105" s="99">
        <v>46003</v>
      </c>
      <c r="B105" s="100">
        <v>20</v>
      </c>
      <c r="C105" s="100" t="s">
        <v>664</v>
      </c>
      <c r="D105" s="100" t="s">
        <v>740</v>
      </c>
      <c r="E105" s="101">
        <v>398</v>
      </c>
      <c r="F105" s="101">
        <f t="shared" si="2"/>
        <v>7960</v>
      </c>
      <c r="G105" s="100" t="s">
        <v>904</v>
      </c>
      <c r="H105" s="100"/>
      <c r="I105" s="100"/>
    </row>
    <row r="106" spans="1:9" x14ac:dyDescent="0.3">
      <c r="A106" s="99">
        <v>46003</v>
      </c>
      <c r="B106" s="100">
        <v>10</v>
      </c>
      <c r="C106" s="100" t="s">
        <v>837</v>
      </c>
      <c r="D106" s="100" t="s">
        <v>864</v>
      </c>
      <c r="E106" s="101">
        <v>1400</v>
      </c>
      <c r="F106" s="101">
        <f t="shared" si="2"/>
        <v>14000</v>
      </c>
      <c r="G106" s="100" t="s">
        <v>867</v>
      </c>
      <c r="H106" s="100"/>
      <c r="I106" s="100"/>
    </row>
    <row r="107" spans="1:9" x14ac:dyDescent="0.3">
      <c r="A107" s="99">
        <v>46003</v>
      </c>
      <c r="B107" s="100">
        <v>3</v>
      </c>
      <c r="C107" s="100" t="s">
        <v>863</v>
      </c>
      <c r="D107" s="100" t="s">
        <v>864</v>
      </c>
      <c r="E107" s="101">
        <v>2490</v>
      </c>
      <c r="F107" s="101">
        <f t="shared" si="2"/>
        <v>7470</v>
      </c>
      <c r="G107" s="100" t="s">
        <v>867</v>
      </c>
      <c r="H107" s="100"/>
      <c r="I107" s="100"/>
    </row>
    <row r="108" spans="1:9" x14ac:dyDescent="0.3">
      <c r="A108" s="99">
        <v>46002</v>
      </c>
      <c r="B108" s="100">
        <v>100</v>
      </c>
      <c r="C108" s="100" t="s">
        <v>664</v>
      </c>
      <c r="D108" s="100" t="s">
        <v>865</v>
      </c>
      <c r="E108" s="101">
        <v>274</v>
      </c>
      <c r="F108" s="101">
        <f t="shared" si="2"/>
        <v>27400</v>
      </c>
      <c r="G108" s="100" t="s">
        <v>875</v>
      </c>
      <c r="H108" s="100"/>
      <c r="I108" s="100"/>
    </row>
    <row r="109" spans="1:9" x14ac:dyDescent="0.3">
      <c r="A109" s="99">
        <v>46002</v>
      </c>
      <c r="B109" s="100">
        <v>1</v>
      </c>
      <c r="C109" s="100" t="s">
        <v>296</v>
      </c>
      <c r="D109" s="100" t="s">
        <v>865</v>
      </c>
      <c r="E109" s="101">
        <v>110</v>
      </c>
      <c r="F109" s="101">
        <f t="shared" si="2"/>
        <v>110</v>
      </c>
      <c r="G109" s="100" t="s">
        <v>875</v>
      </c>
      <c r="H109" s="100"/>
      <c r="I109" s="100"/>
    </row>
    <row r="110" spans="1:9" x14ac:dyDescent="0.3">
      <c r="A110" s="87">
        <v>46003</v>
      </c>
      <c r="B110" s="88">
        <v>70</v>
      </c>
      <c r="C110" s="88" t="s">
        <v>697</v>
      </c>
      <c r="D110" s="88" t="s">
        <v>30</v>
      </c>
      <c r="E110" s="89">
        <v>132</v>
      </c>
      <c r="F110" s="89">
        <f t="shared" si="2"/>
        <v>9240</v>
      </c>
      <c r="G110" s="88" t="s">
        <v>62</v>
      </c>
      <c r="H110" s="88"/>
      <c r="I110" s="88"/>
    </row>
    <row r="111" spans="1:9" x14ac:dyDescent="0.3">
      <c r="A111" s="87">
        <v>46004</v>
      </c>
      <c r="B111" s="88">
        <v>10</v>
      </c>
      <c r="C111" s="88" t="s">
        <v>866</v>
      </c>
      <c r="D111" s="88" t="s">
        <v>677</v>
      </c>
      <c r="E111" s="89">
        <v>960</v>
      </c>
      <c r="F111" s="89">
        <f t="shared" si="2"/>
        <v>9600</v>
      </c>
      <c r="G111" s="88" t="s">
        <v>62</v>
      </c>
      <c r="H111" s="88"/>
      <c r="I111" s="88" t="s">
        <v>115</v>
      </c>
    </row>
    <row r="112" spans="1:9" x14ac:dyDescent="0.3">
      <c r="A112" s="99">
        <v>46005</v>
      </c>
      <c r="B112" s="100">
        <v>3</v>
      </c>
      <c r="C112" s="100" t="s">
        <v>874</v>
      </c>
      <c r="D112" s="100" t="s">
        <v>864</v>
      </c>
      <c r="E112" s="101">
        <v>3300</v>
      </c>
      <c r="F112" s="101">
        <f t="shared" si="2"/>
        <v>9900</v>
      </c>
      <c r="G112" s="100" t="s">
        <v>8</v>
      </c>
      <c r="H112" s="100"/>
      <c r="I112" s="100"/>
    </row>
    <row r="113" spans="1:9" x14ac:dyDescent="0.3">
      <c r="A113" s="99">
        <v>46005</v>
      </c>
      <c r="B113" s="100">
        <v>23</v>
      </c>
      <c r="C113" s="100" t="s">
        <v>664</v>
      </c>
      <c r="D113" s="100" t="s">
        <v>855</v>
      </c>
      <c r="E113" s="101">
        <v>399</v>
      </c>
      <c r="F113" s="101">
        <f t="shared" si="2"/>
        <v>9177</v>
      </c>
      <c r="G113" s="100" t="s">
        <v>869</v>
      </c>
      <c r="H113" s="100"/>
      <c r="I113" s="100"/>
    </row>
    <row r="114" spans="1:9" x14ac:dyDescent="0.3">
      <c r="A114" s="99">
        <v>46006</v>
      </c>
      <c r="B114" s="100">
        <v>12</v>
      </c>
      <c r="C114" s="100" t="s">
        <v>664</v>
      </c>
      <c r="D114" s="100" t="s">
        <v>497</v>
      </c>
      <c r="E114" s="101">
        <v>398</v>
      </c>
      <c r="F114" s="101">
        <f t="shared" si="2"/>
        <v>4776</v>
      </c>
      <c r="G114" s="100" t="s">
        <v>8</v>
      </c>
      <c r="H114" s="100"/>
      <c r="I114" s="100"/>
    </row>
    <row r="115" spans="1:9" x14ac:dyDescent="0.3">
      <c r="A115" s="99">
        <v>46006</v>
      </c>
      <c r="B115" s="100">
        <v>12</v>
      </c>
      <c r="C115" s="100" t="s">
        <v>664</v>
      </c>
      <c r="D115" s="100" t="s">
        <v>870</v>
      </c>
      <c r="E115" s="101">
        <v>398</v>
      </c>
      <c r="F115" s="101">
        <f t="shared" si="2"/>
        <v>4776</v>
      </c>
      <c r="G115" s="100" t="s">
        <v>8</v>
      </c>
      <c r="H115" s="100"/>
      <c r="I115" s="100"/>
    </row>
    <row r="116" spans="1:9" x14ac:dyDescent="0.3">
      <c r="A116" s="99">
        <v>46006</v>
      </c>
      <c r="B116" s="100">
        <v>15</v>
      </c>
      <c r="C116" s="100" t="s">
        <v>664</v>
      </c>
      <c r="D116" s="100" t="s">
        <v>740</v>
      </c>
      <c r="E116" s="101">
        <v>398</v>
      </c>
      <c r="F116" s="101">
        <f t="shared" si="2"/>
        <v>5970</v>
      </c>
      <c r="G116" s="100" t="s">
        <v>904</v>
      </c>
      <c r="H116" s="100"/>
      <c r="I116" s="100"/>
    </row>
    <row r="117" spans="1:9" x14ac:dyDescent="0.3">
      <c r="A117" s="99">
        <v>46006</v>
      </c>
      <c r="B117" s="100">
        <v>3</v>
      </c>
      <c r="C117" s="100" t="s">
        <v>409</v>
      </c>
      <c r="D117" s="100" t="s">
        <v>364</v>
      </c>
      <c r="E117" s="101">
        <v>1059</v>
      </c>
      <c r="F117" s="101">
        <f t="shared" si="2"/>
        <v>3177</v>
      </c>
      <c r="G117" s="100" t="s">
        <v>8</v>
      </c>
      <c r="H117" s="100"/>
      <c r="I117" s="100"/>
    </row>
    <row r="118" spans="1:9" x14ac:dyDescent="0.3">
      <c r="A118" s="99">
        <v>46006</v>
      </c>
      <c r="B118" s="100">
        <v>1</v>
      </c>
      <c r="C118" s="100" t="s">
        <v>871</v>
      </c>
      <c r="D118" s="100" t="s">
        <v>364</v>
      </c>
      <c r="E118" s="101">
        <v>573</v>
      </c>
      <c r="F118" s="101">
        <f t="shared" si="2"/>
        <v>573</v>
      </c>
      <c r="G118" s="100" t="s">
        <v>8</v>
      </c>
      <c r="H118" s="100"/>
      <c r="I118" s="100"/>
    </row>
    <row r="119" spans="1:9" x14ac:dyDescent="0.3">
      <c r="A119" s="96">
        <v>46006</v>
      </c>
      <c r="B119" s="97">
        <v>1</v>
      </c>
      <c r="C119" s="97" t="s">
        <v>664</v>
      </c>
      <c r="D119" s="97" t="s">
        <v>502</v>
      </c>
      <c r="E119" s="97"/>
      <c r="F119" s="98">
        <f t="shared" si="2"/>
        <v>0</v>
      </c>
      <c r="G119" s="97" t="s">
        <v>891</v>
      </c>
      <c r="H119" s="97"/>
      <c r="I119" s="97"/>
    </row>
    <row r="120" spans="1:9" x14ac:dyDescent="0.3">
      <c r="A120" s="99">
        <v>46006</v>
      </c>
      <c r="B120" s="100">
        <v>7</v>
      </c>
      <c r="C120" s="100" t="s">
        <v>664</v>
      </c>
      <c r="D120" s="100" t="s">
        <v>855</v>
      </c>
      <c r="E120" s="101">
        <v>398</v>
      </c>
      <c r="F120" s="101">
        <f t="shared" ref="F120:F158" si="4">E120*B120</f>
        <v>2786</v>
      </c>
      <c r="G120" s="100" t="s">
        <v>873</v>
      </c>
      <c r="H120" s="100"/>
      <c r="I120" s="100"/>
    </row>
    <row r="121" spans="1:9" x14ac:dyDescent="0.3">
      <c r="A121" s="99">
        <v>46006</v>
      </c>
      <c r="B121" s="100">
        <v>2</v>
      </c>
      <c r="C121" s="100" t="s">
        <v>832</v>
      </c>
      <c r="D121" s="100" t="s">
        <v>811</v>
      </c>
      <c r="E121" s="101">
        <v>2099</v>
      </c>
      <c r="F121" s="101">
        <f t="shared" si="4"/>
        <v>4198</v>
      </c>
      <c r="G121" s="100" t="s">
        <v>873</v>
      </c>
      <c r="H121" s="100"/>
      <c r="I121" s="100"/>
    </row>
    <row r="122" spans="1:9" x14ac:dyDescent="0.3">
      <c r="A122" s="99">
        <v>46006</v>
      </c>
      <c r="B122" s="100">
        <v>23</v>
      </c>
      <c r="C122" s="100" t="s">
        <v>664</v>
      </c>
      <c r="D122" s="100" t="s">
        <v>855</v>
      </c>
      <c r="E122" s="101">
        <v>399</v>
      </c>
      <c r="F122" s="101">
        <f t="shared" si="4"/>
        <v>9177</v>
      </c>
      <c r="G122" s="100" t="s">
        <v>365</v>
      </c>
      <c r="H122" s="100"/>
      <c r="I122" s="100"/>
    </row>
    <row r="123" spans="1:9" x14ac:dyDescent="0.3">
      <c r="A123" s="99">
        <v>46006</v>
      </c>
      <c r="B123" s="100">
        <v>1</v>
      </c>
      <c r="C123" s="100" t="s">
        <v>901</v>
      </c>
      <c r="D123" s="100" t="s">
        <v>857</v>
      </c>
      <c r="E123" s="101">
        <v>450</v>
      </c>
      <c r="F123" s="101">
        <f t="shared" si="4"/>
        <v>450</v>
      </c>
      <c r="G123" s="100" t="s">
        <v>905</v>
      </c>
      <c r="H123" s="100"/>
      <c r="I123" s="100" t="s">
        <v>85</v>
      </c>
    </row>
    <row r="124" spans="1:9" x14ac:dyDescent="0.3">
      <c r="A124" s="99">
        <v>46007</v>
      </c>
      <c r="B124" s="100">
        <v>4</v>
      </c>
      <c r="C124" s="100" t="s">
        <v>664</v>
      </c>
      <c r="D124" s="100" t="s">
        <v>877</v>
      </c>
      <c r="E124" s="101">
        <v>398</v>
      </c>
      <c r="F124" s="101">
        <f t="shared" si="4"/>
        <v>1592</v>
      </c>
      <c r="G124" s="100" t="s">
        <v>8</v>
      </c>
      <c r="H124" s="100"/>
      <c r="I124" s="100"/>
    </row>
    <row r="125" spans="1:9" x14ac:dyDescent="0.3">
      <c r="A125" s="99">
        <v>46008</v>
      </c>
      <c r="B125" s="100">
        <v>44</v>
      </c>
      <c r="C125" s="100" t="s">
        <v>664</v>
      </c>
      <c r="D125" s="100" t="s">
        <v>878</v>
      </c>
      <c r="E125" s="101">
        <v>398</v>
      </c>
      <c r="F125" s="101">
        <f t="shared" si="4"/>
        <v>17512</v>
      </c>
      <c r="G125" s="100" t="s">
        <v>348</v>
      </c>
      <c r="H125" s="100"/>
      <c r="I125" s="100" t="s">
        <v>860</v>
      </c>
    </row>
    <row r="126" spans="1:9" x14ac:dyDescent="0.3">
      <c r="A126" s="99">
        <v>46008</v>
      </c>
      <c r="B126" s="100">
        <v>1</v>
      </c>
      <c r="C126" s="100" t="s">
        <v>296</v>
      </c>
      <c r="D126" s="100" t="s">
        <v>878</v>
      </c>
      <c r="E126" s="101">
        <v>110</v>
      </c>
      <c r="F126" s="101">
        <f t="shared" si="4"/>
        <v>110</v>
      </c>
      <c r="G126" s="100" t="s">
        <v>85</v>
      </c>
      <c r="H126" s="100"/>
      <c r="I126" s="100"/>
    </row>
    <row r="127" spans="1:9" x14ac:dyDescent="0.3">
      <c r="A127" s="96">
        <v>46008</v>
      </c>
      <c r="B127" s="97">
        <v>1</v>
      </c>
      <c r="C127" s="97" t="s">
        <v>664</v>
      </c>
      <c r="D127" s="97" t="s">
        <v>878</v>
      </c>
      <c r="E127" s="98"/>
      <c r="F127" s="98"/>
      <c r="G127" s="97" t="s">
        <v>882</v>
      </c>
      <c r="H127" s="97"/>
      <c r="I127" s="97"/>
    </row>
    <row r="128" spans="1:9" x14ac:dyDescent="0.3">
      <c r="A128" s="96">
        <v>46008</v>
      </c>
      <c r="B128" s="97">
        <v>20</v>
      </c>
      <c r="C128" s="97" t="s">
        <v>664</v>
      </c>
      <c r="D128" s="97" t="s">
        <v>879</v>
      </c>
      <c r="E128" s="98"/>
      <c r="F128" s="98">
        <f t="shared" si="4"/>
        <v>0</v>
      </c>
      <c r="G128" s="97" t="s">
        <v>880</v>
      </c>
      <c r="H128" s="97"/>
      <c r="I128" s="97"/>
    </row>
    <row r="129" spans="1:12" x14ac:dyDescent="0.3">
      <c r="A129" s="99">
        <v>46008</v>
      </c>
      <c r="B129" s="100">
        <v>159</v>
      </c>
      <c r="C129" s="100" t="s">
        <v>664</v>
      </c>
      <c r="D129" s="100" t="s">
        <v>881</v>
      </c>
      <c r="E129" s="101">
        <v>398</v>
      </c>
      <c r="F129" s="101">
        <f t="shared" si="4"/>
        <v>63282</v>
      </c>
      <c r="G129" s="100" t="s">
        <v>888</v>
      </c>
      <c r="H129" s="100"/>
      <c r="I129" s="100" t="s">
        <v>860</v>
      </c>
    </row>
    <row r="130" spans="1:12" x14ac:dyDescent="0.3">
      <c r="A130" s="99">
        <v>46009</v>
      </c>
      <c r="B130" s="100">
        <v>9</v>
      </c>
      <c r="C130" s="100" t="s">
        <v>664</v>
      </c>
      <c r="D130" s="100" t="s">
        <v>881</v>
      </c>
      <c r="E130" s="101">
        <v>398</v>
      </c>
      <c r="F130" s="101">
        <f t="shared" si="4"/>
        <v>3582</v>
      </c>
      <c r="G130" s="100" t="s">
        <v>888</v>
      </c>
      <c r="H130" s="100"/>
      <c r="I130" s="100" t="s">
        <v>860</v>
      </c>
    </row>
    <row r="131" spans="1:12" x14ac:dyDescent="0.3">
      <c r="A131" s="96">
        <v>46009</v>
      </c>
      <c r="B131" s="97"/>
      <c r="C131" s="97" t="s">
        <v>664</v>
      </c>
      <c r="D131" s="97" t="s">
        <v>890</v>
      </c>
      <c r="E131" s="98"/>
      <c r="F131" s="98">
        <f t="shared" si="4"/>
        <v>0</v>
      </c>
      <c r="G131" s="97" t="s">
        <v>889</v>
      </c>
      <c r="H131" s="97"/>
      <c r="I131" s="97"/>
    </row>
    <row r="132" spans="1:12" x14ac:dyDescent="0.3">
      <c r="A132" s="99">
        <v>46010</v>
      </c>
      <c r="B132" s="100">
        <v>2</v>
      </c>
      <c r="C132" s="100" t="s">
        <v>883</v>
      </c>
      <c r="D132" s="100" t="s">
        <v>103</v>
      </c>
      <c r="E132" s="101">
        <v>477</v>
      </c>
      <c r="F132" s="101">
        <f t="shared" si="4"/>
        <v>954</v>
      </c>
      <c r="G132" s="100" t="s">
        <v>906</v>
      </c>
      <c r="H132" s="100"/>
      <c r="I132" s="100" t="s">
        <v>886</v>
      </c>
    </row>
    <row r="133" spans="1:12" x14ac:dyDescent="0.3">
      <c r="A133" s="99">
        <v>46010</v>
      </c>
      <c r="B133" s="100">
        <v>2</v>
      </c>
      <c r="C133" s="100" t="s">
        <v>883</v>
      </c>
      <c r="D133" s="100" t="s">
        <v>103</v>
      </c>
      <c r="E133" s="101">
        <v>477</v>
      </c>
      <c r="F133" s="101">
        <f t="shared" si="4"/>
        <v>954</v>
      </c>
      <c r="G133" s="100" t="s">
        <v>906</v>
      </c>
      <c r="H133" s="100"/>
      <c r="I133" s="100"/>
      <c r="K133">
        <v>242</v>
      </c>
      <c r="L133">
        <v>350</v>
      </c>
    </row>
    <row r="134" spans="1:12" x14ac:dyDescent="0.3">
      <c r="A134" s="99">
        <v>46010</v>
      </c>
      <c r="B134" s="100">
        <v>2</v>
      </c>
      <c r="C134" s="100" t="s">
        <v>883</v>
      </c>
      <c r="D134" s="100" t="s">
        <v>884</v>
      </c>
      <c r="E134" s="101">
        <v>477</v>
      </c>
      <c r="F134" s="101">
        <f t="shared" ref="F134" si="5">E134*B134</f>
        <v>954</v>
      </c>
      <c r="G134" s="100" t="s">
        <v>906</v>
      </c>
      <c r="H134" s="100"/>
      <c r="I134" s="100" t="s">
        <v>886</v>
      </c>
      <c r="K134">
        <v>50</v>
      </c>
    </row>
    <row r="135" spans="1:12" x14ac:dyDescent="0.3">
      <c r="A135" s="87">
        <v>46010</v>
      </c>
      <c r="B135" s="88">
        <v>2</v>
      </c>
      <c r="C135" s="88" t="s">
        <v>883</v>
      </c>
      <c r="D135" s="88" t="s">
        <v>887</v>
      </c>
      <c r="E135" s="89">
        <v>477</v>
      </c>
      <c r="F135" s="89">
        <f t="shared" si="4"/>
        <v>954</v>
      </c>
      <c r="G135" s="88" t="s">
        <v>24</v>
      </c>
      <c r="H135" s="88"/>
      <c r="I135" s="88" t="s">
        <v>885</v>
      </c>
    </row>
    <row r="136" spans="1:12" x14ac:dyDescent="0.3">
      <c r="A136" s="99">
        <v>46010</v>
      </c>
      <c r="B136" s="100">
        <v>2</v>
      </c>
      <c r="C136" s="100" t="s">
        <v>893</v>
      </c>
      <c r="D136" s="100" t="s">
        <v>894</v>
      </c>
      <c r="E136" s="101">
        <v>480</v>
      </c>
      <c r="F136" s="101">
        <f t="shared" si="4"/>
        <v>960</v>
      </c>
      <c r="G136" s="100" t="s">
        <v>907</v>
      </c>
      <c r="H136" s="100"/>
      <c r="I136" s="100"/>
    </row>
    <row r="137" spans="1:12" x14ac:dyDescent="0.3">
      <c r="A137" s="99">
        <v>46010</v>
      </c>
      <c r="B137" s="100">
        <v>2</v>
      </c>
      <c r="C137" s="100" t="s">
        <v>893</v>
      </c>
      <c r="D137" s="100" t="s">
        <v>895</v>
      </c>
      <c r="E137" s="101">
        <v>480</v>
      </c>
      <c r="F137" s="101">
        <f t="shared" si="4"/>
        <v>960</v>
      </c>
      <c r="G137" s="100" t="s">
        <v>8</v>
      </c>
      <c r="H137" s="100"/>
      <c r="I137" s="100"/>
    </row>
    <row r="138" spans="1:12" x14ac:dyDescent="0.3">
      <c r="A138" s="99">
        <v>46010</v>
      </c>
      <c r="B138" s="100">
        <v>2</v>
      </c>
      <c r="C138" s="100" t="s">
        <v>893</v>
      </c>
      <c r="D138" s="100" t="s">
        <v>714</v>
      </c>
      <c r="E138" s="101">
        <v>480</v>
      </c>
      <c r="F138" s="101">
        <f t="shared" si="4"/>
        <v>960</v>
      </c>
      <c r="G138" s="100" t="s">
        <v>348</v>
      </c>
      <c r="H138" s="100"/>
      <c r="I138" s="100"/>
      <c r="K138">
        <v>387</v>
      </c>
      <c r="L138">
        <f>K138*L133</f>
        <v>135450</v>
      </c>
    </row>
    <row r="139" spans="1:12" x14ac:dyDescent="0.3">
      <c r="A139" s="99">
        <v>46010</v>
      </c>
      <c r="B139" s="100">
        <v>2</v>
      </c>
      <c r="C139" s="100" t="s">
        <v>893</v>
      </c>
      <c r="D139" s="100" t="s">
        <v>714</v>
      </c>
      <c r="E139" s="101">
        <v>480</v>
      </c>
      <c r="F139" s="101">
        <f t="shared" si="4"/>
        <v>960</v>
      </c>
      <c r="G139" s="100" t="s">
        <v>348</v>
      </c>
      <c r="H139" s="100"/>
      <c r="I139" s="100"/>
      <c r="L139">
        <v>66000</v>
      </c>
    </row>
    <row r="140" spans="1:12" x14ac:dyDescent="0.3">
      <c r="A140" s="99">
        <v>46010</v>
      </c>
      <c r="B140" s="100">
        <v>4</v>
      </c>
      <c r="C140" s="100" t="s">
        <v>883</v>
      </c>
      <c r="D140" s="100" t="s">
        <v>103</v>
      </c>
      <c r="E140" s="101">
        <v>477</v>
      </c>
      <c r="F140" s="101">
        <f t="shared" si="4"/>
        <v>1908</v>
      </c>
      <c r="G140" s="100" t="s">
        <v>8</v>
      </c>
      <c r="H140" s="100"/>
      <c r="I140" s="100"/>
    </row>
    <row r="141" spans="1:12" x14ac:dyDescent="0.3">
      <c r="A141" s="99">
        <v>46010</v>
      </c>
      <c r="B141" s="100">
        <v>4</v>
      </c>
      <c r="C141" s="100" t="s">
        <v>896</v>
      </c>
      <c r="D141" s="100" t="s">
        <v>103</v>
      </c>
      <c r="E141" s="101">
        <v>629</v>
      </c>
      <c r="F141" s="101">
        <f t="shared" si="4"/>
        <v>2516</v>
      </c>
      <c r="G141" s="100" t="s">
        <v>8</v>
      </c>
      <c r="H141" s="100"/>
      <c r="I141" s="100"/>
    </row>
    <row r="142" spans="1:12" x14ac:dyDescent="0.3">
      <c r="A142" s="99">
        <v>46010</v>
      </c>
      <c r="B142" s="100">
        <v>4</v>
      </c>
      <c r="C142" s="100" t="s">
        <v>883</v>
      </c>
      <c r="D142" s="100" t="s">
        <v>884</v>
      </c>
      <c r="E142" s="101">
        <v>477</v>
      </c>
      <c r="F142" s="101">
        <f t="shared" si="4"/>
        <v>1908</v>
      </c>
      <c r="G142" s="100" t="s">
        <v>8</v>
      </c>
      <c r="H142" s="100"/>
      <c r="I142" s="100"/>
    </row>
    <row r="143" spans="1:12" x14ac:dyDescent="0.3">
      <c r="A143" s="99">
        <v>46010</v>
      </c>
      <c r="B143" s="100">
        <v>4</v>
      </c>
      <c r="C143" s="100" t="s">
        <v>896</v>
      </c>
      <c r="D143" s="100" t="s">
        <v>884</v>
      </c>
      <c r="E143" s="101">
        <v>629</v>
      </c>
      <c r="F143" s="101">
        <f t="shared" si="4"/>
        <v>2516</v>
      </c>
      <c r="G143" s="100" t="s">
        <v>8</v>
      </c>
      <c r="H143" s="100"/>
      <c r="I143" s="100"/>
    </row>
    <row r="144" spans="1:12" x14ac:dyDescent="0.3">
      <c r="A144" s="99">
        <v>46010</v>
      </c>
      <c r="B144" s="100">
        <v>3</v>
      </c>
      <c r="C144" s="100" t="s">
        <v>883</v>
      </c>
      <c r="D144" s="100" t="s">
        <v>887</v>
      </c>
      <c r="E144" s="101">
        <v>477</v>
      </c>
      <c r="F144" s="101">
        <f t="shared" si="4"/>
        <v>1431</v>
      </c>
      <c r="G144" s="100" t="s">
        <v>8</v>
      </c>
      <c r="H144" s="100"/>
      <c r="I144" s="100"/>
    </row>
    <row r="145" spans="1:15" x14ac:dyDescent="0.3">
      <c r="A145" s="99">
        <v>46010</v>
      </c>
      <c r="B145" s="100">
        <v>3</v>
      </c>
      <c r="C145" s="100" t="s">
        <v>896</v>
      </c>
      <c r="D145" s="100" t="s">
        <v>887</v>
      </c>
      <c r="E145" s="101">
        <v>629</v>
      </c>
      <c r="F145" s="101">
        <f t="shared" si="4"/>
        <v>1887</v>
      </c>
      <c r="G145" s="100" t="s">
        <v>8</v>
      </c>
      <c r="H145" s="100"/>
      <c r="I145" s="100"/>
    </row>
    <row r="146" spans="1:15" x14ac:dyDescent="0.3">
      <c r="A146" s="99">
        <v>46010</v>
      </c>
      <c r="B146" s="100">
        <v>2</v>
      </c>
      <c r="C146" s="100" t="s">
        <v>897</v>
      </c>
      <c r="D146" s="100" t="s">
        <v>318</v>
      </c>
      <c r="E146" s="101">
        <v>479</v>
      </c>
      <c r="F146" s="101">
        <f t="shared" si="4"/>
        <v>958</v>
      </c>
      <c r="G146" s="100" t="s">
        <v>8</v>
      </c>
      <c r="H146" s="100"/>
      <c r="I146" s="100"/>
      <c r="O146">
        <v>3735</v>
      </c>
    </row>
    <row r="147" spans="1:15" x14ac:dyDescent="0.3">
      <c r="A147" s="99">
        <v>46010</v>
      </c>
      <c r="B147" s="100">
        <v>10</v>
      </c>
      <c r="C147" s="100" t="s">
        <v>837</v>
      </c>
      <c r="D147" s="100" t="s">
        <v>864</v>
      </c>
      <c r="E147" s="101">
        <v>1400</v>
      </c>
      <c r="F147" s="101">
        <f t="shared" ref="F147" si="6">E147*B147</f>
        <v>14000</v>
      </c>
      <c r="G147" s="100" t="s">
        <v>906</v>
      </c>
      <c r="H147" s="100"/>
      <c r="I147" s="100"/>
      <c r="O147">
        <v>2490</v>
      </c>
    </row>
    <row r="148" spans="1:15" x14ac:dyDescent="0.3">
      <c r="A148" s="99">
        <v>46010</v>
      </c>
      <c r="B148" s="100">
        <v>10</v>
      </c>
      <c r="C148" s="100" t="s">
        <v>804</v>
      </c>
      <c r="D148" s="100" t="s">
        <v>864</v>
      </c>
      <c r="E148" s="101">
        <v>415</v>
      </c>
      <c r="F148" s="101">
        <f t="shared" si="4"/>
        <v>4150</v>
      </c>
      <c r="G148" s="100" t="s">
        <v>906</v>
      </c>
      <c r="H148" s="100"/>
      <c r="I148" s="100"/>
      <c r="O148">
        <f>(O147-O146)</f>
        <v>-1245</v>
      </c>
    </row>
    <row r="149" spans="1:15" x14ac:dyDescent="0.3">
      <c r="A149" s="99">
        <v>46010</v>
      </c>
      <c r="B149" s="100">
        <v>20</v>
      </c>
      <c r="C149" s="100" t="s">
        <v>898</v>
      </c>
      <c r="D149" s="100" t="s">
        <v>864</v>
      </c>
      <c r="E149" s="101">
        <v>765</v>
      </c>
      <c r="F149" s="101">
        <f t="shared" si="4"/>
        <v>15300</v>
      </c>
      <c r="G149" s="100" t="s">
        <v>906</v>
      </c>
      <c r="H149" s="100"/>
      <c r="I149" s="100"/>
    </row>
    <row r="150" spans="1:15" x14ac:dyDescent="0.3">
      <c r="A150" s="99">
        <v>46010</v>
      </c>
      <c r="B150" s="100">
        <v>3</v>
      </c>
      <c r="C150" s="100" t="s">
        <v>900</v>
      </c>
      <c r="D150" s="100" t="s">
        <v>864</v>
      </c>
      <c r="E150" s="101">
        <v>3300</v>
      </c>
      <c r="F150" s="101">
        <f t="shared" si="4"/>
        <v>9900</v>
      </c>
      <c r="G150" s="100" t="s">
        <v>906</v>
      </c>
      <c r="H150" s="100"/>
      <c r="I150" s="100"/>
    </row>
    <row r="151" spans="1:15" x14ac:dyDescent="0.3">
      <c r="A151" s="99">
        <v>46010</v>
      </c>
      <c r="B151" s="100">
        <v>2</v>
      </c>
      <c r="C151" s="100" t="s">
        <v>899</v>
      </c>
      <c r="D151" s="100" t="s">
        <v>864</v>
      </c>
      <c r="E151" s="101">
        <v>2500</v>
      </c>
      <c r="F151" s="101">
        <f t="shared" si="4"/>
        <v>5000</v>
      </c>
      <c r="G151" s="100" t="s">
        <v>906</v>
      </c>
      <c r="H151" s="100"/>
      <c r="I151" s="100"/>
    </row>
    <row r="152" spans="1:15" x14ac:dyDescent="0.3">
      <c r="A152" s="99">
        <v>46011</v>
      </c>
      <c r="B152" s="100">
        <v>1</v>
      </c>
      <c r="C152" s="100" t="s">
        <v>804</v>
      </c>
      <c r="D152" s="100" t="s">
        <v>864</v>
      </c>
      <c r="E152" s="101">
        <v>415</v>
      </c>
      <c r="F152" s="101">
        <f t="shared" si="4"/>
        <v>415</v>
      </c>
      <c r="G152" s="100" t="s">
        <v>8</v>
      </c>
      <c r="H152" s="100"/>
      <c r="I152" s="100"/>
    </row>
    <row r="153" spans="1:15" x14ac:dyDescent="0.3">
      <c r="A153" s="87">
        <v>46011</v>
      </c>
      <c r="B153" s="88">
        <v>5</v>
      </c>
      <c r="C153" s="88" t="s">
        <v>664</v>
      </c>
      <c r="D153" s="88" t="s">
        <v>677</v>
      </c>
      <c r="E153" s="89">
        <v>398</v>
      </c>
      <c r="F153" s="89">
        <f t="shared" si="4"/>
        <v>1990</v>
      </c>
      <c r="G153" s="88" t="s">
        <v>62</v>
      </c>
      <c r="H153" s="88"/>
      <c r="I153" s="88"/>
    </row>
    <row r="154" spans="1:15" x14ac:dyDescent="0.3">
      <c r="A154" s="99">
        <v>46011</v>
      </c>
      <c r="B154" s="100">
        <v>5</v>
      </c>
      <c r="C154" s="100" t="s">
        <v>897</v>
      </c>
      <c r="D154" s="100" t="s">
        <v>887</v>
      </c>
      <c r="E154" s="101">
        <v>477</v>
      </c>
      <c r="F154" s="101">
        <f t="shared" si="4"/>
        <v>2385</v>
      </c>
      <c r="G154" s="100" t="s">
        <v>8</v>
      </c>
      <c r="H154" s="100"/>
      <c r="I154" s="100"/>
    </row>
    <row r="155" spans="1:15" x14ac:dyDescent="0.3">
      <c r="A155" s="99">
        <v>46011</v>
      </c>
      <c r="B155" s="100">
        <v>1</v>
      </c>
      <c r="C155" s="100" t="s">
        <v>908</v>
      </c>
      <c r="D155" s="100" t="s">
        <v>884</v>
      </c>
      <c r="E155" s="101">
        <v>549</v>
      </c>
      <c r="F155" s="101">
        <f t="shared" si="4"/>
        <v>549</v>
      </c>
      <c r="G155" s="100" t="s">
        <v>8</v>
      </c>
      <c r="H155" s="100"/>
      <c r="I155" s="100"/>
    </row>
    <row r="156" spans="1:15" x14ac:dyDescent="0.3">
      <c r="A156" s="99">
        <v>46011</v>
      </c>
      <c r="B156" s="100">
        <v>2</v>
      </c>
      <c r="C156" s="100" t="s">
        <v>897</v>
      </c>
      <c r="D156" s="100" t="s">
        <v>884</v>
      </c>
      <c r="E156" s="101">
        <v>477</v>
      </c>
      <c r="F156" s="101">
        <f t="shared" si="4"/>
        <v>954</v>
      </c>
      <c r="G156" s="100" t="s">
        <v>8</v>
      </c>
      <c r="H156" s="100"/>
      <c r="I156" s="100"/>
    </row>
    <row r="157" spans="1:15" x14ac:dyDescent="0.3">
      <c r="A157" s="68">
        <v>46011</v>
      </c>
      <c r="B157" s="18">
        <v>2</v>
      </c>
      <c r="C157" s="18" t="s">
        <v>716</v>
      </c>
      <c r="D157" s="18" t="s">
        <v>103</v>
      </c>
      <c r="E157" s="84">
        <v>477</v>
      </c>
      <c r="F157" s="84">
        <f t="shared" si="4"/>
        <v>954</v>
      </c>
      <c r="G157" s="18" t="s">
        <v>37</v>
      </c>
      <c r="H157" s="18"/>
      <c r="I157" s="18" t="s">
        <v>634</v>
      </c>
    </row>
    <row r="158" spans="1:15" x14ac:dyDescent="0.3">
      <c r="A158" s="68">
        <v>46011</v>
      </c>
      <c r="B158" s="18">
        <v>2</v>
      </c>
      <c r="C158" s="18" t="s">
        <v>908</v>
      </c>
      <c r="D158" s="18" t="s">
        <v>103</v>
      </c>
      <c r="E158" s="84">
        <v>549</v>
      </c>
      <c r="F158" s="84">
        <f t="shared" si="4"/>
        <v>1098</v>
      </c>
      <c r="G158" s="18" t="s">
        <v>37</v>
      </c>
      <c r="H158" s="18"/>
      <c r="I158" s="18" t="s">
        <v>634</v>
      </c>
    </row>
    <row r="159" spans="1:15" x14ac:dyDescent="0.3">
      <c r="A159" s="68">
        <v>46011</v>
      </c>
      <c r="B159" s="18">
        <v>2</v>
      </c>
      <c r="C159" s="18" t="s">
        <v>908</v>
      </c>
      <c r="D159" s="18" t="s">
        <v>444</v>
      </c>
      <c r="E159" s="84">
        <v>549</v>
      </c>
      <c r="F159" s="84">
        <f t="shared" ref="F159:F165" si="7">E159*B159</f>
        <v>1098</v>
      </c>
      <c r="G159" s="18" t="s">
        <v>915</v>
      </c>
      <c r="H159" s="18"/>
      <c r="I159" s="18" t="s">
        <v>634</v>
      </c>
    </row>
    <row r="160" spans="1:15" x14ac:dyDescent="0.3">
      <c r="A160" s="87">
        <v>46011</v>
      </c>
      <c r="B160" s="88">
        <v>2</v>
      </c>
      <c r="C160" s="88" t="s">
        <v>896</v>
      </c>
      <c r="D160" s="88" t="s">
        <v>444</v>
      </c>
      <c r="E160" s="89">
        <v>629</v>
      </c>
      <c r="F160" s="89">
        <f t="shared" si="7"/>
        <v>1258</v>
      </c>
      <c r="G160" s="88" t="s">
        <v>24</v>
      </c>
      <c r="H160" s="88"/>
      <c r="I160" s="88"/>
    </row>
    <row r="161" spans="1:12" x14ac:dyDescent="0.3">
      <c r="A161" s="87">
        <v>46011</v>
      </c>
      <c r="B161" s="88">
        <v>2</v>
      </c>
      <c r="C161" s="88" t="s">
        <v>897</v>
      </c>
      <c r="D161" s="88" t="s">
        <v>444</v>
      </c>
      <c r="E161" s="89">
        <v>477</v>
      </c>
      <c r="F161" s="89">
        <f t="shared" si="7"/>
        <v>954</v>
      </c>
      <c r="G161" s="88" t="s">
        <v>24</v>
      </c>
      <c r="H161" s="88"/>
      <c r="I161" s="88"/>
    </row>
    <row r="162" spans="1:12" x14ac:dyDescent="0.3">
      <c r="A162" s="68">
        <v>46011</v>
      </c>
      <c r="B162" s="18">
        <v>5</v>
      </c>
      <c r="C162" s="18" t="s">
        <v>908</v>
      </c>
      <c r="D162" s="18" t="s">
        <v>103</v>
      </c>
      <c r="E162" s="84">
        <v>549</v>
      </c>
      <c r="F162" s="84">
        <f t="shared" si="7"/>
        <v>2745</v>
      </c>
      <c r="G162" s="18" t="s">
        <v>915</v>
      </c>
      <c r="H162" s="18"/>
      <c r="I162" s="18" t="s">
        <v>634</v>
      </c>
    </row>
    <row r="163" spans="1:12" x14ac:dyDescent="0.3">
      <c r="A163" s="87">
        <v>46011</v>
      </c>
      <c r="B163" s="88">
        <v>2</v>
      </c>
      <c r="C163" s="88" t="s">
        <v>897</v>
      </c>
      <c r="D163" s="88" t="s">
        <v>909</v>
      </c>
      <c r="E163" s="89">
        <v>477</v>
      </c>
      <c r="F163" s="89">
        <f t="shared" si="7"/>
        <v>954</v>
      </c>
      <c r="G163" s="88" t="s">
        <v>24</v>
      </c>
      <c r="H163" s="88"/>
      <c r="I163" s="88"/>
    </row>
    <row r="164" spans="1:12" x14ac:dyDescent="0.3">
      <c r="A164" s="99">
        <v>46011</v>
      </c>
      <c r="B164" s="100">
        <v>3</v>
      </c>
      <c r="C164" s="100" t="s">
        <v>908</v>
      </c>
      <c r="D164" s="100" t="s">
        <v>916</v>
      </c>
      <c r="E164" s="101">
        <v>549</v>
      </c>
      <c r="F164" s="101">
        <f t="shared" si="7"/>
        <v>1647</v>
      </c>
      <c r="G164" s="100" t="s">
        <v>914</v>
      </c>
      <c r="H164" s="100"/>
      <c r="I164" s="100"/>
    </row>
    <row r="165" spans="1:12" x14ac:dyDescent="0.3">
      <c r="A165" s="99">
        <v>46011</v>
      </c>
      <c r="B165" s="100">
        <v>2</v>
      </c>
      <c r="C165" s="100" t="s">
        <v>897</v>
      </c>
      <c r="D165" s="100" t="s">
        <v>916</v>
      </c>
      <c r="E165" s="101">
        <v>477</v>
      </c>
      <c r="F165" s="101">
        <f t="shared" si="7"/>
        <v>954</v>
      </c>
      <c r="G165" s="100" t="s">
        <v>914</v>
      </c>
      <c r="H165" s="100"/>
      <c r="I165" s="100"/>
    </row>
    <row r="166" spans="1:12" x14ac:dyDescent="0.3">
      <c r="A166" s="99">
        <v>46011</v>
      </c>
      <c r="B166" s="100">
        <v>3</v>
      </c>
      <c r="C166" s="100" t="s">
        <v>908</v>
      </c>
      <c r="D166" s="100" t="s">
        <v>103</v>
      </c>
      <c r="E166" s="101">
        <v>549</v>
      </c>
      <c r="F166" s="101">
        <f>B166*E166</f>
        <v>1647</v>
      </c>
      <c r="G166" s="100" t="s">
        <v>8</v>
      </c>
      <c r="H166" s="100"/>
      <c r="I166" s="100"/>
    </row>
    <row r="167" spans="1:12" x14ac:dyDescent="0.3">
      <c r="A167" s="99">
        <v>46011</v>
      </c>
      <c r="B167" s="100">
        <v>3</v>
      </c>
      <c r="C167" s="100" t="s">
        <v>897</v>
      </c>
      <c r="D167" s="100" t="s">
        <v>103</v>
      </c>
      <c r="E167" s="101">
        <v>477</v>
      </c>
      <c r="F167" s="101">
        <f t="shared" ref="F167:F168" si="8">B167*E167</f>
        <v>1431</v>
      </c>
      <c r="G167" s="100" t="s">
        <v>8</v>
      </c>
      <c r="H167" s="100"/>
      <c r="I167" s="100"/>
    </row>
    <row r="168" spans="1:12" x14ac:dyDescent="0.3">
      <c r="A168" s="99">
        <v>46011</v>
      </c>
      <c r="B168" s="100">
        <v>9</v>
      </c>
      <c r="C168" s="100" t="s">
        <v>896</v>
      </c>
      <c r="D168" s="100" t="s">
        <v>103</v>
      </c>
      <c r="E168" s="101">
        <v>629</v>
      </c>
      <c r="F168" s="101">
        <f t="shared" si="8"/>
        <v>5661</v>
      </c>
      <c r="G168" s="100" t="s">
        <v>8</v>
      </c>
      <c r="H168" s="100"/>
      <c r="I168" s="100"/>
      <c r="L168" s="2"/>
    </row>
    <row r="169" spans="1:12" x14ac:dyDescent="0.3">
      <c r="A169" s="99">
        <v>46011</v>
      </c>
      <c r="B169" s="100">
        <v>4</v>
      </c>
      <c r="C169" s="100" t="s">
        <v>908</v>
      </c>
      <c r="D169" s="100" t="s">
        <v>444</v>
      </c>
      <c r="E169" s="101">
        <v>549</v>
      </c>
      <c r="F169" s="101">
        <v>2196</v>
      </c>
      <c r="G169" s="100" t="s">
        <v>8</v>
      </c>
      <c r="H169" s="100"/>
      <c r="I169" s="100"/>
      <c r="L169" s="2"/>
    </row>
    <row r="170" spans="1:12" x14ac:dyDescent="0.3">
      <c r="A170" s="99">
        <v>46011</v>
      </c>
      <c r="B170" s="100">
        <v>2</v>
      </c>
      <c r="C170" s="100" t="s">
        <v>897</v>
      </c>
      <c r="D170" s="100" t="s">
        <v>444</v>
      </c>
      <c r="E170" s="101">
        <v>477</v>
      </c>
      <c r="F170" s="101">
        <v>954</v>
      </c>
      <c r="G170" s="100" t="s">
        <v>8</v>
      </c>
      <c r="H170" s="100"/>
      <c r="I170" s="100"/>
      <c r="L170" s="2"/>
    </row>
    <row r="171" spans="1:12" x14ac:dyDescent="0.3">
      <c r="A171" s="99">
        <v>46011</v>
      </c>
      <c r="B171" s="100">
        <v>2</v>
      </c>
      <c r="C171" s="100" t="s">
        <v>897</v>
      </c>
      <c r="D171" s="100" t="s">
        <v>230</v>
      </c>
      <c r="E171" s="101">
        <v>454</v>
      </c>
      <c r="F171" s="101">
        <f>B171*E171</f>
        <v>908</v>
      </c>
      <c r="G171" s="100" t="s">
        <v>8</v>
      </c>
      <c r="H171" s="100"/>
      <c r="I171" s="100"/>
    </row>
    <row r="172" spans="1:12" x14ac:dyDescent="0.3">
      <c r="A172" s="99">
        <v>46011</v>
      </c>
      <c r="B172" s="100">
        <v>2</v>
      </c>
      <c r="C172" s="100" t="s">
        <v>697</v>
      </c>
      <c r="D172" s="100" t="s">
        <v>230</v>
      </c>
      <c r="E172" s="101">
        <v>125</v>
      </c>
      <c r="F172" s="101">
        <f>B172*E172</f>
        <v>250</v>
      </c>
      <c r="G172" s="100" t="s">
        <v>8</v>
      </c>
      <c r="H172" s="100"/>
      <c r="I172" s="100"/>
    </row>
    <row r="173" spans="1:12" x14ac:dyDescent="0.3">
      <c r="A173" s="99">
        <v>46011</v>
      </c>
      <c r="B173" s="100">
        <v>7</v>
      </c>
      <c r="C173" s="100" t="s">
        <v>908</v>
      </c>
      <c r="D173" s="100" t="s">
        <v>909</v>
      </c>
      <c r="E173" s="101">
        <v>549</v>
      </c>
      <c r="F173" s="101">
        <f>B173*E173</f>
        <v>3843</v>
      </c>
      <c r="G173" s="100" t="s">
        <v>8</v>
      </c>
      <c r="H173" s="100"/>
      <c r="I173" s="100"/>
    </row>
    <row r="174" spans="1:12" x14ac:dyDescent="0.3">
      <c r="A174" s="99">
        <v>46011</v>
      </c>
      <c r="B174" s="100">
        <v>10</v>
      </c>
      <c r="C174" s="100" t="s">
        <v>897</v>
      </c>
      <c r="D174" s="100" t="s">
        <v>909</v>
      </c>
      <c r="E174" s="101">
        <v>477</v>
      </c>
      <c r="F174" s="101">
        <f t="shared" ref="F174:F182" si="9">B174*E174</f>
        <v>4770</v>
      </c>
      <c r="G174" s="100" t="s">
        <v>8</v>
      </c>
      <c r="H174" s="100"/>
      <c r="I174" s="100"/>
    </row>
    <row r="175" spans="1:12" x14ac:dyDescent="0.3">
      <c r="A175" s="99">
        <v>46011</v>
      </c>
      <c r="B175" s="100">
        <v>5</v>
      </c>
      <c r="C175" s="100" t="s">
        <v>896</v>
      </c>
      <c r="D175" s="100" t="s">
        <v>909</v>
      </c>
      <c r="E175" s="101">
        <v>629</v>
      </c>
      <c r="F175" s="101">
        <f t="shared" si="9"/>
        <v>3145</v>
      </c>
      <c r="G175" s="100" t="s">
        <v>8</v>
      </c>
      <c r="H175" s="100"/>
      <c r="I175" s="100"/>
    </row>
    <row r="176" spans="1:12" x14ac:dyDescent="0.3">
      <c r="A176" s="99">
        <v>46011</v>
      </c>
      <c r="B176" s="100">
        <v>2</v>
      </c>
      <c r="C176" s="100" t="s">
        <v>910</v>
      </c>
      <c r="D176" s="100" t="s">
        <v>909</v>
      </c>
      <c r="E176" s="101">
        <v>477</v>
      </c>
      <c r="F176" s="101">
        <f t="shared" si="9"/>
        <v>954</v>
      </c>
      <c r="G176" s="100" t="s">
        <v>8</v>
      </c>
      <c r="H176" s="100"/>
      <c r="I176" s="100"/>
    </row>
    <row r="177" spans="1:10" x14ac:dyDescent="0.3">
      <c r="A177" s="99">
        <v>46011</v>
      </c>
      <c r="B177" s="100">
        <v>4</v>
      </c>
      <c r="C177" s="100" t="s">
        <v>897</v>
      </c>
      <c r="D177" s="100" t="s">
        <v>491</v>
      </c>
      <c r="E177" s="101">
        <v>477</v>
      </c>
      <c r="F177" s="101">
        <f t="shared" si="9"/>
        <v>1908</v>
      </c>
      <c r="G177" s="100" t="s">
        <v>8</v>
      </c>
      <c r="H177" s="100"/>
      <c r="I177" s="100"/>
    </row>
    <row r="178" spans="1:10" x14ac:dyDescent="0.3">
      <c r="A178" s="99">
        <v>46011</v>
      </c>
      <c r="B178" s="100">
        <v>22</v>
      </c>
      <c r="C178" s="100" t="s">
        <v>664</v>
      </c>
      <c r="D178" s="100" t="s">
        <v>911</v>
      </c>
      <c r="E178" s="101">
        <v>399</v>
      </c>
      <c r="F178" s="101">
        <f t="shared" si="9"/>
        <v>8778</v>
      </c>
      <c r="G178" s="100" t="s">
        <v>912</v>
      </c>
      <c r="H178" s="100"/>
      <c r="I178" s="100"/>
    </row>
    <row r="179" spans="1:10" x14ac:dyDescent="0.3">
      <c r="A179" s="99">
        <v>46011</v>
      </c>
      <c r="B179" s="100">
        <v>3</v>
      </c>
      <c r="C179" s="100" t="s">
        <v>896</v>
      </c>
      <c r="D179" s="100" t="s">
        <v>911</v>
      </c>
      <c r="E179" s="101">
        <v>629</v>
      </c>
      <c r="F179" s="101">
        <f t="shared" si="9"/>
        <v>1887</v>
      </c>
      <c r="G179" s="100" t="s">
        <v>912</v>
      </c>
      <c r="H179" s="100"/>
      <c r="I179" s="100" t="s">
        <v>913</v>
      </c>
    </row>
    <row r="180" spans="1:10" x14ac:dyDescent="0.3">
      <c r="A180" s="99">
        <v>46011</v>
      </c>
      <c r="B180" s="100">
        <v>2</v>
      </c>
      <c r="C180" s="100" t="s">
        <v>897</v>
      </c>
      <c r="D180" s="100" t="s">
        <v>911</v>
      </c>
      <c r="E180" s="101">
        <v>477</v>
      </c>
      <c r="F180" s="101">
        <f t="shared" si="9"/>
        <v>954</v>
      </c>
      <c r="G180" s="100" t="s">
        <v>912</v>
      </c>
      <c r="H180" s="100"/>
      <c r="I180" s="100" t="s">
        <v>913</v>
      </c>
    </row>
    <row r="181" spans="1:10" x14ac:dyDescent="0.3">
      <c r="A181" s="83">
        <v>46012</v>
      </c>
      <c r="B181" s="18">
        <v>2</v>
      </c>
      <c r="C181" s="18" t="s">
        <v>897</v>
      </c>
      <c r="D181" s="18" t="s">
        <v>916</v>
      </c>
      <c r="E181" s="84">
        <v>477</v>
      </c>
      <c r="F181" s="84">
        <f t="shared" si="9"/>
        <v>954</v>
      </c>
      <c r="G181" s="18" t="s">
        <v>921</v>
      </c>
      <c r="H181" s="18"/>
      <c r="I181" s="18" t="s">
        <v>920</v>
      </c>
    </row>
    <row r="182" spans="1:10" x14ac:dyDescent="0.3">
      <c r="A182" s="99">
        <v>46012</v>
      </c>
      <c r="B182" s="100">
        <v>2</v>
      </c>
      <c r="C182" s="100" t="s">
        <v>896</v>
      </c>
      <c r="D182" s="100" t="s">
        <v>916</v>
      </c>
      <c r="E182" s="101">
        <v>629</v>
      </c>
      <c r="F182" s="101">
        <f t="shared" si="9"/>
        <v>1258</v>
      </c>
      <c r="G182" s="100" t="s">
        <v>914</v>
      </c>
      <c r="H182" s="100"/>
      <c r="I182" s="100"/>
    </row>
    <row r="183" spans="1:10" x14ac:dyDescent="0.3">
      <c r="A183" s="99">
        <v>46012</v>
      </c>
      <c r="B183" s="100">
        <v>2</v>
      </c>
      <c r="C183" s="100" t="s">
        <v>897</v>
      </c>
      <c r="D183" s="100" t="s">
        <v>884</v>
      </c>
      <c r="E183" s="101">
        <v>477</v>
      </c>
      <c r="F183" s="101">
        <f t="shared" ref="F183:F184" si="10">B183*E183</f>
        <v>954</v>
      </c>
      <c r="G183" s="100" t="s">
        <v>924</v>
      </c>
      <c r="H183" s="100"/>
      <c r="I183" s="100"/>
    </row>
    <row r="184" spans="1:10" x14ac:dyDescent="0.3">
      <c r="A184" s="99">
        <v>46012</v>
      </c>
      <c r="B184" s="100">
        <v>2</v>
      </c>
      <c r="C184" s="100" t="s">
        <v>897</v>
      </c>
      <c r="D184" s="100" t="s">
        <v>884</v>
      </c>
      <c r="E184" s="101">
        <v>629</v>
      </c>
      <c r="F184" s="101">
        <f t="shared" si="10"/>
        <v>1258</v>
      </c>
      <c r="G184" s="100" t="s">
        <v>924</v>
      </c>
      <c r="H184" s="100"/>
      <c r="I184" s="100"/>
    </row>
    <row r="185" spans="1:10" x14ac:dyDescent="0.3">
      <c r="A185" s="87">
        <v>46012</v>
      </c>
      <c r="B185" s="88">
        <v>2</v>
      </c>
      <c r="C185" s="88" t="s">
        <v>897</v>
      </c>
      <c r="D185" s="88" t="s">
        <v>887</v>
      </c>
      <c r="E185" s="89">
        <v>477</v>
      </c>
      <c r="F185" s="89">
        <v>954</v>
      </c>
      <c r="G185" s="88" t="s">
        <v>892</v>
      </c>
      <c r="H185" s="88"/>
      <c r="I185" s="88"/>
      <c r="J185">
        <v>5693</v>
      </c>
    </row>
    <row r="186" spans="1:10" x14ac:dyDescent="0.3">
      <c r="A186" s="90">
        <v>46012</v>
      </c>
      <c r="B186" s="91">
        <v>2</v>
      </c>
      <c r="C186" s="91" t="s">
        <v>897</v>
      </c>
      <c r="D186" s="91" t="s">
        <v>917</v>
      </c>
      <c r="E186" s="92">
        <v>477</v>
      </c>
      <c r="F186" s="92">
        <v>954</v>
      </c>
      <c r="G186" s="88" t="s">
        <v>24</v>
      </c>
      <c r="H186" s="91"/>
      <c r="I186" s="91"/>
    </row>
    <row r="187" spans="1:10" x14ac:dyDescent="0.3">
      <c r="A187" s="87">
        <v>46012</v>
      </c>
      <c r="B187" s="88">
        <v>2</v>
      </c>
      <c r="C187" s="88" t="s">
        <v>897</v>
      </c>
      <c r="D187" s="88" t="s">
        <v>917</v>
      </c>
      <c r="E187" s="89">
        <v>477</v>
      </c>
      <c r="F187" s="89">
        <v>954</v>
      </c>
      <c r="G187" s="88" t="s">
        <v>24</v>
      </c>
      <c r="H187" s="88"/>
      <c r="I187" s="88"/>
    </row>
    <row r="188" spans="1:10" x14ac:dyDescent="0.3">
      <c r="A188" s="87">
        <v>46012</v>
      </c>
      <c r="B188" s="88">
        <v>2</v>
      </c>
      <c r="C188" s="88" t="s">
        <v>897</v>
      </c>
      <c r="D188" s="88" t="s">
        <v>444</v>
      </c>
      <c r="E188" s="89">
        <v>477</v>
      </c>
      <c r="F188" s="89">
        <v>954</v>
      </c>
      <c r="G188" s="88" t="s">
        <v>24</v>
      </c>
      <c r="H188" s="88"/>
      <c r="I188" s="88"/>
    </row>
    <row r="189" spans="1:10" x14ac:dyDescent="0.3">
      <c r="A189" s="87">
        <v>46012</v>
      </c>
      <c r="B189" s="88">
        <v>2</v>
      </c>
      <c r="C189" s="88" t="s">
        <v>896</v>
      </c>
      <c r="D189" s="88" t="s">
        <v>444</v>
      </c>
      <c r="E189" s="89">
        <v>629</v>
      </c>
      <c r="F189" s="89">
        <v>1258</v>
      </c>
      <c r="G189" s="88" t="s">
        <v>24</v>
      </c>
      <c r="H189" s="88"/>
      <c r="I189" s="88"/>
    </row>
    <row r="190" spans="1:10" x14ac:dyDescent="0.3">
      <c r="A190" s="93">
        <v>46012</v>
      </c>
      <c r="B190" s="94">
        <v>2</v>
      </c>
      <c r="C190" s="88" t="s">
        <v>897</v>
      </c>
      <c r="D190" s="94" t="s">
        <v>916</v>
      </c>
      <c r="E190" s="95">
        <v>477</v>
      </c>
      <c r="F190" s="95">
        <v>954</v>
      </c>
      <c r="G190" s="94" t="s">
        <v>892</v>
      </c>
      <c r="H190" s="88"/>
      <c r="I190" s="88"/>
    </row>
    <row r="191" spans="1:10" x14ac:dyDescent="0.3">
      <c r="A191" s="87">
        <v>46012</v>
      </c>
      <c r="B191" s="88">
        <v>2</v>
      </c>
      <c r="C191" s="88" t="s">
        <v>897</v>
      </c>
      <c r="D191" s="88" t="s">
        <v>887</v>
      </c>
      <c r="E191" s="89">
        <v>477</v>
      </c>
      <c r="F191" s="89">
        <v>954</v>
      </c>
      <c r="G191" s="94" t="s">
        <v>892</v>
      </c>
      <c r="H191" s="88"/>
      <c r="I191" s="88"/>
      <c r="J191">
        <v>5816</v>
      </c>
    </row>
    <row r="192" spans="1:10" x14ac:dyDescent="0.3">
      <c r="A192" s="99">
        <v>46012</v>
      </c>
      <c r="B192" s="100">
        <v>2</v>
      </c>
      <c r="C192" s="100" t="s">
        <v>897</v>
      </c>
      <c r="D192" s="100" t="s">
        <v>918</v>
      </c>
      <c r="E192" s="101">
        <v>477</v>
      </c>
      <c r="F192" s="101">
        <v>954</v>
      </c>
      <c r="G192" s="100" t="s">
        <v>914</v>
      </c>
      <c r="H192" s="100"/>
      <c r="I192" s="100"/>
    </row>
    <row r="193" spans="1:9" x14ac:dyDescent="0.3">
      <c r="A193" s="99">
        <v>46012</v>
      </c>
      <c r="B193" s="100">
        <v>2</v>
      </c>
      <c r="C193" s="100" t="s">
        <v>897</v>
      </c>
      <c r="D193" s="100" t="s">
        <v>918</v>
      </c>
      <c r="E193" s="101">
        <v>477</v>
      </c>
      <c r="F193" s="101">
        <v>954</v>
      </c>
      <c r="G193" s="100" t="s">
        <v>914</v>
      </c>
      <c r="H193" s="100"/>
      <c r="I193" s="100"/>
    </row>
    <row r="194" spans="1:9" x14ac:dyDescent="0.3">
      <c r="A194" s="99">
        <v>46012</v>
      </c>
      <c r="B194" s="100">
        <v>2</v>
      </c>
      <c r="C194" s="100" t="s">
        <v>897</v>
      </c>
      <c r="D194" s="100" t="s">
        <v>919</v>
      </c>
      <c r="E194" s="101">
        <v>477</v>
      </c>
      <c r="F194" s="101">
        <v>954</v>
      </c>
      <c r="G194" s="100" t="s">
        <v>914</v>
      </c>
      <c r="H194" s="100"/>
      <c r="I194" s="100"/>
    </row>
    <row r="195" spans="1:9" x14ac:dyDescent="0.3">
      <c r="A195" s="99">
        <v>46012</v>
      </c>
      <c r="B195" s="100">
        <v>2</v>
      </c>
      <c r="C195" s="100" t="s">
        <v>897</v>
      </c>
      <c r="D195" s="100" t="s">
        <v>919</v>
      </c>
      <c r="E195" s="101">
        <v>477</v>
      </c>
      <c r="F195" s="101">
        <v>954</v>
      </c>
      <c r="G195" s="100" t="s">
        <v>914</v>
      </c>
      <c r="H195" s="100"/>
      <c r="I195" s="100"/>
    </row>
    <row r="196" spans="1:9" x14ac:dyDescent="0.3">
      <c r="A196" s="99">
        <v>46012</v>
      </c>
      <c r="B196" s="100">
        <v>2</v>
      </c>
      <c r="C196" s="100" t="s">
        <v>897</v>
      </c>
      <c r="D196" s="100" t="s">
        <v>918</v>
      </c>
      <c r="E196" s="101">
        <v>477</v>
      </c>
      <c r="F196" s="101">
        <v>954</v>
      </c>
      <c r="G196" s="100" t="s">
        <v>914</v>
      </c>
      <c r="H196" s="100"/>
      <c r="I196" s="100"/>
    </row>
    <row r="197" spans="1:9" x14ac:dyDescent="0.3">
      <c r="A197" s="99">
        <v>46012</v>
      </c>
      <c r="B197" s="100">
        <v>2</v>
      </c>
      <c r="C197" s="100" t="s">
        <v>897</v>
      </c>
      <c r="D197" s="100" t="s">
        <v>918</v>
      </c>
      <c r="E197" s="101">
        <v>477</v>
      </c>
      <c r="F197" s="101">
        <f>B197*E197</f>
        <v>954</v>
      </c>
      <c r="G197" s="100" t="s">
        <v>914</v>
      </c>
      <c r="H197" s="100"/>
      <c r="I197" s="100"/>
    </row>
    <row r="198" spans="1:9" x14ac:dyDescent="0.3">
      <c r="A198" s="99">
        <v>46012</v>
      </c>
      <c r="B198" s="100">
        <v>2</v>
      </c>
      <c r="C198" s="100" t="s">
        <v>896</v>
      </c>
      <c r="D198" s="100" t="s">
        <v>918</v>
      </c>
      <c r="E198" s="101">
        <v>629</v>
      </c>
      <c r="F198" s="101">
        <f>B198*E198</f>
        <v>1258</v>
      </c>
      <c r="G198" s="100" t="s">
        <v>914</v>
      </c>
      <c r="H198" s="100"/>
      <c r="I198" s="100"/>
    </row>
    <row r="199" spans="1:9" x14ac:dyDescent="0.3">
      <c r="A199" s="99">
        <v>46012</v>
      </c>
      <c r="B199" s="100">
        <v>2</v>
      </c>
      <c r="C199" s="100" t="s">
        <v>910</v>
      </c>
      <c r="D199" s="100" t="s">
        <v>918</v>
      </c>
      <c r="E199" s="101">
        <v>477</v>
      </c>
      <c r="F199" s="101">
        <f t="shared" ref="F199" si="11">B199*E199</f>
        <v>954</v>
      </c>
      <c r="G199" s="100" t="s">
        <v>914</v>
      </c>
      <c r="H199" s="100"/>
      <c r="I199" s="100"/>
    </row>
    <row r="200" spans="1:9" x14ac:dyDescent="0.3">
      <c r="A200" s="99">
        <v>46012</v>
      </c>
      <c r="B200" s="100">
        <v>4</v>
      </c>
      <c r="C200" s="100" t="s">
        <v>896</v>
      </c>
      <c r="D200" s="100" t="s">
        <v>916</v>
      </c>
      <c r="E200" s="101">
        <v>629</v>
      </c>
      <c r="F200" s="101">
        <v>2516</v>
      </c>
      <c r="G200" s="100" t="s">
        <v>914</v>
      </c>
      <c r="H200" s="100"/>
      <c r="I200" s="100"/>
    </row>
    <row r="201" spans="1:9" x14ac:dyDescent="0.3">
      <c r="A201" s="99">
        <v>46012</v>
      </c>
      <c r="B201" s="100">
        <v>2</v>
      </c>
      <c r="C201" s="100" t="s">
        <v>897</v>
      </c>
      <c r="D201" s="100" t="s">
        <v>922</v>
      </c>
      <c r="E201" s="101">
        <v>477</v>
      </c>
      <c r="F201" s="101">
        <v>954</v>
      </c>
      <c r="G201" s="100" t="s">
        <v>914</v>
      </c>
      <c r="H201" s="100"/>
      <c r="I201" s="100"/>
    </row>
    <row r="202" spans="1:9" x14ac:dyDescent="0.3">
      <c r="A202" s="99">
        <v>46012</v>
      </c>
      <c r="B202" s="100">
        <v>3</v>
      </c>
      <c r="C202" s="100" t="s">
        <v>897</v>
      </c>
      <c r="D202" s="100" t="s">
        <v>919</v>
      </c>
      <c r="E202" s="101">
        <v>477</v>
      </c>
      <c r="F202" s="101">
        <v>1431</v>
      </c>
      <c r="G202" s="100" t="s">
        <v>914</v>
      </c>
      <c r="H202" s="100"/>
      <c r="I202" s="100"/>
    </row>
    <row r="203" spans="1:9" x14ac:dyDescent="0.3">
      <c r="A203" s="99">
        <v>46012</v>
      </c>
      <c r="B203" s="100">
        <v>2</v>
      </c>
      <c r="C203" s="100" t="s">
        <v>896</v>
      </c>
      <c r="D203" s="100" t="s">
        <v>919</v>
      </c>
      <c r="E203" s="101">
        <v>629</v>
      </c>
      <c r="F203" s="101">
        <v>1258</v>
      </c>
      <c r="G203" s="100" t="s">
        <v>914</v>
      </c>
      <c r="H203" s="100"/>
      <c r="I203" s="100"/>
    </row>
    <row r="204" spans="1:9" x14ac:dyDescent="0.3">
      <c r="A204" s="99">
        <v>46012</v>
      </c>
      <c r="B204" s="100">
        <v>2</v>
      </c>
      <c r="C204" s="100" t="s">
        <v>897</v>
      </c>
      <c r="D204" s="100" t="s">
        <v>923</v>
      </c>
      <c r="E204" s="101">
        <v>477</v>
      </c>
      <c r="F204" s="101">
        <v>958</v>
      </c>
      <c r="G204" s="100" t="s">
        <v>914</v>
      </c>
      <c r="H204" s="100"/>
      <c r="I204" s="100"/>
    </row>
    <row r="205" spans="1:9" x14ac:dyDescent="0.3">
      <c r="A205" s="80">
        <v>46013</v>
      </c>
      <c r="B205" s="10">
        <v>1</v>
      </c>
      <c r="C205" s="10" t="s">
        <v>925</v>
      </c>
      <c r="D205" s="10" t="s">
        <v>926</v>
      </c>
      <c r="E205" s="66">
        <v>1500</v>
      </c>
      <c r="F205" s="66">
        <v>1500</v>
      </c>
      <c r="G205" s="10"/>
      <c r="H205" s="10"/>
      <c r="I205" s="10"/>
    </row>
    <row r="206" spans="1:9" x14ac:dyDescent="0.3">
      <c r="A206" s="87">
        <v>46013</v>
      </c>
      <c r="B206" s="88">
        <v>2</v>
      </c>
      <c r="C206" s="88" t="s">
        <v>897</v>
      </c>
      <c r="D206" s="88" t="s">
        <v>917</v>
      </c>
      <c r="E206" s="89">
        <v>477</v>
      </c>
      <c r="F206" s="89">
        <v>954</v>
      </c>
      <c r="G206" s="88" t="s">
        <v>24</v>
      </c>
      <c r="H206" s="88"/>
      <c r="I206" s="88"/>
    </row>
    <row r="207" spans="1:9" x14ac:dyDescent="0.3">
      <c r="A207" s="87">
        <v>46013</v>
      </c>
      <c r="B207" s="88">
        <v>2</v>
      </c>
      <c r="C207" s="88" t="s">
        <v>897</v>
      </c>
      <c r="D207" s="88" t="s">
        <v>928</v>
      </c>
      <c r="E207" s="89">
        <v>477</v>
      </c>
      <c r="F207" s="89">
        <v>954</v>
      </c>
      <c r="G207" s="88" t="s">
        <v>24</v>
      </c>
      <c r="H207" s="88"/>
      <c r="I207" s="88"/>
    </row>
    <row r="208" spans="1:9" x14ac:dyDescent="0.3">
      <c r="A208" s="87">
        <v>46013</v>
      </c>
      <c r="B208" s="88">
        <v>2</v>
      </c>
      <c r="C208" s="88" t="s">
        <v>897</v>
      </c>
      <c r="D208" s="88" t="s">
        <v>917</v>
      </c>
      <c r="E208" s="89">
        <v>477</v>
      </c>
      <c r="F208" s="89">
        <v>954</v>
      </c>
      <c r="G208" s="88" t="s">
        <v>24</v>
      </c>
      <c r="H208" s="88"/>
      <c r="I208" s="88"/>
    </row>
    <row r="209" spans="1:9" x14ac:dyDescent="0.3">
      <c r="A209" s="87">
        <v>46013</v>
      </c>
      <c r="B209" s="88">
        <v>2</v>
      </c>
      <c r="C209" s="88" t="s">
        <v>897</v>
      </c>
      <c r="D209" s="88" t="s">
        <v>917</v>
      </c>
      <c r="E209" s="89">
        <v>477</v>
      </c>
      <c r="F209" s="89">
        <v>954</v>
      </c>
      <c r="G209" s="88" t="s">
        <v>24</v>
      </c>
      <c r="H209" s="88"/>
      <c r="I209" s="88"/>
    </row>
    <row r="210" spans="1:9" x14ac:dyDescent="0.3">
      <c r="A210" s="87">
        <v>46013</v>
      </c>
      <c r="B210" s="88">
        <v>2</v>
      </c>
      <c r="C210" s="88" t="s">
        <v>897</v>
      </c>
      <c r="D210" s="88" t="s">
        <v>918</v>
      </c>
      <c r="E210" s="89">
        <v>477</v>
      </c>
      <c r="F210" s="89">
        <v>954</v>
      </c>
      <c r="G210" s="88" t="s">
        <v>24</v>
      </c>
      <c r="H210" s="88"/>
      <c r="I210" s="88"/>
    </row>
    <row r="211" spans="1:9" x14ac:dyDescent="0.3">
      <c r="A211" s="87">
        <v>46013</v>
      </c>
      <c r="B211" s="88">
        <v>2</v>
      </c>
      <c r="C211" s="88" t="s">
        <v>897</v>
      </c>
      <c r="D211" s="88" t="s">
        <v>918</v>
      </c>
      <c r="E211" s="89">
        <v>477</v>
      </c>
      <c r="F211" s="89">
        <v>954</v>
      </c>
      <c r="G211" s="88" t="s">
        <v>24</v>
      </c>
      <c r="H211" s="88"/>
      <c r="I211" s="88"/>
    </row>
    <row r="212" spans="1:9" x14ac:dyDescent="0.3">
      <c r="A212" s="87">
        <v>46013</v>
      </c>
      <c r="B212" s="88">
        <v>2</v>
      </c>
      <c r="C212" s="88" t="s">
        <v>896</v>
      </c>
      <c r="D212" s="88" t="s">
        <v>929</v>
      </c>
      <c r="E212" s="89">
        <v>629</v>
      </c>
      <c r="F212" s="89">
        <v>1258</v>
      </c>
      <c r="G212" s="88" t="s">
        <v>24</v>
      </c>
      <c r="H212" s="88"/>
      <c r="I212" s="88"/>
    </row>
    <row r="213" spans="1:9" x14ac:dyDescent="0.3">
      <c r="A213" s="87">
        <v>46013</v>
      </c>
      <c r="B213" s="88">
        <v>2</v>
      </c>
      <c r="C213" s="88" t="s">
        <v>896</v>
      </c>
      <c r="D213" s="88" t="s">
        <v>929</v>
      </c>
      <c r="E213" s="89">
        <v>629</v>
      </c>
      <c r="F213" s="89">
        <v>1258</v>
      </c>
      <c r="G213" s="88" t="s">
        <v>24</v>
      </c>
      <c r="H213" s="88"/>
      <c r="I213" s="88"/>
    </row>
    <row r="214" spans="1:9" x14ac:dyDescent="0.3">
      <c r="A214" s="99">
        <v>46013</v>
      </c>
      <c r="B214" s="100">
        <v>2</v>
      </c>
      <c r="C214" s="100" t="s">
        <v>897</v>
      </c>
      <c r="D214" s="100" t="s">
        <v>884</v>
      </c>
      <c r="E214" s="101">
        <v>477</v>
      </c>
      <c r="F214" s="101">
        <v>954</v>
      </c>
      <c r="G214" s="100" t="s">
        <v>930</v>
      </c>
      <c r="H214" s="100"/>
      <c r="I214" s="100"/>
    </row>
    <row r="215" spans="1:9" x14ac:dyDescent="0.3">
      <c r="A215" s="99">
        <v>46013</v>
      </c>
      <c r="B215" s="100">
        <v>2</v>
      </c>
      <c r="C215" s="100" t="s">
        <v>897</v>
      </c>
      <c r="D215" s="100" t="s">
        <v>884</v>
      </c>
      <c r="E215" s="101">
        <v>477</v>
      </c>
      <c r="F215" s="101">
        <v>954</v>
      </c>
      <c r="G215" s="100" t="s">
        <v>930</v>
      </c>
      <c r="H215" s="100"/>
      <c r="I215" s="100"/>
    </row>
    <row r="216" spans="1:9" x14ac:dyDescent="0.3">
      <c r="A216" s="80">
        <v>46013</v>
      </c>
      <c r="B216" s="10">
        <v>1</v>
      </c>
      <c r="C216" s="10" t="s">
        <v>927</v>
      </c>
      <c r="D216" s="10" t="s">
        <v>85</v>
      </c>
      <c r="E216" s="10"/>
      <c r="F216" s="66">
        <v>160</v>
      </c>
      <c r="G216" s="10"/>
      <c r="H216" s="10"/>
      <c r="I216" s="10"/>
    </row>
  </sheetData>
  <autoFilter ref="A1:O204" xr:uid="{D462FB64-39E0-4CD5-A2A8-B4DACC1E3C5C}"/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3ABC-A1F7-4700-9AC9-BBA6498EABEC}">
  <dimension ref="C2:F10"/>
  <sheetViews>
    <sheetView workbookViewId="0">
      <selection activeCell="C2" sqref="C2:F9"/>
    </sheetView>
  </sheetViews>
  <sheetFormatPr defaultRowHeight="14.4" x14ac:dyDescent="0.3"/>
  <cols>
    <col min="3" max="3" width="4.5546875" customWidth="1"/>
    <col min="4" max="4" width="34" bestFit="1" customWidth="1"/>
  </cols>
  <sheetData>
    <row r="2" spans="3:6" x14ac:dyDescent="0.3">
      <c r="C2" s="4" t="s">
        <v>0</v>
      </c>
      <c r="D2" s="4" t="s">
        <v>159</v>
      </c>
      <c r="E2" s="4" t="s">
        <v>3</v>
      </c>
      <c r="F2" s="4" t="s">
        <v>4</v>
      </c>
    </row>
    <row r="3" spans="3:6" ht="16.8" customHeight="1" x14ac:dyDescent="0.3">
      <c r="C3" s="2">
        <v>5</v>
      </c>
      <c r="D3" s="85" t="s">
        <v>932</v>
      </c>
      <c r="E3" s="65">
        <v>4300</v>
      </c>
      <c r="F3" s="65">
        <v>21500</v>
      </c>
    </row>
    <row r="4" spans="3:6" x14ac:dyDescent="0.3">
      <c r="C4" s="2">
        <v>5</v>
      </c>
      <c r="D4" s="2" t="s">
        <v>554</v>
      </c>
      <c r="E4" s="65">
        <v>3200</v>
      </c>
      <c r="F4" s="65">
        <v>16000</v>
      </c>
    </row>
    <row r="5" spans="3:6" x14ac:dyDescent="0.3">
      <c r="C5" s="2">
        <v>5</v>
      </c>
      <c r="D5" s="2" t="s">
        <v>933</v>
      </c>
      <c r="E5" s="65">
        <v>2400</v>
      </c>
      <c r="F5" s="65">
        <v>12000</v>
      </c>
    </row>
    <row r="6" spans="3:6" x14ac:dyDescent="0.3">
      <c r="C6" s="2">
        <v>20</v>
      </c>
      <c r="D6" s="2" t="s">
        <v>934</v>
      </c>
      <c r="E6" s="65">
        <v>1400</v>
      </c>
      <c r="F6" s="65">
        <v>28000</v>
      </c>
    </row>
    <row r="7" spans="3:6" x14ac:dyDescent="0.3">
      <c r="C7" s="2">
        <v>10</v>
      </c>
      <c r="D7" s="2" t="s">
        <v>935</v>
      </c>
      <c r="E7" s="65">
        <v>1200</v>
      </c>
      <c r="F7" s="65">
        <v>12000</v>
      </c>
    </row>
    <row r="8" spans="3:6" x14ac:dyDescent="0.3">
      <c r="C8" s="2">
        <v>20</v>
      </c>
      <c r="D8" s="2" t="s">
        <v>804</v>
      </c>
      <c r="E8" s="65">
        <v>415</v>
      </c>
      <c r="F8" s="65">
        <v>8300</v>
      </c>
    </row>
    <row r="9" spans="3:6" x14ac:dyDescent="0.3">
      <c r="C9" s="2"/>
      <c r="D9" s="2"/>
      <c r="E9" s="86" t="s">
        <v>4</v>
      </c>
      <c r="F9" s="65">
        <v>97800</v>
      </c>
    </row>
    <row r="10" spans="3:6" x14ac:dyDescent="0.3">
      <c r="D10" s="85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32F5D-C9BC-4643-9721-3D57603ACE45}">
  <dimension ref="A1:I15"/>
  <sheetViews>
    <sheetView workbookViewId="0">
      <selection activeCell="F21" sqref="F21"/>
    </sheetView>
  </sheetViews>
  <sheetFormatPr defaultRowHeight="14.4" x14ac:dyDescent="0.3"/>
  <cols>
    <col min="6" max="6" width="23.21875" bestFit="1" customWidth="1"/>
  </cols>
  <sheetData>
    <row r="1" spans="1:9" x14ac:dyDescent="0.3">
      <c r="A1" s="2" t="s">
        <v>65</v>
      </c>
      <c r="B1" s="2" t="s">
        <v>0</v>
      </c>
      <c r="C1" s="2" t="s">
        <v>159</v>
      </c>
      <c r="D1" s="2" t="s">
        <v>815</v>
      </c>
      <c r="E1" s="2" t="s">
        <v>4</v>
      </c>
      <c r="F1" s="2" t="s">
        <v>818</v>
      </c>
      <c r="G1" s="2" t="s">
        <v>816</v>
      </c>
      <c r="H1" s="2" t="s">
        <v>65</v>
      </c>
      <c r="I1" s="2" t="s">
        <v>817</v>
      </c>
    </row>
    <row r="2" spans="1:9" x14ac:dyDescent="0.3">
      <c r="A2" s="68">
        <v>45996</v>
      </c>
      <c r="B2" s="1">
        <v>1</v>
      </c>
      <c r="C2" s="2" t="s">
        <v>814</v>
      </c>
      <c r="D2" s="2">
        <v>400</v>
      </c>
      <c r="E2" s="2">
        <f>B2*D2</f>
        <v>400</v>
      </c>
      <c r="F2" s="2" t="s">
        <v>819</v>
      </c>
      <c r="G2" s="2"/>
      <c r="H2" s="2"/>
      <c r="I2" s="2"/>
    </row>
    <row r="3" spans="1:9" x14ac:dyDescent="0.3">
      <c r="A3" s="68">
        <v>45996</v>
      </c>
      <c r="B3" s="2">
        <v>1</v>
      </c>
      <c r="C3" s="2" t="s">
        <v>814</v>
      </c>
      <c r="D3" s="2">
        <v>400</v>
      </c>
      <c r="E3" s="2">
        <v>400</v>
      </c>
      <c r="F3" s="2" t="s">
        <v>819</v>
      </c>
      <c r="G3" s="2"/>
      <c r="H3" s="2"/>
      <c r="I3" s="2"/>
    </row>
    <row r="4" spans="1:9" x14ac:dyDescent="0.3">
      <c r="A4" s="68">
        <v>45996</v>
      </c>
      <c r="B4" s="2">
        <v>1</v>
      </c>
      <c r="C4" s="2" t="s">
        <v>814</v>
      </c>
      <c r="D4" s="2">
        <v>398</v>
      </c>
      <c r="E4" s="2">
        <v>398</v>
      </c>
      <c r="F4" s="2" t="s">
        <v>820</v>
      </c>
      <c r="G4" s="2"/>
      <c r="H4" s="2"/>
      <c r="I4" s="2"/>
    </row>
    <row r="5" spans="1:9" x14ac:dyDescent="0.3">
      <c r="A5" s="68">
        <v>45997</v>
      </c>
      <c r="B5" s="2">
        <v>1</v>
      </c>
      <c r="C5" s="2" t="s">
        <v>814</v>
      </c>
      <c r="D5" s="2">
        <v>399</v>
      </c>
      <c r="E5" s="2">
        <v>399</v>
      </c>
      <c r="F5" s="2" t="s">
        <v>306</v>
      </c>
      <c r="G5" s="2"/>
      <c r="H5" s="2"/>
      <c r="I5" s="2"/>
    </row>
    <row r="6" spans="1:9" x14ac:dyDescent="0.3">
      <c r="A6" s="2"/>
      <c r="B6" s="2"/>
      <c r="C6" s="2"/>
      <c r="D6" s="2"/>
      <c r="E6" s="2"/>
      <c r="F6" s="2"/>
      <c r="G6" s="2"/>
      <c r="H6" s="2"/>
      <c r="I6" s="2"/>
    </row>
    <row r="7" spans="1:9" x14ac:dyDescent="0.3">
      <c r="A7" s="2"/>
      <c r="B7" s="2"/>
      <c r="C7" s="2"/>
      <c r="D7" s="2"/>
      <c r="E7" s="2"/>
      <c r="F7" s="2"/>
      <c r="G7" s="2"/>
      <c r="H7" s="2"/>
      <c r="I7" s="2"/>
    </row>
    <row r="8" spans="1:9" x14ac:dyDescent="0.3">
      <c r="A8" s="2"/>
      <c r="B8" s="2"/>
      <c r="C8" s="2"/>
      <c r="D8" s="2"/>
      <c r="E8" s="2"/>
      <c r="F8" s="2"/>
      <c r="G8" s="2"/>
      <c r="H8" s="2"/>
      <c r="I8" s="2"/>
    </row>
    <row r="9" spans="1:9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B02E4-739C-4E53-A49B-A5FC40B98A5D}">
  <dimension ref="A1:P43"/>
  <sheetViews>
    <sheetView topLeftCell="A25" workbookViewId="0">
      <selection activeCell="P20" sqref="P20"/>
    </sheetView>
  </sheetViews>
  <sheetFormatPr defaultRowHeight="14.4" x14ac:dyDescent="0.3"/>
  <cols>
    <col min="3" max="3" width="14.44140625" bestFit="1" customWidth="1"/>
    <col min="4" max="4" width="15.77734375" bestFit="1" customWidth="1"/>
    <col min="15" max="15" width="24.77734375" bestFit="1" customWidth="1"/>
  </cols>
  <sheetData>
    <row r="1" spans="1:16" x14ac:dyDescent="0.3">
      <c r="A1" t="s">
        <v>65</v>
      </c>
      <c r="B1" t="s">
        <v>773</v>
      </c>
      <c r="C1" t="s">
        <v>787</v>
      </c>
      <c r="D1" t="s">
        <v>2</v>
      </c>
      <c r="O1" s="6">
        <v>45998</v>
      </c>
    </row>
    <row r="2" spans="1:16" x14ac:dyDescent="0.3">
      <c r="A2" s="79">
        <v>45992</v>
      </c>
      <c r="B2" s="82">
        <v>2581</v>
      </c>
      <c r="C2" t="s">
        <v>62</v>
      </c>
      <c r="D2" t="s">
        <v>364</v>
      </c>
      <c r="H2">
        <v>37617</v>
      </c>
      <c r="K2">
        <v>5</v>
      </c>
      <c r="L2">
        <v>299</v>
      </c>
      <c r="M2">
        <f>K2*L2</f>
        <v>1495</v>
      </c>
      <c r="O2" t="s">
        <v>847</v>
      </c>
    </row>
    <row r="3" spans="1:16" x14ac:dyDescent="0.3">
      <c r="A3" s="79">
        <v>45993</v>
      </c>
      <c r="B3" s="82">
        <v>1257</v>
      </c>
      <c r="D3" t="s">
        <v>808</v>
      </c>
      <c r="H3">
        <v>8000</v>
      </c>
      <c r="K3">
        <v>4</v>
      </c>
      <c r="L3">
        <v>479</v>
      </c>
      <c r="M3">
        <f t="shared" ref="M3:M6" si="0">K3*L3</f>
        <v>1916</v>
      </c>
      <c r="O3" t="s">
        <v>848</v>
      </c>
    </row>
    <row r="4" spans="1:16" x14ac:dyDescent="0.3">
      <c r="A4" s="79">
        <v>45993</v>
      </c>
      <c r="B4" s="82">
        <v>1197</v>
      </c>
      <c r="D4" t="s">
        <v>809</v>
      </c>
      <c r="H4">
        <f>SUM(H2:H3)</f>
        <v>45617</v>
      </c>
      <c r="K4">
        <v>4</v>
      </c>
      <c r="L4">
        <v>225</v>
      </c>
      <c r="M4">
        <f t="shared" si="0"/>
        <v>900</v>
      </c>
      <c r="O4" t="s">
        <v>849</v>
      </c>
    </row>
    <row r="5" spans="1:16" x14ac:dyDescent="0.3">
      <c r="A5" s="79">
        <v>45995</v>
      </c>
      <c r="B5" s="82">
        <v>1995</v>
      </c>
      <c r="D5" t="s">
        <v>809</v>
      </c>
      <c r="K5">
        <v>57</v>
      </c>
      <c r="L5">
        <v>399</v>
      </c>
      <c r="M5">
        <f t="shared" si="0"/>
        <v>22743</v>
      </c>
      <c r="O5" t="s">
        <v>850</v>
      </c>
    </row>
    <row r="6" spans="1:16" x14ac:dyDescent="0.3">
      <c r="A6" s="79">
        <v>45993</v>
      </c>
      <c r="B6" s="82">
        <v>796</v>
      </c>
      <c r="D6" s="11" t="s">
        <v>810</v>
      </c>
      <c r="K6">
        <v>4</v>
      </c>
      <c r="L6">
        <v>419</v>
      </c>
      <c r="M6">
        <f t="shared" si="0"/>
        <v>1676</v>
      </c>
      <c r="O6" t="s">
        <v>851</v>
      </c>
    </row>
    <row r="7" spans="1:16" x14ac:dyDescent="0.3">
      <c r="A7" s="79">
        <v>45993</v>
      </c>
      <c r="B7" s="82">
        <v>399</v>
      </c>
      <c r="D7" t="s">
        <v>811</v>
      </c>
      <c r="M7">
        <f>SUM(M2:M6)</f>
        <v>28730</v>
      </c>
      <c r="O7" s="51">
        <v>150</v>
      </c>
    </row>
    <row r="8" spans="1:16" x14ac:dyDescent="0.3">
      <c r="A8" s="79">
        <v>45994</v>
      </c>
      <c r="B8" s="82">
        <v>399</v>
      </c>
      <c r="D8" t="s">
        <v>811</v>
      </c>
      <c r="O8" t="s">
        <v>852</v>
      </c>
      <c r="P8" t="s">
        <v>853</v>
      </c>
    </row>
    <row r="9" spans="1:16" x14ac:dyDescent="0.3">
      <c r="A9" s="79">
        <v>45994</v>
      </c>
      <c r="B9" s="82">
        <v>399</v>
      </c>
      <c r="D9" t="s">
        <v>811</v>
      </c>
    </row>
    <row r="10" spans="1:16" x14ac:dyDescent="0.3">
      <c r="A10" s="79">
        <v>45994</v>
      </c>
      <c r="B10" s="82">
        <v>399</v>
      </c>
      <c r="D10" t="s">
        <v>811</v>
      </c>
    </row>
    <row r="11" spans="1:16" x14ac:dyDescent="0.3">
      <c r="A11" s="79">
        <v>45994</v>
      </c>
      <c r="B11" s="82">
        <v>398</v>
      </c>
      <c r="D11" t="s">
        <v>302</v>
      </c>
    </row>
    <row r="12" spans="1:16" x14ac:dyDescent="0.3">
      <c r="A12" s="79">
        <v>45994</v>
      </c>
      <c r="B12" s="82">
        <v>398</v>
      </c>
      <c r="D12" s="11" t="s">
        <v>810</v>
      </c>
      <c r="L12" s="81">
        <f>H4-M7</f>
        <v>16887</v>
      </c>
    </row>
    <row r="13" spans="1:16" x14ac:dyDescent="0.3">
      <c r="A13" s="79">
        <v>45995</v>
      </c>
      <c r="B13" s="82">
        <v>796</v>
      </c>
      <c r="D13" s="11" t="s">
        <v>810</v>
      </c>
    </row>
    <row r="14" spans="1:16" x14ac:dyDescent="0.3">
      <c r="A14" s="79">
        <v>45995</v>
      </c>
      <c r="B14" s="82">
        <v>796</v>
      </c>
      <c r="D14" s="11" t="s">
        <v>810</v>
      </c>
      <c r="M14">
        <v>25</v>
      </c>
      <c r="N14">
        <v>398</v>
      </c>
      <c r="O14">
        <f>M14*N14</f>
        <v>9950</v>
      </c>
    </row>
    <row r="15" spans="1:16" x14ac:dyDescent="0.3">
      <c r="A15" s="79">
        <v>45996</v>
      </c>
      <c r="B15" s="82">
        <v>796</v>
      </c>
      <c r="D15" s="11" t="s">
        <v>810</v>
      </c>
      <c r="M15">
        <v>2</v>
      </c>
      <c r="N15">
        <v>2049</v>
      </c>
      <c r="O15">
        <f>M15*N15</f>
        <v>4098</v>
      </c>
    </row>
    <row r="16" spans="1:16" x14ac:dyDescent="0.3">
      <c r="A16" s="79">
        <v>45996</v>
      </c>
      <c r="B16" s="82">
        <v>798</v>
      </c>
      <c r="D16" s="11" t="s">
        <v>809</v>
      </c>
      <c r="M16">
        <v>5</v>
      </c>
      <c r="N16">
        <v>168</v>
      </c>
      <c r="O16">
        <f>M16*N16</f>
        <v>840</v>
      </c>
    </row>
    <row r="17" spans="1:15" x14ac:dyDescent="0.3">
      <c r="A17" s="79">
        <v>45999</v>
      </c>
      <c r="B17" s="82">
        <v>299</v>
      </c>
      <c r="D17" s="11" t="s">
        <v>811</v>
      </c>
      <c r="O17">
        <f>SUM(O14:O16)</f>
        <v>14888</v>
      </c>
    </row>
    <row r="18" spans="1:15" x14ac:dyDescent="0.3">
      <c r="A18" s="79">
        <v>45999</v>
      </c>
      <c r="B18" s="82">
        <v>398</v>
      </c>
      <c r="D18" s="11" t="s">
        <v>674</v>
      </c>
      <c r="G18" t="s">
        <v>845</v>
      </c>
    </row>
    <row r="19" spans="1:15" x14ac:dyDescent="0.3">
      <c r="A19" s="79">
        <v>45999</v>
      </c>
      <c r="B19" s="82">
        <v>399</v>
      </c>
      <c r="D19" s="11" t="s">
        <v>811</v>
      </c>
    </row>
    <row r="20" spans="1:15" x14ac:dyDescent="0.3">
      <c r="A20" s="79">
        <v>45999</v>
      </c>
      <c r="B20" s="82">
        <v>399</v>
      </c>
      <c r="D20" s="11" t="s">
        <v>811</v>
      </c>
    </row>
    <row r="21" spans="1:15" x14ac:dyDescent="0.3">
      <c r="A21" s="79">
        <v>45999</v>
      </c>
      <c r="B21" s="82">
        <v>399</v>
      </c>
      <c r="D21" s="11" t="s">
        <v>811</v>
      </c>
    </row>
    <row r="22" spans="1:15" x14ac:dyDescent="0.3">
      <c r="A22" s="79">
        <v>45999</v>
      </c>
      <c r="B22" s="82">
        <v>399</v>
      </c>
      <c r="D22" s="11" t="s">
        <v>811</v>
      </c>
    </row>
    <row r="23" spans="1:15" x14ac:dyDescent="0.3">
      <c r="A23" s="79">
        <v>45999</v>
      </c>
      <c r="B23" s="82">
        <v>796</v>
      </c>
      <c r="D23" s="11" t="s">
        <v>846</v>
      </c>
    </row>
    <row r="24" spans="1:15" x14ac:dyDescent="0.3">
      <c r="A24" s="79">
        <v>45999</v>
      </c>
      <c r="B24" s="82">
        <v>3980</v>
      </c>
      <c r="D24" s="11" t="s">
        <v>302</v>
      </c>
    </row>
    <row r="25" spans="1:15" x14ac:dyDescent="0.3">
      <c r="A25" s="79">
        <v>46000</v>
      </c>
      <c r="B25" s="82">
        <v>299</v>
      </c>
      <c r="D25" s="11" t="s">
        <v>811</v>
      </c>
    </row>
    <row r="26" spans="1:15" x14ac:dyDescent="0.3">
      <c r="A26" s="79">
        <v>46000</v>
      </c>
      <c r="B26" s="82">
        <v>394</v>
      </c>
      <c r="D26" s="11" t="s">
        <v>811</v>
      </c>
    </row>
    <row r="27" spans="1:15" x14ac:dyDescent="0.3">
      <c r="A27" s="79">
        <v>46000</v>
      </c>
      <c r="B27" s="82">
        <v>399</v>
      </c>
      <c r="D27" s="11" t="s">
        <v>811</v>
      </c>
    </row>
    <row r="28" spans="1:15" x14ac:dyDescent="0.3">
      <c r="A28" s="79">
        <v>46000</v>
      </c>
      <c r="B28" s="82">
        <v>798</v>
      </c>
      <c r="D28" s="11" t="s">
        <v>809</v>
      </c>
    </row>
    <row r="29" spans="1:15" x14ac:dyDescent="0.3">
      <c r="A29" s="79">
        <v>46000</v>
      </c>
      <c r="B29" s="82">
        <v>798</v>
      </c>
      <c r="D29" s="11" t="s">
        <v>809</v>
      </c>
    </row>
    <row r="30" spans="1:15" x14ac:dyDescent="0.3">
      <c r="A30" s="79">
        <v>46000</v>
      </c>
      <c r="B30" s="82">
        <v>798</v>
      </c>
      <c r="D30" s="11" t="s">
        <v>809</v>
      </c>
    </row>
    <row r="31" spans="1:15" x14ac:dyDescent="0.3">
      <c r="A31" s="79">
        <v>46000</v>
      </c>
      <c r="B31" s="82">
        <v>798</v>
      </c>
      <c r="D31" s="11" t="s">
        <v>809</v>
      </c>
    </row>
    <row r="32" spans="1:15" x14ac:dyDescent="0.3">
      <c r="A32" s="79">
        <v>46000</v>
      </c>
      <c r="B32" s="82">
        <v>1197</v>
      </c>
      <c r="D32" s="11" t="s">
        <v>811</v>
      </c>
    </row>
    <row r="33" spans="1:4" x14ac:dyDescent="0.3">
      <c r="A33" s="79">
        <v>46000</v>
      </c>
      <c r="B33" s="82">
        <v>840.75</v>
      </c>
      <c r="D33" s="11" t="s">
        <v>810</v>
      </c>
    </row>
    <row r="34" spans="1:4" x14ac:dyDescent="0.3">
      <c r="A34" s="79">
        <v>46000</v>
      </c>
      <c r="B34" s="82">
        <v>798</v>
      </c>
      <c r="D34" s="11" t="s">
        <v>809</v>
      </c>
    </row>
    <row r="35" spans="1:4" x14ac:dyDescent="0.3">
      <c r="A35" s="79">
        <v>46000</v>
      </c>
      <c r="B35" s="82">
        <v>5245.99</v>
      </c>
      <c r="D35" s="11" t="s">
        <v>811</v>
      </c>
    </row>
    <row r="36" spans="1:4" x14ac:dyDescent="0.3">
      <c r="A36" s="79">
        <v>46000</v>
      </c>
      <c r="B36" s="82">
        <v>399</v>
      </c>
      <c r="D36" s="11" t="s">
        <v>811</v>
      </c>
    </row>
    <row r="37" spans="1:4" x14ac:dyDescent="0.3">
      <c r="A37" s="79">
        <v>46000</v>
      </c>
      <c r="B37" s="82">
        <v>399</v>
      </c>
      <c r="D37" s="11" t="s">
        <v>811</v>
      </c>
    </row>
    <row r="38" spans="1:4" x14ac:dyDescent="0.3">
      <c r="A38" s="79">
        <v>46000</v>
      </c>
      <c r="B38" s="82">
        <v>796</v>
      </c>
      <c r="D38" s="11" t="s">
        <v>810</v>
      </c>
    </row>
    <row r="39" spans="1:4" x14ac:dyDescent="0.3">
      <c r="A39" s="79">
        <v>46000</v>
      </c>
      <c r="B39" s="82">
        <v>796</v>
      </c>
      <c r="D39" s="11" t="s">
        <v>810</v>
      </c>
    </row>
    <row r="40" spans="1:4" x14ac:dyDescent="0.3">
      <c r="A40" s="79">
        <v>46000</v>
      </c>
      <c r="B40" s="82">
        <v>796</v>
      </c>
      <c r="D40" s="11" t="s">
        <v>810</v>
      </c>
    </row>
    <row r="41" spans="1:4" x14ac:dyDescent="0.3">
      <c r="A41" s="79">
        <v>46000</v>
      </c>
      <c r="B41" s="82">
        <v>796</v>
      </c>
      <c r="D41" s="11" t="s">
        <v>810</v>
      </c>
    </row>
    <row r="42" spans="1:4" x14ac:dyDescent="0.3">
      <c r="A42" s="79">
        <v>46000</v>
      </c>
      <c r="B42" s="82">
        <v>796</v>
      </c>
      <c r="D42" s="11" t="s">
        <v>810</v>
      </c>
    </row>
    <row r="43" spans="1:4" x14ac:dyDescent="0.3">
      <c r="B43" s="81">
        <f>SUM(B2:B42)</f>
        <v>37616.74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0D5CE-4873-448D-A20D-8AD8B0BC412B}">
  <dimension ref="A1:C12"/>
  <sheetViews>
    <sheetView workbookViewId="0">
      <selection activeCell="H18" sqref="H18"/>
    </sheetView>
  </sheetViews>
  <sheetFormatPr defaultRowHeight="14.4" x14ac:dyDescent="0.3"/>
  <sheetData>
    <row r="1" spans="1:3" x14ac:dyDescent="0.3">
      <c r="A1" t="s">
        <v>65</v>
      </c>
      <c r="B1" t="s">
        <v>772</v>
      </c>
      <c r="C1" t="s">
        <v>773</v>
      </c>
    </row>
    <row r="2" spans="1:3" x14ac:dyDescent="0.3">
      <c r="A2" s="79">
        <v>45991</v>
      </c>
      <c r="B2">
        <v>2</v>
      </c>
      <c r="C2" s="81">
        <v>796</v>
      </c>
    </row>
    <row r="3" spans="1:3" x14ac:dyDescent="0.3">
      <c r="A3" s="79">
        <v>45991</v>
      </c>
      <c r="B3">
        <v>1</v>
      </c>
      <c r="C3" s="81">
        <v>398</v>
      </c>
    </row>
    <row r="4" spans="1:3" x14ac:dyDescent="0.3">
      <c r="A4" s="79">
        <v>45991</v>
      </c>
      <c r="B4">
        <v>2</v>
      </c>
      <c r="C4" s="81">
        <v>796</v>
      </c>
    </row>
    <row r="5" spans="1:3" x14ac:dyDescent="0.3">
      <c r="A5" s="79">
        <v>45991</v>
      </c>
      <c r="B5">
        <v>6</v>
      </c>
      <c r="C5" s="81">
        <v>2388</v>
      </c>
    </row>
    <row r="6" spans="1:3" x14ac:dyDescent="0.3">
      <c r="A6" s="79">
        <v>45991</v>
      </c>
      <c r="B6">
        <v>13</v>
      </c>
      <c r="C6" s="81">
        <v>5174</v>
      </c>
    </row>
    <row r="7" spans="1:3" x14ac:dyDescent="0.3">
      <c r="A7" s="79">
        <v>45991</v>
      </c>
      <c r="B7">
        <v>11</v>
      </c>
      <c r="C7" s="81">
        <v>4378</v>
      </c>
    </row>
    <row r="8" spans="1:3" x14ac:dyDescent="0.3">
      <c r="A8" s="79">
        <v>45991</v>
      </c>
      <c r="B8">
        <v>2</v>
      </c>
      <c r="C8" s="81">
        <v>796</v>
      </c>
    </row>
    <row r="9" spans="1:3" x14ac:dyDescent="0.3">
      <c r="A9" s="79">
        <v>45991</v>
      </c>
      <c r="B9">
        <v>3</v>
      </c>
      <c r="C9" s="81">
        <v>1194</v>
      </c>
    </row>
    <row r="10" spans="1:3" x14ac:dyDescent="0.3">
      <c r="A10" s="79">
        <v>45991</v>
      </c>
      <c r="B10">
        <v>4</v>
      </c>
      <c r="C10" s="81">
        <v>1592</v>
      </c>
    </row>
    <row r="11" spans="1:3" x14ac:dyDescent="0.3">
      <c r="A11" s="79">
        <v>45991</v>
      </c>
      <c r="B11">
        <v>3</v>
      </c>
      <c r="C11" s="81">
        <v>1200</v>
      </c>
    </row>
    <row r="12" spans="1:3" x14ac:dyDescent="0.3">
      <c r="B12">
        <f>SUM(B2:B11)</f>
        <v>47</v>
      </c>
      <c r="C12" s="81">
        <f>SUM(C2:C11)</f>
        <v>18712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875F-D429-4CE7-AE39-3DD74060A467}">
  <dimension ref="A1:K28"/>
  <sheetViews>
    <sheetView workbookViewId="0">
      <selection activeCell="B26" sqref="B26"/>
    </sheetView>
  </sheetViews>
  <sheetFormatPr defaultRowHeight="14.4" x14ac:dyDescent="0.3"/>
  <cols>
    <col min="3" max="3" width="26" bestFit="1" customWidth="1"/>
    <col min="4" max="4" width="23" bestFit="1" customWidth="1"/>
    <col min="5" max="5" width="7.5546875" bestFit="1" customWidth="1"/>
    <col min="7" max="7" width="33.109375" bestFit="1" customWidth="1"/>
    <col min="10" max="10" width="34.88671875" bestFit="1" customWidth="1"/>
    <col min="11" max="11" width="10.44140625" bestFit="1" customWidth="1"/>
    <col min="12" max="12" width="11.44140625" bestFit="1" customWidth="1"/>
    <col min="13" max="13" width="12.109375" bestFit="1" customWidth="1"/>
    <col min="14" max="14" width="9.77734375" bestFit="1" customWidth="1"/>
    <col min="15" max="15" width="7.88671875" bestFit="1" customWidth="1"/>
    <col min="16" max="16" width="18.6640625" bestFit="1" customWidth="1"/>
    <col min="17" max="17" width="9.33203125" bestFit="1" customWidth="1"/>
    <col min="18" max="18" width="7.88671875" bestFit="1" customWidth="1"/>
    <col min="19" max="19" width="26.5546875" bestFit="1" customWidth="1"/>
    <col min="20" max="20" width="18.33203125" bestFit="1" customWidth="1"/>
    <col min="21" max="21" width="7" bestFit="1" customWidth="1"/>
    <col min="22" max="22" width="10.77734375" bestFit="1" customWidth="1"/>
  </cols>
  <sheetData>
    <row r="1" spans="1:11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J1" s="13" t="s">
        <v>2</v>
      </c>
      <c r="K1" t="s">
        <v>755</v>
      </c>
    </row>
    <row r="2" spans="1:11" x14ac:dyDescent="0.3">
      <c r="A2" s="68">
        <v>45980</v>
      </c>
      <c r="B2" s="2">
        <v>15</v>
      </c>
      <c r="C2" s="2" t="s">
        <v>697</v>
      </c>
      <c r="D2" s="2" t="s">
        <v>30</v>
      </c>
      <c r="E2" s="3">
        <v>125</v>
      </c>
      <c r="F2" s="3">
        <v>1875</v>
      </c>
      <c r="G2" s="2" t="s">
        <v>718</v>
      </c>
    </row>
    <row r="3" spans="1:11" x14ac:dyDescent="0.3">
      <c r="A3" s="68">
        <v>45981</v>
      </c>
      <c r="B3" s="2">
        <v>12</v>
      </c>
      <c r="C3" s="2" t="s">
        <v>697</v>
      </c>
      <c r="D3" s="2" t="s">
        <v>701</v>
      </c>
      <c r="E3" s="3">
        <v>125</v>
      </c>
      <c r="F3" s="3">
        <v>1500</v>
      </c>
      <c r="G3" s="2" t="s">
        <v>757</v>
      </c>
      <c r="J3" s="13" t="s">
        <v>78</v>
      </c>
      <c r="K3" t="s">
        <v>81</v>
      </c>
    </row>
    <row r="4" spans="1:11" x14ac:dyDescent="0.3">
      <c r="A4" s="68">
        <v>45981</v>
      </c>
      <c r="B4" s="2">
        <v>23</v>
      </c>
      <c r="C4" s="2" t="s">
        <v>697</v>
      </c>
      <c r="D4" s="2" t="s">
        <v>702</v>
      </c>
      <c r="E4" s="3">
        <v>125</v>
      </c>
      <c r="F4" s="3">
        <v>2875</v>
      </c>
      <c r="G4" s="2" t="s">
        <v>753</v>
      </c>
      <c r="J4" s="14" t="s">
        <v>718</v>
      </c>
      <c r="K4">
        <v>26</v>
      </c>
    </row>
    <row r="5" spans="1:11" x14ac:dyDescent="0.3">
      <c r="A5" s="68">
        <v>45982</v>
      </c>
      <c r="B5" s="2">
        <v>1</v>
      </c>
      <c r="C5" s="2" t="s">
        <v>711</v>
      </c>
      <c r="D5" s="2" t="s">
        <v>712</v>
      </c>
      <c r="E5" s="3">
        <v>598</v>
      </c>
      <c r="F5" s="3">
        <v>598</v>
      </c>
      <c r="G5" s="2" t="s">
        <v>231</v>
      </c>
      <c r="J5" s="74" t="s">
        <v>697</v>
      </c>
      <c r="K5">
        <v>15</v>
      </c>
    </row>
    <row r="6" spans="1:11" x14ac:dyDescent="0.3">
      <c r="A6" s="68">
        <v>45982</v>
      </c>
      <c r="B6" s="2">
        <v>5</v>
      </c>
      <c r="C6" s="2" t="s">
        <v>716</v>
      </c>
      <c r="D6" s="2" t="s">
        <v>87</v>
      </c>
      <c r="E6" s="3">
        <v>509</v>
      </c>
      <c r="F6" s="3">
        <v>2545</v>
      </c>
      <c r="G6" s="2" t="s">
        <v>718</v>
      </c>
      <c r="J6" s="74" t="s">
        <v>716</v>
      </c>
      <c r="K6">
        <v>5</v>
      </c>
    </row>
    <row r="7" spans="1:11" x14ac:dyDescent="0.3">
      <c r="A7" s="68">
        <v>45982</v>
      </c>
      <c r="B7" s="2">
        <v>6</v>
      </c>
      <c r="C7" s="2" t="s">
        <v>717</v>
      </c>
      <c r="D7" s="2" t="s">
        <v>87</v>
      </c>
      <c r="E7" s="3">
        <v>659</v>
      </c>
      <c r="F7" s="3">
        <v>3954</v>
      </c>
      <c r="G7" s="2" t="s">
        <v>718</v>
      </c>
      <c r="J7" s="74" t="s">
        <v>717</v>
      </c>
      <c r="K7">
        <v>6</v>
      </c>
    </row>
    <row r="8" spans="1:11" x14ac:dyDescent="0.3">
      <c r="A8" s="68">
        <v>45982</v>
      </c>
      <c r="B8" s="2">
        <v>3</v>
      </c>
      <c r="C8" s="2" t="s">
        <v>717</v>
      </c>
      <c r="D8" s="2" t="s">
        <v>87</v>
      </c>
      <c r="E8" s="3">
        <v>659</v>
      </c>
      <c r="F8" s="3">
        <v>1977</v>
      </c>
      <c r="G8" s="2" t="s">
        <v>752</v>
      </c>
      <c r="J8" s="14" t="s">
        <v>231</v>
      </c>
      <c r="K8">
        <v>1</v>
      </c>
    </row>
    <row r="9" spans="1:11" x14ac:dyDescent="0.3">
      <c r="A9" s="68">
        <v>45982</v>
      </c>
      <c r="B9" s="2">
        <v>7</v>
      </c>
      <c r="C9" s="2" t="s">
        <v>716</v>
      </c>
      <c r="D9" s="2" t="s">
        <v>87</v>
      </c>
      <c r="E9" s="3">
        <v>509</v>
      </c>
      <c r="F9" s="3">
        <v>3563</v>
      </c>
      <c r="G9" s="2" t="s">
        <v>752</v>
      </c>
      <c r="J9" s="74" t="s">
        <v>711</v>
      </c>
      <c r="K9">
        <v>1</v>
      </c>
    </row>
    <row r="10" spans="1:11" x14ac:dyDescent="0.3">
      <c r="A10" s="68">
        <v>45982</v>
      </c>
      <c r="B10" s="2">
        <v>5</v>
      </c>
      <c r="C10" s="2" t="s">
        <v>721</v>
      </c>
      <c r="D10" s="2" t="s">
        <v>87</v>
      </c>
      <c r="E10" s="3">
        <v>659</v>
      </c>
      <c r="F10" s="3">
        <v>3295</v>
      </c>
      <c r="G10" s="2" t="s">
        <v>753</v>
      </c>
      <c r="J10" s="14" t="s">
        <v>754</v>
      </c>
      <c r="K10">
        <v>8</v>
      </c>
    </row>
    <row r="11" spans="1:11" x14ac:dyDescent="0.3">
      <c r="A11" s="68">
        <v>45982</v>
      </c>
      <c r="B11" s="2">
        <v>9</v>
      </c>
      <c r="C11" s="2" t="s">
        <v>722</v>
      </c>
      <c r="D11" s="2" t="s">
        <v>87</v>
      </c>
      <c r="E11" s="3">
        <v>509</v>
      </c>
      <c r="F11" s="3">
        <v>4581</v>
      </c>
      <c r="G11" s="2" t="s">
        <v>753</v>
      </c>
      <c r="J11" s="74" t="s">
        <v>722</v>
      </c>
      <c r="K11">
        <v>8</v>
      </c>
    </row>
    <row r="12" spans="1:11" x14ac:dyDescent="0.3">
      <c r="A12" s="68">
        <v>45982</v>
      </c>
      <c r="B12" s="2">
        <v>8</v>
      </c>
      <c r="C12" s="2" t="s">
        <v>722</v>
      </c>
      <c r="D12" s="2" t="s">
        <v>87</v>
      </c>
      <c r="E12" s="3">
        <v>509</v>
      </c>
      <c r="F12" s="3">
        <v>4072</v>
      </c>
      <c r="G12" s="2" t="s">
        <v>754</v>
      </c>
      <c r="J12" s="14" t="s">
        <v>753</v>
      </c>
      <c r="K12">
        <v>37</v>
      </c>
    </row>
    <row r="13" spans="1:11" x14ac:dyDescent="0.3">
      <c r="A13" s="68">
        <v>45989</v>
      </c>
      <c r="B13" s="2">
        <v>6</v>
      </c>
      <c r="C13" s="2" t="s">
        <v>647</v>
      </c>
      <c r="D13" s="2" t="s">
        <v>364</v>
      </c>
      <c r="E13" s="3">
        <v>419</v>
      </c>
      <c r="F13" s="3">
        <v>2514</v>
      </c>
      <c r="G13" s="2" t="s">
        <v>743</v>
      </c>
      <c r="J13" s="74" t="s">
        <v>697</v>
      </c>
      <c r="K13">
        <v>23</v>
      </c>
    </row>
    <row r="14" spans="1:11" x14ac:dyDescent="0.3">
      <c r="A14" s="68">
        <v>45989</v>
      </c>
      <c r="B14" s="2">
        <v>10</v>
      </c>
      <c r="C14" s="2" t="s">
        <v>744</v>
      </c>
      <c r="D14" s="2" t="s">
        <v>364</v>
      </c>
      <c r="E14" s="3">
        <v>125</v>
      </c>
      <c r="F14" s="3">
        <v>1250</v>
      </c>
      <c r="G14" s="2" t="s">
        <v>750</v>
      </c>
      <c r="J14" s="74" t="s">
        <v>722</v>
      </c>
      <c r="K14">
        <v>9</v>
      </c>
    </row>
    <row r="15" spans="1:11" x14ac:dyDescent="0.3">
      <c r="A15" s="68">
        <v>45989</v>
      </c>
      <c r="B15" s="2">
        <v>3</v>
      </c>
      <c r="C15" s="2" t="s">
        <v>647</v>
      </c>
      <c r="D15" s="2" t="s">
        <v>364</v>
      </c>
      <c r="E15" s="3">
        <v>419</v>
      </c>
      <c r="F15" s="3">
        <v>1257</v>
      </c>
      <c r="G15" s="2" t="s">
        <v>11</v>
      </c>
      <c r="J15" s="74" t="s">
        <v>721</v>
      </c>
      <c r="K15">
        <v>5</v>
      </c>
    </row>
    <row r="16" spans="1:11" x14ac:dyDescent="0.3">
      <c r="A16" s="68">
        <v>45989</v>
      </c>
      <c r="B16" s="2">
        <v>2</v>
      </c>
      <c r="C16" s="2" t="s">
        <v>647</v>
      </c>
      <c r="D16" s="2" t="s">
        <v>364</v>
      </c>
      <c r="E16" s="3">
        <v>419</v>
      </c>
      <c r="F16" s="3">
        <v>838</v>
      </c>
      <c r="G16" s="2" t="s">
        <v>102</v>
      </c>
      <c r="J16" s="14" t="s">
        <v>743</v>
      </c>
      <c r="K16">
        <v>6</v>
      </c>
    </row>
    <row r="17" spans="1:11" x14ac:dyDescent="0.3">
      <c r="A17" s="68">
        <v>45990</v>
      </c>
      <c r="B17" s="2">
        <v>1</v>
      </c>
      <c r="C17" s="2" t="s">
        <v>747</v>
      </c>
      <c r="D17" s="2" t="s">
        <v>230</v>
      </c>
      <c r="E17" s="3">
        <v>399</v>
      </c>
      <c r="F17" s="3">
        <v>399</v>
      </c>
      <c r="G17" s="2" t="s">
        <v>102</v>
      </c>
      <c r="J17" s="74" t="s">
        <v>647</v>
      </c>
      <c r="K17">
        <v>6</v>
      </c>
    </row>
    <row r="18" spans="1:11" x14ac:dyDescent="0.3">
      <c r="A18" s="68">
        <v>45990</v>
      </c>
      <c r="B18" s="2">
        <v>2</v>
      </c>
      <c r="C18" s="2" t="s">
        <v>664</v>
      </c>
      <c r="D18" s="2" t="s">
        <v>748</v>
      </c>
      <c r="E18" s="3">
        <v>398</v>
      </c>
      <c r="F18" s="3">
        <v>796</v>
      </c>
      <c r="G18" s="2" t="s">
        <v>756</v>
      </c>
      <c r="J18" s="14" t="s">
        <v>11</v>
      </c>
      <c r="K18">
        <v>3</v>
      </c>
    </row>
    <row r="19" spans="1:11" x14ac:dyDescent="0.3">
      <c r="J19" s="74" t="s">
        <v>647</v>
      </c>
      <c r="K19">
        <v>3</v>
      </c>
    </row>
    <row r="20" spans="1:11" x14ac:dyDescent="0.3">
      <c r="J20" s="14" t="s">
        <v>102</v>
      </c>
      <c r="K20">
        <v>3</v>
      </c>
    </row>
    <row r="21" spans="1:11" x14ac:dyDescent="0.3">
      <c r="J21" s="74" t="s">
        <v>647</v>
      </c>
      <c r="K21">
        <v>2</v>
      </c>
    </row>
    <row r="22" spans="1:11" x14ac:dyDescent="0.3">
      <c r="J22" s="74" t="s">
        <v>747</v>
      </c>
      <c r="K22">
        <v>1</v>
      </c>
    </row>
    <row r="23" spans="1:11" x14ac:dyDescent="0.3">
      <c r="J23" s="14" t="s">
        <v>750</v>
      </c>
      <c r="K23">
        <v>10</v>
      </c>
    </row>
    <row r="24" spans="1:11" x14ac:dyDescent="0.3">
      <c r="J24" s="74" t="s">
        <v>744</v>
      </c>
      <c r="K24">
        <v>10</v>
      </c>
    </row>
    <row r="25" spans="1:11" x14ac:dyDescent="0.3">
      <c r="J25" s="14" t="s">
        <v>752</v>
      </c>
      <c r="K25">
        <v>10</v>
      </c>
    </row>
    <row r="26" spans="1:11" x14ac:dyDescent="0.3">
      <c r="J26" s="74" t="s">
        <v>716</v>
      </c>
      <c r="K26">
        <v>7</v>
      </c>
    </row>
    <row r="27" spans="1:11" x14ac:dyDescent="0.3">
      <c r="J27" s="74" t="s">
        <v>717</v>
      </c>
      <c r="K27">
        <v>3</v>
      </c>
    </row>
    <row r="28" spans="1:11" x14ac:dyDescent="0.3">
      <c r="J28" s="14" t="s">
        <v>80</v>
      </c>
      <c r="K28">
        <v>104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382A-E153-43E6-A591-401E5013DDAA}">
  <dimension ref="A1:W12"/>
  <sheetViews>
    <sheetView workbookViewId="0">
      <selection activeCell="J18" sqref="J18"/>
    </sheetView>
  </sheetViews>
  <sheetFormatPr defaultRowHeight="14.4" x14ac:dyDescent="0.3"/>
  <cols>
    <col min="1" max="1" width="6.5546875" bestFit="1" customWidth="1"/>
    <col min="2" max="2" width="4" bestFit="1" customWidth="1"/>
    <col min="3" max="3" width="15.88671875" bestFit="1" customWidth="1"/>
    <col min="4" max="4" width="15.77734375" bestFit="1" customWidth="1"/>
    <col min="5" max="5" width="6.44140625" bestFit="1" customWidth="1"/>
    <col min="6" max="6" width="7.44140625" bestFit="1" customWidth="1"/>
    <col min="7" max="7" width="14.44140625" bestFit="1" customWidth="1"/>
    <col min="8" max="8" width="15" bestFit="1" customWidth="1"/>
    <col min="9" max="9" width="12.109375" bestFit="1" customWidth="1"/>
    <col min="12" max="12" width="15.88671875" bestFit="1" customWidth="1"/>
    <col min="13" max="13" width="10.44140625" bestFit="1" customWidth="1"/>
    <col min="15" max="15" width="12.5546875" bestFit="1" customWidth="1"/>
    <col min="16" max="16" width="10.44140625" bestFit="1" customWidth="1"/>
    <col min="18" max="18" width="15.77734375" bestFit="1" customWidth="1"/>
    <col min="19" max="19" width="10.44140625" bestFit="1" customWidth="1"/>
  </cols>
  <sheetData>
    <row r="1" spans="1:23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L1" s="13" t="s">
        <v>78</v>
      </c>
      <c r="M1" t="s">
        <v>81</v>
      </c>
      <c r="O1" s="13" t="s">
        <v>78</v>
      </c>
      <c r="P1" t="s">
        <v>81</v>
      </c>
      <c r="R1" s="13" t="s">
        <v>78</v>
      </c>
      <c r="S1" t="s">
        <v>81</v>
      </c>
    </row>
    <row r="2" spans="1:23" x14ac:dyDescent="0.3">
      <c r="A2" s="68">
        <v>45957</v>
      </c>
      <c r="B2" s="2">
        <v>1</v>
      </c>
      <c r="C2" s="2" t="s">
        <v>406</v>
      </c>
      <c r="D2" s="2" t="s">
        <v>635</v>
      </c>
      <c r="E2" s="65">
        <v>1449</v>
      </c>
      <c r="F2" s="65">
        <v>1449</v>
      </c>
      <c r="G2" s="2" t="s">
        <v>348</v>
      </c>
      <c r="H2" s="2" t="s">
        <v>636</v>
      </c>
      <c r="I2" s="2"/>
      <c r="L2" s="14" t="s">
        <v>639</v>
      </c>
      <c r="M2">
        <v>1</v>
      </c>
      <c r="O2" s="14" t="s">
        <v>582</v>
      </c>
      <c r="P2">
        <v>1</v>
      </c>
      <c r="R2" s="14" t="s">
        <v>323</v>
      </c>
      <c r="S2">
        <v>21</v>
      </c>
      <c r="V2">
        <v>21</v>
      </c>
      <c r="W2">
        <v>20</v>
      </c>
    </row>
    <row r="3" spans="1:23" x14ac:dyDescent="0.3">
      <c r="A3" s="68">
        <v>45957</v>
      </c>
      <c r="B3" s="2">
        <v>2</v>
      </c>
      <c r="C3" s="2" t="s">
        <v>406</v>
      </c>
      <c r="D3" s="2" t="s">
        <v>383</v>
      </c>
      <c r="E3" s="65">
        <v>1455</v>
      </c>
      <c r="F3" s="65">
        <f>E3*B3</f>
        <v>2910</v>
      </c>
      <c r="G3" s="2" t="s">
        <v>348</v>
      </c>
      <c r="H3" s="2" t="s">
        <v>638</v>
      </c>
      <c r="I3" s="72" t="s">
        <v>637</v>
      </c>
      <c r="L3" s="14" t="s">
        <v>406</v>
      </c>
      <c r="M3">
        <v>19</v>
      </c>
      <c r="O3" s="14" t="s">
        <v>580</v>
      </c>
      <c r="P3">
        <v>11</v>
      </c>
      <c r="R3" s="14" t="s">
        <v>459</v>
      </c>
      <c r="S3">
        <v>4</v>
      </c>
      <c r="V3">
        <v>4</v>
      </c>
      <c r="W3">
        <v>12</v>
      </c>
    </row>
    <row r="4" spans="1:23" x14ac:dyDescent="0.3">
      <c r="A4" s="68">
        <v>45958</v>
      </c>
      <c r="B4" s="2">
        <v>10</v>
      </c>
      <c r="C4" s="2" t="s">
        <v>406</v>
      </c>
      <c r="D4" s="2" t="s">
        <v>383</v>
      </c>
      <c r="E4" s="65">
        <v>1399</v>
      </c>
      <c r="F4" s="65">
        <f>E4*B4</f>
        <v>13990</v>
      </c>
      <c r="G4" s="2" t="s">
        <v>348</v>
      </c>
      <c r="H4" s="2" t="s">
        <v>636</v>
      </c>
      <c r="I4" s="2"/>
      <c r="L4" s="14" t="s">
        <v>378</v>
      </c>
      <c r="M4">
        <v>3</v>
      </c>
      <c r="O4" s="14" t="s">
        <v>378</v>
      </c>
      <c r="P4">
        <v>4</v>
      </c>
      <c r="R4" s="14" t="s">
        <v>80</v>
      </c>
      <c r="S4">
        <v>25</v>
      </c>
      <c r="V4">
        <v>3</v>
      </c>
      <c r="W4">
        <v>4</v>
      </c>
    </row>
    <row r="5" spans="1:23" x14ac:dyDescent="0.3">
      <c r="A5" s="68">
        <v>45958</v>
      </c>
      <c r="B5" s="2">
        <v>1</v>
      </c>
      <c r="C5" s="2" t="s">
        <v>391</v>
      </c>
      <c r="D5" s="2" t="s">
        <v>383</v>
      </c>
      <c r="E5" s="65">
        <v>9</v>
      </c>
      <c r="F5" s="65">
        <v>9</v>
      </c>
      <c r="G5" s="2"/>
      <c r="H5" s="2" t="s">
        <v>636</v>
      </c>
      <c r="I5" s="2"/>
      <c r="L5" s="14" t="s">
        <v>80</v>
      </c>
      <c r="M5">
        <v>23</v>
      </c>
      <c r="O5" s="14" t="s">
        <v>80</v>
      </c>
      <c r="P5">
        <v>16</v>
      </c>
    </row>
    <row r="6" spans="1:23" x14ac:dyDescent="0.3">
      <c r="A6" s="68">
        <v>45958</v>
      </c>
      <c r="B6" s="2">
        <v>3</v>
      </c>
      <c r="C6" s="2" t="s">
        <v>378</v>
      </c>
      <c r="D6" s="2" t="s">
        <v>383</v>
      </c>
      <c r="E6" s="65">
        <v>780</v>
      </c>
      <c r="F6" s="65">
        <f>E6*B6</f>
        <v>2340</v>
      </c>
      <c r="G6" s="2" t="s">
        <v>348</v>
      </c>
      <c r="H6" s="2" t="s">
        <v>636</v>
      </c>
      <c r="I6" s="2"/>
    </row>
    <row r="7" spans="1:23" x14ac:dyDescent="0.3">
      <c r="A7" s="68">
        <v>45958</v>
      </c>
      <c r="B7" s="2">
        <v>6</v>
      </c>
      <c r="C7" s="2" t="s">
        <v>406</v>
      </c>
      <c r="D7" s="2" t="s">
        <v>433</v>
      </c>
      <c r="E7" s="65">
        <v>1348</v>
      </c>
      <c r="F7" s="65">
        <f t="shared" ref="F7:F8" si="0">E7*B7</f>
        <v>8088</v>
      </c>
      <c r="G7" s="2" t="s">
        <v>348</v>
      </c>
      <c r="H7" s="2" t="s">
        <v>636</v>
      </c>
      <c r="I7" s="2"/>
    </row>
    <row r="8" spans="1:23" x14ac:dyDescent="0.3">
      <c r="A8" s="68">
        <v>45958</v>
      </c>
      <c r="B8" s="2">
        <v>1</v>
      </c>
      <c r="C8" s="2" t="s">
        <v>639</v>
      </c>
      <c r="D8" s="2" t="s">
        <v>433</v>
      </c>
      <c r="E8" s="65">
        <v>1348</v>
      </c>
      <c r="F8" s="65">
        <f t="shared" si="0"/>
        <v>1348</v>
      </c>
      <c r="G8" s="2" t="s">
        <v>348</v>
      </c>
      <c r="H8" s="2" t="s">
        <v>636</v>
      </c>
      <c r="I8" s="2"/>
    </row>
    <row r="9" spans="1:23" x14ac:dyDescent="0.3">
      <c r="A9" s="2"/>
      <c r="B9" s="2"/>
      <c r="C9" s="2"/>
      <c r="D9" s="2"/>
      <c r="E9" s="2"/>
      <c r="F9" s="2"/>
      <c r="G9" s="2"/>
      <c r="H9" s="2"/>
      <c r="I9" s="2"/>
    </row>
    <row r="10" spans="1:23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23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23" x14ac:dyDescent="0.3">
      <c r="A12" s="2"/>
      <c r="B12" s="2"/>
      <c r="C12" s="2"/>
      <c r="D12" s="2"/>
      <c r="E12" s="2"/>
      <c r="F12" s="2"/>
      <c r="G12" s="2"/>
      <c r="H12" s="2"/>
      <c r="I12" s="2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4FFE-EB9D-4E44-AB93-525259D4E229}">
  <dimension ref="A1:I19"/>
  <sheetViews>
    <sheetView workbookViewId="0">
      <selection activeCell="K13" sqref="K13"/>
    </sheetView>
  </sheetViews>
  <sheetFormatPr defaultRowHeight="14.4" x14ac:dyDescent="0.3"/>
  <cols>
    <col min="1" max="1" width="16.5546875" bestFit="1" customWidth="1"/>
    <col min="2" max="2" width="4" bestFit="1" customWidth="1"/>
    <col min="3" max="4" width="17" bestFit="1" customWidth="1"/>
    <col min="6" max="6" width="10" bestFit="1" customWidth="1"/>
    <col min="7" max="7" width="14.44140625" bestFit="1" customWidth="1"/>
    <col min="8" max="8" width="15" bestFit="1" customWidth="1"/>
    <col min="9" max="9" width="12.1093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</row>
    <row r="2" spans="1:9" x14ac:dyDescent="0.3">
      <c r="A2" s="78">
        <v>45964</v>
      </c>
      <c r="B2" s="2">
        <v>2</v>
      </c>
      <c r="C2" s="2" t="s">
        <v>582</v>
      </c>
      <c r="D2" s="2" t="s">
        <v>383</v>
      </c>
      <c r="E2" s="3">
        <v>1450</v>
      </c>
      <c r="F2" s="3">
        <f>B2*E2</f>
        <v>2900</v>
      </c>
      <c r="G2" s="2" t="s">
        <v>348</v>
      </c>
      <c r="H2" s="2" t="s">
        <v>464</v>
      </c>
      <c r="I2" s="2"/>
    </row>
    <row r="3" spans="1:9" x14ac:dyDescent="0.3">
      <c r="A3" s="78">
        <v>45964</v>
      </c>
      <c r="B3" s="10">
        <v>2</v>
      </c>
      <c r="C3" s="2" t="s">
        <v>580</v>
      </c>
      <c r="D3" s="2" t="s">
        <v>460</v>
      </c>
      <c r="E3" s="3">
        <v>1450</v>
      </c>
      <c r="F3" s="3">
        <f t="shared" ref="F3:F12" si="0">B3*E3</f>
        <v>2900</v>
      </c>
      <c r="G3" s="2" t="s">
        <v>348</v>
      </c>
      <c r="H3" s="2" t="s">
        <v>464</v>
      </c>
      <c r="I3" s="2"/>
    </row>
    <row r="4" spans="1:9" x14ac:dyDescent="0.3">
      <c r="A4" s="78">
        <v>45964</v>
      </c>
      <c r="B4" s="2">
        <v>1</v>
      </c>
      <c r="C4" s="2" t="s">
        <v>582</v>
      </c>
      <c r="D4" s="2" t="s">
        <v>635</v>
      </c>
      <c r="E4" s="3">
        <v>1480</v>
      </c>
      <c r="F4" s="3">
        <f t="shared" si="0"/>
        <v>1480</v>
      </c>
      <c r="G4" s="2" t="s">
        <v>348</v>
      </c>
      <c r="H4" s="2" t="s">
        <v>464</v>
      </c>
      <c r="I4" s="2"/>
    </row>
    <row r="5" spans="1:9" x14ac:dyDescent="0.3">
      <c r="A5" s="78">
        <v>45964</v>
      </c>
      <c r="B5" s="2">
        <v>4</v>
      </c>
      <c r="C5" s="2" t="s">
        <v>678</v>
      </c>
      <c r="D5" s="2" t="s">
        <v>383</v>
      </c>
      <c r="E5" s="3">
        <v>1399</v>
      </c>
      <c r="F5" s="3">
        <f t="shared" si="0"/>
        <v>5596</v>
      </c>
      <c r="G5" s="2" t="s">
        <v>348</v>
      </c>
      <c r="H5" s="2" t="s">
        <v>464</v>
      </c>
      <c r="I5" s="2"/>
    </row>
    <row r="6" spans="1:9" x14ac:dyDescent="0.3">
      <c r="A6" s="78">
        <v>45964</v>
      </c>
      <c r="B6" s="2">
        <v>2</v>
      </c>
      <c r="C6" s="2" t="s">
        <v>582</v>
      </c>
      <c r="D6" s="2" t="s">
        <v>383</v>
      </c>
      <c r="E6" s="3">
        <v>1399</v>
      </c>
      <c r="F6" s="3">
        <f t="shared" si="0"/>
        <v>2798</v>
      </c>
      <c r="G6" s="2" t="s">
        <v>348</v>
      </c>
      <c r="H6" s="2" t="s">
        <v>464</v>
      </c>
      <c r="I6" s="2"/>
    </row>
    <row r="7" spans="1:9" x14ac:dyDescent="0.3">
      <c r="A7" s="78">
        <v>45968</v>
      </c>
      <c r="B7" s="2">
        <v>60</v>
      </c>
      <c r="C7" s="2" t="s">
        <v>666</v>
      </c>
      <c r="D7" s="2" t="s">
        <v>667</v>
      </c>
      <c r="E7" s="3">
        <v>10</v>
      </c>
      <c r="F7" s="3">
        <f t="shared" si="0"/>
        <v>600</v>
      </c>
      <c r="G7" s="2"/>
      <c r="H7" s="2"/>
      <c r="I7" s="2"/>
    </row>
    <row r="8" spans="1:9" x14ac:dyDescent="0.3">
      <c r="A8" s="78">
        <v>45988</v>
      </c>
      <c r="B8" s="10">
        <v>1</v>
      </c>
      <c r="C8" s="2" t="s">
        <v>582</v>
      </c>
      <c r="D8" s="2" t="s">
        <v>522</v>
      </c>
      <c r="E8" s="3">
        <v>1348</v>
      </c>
      <c r="F8" s="3">
        <f t="shared" si="0"/>
        <v>1348</v>
      </c>
      <c r="G8" s="2" t="s">
        <v>348</v>
      </c>
      <c r="H8" s="2" t="s">
        <v>464</v>
      </c>
      <c r="I8" s="79">
        <v>46004</v>
      </c>
    </row>
    <row r="9" spans="1:9" x14ac:dyDescent="0.3">
      <c r="A9" s="78">
        <v>45988</v>
      </c>
      <c r="B9" s="10">
        <v>1</v>
      </c>
      <c r="C9" s="2" t="s">
        <v>678</v>
      </c>
      <c r="D9" s="2" t="s">
        <v>522</v>
      </c>
      <c r="E9" s="3">
        <v>1348</v>
      </c>
      <c r="F9" s="3">
        <f t="shared" si="0"/>
        <v>1348</v>
      </c>
      <c r="G9" s="2" t="s">
        <v>348</v>
      </c>
      <c r="H9" s="2" t="s">
        <v>464</v>
      </c>
      <c r="I9" s="79">
        <v>46004</v>
      </c>
    </row>
    <row r="10" spans="1:9" x14ac:dyDescent="0.3">
      <c r="A10" s="78">
        <v>45989</v>
      </c>
      <c r="B10" s="10">
        <v>3</v>
      </c>
      <c r="C10" s="2" t="s">
        <v>582</v>
      </c>
      <c r="D10" s="2" t="s">
        <v>466</v>
      </c>
      <c r="E10" s="3">
        <v>1380</v>
      </c>
      <c r="F10" s="3">
        <f t="shared" si="0"/>
        <v>4140</v>
      </c>
      <c r="G10" s="2" t="s">
        <v>348</v>
      </c>
      <c r="H10" s="2" t="s">
        <v>467</v>
      </c>
      <c r="I10" s="79">
        <v>46004</v>
      </c>
    </row>
    <row r="11" spans="1:9" x14ac:dyDescent="0.3">
      <c r="A11" s="78">
        <v>45989</v>
      </c>
      <c r="B11" s="10">
        <v>10</v>
      </c>
      <c r="C11" s="2" t="s">
        <v>678</v>
      </c>
      <c r="D11" s="2" t="s">
        <v>383</v>
      </c>
      <c r="E11" s="3">
        <v>1390</v>
      </c>
      <c r="F11" s="3">
        <f t="shared" si="0"/>
        <v>13900</v>
      </c>
      <c r="G11" s="2" t="s">
        <v>348</v>
      </c>
      <c r="H11" s="2" t="s">
        <v>464</v>
      </c>
      <c r="I11" s="79">
        <v>46004</v>
      </c>
    </row>
    <row r="12" spans="1:9" x14ac:dyDescent="0.3">
      <c r="A12" s="78">
        <v>45989</v>
      </c>
      <c r="B12" s="10">
        <v>12</v>
      </c>
      <c r="C12" s="2" t="s">
        <v>582</v>
      </c>
      <c r="D12" s="2" t="s">
        <v>383</v>
      </c>
      <c r="E12" s="3">
        <v>1390</v>
      </c>
      <c r="F12" s="3">
        <f t="shared" si="0"/>
        <v>16680</v>
      </c>
      <c r="G12" s="2" t="s">
        <v>348</v>
      </c>
      <c r="H12" s="2" t="s">
        <v>464</v>
      </c>
      <c r="I12" s="79">
        <v>46004</v>
      </c>
    </row>
    <row r="13" spans="1:9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2"/>
      <c r="B19" s="2"/>
      <c r="C19" s="2"/>
      <c r="D19" s="2"/>
      <c r="E19" s="2"/>
      <c r="F19" s="2"/>
      <c r="G19" s="2"/>
      <c r="H19" s="2"/>
      <c r="I19" s="2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2D5C9-25AA-416C-A42E-39C15F7EADF6}">
  <dimension ref="A1:O16"/>
  <sheetViews>
    <sheetView tabSelected="1" workbookViewId="0">
      <selection activeCell="D26" sqref="D26"/>
    </sheetView>
  </sheetViews>
  <sheetFormatPr defaultRowHeight="14.4" x14ac:dyDescent="0.3"/>
  <cols>
    <col min="3" max="3" width="15.88671875" bestFit="1" customWidth="1"/>
    <col min="4" max="4" width="15.21875" bestFit="1" customWidth="1"/>
    <col min="7" max="7" width="14.44140625" bestFit="1" customWidth="1"/>
    <col min="8" max="8" width="15" bestFit="1" customWidth="1"/>
    <col min="9" max="9" width="12.109375" bestFit="1" customWidth="1"/>
  </cols>
  <sheetData>
    <row r="1" spans="1:15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J1" s="48" t="s">
        <v>632</v>
      </c>
    </row>
    <row r="2" spans="1:15" x14ac:dyDescent="0.3">
      <c r="A2" s="99">
        <v>45993</v>
      </c>
      <c r="B2" s="100">
        <v>10</v>
      </c>
      <c r="C2" s="100" t="s">
        <v>639</v>
      </c>
      <c r="D2" s="100" t="s">
        <v>460</v>
      </c>
      <c r="E2" s="100">
        <v>1260</v>
      </c>
      <c r="F2" s="100">
        <f>B2*E2</f>
        <v>12600</v>
      </c>
      <c r="G2" s="100" t="s">
        <v>348</v>
      </c>
      <c r="H2" s="100" t="s">
        <v>464</v>
      </c>
      <c r="I2" s="100"/>
      <c r="J2" s="79">
        <v>46004</v>
      </c>
    </row>
    <row r="3" spans="1:15" x14ac:dyDescent="0.3">
      <c r="A3" s="99">
        <v>45993</v>
      </c>
      <c r="B3" s="100">
        <v>1</v>
      </c>
      <c r="C3" s="100" t="s">
        <v>639</v>
      </c>
      <c r="D3" s="100" t="s">
        <v>433</v>
      </c>
      <c r="E3" s="100">
        <v>1348</v>
      </c>
      <c r="F3" s="100">
        <f>B3*E3</f>
        <v>1348</v>
      </c>
      <c r="G3" s="100" t="s">
        <v>348</v>
      </c>
      <c r="H3" s="100" t="s">
        <v>464</v>
      </c>
      <c r="I3" s="100"/>
      <c r="J3" s="79">
        <v>46004</v>
      </c>
    </row>
    <row r="4" spans="1:15" x14ac:dyDescent="0.3">
      <c r="A4" s="99">
        <v>45993</v>
      </c>
      <c r="B4" s="100">
        <v>3</v>
      </c>
      <c r="C4" s="100" t="s">
        <v>378</v>
      </c>
      <c r="D4" s="100" t="s">
        <v>433</v>
      </c>
      <c r="E4" s="100">
        <v>738</v>
      </c>
      <c r="F4" s="100">
        <f t="shared" ref="F4:F13" si="0">B4*E4</f>
        <v>2214</v>
      </c>
      <c r="G4" s="100" t="s">
        <v>348</v>
      </c>
      <c r="H4" s="100" t="s">
        <v>464</v>
      </c>
      <c r="I4" s="100"/>
      <c r="J4" s="79">
        <v>46004</v>
      </c>
    </row>
    <row r="5" spans="1:15" x14ac:dyDescent="0.3">
      <c r="A5" s="99">
        <v>45993</v>
      </c>
      <c r="B5" s="100">
        <v>2</v>
      </c>
      <c r="C5" s="100" t="s">
        <v>406</v>
      </c>
      <c r="D5" s="100" t="s">
        <v>433</v>
      </c>
      <c r="E5" s="100">
        <v>1348</v>
      </c>
      <c r="F5" s="100">
        <f t="shared" si="0"/>
        <v>2696</v>
      </c>
      <c r="G5" s="100" t="s">
        <v>348</v>
      </c>
      <c r="H5" s="100" t="s">
        <v>464</v>
      </c>
      <c r="I5" s="100"/>
      <c r="J5" s="79">
        <v>46004</v>
      </c>
    </row>
    <row r="6" spans="1:15" x14ac:dyDescent="0.3">
      <c r="A6" s="99">
        <v>45993</v>
      </c>
      <c r="B6" s="100">
        <v>2</v>
      </c>
      <c r="C6" s="100" t="s">
        <v>639</v>
      </c>
      <c r="D6" s="100" t="s">
        <v>433</v>
      </c>
      <c r="E6" s="100">
        <v>1348</v>
      </c>
      <c r="F6" s="100">
        <f t="shared" si="0"/>
        <v>2696</v>
      </c>
      <c r="G6" s="100" t="s">
        <v>348</v>
      </c>
      <c r="H6" s="100" t="s">
        <v>464</v>
      </c>
      <c r="I6" s="100"/>
      <c r="J6" s="79">
        <v>46004</v>
      </c>
    </row>
    <row r="7" spans="1:15" x14ac:dyDescent="0.3">
      <c r="A7" s="99">
        <v>46000</v>
      </c>
      <c r="B7" s="100">
        <v>500</v>
      </c>
      <c r="C7" s="100" t="s">
        <v>821</v>
      </c>
      <c r="D7" s="100" t="s">
        <v>291</v>
      </c>
      <c r="E7" s="100">
        <v>28</v>
      </c>
      <c r="F7" s="100">
        <f t="shared" si="0"/>
        <v>14000</v>
      </c>
      <c r="G7" s="100" t="s">
        <v>348</v>
      </c>
      <c r="H7" s="100" t="s">
        <v>543</v>
      </c>
      <c r="I7" s="99">
        <v>46003</v>
      </c>
      <c r="J7" s="79">
        <v>46004</v>
      </c>
    </row>
    <row r="8" spans="1:15" x14ac:dyDescent="0.3">
      <c r="A8" s="99">
        <v>46000</v>
      </c>
      <c r="B8" s="100">
        <v>100</v>
      </c>
      <c r="C8" s="100" t="s">
        <v>31</v>
      </c>
      <c r="D8" s="100" t="s">
        <v>291</v>
      </c>
      <c r="E8" s="100">
        <v>299</v>
      </c>
      <c r="F8" s="100">
        <f t="shared" si="0"/>
        <v>29900</v>
      </c>
      <c r="G8" s="100" t="s">
        <v>348</v>
      </c>
      <c r="H8" s="100" t="s">
        <v>543</v>
      </c>
      <c r="I8" s="99">
        <v>46004</v>
      </c>
      <c r="J8" s="79">
        <v>46004</v>
      </c>
      <c r="O8">
        <v>880</v>
      </c>
    </row>
    <row r="9" spans="1:15" x14ac:dyDescent="0.3">
      <c r="A9" s="99">
        <v>46000</v>
      </c>
      <c r="B9" s="100">
        <v>1</v>
      </c>
      <c r="C9" s="100" t="s">
        <v>822</v>
      </c>
      <c r="D9" s="100" t="s">
        <v>291</v>
      </c>
      <c r="E9" s="100">
        <v>89</v>
      </c>
      <c r="F9" s="100">
        <f t="shared" si="0"/>
        <v>89</v>
      </c>
      <c r="G9" s="100" t="s">
        <v>348</v>
      </c>
      <c r="H9" s="100" t="s">
        <v>543</v>
      </c>
      <c r="I9" s="99">
        <v>46005</v>
      </c>
      <c r="J9" s="79">
        <v>46004</v>
      </c>
    </row>
    <row r="10" spans="1:15" x14ac:dyDescent="0.3">
      <c r="A10" s="99">
        <v>46001</v>
      </c>
      <c r="B10" s="100">
        <v>100</v>
      </c>
      <c r="C10" s="100" t="s">
        <v>31</v>
      </c>
      <c r="D10" s="100" t="s">
        <v>291</v>
      </c>
      <c r="E10" s="100">
        <v>299</v>
      </c>
      <c r="F10" s="100">
        <f t="shared" si="0"/>
        <v>29900</v>
      </c>
      <c r="G10" s="100" t="s">
        <v>348</v>
      </c>
      <c r="H10" s="100" t="s">
        <v>543</v>
      </c>
      <c r="I10" s="99">
        <v>46006</v>
      </c>
      <c r="J10" s="79">
        <v>46004</v>
      </c>
    </row>
    <row r="11" spans="1:15" x14ac:dyDescent="0.3">
      <c r="A11" s="99">
        <v>46002</v>
      </c>
      <c r="B11" s="100">
        <v>2</v>
      </c>
      <c r="C11" s="100" t="s">
        <v>378</v>
      </c>
      <c r="D11" s="100" t="s">
        <v>460</v>
      </c>
      <c r="E11" s="100">
        <v>775</v>
      </c>
      <c r="F11" s="100">
        <f t="shared" si="0"/>
        <v>1550</v>
      </c>
      <c r="G11" s="100" t="s">
        <v>348</v>
      </c>
      <c r="H11" s="100" t="s">
        <v>464</v>
      </c>
      <c r="I11" s="100"/>
    </row>
    <row r="12" spans="1:15" x14ac:dyDescent="0.3">
      <c r="A12" s="99">
        <v>46005</v>
      </c>
      <c r="B12" s="100">
        <v>1</v>
      </c>
      <c r="C12" s="100" t="s">
        <v>872</v>
      </c>
      <c r="D12" s="100" t="s">
        <v>464</v>
      </c>
      <c r="E12" s="100">
        <v>550</v>
      </c>
      <c r="F12" s="100">
        <f t="shared" si="0"/>
        <v>550</v>
      </c>
      <c r="G12" s="100"/>
      <c r="H12" s="100"/>
      <c r="I12" s="100" t="s">
        <v>85</v>
      </c>
    </row>
    <row r="13" spans="1:15" x14ac:dyDescent="0.3">
      <c r="A13" s="99">
        <v>46014</v>
      </c>
      <c r="B13" s="100">
        <v>5</v>
      </c>
      <c r="C13" s="100" t="s">
        <v>931</v>
      </c>
      <c r="D13" s="100" t="s">
        <v>291</v>
      </c>
      <c r="E13" s="100">
        <v>1449</v>
      </c>
      <c r="F13" s="100">
        <f t="shared" si="0"/>
        <v>7245</v>
      </c>
      <c r="G13" s="100" t="s">
        <v>62</v>
      </c>
      <c r="H13" s="100" t="s">
        <v>543</v>
      </c>
      <c r="I13" s="100"/>
    </row>
    <row r="14" spans="1:15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15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15" x14ac:dyDescent="0.3">
      <c r="A16" s="2"/>
      <c r="B16" s="2"/>
      <c r="C16" s="2"/>
      <c r="D16" s="2"/>
      <c r="E16" s="2"/>
      <c r="F16" s="2"/>
      <c r="G16" s="2"/>
      <c r="H16" s="2"/>
      <c r="I16" s="2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72354-68B5-49F6-A18C-2404B03515F9}">
  <dimension ref="E2:O10"/>
  <sheetViews>
    <sheetView topLeftCell="C1" workbookViewId="0">
      <selection activeCell="S14" sqref="S14"/>
    </sheetView>
  </sheetViews>
  <sheetFormatPr defaultRowHeight="14.4" x14ac:dyDescent="0.3"/>
  <sheetData>
    <row r="2" spans="5:15" x14ac:dyDescent="0.3">
      <c r="E2">
        <v>57800</v>
      </c>
      <c r="F2">
        <v>41000</v>
      </c>
      <c r="H2">
        <v>43000</v>
      </c>
      <c r="K2">
        <v>60</v>
      </c>
      <c r="L2">
        <v>410</v>
      </c>
      <c r="M2">
        <f>K2*L2</f>
        <v>24600</v>
      </c>
      <c r="N2">
        <v>110</v>
      </c>
      <c r="O2">
        <f>K2*N2</f>
        <v>6600</v>
      </c>
    </row>
    <row r="3" spans="5:15" x14ac:dyDescent="0.3">
      <c r="E3">
        <v>9000</v>
      </c>
      <c r="F3">
        <v>500</v>
      </c>
      <c r="H3">
        <v>9000</v>
      </c>
      <c r="K3">
        <v>10</v>
      </c>
      <c r="L3">
        <v>3300</v>
      </c>
      <c r="M3">
        <f t="shared" ref="M3:M4" si="0">K3*L3</f>
        <v>33000</v>
      </c>
      <c r="N3">
        <v>1100</v>
      </c>
      <c r="O3">
        <f t="shared" ref="O3:O9" si="1">K3*N3</f>
        <v>11000</v>
      </c>
    </row>
    <row r="4" spans="5:15" x14ac:dyDescent="0.3">
      <c r="E4">
        <v>3</v>
      </c>
      <c r="F4">
        <v>1600</v>
      </c>
      <c r="H4">
        <f>H2-H3</f>
        <v>34000</v>
      </c>
      <c r="K4">
        <v>5</v>
      </c>
      <c r="L4">
        <v>2500</v>
      </c>
      <c r="M4">
        <f t="shared" si="0"/>
        <v>12500</v>
      </c>
      <c r="N4">
        <v>600</v>
      </c>
      <c r="O4">
        <f t="shared" si="1"/>
        <v>3000</v>
      </c>
    </row>
    <row r="5" spans="5:15" x14ac:dyDescent="0.3">
      <c r="F5">
        <v>43100</v>
      </c>
      <c r="H5">
        <v>23800</v>
      </c>
      <c r="M5">
        <f>SUM(M2:M4)</f>
        <v>70100</v>
      </c>
      <c r="O5">
        <f t="shared" si="1"/>
        <v>0</v>
      </c>
    </row>
    <row r="6" spans="5:15" x14ac:dyDescent="0.3">
      <c r="K6">
        <v>5</v>
      </c>
      <c r="N6">
        <v>400</v>
      </c>
      <c r="O6">
        <f t="shared" si="1"/>
        <v>2000</v>
      </c>
    </row>
    <row r="7" spans="5:15" x14ac:dyDescent="0.3">
      <c r="O7">
        <f t="shared" si="1"/>
        <v>0</v>
      </c>
    </row>
    <row r="8" spans="5:15" x14ac:dyDescent="0.3">
      <c r="G8">
        <f>57800-34000</f>
        <v>23800</v>
      </c>
      <c r="K8">
        <v>40</v>
      </c>
      <c r="N8">
        <v>100</v>
      </c>
      <c r="O8">
        <f t="shared" si="1"/>
        <v>4000</v>
      </c>
    </row>
    <row r="9" spans="5:15" x14ac:dyDescent="0.3">
      <c r="K9">
        <v>20</v>
      </c>
      <c r="N9">
        <v>300</v>
      </c>
      <c r="O9">
        <f t="shared" si="1"/>
        <v>6000</v>
      </c>
    </row>
    <row r="10" spans="5:15" x14ac:dyDescent="0.3">
      <c r="O10">
        <f>SUM(O2:O9)</f>
        <v>32600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915F-3C6D-43C4-B25D-C70DAFBC57BE}">
  <dimension ref="A2:D6"/>
  <sheetViews>
    <sheetView workbookViewId="0">
      <selection activeCell="M22" sqref="M22"/>
    </sheetView>
  </sheetViews>
  <sheetFormatPr defaultRowHeight="14.4" x14ac:dyDescent="0.3"/>
  <sheetData>
    <row r="2" spans="1:4" x14ac:dyDescent="0.3">
      <c r="A2" s="75">
        <v>5</v>
      </c>
      <c r="B2" t="s">
        <v>668</v>
      </c>
      <c r="C2">
        <v>2600</v>
      </c>
      <c r="D2">
        <f>A2*C2</f>
        <v>13000</v>
      </c>
    </row>
    <row r="3" spans="1:4" x14ac:dyDescent="0.3">
      <c r="A3" s="75">
        <v>10</v>
      </c>
      <c r="B3" t="s">
        <v>669</v>
      </c>
      <c r="C3">
        <v>3300</v>
      </c>
      <c r="D3">
        <f t="shared" ref="D3:D5" si="0">A3*C3</f>
        <v>33000</v>
      </c>
    </row>
    <row r="4" spans="1:4" x14ac:dyDescent="0.3">
      <c r="A4" s="75">
        <v>10</v>
      </c>
      <c r="B4" t="s">
        <v>670</v>
      </c>
      <c r="C4">
        <v>1300</v>
      </c>
      <c r="D4">
        <f t="shared" si="0"/>
        <v>13000</v>
      </c>
    </row>
    <row r="5" spans="1:4" x14ac:dyDescent="0.3">
      <c r="A5" s="75">
        <v>20</v>
      </c>
      <c r="B5" t="s">
        <v>671</v>
      </c>
      <c r="C5">
        <v>1400</v>
      </c>
      <c r="D5">
        <f t="shared" si="0"/>
        <v>28000</v>
      </c>
    </row>
    <row r="6" spans="1:4" x14ac:dyDescent="0.3">
      <c r="D6">
        <f>SUM(D2:D5)</f>
        <v>87000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7024-DBE3-47BF-B826-A5C52EF6AD2E}">
  <dimension ref="A2:C19"/>
  <sheetViews>
    <sheetView workbookViewId="0">
      <selection activeCell="I20" sqref="I20"/>
    </sheetView>
  </sheetViews>
  <sheetFormatPr defaultRowHeight="14.4" x14ac:dyDescent="0.3"/>
  <cols>
    <col min="1" max="1" width="13.6640625" bestFit="1" customWidth="1"/>
  </cols>
  <sheetData>
    <row r="2" spans="1:3" x14ac:dyDescent="0.3">
      <c r="A2" t="s">
        <v>377</v>
      </c>
      <c r="B2" s="11">
        <v>238</v>
      </c>
    </row>
    <row r="3" spans="1:3" x14ac:dyDescent="0.3">
      <c r="A3" t="s">
        <v>380</v>
      </c>
      <c r="B3">
        <v>17.07</v>
      </c>
    </row>
    <row r="4" spans="1:3" x14ac:dyDescent="0.3">
      <c r="A4" t="s">
        <v>380</v>
      </c>
      <c r="B4">
        <v>5.69</v>
      </c>
    </row>
    <row r="5" spans="1:3" x14ac:dyDescent="0.3">
      <c r="A5" t="s">
        <v>381</v>
      </c>
      <c r="B5">
        <v>251.58</v>
      </c>
    </row>
    <row r="6" spans="1:3" x14ac:dyDescent="0.3">
      <c r="B6">
        <v>1.75</v>
      </c>
    </row>
    <row r="7" spans="1:3" x14ac:dyDescent="0.3">
      <c r="B7">
        <v>4.18</v>
      </c>
    </row>
    <row r="8" spans="1:3" x14ac:dyDescent="0.3">
      <c r="B8">
        <v>7.58</v>
      </c>
    </row>
    <row r="9" spans="1:3" x14ac:dyDescent="0.3">
      <c r="B9">
        <v>3.79</v>
      </c>
    </row>
    <row r="10" spans="1:3" x14ac:dyDescent="0.3">
      <c r="A10" t="s">
        <v>386</v>
      </c>
      <c r="B10">
        <v>82.62</v>
      </c>
    </row>
    <row r="11" spans="1:3" x14ac:dyDescent="0.3">
      <c r="A11" t="s">
        <v>380</v>
      </c>
      <c r="B11">
        <v>77.959999999999994</v>
      </c>
    </row>
    <row r="12" spans="1:3" x14ac:dyDescent="0.3">
      <c r="A12" t="s">
        <v>389</v>
      </c>
      <c r="B12">
        <v>132</v>
      </c>
    </row>
    <row r="13" spans="1:3" x14ac:dyDescent="0.3">
      <c r="B13">
        <v>12</v>
      </c>
    </row>
    <row r="14" spans="1:3" x14ac:dyDescent="0.3">
      <c r="B14">
        <v>3.5</v>
      </c>
    </row>
    <row r="15" spans="1:3" x14ac:dyDescent="0.3">
      <c r="B15">
        <v>12</v>
      </c>
    </row>
    <row r="16" spans="1:3" x14ac:dyDescent="0.3">
      <c r="A16" t="s">
        <v>399</v>
      </c>
      <c r="B16">
        <v>601</v>
      </c>
      <c r="C16" t="s">
        <v>394</v>
      </c>
    </row>
    <row r="17" spans="1:3" x14ac:dyDescent="0.3">
      <c r="A17" t="s">
        <v>399</v>
      </c>
      <c r="B17">
        <v>497</v>
      </c>
      <c r="C17" t="s">
        <v>394</v>
      </c>
    </row>
    <row r="18" spans="1:3" x14ac:dyDescent="0.3">
      <c r="A18" t="s">
        <v>398</v>
      </c>
      <c r="B18">
        <v>58</v>
      </c>
      <c r="C18" t="s">
        <v>397</v>
      </c>
    </row>
    <row r="19" spans="1:3" x14ac:dyDescent="0.3">
      <c r="A19" t="s">
        <v>400</v>
      </c>
      <c r="B19">
        <v>25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051D-BCF4-4AE7-931D-67B9AE3FBFAD}">
  <dimension ref="A2:B2"/>
  <sheetViews>
    <sheetView workbookViewId="0">
      <selection activeCell="D9" sqref="D9"/>
    </sheetView>
  </sheetViews>
  <sheetFormatPr defaultRowHeight="14.4" x14ac:dyDescent="0.3"/>
  <cols>
    <col min="1" max="1" width="10.88671875" bestFit="1" customWidth="1"/>
  </cols>
  <sheetData>
    <row r="2" spans="1:2" x14ac:dyDescent="0.3">
      <c r="A2" s="6">
        <v>45759</v>
      </c>
      <c r="B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Pending</vt:lpstr>
      <vt:lpstr>March </vt:lpstr>
      <vt:lpstr>Mehwish</vt:lpstr>
      <vt:lpstr>April</vt:lpstr>
      <vt:lpstr>May </vt:lpstr>
      <vt:lpstr>Sheet4</vt:lpstr>
      <vt:lpstr>Sheet1</vt:lpstr>
      <vt:lpstr>Broadway</vt:lpstr>
      <vt:lpstr>Broadway DJI</vt:lpstr>
      <vt:lpstr>Shipment NOV</vt:lpstr>
      <vt:lpstr>Shipment</vt:lpstr>
      <vt:lpstr>Shipment 2904</vt:lpstr>
      <vt:lpstr>NZ Purchase May</vt:lpstr>
      <vt:lpstr>NZ July</vt:lpstr>
      <vt:lpstr>NZ Aug</vt:lpstr>
      <vt:lpstr>NZ SEP</vt:lpstr>
      <vt:lpstr>Waleed</vt:lpstr>
      <vt:lpstr>AU June </vt:lpstr>
      <vt:lpstr>AU Aug</vt:lpstr>
      <vt:lpstr>AU July</vt:lpstr>
      <vt:lpstr>AU SEP</vt:lpstr>
      <vt:lpstr>AU OCT</vt:lpstr>
      <vt:lpstr>AU NOV</vt:lpstr>
      <vt:lpstr>AU DEC</vt:lpstr>
      <vt:lpstr>Sheet6</vt:lpstr>
      <vt:lpstr>Gift Card</vt:lpstr>
      <vt:lpstr>Adil </vt:lpstr>
      <vt:lpstr>Waleed </vt:lpstr>
      <vt:lpstr>Sheet5</vt:lpstr>
      <vt:lpstr>NZ OCT</vt:lpstr>
      <vt:lpstr>NZ NOV</vt:lpstr>
      <vt:lpstr>NZ DEC</vt:lpstr>
      <vt:lpstr>Sheet3</vt:lpstr>
      <vt:lpstr>Sheet2</vt:lpstr>
      <vt:lpstr>NZ visit expense</vt:lpstr>
      <vt:lpstr>Abdul Rafey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Pasha</dc:creator>
  <cp:lastModifiedBy>Swiss Tech</cp:lastModifiedBy>
  <dcterms:created xsi:type="dcterms:W3CDTF">2025-03-28T14:31:05Z</dcterms:created>
  <dcterms:modified xsi:type="dcterms:W3CDTF">2025-12-29T13:57:49Z</dcterms:modified>
</cp:coreProperties>
</file>