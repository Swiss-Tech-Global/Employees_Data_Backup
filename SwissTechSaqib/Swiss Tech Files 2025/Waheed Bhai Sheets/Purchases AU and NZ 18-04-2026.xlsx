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A023FD86-DED4-4ED3-889E-1C81454E2EC6}" xr6:coauthVersionLast="47" xr6:coauthVersionMax="47" xr10:uidLastSave="{00000000-0000-0000-0000-000000000000}"/>
  <bookViews>
    <workbookView xWindow="-120" yWindow="-120" windowWidth="29040" windowHeight="15720" firstSheet="24" activeTab="39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r:id="rId26"/>
    <sheet name="APR NZ" sheetId="46" r:id="rId27"/>
    <sheet name="APR AU" sheetId="47" r:id="rId28"/>
    <sheet name="Sheet8" sheetId="42" state="hidden" r:id="rId29"/>
    <sheet name="AU JAN" sheetId="40" state="hidden" r:id="rId30"/>
    <sheet name="Sheet7" sheetId="39" state="hidden" r:id="rId31"/>
    <sheet name="Sheet6" sheetId="38" state="hidden" r:id="rId32"/>
    <sheet name="Gift Card" sheetId="37" state="hidden" r:id="rId33"/>
    <sheet name="Adil " sheetId="35" state="hidden" r:id="rId34"/>
    <sheet name="Waleed " sheetId="33" state="hidden" r:id="rId35"/>
    <sheet name="Sheet5" sheetId="32" state="hidden" r:id="rId36"/>
    <sheet name="NZ OCT" sheetId="25" state="hidden" r:id="rId37"/>
    <sheet name="NZ NOV" sheetId="26" state="hidden" r:id="rId38"/>
    <sheet name="NZ JAN" sheetId="41" state="hidden" r:id="rId39"/>
    <sheet name="NZ FEB" sheetId="44" r:id="rId40"/>
    <sheet name="NZ DEC" sheetId="36" state="hidden" r:id="rId41"/>
    <sheet name="Sheet3" sheetId="31" state="hidden" r:id="rId42"/>
    <sheet name="Sheet2" sheetId="30" state="hidden" r:id="rId43"/>
    <sheet name="NZ visit expense" sheetId="17" state="hidden" r:id="rId44"/>
    <sheet name="Abdul Rafey" sheetId="5" state="hidden" r:id="rId45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9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30" hidden="1">Sheet7!$A$1:$I$30</definedName>
  </definedNames>
  <calcPr calcId="191029"/>
  <pivotCaches>
    <pivotCache cacheId="0" r:id="rId46"/>
    <pivotCache cacheId="1" r:id="rId47"/>
    <pivotCache cacheId="2" r:id="rId48"/>
    <pivotCache cacheId="3" r:id="rId49"/>
    <pivotCache cacheId="4" r:id="rId50"/>
    <pivotCache cacheId="5" r:id="rId51"/>
    <pivotCache cacheId="6" r:id="rId52"/>
    <pivotCache cacheId="7" r:id="rId53"/>
    <pivotCache cacheId="8" r:id="rId54"/>
    <pivotCache cacheId="9" r:id="rId55"/>
    <pivotCache cacheId="10" r:id="rId5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47" l="1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F12" i="46"/>
  <c r="F2" i="46"/>
  <c r="F11" i="46"/>
  <c r="F10" i="46"/>
  <c r="F9" i="46"/>
  <c r="F4" i="46"/>
  <c r="F5" i="46"/>
  <c r="F3" i="46"/>
  <c r="F8" i="46"/>
  <c r="F7" i="46"/>
  <c r="F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<sst xmlns="http://schemas.openxmlformats.org/spreadsheetml/2006/main" count="4922" uniqueCount="1185">
  <si>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</si>
  <si>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</si>
  <si>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</si>
  <si>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</si>
  <si>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</si>
  <si>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</si>
  <si>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</si>
  <si>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</si>
  <si>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</si>
  <si>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</si>
  <si>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</si>
  <si>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</si>
  <si>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</si>
  <si>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</si>
  <si>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</si>
  <si>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</si>
  <si>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</si>
  <si>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</si>
  <si>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</si>
  <si>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</si>
  <si>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</si>
  <si>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</si>
  <si>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</si>
  <si>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</si>
  <si>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</si>
  <si>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</si>
  <si>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</si>
  <si>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</si>
  <si>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</si>
  <si>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</si>
  <si>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</si>
  <si>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</si>
  <si>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</si>
  <si>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</si>
  <si>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</si>
  <si>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</si>
  <si>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</si>
  <si>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</si>
  <si>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</si>
  <si>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</si>
  <si>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</si>
  <si>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</si>
  <si>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</si>
  <si>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</si>
  <si>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</si>
  <si>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</si>
  <si>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</si>
  <si>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</si>
  <si>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</si>
  <si>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</si>
  <si>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</si>
  <si>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</si>
  <si>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</si>
  <si>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</si>
  <si>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</si>
  <si>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</si>
  <si>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</si>
  <si>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</si>
  <si>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</si>
  <si>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</si>
  <si>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</si>
  <si>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</si>
  <si>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</si>
  <si>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</si>
  <si>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</si>
  <si>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</si>
  <si>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</si>
  <si>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</si>
  <si>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</si>
  <si>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</si>
  <si>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</si>
  <si>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</si>
  <si>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</si>
  <si>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</si>
  <si>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</si>
  <si>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</si>
  <si>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</si>
  <si>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</si>
  <si>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</si>
  <si>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</si>
  <si>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</si>
  <si>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</si>
  <si>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</si>
  <si>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</si>
  <si>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</si>
  <si>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</si>
  <si>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</si>
  <si>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</si>
  <si>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</si>
  <si>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</si>
  <si>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</si>
  <si>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</si>
  <si>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</si>
  <si>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</si>
  <si>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</si>
  <si>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</si>
  <si>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</si>
  <si>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</si>
  <si>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</si>
  <si>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</si>
  <si>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</si>
  <si>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</si>
  <si>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</si>
  <si>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</si>
  <si>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</si>
  <si>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</si>
  <si>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</si>
  <si>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</si>
  <si>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</si>
  <si>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</si>
  <si>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</si>
  <si>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</si>
  <si>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</si>
  <si>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</si>
  <si>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</si>
  <si>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</si>
  <si>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</si>
  <si>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</si>
  <si>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</si>
  <si>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</si>
  <si>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</si>
  <si>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</si>
  <si>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</si>
  <si>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</si>
  <si>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</si>
  <si>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</si>
  <si>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</si>
  <si>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</si>
  <si>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</si>
  <si>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</si>
  <si>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</si>
  <si>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</si>
  <si>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</si>
  <si>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</si>
  <si>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</si>
  <si>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</si>
  <si>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</si>
  <si>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</si>
  <si>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</si>
  <si>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</si>
  <si>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</si>
  <si>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</si>
  <si>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</si>
  <si>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</si>
  <si>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</si>
  <si>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</si>
  <si>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</si>
  <si>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</si>
  <si>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</si>
  <si>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</si>
  <si>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</si>
  <si>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</si>
  <si>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</si>
  <si>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</si>
  <si>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</si>
  <si>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</si>
  <si>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</si>
  <si>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</si>
  <si>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</si>
  <si>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</si>
  <si>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</si>
  <si>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</si>
  <si>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</si>
  <si>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</si>
  <si>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</si>
  <si>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</si>
  <si>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</si>
  <si>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</si>
  <si>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</si>
  <si>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</si>
  <si>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</si>
  <si>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</si>
  <si>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</si>
  <si>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</si>
  <si>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</si>
  <si>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</si>
  <si>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</si>
  <si>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</si>
  <si>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</si>
  <si>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</si>
  <si>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</si>
  <si>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</si>
  <si>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</si>
  <si>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</si>
  <si>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</si>
  <si>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</si>
  <si>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</si>
  <si>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</si>
  <si>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</si>
  <si>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</si>
  <si>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</si>
  <si>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</si>
  <si>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</si>
  <si>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</si>
  <si>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</si>
  <si>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</si>
  <si>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</si>
  <si>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</si>
  <si>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</si>
  <si>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</si>
  <si>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</si>
  <si>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</si>
  <si>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</si>
  <si>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</si>
  <si>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</si>
  <si>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</si>
  <si>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</si>
  <si>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</si>
  <si>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</si>
  <si>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</si>
  <si>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</si>
  <si>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</si>
  <si>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</si>
  <si>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</si>
  <si>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</si>
  <si>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</si>
  <si>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</si>
  <si>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</si>
  <si>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</si>
  <si>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</si>
  <si>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</si>
  <si>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</si>
  <si>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</si>
  <si>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</si>
  <si>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</si>
  <si>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</si>
  <si>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</si>
  <si>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</si>
  <si>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</si>
  <si>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</si>
  <si>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</si>
  <si>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</si>
  <si>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</si>
  <si>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</si>
  <si>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</si>
  <si>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</si>
  <si>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</si>
  <si>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</si>
  <si>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</si>
  <si>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</si>
  <si>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</si>
  <si>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</si>
  <si>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</si>
  <si>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</si>
  <si>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</si>
  <si>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</si>
  <si>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</si>
  <si>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</si>
  <si>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</si>
  <si>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</si>
  <si>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</si>
  <si>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</si>
  <si>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</si>
  <si>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</si>
  <si>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</si>
  <si>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</si>
  <si>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</si>
  <si>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</si>
  <si>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</si>
  <si>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</si>
  <si>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</si>
  <si>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</si>
  <si>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</si>
  <si>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</si>
  <si>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</si>
  <si>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</si>
  <si>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</si>
  <si>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</si>
  <si>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</si>
  <si>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</si>
  <si>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</si>
  <si>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</si>
  <si>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</si>
  <si>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</si>
  <si>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</si>
  <si>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</si>
  <si>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</si>
  <si>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</si>
  <si>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</si>
  <si>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</si>
  <si>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</si>
  <si>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</si>
  <si>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</si>
  <si>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</si>
  <si>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</si>
  <si>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</si>
  <si>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</si>
  <si>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</si>
  <si>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</si>
  <si>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</si>
  <si>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</si>
  <si>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</si>
  <si>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</si>
  <si>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</si>
  <si>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</si>
  <si>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</si>
  <si>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</si>
  <si>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</si>
  <si>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</si>
  <si>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</si>
  <si>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</si>
  <si>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</si>
  <si>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</si>
  <si>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</si>
  <si>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</si>
  <si>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</si>
  <si>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</si>
  <si>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</si>
  <si>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</si>
  <si>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</si>
  <si>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</si>
  <si>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</si>
  <si>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</si>
  <si>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</si>
  <si>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</si>
  <si>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</si>
  <si>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</si>
  <si>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</si>
  <si>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</si>
  <si>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</si>
  <si>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</si>
  <si>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</si>
  <si>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</si>
  <si>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</si>
  <si>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</si>
  <si>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</si>
  <si>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</si>
  <si>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</si>
  <si>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</si>
  <si>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</si>
  <si>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</si>
  <si>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</si>
  <si>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</si>
  <si>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</si>
  <si>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</si>
  <si>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</si>
  <si>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</si>
  <si>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</si>
  <si>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</si>
  <si>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</si>
  <si>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</si>
  <si>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</si>
  <si>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</si>
  <si>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</si>
  <si>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</si>
  <si>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</si>
  <si>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</si>
  <si>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</si>
  <si>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</si>
  <si>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</si>
  <si>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</si>
  <si>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</si>
  <si>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</si>
  <si>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</si>
  <si>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</si>
  <si>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</si>
  <si>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</si>
  <si>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</si>
  <si>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</si>
  <si>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</si>
  <si>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</si>
  <si>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</si>
  <si>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</si>
  <si>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</si>
  <si>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</si>
  <si>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</si>
  <si>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</si>
  <si>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</si>
  <si>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</si>
  <si>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</si>
  <si>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</si>
  <si>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</si>
  <si>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</si>
  <si>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</si>
  <si>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</si>
  <si>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</si>
  <si>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</si>
  <si>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</si>
  <si>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</si>
  <si>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</si>
  <si>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</si>
  <si>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</si>
  <si>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</si>
  <si>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</si>
  <si>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</si>
  <si>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</si>
  <si>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</si>
  <si>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</si>
  <si>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</si>
  <si>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</si>
  <si>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</si>
  <si>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</si>
  <si>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</si>
  <si>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</si>
  <si>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</si>
  <si>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</si>
  <si>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</si>
  <si>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</si>
  <si>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</si>
  <si>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</si>
  <si>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</si>
  <si>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</si>
  <si>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</si>
  <si>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</si>
  <si>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</si>
  <si>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</si>
  <si>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</si>
  <si>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</si>
  <si>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</si>
  <si>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</si>
  <si>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</si>
  <si>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</si>
  <si>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</si>
  <si>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</si>
  <si>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</si>
  <si>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</si>
  <si>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</si>
  <si>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</si>
  <si>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</si>
  <si>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</si>
  <si>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</si>
  <si>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</si>
  <si>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</si>
  <si>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</si>
  <si>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</si>
  <si>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</si>
  <si>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</si>
  <si>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</si>
  <si>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</si>
  <si>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</si>
  <si>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</si>
  <si>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</si>
  <si>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</si>
  <si>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</si>
  <si>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</si>
  <si>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</si>
  <si>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</si>
  <si>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</si>
  <si>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</si>
  <si>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</si>
  <si>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</si>
  <si>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</si>
  <si>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</si>
  <si>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</si>
  <si>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</si>
  <si>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</si>
  <si>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</si>
  <si>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</si>
  <si>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</si>
  <si>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</si>
  <si>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</si>
  <si>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</si>
  <si>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</si>
  <si>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</si>
  <si>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</si>
  <si>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</si>
  <si>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</si>
  <si>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</si>
  <si>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</si>
  <si>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</si>
  <si>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</si>
  <si>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</si>
  <si>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</si>
  <si>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</si>
  <si>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</si>
  <si>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</si>
  <si>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</si>
  <si>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</si>
  <si>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</si>
  <si>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</si>
  <si>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</si>
  <si>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</si>
  <si>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</si>
  <si>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</si>
  <si>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</si>
  <si>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</si>
  <si>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</si>
  <si>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</si>
  <si>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</si>
  <si>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</si>
  <si>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</si>
  <si>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</si>
  <si>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</si>
  <si>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</si>
  <si>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</si>
  <si>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</si>
  <si>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</si>
  <si>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</si>
  <si>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</si>
  <si>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</si>
  <si>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</si>
  <si>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</si>
  <si>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</si>
  <si>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</si>
  <si>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</si>
  <si>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</si>
  <si>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</si>
  <si>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</si>
  <si>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</si>
  <si>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</si>
  <si>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</si>
  <si>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</si>
  <si>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</si>
  <si>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</si>
  <si>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</si>
  <si>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</si>
  <si>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</si>
  <si>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</si>
  <si>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</si>
  <si>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</si>
  <si>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</si>
  <si>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</si>
  <si>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</si>
  <si>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</si>
  <si>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</si>
  <si>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</si>
  <si>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</si>
  <si>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</si>
  <si>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</si>
  <si>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</si>
  <si>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</si>
  <si>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</si>
  <si>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</si>
  <si>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</si>
  <si>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</si>
  <si>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</si>
  <si>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</si>
  <si>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</si>
  <si>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</si>
  <si>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</si>
  <si>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</si>
  <si>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</si>
  <si>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</si>
  <si>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</si>
  <si>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</si>
  <si>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</si>
  <si>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</si>
  <si>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</si>
  <si>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</si>
  <si>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</si>
  <si>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</si>
  <si>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</si>
  <si>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</si>
  <si>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</si>
  <si>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</si>
  <si>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</si>
  <si>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</si>
  <si>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</si>
  <si>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</si>
  <si>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</si>
  <si>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</si>
  <si>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</si>
  <si>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</si>
  <si>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</si>
  <si>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</si>
  <si>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</si>
  <si>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</si>
  <si>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</si>
  <si>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</si>
  <si>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</si>
  <si>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</si>
  <si>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</si>
  <si>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</si>
  <si>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</si>
  <si>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</si>
  <si>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</si>
  <si>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</si>
  <si>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</si>
  <si>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</si>
  <si>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</si>
  <si>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</si>
  <si>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</si>
  <si>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</si>
  <si>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</si>
  <si>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</si>
  <si>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</si>
  <si>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</si>
  <si>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</si>
  <si>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</si>
  <si>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</si>
  <si>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</si>
  <si>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</si>
  <si>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</si>
  <si>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</si>
  <si>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</si>
  <si>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</si>
  <si>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</si>
  <si>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</si>
  <si>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</si>
  <si>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</si>
  <si>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</si>
  <si>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</si>
  <si>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</si>
  <si>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</si>
  <si>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</si>
  <si>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</si>
  <si>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</si>
  <si>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</si>
  <si>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</si>
  <si>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</si>
  <si>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</si>
  <si>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</si>
  <si>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</si>
  <si>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</si>
  <si>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</si>
  <si>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</si>
  <si>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</si>
  <si>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</si>
  <si>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</si>
  <si>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</si>
  <si>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</si>
  <si>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</si>
  <si>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</si>
  <si>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</si>
  <si>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</si>
  <si>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</si>
  <si>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</si>
  <si>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</si>
  <si>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</si>
  <si>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</si>
  <si>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</si>
  <si>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</si>
  <si>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</si>
  <si>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</si>
  <si>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</si>
  <si>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</si>
  <si>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</si>
  <si>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</si>
  <si>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</si>
  <si>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</si>
  <si>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</si>
  <si>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</si>
  <si>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</si>
  <si>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</si>
  <si>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</si>
  <si>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</si>
  <si>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</si>
  <si>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</si>
  <si>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</si>
  <si>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</si>
  <si>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</si>
  <si>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</si>
  <si>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</si>
  <si>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</si>
  <si>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</si>
  <si>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</si>
  <si>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</si>
  <si>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</si>
  <si>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</si>
  <si>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</si>
  <si>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</si>
  <si>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</si>
  <si>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</si>
  <si>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</si>
  <si>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</si>
  <si>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</si>
  <si>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</si>
  <si>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</si>
  <si>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</si>
  <si>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</si>
  <si>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</si>
  <si>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</si>
  <si>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</si>
  <si>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</si>
  <si>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</si>
  <si>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</si>
  <si>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</si>
  <si>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</si>
  <si>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</si>
  <si>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</si>
  <si>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</si>
  <si>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</si>
  <si>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</si>
  <si>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</si>
  <si>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</si>
  <si>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</si>
  <si>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</si>
  <si>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</si>
  <si>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</si>
  <si>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</si>
  <si>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</si>
  <si>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</si>
  <si>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</si>
  <si>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</si>
  <si>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</si>
  <si>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</si>
  <si>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</si>
  <si>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</si>
  <si>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</si>
  <si>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</si>
  <si>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</si>
  <si>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</si>
  <si>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</si>
  <si>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</si>
  <si>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</si>
  <si>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</si>
  <si>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</si>
  <si>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</si>
  <si>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</si>
  <si>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</si>
  <si>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</si>
  <si>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</si>
  <si>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</si>
  <si>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</si>
  <si>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</si>
  <si>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</si>
  <si>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</si>
  <si>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</si>
  <si>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</si>
  <si>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</si>
  <si>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</si>
  <si>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</si>
  <si>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</si>
  <si>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</si>
  <si>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</si>
  <si>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</si>
  <si>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</si>
  <si>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</si>
  <si>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</si>
  <si>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</si>
  <si>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</si>
  <si>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</si>
  <si>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</si>
  <si>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</si>
  <si>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</si>
  <si>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</si>
  <si>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</si>
  <si>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</si>
  <si>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</si>
  <si>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</si>
  <si>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</si>
  <si>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</si>
  <si>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</si>
  <si>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</si>
  <si>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</si>
  <si>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</si>
  <si>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</si>
  <si>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</si>
  <si>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</si>
  <si>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</si>
  <si>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</si>
  <si>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</si>
  <si>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</si>
  <si>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</si>
  <si>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</si>
  <si>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</si>
  <si>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</si>
  <si>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</si>
  <si>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</si>
  <si>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</si>
  <si>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</si>
  <si>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</si>
  <si>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</si>
  <si>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</si>
  <si>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</si>
  <si>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</si>
  <si>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</si>
  <si>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</si>
  <si>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</si>
  <si>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</si>
  <si>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</si>
  <si>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</si>
  <si>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</si>
  <si>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</si>
  <si>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</si>
  <si>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</si>
  <si>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</si>
  <si>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</si>
  <si>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</si>
  <si>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</si>
  <si>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</si>
  <si>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</si>
  <si>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</si>
  <si>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</si>
  <si>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</si>
  <si>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</si>
  <si>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</si>
  <si>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</si>
  <si>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</si>
  <si>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</si>
  <si>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</si>
  <si>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</si>
  <si>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</si>
  <si>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</si>
  <si>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</si>
  <si>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</si>
  <si>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</si>
  <si>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</si>
  <si>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</si>
  <si>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</si>
  <si>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</si>
  <si>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</si>
  <si>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</si>
  <si>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</si>
  <si>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</si>
  <si>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</si>
  <si>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</si>
  <si>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</si>
  <si>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</si>
  <si>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</si>
  <si>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</si>
  <si>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</si>
  <si>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</si>
  <si>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</si>
  <si>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</si>
  <si>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</si>
  <si>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</si>
  <si>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</si>
  <si>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</si>
  <si>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</si>
  <si>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</si>
  <si>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</si>
  <si>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</si>
  <si>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</si>
  <si>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</si>
  <si>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</si>
  <si>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</si>
  <si>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</si>
  <si>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</si>
  <si>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</si>
  <si>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</si>
  <si>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</si>
  <si>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</si>
  <si>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</si>
  <si>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</si>
  <si>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</si>
  <si>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</si>
  <si>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</si>
  <si>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</si>
  <si>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</si>
  <si>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</si>
  <si>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</si>
  <si>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</si>
  <si>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</si>
  <si>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</si>
  <si>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</si>
  <si>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</si>
  <si>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</si>
  <si>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</si>
  <si>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</si>
  <si>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</si>
  <si>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</si>
  <si>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</si>
  <si>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</si>
  <si>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</si>
  <si>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</si>
  <si>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</si>
  <si>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</si>
  <si>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</si>
  <si>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</si>
  <si>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</si>
  <si>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</si>
  <si>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</si>
  <si>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</si>
  <si>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</si>
  <si>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</si>
  <si>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</si>
  <si>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</si>
  <si>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</si>
  <si>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</si>
  <si>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</si>
  <si>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</si>
  <si>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</si>
  <si>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</si>
  <si>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</si>
  <si>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</si>
  <si>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</si>
  <si>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</si>
  <si>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</si>
  <si>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</si>
  <si>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</si>
  <si>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</si>
  <si>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</si>
  <si>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</si>
  <si>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</si>
  <si>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</si>
  <si>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</si>
  <si>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</si>
  <si>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</si>
  <si>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</si>
  <si>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</si>
  <si>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</si>
  <si>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</si>
  <si>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</si>
  <si>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</si>
  <si>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</si>
  <si>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</si>
  <si>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</si>
  <si>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</si>
  <si>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</si>
  <si>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</si>
  <si>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</si>
  <si>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</si>
  <si>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</si>
  <si>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</si>
  <si>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</si>
  <si>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</si>
  <si>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</si>
  <si>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</si>
  <si>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</si>
  <si>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</si>
  <si>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</si>
  <si>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</si>
  <si>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</si>
  <si>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</si>
  <si>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</si>
  <si>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</si>
  <si>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</si>
  <si>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</si>
  <si>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</si>
  <si>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</si>
  <si>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</si>
  <si>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</si>
  <si>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</si>
  <si>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</si>
  <si>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</si>
  <si>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</si>
  <si>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</si>
  <si>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</si>
  <si>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</si>
  <si>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</si>
  <si>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</si>
  <si>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</si>
  <si>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</si>
  <si>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</si>
  <si>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</si>
  <si>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</si>
  <si>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</si>
  <si>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</si>
  <si>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</si>
  <si>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</si>
  <si>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</si>
  <si>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</si>
  <si>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</si>
  <si>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</si>
  <si>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</si>
  <si>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</si>
  <si>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</si>
  <si>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</si>
  <si>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</si>
  <si>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</si>
  <si>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</si>
  <si>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</si>
  <si>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</si>
  <si>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</si>
  <si>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</si>
  <si>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</si>
  <si>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</si>
  <si>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</si>
  <si>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</si>
  <si>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</si>
  <si>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</si>
  <si>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</si>
  <si>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</si>
  <si>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</si>
  <si>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</si>
  <si>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</si>
  <si>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</si>
  <si>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</si>
  <si>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</si>
  <si>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</si>
  <si>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</si>
  <si>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</si>
  <si>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</si>
  <si>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</si>
  <si>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</si>
  <si>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</si>
  <si>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</si>
  <si>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</si>
  <si>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</si>
  <si>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</si>
  <si>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</si>
  <si>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</si>
  <si>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</si>
  <si>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</si>
  <si>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</si>
  <si>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</si>
  <si>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</si>
  <si>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</si>
  <si>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</si>
  <si>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</si>
  <si>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</si>
  <si>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</si>
  <si>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</si>
  <si>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</si>
  <si>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</si>
  <si>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</si>
  <si>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</si>
  <si>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</si>
  <si>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</si>
  <si>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</si>
  <si>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</si>
  <si>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</si>
  <si>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</si>
  <si>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</si>
  <si>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</si>
  <si>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</si>
  <si>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</si>
  <si>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</si>
  <si>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</si>
  <si>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</si>
  <si>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</si>
  <si>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</si>
  <si>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</si>
  <si>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</si>
  <si>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</si>
  <si>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</si>
  <si>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</si>
  <si>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</si>
  <si>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</si>
  <si>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</si>
  <si>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</si>
  <si>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</si>
  <si>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</si>
  <si>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</si>
  <si>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</si>
  <si>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</si>
  <si>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</si>
  <si>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</si>
  <si>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</si>
  <si>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</si>
  <si>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</si>
  <si>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</si>
  <si>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</si>
  <si>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</si>
  <si>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</si>
  <si>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</si>
  <si>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</si>
  <si>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</si>
  <si>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</si>
  <si>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</si>
  <si>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</si>
  <si>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</si>
  <si>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</si>
  <si>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</si>
  <si>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</si>
  <si>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</si>
  <si>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</si>
  <si>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</si>
  <si>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</si>
  <si>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</si>
  <si>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</si>
  <si>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</si>
  <si>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</si>
  <si>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</si>
  <si>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</si>
  <si>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</si>
  <si>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</si>
  <si>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</si>
  <si>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</si>
  <si>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</si>
  <si>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</si>
  <si>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</si>
  <si>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</si>
  <si>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</si>
  <si>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</si>
  <si>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</si>
  <si>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</si>
  <si>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</si>
  <si>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</si>
  <si>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</si>
  <si>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</si>
  <si>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</si>
  <si>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</si>
  <si>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</si>
  <si>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</si>
  <si>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</si>
  <si>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</si>
  <si>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</si>
  <si>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</si>
  <si>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</si>
  <si>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</si>
  <si>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</si>
  <si>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</si>
  <si>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</si>
  <si>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</si>
  <si>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</si>
  <si>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</si>
  <si>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</si>
  <si>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</si>
  <si>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</si>
  <si>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</si>
  <si>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</si>
  <si>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</si>
  <si>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</si>
  <si>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</si>
  <si>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</si>
  <si>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</si>
  <si>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</si>
  <si>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</si>
  <si>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</si>
  <si>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</si>
  <si>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</si>
  <si>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</si>
  <si>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</si>
  <si>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</si>
  <si>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</si>
  <si>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</si>
  <si>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</si>
  <si>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</si>
  <si>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</si>
  <si>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</si>
  <si>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</si>
  <si>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</si>
  <si>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</si>
  <si>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</si>
  <si>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</si>
  <si>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</si>
  <si>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</si>
  <si>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</si>
  <si>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</si>
  <si>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</si>
  <si>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</si>
  <si>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</si>
  <si>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</si>
  <si>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</si>
  <si>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</si>
  <si>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</si>
  <si>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</si>
  <si>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</si>
  <si>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</si>
  <si>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</si>
  <si>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</si>
  <si>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</si>
  <si>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</si>
  <si>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</si>
  <si>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</si>
  <si>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</si>
  <si>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</si>
  <si>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</si>
  <si>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</si>
  <si>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</si>
  <si>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</si>
  <si>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</si>
  <si>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</si>
  <si>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</si>
  <si>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</si>
  <si>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</si>
  <si>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</si>
  <si>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</si>
  <si>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</si>
  <si>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</si>
  <si>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</si>
  <si>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</si>
  <si>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</si>
  <si>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</si>
  <si>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</si>
  <si>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</si>
  <si>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</si>
  <si>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</si>
  <si>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</si>
  <si>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</si>
  <si>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</si>
  <si>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</si>
  <si>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</si>
  <si>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</si>
  <si>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</si>
  <si>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</si>
  <si>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</si>
  <si>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</si>
  <si>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</si>
  <si>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</si>
  <si>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</si>
  <si>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</si>
  <si>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</si>
  <si>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</si>
  <si>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</si>
  <si>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</si>
  <si>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</si>
  <si>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</si>
  <si>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 xml:space="preserve">Pending </t>
  </si>
  <si>
    <t>CT Freight New Zealand</t>
  </si>
  <si>
    <t>10 G7X Deposit</t>
  </si>
  <si>
    <t>10 V4 Payment</t>
  </si>
  <si>
    <t>Minelab 1000</t>
  </si>
  <si>
    <t>Annaconda</t>
  </si>
  <si>
    <t xml:space="preserve">Waleed  collection </t>
  </si>
  <si>
    <t>Perth</t>
  </si>
  <si>
    <t>Annaconda Online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</si>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</sst>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7" fontId="0" fillId="9" borderId="1" xfId="0" applyNumberFormat="1" applyFill="1" applyBorder="1"/>
    <xf numFmtId="0" fontId="2" fillId="9" borderId="1" xfId="0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0" fontId="8" fillId="10" borderId="1" xfId="0" applyFont="1" applyFill="1" applyBorder="1"/>
    <xf numFmtId="0" fontId="9" fillId="10" borderId="1" xfId="0" applyFont="1" applyFill="1" applyBorder="1"/>
    <xf numFmtId="16" fontId="0" fillId="11" borderId="1" xfId="0" applyNumberFormat="1" applyFill="1" applyBorder="1"/>
    <xf numFmtId="0" fontId="0" fillId="11" borderId="1" xfId="0" applyFill="1" applyBorder="1"/>
    <xf numFmtId="164" fontId="0" fillId="11" borderId="1" xfId="0" applyNumberFormat="1" applyFill="1" applyBorder="1"/>
    <xf numFmtId="164" fontId="0" fillId="9" borderId="1" xfId="0" applyNumberFormat="1" applyFill="1" applyBorder="1"/>
    <xf numFmtId="9" fontId="0" fillId="10" borderId="1" xfId="0" applyNumberFormat="1" applyFill="1" applyBorder="1"/>
    <xf numFmtId="9" fontId="0" fillId="9" borderId="1" xfId="0" applyNumberFormat="1" applyFill="1" applyBorder="1"/>
    <xf numFmtId="165" fontId="0" fillId="2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2.xml"/><Relationship Id="rId50" Type="http://schemas.openxmlformats.org/officeDocument/2006/relationships/pivotCacheDefinition" Target="pivotCache/pivotCacheDefinition5.xml"/><Relationship Id="rId55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8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3.xml"/><Relationship Id="rId56" Type="http://schemas.openxmlformats.org/officeDocument/2006/relationships/pivotCacheDefinition" Target="pivotCache/pivotCacheDefinition1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1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4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7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24">
        <v>45746</v>
      </c>
      <c r="C1" s="124"/>
      <c r="D1" s="124"/>
      <c r="E1" s="124"/>
      <c r="F1" s="124"/>
      <c r="G1" s="124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5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5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6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6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6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6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7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7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28" t="s">
        <v>299</v>
      </c>
      <c r="B1" s="128"/>
      <c r="C1" s="128"/>
      <c r="D1" s="128"/>
      <c r="E1" s="128"/>
      <c r="F1" s="128"/>
      <c r="G1" s="128"/>
      <c r="H1" s="128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9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9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9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30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30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4"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workbookViewId="0">
      <selection activeCell="A2" sqref="A2:J37"/>
    </sheetView>
  </sheetViews>
  <sheetFormatPr defaultRowHeight="15" x14ac:dyDescent="0.25"/>
  <cols>
    <col min="1" max="1" width="9.7109375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07">
        <v>46055</v>
      </c>
      <c r="B2" s="108">
        <v>11</v>
      </c>
      <c r="C2" s="108" t="s">
        <v>664</v>
      </c>
      <c r="D2" s="108" t="s">
        <v>490</v>
      </c>
      <c r="E2" s="109">
        <v>398</v>
      </c>
      <c r="F2" s="109">
        <f t="shared" ref="F2:F32" si="0">E2*B2</f>
        <v>4378</v>
      </c>
      <c r="G2" s="108" t="s">
        <v>8</v>
      </c>
      <c r="H2" s="108"/>
      <c r="I2" s="108"/>
      <c r="J2" s="108"/>
    </row>
    <row r="3" spans="1:10" x14ac:dyDescent="0.25">
      <c r="A3" s="107">
        <v>46055</v>
      </c>
      <c r="B3" s="108">
        <v>4</v>
      </c>
      <c r="C3" s="108" t="s">
        <v>664</v>
      </c>
      <c r="D3" s="108" t="s">
        <v>496</v>
      </c>
      <c r="E3" s="110">
        <v>431</v>
      </c>
      <c r="F3" s="109">
        <f t="shared" si="0"/>
        <v>1724</v>
      </c>
      <c r="G3" s="108" t="s">
        <v>8</v>
      </c>
      <c r="H3" s="108"/>
      <c r="I3" s="108"/>
      <c r="J3" s="108"/>
    </row>
    <row r="4" spans="1:10" x14ac:dyDescent="0.25">
      <c r="A4" s="107">
        <v>46056</v>
      </c>
      <c r="B4" s="108">
        <v>3</v>
      </c>
      <c r="C4" s="108" t="s">
        <v>664</v>
      </c>
      <c r="D4" s="108" t="s">
        <v>495</v>
      </c>
      <c r="E4" s="110">
        <v>431</v>
      </c>
      <c r="F4" s="109">
        <f t="shared" si="0"/>
        <v>1293</v>
      </c>
      <c r="G4" s="108" t="s">
        <v>8</v>
      </c>
      <c r="H4" s="108"/>
      <c r="I4" s="108"/>
      <c r="J4" s="108"/>
    </row>
    <row r="5" spans="1:10" x14ac:dyDescent="0.25">
      <c r="A5" s="107">
        <v>46056</v>
      </c>
      <c r="B5" s="108">
        <v>8</v>
      </c>
      <c r="C5" s="108" t="s">
        <v>664</v>
      </c>
      <c r="D5" s="108" t="s">
        <v>1134</v>
      </c>
      <c r="E5" s="110">
        <v>440</v>
      </c>
      <c r="F5" s="109">
        <f t="shared" si="0"/>
        <v>3520</v>
      </c>
      <c r="G5" s="108" t="s">
        <v>8</v>
      </c>
      <c r="H5" s="108"/>
      <c r="I5" s="108"/>
      <c r="J5" s="108"/>
    </row>
    <row r="6" spans="1:10" x14ac:dyDescent="0.25">
      <c r="A6" s="107">
        <v>46056</v>
      </c>
      <c r="B6" s="108">
        <v>5</v>
      </c>
      <c r="C6" s="108" t="s">
        <v>664</v>
      </c>
      <c r="D6" s="108" t="s">
        <v>731</v>
      </c>
      <c r="E6" s="110">
        <v>440</v>
      </c>
      <c r="F6" s="109">
        <f t="shared" si="0"/>
        <v>2200</v>
      </c>
      <c r="G6" s="108" t="s">
        <v>8</v>
      </c>
      <c r="H6" s="108"/>
      <c r="I6" s="108"/>
      <c r="J6" s="108"/>
    </row>
    <row r="7" spans="1:10" x14ac:dyDescent="0.25">
      <c r="A7" s="107">
        <v>46056</v>
      </c>
      <c r="B7" s="108">
        <v>6</v>
      </c>
      <c r="C7" s="108" t="s">
        <v>664</v>
      </c>
      <c r="D7" s="108" t="s">
        <v>760</v>
      </c>
      <c r="E7" s="110">
        <v>440</v>
      </c>
      <c r="F7" s="109">
        <f t="shared" si="0"/>
        <v>2640</v>
      </c>
      <c r="G7" s="108" t="s">
        <v>8</v>
      </c>
      <c r="H7" s="108"/>
      <c r="I7" s="108"/>
      <c r="J7" s="108"/>
    </row>
    <row r="8" spans="1:10" x14ac:dyDescent="0.25">
      <c r="A8" s="107">
        <v>46056</v>
      </c>
      <c r="B8" s="108">
        <v>3</v>
      </c>
      <c r="C8" s="108" t="s">
        <v>1135</v>
      </c>
      <c r="D8" s="108" t="s">
        <v>760</v>
      </c>
      <c r="E8" s="110">
        <v>398</v>
      </c>
      <c r="F8" s="109">
        <f t="shared" si="0"/>
        <v>1194</v>
      </c>
      <c r="G8" s="108" t="s">
        <v>8</v>
      </c>
      <c r="H8" s="108"/>
      <c r="I8" s="108"/>
      <c r="J8" s="108"/>
    </row>
    <row r="9" spans="1:10" x14ac:dyDescent="0.25">
      <c r="A9" s="107">
        <v>46056</v>
      </c>
      <c r="B9" s="108">
        <v>3</v>
      </c>
      <c r="C9" s="108" t="s">
        <v>1135</v>
      </c>
      <c r="D9" s="108" t="s">
        <v>1134</v>
      </c>
      <c r="E9" s="110">
        <v>398</v>
      </c>
      <c r="F9" s="109">
        <f t="shared" si="0"/>
        <v>1194</v>
      </c>
      <c r="G9" s="108" t="s">
        <v>8</v>
      </c>
      <c r="H9" s="108"/>
      <c r="I9" s="108"/>
      <c r="J9" s="108"/>
    </row>
    <row r="10" spans="1:10" x14ac:dyDescent="0.25">
      <c r="A10" s="107">
        <v>46056</v>
      </c>
      <c r="B10" s="108">
        <v>2</v>
      </c>
      <c r="C10" s="108" t="s">
        <v>1135</v>
      </c>
      <c r="D10" s="108" t="s">
        <v>1136</v>
      </c>
      <c r="E10" s="110">
        <v>398</v>
      </c>
      <c r="F10" s="109">
        <f t="shared" si="0"/>
        <v>796</v>
      </c>
      <c r="G10" s="108" t="s">
        <v>8</v>
      </c>
      <c r="H10" s="108"/>
      <c r="I10" s="108"/>
      <c r="J10" s="108"/>
    </row>
    <row r="11" spans="1:10" x14ac:dyDescent="0.25">
      <c r="A11" s="107">
        <v>46056</v>
      </c>
      <c r="B11" s="108">
        <v>1</v>
      </c>
      <c r="C11" s="108" t="s">
        <v>1137</v>
      </c>
      <c r="D11" s="108" t="s">
        <v>1136</v>
      </c>
      <c r="E11" s="110">
        <v>7</v>
      </c>
      <c r="F11" s="109">
        <f t="shared" si="0"/>
        <v>7</v>
      </c>
      <c r="G11" s="108" t="s">
        <v>8</v>
      </c>
      <c r="H11" s="108"/>
      <c r="I11" s="108"/>
      <c r="J11" s="108"/>
    </row>
    <row r="12" spans="1:10" x14ac:dyDescent="0.25">
      <c r="A12" s="107">
        <v>46056</v>
      </c>
      <c r="B12" s="108">
        <v>2</v>
      </c>
      <c r="C12" s="108" t="s">
        <v>1132</v>
      </c>
      <c r="D12" s="108" t="s">
        <v>677</v>
      </c>
      <c r="E12" s="110">
        <v>2197</v>
      </c>
      <c r="F12" s="109">
        <f t="shared" si="0"/>
        <v>4394</v>
      </c>
      <c r="G12" s="108" t="s">
        <v>348</v>
      </c>
      <c r="H12" s="108"/>
      <c r="I12" s="108" t="s">
        <v>1138</v>
      </c>
      <c r="J12" s="108" t="s">
        <v>115</v>
      </c>
    </row>
    <row r="13" spans="1:10" x14ac:dyDescent="0.25">
      <c r="A13" s="107">
        <v>46056</v>
      </c>
      <c r="B13" s="108">
        <v>5</v>
      </c>
      <c r="C13" s="108" t="s">
        <v>898</v>
      </c>
      <c r="D13" s="108" t="s">
        <v>335</v>
      </c>
      <c r="E13" s="110">
        <v>2490</v>
      </c>
      <c r="F13" s="109">
        <f t="shared" si="0"/>
        <v>12450</v>
      </c>
      <c r="G13" s="108" t="s">
        <v>1141</v>
      </c>
      <c r="H13" s="108"/>
      <c r="I13" s="108"/>
      <c r="J13" s="108"/>
    </row>
    <row r="14" spans="1:10" x14ac:dyDescent="0.25">
      <c r="A14" s="107">
        <v>46057</v>
      </c>
      <c r="B14" s="108">
        <v>3</v>
      </c>
      <c r="C14" s="108" t="s">
        <v>1135</v>
      </c>
      <c r="D14" s="108" t="s">
        <v>749</v>
      </c>
      <c r="E14" s="108">
        <v>397</v>
      </c>
      <c r="F14" s="109">
        <f t="shared" si="0"/>
        <v>1191</v>
      </c>
      <c r="G14" s="108" t="s">
        <v>8</v>
      </c>
      <c r="H14" s="108"/>
      <c r="I14" s="108" t="s">
        <v>1139</v>
      </c>
      <c r="J14" s="108"/>
    </row>
    <row r="15" spans="1:10" x14ac:dyDescent="0.25">
      <c r="A15" s="107">
        <v>46057</v>
      </c>
      <c r="B15" s="108">
        <v>4</v>
      </c>
      <c r="C15" s="108" t="s">
        <v>664</v>
      </c>
      <c r="D15" s="108" t="s">
        <v>665</v>
      </c>
      <c r="E15" s="108">
        <v>454</v>
      </c>
      <c r="F15" s="109">
        <f t="shared" si="0"/>
        <v>1816</v>
      </c>
      <c r="G15" s="108" t="s">
        <v>8</v>
      </c>
      <c r="H15" s="108"/>
      <c r="I15" s="108"/>
      <c r="J15" s="108"/>
    </row>
    <row r="16" spans="1:10" x14ac:dyDescent="0.25">
      <c r="A16" s="107">
        <v>46057</v>
      </c>
      <c r="B16" s="108">
        <v>4</v>
      </c>
      <c r="C16" s="108" t="s">
        <v>664</v>
      </c>
      <c r="D16" s="108" t="s">
        <v>749</v>
      </c>
      <c r="E16" s="108">
        <v>450</v>
      </c>
      <c r="F16" s="109">
        <f t="shared" si="0"/>
        <v>1800</v>
      </c>
      <c r="G16" s="108" t="s">
        <v>8</v>
      </c>
      <c r="H16" s="108"/>
      <c r="I16" s="108"/>
      <c r="J16" s="108"/>
    </row>
    <row r="17" spans="1:14" x14ac:dyDescent="0.25">
      <c r="A17" s="107">
        <v>46058</v>
      </c>
      <c r="B17" s="108">
        <v>50</v>
      </c>
      <c r="C17" s="108" t="s">
        <v>1135</v>
      </c>
      <c r="D17" s="108" t="s">
        <v>881</v>
      </c>
      <c r="E17" s="108">
        <v>397</v>
      </c>
      <c r="F17" s="109">
        <f t="shared" si="0"/>
        <v>19850</v>
      </c>
      <c r="G17" s="108" t="s">
        <v>348</v>
      </c>
      <c r="H17" s="108" t="s">
        <v>1159</v>
      </c>
      <c r="I17" s="108" t="s">
        <v>1150</v>
      </c>
      <c r="J17" s="108"/>
      <c r="N17">
        <v>149</v>
      </c>
    </row>
    <row r="18" spans="1:14" x14ac:dyDescent="0.25">
      <c r="A18" s="107">
        <v>46059</v>
      </c>
      <c r="B18" s="108">
        <v>2</v>
      </c>
      <c r="C18" s="108" t="s">
        <v>664</v>
      </c>
      <c r="D18" s="108" t="s">
        <v>665</v>
      </c>
      <c r="E18" s="108">
        <v>450</v>
      </c>
      <c r="F18" s="109">
        <f t="shared" si="0"/>
        <v>900</v>
      </c>
      <c r="G18" s="108" t="s">
        <v>8</v>
      </c>
      <c r="H18" s="108"/>
      <c r="I18" s="108"/>
      <c r="J18" s="108"/>
      <c r="N18">
        <v>4198</v>
      </c>
    </row>
    <row r="19" spans="1:14" x14ac:dyDescent="0.25">
      <c r="A19" s="107">
        <v>46066</v>
      </c>
      <c r="B19" s="111">
        <v>1</v>
      </c>
      <c r="C19" s="111" t="s">
        <v>1142</v>
      </c>
      <c r="D19" s="111" t="s">
        <v>101</v>
      </c>
      <c r="E19" s="111">
        <v>2949</v>
      </c>
      <c r="F19" s="111">
        <f t="shared" si="0"/>
        <v>2949</v>
      </c>
      <c r="G19" s="111" t="s">
        <v>8</v>
      </c>
      <c r="H19" s="111" t="s">
        <v>1163</v>
      </c>
      <c r="I19" s="108" t="s">
        <v>1148</v>
      </c>
      <c r="J19" s="108"/>
      <c r="N19">
        <v>4648</v>
      </c>
    </row>
    <row r="20" spans="1:14" x14ac:dyDescent="0.25">
      <c r="A20" s="107">
        <v>46066</v>
      </c>
      <c r="B20" s="111">
        <v>1</v>
      </c>
      <c r="C20" s="111" t="s">
        <v>1147</v>
      </c>
      <c r="D20" s="111" t="s">
        <v>101</v>
      </c>
      <c r="E20" s="111">
        <v>0</v>
      </c>
      <c r="F20" s="111">
        <f t="shared" si="0"/>
        <v>0</v>
      </c>
      <c r="G20" s="111" t="s">
        <v>8</v>
      </c>
      <c r="H20" s="111" t="s">
        <v>1163</v>
      </c>
      <c r="I20" s="108"/>
      <c r="J20" s="108"/>
      <c r="N20">
        <v>4648</v>
      </c>
    </row>
    <row r="21" spans="1:14" x14ac:dyDescent="0.25">
      <c r="A21" s="107">
        <v>46066</v>
      </c>
      <c r="B21" s="111">
        <v>1</v>
      </c>
      <c r="C21" s="111" t="s">
        <v>963</v>
      </c>
      <c r="D21" s="111" t="s">
        <v>101</v>
      </c>
      <c r="E21" s="111">
        <v>4400</v>
      </c>
      <c r="F21" s="111">
        <f t="shared" si="0"/>
        <v>4400</v>
      </c>
      <c r="G21" s="111" t="s">
        <v>8</v>
      </c>
      <c r="H21" s="111" t="s">
        <v>1163</v>
      </c>
      <c r="I21" s="108"/>
      <c r="J21" s="108"/>
      <c r="N21">
        <v>4648</v>
      </c>
    </row>
    <row r="22" spans="1:14" x14ac:dyDescent="0.25">
      <c r="A22" s="107">
        <v>46066</v>
      </c>
      <c r="B22" s="111">
        <v>1</v>
      </c>
      <c r="C22" s="111" t="s">
        <v>1143</v>
      </c>
      <c r="D22" s="111" t="s">
        <v>101</v>
      </c>
      <c r="E22" s="111">
        <v>3300</v>
      </c>
      <c r="F22" s="111">
        <f t="shared" si="0"/>
        <v>3300</v>
      </c>
      <c r="G22" s="111" t="s">
        <v>8</v>
      </c>
      <c r="H22" s="111" t="s">
        <v>1163</v>
      </c>
      <c r="I22" s="108"/>
      <c r="J22" s="108"/>
      <c r="N22">
        <v>2000</v>
      </c>
    </row>
    <row r="23" spans="1:14" x14ac:dyDescent="0.25">
      <c r="A23" s="107">
        <v>46066</v>
      </c>
      <c r="B23" s="111">
        <v>2</v>
      </c>
      <c r="C23" s="111" t="s">
        <v>1144</v>
      </c>
      <c r="D23" s="111" t="s">
        <v>101</v>
      </c>
      <c r="E23" s="111">
        <v>1400</v>
      </c>
      <c r="F23" s="111">
        <f t="shared" si="0"/>
        <v>2800</v>
      </c>
      <c r="G23" s="111" t="s">
        <v>8</v>
      </c>
      <c r="H23" s="111" t="s">
        <v>1163</v>
      </c>
      <c r="I23" s="108"/>
      <c r="J23" s="108"/>
      <c r="N23">
        <v>2000</v>
      </c>
    </row>
    <row r="24" spans="1:14" x14ac:dyDescent="0.25">
      <c r="A24" s="107">
        <v>46066</v>
      </c>
      <c r="B24" s="111">
        <v>3</v>
      </c>
      <c r="C24" s="111" t="s">
        <v>546</v>
      </c>
      <c r="D24" s="111" t="s">
        <v>101</v>
      </c>
      <c r="E24" s="111">
        <v>520</v>
      </c>
      <c r="F24" s="111">
        <f t="shared" si="0"/>
        <v>1560</v>
      </c>
      <c r="G24" s="111" t="s">
        <v>8</v>
      </c>
      <c r="H24" s="111" t="s">
        <v>1163</v>
      </c>
      <c r="I24" s="108"/>
      <c r="J24" s="108"/>
      <c r="N24">
        <v>500</v>
      </c>
    </row>
    <row r="25" spans="1:14" x14ac:dyDescent="0.25">
      <c r="A25" s="107">
        <v>46066</v>
      </c>
      <c r="B25" s="108">
        <v>1</v>
      </c>
      <c r="C25" s="108" t="s">
        <v>1145</v>
      </c>
      <c r="D25" s="108" t="s">
        <v>101</v>
      </c>
      <c r="E25" s="108">
        <v>1299</v>
      </c>
      <c r="F25" s="108">
        <f t="shared" si="0"/>
        <v>1299</v>
      </c>
      <c r="G25" s="108" t="s">
        <v>8</v>
      </c>
      <c r="H25" s="111" t="s">
        <v>1162</v>
      </c>
      <c r="I25" s="108"/>
      <c r="J25" s="108"/>
      <c r="N25">
        <f>SUM(N17:N24)</f>
        <v>22791</v>
      </c>
    </row>
    <row r="26" spans="1:14" x14ac:dyDescent="0.25">
      <c r="A26" s="107">
        <v>46066</v>
      </c>
      <c r="B26" s="108">
        <v>5</v>
      </c>
      <c r="C26" s="108" t="s">
        <v>1146</v>
      </c>
      <c r="D26" s="108" t="s">
        <v>101</v>
      </c>
      <c r="E26" s="108">
        <v>30</v>
      </c>
      <c r="F26" s="108">
        <f t="shared" si="0"/>
        <v>150</v>
      </c>
      <c r="G26" s="108" t="s">
        <v>8</v>
      </c>
      <c r="H26" s="108"/>
      <c r="I26" s="108"/>
      <c r="J26" s="108"/>
    </row>
    <row r="27" spans="1:14" x14ac:dyDescent="0.25">
      <c r="A27" s="107">
        <v>46073</v>
      </c>
      <c r="B27" s="108">
        <v>80</v>
      </c>
      <c r="C27" s="108" t="s">
        <v>664</v>
      </c>
      <c r="D27" s="108" t="s">
        <v>526</v>
      </c>
      <c r="E27" s="108">
        <v>400</v>
      </c>
      <c r="F27" s="108">
        <f t="shared" si="0"/>
        <v>32000</v>
      </c>
      <c r="G27" s="108" t="s">
        <v>348</v>
      </c>
      <c r="H27" s="108"/>
      <c r="I27" s="108" t="s">
        <v>1159</v>
      </c>
      <c r="J27" s="108"/>
    </row>
    <row r="28" spans="1:14" x14ac:dyDescent="0.25">
      <c r="A28" s="107">
        <v>46072</v>
      </c>
      <c r="B28" s="108">
        <v>60</v>
      </c>
      <c r="C28" s="108" t="s">
        <v>664</v>
      </c>
      <c r="D28" s="108" t="s">
        <v>1151</v>
      </c>
      <c r="E28" s="108">
        <v>400</v>
      </c>
      <c r="F28" s="108">
        <f t="shared" si="0"/>
        <v>24000</v>
      </c>
      <c r="G28" s="108" t="s">
        <v>348</v>
      </c>
      <c r="H28" s="108"/>
      <c r="I28" s="108" t="s">
        <v>1159</v>
      </c>
      <c r="J28" s="108"/>
    </row>
    <row r="29" spans="1:14" x14ac:dyDescent="0.25">
      <c r="A29" s="107">
        <v>46074</v>
      </c>
      <c r="B29" s="108">
        <v>10</v>
      </c>
      <c r="C29" s="108" t="s">
        <v>969</v>
      </c>
      <c r="D29" s="108" t="s">
        <v>101</v>
      </c>
      <c r="E29" s="108">
        <v>2100</v>
      </c>
      <c r="F29" s="108">
        <f t="shared" si="0"/>
        <v>21000</v>
      </c>
      <c r="G29" s="108" t="s">
        <v>8</v>
      </c>
      <c r="H29" s="108"/>
      <c r="I29" s="108"/>
      <c r="J29" s="108"/>
    </row>
    <row r="30" spans="1:14" x14ac:dyDescent="0.25">
      <c r="A30" s="107">
        <v>46074</v>
      </c>
      <c r="B30" s="108">
        <v>4</v>
      </c>
      <c r="C30" s="108" t="s">
        <v>664</v>
      </c>
      <c r="D30" s="108" t="s">
        <v>101</v>
      </c>
      <c r="E30" s="108">
        <v>450</v>
      </c>
      <c r="F30" s="108">
        <f t="shared" si="0"/>
        <v>1800</v>
      </c>
      <c r="G30" s="108" t="s">
        <v>8</v>
      </c>
      <c r="H30" s="108"/>
      <c r="I30" s="108"/>
      <c r="J30" s="108"/>
    </row>
    <row r="31" spans="1:14" x14ac:dyDescent="0.25">
      <c r="A31" s="107">
        <v>46074</v>
      </c>
      <c r="B31" s="108">
        <v>4</v>
      </c>
      <c r="C31" s="108" t="s">
        <v>969</v>
      </c>
      <c r="D31" s="108" t="s">
        <v>1152</v>
      </c>
      <c r="E31" s="108">
        <v>2099</v>
      </c>
      <c r="F31" s="108">
        <f t="shared" si="0"/>
        <v>8396</v>
      </c>
      <c r="G31" s="108" t="s">
        <v>8</v>
      </c>
      <c r="H31" s="108"/>
      <c r="I31" s="108"/>
      <c r="J31" s="108"/>
    </row>
    <row r="32" spans="1:14" x14ac:dyDescent="0.25">
      <c r="A32" s="107">
        <v>46074</v>
      </c>
      <c r="B32" s="108">
        <v>5</v>
      </c>
      <c r="C32" s="108" t="s">
        <v>664</v>
      </c>
      <c r="D32" s="108" t="s">
        <v>1152</v>
      </c>
      <c r="E32" s="108">
        <v>450</v>
      </c>
      <c r="F32" s="108">
        <f t="shared" si="0"/>
        <v>2250</v>
      </c>
      <c r="G32" s="108" t="s">
        <v>8</v>
      </c>
      <c r="H32" s="108"/>
      <c r="I32" s="108"/>
      <c r="J32" s="108"/>
    </row>
    <row r="33" spans="1:10" x14ac:dyDescent="0.25">
      <c r="A33" s="107">
        <v>46069</v>
      </c>
      <c r="B33" s="108">
        <v>1</v>
      </c>
      <c r="C33" s="108" t="s">
        <v>542</v>
      </c>
      <c r="D33" s="108" t="s">
        <v>686</v>
      </c>
      <c r="E33" s="108">
        <v>21250.35</v>
      </c>
      <c r="F33" s="108">
        <v>21250.35</v>
      </c>
      <c r="G33" s="108"/>
      <c r="H33" s="108"/>
      <c r="I33" s="108" t="s">
        <v>1033</v>
      </c>
      <c r="J33" s="108"/>
    </row>
    <row r="34" spans="1:10" x14ac:dyDescent="0.25">
      <c r="A34" s="107">
        <v>46078</v>
      </c>
      <c r="B34" s="108">
        <v>40</v>
      </c>
      <c r="C34" s="108" t="s">
        <v>664</v>
      </c>
      <c r="D34" s="108" t="s">
        <v>1158</v>
      </c>
      <c r="E34" s="108">
        <v>398</v>
      </c>
      <c r="F34" s="108">
        <f>B34*E34</f>
        <v>15920</v>
      </c>
      <c r="G34" s="108" t="s">
        <v>62</v>
      </c>
      <c r="H34" s="108" t="s">
        <v>348</v>
      </c>
      <c r="I34" s="108"/>
      <c r="J34" s="108"/>
    </row>
    <row r="35" spans="1:10" x14ac:dyDescent="0.25">
      <c r="A35" s="107">
        <v>46080</v>
      </c>
      <c r="B35" s="108">
        <v>60</v>
      </c>
      <c r="C35" s="108" t="s">
        <v>664</v>
      </c>
      <c r="D35" s="108" t="s">
        <v>492</v>
      </c>
      <c r="E35" s="108">
        <v>400</v>
      </c>
      <c r="F35" s="108">
        <f t="shared" ref="F35:F37" si="1">B35*E35</f>
        <v>24000</v>
      </c>
      <c r="G35" s="108" t="s">
        <v>348</v>
      </c>
      <c r="H35" s="108" t="s">
        <v>1160</v>
      </c>
      <c r="I35" s="107">
        <v>46083</v>
      </c>
      <c r="J35" s="108"/>
    </row>
    <row r="36" spans="1:10" x14ac:dyDescent="0.25">
      <c r="A36" s="107">
        <v>46081</v>
      </c>
      <c r="B36" s="108">
        <v>4</v>
      </c>
      <c r="C36" s="108" t="s">
        <v>1161</v>
      </c>
      <c r="D36" s="108" t="s">
        <v>331</v>
      </c>
      <c r="E36" s="108">
        <v>590</v>
      </c>
      <c r="F36" s="108">
        <f t="shared" si="1"/>
        <v>2360</v>
      </c>
      <c r="G36" s="108" t="s">
        <v>8</v>
      </c>
      <c r="H36" s="108"/>
      <c r="I36" s="108"/>
      <c r="J36" s="108"/>
    </row>
    <row r="37" spans="1:10" x14ac:dyDescent="0.25">
      <c r="A37" s="107">
        <v>46081</v>
      </c>
      <c r="B37" s="108">
        <v>1</v>
      </c>
      <c r="C37" s="108" t="s">
        <v>969</v>
      </c>
      <c r="D37" s="108" t="s">
        <v>331</v>
      </c>
      <c r="E37" s="108">
        <v>2099</v>
      </c>
      <c r="F37" s="108">
        <f t="shared" si="1"/>
        <v>2099</v>
      </c>
      <c r="G37" s="108" t="s">
        <v>8</v>
      </c>
      <c r="H37" s="108"/>
      <c r="I37" s="108"/>
      <c r="J37" s="108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" sqref="A2:K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107">
        <v>46083</v>
      </c>
      <c r="B2" s="108">
        <v>80</v>
      </c>
      <c r="C2" s="108" t="s">
        <v>664</v>
      </c>
      <c r="D2" s="108" t="s">
        <v>865</v>
      </c>
      <c r="E2" s="109">
        <v>400</v>
      </c>
      <c r="F2" s="109">
        <f t="shared" ref="F2" si="0">E2*B2</f>
        <v>32000</v>
      </c>
      <c r="G2" s="108" t="s">
        <v>1165</v>
      </c>
      <c r="H2" s="108" t="s">
        <v>1164</v>
      </c>
      <c r="I2" s="108"/>
      <c r="J2" s="108"/>
      <c r="K2" s="108"/>
    </row>
    <row r="3" spans="1:11" x14ac:dyDescent="0.25">
      <c r="A3" s="107">
        <v>46111</v>
      </c>
      <c r="B3" s="108">
        <v>40</v>
      </c>
      <c r="C3" s="108" t="s">
        <v>664</v>
      </c>
      <c r="D3" s="108" t="s">
        <v>1158</v>
      </c>
      <c r="E3" s="108">
        <v>398</v>
      </c>
      <c r="F3" s="108">
        <f>B3*E3</f>
        <v>15920</v>
      </c>
      <c r="G3" s="108" t="s">
        <v>1165</v>
      </c>
      <c r="H3" s="108" t="s">
        <v>1164</v>
      </c>
      <c r="I3" s="108"/>
      <c r="J3" s="108"/>
      <c r="K3" s="108"/>
    </row>
    <row r="4" spans="1:11" x14ac:dyDescent="0.25">
      <c r="A4" s="107">
        <v>46111</v>
      </c>
      <c r="B4" s="108">
        <v>1</v>
      </c>
      <c r="C4" s="108" t="s">
        <v>296</v>
      </c>
      <c r="D4" s="108" t="s">
        <v>1158</v>
      </c>
      <c r="E4" s="108">
        <v>110</v>
      </c>
      <c r="F4" s="108">
        <v>110</v>
      </c>
      <c r="G4" s="108"/>
      <c r="H4" s="108"/>
      <c r="I4" s="108"/>
      <c r="J4" s="108"/>
      <c r="K4" s="108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K19"/>
  <sheetViews>
    <sheetView workbookViewId="0">
      <selection activeCell="D17" sqref="D17"/>
    </sheetView>
  </sheetViews>
  <sheetFormatPr defaultRowHeight="15" x14ac:dyDescent="0.25"/>
  <cols>
    <col min="1" max="1" width="10.28515625" customWidth="1"/>
    <col min="2" max="2" width="4" bestFit="1" customWidth="1"/>
    <col min="3" max="3" width="15.85546875" bestFit="1" customWidth="1"/>
    <col min="4" max="4" width="22.7109375" customWidth="1"/>
    <col min="5" max="5" width="8.140625" bestFit="1" customWidth="1"/>
    <col min="6" max="6" width="7.42578125" bestFit="1" customWidth="1"/>
    <col min="7" max="7" width="17.7109375" bestFit="1" customWidth="1"/>
    <col min="8" max="8" width="7.85546875" bestFit="1" customWidth="1"/>
    <col min="9" max="9" width="10.140625" bestFit="1" customWidth="1"/>
    <col min="10" max="10" width="8.28515625" bestFit="1" customWidth="1"/>
    <col min="11" max="11" width="11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 t="s">
        <v>1166</v>
      </c>
    </row>
    <row r="2" spans="1:11" x14ac:dyDescent="0.25">
      <c r="A2" s="112">
        <v>46113</v>
      </c>
      <c r="B2" s="113">
        <v>10</v>
      </c>
      <c r="C2" s="113" t="s">
        <v>295</v>
      </c>
      <c r="D2" s="113" t="s">
        <v>1169</v>
      </c>
      <c r="E2" s="114">
        <v>469</v>
      </c>
      <c r="F2" s="114">
        <f>B2*E2</f>
        <v>4690</v>
      </c>
      <c r="G2" s="113" t="s">
        <v>1170</v>
      </c>
      <c r="H2" s="113"/>
      <c r="I2" s="113"/>
      <c r="J2" s="113"/>
      <c r="K2" s="113"/>
    </row>
    <row r="3" spans="1:11" x14ac:dyDescent="0.25">
      <c r="A3" s="112">
        <v>46113</v>
      </c>
      <c r="B3" s="113">
        <v>8</v>
      </c>
      <c r="C3" s="113" t="s">
        <v>639</v>
      </c>
      <c r="D3" s="113" t="s">
        <v>383</v>
      </c>
      <c r="E3" s="114">
        <v>1579</v>
      </c>
      <c r="F3" s="114">
        <f>B3*E3</f>
        <v>12632</v>
      </c>
      <c r="G3" s="113" t="s">
        <v>1167</v>
      </c>
      <c r="H3" s="113"/>
      <c r="I3" s="113"/>
      <c r="J3" s="113"/>
      <c r="K3" s="113"/>
    </row>
    <row r="4" spans="1:11" x14ac:dyDescent="0.25">
      <c r="A4" s="112">
        <v>46113</v>
      </c>
      <c r="B4" s="113">
        <v>5</v>
      </c>
      <c r="C4" s="113" t="s">
        <v>406</v>
      </c>
      <c r="D4" s="113" t="s">
        <v>383</v>
      </c>
      <c r="E4" s="114">
        <v>1579</v>
      </c>
      <c r="F4" s="114">
        <f t="shared" ref="F4:F5" si="0">B4*E4</f>
        <v>7895</v>
      </c>
      <c r="G4" s="113" t="s">
        <v>1167</v>
      </c>
      <c r="H4" s="113"/>
      <c r="I4" s="113"/>
      <c r="J4" s="113"/>
      <c r="K4" s="113"/>
    </row>
    <row r="5" spans="1:11" x14ac:dyDescent="0.25">
      <c r="A5" s="112">
        <v>46113</v>
      </c>
      <c r="B5" s="113">
        <v>4</v>
      </c>
      <c r="C5" s="113" t="s">
        <v>378</v>
      </c>
      <c r="D5" s="113" t="s">
        <v>383</v>
      </c>
      <c r="E5" s="114">
        <v>779</v>
      </c>
      <c r="F5" s="114">
        <f t="shared" si="0"/>
        <v>3116</v>
      </c>
      <c r="G5" s="113" t="s">
        <v>1167</v>
      </c>
      <c r="H5" s="113"/>
      <c r="I5" s="113"/>
      <c r="J5" s="113"/>
      <c r="K5" s="113"/>
    </row>
    <row r="6" spans="1:11" x14ac:dyDescent="0.25">
      <c r="A6" s="112">
        <v>46114</v>
      </c>
      <c r="B6" s="113">
        <v>2</v>
      </c>
      <c r="C6" s="113" t="s">
        <v>406</v>
      </c>
      <c r="D6" s="113" t="s">
        <v>460</v>
      </c>
      <c r="E6" s="114">
        <v>1579</v>
      </c>
      <c r="F6" s="114">
        <f t="shared" ref="F6:F12" si="1">B6*E6</f>
        <v>3158</v>
      </c>
      <c r="G6" s="113" t="s">
        <v>62</v>
      </c>
      <c r="H6" s="113"/>
      <c r="I6" s="113"/>
      <c r="J6" s="113"/>
      <c r="K6" s="115">
        <v>102958</v>
      </c>
    </row>
    <row r="7" spans="1:11" x14ac:dyDescent="0.25">
      <c r="A7" s="112">
        <v>46113</v>
      </c>
      <c r="B7" s="113">
        <v>4</v>
      </c>
      <c r="C7" s="113" t="s">
        <v>639</v>
      </c>
      <c r="D7" s="113" t="s">
        <v>460</v>
      </c>
      <c r="E7" s="114">
        <v>1579</v>
      </c>
      <c r="F7" s="114">
        <f t="shared" si="1"/>
        <v>6316</v>
      </c>
      <c r="G7" s="113" t="s">
        <v>62</v>
      </c>
      <c r="H7" s="113"/>
      <c r="I7" s="113"/>
      <c r="J7" s="113"/>
      <c r="K7" s="113"/>
    </row>
    <row r="8" spans="1:11" x14ac:dyDescent="0.25">
      <c r="A8" s="112">
        <v>46113</v>
      </c>
      <c r="B8" s="113">
        <v>3</v>
      </c>
      <c r="C8" s="113" t="s">
        <v>639</v>
      </c>
      <c r="D8" s="113" t="s">
        <v>433</v>
      </c>
      <c r="E8" s="114">
        <v>1579</v>
      </c>
      <c r="F8" s="114">
        <f t="shared" si="1"/>
        <v>4737</v>
      </c>
      <c r="G8" s="113" t="s">
        <v>1167</v>
      </c>
      <c r="H8" s="113"/>
      <c r="I8" s="113"/>
      <c r="J8" s="113"/>
      <c r="K8" s="116">
        <v>186022</v>
      </c>
    </row>
    <row r="9" spans="1:11" x14ac:dyDescent="0.25">
      <c r="A9" s="112">
        <v>46113</v>
      </c>
      <c r="B9" s="113">
        <v>1</v>
      </c>
      <c r="C9" s="113" t="s">
        <v>406</v>
      </c>
      <c r="D9" s="113" t="s">
        <v>1168</v>
      </c>
      <c r="E9" s="114">
        <v>1579</v>
      </c>
      <c r="F9" s="114">
        <f t="shared" si="1"/>
        <v>1579</v>
      </c>
      <c r="G9" s="113" t="s">
        <v>62</v>
      </c>
      <c r="H9" s="113"/>
      <c r="I9" s="113"/>
      <c r="J9" s="113"/>
      <c r="K9" s="113"/>
    </row>
    <row r="10" spans="1:11" x14ac:dyDescent="0.25">
      <c r="A10" s="112">
        <v>46114</v>
      </c>
      <c r="B10" s="113">
        <v>3</v>
      </c>
      <c r="C10" s="113" t="s">
        <v>406</v>
      </c>
      <c r="D10" s="113" t="s">
        <v>433</v>
      </c>
      <c r="E10" s="114">
        <v>1579</v>
      </c>
      <c r="F10" s="114">
        <f t="shared" si="1"/>
        <v>4737</v>
      </c>
      <c r="G10" s="113" t="s">
        <v>1167</v>
      </c>
      <c r="H10" s="113"/>
      <c r="I10" s="113"/>
      <c r="J10" s="113"/>
      <c r="K10" s="116">
        <v>186169</v>
      </c>
    </row>
    <row r="11" spans="1:11" x14ac:dyDescent="0.25">
      <c r="A11" s="112">
        <v>46114</v>
      </c>
      <c r="B11" s="113">
        <v>3</v>
      </c>
      <c r="C11" s="113" t="s">
        <v>639</v>
      </c>
      <c r="D11" s="113" t="s">
        <v>433</v>
      </c>
      <c r="E11" s="114">
        <v>1579</v>
      </c>
      <c r="F11" s="114">
        <f t="shared" si="1"/>
        <v>4737</v>
      </c>
      <c r="G11" s="113" t="s">
        <v>1167</v>
      </c>
      <c r="H11" s="113"/>
      <c r="I11" s="113"/>
      <c r="J11" s="113"/>
      <c r="K11" s="116">
        <v>186171</v>
      </c>
    </row>
    <row r="12" spans="1:11" x14ac:dyDescent="0.25">
      <c r="A12" s="107">
        <v>46114</v>
      </c>
      <c r="B12" s="108">
        <v>1</v>
      </c>
      <c r="C12" s="108" t="s">
        <v>542</v>
      </c>
      <c r="D12" s="108" t="s">
        <v>1171</v>
      </c>
      <c r="E12" s="109">
        <v>27483.46</v>
      </c>
      <c r="F12" s="109">
        <f t="shared" si="1"/>
        <v>27483.46</v>
      </c>
      <c r="G12" s="108" t="s">
        <v>85</v>
      </c>
      <c r="H12" s="108"/>
      <c r="I12" s="108"/>
      <c r="J12" s="108"/>
      <c r="K12" s="108"/>
    </row>
    <row r="13" spans="1:11" x14ac:dyDescent="0.25">
      <c r="A13" s="117">
        <v>46130</v>
      </c>
      <c r="B13" s="118"/>
      <c r="C13" s="118"/>
      <c r="D13" s="118" t="s">
        <v>464</v>
      </c>
      <c r="E13" s="118"/>
      <c r="F13" s="119">
        <v>8000</v>
      </c>
      <c r="G13" s="118" t="s">
        <v>1172</v>
      </c>
      <c r="H13" s="118"/>
      <c r="I13" s="118"/>
      <c r="J13" s="118"/>
      <c r="K13" s="118"/>
    </row>
    <row r="14" spans="1:11" x14ac:dyDescent="0.25">
      <c r="A14" s="107">
        <v>46118</v>
      </c>
      <c r="B14" s="108"/>
      <c r="C14" s="108"/>
      <c r="D14" s="108" t="s">
        <v>464</v>
      </c>
      <c r="E14" s="108"/>
      <c r="F14" s="120">
        <v>4700</v>
      </c>
      <c r="G14" s="108" t="s">
        <v>1173</v>
      </c>
      <c r="H14" s="108"/>
      <c r="I14" s="108"/>
      <c r="J14" s="108"/>
      <c r="K14" s="108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J47"/>
  <sheetViews>
    <sheetView workbookViewId="0">
      <selection activeCell="K26" sqref="K26"/>
    </sheetView>
  </sheetViews>
  <sheetFormatPr defaultRowHeight="15" x14ac:dyDescent="0.25"/>
  <cols>
    <col min="1" max="1" width="10.140625" customWidth="1"/>
    <col min="2" max="2" width="4" bestFit="1" customWidth="1"/>
    <col min="3" max="3" width="33.140625" bestFit="1" customWidth="1"/>
    <col min="4" max="4" width="26.42578125" customWidth="1"/>
    <col min="5" max="5" width="6.42578125" bestFit="1" customWidth="1"/>
    <col min="6" max="6" width="8.42578125" bestFit="1" customWidth="1"/>
    <col min="7" max="7" width="31.85546875" customWidth="1"/>
    <col min="8" max="8" width="11.140625" customWidth="1"/>
    <col min="9" max="9" width="35.85546875" customWidth="1"/>
    <col min="10" max="10" width="19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07">
        <v>46127</v>
      </c>
      <c r="B2" s="108">
        <v>500</v>
      </c>
      <c r="C2" s="108" t="s">
        <v>664</v>
      </c>
      <c r="D2" s="108" t="s">
        <v>1179</v>
      </c>
      <c r="E2" s="109">
        <v>398</v>
      </c>
      <c r="F2" s="109">
        <f t="shared" ref="F2:F17" si="0">E2*B2</f>
        <v>199000</v>
      </c>
      <c r="G2" s="108" t="s">
        <v>1165</v>
      </c>
      <c r="H2" s="108" t="s">
        <v>1164</v>
      </c>
      <c r="I2" s="108"/>
      <c r="J2" s="108"/>
    </row>
    <row r="3" spans="1:10" x14ac:dyDescent="0.25">
      <c r="A3" s="107">
        <v>46127</v>
      </c>
      <c r="B3" s="108">
        <v>1</v>
      </c>
      <c r="C3" s="108" t="s">
        <v>296</v>
      </c>
      <c r="D3" s="108" t="s">
        <v>1179</v>
      </c>
      <c r="E3" s="109">
        <v>200</v>
      </c>
      <c r="F3" s="109">
        <v>200</v>
      </c>
      <c r="G3" s="108"/>
      <c r="H3" s="108"/>
      <c r="I3" s="108" t="s">
        <v>85</v>
      </c>
      <c r="J3" s="108"/>
    </row>
    <row r="4" spans="1:10" x14ac:dyDescent="0.25">
      <c r="A4" s="107">
        <v>46129</v>
      </c>
      <c r="B4" s="108">
        <v>2</v>
      </c>
      <c r="C4" s="108" t="s">
        <v>1174</v>
      </c>
      <c r="D4" s="108" t="s">
        <v>809</v>
      </c>
      <c r="E4" s="109">
        <v>1199</v>
      </c>
      <c r="F4" s="109">
        <f t="shared" si="0"/>
        <v>2398</v>
      </c>
      <c r="G4" s="108" t="s">
        <v>8</v>
      </c>
      <c r="H4" s="108"/>
      <c r="I4" s="108"/>
      <c r="J4" s="108"/>
    </row>
    <row r="5" spans="1:10" x14ac:dyDescent="0.25">
      <c r="A5" s="107">
        <v>46129</v>
      </c>
      <c r="B5" s="108">
        <v>2</v>
      </c>
      <c r="C5" s="108" t="s">
        <v>1174</v>
      </c>
      <c r="D5" s="108" t="s">
        <v>1175</v>
      </c>
      <c r="E5" s="109">
        <v>1199</v>
      </c>
      <c r="F5" s="109">
        <f t="shared" si="0"/>
        <v>2398</v>
      </c>
      <c r="G5" s="108" t="s">
        <v>8</v>
      </c>
      <c r="H5" s="108"/>
      <c r="I5" s="108"/>
      <c r="J5" s="108"/>
    </row>
    <row r="6" spans="1:10" x14ac:dyDescent="0.25">
      <c r="A6" s="107">
        <v>46129</v>
      </c>
      <c r="B6" s="108">
        <v>3</v>
      </c>
      <c r="C6" s="108" t="s">
        <v>1174</v>
      </c>
      <c r="D6" s="108" t="s">
        <v>1175</v>
      </c>
      <c r="E6" s="109">
        <v>1199</v>
      </c>
      <c r="F6" s="109">
        <f t="shared" si="0"/>
        <v>3597</v>
      </c>
      <c r="G6" s="108" t="s">
        <v>8</v>
      </c>
      <c r="H6" s="108"/>
      <c r="I6" s="108"/>
      <c r="J6" s="108"/>
    </row>
    <row r="7" spans="1:10" x14ac:dyDescent="0.25">
      <c r="A7" s="107">
        <v>46129</v>
      </c>
      <c r="B7" s="108">
        <v>1</v>
      </c>
      <c r="C7" s="108" t="s">
        <v>1174</v>
      </c>
      <c r="D7" s="108" t="s">
        <v>1175</v>
      </c>
      <c r="E7" s="109">
        <v>750</v>
      </c>
      <c r="F7" s="109">
        <f t="shared" si="0"/>
        <v>750</v>
      </c>
      <c r="G7" s="108" t="s">
        <v>8</v>
      </c>
      <c r="H7" s="108"/>
      <c r="I7" s="108"/>
      <c r="J7" s="108"/>
    </row>
    <row r="8" spans="1:10" x14ac:dyDescent="0.25">
      <c r="A8" s="107">
        <v>46129</v>
      </c>
      <c r="B8" s="108">
        <v>1</v>
      </c>
      <c r="C8" s="108" t="s">
        <v>1176</v>
      </c>
      <c r="D8" s="108" t="s">
        <v>1177</v>
      </c>
      <c r="E8" s="109">
        <v>2350</v>
      </c>
      <c r="F8" s="109">
        <f t="shared" si="0"/>
        <v>2350</v>
      </c>
      <c r="G8" s="108" t="s">
        <v>622</v>
      </c>
      <c r="H8" s="108"/>
      <c r="I8" s="108" t="s">
        <v>85</v>
      </c>
      <c r="J8" s="108"/>
    </row>
    <row r="9" spans="1:10" x14ac:dyDescent="0.25">
      <c r="A9" s="112">
        <v>46120</v>
      </c>
      <c r="B9" s="113">
        <v>2</v>
      </c>
      <c r="C9" s="113" t="s">
        <v>969</v>
      </c>
      <c r="D9" s="113" t="s">
        <v>811</v>
      </c>
      <c r="E9" s="114">
        <v>2199</v>
      </c>
      <c r="F9" s="114">
        <f t="shared" si="0"/>
        <v>4398</v>
      </c>
      <c r="G9" s="113" t="s">
        <v>62</v>
      </c>
      <c r="H9" s="113"/>
      <c r="I9" s="113"/>
      <c r="J9" s="121">
        <v>0.1</v>
      </c>
    </row>
    <row r="10" spans="1:10" x14ac:dyDescent="0.25">
      <c r="A10" s="112">
        <v>46120</v>
      </c>
      <c r="B10" s="113">
        <v>2</v>
      </c>
      <c r="C10" s="113" t="s">
        <v>1095</v>
      </c>
      <c r="D10" s="113" t="s">
        <v>811</v>
      </c>
      <c r="E10" s="114">
        <v>2199</v>
      </c>
      <c r="F10" s="114">
        <f t="shared" si="0"/>
        <v>4398</v>
      </c>
      <c r="G10" s="113" t="s">
        <v>62</v>
      </c>
      <c r="H10" s="113"/>
      <c r="I10" s="113"/>
      <c r="J10" s="121">
        <v>0.1</v>
      </c>
    </row>
    <row r="11" spans="1:10" x14ac:dyDescent="0.25">
      <c r="A11" s="107">
        <v>46120</v>
      </c>
      <c r="B11" s="108">
        <v>4</v>
      </c>
      <c r="C11" s="108" t="s">
        <v>1027</v>
      </c>
      <c r="D11" s="108" t="s">
        <v>857</v>
      </c>
      <c r="E11" s="109">
        <v>25</v>
      </c>
      <c r="F11" s="109">
        <f t="shared" si="0"/>
        <v>100</v>
      </c>
      <c r="G11" s="108" t="s">
        <v>622</v>
      </c>
      <c r="H11" s="108"/>
      <c r="I11" s="108" t="s">
        <v>85</v>
      </c>
      <c r="J11" s="108"/>
    </row>
    <row r="12" spans="1:10" x14ac:dyDescent="0.25">
      <c r="A12" s="112">
        <v>46130</v>
      </c>
      <c r="B12" s="113">
        <v>4</v>
      </c>
      <c r="C12" s="113" t="s">
        <v>1174</v>
      </c>
      <c r="D12" s="113" t="s">
        <v>1178</v>
      </c>
      <c r="E12" s="114">
        <v>1199</v>
      </c>
      <c r="F12" s="114">
        <f t="shared" si="0"/>
        <v>4796</v>
      </c>
      <c r="G12" s="113" t="s">
        <v>62</v>
      </c>
      <c r="H12" s="113"/>
      <c r="I12" s="113"/>
      <c r="J12" s="113"/>
    </row>
    <row r="13" spans="1:10" x14ac:dyDescent="0.25">
      <c r="A13" s="107">
        <v>46119</v>
      </c>
      <c r="B13" s="108">
        <v>40</v>
      </c>
      <c r="C13" s="108" t="s">
        <v>1180</v>
      </c>
      <c r="D13" s="108" t="s">
        <v>811</v>
      </c>
      <c r="E13" s="109">
        <v>2199</v>
      </c>
      <c r="F13" s="109">
        <f t="shared" si="0"/>
        <v>87960</v>
      </c>
      <c r="G13" s="108" t="s">
        <v>1184</v>
      </c>
      <c r="H13" s="108"/>
      <c r="I13" s="108" t="s">
        <v>981</v>
      </c>
      <c r="J13" s="122">
        <v>0.1</v>
      </c>
    </row>
    <row r="14" spans="1:10" x14ac:dyDescent="0.25">
      <c r="A14" s="107">
        <v>46119</v>
      </c>
      <c r="B14" s="108">
        <v>6</v>
      </c>
      <c r="C14" s="108" t="s">
        <v>1181</v>
      </c>
      <c r="D14" s="108" t="s">
        <v>811</v>
      </c>
      <c r="E14" s="109">
        <v>689</v>
      </c>
      <c r="F14" s="109">
        <f t="shared" si="0"/>
        <v>4134</v>
      </c>
      <c r="G14" s="108" t="s">
        <v>1184</v>
      </c>
      <c r="H14" s="108"/>
      <c r="I14" s="108" t="s">
        <v>981</v>
      </c>
      <c r="J14" s="122">
        <v>0.1</v>
      </c>
    </row>
    <row r="15" spans="1:10" x14ac:dyDescent="0.25">
      <c r="A15" s="107">
        <v>46119</v>
      </c>
      <c r="B15" s="108">
        <v>7</v>
      </c>
      <c r="C15" s="108" t="s">
        <v>664</v>
      </c>
      <c r="D15" s="108" t="s">
        <v>811</v>
      </c>
      <c r="E15" s="109">
        <v>398</v>
      </c>
      <c r="F15" s="109">
        <f t="shared" si="0"/>
        <v>2786</v>
      </c>
      <c r="G15" s="108" t="s">
        <v>1184</v>
      </c>
      <c r="H15" s="108"/>
      <c r="I15" s="108" t="s">
        <v>981</v>
      </c>
      <c r="J15" s="122">
        <v>0.1</v>
      </c>
    </row>
    <row r="16" spans="1:10" x14ac:dyDescent="0.25">
      <c r="A16" s="107">
        <v>46119</v>
      </c>
      <c r="B16" s="108">
        <v>60</v>
      </c>
      <c r="C16" s="108" t="s">
        <v>664</v>
      </c>
      <c r="D16" s="108" t="s">
        <v>1182</v>
      </c>
      <c r="E16" s="109">
        <v>398</v>
      </c>
      <c r="F16" s="109">
        <f t="shared" si="0"/>
        <v>23880</v>
      </c>
      <c r="G16" s="108" t="s">
        <v>1184</v>
      </c>
      <c r="H16" s="108"/>
      <c r="I16" s="108" t="s">
        <v>981</v>
      </c>
      <c r="J16" s="122">
        <v>0.1</v>
      </c>
    </row>
    <row r="17" spans="1:10" x14ac:dyDescent="0.25">
      <c r="A17" s="112">
        <v>46130</v>
      </c>
      <c r="B17" s="113">
        <v>4</v>
      </c>
      <c r="C17" s="113" t="s">
        <v>1174</v>
      </c>
      <c r="D17" s="113" t="s">
        <v>1183</v>
      </c>
      <c r="E17" s="113">
        <v>1199</v>
      </c>
      <c r="F17" s="113">
        <f t="shared" si="0"/>
        <v>4796</v>
      </c>
      <c r="G17" s="113" t="s">
        <v>62</v>
      </c>
      <c r="H17" s="113"/>
      <c r="I17" s="113"/>
      <c r="J17" s="121"/>
    </row>
    <row r="31" spans="1:10" x14ac:dyDescent="0.25">
      <c r="A31" s="80">
        <v>46000</v>
      </c>
      <c r="B31" s="10">
        <v>1</v>
      </c>
      <c r="C31" s="10" t="s">
        <v>664</v>
      </c>
      <c r="D31" s="10" t="s">
        <v>492</v>
      </c>
      <c r="E31" s="66">
        <v>0</v>
      </c>
      <c r="F31" s="66">
        <v>0</v>
      </c>
      <c r="G31" s="10" t="s">
        <v>831</v>
      </c>
      <c r="H31" s="10"/>
      <c r="I31" s="10"/>
      <c r="J31" s="10"/>
    </row>
    <row r="32" spans="1:10" x14ac:dyDescent="0.25">
      <c r="A32" s="80">
        <v>46006</v>
      </c>
      <c r="B32" s="10">
        <v>1</v>
      </c>
      <c r="C32" s="10" t="s">
        <v>664</v>
      </c>
      <c r="D32" s="10" t="s">
        <v>502</v>
      </c>
      <c r="E32" s="10"/>
      <c r="F32" s="66">
        <v>0</v>
      </c>
      <c r="G32" s="10" t="s">
        <v>891</v>
      </c>
      <c r="H32" s="10"/>
      <c r="I32" s="10"/>
      <c r="J32" s="10"/>
    </row>
    <row r="33" spans="1:10" x14ac:dyDescent="0.25">
      <c r="A33" s="80">
        <v>46008</v>
      </c>
      <c r="B33" s="10">
        <v>1</v>
      </c>
      <c r="C33" s="10" t="s">
        <v>664</v>
      </c>
      <c r="D33" s="10" t="s">
        <v>878</v>
      </c>
      <c r="E33" s="66"/>
      <c r="F33" s="66"/>
      <c r="G33" s="10" t="s">
        <v>882</v>
      </c>
      <c r="H33" s="10"/>
      <c r="I33" s="10"/>
      <c r="J33" s="10"/>
    </row>
    <row r="34" spans="1:10" x14ac:dyDescent="0.25">
      <c r="A34" s="80">
        <v>46008</v>
      </c>
      <c r="B34" s="10">
        <v>20</v>
      </c>
      <c r="C34" s="10" t="s">
        <v>664</v>
      </c>
      <c r="D34" s="10" t="s">
        <v>879</v>
      </c>
      <c r="E34" s="66"/>
      <c r="F34" s="66">
        <v>0</v>
      </c>
      <c r="G34" s="10" t="s">
        <v>880</v>
      </c>
      <c r="H34" s="10"/>
      <c r="I34" s="10"/>
      <c r="J34" s="10"/>
    </row>
    <row r="35" spans="1:10" x14ac:dyDescent="0.25">
      <c r="A35" s="80">
        <v>46009</v>
      </c>
      <c r="B35" s="10"/>
      <c r="C35" s="10" t="s">
        <v>664</v>
      </c>
      <c r="D35" s="10" t="s">
        <v>890</v>
      </c>
      <c r="E35" s="66"/>
      <c r="F35" s="66">
        <v>0</v>
      </c>
      <c r="G35" s="10" t="s">
        <v>889</v>
      </c>
      <c r="H35" s="10"/>
      <c r="I35" s="10"/>
      <c r="J35" s="10"/>
    </row>
    <row r="36" spans="1:10" x14ac:dyDescent="0.25">
      <c r="A36" s="80">
        <v>46014</v>
      </c>
      <c r="B36" s="10">
        <v>40</v>
      </c>
      <c r="C36" s="10" t="s">
        <v>933</v>
      </c>
      <c r="D36" s="10" t="s">
        <v>934</v>
      </c>
      <c r="E36" s="10"/>
      <c r="F36" s="10"/>
      <c r="G36" s="10" t="s">
        <v>935</v>
      </c>
      <c r="H36" s="10"/>
      <c r="I36" s="10"/>
      <c r="J36" s="10"/>
    </row>
    <row r="37" spans="1:10" x14ac:dyDescent="0.25">
      <c r="A37" s="106">
        <v>46015</v>
      </c>
      <c r="B37" s="16">
        <v>1</v>
      </c>
      <c r="C37" s="16" t="s">
        <v>933</v>
      </c>
      <c r="D37" s="16" t="s">
        <v>955</v>
      </c>
      <c r="E37" s="70"/>
      <c r="F37" s="70">
        <v>0</v>
      </c>
      <c r="G37" s="16" t="s">
        <v>956</v>
      </c>
      <c r="H37" s="16"/>
      <c r="I37" s="16" t="s">
        <v>1154</v>
      </c>
      <c r="J37" s="10"/>
    </row>
    <row r="38" spans="1:10" x14ac:dyDescent="0.25">
      <c r="A38" s="80">
        <v>46015</v>
      </c>
      <c r="B38" s="10"/>
      <c r="C38" s="10" t="s">
        <v>933</v>
      </c>
      <c r="D38" s="10" t="s">
        <v>865</v>
      </c>
      <c r="E38" s="66"/>
      <c r="F38" s="66">
        <v>0</v>
      </c>
      <c r="G38" s="10" t="s">
        <v>957</v>
      </c>
      <c r="H38" s="10"/>
      <c r="I38" s="10"/>
      <c r="J38" s="10"/>
    </row>
    <row r="39" spans="1:10" x14ac:dyDescent="0.25">
      <c r="A39" s="80">
        <v>46015</v>
      </c>
      <c r="B39" s="10"/>
      <c r="C39" s="10" t="s">
        <v>933</v>
      </c>
      <c r="D39" s="10" t="s">
        <v>959</v>
      </c>
      <c r="E39" s="66"/>
      <c r="F39" s="66">
        <v>0</v>
      </c>
      <c r="G39" s="10" t="s">
        <v>958</v>
      </c>
      <c r="H39" s="10"/>
      <c r="I39" s="10"/>
      <c r="J39" s="10"/>
    </row>
    <row r="40" spans="1:10" x14ac:dyDescent="0.25">
      <c r="A40" s="80">
        <v>46015</v>
      </c>
      <c r="B40" s="10"/>
      <c r="C40" s="10" t="s">
        <v>933</v>
      </c>
      <c r="D40" s="10" t="s">
        <v>959</v>
      </c>
      <c r="E40" s="66"/>
      <c r="F40" s="66">
        <v>0</v>
      </c>
      <c r="G40" s="10" t="s">
        <v>958</v>
      </c>
      <c r="H40" s="10"/>
      <c r="I40" s="10"/>
      <c r="J40" s="10"/>
    </row>
    <row r="41" spans="1:10" x14ac:dyDescent="0.25">
      <c r="A41" s="106">
        <v>46015</v>
      </c>
      <c r="B41" s="16"/>
      <c r="C41" s="16" t="s">
        <v>933</v>
      </c>
      <c r="D41" s="16" t="s">
        <v>961</v>
      </c>
      <c r="E41" s="70"/>
      <c r="F41" s="70">
        <v>0</v>
      </c>
      <c r="G41" s="16" t="s">
        <v>962</v>
      </c>
      <c r="H41" s="16"/>
      <c r="I41" s="16" t="s">
        <v>790</v>
      </c>
      <c r="J41" s="10"/>
    </row>
    <row r="42" spans="1:10" x14ac:dyDescent="0.25">
      <c r="A42" s="80">
        <v>46018</v>
      </c>
      <c r="B42" s="10">
        <v>1</v>
      </c>
      <c r="C42" s="10" t="s">
        <v>975</v>
      </c>
      <c r="D42" s="10" t="s">
        <v>101</v>
      </c>
      <c r="E42" s="66">
        <v>299</v>
      </c>
      <c r="F42" s="66">
        <v>299</v>
      </c>
      <c r="G42" s="10" t="s">
        <v>974</v>
      </c>
      <c r="H42" s="10"/>
      <c r="I42" s="10" t="s">
        <v>634</v>
      </c>
      <c r="J42" s="10"/>
    </row>
    <row r="43" spans="1:10" x14ac:dyDescent="0.25">
      <c r="A43" s="80">
        <v>46018</v>
      </c>
      <c r="B43" s="10">
        <v>7</v>
      </c>
      <c r="C43" s="10" t="s">
        <v>978</v>
      </c>
      <c r="D43" s="10" t="s">
        <v>677</v>
      </c>
      <c r="E43" s="66"/>
      <c r="F43" s="66">
        <v>0</v>
      </c>
      <c r="G43" s="10" t="s">
        <v>1006</v>
      </c>
      <c r="H43" s="10"/>
      <c r="I43" s="10" t="s">
        <v>1043</v>
      </c>
      <c r="J43" s="10"/>
    </row>
    <row r="44" spans="1:10" x14ac:dyDescent="0.25">
      <c r="A44" s="80"/>
      <c r="B44" s="10"/>
      <c r="C44" s="10" t="s">
        <v>1013</v>
      </c>
      <c r="D44" s="10" t="s">
        <v>492</v>
      </c>
      <c r="E44" s="66">
        <v>500</v>
      </c>
      <c r="F44" s="66">
        <v>500</v>
      </c>
      <c r="G44" s="10" t="s">
        <v>1091</v>
      </c>
      <c r="H44" s="10"/>
      <c r="I44" s="10"/>
      <c r="J44" s="10"/>
    </row>
    <row r="45" spans="1:10" x14ac:dyDescent="0.25">
      <c r="A45" s="80">
        <v>46042</v>
      </c>
      <c r="B45" s="10"/>
      <c r="C45" s="10" t="s">
        <v>1013</v>
      </c>
      <c r="D45" s="10" t="s">
        <v>1067</v>
      </c>
      <c r="E45" s="66">
        <v>500</v>
      </c>
      <c r="F45" s="66">
        <v>500</v>
      </c>
      <c r="G45" s="10" t="s">
        <v>1069</v>
      </c>
      <c r="H45" s="10"/>
      <c r="I45" s="10"/>
      <c r="J45" s="10"/>
    </row>
    <row r="46" spans="1:10" x14ac:dyDescent="0.25">
      <c r="A46" s="80">
        <v>46044</v>
      </c>
      <c r="B46" s="10"/>
      <c r="C46" s="10" t="s">
        <v>1013</v>
      </c>
      <c r="D46" s="10" t="s">
        <v>1092</v>
      </c>
      <c r="E46" s="66"/>
      <c r="F46" s="66">
        <v>0</v>
      </c>
      <c r="G46" s="10" t="s">
        <v>758</v>
      </c>
      <c r="H46" s="10"/>
      <c r="I46" s="10"/>
      <c r="J46" s="10"/>
    </row>
    <row r="47" spans="1:10" x14ac:dyDescent="0.25">
      <c r="A47" s="80">
        <v>46047</v>
      </c>
      <c r="B47" s="10">
        <v>2</v>
      </c>
      <c r="C47" s="10" t="s">
        <v>969</v>
      </c>
      <c r="D47" s="10" t="s">
        <v>677</v>
      </c>
      <c r="E47" s="10" t="s">
        <v>1140</v>
      </c>
      <c r="F47" s="66" t="s">
        <v>1140</v>
      </c>
      <c r="G47" s="10" t="s">
        <v>1102</v>
      </c>
      <c r="H47" s="101">
        <v>1127</v>
      </c>
      <c r="I47" s="10" t="s">
        <v>115</v>
      </c>
      <c r="J47" s="123">
        <v>2663.6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F1" sqref="F1:F1048576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31" t="s">
        <v>1025</v>
      </c>
      <c r="B54" s="131"/>
      <c r="C54" s="131"/>
      <c r="D54" s="131"/>
      <c r="E54" s="131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tabSelected="1" workbookViewId="0">
      <selection activeCell="I22" sqref="I22"/>
    </sheetView>
  </sheetViews>
  <sheetFormatPr defaultRowHeight="15" x14ac:dyDescent="0.25"/>
  <cols>
    <col min="1" max="1" width="10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07">
        <v>46055</v>
      </c>
      <c r="B2" s="108">
        <v>1</v>
      </c>
      <c r="C2" s="108" t="s">
        <v>1157</v>
      </c>
      <c r="D2" s="108" t="s">
        <v>464</v>
      </c>
      <c r="E2" s="108">
        <v>500</v>
      </c>
      <c r="F2" s="108">
        <f t="shared" ref="F2:F5" si="0">B2*E2</f>
        <v>500</v>
      </c>
      <c r="G2" s="108"/>
      <c r="H2" s="108"/>
      <c r="I2" s="108"/>
      <c r="J2" s="108"/>
    </row>
    <row r="3" spans="1:10" x14ac:dyDescent="0.25">
      <c r="A3" s="107">
        <v>46055</v>
      </c>
      <c r="B3" s="108">
        <v>33</v>
      </c>
      <c r="C3" s="108" t="s">
        <v>666</v>
      </c>
      <c r="D3" s="108" t="s">
        <v>464</v>
      </c>
      <c r="E3" s="108">
        <v>10</v>
      </c>
      <c r="F3" s="108">
        <f t="shared" si="0"/>
        <v>330</v>
      </c>
      <c r="G3" s="108"/>
      <c r="H3" s="108" t="s">
        <v>85</v>
      </c>
      <c r="I3" s="108"/>
      <c r="J3" s="108"/>
    </row>
    <row r="4" spans="1:10" x14ac:dyDescent="0.25">
      <c r="A4" s="107">
        <v>46055</v>
      </c>
      <c r="B4" s="108">
        <v>4</v>
      </c>
      <c r="C4" s="108" t="s">
        <v>1156</v>
      </c>
      <c r="D4" s="108" t="s">
        <v>464</v>
      </c>
      <c r="E4" s="108">
        <v>20</v>
      </c>
      <c r="F4" s="108">
        <f t="shared" si="0"/>
        <v>80</v>
      </c>
      <c r="G4" s="108"/>
      <c r="H4" s="108" t="s">
        <v>85</v>
      </c>
      <c r="I4" s="108"/>
      <c r="J4" s="108"/>
    </row>
    <row r="5" spans="1:10" x14ac:dyDescent="0.25">
      <c r="A5" s="107">
        <v>46055</v>
      </c>
      <c r="B5" s="108">
        <v>2</v>
      </c>
      <c r="C5" s="108" t="s">
        <v>296</v>
      </c>
      <c r="D5" s="108" t="s">
        <v>464</v>
      </c>
      <c r="E5" s="108">
        <v>90</v>
      </c>
      <c r="F5" s="108">
        <f t="shared" si="0"/>
        <v>180</v>
      </c>
      <c r="G5" s="108"/>
      <c r="H5" s="108" t="s">
        <v>85</v>
      </c>
      <c r="I5" s="108"/>
      <c r="J5" s="108"/>
    </row>
    <row r="6" spans="1:10" x14ac:dyDescent="0.25">
      <c r="A6" s="112">
        <v>46071</v>
      </c>
      <c r="B6" s="113">
        <v>3</v>
      </c>
      <c r="C6" s="113" t="s">
        <v>1153</v>
      </c>
      <c r="D6" s="113" t="s">
        <v>291</v>
      </c>
      <c r="E6" s="113">
        <v>1449</v>
      </c>
      <c r="F6" s="113">
        <f>E6*B6</f>
        <v>4347</v>
      </c>
      <c r="G6" s="113" t="s">
        <v>62</v>
      </c>
      <c r="H6" s="113"/>
      <c r="I6" s="113" t="s">
        <v>463</v>
      </c>
      <c r="J6" s="11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2026-04-29T09:57:11Z</dcterms:modified>
</cp:coreProperties>
</file>