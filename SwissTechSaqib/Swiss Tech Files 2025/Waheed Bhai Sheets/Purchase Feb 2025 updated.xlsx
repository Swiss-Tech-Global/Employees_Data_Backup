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3040" windowHeight="8940"/>
  </bookViews>
  <sheets>
    <sheet name="Purchases" sheetId="1" r:id="rId1"/>
    <sheet name="Apple GC" sheetId="5" r:id="rId2"/>
    <sheet name="Sheet3" sheetId="3" state="hidden" r:id="rId3"/>
    <sheet name="Sheet1" sheetId="4" state="hidden" r:id="rId4"/>
    <sheet name="INSTAX RATES" sheetId="2" state="hidden" r:id="rId5"/>
  </sheets>
  <definedNames>
    <definedName name="_xlnm._FilterDatabase" localSheetId="0" hidden="1">Purchases!$A$1:$P$53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1"/>
  <c r="G47"/>
  <c r="G48"/>
  <c r="J2" i="5"/>
  <c r="G42" i="1"/>
  <c r="G43"/>
  <c r="G44"/>
  <c r="G45"/>
  <c r="G37" l="1"/>
  <c r="G38"/>
  <c r="G39"/>
  <c r="G40"/>
  <c r="G41"/>
  <c r="G36"/>
  <c r="G29"/>
  <c r="G30"/>
  <c r="G31"/>
  <c r="G32"/>
  <c r="G33"/>
  <c r="G34"/>
  <c r="G35"/>
  <c r="G14" l="1"/>
  <c r="G15"/>
  <c r="G16"/>
  <c r="G17"/>
  <c r="G18"/>
  <c r="G19"/>
  <c r="G20"/>
  <c r="G21"/>
  <c r="G22"/>
  <c r="G23"/>
  <c r="G24"/>
  <c r="G25"/>
  <c r="G26"/>
  <c r="G27"/>
  <c r="G28"/>
  <c r="G12"/>
  <c r="G13"/>
  <c r="G11" l="1"/>
  <c r="G5" i="2"/>
  <c r="E4"/>
  <c r="G4" s="1"/>
  <c r="E5"/>
  <c r="D4"/>
  <c r="D5"/>
  <c r="E7"/>
  <c r="G7" s="1"/>
  <c r="E13"/>
  <c r="G13" s="1"/>
  <c r="E14"/>
  <c r="G14" s="1"/>
  <c r="E15"/>
  <c r="G15" s="1"/>
  <c r="E16"/>
  <c r="G16" s="1"/>
  <c r="D8"/>
  <c r="E8" s="1"/>
  <c r="G8" s="1"/>
  <c r="D9"/>
  <c r="E9" s="1"/>
  <c r="G9" s="1"/>
  <c r="D10"/>
  <c r="E10" s="1"/>
  <c r="G10" s="1"/>
  <c r="D11"/>
  <c r="E11" s="1"/>
  <c r="G11" s="1"/>
  <c r="D12"/>
  <c r="E12" s="1"/>
  <c r="G12" s="1"/>
  <c r="D13"/>
  <c r="D14"/>
  <c r="D15"/>
  <c r="D16"/>
  <c r="D17"/>
  <c r="E17" s="1"/>
  <c r="G17" s="1"/>
  <c r="D18"/>
  <c r="E18" s="1"/>
  <c r="G18" s="1"/>
  <c r="D19"/>
  <c r="E19" s="1"/>
  <c r="G19" s="1"/>
  <c r="D20"/>
  <c r="E20" s="1"/>
  <c r="G20" s="1"/>
  <c r="D21"/>
  <c r="E21" s="1"/>
  <c r="G21" s="1"/>
  <c r="D22"/>
  <c r="E22" s="1"/>
  <c r="G22" s="1"/>
  <c r="D23"/>
  <c r="E23" s="1"/>
  <c r="G23" s="1"/>
  <c r="D6"/>
  <c r="E6" s="1"/>
  <c r="G6" s="1"/>
  <c r="G3" i="1"/>
  <c r="G4"/>
  <c r="G5"/>
  <c r="G6"/>
  <c r="G7"/>
  <c r="G8"/>
  <c r="G9"/>
  <c r="G10"/>
  <c r="G2"/>
</calcChain>
</file>

<file path=xl/sharedStrings.xml><?xml version="1.0" encoding="utf-8"?>
<sst xmlns="http://schemas.openxmlformats.org/spreadsheetml/2006/main" count="399" uniqueCount="154">
  <si>
    <t>Date</t>
  </si>
  <si>
    <t>Description</t>
  </si>
  <si>
    <t>Qty</t>
  </si>
  <si>
    <t>Store</t>
  </si>
  <si>
    <t>Price</t>
  </si>
  <si>
    <t>GST</t>
  </si>
  <si>
    <t>Card</t>
  </si>
  <si>
    <t>Status</t>
  </si>
  <si>
    <t>Apple Store</t>
  </si>
  <si>
    <t>Waheed</t>
  </si>
  <si>
    <t>IMac4</t>
  </si>
  <si>
    <t>Mac Book 4</t>
  </si>
  <si>
    <t>Castle Hill Pickup</t>
  </si>
  <si>
    <t>Zunera CBA CR Card</t>
  </si>
  <si>
    <t>Delivered</t>
  </si>
  <si>
    <t>#</t>
  </si>
  <si>
    <t>Hornsby</t>
  </si>
  <si>
    <t>Waheed NAB CR Card</t>
  </si>
  <si>
    <t>Collected</t>
  </si>
  <si>
    <t>W1515850592</t>
  </si>
  <si>
    <t>Instax Square</t>
  </si>
  <si>
    <t>Instax Square Link</t>
  </si>
  <si>
    <t>Instax Mini 99</t>
  </si>
  <si>
    <t>Instax Mini Link</t>
  </si>
  <si>
    <t>Instax Mini Liplay</t>
  </si>
  <si>
    <t>Instax Mini Link 3</t>
  </si>
  <si>
    <t>Dubai Sale Price Dirham</t>
  </si>
  <si>
    <t>AUD</t>
  </si>
  <si>
    <t>Coversion</t>
  </si>
  <si>
    <t>Cost in Dirham</t>
  </si>
  <si>
    <t>Instax Mini Paper 20PK: $22</t>
  </si>
  <si>
    <t>Instax Mini Paper 60PK: $59</t>
  </si>
  <si>
    <t>Instax Square Paper 20PK: $24</t>
  </si>
  <si>
    <t>Instax Wide Paper 20PK: $31</t>
  </si>
  <si>
    <t>Instax Mini Evo Camera USB-C Black: $249</t>
  </si>
  <si>
    <t>Instax Mini Evo Camera USB-C Brown: $249</t>
  </si>
  <si>
    <t>Instax LiPlay Bluch Gold: $197</t>
  </si>
  <si>
    <t>Instax LiPlay Deep Bronxe: $203</t>
  </si>
  <si>
    <t>Instax LiPlay Elegant Black:$197</t>
  </si>
  <si>
    <t>Instax LiPlay Matcha Green: $203</t>
  </si>
  <si>
    <t>Instax LiPlay Mist White: $203</t>
  </si>
  <si>
    <t>Instax SQ1 Blue: $167</t>
  </si>
  <si>
    <t>Instax SQ1 Orange: $167</t>
  </si>
  <si>
    <t>Instax SQ1 White: $167</t>
  </si>
  <si>
    <t>Canon Pixma TS3665: $51</t>
  </si>
  <si>
    <t>HP Deskjet 2820E: $46</t>
  </si>
  <si>
    <t>W1451174620</t>
  </si>
  <si>
    <t>Delivery</t>
  </si>
  <si>
    <t>Anwar Ali</t>
  </si>
  <si>
    <t>$15 Delivery</t>
  </si>
  <si>
    <t>Anwar.ali2051@outlook.com</t>
  </si>
  <si>
    <t>Noaman.mughal2001@outlook.com</t>
  </si>
  <si>
    <t>Broadway</t>
  </si>
  <si>
    <t>Noaman Mughal</t>
  </si>
  <si>
    <t>W1660860932</t>
  </si>
  <si>
    <t>Delivery date</t>
  </si>
  <si>
    <t>Order #</t>
  </si>
  <si>
    <t>Email</t>
  </si>
  <si>
    <t>W1463493598</t>
  </si>
  <si>
    <t>atiya.hayat2001@outlook.com</t>
  </si>
  <si>
    <t>Atiya Hayat</t>
  </si>
  <si>
    <t xml:space="preserve">Zunera </t>
  </si>
  <si>
    <t>Pickup Name</t>
  </si>
  <si>
    <t>W1405425780</t>
  </si>
  <si>
    <t>amaan.pasha@outlook.com.au</t>
  </si>
  <si>
    <t>Pasha Waheed</t>
  </si>
  <si>
    <t>Saleem Hayat</t>
  </si>
  <si>
    <t>Sydney</t>
  </si>
  <si>
    <t>w1635323833</t>
  </si>
  <si>
    <t>Noureen Mughal</t>
  </si>
  <si>
    <t>Zunera Waheed</t>
  </si>
  <si>
    <t>Iphone2024$</t>
  </si>
  <si>
    <t>Bondi</t>
  </si>
  <si>
    <t>Abdul Shahid</t>
  </si>
  <si>
    <t>Talha Noaman</t>
  </si>
  <si>
    <t>Instore purchase</t>
  </si>
  <si>
    <t>W1513025577</t>
  </si>
  <si>
    <t>W1570700499</t>
  </si>
  <si>
    <t>W1300382577</t>
  </si>
  <si>
    <t>Muhammad.khan2000@outlook.com</t>
  </si>
  <si>
    <t>W1302728463</t>
  </si>
  <si>
    <t>amaans_uk@icloud.com</t>
  </si>
  <si>
    <t>Abdul</t>
  </si>
  <si>
    <t>Zunera</t>
  </si>
  <si>
    <t>W1551522431</t>
  </si>
  <si>
    <t>W1568519608</t>
  </si>
  <si>
    <t>zunerawmy@gmail</t>
  </si>
  <si>
    <t>W1398071991</t>
  </si>
  <si>
    <t>Javed Bhai</t>
  </si>
  <si>
    <t>W1320644753</t>
  </si>
  <si>
    <t>amaan.pasha2323@outlook.com</t>
  </si>
  <si>
    <t>Apple2025$</t>
  </si>
  <si>
    <t>JBHIFI Hornsby</t>
  </si>
  <si>
    <t>JBHIFI Castle Hills</t>
  </si>
  <si>
    <t>Online Apple Store</t>
  </si>
  <si>
    <t>W1600076273</t>
  </si>
  <si>
    <t>Info@swiss-tech.net.au</t>
  </si>
  <si>
    <t>Current status</t>
  </si>
  <si>
    <t>Sent Dubai</t>
  </si>
  <si>
    <t>Shipping Date</t>
  </si>
  <si>
    <t>Sydney.khan2514@outlook.com</t>
  </si>
  <si>
    <t>amaan.sydney2000@gamil.com</t>
  </si>
  <si>
    <t>noaman.mughal2000@outlook.com</t>
  </si>
  <si>
    <t>W1348825231</t>
  </si>
  <si>
    <t>3727 248474 02067</t>
  </si>
  <si>
    <t>W1581701486</t>
  </si>
  <si>
    <t>4154 1772 0924 4203</t>
  </si>
  <si>
    <t>Javed</t>
  </si>
  <si>
    <t>66 Waterloo Road Macquarie Park</t>
  </si>
  <si>
    <t>18 Hope Street Granville 2142</t>
  </si>
  <si>
    <t>W1552448382</t>
  </si>
  <si>
    <t>4154 1772 1504 9471</t>
  </si>
  <si>
    <t>29 Weston Street Clyde 2142</t>
  </si>
  <si>
    <t>W1336422109</t>
  </si>
  <si>
    <t>55 Virginia street Rosehill 2142</t>
  </si>
  <si>
    <t>4246 3153 9094 7750</t>
  </si>
  <si>
    <t>JBHIFI Broadway</t>
  </si>
  <si>
    <t>Apple Bondi</t>
  </si>
  <si>
    <t>AppleSydney</t>
  </si>
  <si>
    <t>Apple Broadway</t>
  </si>
  <si>
    <t>W1395180275</t>
  </si>
  <si>
    <t>56 Virginia Street Rosehill 2142</t>
  </si>
  <si>
    <t>amaan.sydney2000@gmail.com</t>
  </si>
  <si>
    <t>W1526916035</t>
  </si>
  <si>
    <t>Wahed Pasha</t>
  </si>
  <si>
    <t>51 Weston Street Rosehill</t>
  </si>
  <si>
    <t>W1511643423</t>
  </si>
  <si>
    <t>Waheed Abdul</t>
  </si>
  <si>
    <t>w1365805930</t>
  </si>
  <si>
    <t>waheed</t>
  </si>
  <si>
    <t>amaan.sydney@2026@outlook.com</t>
  </si>
  <si>
    <t>W1528341115</t>
  </si>
  <si>
    <t>Apple Castle Hills</t>
  </si>
  <si>
    <t>amaan.sydney2026@outlook.com</t>
  </si>
  <si>
    <t>Apple Sydney</t>
  </si>
  <si>
    <t>Collection</t>
  </si>
  <si>
    <t>Abdul Rehman</t>
  </si>
  <si>
    <t>Card #</t>
  </si>
  <si>
    <t>Delivery Charges</t>
  </si>
  <si>
    <t>Value</t>
  </si>
  <si>
    <t>Paid by</t>
  </si>
  <si>
    <t>Waheed Card</t>
  </si>
  <si>
    <t>Total Amount</t>
  </si>
  <si>
    <t>Woowlrth Rosehills</t>
  </si>
  <si>
    <t>Balance</t>
  </si>
  <si>
    <t>Used Store</t>
  </si>
  <si>
    <t>Waheed GC</t>
  </si>
  <si>
    <t>4154 1779 1539 5687</t>
  </si>
  <si>
    <t>4154 1787 8294 2338</t>
  </si>
  <si>
    <t>4154 1772 1247 3351</t>
  </si>
  <si>
    <t>5528 6950 7629 0104</t>
  </si>
  <si>
    <t>3727 181524 63037</t>
  </si>
  <si>
    <t>3727 181524 63045</t>
  </si>
  <si>
    <t>3727 265425 71047</t>
  </si>
</sst>
</file>

<file path=xl/styles.xml><?xml version="1.0" encoding="utf-8"?>
<styleSheet xmlns="http://schemas.openxmlformats.org/spreadsheetml/2006/main">
  <numFmts count="2">
    <numFmt numFmtId="164" formatCode="&quot;$&quot;#,##0;[Red]\-&quot;$&quot;#,##0"/>
    <numFmt numFmtId="165" formatCode="&quot;$&quot;#,##0.00;[Red]\-&quot;$&quot;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Segoe UI"/>
      <family val="2"/>
    </font>
    <font>
      <sz val="9"/>
      <color rgb="FFFF0000"/>
      <name val="Segoe UI"/>
      <family val="2"/>
    </font>
    <font>
      <sz val="9"/>
      <color rgb="FF1B1B1B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3" fillId="0" borderId="0" xfId="0" applyFont="1"/>
    <xf numFmtId="0" fontId="0" fillId="0" borderId="1" xfId="0" applyFill="1" applyBorder="1"/>
    <xf numFmtId="0" fontId="2" fillId="0" borderId="0" xfId="1"/>
    <xf numFmtId="0" fontId="0" fillId="2" borderId="0" xfId="0" applyFill="1"/>
    <xf numFmtId="0" fontId="0" fillId="3" borderId="1" xfId="0" applyFill="1" applyBorder="1"/>
    <xf numFmtId="14" fontId="0" fillId="3" borderId="1" xfId="0" applyNumberFormat="1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0" fontId="2" fillId="3" borderId="1" xfId="1" applyFill="1" applyBorder="1"/>
    <xf numFmtId="16" fontId="0" fillId="3" borderId="1" xfId="0" applyNumberFormat="1" applyFill="1" applyBorder="1"/>
    <xf numFmtId="0" fontId="0" fillId="3" borderId="0" xfId="0" applyFill="1"/>
    <xf numFmtId="0" fontId="4" fillId="3" borderId="1" xfId="0" applyFont="1" applyFill="1" applyBorder="1"/>
    <xf numFmtId="0" fontId="3" fillId="3" borderId="1" xfId="0" applyFont="1" applyFill="1" applyBorder="1"/>
    <xf numFmtId="0" fontId="5" fillId="3" borderId="1" xfId="0" applyFont="1" applyFill="1" applyBorder="1"/>
    <xf numFmtId="0" fontId="0" fillId="4" borderId="1" xfId="0" applyFill="1" applyBorder="1"/>
    <xf numFmtId="14" fontId="0" fillId="4" borderId="1" xfId="0" applyNumberFormat="1" applyFill="1" applyBorder="1"/>
    <xf numFmtId="164" fontId="0" fillId="4" borderId="1" xfId="0" applyNumberFormat="1" applyFill="1" applyBorder="1"/>
    <xf numFmtId="165" fontId="0" fillId="4" borderId="1" xfId="0" applyNumberFormat="1" applyFill="1" applyBorder="1"/>
    <xf numFmtId="0" fontId="2" fillId="4" borderId="1" xfId="1" applyFill="1" applyBorder="1"/>
    <xf numFmtId="0" fontId="3" fillId="4" borderId="1" xfId="0" applyFont="1" applyFill="1" applyBorder="1"/>
    <xf numFmtId="0" fontId="0" fillId="4" borderId="0" xfId="0" applyFill="1"/>
    <xf numFmtId="0" fontId="0" fillId="5" borderId="1" xfId="0" applyFill="1" applyBorder="1"/>
    <xf numFmtId="14" fontId="0" fillId="5" borderId="1" xfId="0" applyNumberFormat="1" applyFill="1" applyBorder="1"/>
    <xf numFmtId="164" fontId="0" fillId="5" borderId="1" xfId="0" applyNumberFormat="1" applyFill="1" applyBorder="1"/>
    <xf numFmtId="165" fontId="0" fillId="5" borderId="1" xfId="0" applyNumberFormat="1" applyFill="1" applyBorder="1"/>
    <xf numFmtId="0" fontId="3" fillId="5" borderId="1" xfId="0" applyFont="1" applyFill="1" applyBorder="1"/>
    <xf numFmtId="0" fontId="2" fillId="5" borderId="1" xfId="1" applyFill="1" applyBorder="1"/>
    <xf numFmtId="0" fontId="0" fillId="6" borderId="1" xfId="0" applyFill="1" applyBorder="1"/>
    <xf numFmtId="14" fontId="0" fillId="6" borderId="1" xfId="0" applyNumberFormat="1" applyFill="1" applyBorder="1"/>
    <xf numFmtId="164" fontId="0" fillId="6" borderId="1" xfId="0" applyNumberFormat="1" applyFill="1" applyBorder="1"/>
    <xf numFmtId="165" fontId="0" fillId="6" borderId="1" xfId="0" applyNumberFormat="1" applyFill="1" applyBorder="1"/>
    <xf numFmtId="0" fontId="2" fillId="6" borderId="1" xfId="1" applyFill="1" applyBorder="1"/>
    <xf numFmtId="0" fontId="3" fillId="6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pple.com/xc/au-edu/vieworder/W1302728463/amaans_uk@icloud.com" TargetMode="External"/><Relationship Id="rId13" Type="http://schemas.openxmlformats.org/officeDocument/2006/relationships/hyperlink" Target="https://www.apple.com/xc/au-edu/vieworder/W1320644753/atiya.hayat2000@outlook.com" TargetMode="External"/><Relationship Id="rId18" Type="http://schemas.openxmlformats.org/officeDocument/2006/relationships/hyperlink" Target="https://www.apple.com/xc/au-edu/vieworder/W1552448382/amaan.pasha2323@outlook.com" TargetMode="External"/><Relationship Id="rId26" Type="http://schemas.openxmlformats.org/officeDocument/2006/relationships/hyperlink" Target="https://www.apple.com/xc/au-edu/vieworder/W1528341115/amaan.sydney2026@outlook.com" TargetMode="External"/><Relationship Id="rId3" Type="http://schemas.openxmlformats.org/officeDocument/2006/relationships/hyperlink" Target="https://www.apple.com/xc/au-edu/vieworder/W1463493598/atiya.hayat2000@outlook.com" TargetMode="External"/><Relationship Id="rId21" Type="http://schemas.openxmlformats.org/officeDocument/2006/relationships/hyperlink" Target="https://www.apple.com/xc/au-edu/vieworder/W1395180275/amaan.pasha2323@outlook.com" TargetMode="External"/><Relationship Id="rId7" Type="http://schemas.openxmlformats.org/officeDocument/2006/relationships/hyperlink" Target="https://www.apple.com/xc/au-edu/vieworder/W1300382577/Muhammad.khan2000@outlook.com" TargetMode="External"/><Relationship Id="rId12" Type="http://schemas.openxmlformats.org/officeDocument/2006/relationships/hyperlink" Target="https://www.apple.com/xc/au-edu/vieworder/W1398071991/Muhammad.khan2000@outlook.com" TargetMode="External"/><Relationship Id="rId17" Type="http://schemas.openxmlformats.org/officeDocument/2006/relationships/hyperlink" Target="mailto:noaman.mughal2000@outlook.com" TargetMode="External"/><Relationship Id="rId25" Type="http://schemas.openxmlformats.org/officeDocument/2006/relationships/hyperlink" Target="mailto:noaman.mughal2000@outlook.com" TargetMode="External"/><Relationship Id="rId2" Type="http://schemas.openxmlformats.org/officeDocument/2006/relationships/hyperlink" Target="mailto:Anwar.ali2051@outlook.com" TargetMode="External"/><Relationship Id="rId16" Type="http://schemas.openxmlformats.org/officeDocument/2006/relationships/hyperlink" Target="https://www.apple.com/xc/au-edu/vieworder/W1581701486/noaman.mughal2000@outlook.com" TargetMode="External"/><Relationship Id="rId20" Type="http://schemas.openxmlformats.org/officeDocument/2006/relationships/hyperlink" Target="mailto:amaan.sydney2000@gamil.com" TargetMode="External"/><Relationship Id="rId1" Type="http://schemas.openxmlformats.org/officeDocument/2006/relationships/hyperlink" Target="https://www.apple.com/xc/au-edu/vieworder/W1451174620/Anwar.ali2051@outlook.com" TargetMode="External"/><Relationship Id="rId6" Type="http://schemas.openxmlformats.org/officeDocument/2006/relationships/hyperlink" Target="mailto:Anwar.ali2051@outlook.com" TargetMode="External"/><Relationship Id="rId11" Type="http://schemas.openxmlformats.org/officeDocument/2006/relationships/hyperlink" Target="mailto:zunerawmy@gmail" TargetMode="External"/><Relationship Id="rId24" Type="http://schemas.openxmlformats.org/officeDocument/2006/relationships/hyperlink" Target="https://www.apple.com/xc/au-edu/vieworder/W1511643423/noaman.mughal2000@outlook.com" TargetMode="External"/><Relationship Id="rId5" Type="http://schemas.openxmlformats.org/officeDocument/2006/relationships/hyperlink" Target="mailto:amaan.pasha@outlook.com.au" TargetMode="External"/><Relationship Id="rId15" Type="http://schemas.openxmlformats.org/officeDocument/2006/relationships/hyperlink" Target="https://www.apple.com/xc/au-edu/vieworder/W1348825231/Sydney.khan2514@outlook.com" TargetMode="External"/><Relationship Id="rId23" Type="http://schemas.openxmlformats.org/officeDocument/2006/relationships/hyperlink" Target="mailto:amaan.sydney2000@gamil.com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zunerawmy@gmail" TargetMode="External"/><Relationship Id="rId19" Type="http://schemas.openxmlformats.org/officeDocument/2006/relationships/hyperlink" Target="https://www.apple.com/xc/au-edu/vieworder/W1336422109/amaan.sydney2000@gamil.com" TargetMode="External"/><Relationship Id="rId4" Type="http://schemas.openxmlformats.org/officeDocument/2006/relationships/hyperlink" Target="https://www.apple.com/xc/au-edu/vieworder/W1405425780/amaan.pasha@outlook.com.au" TargetMode="External"/><Relationship Id="rId9" Type="http://schemas.openxmlformats.org/officeDocument/2006/relationships/hyperlink" Target="mailto:amaans_uk@icloud.com" TargetMode="External"/><Relationship Id="rId14" Type="http://schemas.openxmlformats.org/officeDocument/2006/relationships/hyperlink" Target="mailto:Info@swiss-tech.net.au" TargetMode="External"/><Relationship Id="rId22" Type="http://schemas.openxmlformats.org/officeDocument/2006/relationships/hyperlink" Target="https://www.apple.com/xc/au-edu/vieworder/W1526916035/amaan.sydney2000@gmail.com" TargetMode="External"/><Relationship Id="rId27" Type="http://schemas.openxmlformats.org/officeDocument/2006/relationships/hyperlink" Target="mailto:amaan.sydney2026@outloo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pple.com/xc/au-edu/vieworder/W1395180275/amaan.pasha2323@outlook.com" TargetMode="External"/><Relationship Id="rId2" Type="http://schemas.openxmlformats.org/officeDocument/2006/relationships/hyperlink" Target="mailto:noaman.mughal2000@outlook.com" TargetMode="External"/><Relationship Id="rId1" Type="http://schemas.openxmlformats.org/officeDocument/2006/relationships/hyperlink" Target="mailto:amaan.sydney2000@gmail.com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amaan.sydney@2026@outlook.com" TargetMode="External"/><Relationship Id="rId4" Type="http://schemas.openxmlformats.org/officeDocument/2006/relationships/hyperlink" Target="https://www.apple.com/xc/au-edu/vieworder/W1511643423/noaman.mughal2000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6"/>
  <sheetViews>
    <sheetView tabSelected="1" topLeftCell="A7" zoomScale="80" zoomScaleNormal="80" workbookViewId="0">
      <selection activeCell="H55" sqref="H55"/>
    </sheetView>
  </sheetViews>
  <sheetFormatPr defaultRowHeight="15"/>
  <cols>
    <col min="2" max="2" width="11.28515625" bestFit="1" customWidth="1"/>
    <col min="3" max="3" width="20.7109375" customWidth="1"/>
    <col min="4" max="4" width="6" customWidth="1"/>
    <col min="5" max="5" width="16.7109375" bestFit="1" customWidth="1"/>
    <col min="6" max="6" width="21.85546875" customWidth="1"/>
    <col min="8" max="8" width="18.85546875" bestFit="1" customWidth="1"/>
    <col min="9" max="9" width="19.85546875" bestFit="1" customWidth="1"/>
    <col min="10" max="10" width="18.85546875" customWidth="1"/>
    <col min="11" max="11" width="16.140625" bestFit="1" customWidth="1"/>
    <col min="12" max="12" width="16.140625" customWidth="1"/>
    <col min="13" max="13" width="13.7109375" customWidth="1"/>
    <col min="14" max="14" width="17.28515625" bestFit="1" customWidth="1"/>
    <col min="15" max="15" width="31.7109375" customWidth="1"/>
    <col min="16" max="16" width="10.7109375" customWidth="1"/>
    <col min="17" max="17" width="13" bestFit="1" customWidth="1"/>
    <col min="18" max="18" width="12.5703125" bestFit="1" customWidth="1"/>
    <col min="19" max="19" width="30.28515625" customWidth="1"/>
  </cols>
  <sheetData>
    <row r="1" spans="1:19">
      <c r="A1" s="3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137</v>
      </c>
      <c r="J1" s="1" t="s">
        <v>62</v>
      </c>
      <c r="K1" s="1" t="s">
        <v>7</v>
      </c>
      <c r="L1" s="1" t="s">
        <v>55</v>
      </c>
      <c r="M1" s="3" t="s">
        <v>56</v>
      </c>
      <c r="N1" s="3" t="s">
        <v>138</v>
      </c>
      <c r="O1" s="3" t="s">
        <v>57</v>
      </c>
      <c r="P1" s="3"/>
      <c r="Q1" s="6" t="s">
        <v>97</v>
      </c>
      <c r="R1" s="6" t="s">
        <v>99</v>
      </c>
      <c r="S1" s="3"/>
    </row>
    <row r="2" spans="1:19">
      <c r="A2" s="9">
        <v>1</v>
      </c>
      <c r="B2" s="10">
        <v>45708</v>
      </c>
      <c r="C2" s="9" t="s">
        <v>10</v>
      </c>
      <c r="D2" s="9">
        <v>1</v>
      </c>
      <c r="E2" s="9" t="s">
        <v>8</v>
      </c>
      <c r="F2" s="11">
        <v>1919</v>
      </c>
      <c r="G2" s="12">
        <f>(F2/11)</f>
        <v>174.45454545454547</v>
      </c>
      <c r="H2" s="9" t="s">
        <v>13</v>
      </c>
      <c r="I2" s="9"/>
      <c r="J2" s="9"/>
      <c r="K2" s="9" t="s">
        <v>14</v>
      </c>
      <c r="L2" s="10">
        <v>45708</v>
      </c>
      <c r="M2" s="9"/>
      <c r="N2" s="9"/>
      <c r="O2" s="9"/>
      <c r="P2" s="9"/>
      <c r="Q2" s="9" t="s">
        <v>98</v>
      </c>
      <c r="R2" s="14">
        <v>45714</v>
      </c>
      <c r="S2" s="9"/>
    </row>
    <row r="3" spans="1:19">
      <c r="A3" s="9">
        <v>2</v>
      </c>
      <c r="B3" s="10">
        <v>45709</v>
      </c>
      <c r="C3" s="9" t="s">
        <v>10</v>
      </c>
      <c r="D3" s="9">
        <v>1</v>
      </c>
      <c r="E3" s="9" t="s">
        <v>8</v>
      </c>
      <c r="F3" s="11">
        <v>1934</v>
      </c>
      <c r="G3" s="12">
        <f t="shared" ref="G3:G48" si="0">(F3/11)</f>
        <v>175.81818181818181</v>
      </c>
      <c r="H3" s="9" t="s">
        <v>17</v>
      </c>
      <c r="I3" s="9"/>
      <c r="J3" s="9"/>
      <c r="K3" s="9" t="s">
        <v>14</v>
      </c>
      <c r="L3" s="10"/>
      <c r="M3" s="9"/>
      <c r="N3" s="9" t="s">
        <v>49</v>
      </c>
      <c r="O3" s="9"/>
      <c r="P3" s="9"/>
      <c r="Q3" s="9" t="s">
        <v>98</v>
      </c>
      <c r="R3" s="14">
        <v>45714</v>
      </c>
      <c r="S3" s="9"/>
    </row>
    <row r="4" spans="1:19">
      <c r="A4" s="9">
        <v>3</v>
      </c>
      <c r="B4" s="10">
        <v>45709</v>
      </c>
      <c r="C4" s="9" t="s">
        <v>11</v>
      </c>
      <c r="D4" s="9">
        <v>1</v>
      </c>
      <c r="E4" s="9" t="s">
        <v>12</v>
      </c>
      <c r="F4" s="11">
        <v>2349</v>
      </c>
      <c r="G4" s="12">
        <f t="shared" si="0"/>
        <v>213.54545454545453</v>
      </c>
      <c r="H4" s="9" t="s">
        <v>136</v>
      </c>
      <c r="I4" s="9"/>
      <c r="J4" s="9"/>
      <c r="K4" s="9" t="s">
        <v>18</v>
      </c>
      <c r="L4" s="10">
        <v>45709</v>
      </c>
      <c r="M4" s="9"/>
      <c r="N4" s="9"/>
      <c r="O4" s="9"/>
      <c r="P4" s="9"/>
      <c r="Q4" s="9" t="s">
        <v>98</v>
      </c>
      <c r="R4" s="14">
        <v>45714</v>
      </c>
      <c r="S4" s="9"/>
    </row>
    <row r="5" spans="1:19">
      <c r="A5" s="9">
        <v>4</v>
      </c>
      <c r="B5" s="10">
        <v>45709</v>
      </c>
      <c r="C5" s="9" t="s">
        <v>11</v>
      </c>
      <c r="D5" s="9">
        <v>1</v>
      </c>
      <c r="E5" s="9" t="s">
        <v>12</v>
      </c>
      <c r="F5" s="11">
        <v>2349</v>
      </c>
      <c r="G5" s="12">
        <f t="shared" si="0"/>
        <v>213.54545454545453</v>
      </c>
      <c r="H5" s="9" t="s">
        <v>17</v>
      </c>
      <c r="I5" s="9"/>
      <c r="J5" s="9"/>
      <c r="K5" s="9" t="s">
        <v>18</v>
      </c>
      <c r="L5" s="10">
        <v>45709</v>
      </c>
      <c r="M5" s="9"/>
      <c r="N5" s="9"/>
      <c r="O5" s="9"/>
      <c r="P5" s="9"/>
      <c r="Q5" s="9" t="s">
        <v>98</v>
      </c>
      <c r="R5" s="14">
        <v>45714</v>
      </c>
      <c r="S5" s="9"/>
    </row>
    <row r="6" spans="1:19">
      <c r="A6" s="9">
        <v>5</v>
      </c>
      <c r="B6" s="10">
        <v>45709</v>
      </c>
      <c r="C6" s="9" t="s">
        <v>11</v>
      </c>
      <c r="D6" s="9">
        <v>1</v>
      </c>
      <c r="E6" s="9" t="s">
        <v>12</v>
      </c>
      <c r="F6" s="11">
        <v>2349</v>
      </c>
      <c r="G6" s="12">
        <f t="shared" si="0"/>
        <v>213.54545454545453</v>
      </c>
      <c r="H6" s="9" t="s">
        <v>17</v>
      </c>
      <c r="I6" s="9"/>
      <c r="J6" s="9"/>
      <c r="K6" s="9" t="s">
        <v>18</v>
      </c>
      <c r="L6" s="10">
        <v>45709</v>
      </c>
      <c r="M6" s="9"/>
      <c r="N6" s="9"/>
      <c r="O6" s="9"/>
      <c r="P6" s="9"/>
      <c r="Q6" s="9" t="s">
        <v>98</v>
      </c>
      <c r="R6" s="14">
        <v>45714</v>
      </c>
      <c r="S6" s="9"/>
    </row>
    <row r="7" spans="1:19">
      <c r="A7" s="9">
        <v>6</v>
      </c>
      <c r="B7" s="10">
        <v>45709</v>
      </c>
      <c r="C7" s="9" t="s">
        <v>11</v>
      </c>
      <c r="D7" s="9">
        <v>1</v>
      </c>
      <c r="E7" s="9" t="s">
        <v>12</v>
      </c>
      <c r="F7" s="11">
        <v>2349</v>
      </c>
      <c r="G7" s="12">
        <f t="shared" si="0"/>
        <v>213.54545454545453</v>
      </c>
      <c r="H7" s="9" t="s">
        <v>17</v>
      </c>
      <c r="I7" s="9"/>
      <c r="J7" s="9"/>
      <c r="K7" s="9" t="s">
        <v>18</v>
      </c>
      <c r="L7" s="10">
        <v>45709</v>
      </c>
      <c r="M7" s="9"/>
      <c r="N7" s="9"/>
      <c r="O7" s="9"/>
      <c r="P7" s="9"/>
      <c r="Q7" s="9" t="s">
        <v>98</v>
      </c>
      <c r="R7" s="14">
        <v>45714</v>
      </c>
      <c r="S7" s="9"/>
    </row>
    <row r="8" spans="1:19">
      <c r="A8" s="9">
        <v>7</v>
      </c>
      <c r="B8" s="10">
        <v>45709</v>
      </c>
      <c r="C8" s="9" t="s">
        <v>11</v>
      </c>
      <c r="D8" s="9">
        <v>1</v>
      </c>
      <c r="E8" s="9" t="s">
        <v>16</v>
      </c>
      <c r="F8" s="11">
        <v>2349</v>
      </c>
      <c r="G8" s="12">
        <f t="shared" si="0"/>
        <v>213.54545454545453</v>
      </c>
      <c r="H8" s="9" t="s">
        <v>17</v>
      </c>
      <c r="I8" s="9"/>
      <c r="J8" s="9"/>
      <c r="K8" s="9" t="s">
        <v>18</v>
      </c>
      <c r="L8" s="10">
        <v>45709</v>
      </c>
      <c r="M8" s="9"/>
      <c r="N8" s="9"/>
      <c r="O8" s="9"/>
      <c r="P8" s="9"/>
      <c r="Q8" s="9" t="s">
        <v>98</v>
      </c>
      <c r="R8" s="14">
        <v>45714</v>
      </c>
      <c r="S8" s="9"/>
    </row>
    <row r="9" spans="1:19">
      <c r="A9" s="9">
        <v>8</v>
      </c>
      <c r="B9" s="10">
        <v>45709</v>
      </c>
      <c r="C9" s="9" t="s">
        <v>11</v>
      </c>
      <c r="D9" s="9">
        <v>1</v>
      </c>
      <c r="E9" s="9" t="s">
        <v>16</v>
      </c>
      <c r="F9" s="11">
        <v>2349</v>
      </c>
      <c r="G9" s="12">
        <f t="shared" si="0"/>
        <v>213.54545454545453</v>
      </c>
      <c r="H9" s="9" t="s">
        <v>17</v>
      </c>
      <c r="I9" s="9"/>
      <c r="J9" s="9"/>
      <c r="K9" s="9" t="s">
        <v>18</v>
      </c>
      <c r="L9" s="10">
        <v>45709</v>
      </c>
      <c r="M9" s="9"/>
      <c r="N9" s="9"/>
      <c r="O9" s="9"/>
      <c r="P9" s="9"/>
      <c r="Q9" s="9" t="s">
        <v>98</v>
      </c>
      <c r="R9" s="14">
        <v>45714</v>
      </c>
      <c r="S9" s="9"/>
    </row>
    <row r="10" spans="1:19" s="8" customFormat="1">
      <c r="A10" s="9">
        <v>9</v>
      </c>
      <c r="B10" s="10">
        <v>45709</v>
      </c>
      <c r="C10" s="9" t="s">
        <v>11</v>
      </c>
      <c r="D10" s="9">
        <v>1</v>
      </c>
      <c r="E10" s="9" t="s">
        <v>16</v>
      </c>
      <c r="F10" s="11">
        <v>2349</v>
      </c>
      <c r="G10" s="12">
        <f t="shared" si="0"/>
        <v>213.54545454545453</v>
      </c>
      <c r="H10" s="9" t="s">
        <v>17</v>
      </c>
      <c r="I10" s="9"/>
      <c r="J10" s="9"/>
      <c r="K10" s="9" t="s">
        <v>18</v>
      </c>
      <c r="L10" s="10">
        <v>45713</v>
      </c>
      <c r="M10" s="9" t="s">
        <v>19</v>
      </c>
      <c r="N10" s="9"/>
      <c r="O10" s="9"/>
      <c r="P10" s="9"/>
      <c r="Q10" s="9"/>
      <c r="R10" s="14"/>
      <c r="S10" s="9"/>
    </row>
    <row r="11" spans="1:19">
      <c r="A11" s="9">
        <v>10</v>
      </c>
      <c r="B11" s="10">
        <v>45710</v>
      </c>
      <c r="C11" s="9" t="s">
        <v>11</v>
      </c>
      <c r="D11" s="9">
        <v>1</v>
      </c>
      <c r="E11" s="9" t="s">
        <v>47</v>
      </c>
      <c r="F11" s="11">
        <v>2364</v>
      </c>
      <c r="G11" s="12">
        <f t="shared" si="0"/>
        <v>214.90909090909091</v>
      </c>
      <c r="H11" s="9" t="s">
        <v>48</v>
      </c>
      <c r="I11" s="15" t="s">
        <v>147</v>
      </c>
      <c r="J11" s="9"/>
      <c r="K11" s="9" t="s">
        <v>14</v>
      </c>
      <c r="L11" s="10">
        <v>45710</v>
      </c>
      <c r="M11" s="13" t="s">
        <v>46</v>
      </c>
      <c r="N11" s="9" t="s">
        <v>49</v>
      </c>
      <c r="O11" s="13" t="s">
        <v>50</v>
      </c>
      <c r="P11" s="9"/>
      <c r="Q11" s="9" t="s">
        <v>98</v>
      </c>
      <c r="R11" s="14">
        <v>45714</v>
      </c>
      <c r="S11" s="9"/>
    </row>
    <row r="12" spans="1:19">
      <c r="A12" s="9">
        <v>11</v>
      </c>
      <c r="B12" s="10">
        <v>45710</v>
      </c>
      <c r="C12" s="9" t="s">
        <v>11</v>
      </c>
      <c r="D12" s="9">
        <v>1</v>
      </c>
      <c r="E12" s="9" t="s">
        <v>52</v>
      </c>
      <c r="F12" s="11">
        <v>2349</v>
      </c>
      <c r="G12" s="12">
        <f t="shared" si="0"/>
        <v>213.54545454545453</v>
      </c>
      <c r="H12" s="9" t="s">
        <v>53</v>
      </c>
      <c r="I12" s="15" t="s">
        <v>148</v>
      </c>
      <c r="J12" s="9" t="s">
        <v>9</v>
      </c>
      <c r="K12" s="9" t="s">
        <v>18</v>
      </c>
      <c r="L12" s="10">
        <v>45710</v>
      </c>
      <c r="M12" s="9" t="s">
        <v>54</v>
      </c>
      <c r="N12" s="9"/>
      <c r="O12" s="16" t="s">
        <v>51</v>
      </c>
      <c r="P12" s="9"/>
      <c r="Q12" s="9" t="s">
        <v>98</v>
      </c>
      <c r="R12" s="14">
        <v>45714</v>
      </c>
      <c r="S12" s="9"/>
    </row>
    <row r="13" spans="1:19">
      <c r="A13" s="9">
        <v>12</v>
      </c>
      <c r="B13" s="10">
        <v>45710</v>
      </c>
      <c r="C13" s="9" t="s">
        <v>11</v>
      </c>
      <c r="D13" s="9">
        <v>1</v>
      </c>
      <c r="E13" s="9" t="s">
        <v>52</v>
      </c>
      <c r="F13" s="11">
        <v>2349</v>
      </c>
      <c r="G13" s="12">
        <f t="shared" si="0"/>
        <v>213.54545454545453</v>
      </c>
      <c r="H13" s="17" t="s">
        <v>60</v>
      </c>
      <c r="I13" s="15" t="s">
        <v>149</v>
      </c>
      <c r="J13" s="17" t="s">
        <v>61</v>
      </c>
      <c r="K13" s="9" t="s">
        <v>18</v>
      </c>
      <c r="L13" s="10">
        <v>45710</v>
      </c>
      <c r="M13" s="13" t="s">
        <v>58</v>
      </c>
      <c r="N13" s="9"/>
      <c r="O13" s="17" t="s">
        <v>59</v>
      </c>
      <c r="P13" s="9"/>
      <c r="Q13" s="9" t="s">
        <v>98</v>
      </c>
      <c r="R13" s="14">
        <v>45714</v>
      </c>
      <c r="S13" s="9"/>
    </row>
    <row r="14" spans="1:19">
      <c r="A14" s="9">
        <v>13</v>
      </c>
      <c r="B14" s="10">
        <v>45710</v>
      </c>
      <c r="C14" s="9" t="s">
        <v>11</v>
      </c>
      <c r="D14" s="9">
        <v>1</v>
      </c>
      <c r="E14" s="9" t="s">
        <v>52</v>
      </c>
      <c r="F14" s="11">
        <v>2349</v>
      </c>
      <c r="G14" s="12">
        <f t="shared" si="0"/>
        <v>213.54545454545453</v>
      </c>
      <c r="H14" s="17" t="s">
        <v>17</v>
      </c>
      <c r="I14" s="17"/>
      <c r="J14" s="17" t="s">
        <v>9</v>
      </c>
      <c r="K14" s="9" t="s">
        <v>75</v>
      </c>
      <c r="L14" s="10">
        <v>45710</v>
      </c>
      <c r="M14" s="13"/>
      <c r="N14" s="9"/>
      <c r="O14" s="17"/>
      <c r="P14" s="9"/>
      <c r="Q14" s="9" t="s">
        <v>98</v>
      </c>
      <c r="R14" s="14">
        <v>45714</v>
      </c>
      <c r="S14" s="9"/>
    </row>
    <row r="15" spans="1:19">
      <c r="A15" s="9">
        <v>14</v>
      </c>
      <c r="B15" s="10">
        <v>45710</v>
      </c>
      <c r="C15" s="9" t="s">
        <v>11</v>
      </c>
      <c r="D15" s="9">
        <v>1</v>
      </c>
      <c r="E15" s="9" t="s">
        <v>67</v>
      </c>
      <c r="F15" s="11">
        <v>2349</v>
      </c>
      <c r="G15" s="12">
        <f t="shared" si="0"/>
        <v>213.54545454545453</v>
      </c>
      <c r="H15" s="9" t="s">
        <v>66</v>
      </c>
      <c r="I15" s="15" t="s">
        <v>150</v>
      </c>
      <c r="J15" s="9" t="s">
        <v>65</v>
      </c>
      <c r="K15" s="9" t="s">
        <v>18</v>
      </c>
      <c r="L15" s="10">
        <v>45710</v>
      </c>
      <c r="M15" s="13" t="s">
        <v>63</v>
      </c>
      <c r="N15" s="9"/>
      <c r="O15" s="13" t="s">
        <v>64</v>
      </c>
      <c r="P15" s="9"/>
      <c r="Q15" s="9" t="s">
        <v>98</v>
      </c>
      <c r="R15" s="14">
        <v>45714</v>
      </c>
      <c r="S15" s="9"/>
    </row>
    <row r="16" spans="1:19">
      <c r="A16" s="9">
        <v>15</v>
      </c>
      <c r="B16" s="10">
        <v>45710</v>
      </c>
      <c r="C16" s="9" t="s">
        <v>11</v>
      </c>
      <c r="D16" s="9">
        <v>1</v>
      </c>
      <c r="E16" s="9" t="s">
        <v>67</v>
      </c>
      <c r="F16" s="11">
        <v>2349</v>
      </c>
      <c r="G16" s="12">
        <f t="shared" si="0"/>
        <v>213.54545454545453</v>
      </c>
      <c r="H16" s="9" t="s">
        <v>69</v>
      </c>
      <c r="I16" s="15" t="s">
        <v>151</v>
      </c>
      <c r="J16" s="9" t="s">
        <v>70</v>
      </c>
      <c r="K16" s="9" t="s">
        <v>18</v>
      </c>
      <c r="L16" s="10">
        <v>45710</v>
      </c>
      <c r="M16" s="9" t="s">
        <v>68</v>
      </c>
      <c r="N16" s="9"/>
      <c r="O16" s="13" t="s">
        <v>50</v>
      </c>
      <c r="P16" s="9"/>
      <c r="Q16" s="9" t="s">
        <v>98</v>
      </c>
      <c r="R16" s="14">
        <v>45714</v>
      </c>
      <c r="S16" s="9"/>
    </row>
    <row r="17" spans="1:19">
      <c r="A17" s="9">
        <v>16</v>
      </c>
      <c r="B17" s="10">
        <v>45710</v>
      </c>
      <c r="C17" s="9" t="s">
        <v>11</v>
      </c>
      <c r="D17" s="9">
        <v>1</v>
      </c>
      <c r="E17" s="9" t="s">
        <v>72</v>
      </c>
      <c r="F17" s="11">
        <v>2349</v>
      </c>
      <c r="G17" s="12">
        <f t="shared" si="0"/>
        <v>213.54545454545453</v>
      </c>
      <c r="H17" s="9" t="s">
        <v>73</v>
      </c>
      <c r="I17" s="15" t="s">
        <v>152</v>
      </c>
      <c r="J17" s="9" t="s">
        <v>9</v>
      </c>
      <c r="K17" s="9" t="s">
        <v>18</v>
      </c>
      <c r="L17" s="10">
        <v>45710</v>
      </c>
      <c r="M17" s="9" t="s">
        <v>76</v>
      </c>
      <c r="N17" s="9"/>
      <c r="O17" s="9"/>
      <c r="P17" s="9"/>
      <c r="Q17" s="9" t="s">
        <v>98</v>
      </c>
      <c r="R17" s="14">
        <v>45714</v>
      </c>
      <c r="S17" s="9"/>
    </row>
    <row r="18" spans="1:19">
      <c r="A18" s="9">
        <v>17</v>
      </c>
      <c r="B18" s="10">
        <v>45710</v>
      </c>
      <c r="C18" s="9" t="s">
        <v>11</v>
      </c>
      <c r="D18" s="9">
        <v>1</v>
      </c>
      <c r="E18" s="9" t="s">
        <v>72</v>
      </c>
      <c r="F18" s="11">
        <v>2349</v>
      </c>
      <c r="G18" s="12">
        <f t="shared" si="0"/>
        <v>213.54545454545453</v>
      </c>
      <c r="H18" s="9" t="s">
        <v>74</v>
      </c>
      <c r="I18" s="15" t="s">
        <v>153</v>
      </c>
      <c r="J18" s="17" t="s">
        <v>61</v>
      </c>
      <c r="K18" s="9" t="s">
        <v>18</v>
      </c>
      <c r="L18" s="10">
        <v>45710</v>
      </c>
      <c r="M18" s="9" t="s">
        <v>77</v>
      </c>
      <c r="N18" s="9"/>
      <c r="O18" s="9"/>
      <c r="P18" s="9"/>
      <c r="Q18" s="9" t="s">
        <v>98</v>
      </c>
      <c r="R18" s="14">
        <v>45714</v>
      </c>
      <c r="S18" s="9"/>
    </row>
    <row r="19" spans="1:19">
      <c r="A19" s="9">
        <v>18</v>
      </c>
      <c r="B19" s="10">
        <v>45711</v>
      </c>
      <c r="C19" s="9" t="s">
        <v>11</v>
      </c>
      <c r="D19" s="9">
        <v>1</v>
      </c>
      <c r="E19" s="9" t="s">
        <v>12</v>
      </c>
      <c r="F19" s="11">
        <v>2349</v>
      </c>
      <c r="G19" s="12">
        <f t="shared" si="0"/>
        <v>213.54545454545453</v>
      </c>
      <c r="H19" s="9" t="s">
        <v>74</v>
      </c>
      <c r="I19" s="15" t="s">
        <v>153</v>
      </c>
      <c r="J19" s="9" t="s">
        <v>9</v>
      </c>
      <c r="K19" s="9" t="s">
        <v>18</v>
      </c>
      <c r="L19" s="10">
        <v>45711</v>
      </c>
      <c r="M19" s="13" t="s">
        <v>78</v>
      </c>
      <c r="N19" s="9"/>
      <c r="O19" s="18" t="s">
        <v>79</v>
      </c>
      <c r="P19" s="9">
        <v>421022212</v>
      </c>
      <c r="Q19" s="9" t="s">
        <v>98</v>
      </c>
      <c r="R19" s="14">
        <v>45714</v>
      </c>
      <c r="S19" s="9"/>
    </row>
    <row r="20" spans="1:19">
      <c r="A20" s="9">
        <v>19</v>
      </c>
      <c r="B20" s="10">
        <v>45711</v>
      </c>
      <c r="C20" s="9" t="s">
        <v>11</v>
      </c>
      <c r="D20" s="9">
        <v>1</v>
      </c>
      <c r="E20" s="9" t="s">
        <v>12</v>
      </c>
      <c r="F20" s="11">
        <v>2349</v>
      </c>
      <c r="G20" s="12">
        <f t="shared" si="0"/>
        <v>213.54545454545453</v>
      </c>
      <c r="H20" s="9" t="s">
        <v>69</v>
      </c>
      <c r="I20" s="15" t="s">
        <v>151</v>
      </c>
      <c r="J20" s="9" t="s">
        <v>82</v>
      </c>
      <c r="K20" s="9" t="s">
        <v>18</v>
      </c>
      <c r="L20" s="10">
        <v>45711</v>
      </c>
      <c r="M20" s="13" t="s">
        <v>80</v>
      </c>
      <c r="N20" s="9"/>
      <c r="O20" s="13" t="s">
        <v>81</v>
      </c>
      <c r="P20" s="9">
        <v>420733329</v>
      </c>
      <c r="Q20" s="9" t="s">
        <v>98</v>
      </c>
      <c r="R20" s="14">
        <v>45714</v>
      </c>
      <c r="S20" s="9"/>
    </row>
    <row r="21" spans="1:19">
      <c r="A21" s="9">
        <v>20</v>
      </c>
      <c r="B21" s="10">
        <v>45711</v>
      </c>
      <c r="C21" s="9" t="s">
        <v>11</v>
      </c>
      <c r="D21" s="9">
        <v>1</v>
      </c>
      <c r="E21" s="9" t="s">
        <v>12</v>
      </c>
      <c r="F21" s="11">
        <v>2349</v>
      </c>
      <c r="G21" s="12">
        <f t="shared" si="0"/>
        <v>213.54545454545453</v>
      </c>
      <c r="H21" s="9" t="s">
        <v>53</v>
      </c>
      <c r="I21" s="15" t="s">
        <v>148</v>
      </c>
      <c r="J21" s="9" t="s">
        <v>61</v>
      </c>
      <c r="K21" s="9" t="s">
        <v>18</v>
      </c>
      <c r="L21" s="10">
        <v>45711</v>
      </c>
      <c r="M21" s="9" t="s">
        <v>84</v>
      </c>
      <c r="N21" s="9"/>
      <c r="O21" s="13" t="s">
        <v>86</v>
      </c>
      <c r="P21" s="9"/>
      <c r="Q21" s="9" t="s">
        <v>98</v>
      </c>
      <c r="R21" s="14">
        <v>45714</v>
      </c>
      <c r="S21" s="9"/>
    </row>
    <row r="22" spans="1:19">
      <c r="A22" s="9">
        <v>21</v>
      </c>
      <c r="B22" s="10">
        <v>45711</v>
      </c>
      <c r="C22" s="9" t="s">
        <v>11</v>
      </c>
      <c r="D22" s="9">
        <v>1</v>
      </c>
      <c r="E22" s="9" t="s">
        <v>12</v>
      </c>
      <c r="F22" s="11">
        <v>2349</v>
      </c>
      <c r="G22" s="12">
        <f t="shared" si="0"/>
        <v>213.54545454545453</v>
      </c>
      <c r="H22" s="9" t="s">
        <v>60</v>
      </c>
      <c r="I22" s="15" t="s">
        <v>149</v>
      </c>
      <c r="J22" s="9" t="s">
        <v>83</v>
      </c>
      <c r="K22" s="9" t="s">
        <v>18</v>
      </c>
      <c r="L22" s="10">
        <v>45711</v>
      </c>
      <c r="M22" s="9" t="s">
        <v>85</v>
      </c>
      <c r="N22" s="9"/>
      <c r="O22" s="13" t="s">
        <v>86</v>
      </c>
      <c r="P22" s="9"/>
      <c r="Q22" s="9" t="s">
        <v>98</v>
      </c>
      <c r="R22" s="14">
        <v>45714</v>
      </c>
      <c r="S22" s="9"/>
    </row>
    <row r="23" spans="1:19">
      <c r="A23" s="9">
        <v>22</v>
      </c>
      <c r="B23" s="10">
        <v>45711</v>
      </c>
      <c r="C23" s="9" t="s">
        <v>11</v>
      </c>
      <c r="D23" s="9">
        <v>1</v>
      </c>
      <c r="E23" s="9" t="s">
        <v>94</v>
      </c>
      <c r="F23" s="11">
        <v>2364</v>
      </c>
      <c r="G23" s="12">
        <f t="shared" si="0"/>
        <v>214.90909090909091</v>
      </c>
      <c r="H23" s="9" t="s">
        <v>48</v>
      </c>
      <c r="I23" s="15" t="s">
        <v>147</v>
      </c>
      <c r="J23" s="9" t="s">
        <v>83</v>
      </c>
      <c r="K23" s="9" t="s">
        <v>14</v>
      </c>
      <c r="L23" s="10">
        <v>45712</v>
      </c>
      <c r="M23" s="13" t="s">
        <v>87</v>
      </c>
      <c r="N23" s="9"/>
      <c r="O23" s="18" t="s">
        <v>79</v>
      </c>
      <c r="P23" s="9" t="s">
        <v>88</v>
      </c>
      <c r="Q23" s="9" t="s">
        <v>98</v>
      </c>
      <c r="R23" s="14">
        <v>45714</v>
      </c>
      <c r="S23" s="9"/>
    </row>
    <row r="24" spans="1:19">
      <c r="A24" s="9">
        <v>23</v>
      </c>
      <c r="B24" s="10">
        <v>45711</v>
      </c>
      <c r="C24" s="9" t="s">
        <v>11</v>
      </c>
      <c r="D24" s="9">
        <v>1</v>
      </c>
      <c r="E24" s="9" t="s">
        <v>94</v>
      </c>
      <c r="F24" s="11">
        <v>2364</v>
      </c>
      <c r="G24" s="12">
        <f t="shared" si="0"/>
        <v>214.90909090909091</v>
      </c>
      <c r="H24" s="9" t="s">
        <v>73</v>
      </c>
      <c r="I24" s="15" t="s">
        <v>152</v>
      </c>
      <c r="J24" s="9" t="s">
        <v>9</v>
      </c>
      <c r="K24" s="9" t="s">
        <v>14</v>
      </c>
      <c r="L24" s="10">
        <v>45712</v>
      </c>
      <c r="M24" s="13" t="s">
        <v>89</v>
      </c>
      <c r="N24" s="9"/>
      <c r="O24" s="17" t="s">
        <v>59</v>
      </c>
      <c r="P24" s="9" t="s">
        <v>83</v>
      </c>
      <c r="Q24" s="9" t="s">
        <v>98</v>
      </c>
      <c r="R24" s="14">
        <v>45714</v>
      </c>
      <c r="S24" s="9"/>
    </row>
    <row r="25" spans="1:19">
      <c r="A25" s="9">
        <v>24</v>
      </c>
      <c r="B25" s="10">
        <v>45713</v>
      </c>
      <c r="C25" s="9" t="s">
        <v>11</v>
      </c>
      <c r="D25" s="9">
        <v>1</v>
      </c>
      <c r="E25" s="9" t="s">
        <v>16</v>
      </c>
      <c r="F25" s="11">
        <v>2349</v>
      </c>
      <c r="G25" s="12">
        <f t="shared" si="0"/>
        <v>213.54545454545453</v>
      </c>
      <c r="H25" s="9" t="s">
        <v>17</v>
      </c>
      <c r="I25" s="9"/>
      <c r="J25" s="9" t="s">
        <v>9</v>
      </c>
      <c r="K25" s="9" t="s">
        <v>18</v>
      </c>
      <c r="L25" s="10">
        <v>45712</v>
      </c>
      <c r="M25" s="9"/>
      <c r="N25" s="9"/>
      <c r="O25" s="9"/>
      <c r="P25" s="9"/>
      <c r="Q25" s="9"/>
      <c r="R25" s="9"/>
      <c r="S25" s="9"/>
    </row>
    <row r="26" spans="1:19">
      <c r="A26" s="9">
        <v>25</v>
      </c>
      <c r="B26" s="10">
        <v>45713</v>
      </c>
      <c r="C26" s="9" t="s">
        <v>11</v>
      </c>
      <c r="D26" s="9">
        <v>1</v>
      </c>
      <c r="E26" s="9" t="s">
        <v>92</v>
      </c>
      <c r="F26" s="11">
        <v>2349</v>
      </c>
      <c r="G26" s="12">
        <f t="shared" si="0"/>
        <v>213.54545454545453</v>
      </c>
      <c r="H26" s="9" t="s">
        <v>17</v>
      </c>
      <c r="I26" s="9"/>
      <c r="J26" s="9" t="s">
        <v>9</v>
      </c>
      <c r="K26" s="9" t="s">
        <v>18</v>
      </c>
      <c r="L26" s="10">
        <v>45712</v>
      </c>
      <c r="M26" s="9"/>
      <c r="N26" s="9"/>
      <c r="O26" s="9"/>
      <c r="P26" s="9"/>
      <c r="Q26" s="9"/>
      <c r="R26" s="9"/>
      <c r="S26" s="9"/>
    </row>
    <row r="27" spans="1:19">
      <c r="A27" s="9">
        <v>26</v>
      </c>
      <c r="B27" s="10">
        <v>45713</v>
      </c>
      <c r="C27" s="9" t="s">
        <v>11</v>
      </c>
      <c r="D27" s="9">
        <v>1</v>
      </c>
      <c r="E27" s="9" t="s">
        <v>93</v>
      </c>
      <c r="F27" s="11">
        <v>2349</v>
      </c>
      <c r="G27" s="12">
        <f t="shared" si="0"/>
        <v>213.54545454545453</v>
      </c>
      <c r="H27" s="9" t="s">
        <v>17</v>
      </c>
      <c r="I27" s="9"/>
      <c r="J27" s="9" t="s">
        <v>9</v>
      </c>
      <c r="K27" s="9" t="s">
        <v>18</v>
      </c>
      <c r="L27" s="10">
        <v>45712</v>
      </c>
      <c r="M27" s="9"/>
      <c r="N27" s="9"/>
      <c r="O27" s="9"/>
      <c r="P27" s="9"/>
      <c r="Q27" s="9"/>
      <c r="R27" s="9"/>
      <c r="S27" s="9"/>
    </row>
    <row r="28" spans="1:19">
      <c r="A28" s="9">
        <v>27</v>
      </c>
      <c r="B28" s="10">
        <v>45713</v>
      </c>
      <c r="C28" s="9" t="s">
        <v>10</v>
      </c>
      <c r="D28" s="9">
        <v>1</v>
      </c>
      <c r="E28" s="9" t="s">
        <v>94</v>
      </c>
      <c r="F28" s="11">
        <v>1919</v>
      </c>
      <c r="G28" s="12">
        <f t="shared" si="0"/>
        <v>174.45454545454547</v>
      </c>
      <c r="H28" s="9" t="s">
        <v>17</v>
      </c>
      <c r="I28" s="9"/>
      <c r="J28" s="9" t="s">
        <v>83</v>
      </c>
      <c r="K28" s="9" t="s">
        <v>14</v>
      </c>
      <c r="L28" s="10">
        <v>45715</v>
      </c>
      <c r="M28" s="9" t="s">
        <v>95</v>
      </c>
      <c r="N28" s="9"/>
      <c r="O28" s="13" t="s">
        <v>96</v>
      </c>
      <c r="P28" s="9">
        <v>430984584</v>
      </c>
      <c r="Q28" s="9"/>
      <c r="R28" s="9"/>
      <c r="S28" s="9"/>
    </row>
    <row r="29" spans="1:19">
      <c r="A29" s="32">
        <v>28</v>
      </c>
      <c r="B29" s="33">
        <v>45714</v>
      </c>
      <c r="C29" s="32" t="s">
        <v>11</v>
      </c>
      <c r="D29" s="32">
        <v>1</v>
      </c>
      <c r="E29" s="32" t="s">
        <v>52</v>
      </c>
      <c r="F29" s="34">
        <v>2349</v>
      </c>
      <c r="G29" s="35">
        <f t="shared" si="0"/>
        <v>213.54545454545453</v>
      </c>
      <c r="H29" s="32" t="s">
        <v>66</v>
      </c>
      <c r="I29" s="32" t="s">
        <v>104</v>
      </c>
      <c r="J29" s="32" t="s">
        <v>107</v>
      </c>
      <c r="K29" s="32" t="s">
        <v>18</v>
      </c>
      <c r="L29" s="33">
        <v>45714</v>
      </c>
      <c r="M29" s="36" t="s">
        <v>103</v>
      </c>
      <c r="N29" s="32"/>
      <c r="O29" s="37" t="s">
        <v>100</v>
      </c>
      <c r="P29" s="32" t="s">
        <v>88</v>
      </c>
      <c r="Q29" s="32"/>
      <c r="R29" s="32"/>
      <c r="S29" s="32" t="s">
        <v>109</v>
      </c>
    </row>
    <row r="30" spans="1:19">
      <c r="A30" s="32">
        <v>29</v>
      </c>
      <c r="B30" s="33">
        <v>45714</v>
      </c>
      <c r="C30" s="32" t="s">
        <v>11</v>
      </c>
      <c r="D30" s="32">
        <v>1</v>
      </c>
      <c r="E30" s="32" t="s">
        <v>67</v>
      </c>
      <c r="F30" s="34">
        <v>2349</v>
      </c>
      <c r="G30" s="35">
        <f t="shared" si="0"/>
        <v>213.54545454545453</v>
      </c>
      <c r="H30" s="32" t="s">
        <v>53</v>
      </c>
      <c r="I30" s="32" t="s">
        <v>106</v>
      </c>
      <c r="J30" s="32" t="s">
        <v>83</v>
      </c>
      <c r="K30" s="32" t="s">
        <v>18</v>
      </c>
      <c r="L30" s="33">
        <v>45714</v>
      </c>
      <c r="M30" s="36" t="s">
        <v>105</v>
      </c>
      <c r="N30" s="32"/>
      <c r="O30" s="36" t="s">
        <v>102</v>
      </c>
      <c r="P30" s="32" t="s">
        <v>83</v>
      </c>
      <c r="Q30" s="32"/>
      <c r="R30" s="32"/>
      <c r="S30" s="32" t="s">
        <v>108</v>
      </c>
    </row>
    <row r="31" spans="1:19">
      <c r="A31" s="32">
        <v>30</v>
      </c>
      <c r="B31" s="33">
        <v>45714</v>
      </c>
      <c r="C31" s="32" t="s">
        <v>11</v>
      </c>
      <c r="D31" s="32">
        <v>1</v>
      </c>
      <c r="E31" s="32" t="s">
        <v>52</v>
      </c>
      <c r="F31" s="34">
        <v>2349</v>
      </c>
      <c r="G31" s="35">
        <f t="shared" si="0"/>
        <v>213.54545454545453</v>
      </c>
      <c r="H31" s="32" t="s">
        <v>48</v>
      </c>
      <c r="I31" s="32" t="s">
        <v>111</v>
      </c>
      <c r="J31" s="32" t="s">
        <v>82</v>
      </c>
      <c r="K31" s="32" t="s">
        <v>18</v>
      </c>
      <c r="L31" s="33">
        <v>45714</v>
      </c>
      <c r="M31" s="36" t="s">
        <v>110</v>
      </c>
      <c r="N31" s="32"/>
      <c r="O31" s="37" t="s">
        <v>90</v>
      </c>
      <c r="P31" s="32">
        <v>421022219</v>
      </c>
      <c r="Q31" s="32"/>
      <c r="R31" s="32"/>
      <c r="S31" s="32" t="s">
        <v>112</v>
      </c>
    </row>
    <row r="32" spans="1:19">
      <c r="A32" s="32">
        <v>31</v>
      </c>
      <c r="B32" s="33">
        <v>45714</v>
      </c>
      <c r="C32" s="32" t="s">
        <v>11</v>
      </c>
      <c r="D32" s="32">
        <v>1</v>
      </c>
      <c r="E32" s="32" t="s">
        <v>67</v>
      </c>
      <c r="F32" s="34">
        <v>2349</v>
      </c>
      <c r="G32" s="35">
        <f t="shared" si="0"/>
        <v>213.54545454545453</v>
      </c>
      <c r="H32" s="32" t="s">
        <v>60</v>
      </c>
      <c r="I32" s="32" t="s">
        <v>115</v>
      </c>
      <c r="J32" s="32" t="s">
        <v>65</v>
      </c>
      <c r="K32" s="32" t="s">
        <v>18</v>
      </c>
      <c r="L32" s="33">
        <v>45714</v>
      </c>
      <c r="M32" s="36" t="s">
        <v>113</v>
      </c>
      <c r="N32" s="32"/>
      <c r="O32" s="36" t="s">
        <v>101</v>
      </c>
      <c r="P32" s="32">
        <v>421022212</v>
      </c>
      <c r="Q32" s="32"/>
      <c r="R32" s="32"/>
      <c r="S32" s="32" t="s">
        <v>114</v>
      </c>
    </row>
    <row r="33" spans="1:20">
      <c r="A33" s="32">
        <v>32</v>
      </c>
      <c r="B33" s="33">
        <v>45714</v>
      </c>
      <c r="C33" s="32" t="s">
        <v>11</v>
      </c>
      <c r="D33" s="32">
        <v>1</v>
      </c>
      <c r="E33" s="32" t="s">
        <v>116</v>
      </c>
      <c r="F33" s="34">
        <v>2349</v>
      </c>
      <c r="G33" s="35">
        <f t="shared" si="0"/>
        <v>213.54545454545453</v>
      </c>
      <c r="H33" s="32" t="s">
        <v>17</v>
      </c>
      <c r="I33" s="32"/>
      <c r="J33" s="32"/>
      <c r="K33" s="32" t="s">
        <v>47</v>
      </c>
      <c r="L33" s="32"/>
      <c r="M33" s="32"/>
      <c r="N33" s="32"/>
      <c r="O33" s="32"/>
      <c r="P33" s="32"/>
      <c r="Q33" s="32"/>
      <c r="R33" s="32"/>
      <c r="S33" s="32"/>
    </row>
    <row r="34" spans="1:20">
      <c r="A34" s="32">
        <v>33</v>
      </c>
      <c r="B34" s="33">
        <v>45714</v>
      </c>
      <c r="C34" s="32" t="s">
        <v>11</v>
      </c>
      <c r="D34" s="32">
        <v>1</v>
      </c>
      <c r="E34" s="32" t="s">
        <v>119</v>
      </c>
      <c r="F34" s="34">
        <v>2349</v>
      </c>
      <c r="G34" s="35">
        <f t="shared" si="0"/>
        <v>213.54545454545453</v>
      </c>
      <c r="H34" s="32" t="s">
        <v>17</v>
      </c>
      <c r="I34" s="32"/>
      <c r="J34" s="32"/>
      <c r="K34" s="32" t="s">
        <v>18</v>
      </c>
      <c r="L34" s="33">
        <v>45714</v>
      </c>
      <c r="M34" s="32"/>
      <c r="N34" s="32"/>
      <c r="O34" s="32"/>
      <c r="P34" s="32"/>
      <c r="Q34" s="32"/>
      <c r="R34" s="32"/>
      <c r="S34" s="32"/>
    </row>
    <row r="35" spans="1:20">
      <c r="A35" s="32">
        <v>34</v>
      </c>
      <c r="B35" s="33">
        <v>45714</v>
      </c>
      <c r="C35" s="32" t="s">
        <v>11</v>
      </c>
      <c r="D35" s="32">
        <v>1</v>
      </c>
      <c r="E35" s="32" t="s">
        <v>118</v>
      </c>
      <c r="F35" s="34">
        <v>2349</v>
      </c>
      <c r="G35" s="35">
        <f t="shared" si="0"/>
        <v>213.54545454545453</v>
      </c>
      <c r="H35" s="32" t="s">
        <v>17</v>
      </c>
      <c r="I35" s="32"/>
      <c r="J35" s="32"/>
      <c r="K35" s="32" t="s">
        <v>18</v>
      </c>
      <c r="L35" s="33">
        <v>45714</v>
      </c>
      <c r="M35" s="32"/>
      <c r="N35" s="32"/>
      <c r="O35" s="32"/>
      <c r="P35" s="32"/>
      <c r="Q35" s="32"/>
      <c r="R35" s="32"/>
      <c r="S35" s="32"/>
    </row>
    <row r="36" spans="1:20">
      <c r="A36" s="19">
        <v>35</v>
      </c>
      <c r="B36" s="20">
        <v>45715</v>
      </c>
      <c r="C36" s="19" t="s">
        <v>11</v>
      </c>
      <c r="D36" s="19">
        <v>1</v>
      </c>
      <c r="E36" s="19" t="s">
        <v>117</v>
      </c>
      <c r="F36" s="21">
        <v>2349</v>
      </c>
      <c r="G36" s="22">
        <f t="shared" si="0"/>
        <v>213.54545454545453</v>
      </c>
      <c r="H36" s="19" t="s">
        <v>48</v>
      </c>
      <c r="I36" s="19" t="s">
        <v>111</v>
      </c>
      <c r="J36" s="19" t="s">
        <v>124</v>
      </c>
      <c r="K36" s="19" t="s">
        <v>18</v>
      </c>
      <c r="L36" s="20">
        <v>45715</v>
      </c>
      <c r="M36" s="23" t="s">
        <v>120</v>
      </c>
      <c r="N36" s="19"/>
      <c r="O36" s="24" t="s">
        <v>90</v>
      </c>
      <c r="P36" s="19">
        <v>421022216</v>
      </c>
      <c r="Q36" s="19"/>
      <c r="R36" s="19"/>
      <c r="S36" s="19" t="s">
        <v>121</v>
      </c>
      <c r="T36" s="25"/>
    </row>
    <row r="37" spans="1:20">
      <c r="A37" s="19">
        <v>36</v>
      </c>
      <c r="B37" s="20">
        <v>45715</v>
      </c>
      <c r="C37" s="19" t="s">
        <v>11</v>
      </c>
      <c r="D37" s="19">
        <v>1</v>
      </c>
      <c r="E37" s="19" t="s">
        <v>118</v>
      </c>
      <c r="F37" s="21">
        <v>2349</v>
      </c>
      <c r="G37" s="22">
        <f t="shared" si="0"/>
        <v>213.54545454545453</v>
      </c>
      <c r="H37" s="19" t="s">
        <v>60</v>
      </c>
      <c r="I37" s="19" t="s">
        <v>115</v>
      </c>
      <c r="J37" s="19" t="s">
        <v>60</v>
      </c>
      <c r="K37" s="19" t="s">
        <v>18</v>
      </c>
      <c r="L37" s="20">
        <v>45715</v>
      </c>
      <c r="M37" s="23" t="s">
        <v>123</v>
      </c>
      <c r="N37" s="19"/>
      <c r="O37" s="23" t="s">
        <v>101</v>
      </c>
      <c r="P37" s="19">
        <v>421022212</v>
      </c>
      <c r="Q37" s="19"/>
      <c r="R37" s="19"/>
      <c r="S37" s="19" t="s">
        <v>125</v>
      </c>
      <c r="T37" s="25"/>
    </row>
    <row r="38" spans="1:20">
      <c r="A38" s="19">
        <v>37</v>
      </c>
      <c r="B38" s="20">
        <v>45715</v>
      </c>
      <c r="C38" s="19" t="s">
        <v>11</v>
      </c>
      <c r="D38" s="19">
        <v>1</v>
      </c>
      <c r="E38" s="19" t="s">
        <v>134</v>
      </c>
      <c r="F38" s="21">
        <v>2349</v>
      </c>
      <c r="G38" s="22">
        <f t="shared" si="0"/>
        <v>213.54545454545453</v>
      </c>
      <c r="H38" s="19" t="s">
        <v>66</v>
      </c>
      <c r="I38" s="19" t="s">
        <v>104</v>
      </c>
      <c r="J38" s="19" t="s">
        <v>127</v>
      </c>
      <c r="K38" s="19" t="s">
        <v>18</v>
      </c>
      <c r="L38" s="20">
        <v>45715</v>
      </c>
      <c r="M38" s="23" t="s">
        <v>126</v>
      </c>
      <c r="N38" s="19"/>
      <c r="O38" s="23" t="s">
        <v>102</v>
      </c>
      <c r="P38" s="19">
        <v>420733329</v>
      </c>
      <c r="Q38" s="19"/>
      <c r="R38" s="19"/>
      <c r="S38" s="19"/>
      <c r="T38" s="25"/>
    </row>
    <row r="39" spans="1:20">
      <c r="A39" s="26">
        <v>38</v>
      </c>
      <c r="B39" s="27">
        <v>45715</v>
      </c>
      <c r="C39" s="26" t="s">
        <v>11</v>
      </c>
      <c r="D39" s="26">
        <v>1</v>
      </c>
      <c r="E39" s="26" t="s">
        <v>118</v>
      </c>
      <c r="F39" s="28">
        <v>2349</v>
      </c>
      <c r="G39" s="29">
        <f t="shared" si="0"/>
        <v>213.54545454545453</v>
      </c>
      <c r="H39" s="26" t="s">
        <v>17</v>
      </c>
      <c r="I39" s="26"/>
      <c r="J39" s="26" t="s">
        <v>129</v>
      </c>
      <c r="K39" s="26" t="s">
        <v>18</v>
      </c>
      <c r="L39" s="27">
        <v>45715</v>
      </c>
      <c r="M39" s="26" t="s">
        <v>128</v>
      </c>
      <c r="N39" s="26"/>
      <c r="O39" s="30" t="s">
        <v>100</v>
      </c>
      <c r="P39" s="26">
        <v>421022214</v>
      </c>
      <c r="Q39" s="26"/>
      <c r="R39" s="26"/>
      <c r="S39" s="26"/>
    </row>
    <row r="40" spans="1:20">
      <c r="A40" s="26">
        <v>39</v>
      </c>
      <c r="B40" s="27">
        <v>45715</v>
      </c>
      <c r="C40" s="26" t="s">
        <v>11</v>
      </c>
      <c r="D40" s="26">
        <v>1</v>
      </c>
      <c r="E40" s="26" t="s">
        <v>119</v>
      </c>
      <c r="F40" s="28">
        <v>2349</v>
      </c>
      <c r="G40" s="29">
        <f t="shared" si="0"/>
        <v>213.54545454545453</v>
      </c>
      <c r="H40" s="26" t="s">
        <v>17</v>
      </c>
      <c r="I40" s="26"/>
      <c r="J40" s="26" t="s">
        <v>129</v>
      </c>
      <c r="K40" s="26" t="s">
        <v>18</v>
      </c>
      <c r="L40" s="27">
        <v>45715</v>
      </c>
      <c r="M40" s="26"/>
      <c r="N40" s="26"/>
      <c r="O40" s="26"/>
      <c r="P40" s="26"/>
      <c r="Q40" s="26"/>
      <c r="R40" s="26"/>
      <c r="S40" s="26"/>
    </row>
    <row r="41" spans="1:20">
      <c r="A41" s="26">
        <v>40</v>
      </c>
      <c r="B41" s="27">
        <v>45715</v>
      </c>
      <c r="C41" s="26" t="s">
        <v>11</v>
      </c>
      <c r="D41" s="26">
        <v>1</v>
      </c>
      <c r="E41" s="26" t="s">
        <v>134</v>
      </c>
      <c r="F41" s="28">
        <v>2349</v>
      </c>
      <c r="G41" s="29">
        <f t="shared" si="0"/>
        <v>213.54545454545453</v>
      </c>
      <c r="H41" s="26" t="s">
        <v>17</v>
      </c>
      <c r="I41" s="26"/>
      <c r="J41" s="26" t="s">
        <v>129</v>
      </c>
      <c r="K41" s="26" t="s">
        <v>18</v>
      </c>
      <c r="L41" s="27">
        <v>45715</v>
      </c>
      <c r="M41" s="26"/>
      <c r="N41" s="26"/>
      <c r="O41" s="26"/>
      <c r="P41" s="26"/>
      <c r="Q41" s="26"/>
      <c r="R41" s="26"/>
      <c r="S41" s="26"/>
    </row>
    <row r="42" spans="1:20">
      <c r="A42" s="26">
        <v>41</v>
      </c>
      <c r="B42" s="27">
        <v>45715</v>
      </c>
      <c r="C42" s="26" t="s">
        <v>11</v>
      </c>
      <c r="D42" s="26">
        <v>1</v>
      </c>
      <c r="E42" s="26" t="s">
        <v>117</v>
      </c>
      <c r="F42" s="28">
        <v>2349</v>
      </c>
      <c r="G42" s="29">
        <f t="shared" si="0"/>
        <v>213.54545454545453</v>
      </c>
      <c r="H42" s="26" t="s">
        <v>17</v>
      </c>
      <c r="I42" s="26"/>
      <c r="J42" s="26" t="s">
        <v>129</v>
      </c>
      <c r="K42" s="26" t="s">
        <v>18</v>
      </c>
      <c r="L42" s="27">
        <v>45715</v>
      </c>
      <c r="M42" s="26"/>
      <c r="N42" s="26"/>
      <c r="O42" s="26"/>
      <c r="P42" s="26"/>
      <c r="Q42" s="26"/>
      <c r="R42" s="26"/>
      <c r="S42" s="26"/>
    </row>
    <row r="43" spans="1:20">
      <c r="A43" s="26">
        <v>42</v>
      </c>
      <c r="B43" s="27">
        <v>45715</v>
      </c>
      <c r="C43" s="26" t="s">
        <v>11</v>
      </c>
      <c r="D43" s="26">
        <v>1</v>
      </c>
      <c r="E43" s="26" t="s">
        <v>116</v>
      </c>
      <c r="F43" s="28">
        <v>2349</v>
      </c>
      <c r="G43" s="29">
        <f t="shared" si="0"/>
        <v>213.54545454545453</v>
      </c>
      <c r="H43" s="26" t="s">
        <v>17</v>
      </c>
      <c r="I43" s="26"/>
      <c r="J43" s="26" t="s">
        <v>129</v>
      </c>
      <c r="K43" s="26" t="s">
        <v>18</v>
      </c>
      <c r="L43" s="27">
        <v>45715</v>
      </c>
      <c r="M43" s="26"/>
      <c r="N43" s="26"/>
      <c r="O43" s="26"/>
      <c r="P43" s="26"/>
      <c r="Q43" s="26"/>
      <c r="R43" s="26"/>
      <c r="S43" s="26"/>
    </row>
    <row r="44" spans="1:20">
      <c r="A44" s="26">
        <v>43</v>
      </c>
      <c r="B44" s="27">
        <v>45715</v>
      </c>
      <c r="C44" s="26" t="s">
        <v>11</v>
      </c>
      <c r="D44" s="26">
        <v>1</v>
      </c>
      <c r="E44" s="26" t="s">
        <v>119</v>
      </c>
      <c r="F44" s="28">
        <v>2349</v>
      </c>
      <c r="G44" s="29">
        <f t="shared" si="0"/>
        <v>213.54545454545453</v>
      </c>
      <c r="H44" s="26" t="s">
        <v>17</v>
      </c>
      <c r="I44" s="26"/>
      <c r="J44" s="26" t="s">
        <v>129</v>
      </c>
      <c r="K44" s="26" t="s">
        <v>18</v>
      </c>
      <c r="L44" s="27">
        <v>45715</v>
      </c>
      <c r="M44" s="26"/>
      <c r="N44" s="26"/>
      <c r="O44" s="26"/>
      <c r="P44" s="26"/>
      <c r="Q44" s="26"/>
      <c r="R44" s="26"/>
      <c r="S44" s="26"/>
    </row>
    <row r="45" spans="1:20">
      <c r="A45" s="26">
        <v>44</v>
      </c>
      <c r="B45" s="27">
        <v>45716</v>
      </c>
      <c r="C45" s="26" t="s">
        <v>11</v>
      </c>
      <c r="D45" s="26">
        <v>1</v>
      </c>
      <c r="E45" s="26" t="s">
        <v>132</v>
      </c>
      <c r="F45" s="28">
        <v>2349</v>
      </c>
      <c r="G45" s="29">
        <f t="shared" si="0"/>
        <v>213.54545454545453</v>
      </c>
      <c r="H45" s="26" t="s">
        <v>17</v>
      </c>
      <c r="I45" s="26"/>
      <c r="J45" s="26" t="s">
        <v>9</v>
      </c>
      <c r="K45" s="26" t="s">
        <v>18</v>
      </c>
      <c r="L45" s="27">
        <v>45717</v>
      </c>
      <c r="M45" s="31" t="s">
        <v>131</v>
      </c>
      <c r="N45" s="26"/>
      <c r="O45" s="31" t="s">
        <v>133</v>
      </c>
      <c r="P45" s="26"/>
      <c r="Q45" s="26"/>
      <c r="R45" s="26"/>
      <c r="S45" s="26"/>
    </row>
    <row r="46" spans="1:20">
      <c r="A46" s="26">
        <v>45</v>
      </c>
      <c r="B46" s="27">
        <v>45717</v>
      </c>
      <c r="C46" s="26" t="s">
        <v>11</v>
      </c>
      <c r="D46" s="26">
        <v>1</v>
      </c>
      <c r="E46" s="26" t="s">
        <v>132</v>
      </c>
      <c r="F46" s="28">
        <v>2349</v>
      </c>
      <c r="G46" s="29">
        <f t="shared" si="0"/>
        <v>213.54545454545453</v>
      </c>
      <c r="H46" s="26" t="s">
        <v>17</v>
      </c>
      <c r="I46" s="26"/>
      <c r="J46" s="26" t="s">
        <v>9</v>
      </c>
      <c r="K46" s="26" t="s">
        <v>18</v>
      </c>
      <c r="L46" s="27">
        <v>45718</v>
      </c>
      <c r="M46" s="26"/>
      <c r="N46" s="26"/>
      <c r="O46" s="26"/>
      <c r="P46" s="26"/>
      <c r="Q46" s="26"/>
      <c r="R46" s="26"/>
      <c r="S46" s="26"/>
    </row>
    <row r="47" spans="1:20">
      <c r="A47" s="26">
        <v>46</v>
      </c>
      <c r="B47" s="27">
        <v>45717</v>
      </c>
      <c r="C47" s="26" t="s">
        <v>11</v>
      </c>
      <c r="D47" s="26">
        <v>1</v>
      </c>
      <c r="E47" s="26" t="s">
        <v>132</v>
      </c>
      <c r="F47" s="28">
        <v>2349</v>
      </c>
      <c r="G47" s="29">
        <f t="shared" si="0"/>
        <v>213.54545454545453</v>
      </c>
      <c r="H47" s="26" t="s">
        <v>17</v>
      </c>
      <c r="I47" s="26"/>
      <c r="J47" s="26" t="s">
        <v>9</v>
      </c>
      <c r="K47" s="26" t="s">
        <v>18</v>
      </c>
      <c r="L47" s="27">
        <v>45719</v>
      </c>
      <c r="M47" s="26"/>
      <c r="N47" s="26"/>
      <c r="O47" s="26"/>
      <c r="P47" s="26"/>
      <c r="Q47" s="26"/>
      <c r="R47" s="26"/>
      <c r="S47" s="26"/>
    </row>
    <row r="48" spans="1:20">
      <c r="A48" s="26">
        <v>47</v>
      </c>
      <c r="B48" s="27">
        <v>45717</v>
      </c>
      <c r="C48" s="26" t="s">
        <v>11</v>
      </c>
      <c r="D48" s="26">
        <v>1</v>
      </c>
      <c r="E48" s="26" t="s">
        <v>119</v>
      </c>
      <c r="F48" s="28">
        <v>2349</v>
      </c>
      <c r="G48" s="29">
        <f t="shared" si="0"/>
        <v>213.54545454545453</v>
      </c>
      <c r="H48" s="26" t="s">
        <v>146</v>
      </c>
      <c r="I48" s="26"/>
      <c r="J48" s="26" t="s">
        <v>9</v>
      </c>
      <c r="K48" s="26" t="s">
        <v>135</v>
      </c>
      <c r="L48" s="26"/>
      <c r="M48" s="26"/>
      <c r="N48" s="26"/>
      <c r="O48" s="26"/>
      <c r="P48" s="26"/>
      <c r="Q48" s="26"/>
      <c r="R48" s="26"/>
      <c r="S48" s="26"/>
    </row>
    <row r="49" spans="1:19">
      <c r="A49" s="3">
        <v>48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>
      <c r="A50" s="3">
        <v>49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>
      <c r="A51" s="3">
        <v>50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>
      <c r="A52" s="3">
        <v>51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>
      <c r="A53" s="3">
        <v>52</v>
      </c>
      <c r="B53" s="3"/>
      <c r="C53" s="3"/>
      <c r="D53" s="3"/>
      <c r="E53" s="3"/>
      <c r="F53" s="3">
        <v>10446.469999999999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</sheetData>
  <autoFilter ref="A1:P53"/>
  <hyperlinks>
    <hyperlink ref="M11" r:id="rId1" display="https://www.apple.com/xc/au-edu/vieworder/W1451174620/Anwar.ali2051@outlook.com"/>
    <hyperlink ref="O11" r:id="rId2"/>
    <hyperlink ref="M13" r:id="rId3" display="https://www.apple.com/xc/au-edu/vieworder/W1463493598/atiya.hayat2000@outlook.com"/>
    <hyperlink ref="M15" r:id="rId4" display="https://www.apple.com/xc/au-edu/vieworder/W1405425780/amaan.pasha@outlook.com.au"/>
    <hyperlink ref="O15" r:id="rId5"/>
    <hyperlink ref="O16" r:id="rId6"/>
    <hyperlink ref="M19" r:id="rId7" display="https://www.apple.com/xc/au-edu/vieworder/W1300382577/Muhammad.khan2000@outlook.com"/>
    <hyperlink ref="M20" r:id="rId8" display="https://www.apple.com/xc/au-edu/vieworder/W1302728463/amaans_uk@icloud.com"/>
    <hyperlink ref="O20" r:id="rId9"/>
    <hyperlink ref="O21" r:id="rId10"/>
    <hyperlink ref="O22" r:id="rId11"/>
    <hyperlink ref="M23" r:id="rId12" display="https://www.apple.com/xc/au-edu/vieworder/W1398071991/Muhammad.khan2000@outlook.com"/>
    <hyperlink ref="M24" r:id="rId13" display="https://www.apple.com/xc/au-edu/vieworder/W1320644753/atiya.hayat2000@outlook.com"/>
    <hyperlink ref="O28" r:id="rId14"/>
    <hyperlink ref="M29" r:id="rId15" display="https://www.apple.com/xc/au-edu/vieworder/W1348825231/Sydney.khan2514@outlook.com"/>
    <hyperlink ref="M30" r:id="rId16" display="https://www.apple.com/xc/au-edu/vieworder/W1581701486/noaman.mughal2000@outlook.com"/>
    <hyperlink ref="O30" r:id="rId17"/>
    <hyperlink ref="M31" r:id="rId18" display="https://www.apple.com/xc/au-edu/vieworder/W1552448382/amaan.pasha2323@outlook.com"/>
    <hyperlink ref="M32" r:id="rId19" display="https://www.apple.com/xc/au-edu/vieworder/W1336422109/amaan.sydney2000@gamil.com"/>
    <hyperlink ref="O32" r:id="rId20"/>
    <hyperlink ref="M36" r:id="rId21" display="https://www.apple.com/xc/au-edu/vieworder/W1395180275/amaan.pasha2323@outlook.com"/>
    <hyperlink ref="M37" r:id="rId22" display="https://www.apple.com/xc/au-edu/vieworder/W1526916035/amaan.sydney2000@gmail.com"/>
    <hyperlink ref="O37" r:id="rId23"/>
    <hyperlink ref="M38" r:id="rId24" display="https://www.apple.com/xc/au-edu/vieworder/W1511643423/noaman.mughal2000@outlook.com"/>
    <hyperlink ref="O38" r:id="rId25"/>
    <hyperlink ref="M45" r:id="rId26" display="https://www.apple.com/xc/au-edu/vieworder/W1528341115/amaan.sydney2026@outlook.com"/>
    <hyperlink ref="O45" r:id="rId27"/>
  </hyperlinks>
  <pageMargins left="0.7" right="0.7" top="0.75" bottom="0.75" header="0.3" footer="0.3"/>
  <pageSetup orientation="portrait" r:id="rId28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workbookViewId="0">
      <selection activeCell="F23" sqref="F23"/>
    </sheetView>
  </sheetViews>
  <sheetFormatPr defaultRowHeight="15"/>
  <cols>
    <col min="2" max="2" width="9.5703125" bestFit="1" customWidth="1"/>
    <col min="3" max="3" width="15.28515625" bestFit="1" customWidth="1"/>
    <col min="6" max="6" width="12.140625" bestFit="1" customWidth="1"/>
    <col min="7" max="7" width="12" bestFit="1" customWidth="1"/>
    <col min="8" max="8" width="14.28515625" bestFit="1" customWidth="1"/>
  </cols>
  <sheetData>
    <row r="1" spans="1:13">
      <c r="A1" s="1" t="s">
        <v>15</v>
      </c>
      <c r="B1" s="1" t="s">
        <v>0</v>
      </c>
      <c r="C1" s="1" t="s">
        <v>3</v>
      </c>
      <c r="D1" s="1" t="s">
        <v>139</v>
      </c>
      <c r="E1" s="1" t="s">
        <v>2</v>
      </c>
      <c r="F1" s="1" t="s">
        <v>142</v>
      </c>
      <c r="G1" s="1" t="s">
        <v>140</v>
      </c>
      <c r="H1" s="1" t="s">
        <v>145</v>
      </c>
      <c r="I1" s="1" t="s">
        <v>139</v>
      </c>
      <c r="J1" s="1" t="s">
        <v>144</v>
      </c>
      <c r="K1" s="3"/>
      <c r="L1" s="3"/>
      <c r="M1" s="3"/>
    </row>
    <row r="2" spans="1:13">
      <c r="A2" s="3">
        <v>1</v>
      </c>
      <c r="B2" s="2">
        <v>45717</v>
      </c>
      <c r="C2" s="3" t="s">
        <v>132</v>
      </c>
      <c r="D2" s="4">
        <v>2500</v>
      </c>
      <c r="E2" s="3">
        <v>1</v>
      </c>
      <c r="F2" s="4">
        <v>2500</v>
      </c>
      <c r="G2" s="3" t="s">
        <v>141</v>
      </c>
      <c r="H2" s="3" t="s">
        <v>119</v>
      </c>
      <c r="I2" s="4">
        <v>2349</v>
      </c>
      <c r="J2" s="4">
        <f>(F2-I2)</f>
        <v>151</v>
      </c>
      <c r="K2" s="3"/>
      <c r="L2" s="3"/>
      <c r="M2" s="3"/>
    </row>
    <row r="3" spans="1:13">
      <c r="A3" s="3">
        <v>2</v>
      </c>
      <c r="B3" s="2">
        <v>45717</v>
      </c>
      <c r="C3" s="3" t="s">
        <v>132</v>
      </c>
      <c r="D3" s="4">
        <v>2500</v>
      </c>
      <c r="E3" s="3">
        <v>1</v>
      </c>
      <c r="F3" s="4">
        <v>2500</v>
      </c>
      <c r="G3" s="3" t="s">
        <v>141</v>
      </c>
      <c r="H3" s="3"/>
      <c r="I3" s="3"/>
      <c r="J3" s="3"/>
      <c r="K3" s="3"/>
      <c r="L3" s="3"/>
      <c r="M3" s="3"/>
    </row>
    <row r="4" spans="1:13">
      <c r="A4" s="3">
        <v>3</v>
      </c>
      <c r="B4" s="2">
        <v>45717</v>
      </c>
      <c r="C4" s="3" t="s">
        <v>132</v>
      </c>
      <c r="D4" s="4">
        <v>2500</v>
      </c>
      <c r="E4" s="3">
        <v>1</v>
      </c>
      <c r="F4" s="4">
        <v>2500</v>
      </c>
      <c r="G4" s="3" t="s">
        <v>141</v>
      </c>
      <c r="H4" s="3"/>
      <c r="I4" s="3"/>
      <c r="J4" s="3"/>
      <c r="K4" s="3"/>
      <c r="L4" s="3"/>
      <c r="M4" s="3"/>
    </row>
    <row r="5" spans="1:13">
      <c r="A5" s="3">
        <v>4</v>
      </c>
      <c r="B5" s="2">
        <v>45717</v>
      </c>
      <c r="C5" s="3" t="s">
        <v>93</v>
      </c>
      <c r="D5" s="4">
        <v>200</v>
      </c>
      <c r="E5" s="3">
        <v>10</v>
      </c>
      <c r="F5" s="4">
        <v>2000</v>
      </c>
      <c r="G5" s="3" t="s">
        <v>141</v>
      </c>
      <c r="H5" s="3"/>
      <c r="I5" s="3"/>
      <c r="J5" s="3"/>
      <c r="K5" s="3"/>
      <c r="L5" s="3"/>
      <c r="M5" s="3"/>
    </row>
    <row r="6" spans="1:13">
      <c r="A6" s="3">
        <v>5</v>
      </c>
      <c r="B6" s="2">
        <v>45717</v>
      </c>
      <c r="C6" s="3" t="s">
        <v>143</v>
      </c>
      <c r="D6" s="4">
        <v>500</v>
      </c>
      <c r="E6" s="3">
        <v>4</v>
      </c>
      <c r="F6" s="4">
        <v>2000</v>
      </c>
      <c r="G6" s="3" t="s">
        <v>141</v>
      </c>
      <c r="H6" s="3"/>
      <c r="I6" s="3"/>
      <c r="J6" s="3"/>
      <c r="K6" s="3"/>
      <c r="L6" s="3"/>
      <c r="M6" s="3"/>
    </row>
    <row r="7" spans="1:13">
      <c r="A7" s="3">
        <v>6</v>
      </c>
      <c r="B7" s="2">
        <v>45717</v>
      </c>
      <c r="C7" s="3"/>
      <c r="D7" s="3"/>
      <c r="E7" s="3">
        <v>1</v>
      </c>
      <c r="F7" s="3"/>
      <c r="G7" s="3"/>
      <c r="H7" s="3"/>
      <c r="I7" s="3"/>
      <c r="J7" s="3"/>
      <c r="K7" s="3"/>
      <c r="L7" s="3"/>
      <c r="M7" s="3"/>
    </row>
    <row r="8" spans="1:13">
      <c r="A8" s="3">
        <v>7</v>
      </c>
      <c r="B8" s="2">
        <v>45717</v>
      </c>
      <c r="C8" s="3"/>
      <c r="D8" s="3"/>
      <c r="E8" s="3">
        <v>1</v>
      </c>
      <c r="F8" s="3"/>
      <c r="G8" s="3"/>
      <c r="H8" s="3"/>
      <c r="I8" s="3"/>
      <c r="J8" s="3"/>
      <c r="K8" s="3"/>
      <c r="L8" s="3"/>
      <c r="M8" s="3"/>
    </row>
    <row r="9" spans="1:13">
      <c r="A9" s="3">
        <v>8</v>
      </c>
      <c r="B9" s="2">
        <v>45717</v>
      </c>
      <c r="C9" s="3"/>
      <c r="D9" s="3"/>
      <c r="E9" s="3">
        <v>1</v>
      </c>
      <c r="F9" s="3"/>
      <c r="G9" s="3"/>
      <c r="H9" s="3"/>
      <c r="I9" s="3"/>
      <c r="J9" s="3"/>
      <c r="K9" s="3"/>
      <c r="L9" s="3"/>
      <c r="M9" s="3"/>
    </row>
    <row r="10" spans="1:13">
      <c r="A10" s="3">
        <v>9</v>
      </c>
      <c r="B10" s="2">
        <v>45717</v>
      </c>
      <c r="C10" s="3"/>
      <c r="D10" s="3"/>
      <c r="E10" s="3">
        <v>1</v>
      </c>
      <c r="F10" s="3"/>
      <c r="G10" s="3"/>
      <c r="H10" s="3"/>
      <c r="I10" s="3"/>
      <c r="J10" s="3"/>
      <c r="K10" s="3"/>
      <c r="L10" s="3"/>
      <c r="M10" s="3"/>
    </row>
    <row r="11" spans="1:13">
      <c r="A11" s="3">
        <v>10</v>
      </c>
      <c r="B11" s="2">
        <v>45717</v>
      </c>
      <c r="C11" s="3"/>
      <c r="D11" s="3"/>
      <c r="E11" s="3">
        <v>1</v>
      </c>
      <c r="F11" s="3"/>
      <c r="G11" s="3"/>
      <c r="H11" s="3"/>
      <c r="I11" s="3"/>
      <c r="J11" s="3"/>
      <c r="K11" s="3"/>
      <c r="L11" s="3"/>
      <c r="M11" s="3"/>
    </row>
    <row r="12" spans="1:13">
      <c r="A12" s="3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>
      <c r="A13" s="3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>
      <c r="A14" s="3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>
      <c r="A15" s="3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>
      <c r="A16" s="3">
        <v>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>
      <c r="A17" s="3">
        <v>16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>
      <c r="A18" s="3">
        <v>17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>
      <c r="A19" s="3">
        <v>18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>
      <c r="A20" s="3">
        <v>19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>
      <c r="A21" s="3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>
      <c r="A22" s="3">
        <v>21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>
      <c r="A23" s="3">
        <v>22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>
      <c r="A24" s="3">
        <v>23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>
      <c r="A25" s="3">
        <v>24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>
      <c r="A26" s="3">
        <v>25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>
      <c r="A27" s="3">
        <v>26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selection activeCell="I10" sqref="I10"/>
    </sheetView>
  </sheetViews>
  <sheetFormatPr defaultRowHeight="15"/>
  <cols>
    <col min="1" max="1" width="11.7109375" bestFit="1" customWidth="1"/>
    <col min="2" max="2" width="30.85546875" bestFit="1" customWidth="1"/>
    <col min="7" max="7" width="12.7109375" bestFit="1" customWidth="1"/>
  </cols>
  <sheetData>
    <row r="1" spans="1:9">
      <c r="A1" t="s">
        <v>71</v>
      </c>
      <c r="I1">
        <v>748097</v>
      </c>
    </row>
    <row r="3" spans="1:9">
      <c r="A3" t="s">
        <v>91</v>
      </c>
      <c r="B3" s="5" t="s">
        <v>90</v>
      </c>
    </row>
    <row r="4" spans="1:9">
      <c r="A4" t="s">
        <v>91</v>
      </c>
      <c r="B4" s="5" t="s">
        <v>100</v>
      </c>
    </row>
    <row r="5" spans="1:9">
      <c r="A5" t="s">
        <v>71</v>
      </c>
      <c r="B5" s="7" t="s">
        <v>122</v>
      </c>
      <c r="D5" s="7"/>
    </row>
    <row r="6" spans="1:9">
      <c r="A6" t="s">
        <v>71</v>
      </c>
      <c r="B6" s="7" t="s">
        <v>102</v>
      </c>
      <c r="D6" s="7"/>
    </row>
    <row r="7" spans="1:9">
      <c r="A7" t="s">
        <v>91</v>
      </c>
      <c r="B7" s="7" t="s">
        <v>130</v>
      </c>
    </row>
    <row r="8" spans="1:9">
      <c r="G8" s="7" t="s">
        <v>120</v>
      </c>
    </row>
    <row r="9" spans="1:9">
      <c r="G9" s="7"/>
    </row>
    <row r="10" spans="1:9">
      <c r="G10" s="7" t="s">
        <v>126</v>
      </c>
    </row>
  </sheetData>
  <hyperlinks>
    <hyperlink ref="B5" r:id="rId1"/>
    <hyperlink ref="B6" r:id="rId2"/>
    <hyperlink ref="G8" r:id="rId3" display="https://www.apple.com/xc/au-edu/vieworder/W1395180275/amaan.pasha2323@outlook.com"/>
    <hyperlink ref="G10" r:id="rId4" display="https://www.apple.com/xc/au-edu/vieworder/W1511643423/noaman.mughal2000@outlook.com"/>
    <hyperlink ref="B7" r:id="rId5"/>
  </hyperlinks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14" sqref="F14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H23"/>
  <sheetViews>
    <sheetView workbookViewId="0">
      <selection activeCell="E28" sqref="E28"/>
    </sheetView>
  </sheetViews>
  <sheetFormatPr defaultRowHeight="15"/>
  <cols>
    <col min="2" max="2" width="37.140625" bestFit="1" customWidth="1"/>
    <col min="7" max="7" width="12.85546875" bestFit="1" customWidth="1"/>
    <col min="8" max="8" width="20.42578125" bestFit="1" customWidth="1"/>
  </cols>
  <sheetData>
    <row r="1" spans="2:8">
      <c r="C1" t="s">
        <v>27</v>
      </c>
      <c r="D1" t="s">
        <v>5</v>
      </c>
      <c r="F1" t="s">
        <v>28</v>
      </c>
      <c r="G1" t="s">
        <v>29</v>
      </c>
      <c r="H1" t="s">
        <v>26</v>
      </c>
    </row>
    <row r="2" spans="2:8">
      <c r="B2" t="s">
        <v>21</v>
      </c>
      <c r="H2">
        <v>465</v>
      </c>
    </row>
    <row r="3" spans="2:8">
      <c r="B3" t="s">
        <v>20</v>
      </c>
      <c r="H3">
        <v>385</v>
      </c>
    </row>
    <row r="4" spans="2:8">
      <c r="B4" t="s">
        <v>22</v>
      </c>
      <c r="C4">
        <v>229</v>
      </c>
      <c r="D4">
        <f>(C4/11)</f>
        <v>20.818181818181817</v>
      </c>
      <c r="E4">
        <f>C4-D4</f>
        <v>208.18181818181819</v>
      </c>
      <c r="F4">
        <v>2.35</v>
      </c>
      <c r="G4">
        <f>E4*F4</f>
        <v>489.22727272727275</v>
      </c>
      <c r="H4">
        <v>600</v>
      </c>
    </row>
    <row r="5" spans="2:8">
      <c r="B5" t="s">
        <v>23</v>
      </c>
      <c r="D5">
        <f>(C5/11)</f>
        <v>0</v>
      </c>
      <c r="E5">
        <f>C5-D5</f>
        <v>0</v>
      </c>
      <c r="F5">
        <v>2.35</v>
      </c>
      <c r="G5">
        <f>E5*F5</f>
        <v>0</v>
      </c>
      <c r="H5">
        <v>320</v>
      </c>
    </row>
    <row r="6" spans="2:8">
      <c r="B6" t="s">
        <v>24</v>
      </c>
      <c r="C6">
        <v>197</v>
      </c>
      <c r="D6">
        <f>(C6/11)</f>
        <v>17.90909090909091</v>
      </c>
      <c r="E6">
        <f>C6-D6</f>
        <v>179.09090909090909</v>
      </c>
      <c r="F6">
        <v>2.35</v>
      </c>
      <c r="G6">
        <f>E6*F6</f>
        <v>420.86363636363637</v>
      </c>
      <c r="H6">
        <v>550</v>
      </c>
    </row>
    <row r="7" spans="2:8">
      <c r="B7" t="s">
        <v>25</v>
      </c>
      <c r="E7">
        <f t="shared" ref="E7:E23" si="0">C7-D7</f>
        <v>0</v>
      </c>
      <c r="F7">
        <v>2.35</v>
      </c>
      <c r="G7">
        <f t="shared" ref="G7:G23" si="1">E7*F7</f>
        <v>0</v>
      </c>
      <c r="H7">
        <v>390</v>
      </c>
    </row>
    <row r="8" spans="2:8">
      <c r="B8" t="s">
        <v>30</v>
      </c>
      <c r="C8">
        <v>22</v>
      </c>
      <c r="D8">
        <f t="shared" ref="D8:D23" si="2">(C8/11)</f>
        <v>2</v>
      </c>
      <c r="E8">
        <f t="shared" si="0"/>
        <v>20</v>
      </c>
      <c r="F8">
        <v>2.35</v>
      </c>
      <c r="G8">
        <f t="shared" si="1"/>
        <v>47</v>
      </c>
    </row>
    <row r="9" spans="2:8">
      <c r="B9" t="s">
        <v>31</v>
      </c>
      <c r="C9">
        <v>59</v>
      </c>
      <c r="D9">
        <f t="shared" si="2"/>
        <v>5.3636363636363633</v>
      </c>
      <c r="E9">
        <f t="shared" si="0"/>
        <v>53.63636363636364</v>
      </c>
      <c r="F9">
        <v>2.35</v>
      </c>
      <c r="G9">
        <f t="shared" si="1"/>
        <v>126.04545454545456</v>
      </c>
    </row>
    <row r="10" spans="2:8">
      <c r="B10" t="s">
        <v>32</v>
      </c>
      <c r="C10">
        <v>24</v>
      </c>
      <c r="D10">
        <f t="shared" si="2"/>
        <v>2.1818181818181817</v>
      </c>
      <c r="E10">
        <f t="shared" si="0"/>
        <v>21.81818181818182</v>
      </c>
      <c r="F10">
        <v>2.35</v>
      </c>
      <c r="G10">
        <f t="shared" si="1"/>
        <v>51.27272727272728</v>
      </c>
    </row>
    <row r="11" spans="2:8">
      <c r="B11" t="s">
        <v>33</v>
      </c>
      <c r="C11">
        <v>31</v>
      </c>
      <c r="D11">
        <f t="shared" si="2"/>
        <v>2.8181818181818183</v>
      </c>
      <c r="E11">
        <f t="shared" si="0"/>
        <v>28.18181818181818</v>
      </c>
      <c r="F11">
        <v>2.35</v>
      </c>
      <c r="G11">
        <f t="shared" si="1"/>
        <v>66.22727272727272</v>
      </c>
    </row>
    <row r="12" spans="2:8">
      <c r="B12" t="s">
        <v>34</v>
      </c>
      <c r="C12">
        <v>249</v>
      </c>
      <c r="D12">
        <f t="shared" si="2"/>
        <v>22.636363636363637</v>
      </c>
      <c r="E12">
        <f t="shared" si="0"/>
        <v>226.36363636363637</v>
      </c>
      <c r="F12">
        <v>2.35</v>
      </c>
      <c r="G12">
        <f t="shared" si="1"/>
        <v>531.9545454545455</v>
      </c>
    </row>
    <row r="13" spans="2:8">
      <c r="B13" t="s">
        <v>35</v>
      </c>
      <c r="C13">
        <v>249</v>
      </c>
      <c r="D13">
        <f t="shared" si="2"/>
        <v>22.636363636363637</v>
      </c>
      <c r="E13">
        <f t="shared" si="0"/>
        <v>226.36363636363637</v>
      </c>
      <c r="F13">
        <v>2.35</v>
      </c>
      <c r="G13">
        <f t="shared" si="1"/>
        <v>531.9545454545455</v>
      </c>
    </row>
    <row r="14" spans="2:8">
      <c r="B14" t="s">
        <v>36</v>
      </c>
      <c r="C14">
        <v>197</v>
      </c>
      <c r="D14">
        <f t="shared" si="2"/>
        <v>17.90909090909091</v>
      </c>
      <c r="E14">
        <f t="shared" si="0"/>
        <v>179.09090909090909</v>
      </c>
      <c r="F14">
        <v>2.35</v>
      </c>
      <c r="G14">
        <f t="shared" si="1"/>
        <v>420.86363636363637</v>
      </c>
    </row>
    <row r="15" spans="2:8">
      <c r="B15" t="s">
        <v>37</v>
      </c>
      <c r="C15">
        <v>203</v>
      </c>
      <c r="D15">
        <f t="shared" si="2"/>
        <v>18.454545454545453</v>
      </c>
      <c r="E15">
        <f t="shared" si="0"/>
        <v>184.54545454545456</v>
      </c>
      <c r="F15">
        <v>2.35</v>
      </c>
      <c r="G15">
        <f t="shared" si="1"/>
        <v>433.68181818181824</v>
      </c>
    </row>
    <row r="16" spans="2:8">
      <c r="B16" t="s">
        <v>38</v>
      </c>
      <c r="C16">
        <v>197</v>
      </c>
      <c r="D16">
        <f t="shared" si="2"/>
        <v>17.90909090909091</v>
      </c>
      <c r="E16">
        <f t="shared" si="0"/>
        <v>179.09090909090909</v>
      </c>
      <c r="F16">
        <v>2.35</v>
      </c>
      <c r="G16">
        <f t="shared" si="1"/>
        <v>420.86363636363637</v>
      </c>
    </row>
    <row r="17" spans="2:7">
      <c r="B17" t="s">
        <v>39</v>
      </c>
      <c r="C17">
        <v>203</v>
      </c>
      <c r="D17">
        <f t="shared" si="2"/>
        <v>18.454545454545453</v>
      </c>
      <c r="E17">
        <f t="shared" si="0"/>
        <v>184.54545454545456</v>
      </c>
      <c r="F17">
        <v>2.35</v>
      </c>
      <c r="G17">
        <f t="shared" si="1"/>
        <v>433.68181818181824</v>
      </c>
    </row>
    <row r="18" spans="2:7">
      <c r="B18" t="s">
        <v>40</v>
      </c>
      <c r="C18">
        <v>203</v>
      </c>
      <c r="D18">
        <f t="shared" si="2"/>
        <v>18.454545454545453</v>
      </c>
      <c r="E18">
        <f t="shared" si="0"/>
        <v>184.54545454545456</v>
      </c>
      <c r="F18">
        <v>2.35</v>
      </c>
      <c r="G18">
        <f t="shared" si="1"/>
        <v>433.68181818181824</v>
      </c>
    </row>
    <row r="19" spans="2:7">
      <c r="B19" t="s">
        <v>41</v>
      </c>
      <c r="C19">
        <v>167</v>
      </c>
      <c r="D19">
        <f t="shared" si="2"/>
        <v>15.181818181818182</v>
      </c>
      <c r="E19">
        <f t="shared" si="0"/>
        <v>151.81818181818181</v>
      </c>
      <c r="F19">
        <v>2.35</v>
      </c>
      <c r="G19">
        <f t="shared" si="1"/>
        <v>356.77272727272725</v>
      </c>
    </row>
    <row r="20" spans="2:7">
      <c r="B20" t="s">
        <v>42</v>
      </c>
      <c r="C20">
        <v>167</v>
      </c>
      <c r="D20">
        <f t="shared" si="2"/>
        <v>15.181818181818182</v>
      </c>
      <c r="E20">
        <f t="shared" si="0"/>
        <v>151.81818181818181</v>
      </c>
      <c r="F20">
        <v>2.35</v>
      </c>
      <c r="G20">
        <f t="shared" si="1"/>
        <v>356.77272727272725</v>
      </c>
    </row>
    <row r="21" spans="2:7">
      <c r="B21" t="s">
        <v>43</v>
      </c>
      <c r="C21">
        <v>167</v>
      </c>
      <c r="D21">
        <f t="shared" si="2"/>
        <v>15.181818181818182</v>
      </c>
      <c r="E21">
        <f t="shared" si="0"/>
        <v>151.81818181818181</v>
      </c>
      <c r="F21">
        <v>2.35</v>
      </c>
      <c r="G21">
        <f t="shared" si="1"/>
        <v>356.77272727272725</v>
      </c>
    </row>
    <row r="22" spans="2:7">
      <c r="B22" t="s">
        <v>44</v>
      </c>
      <c r="C22">
        <v>51</v>
      </c>
      <c r="D22">
        <f t="shared" si="2"/>
        <v>4.6363636363636367</v>
      </c>
      <c r="E22">
        <f t="shared" si="0"/>
        <v>46.36363636363636</v>
      </c>
      <c r="F22">
        <v>2.35</v>
      </c>
      <c r="G22">
        <f t="shared" si="1"/>
        <v>108.95454545454545</v>
      </c>
    </row>
    <row r="23" spans="2:7">
      <c r="B23" t="s">
        <v>45</v>
      </c>
      <c r="C23">
        <v>46</v>
      </c>
      <c r="D23">
        <f t="shared" si="2"/>
        <v>4.1818181818181817</v>
      </c>
      <c r="E23">
        <f t="shared" si="0"/>
        <v>41.81818181818182</v>
      </c>
      <c r="F23">
        <v>2.35</v>
      </c>
      <c r="G23">
        <f t="shared" si="1"/>
        <v>98.27272727272728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Purchases</vt:lpstr>
      <vt:lpstr>Apple GC</vt:lpstr>
      <vt:lpstr>Sheet3</vt:lpstr>
      <vt:lpstr>Sheet1</vt:lpstr>
      <vt:lpstr>INSTAX 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dell5300</cp:lastModifiedBy>
  <dcterms:created xsi:type="dcterms:W3CDTF">2025-02-20T23:06:44Z</dcterms:created>
  <dcterms:modified xsi:type="dcterms:W3CDTF">2025-03-02T21:23:44Z</dcterms:modified>
</cp:coreProperties>
</file>