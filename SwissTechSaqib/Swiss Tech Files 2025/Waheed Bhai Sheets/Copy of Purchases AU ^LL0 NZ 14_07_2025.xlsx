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8D9B5089-7EC6-4C50-A26B-95BEF4AC6429}" xr6:coauthVersionLast="47" xr6:coauthVersionMax="47" xr10:uidLastSave="{00000000-0000-0000-0000-000000000000}"/>
  <bookViews>
    <workbookView xWindow="19090" yWindow="-110" windowWidth="19420" windowHeight="10300" firstSheet="4" activeTab="13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r:id="rId5"/>
    <sheet name="Sheet4" sheetId="15" state="hidden" r:id="rId6"/>
    <sheet name="June " sheetId="12" r:id="rId7"/>
    <sheet name="Sheet1" sheetId="11" state="hidden" r:id="rId8"/>
    <sheet name="Broadway" sheetId="7" state="hidden" r:id="rId9"/>
    <sheet name="Shipment" sheetId="6" state="hidden" r:id="rId10"/>
    <sheet name="Shipment 2904" sheetId="8" state="hidden" r:id="rId11"/>
    <sheet name="NZ Purchase May" sheetId="10" r:id="rId12"/>
    <sheet name="NZ July" sheetId="16" r:id="rId13"/>
    <sheet name="AU July" sheetId="18" r:id="rId14"/>
    <sheet name="NZ visit expense" sheetId="17" state="hidden" r:id="rId15"/>
    <sheet name="Abdul Rafey" sheetId="5" state="hidden" r:id="rId16"/>
  </sheets>
  <definedNames>
    <definedName name="_xlnm._FilterDatabase" localSheetId="3" hidden="1">April!$A$1:$H$152</definedName>
    <definedName name="_xlnm._FilterDatabase" localSheetId="6" hidden="1">'June '!$A$1:$P$71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3" r:id="rId17"/>
    <pivotCache cacheId="4" r:id="rId18"/>
    <pivotCache cacheId="5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6" l="1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<sst xmlns="http://schemas.openxmlformats.org/spreadsheetml/2006/main" count="1347" uniqueCount="418">
  <si>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</si>
  <si>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</si>
  <si>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</si>
  <si>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</si>
  <si>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</si>
  <si>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</si>
  <si>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</si>
  <si>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</si>
  <si>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</si>
  <si>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</si>
  <si>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</si>
  <si>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</si>
  <si>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</si>
  <si>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</si>
  <si>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</si>
  <si>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</si>
  <si>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</si>
  <si>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</si>
  <si>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</si>
  <si>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</si>
  <si>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</si>
  <si>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</si>
  <si>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</si>
  <si>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</si>
  <si>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</si>
  <si>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</si>
  <si>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</si>
  <si>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</si>
  <si>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</si>
  <si>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</si>
  <si>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</si>
  <si>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</si>
  <si>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</si>
  <si>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</si>
  <si>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</si>
  <si>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</si>
  <si>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</si>
  <si>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</si>
  <si>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</si>
  <si>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</si>
  <si>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</si>
  <si>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</si>
  <si>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</si>
  <si>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</si>
  <si>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</si>
  <si>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</si>
  <si>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</si>
  <si>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</si>
  <si>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</si>
  <si>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</si>
  <si>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</si>
  <si>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</si>
  <si>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</si>
  <si>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</si>
  <si>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</si>
  <si>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</si>
  <si>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</si>
  <si>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</si>
  <si>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</si>
  <si>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</si>
  <si>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</si>
  <si>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</si>
  <si>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</si>
  <si>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</si>
  <si>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</si>
  <si>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</si>
  <si>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</si>
  <si>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</si>
  <si>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</si>
  <si>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</si>
  <si>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</si>
  <si>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</si>
  <si>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</si>
  <si>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</si>
  <si>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</si>
  <si>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</si>
  <si>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</si>
  <si>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</si>
  <si>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</si>
  <si>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</si>
  <si>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</si>
  <si>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</si>
  <si>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</si>
  <si>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</si>
  <si>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</si>
  <si>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</si>
  <si>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</si>
  <si>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</si>
  <si>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</si>
  <si>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</si>
  <si>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</si>
  <si>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</si>
  <si>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</si>
  <si>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</si>
  <si>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</si>
  <si>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</si>
  <si>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</si>
  <si>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</si>
  <si>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</si>
  <si>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</si>
  <si>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</si>
  <si>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</si>
  <si>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</si>
  <si>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</si>
  <si>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</si>
  <si>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</si>
  <si>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</si>
  <si>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</si>
  <si>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</si>
  <si>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</si>
  <si>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</si>
  <si>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</si>
  <si>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</si>
  <si>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</si>
  <si>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</si>
  <si>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</si>
  <si>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</si>
  <si>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</si>
  <si>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</si>
  <si>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</si>
  <si>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</si>
  <si>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</si>
  <si>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</si>
  <si>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</si>
  <si>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</si>
  <si>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</si>
  <si>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</si>
  <si>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</si>
  <si>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</si>
  <si>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</si>
  <si>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</si>
  <si>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</si>
  <si>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</si>
  <si>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</si>
  <si>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</si>
  <si>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</si>
  <si>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</si>
  <si>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</si>
  <si>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</si>
  <si>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</si>
  <si>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</si>
  <si>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</si>
  <si>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</si>
  <si>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</si>
  <si>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</si>
  <si>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</si>
  <si>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</si>
  <si>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</si>
  <si>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</si>
  <si>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</si>
  <si>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</si>
  <si>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</si>
  <si>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</si>
  <si>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</si>
  <si>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</si>
  <si>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</si>
  <si>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</si>
  <si>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</si>
  <si>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</si>
  <si>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</si>
  <si>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</si>
  <si>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</si>
  <si>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</si>
  <si>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</si>
  <si>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</si>
  <si>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</si>
  <si>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</si>
  <si>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</si>
  <si>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</si>
  <si>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</si>
  <si>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</si>
  <si>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</si>
  <si>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</si>
  <si>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</si>
  <si>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</si>
  <si>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</si>
  <si>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</si>
  <si>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</si>
  <si>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</si>
  <si>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</si>
  <si>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</si>
  <si>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</si>
  <si>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</si>
  <si>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</si>
  <si>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</si>
  <si>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</si>
  <si>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</si>
  <si>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</si>
  <si>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</si>
  <si>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</si>
  <si>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</si>
  <si>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</si>
  <si>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</si>
  <si>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</si>
  <si>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</si>
  <si>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</si>
  <si>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</si>
  <si>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</si>
  <si>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</si>
  <si>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</si>
  <si>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</si>
  <si>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</si>
  <si>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</si>
  <si>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</si>
  <si>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</si>
  <si>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</si>
  <si>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</si>
  <si>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</si>
  <si>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</si>
  <si>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</si>
  <si>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</si>
  <si>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</si>
  <si>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</si>
  <si>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</si>
  <si>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</si>
  <si>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</si>
  <si>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</si>
  <si>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</si>
  <si>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</si>
  <si>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</si>
  <si>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</si>
  <si>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</si>
  <si>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</si>
  <si>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</si>
  <si>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</si>
  <si>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</si>
  <si>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</si>
  <si>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</si>
  <si>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</si>
  <si>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</si>
  <si>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</si>
  <si>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</si>
  <si>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</si>
  <si>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</si>
  <si>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</si>
  <si>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</si>
  <si>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</si>
  <si>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</si>
  <si>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</si>
  <si>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</si>
  <si>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</si>
  <si>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</si>
  <si>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</si>
  <si>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</si>
  <si>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</si>
  <si>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</si>
  <si>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</si>
  <si>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</si>
  <si>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</si>
  <si>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</si>
  <si>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</si>
  <si>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</si>
  <si>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</si>
  <si>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</si>
  <si>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</si>
  <si>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</si>
  <si>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</si>
  <si>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</si>
  <si>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</si>
  <si>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</si>
  <si>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</si>
  <si>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</si>
  <si>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</si>
  <si>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</si>
  <si>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</si>
  <si>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</si>
  <si>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</si>
  <si>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</si>
  <si>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</si>
  <si>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</si>
  <si>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</si>
  <si>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</si>
  <si>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</si>
  <si>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</si>
  <si>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</si>
  <si>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</si>
  <si>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</si>
  <si>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</si>
  <si>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</si>
  <si>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</si>
  <si>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</si>
  <si>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</si>
  <si>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</si>
  <si>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</si>
  <si>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</si>
  <si>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</si>
  <si>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</si>
  <si>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</si>
  <si>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</si>
  <si>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</si>
  <si>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</si>
  <si>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</si>
  <si>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</si>
  <si>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</si>
  <si>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</si>
  <si>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</si>
  <si>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</si>
  <si>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</si>
  <si>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</si>
  <si>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</si>
  <si>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</si>
  <si>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</si>
  <si>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</si>
  <si>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</si>
  <si>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</si>
  <si>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</si>
  <si>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</si>
  <si>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</si>
  <si>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</si>
  <si>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</si>
  <si>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</si>
  <si>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</si>
  <si>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</si>
  <si>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</si>
  <si>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</si>
  <si>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</si>
  <si>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</si>
  <si>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</si>
  <si>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</si>
  <si>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</si>
  <si>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</si>
  <si>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</si>
  <si>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</si>
  <si>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</si>
  <si>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</si>
  <si>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</si>
  <si>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</si>
  <si>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</si>
  <si>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</si>
  <si>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</si>
  <si>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</si>
  <si>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</si>
  <si>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</si>
  <si>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</si>
  <si>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</si>
  <si>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</si>
  <si>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</si>
  <si>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</si>
  <si>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</si>
  <si>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</si>
  <si>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</si>
  <si>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</si>
  <si>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</si>
  <si>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</si>
  <si>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</si>
  <si>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</si>
  <si>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</si>
  <si>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</si>
  <si>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</si>
  <si>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</si>
  <si>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</si>
  <si>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</si>
  <si>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</si>
  <si>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</si>
  <si>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</si>
  <si>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</si>
  <si>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</si>
  <si>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</si>
  <si>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</si>
  <si>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</si>
  <si>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</si>
  <si>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</si>
  <si>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</si>
  <si>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$50 EA Deposit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</si>
  <si>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</si>
  <si>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</si>
  <si>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</si>
  <si>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</si>
  <si>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</si>
  <si>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</si>
  <si>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</si>
  <si>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</si>
  <si>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</si>
  <si>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</si>
  <si>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</si>
  <si>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</si>
  <si>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</si>
  <si>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</si>
  <si>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</si>
  <si>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</si>
  <si>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</si>
  <si>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</si>
  <si>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</si>
  <si>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</si>
  <si>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</si>
  <si>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</si>
  <si>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</si>
  <si>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</si>
  <si>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</si>
  <si>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</si>
  <si>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</si>
  <si>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</si>
  <si>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</si>
  <si>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</si>
  <si>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</si>
  <si>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</si>
  <si>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</si>
  <si>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</si>
  <si>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</si>
  <si>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</si>
  <si>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</si>
  <si>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</si>
  <si>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</si>
  <si>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</si>
  <si>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</si>
  <si>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</si>
  <si>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</si>
  <si>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</si>
  <si>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Delivered Abdul</t>
  </si>
  <si>
    <t>V4 Standard Kit</t>
  </si>
  <si>
    <t xml:space="preserve">Harvey norman Mount Roskills </t>
  </si>
  <si>
    <t>Mark III</t>
  </si>
  <si>
    <t>Mark II</t>
  </si>
  <si>
    <t>Deposit Lense</t>
  </si>
  <si>
    <t>to be refund</t>
  </si>
  <si>
    <t>pending</t>
  </si>
  <si>
    <t>last conversion</t>
  </si>
  <si>
    <t>pending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</si>
</sst>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0" fillId="7" borderId="1" xfId="0" applyNumberFormat="1" applyFill="1" applyBorder="1"/>
    <xf numFmtId="0" fontId="0" fillId="7" borderId="1" xfId="0" applyFill="1" applyBorder="1"/>
    <xf numFmtId="165" fontId="0" fillId="7" borderId="1" xfId="0" applyNumberFormat="1" applyFill="1" applyBorder="1"/>
    <xf numFmtId="0" fontId="0" fillId="7" borderId="0" xfId="0" applyFill="1"/>
    <xf numFmtId="14" fontId="1" fillId="8" borderId="1" xfId="0" applyNumberFormat="1" applyFont="1" applyFill="1" applyBorder="1"/>
    <xf numFmtId="0" fontId="1" fillId="8" borderId="1" xfId="0" applyFont="1" applyFill="1" applyBorder="1" applyAlignment="1">
      <alignment horizontal="center"/>
    </xf>
    <xf numFmtId="14" fontId="1" fillId="8" borderId="1" xfId="0" applyNumberFormat="1" applyFont="1" applyFill="1" applyBorder="1" applyAlignment="1">
      <alignment horizontal="center"/>
    </xf>
    <xf numFmtId="165" fontId="1" fillId="8" borderId="1" xfId="0" applyNumberFormat="1" applyFont="1" applyFill="1" applyBorder="1" applyAlignment="1">
      <alignment horizontal="center"/>
    </xf>
    <xf numFmtId="165" fontId="0" fillId="8" borderId="1" xfId="0" applyNumberFormat="1" applyFill="1" applyBorder="1"/>
    <xf numFmtId="0" fontId="0" fillId="8" borderId="1" xfId="0" applyFill="1" applyBorder="1"/>
    <xf numFmtId="14" fontId="0" fillId="8" borderId="1" xfId="0" applyNumberFormat="1" applyFill="1" applyBorder="1"/>
    <xf numFmtId="0" fontId="0" fillId="8" borderId="1" xfId="0" applyFill="1" applyBorder="1" applyAlignment="1">
      <alignment horizontal="center"/>
    </xf>
    <xf numFmtId="14" fontId="0" fillId="9" borderId="1" xfId="0" applyNumberFormat="1" applyFill="1" applyBorder="1"/>
    <xf numFmtId="0" fontId="0" fillId="9" borderId="1" xfId="0" applyFill="1" applyBorder="1"/>
    <xf numFmtId="14" fontId="0" fillId="10" borderId="0" xfId="0" applyNumberFormat="1" applyFill="1"/>
    <xf numFmtId="0" fontId="0" fillId="10" borderId="0" xfId="0" applyFill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R8NMOHDZ/Purchases%20AU%20%5eLL0%20NZ%20updated%5b1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R8NMOHDZ/Purchases%20AU%20%5eLL0%20NZ%20updated%5b1%5d.xlsx%5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R8NMOHDZ/Purchases%20AU%20%5eLL0%20NZ%20updated%5b1%5d.xlsx%5d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.xlsx].xlsx]April" r:id="rId2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.xlsx].xlsx]Shipment" r:id="rId2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.xlsx].xlsx]Shipment 2904" r:id="rId2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B34" sqref="B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22" workbookViewId="0">
      <selection activeCell="C41" sqref="C41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76">
        <v>45746</v>
      </c>
      <c r="C1" s="76"/>
      <c r="D1" s="76"/>
      <c r="E1" s="76"/>
      <c r="F1" s="76"/>
      <c r="G1" s="76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77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77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E1" workbookViewId="0">
      <selection activeCell="L157" sqref="L157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58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58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5">
        <v>45751</v>
      </c>
      <c r="B24" s="56">
        <v>1</v>
      </c>
      <c r="C24" s="56" t="s">
        <v>68</v>
      </c>
      <c r="D24" s="56" t="s">
        <v>88</v>
      </c>
      <c r="E24" s="57">
        <v>2089.9899999999998</v>
      </c>
      <c r="F24" s="57">
        <f t="shared" si="0"/>
        <v>2089.9899999999998</v>
      </c>
      <c r="G24" s="56" t="s">
        <v>192</v>
      </c>
      <c r="H24" s="2"/>
      <c r="I24" s="58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5">
        <v>45752</v>
      </c>
      <c r="B26" s="56">
        <v>1</v>
      </c>
      <c r="C26" s="56" t="s">
        <v>97</v>
      </c>
      <c r="D26" s="56" t="s">
        <v>70</v>
      </c>
      <c r="E26" s="57">
        <v>2089.9899999999998</v>
      </c>
      <c r="F26" s="57">
        <f t="shared" si="0"/>
        <v>2089.9899999999998</v>
      </c>
      <c r="G26" s="56" t="s">
        <v>192</v>
      </c>
      <c r="H26" s="2"/>
      <c r="I26" s="58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5">
        <v>45755</v>
      </c>
      <c r="B29" s="56">
        <v>1</v>
      </c>
      <c r="C29" s="56" t="s">
        <v>149</v>
      </c>
      <c r="D29" s="56" t="s">
        <v>70</v>
      </c>
      <c r="E29" s="57">
        <v>2089.9899999999998</v>
      </c>
      <c r="F29" s="57">
        <f t="shared" si="0"/>
        <v>2089.9899999999998</v>
      </c>
      <c r="G29" s="56" t="s">
        <v>192</v>
      </c>
      <c r="H29" s="2"/>
      <c r="I29" s="58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5">
        <v>45755</v>
      </c>
      <c r="B30" s="56">
        <v>1</v>
      </c>
      <c r="C30" s="56" t="s">
        <v>150</v>
      </c>
      <c r="D30" s="56" t="s">
        <v>16</v>
      </c>
      <c r="E30" s="57">
        <v>2089.9899999999998</v>
      </c>
      <c r="F30" s="57">
        <v>2089</v>
      </c>
      <c r="G30" s="56" t="s">
        <v>192</v>
      </c>
      <c r="H30" s="2"/>
      <c r="I30" s="58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5">
        <v>45755</v>
      </c>
      <c r="B31" s="56">
        <v>1</v>
      </c>
      <c r="C31" s="56" t="s">
        <v>150</v>
      </c>
      <c r="D31" s="56" t="s">
        <v>16</v>
      </c>
      <c r="E31" s="57">
        <v>2089.9899999999998</v>
      </c>
      <c r="F31" s="57">
        <v>2089</v>
      </c>
      <c r="G31" s="56" t="s">
        <v>109</v>
      </c>
      <c r="H31" s="2"/>
      <c r="I31" s="58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3">
        <v>45756</v>
      </c>
      <c r="B37" s="37">
        <v>5</v>
      </c>
      <c r="C37" s="37" t="s">
        <v>280</v>
      </c>
      <c r="D37" s="37" t="s">
        <v>14</v>
      </c>
      <c r="E37" s="54">
        <v>2199</v>
      </c>
      <c r="F37" s="54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58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58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/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/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58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6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78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78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78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78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366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7">
        <v>45795</v>
      </c>
      <c r="B23" s="10">
        <v>2</v>
      </c>
      <c r="C23" s="10" t="s">
        <v>317</v>
      </c>
      <c r="D23" s="10" t="s">
        <v>331</v>
      </c>
      <c r="E23" s="48">
        <v>351</v>
      </c>
      <c r="F23" s="48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0" t="s">
        <v>368</v>
      </c>
      <c r="B1" s="50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1" t="s">
        <v>80</v>
      </c>
      <c r="B12" s="52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1"/>
  <sheetViews>
    <sheetView topLeftCell="A19" workbookViewId="0">
      <selection activeCell="G35" sqref="G35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6" bestFit="1" customWidth="1"/>
    <col min="8" max="8" width="18.21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8">
        <v>45830</v>
      </c>
      <c r="B11" s="2">
        <v>6</v>
      </c>
      <c r="C11" s="2" t="s">
        <v>352</v>
      </c>
      <c r="D11" s="2" t="s">
        <v>118</v>
      </c>
      <c r="E11" s="3">
        <v>3750</v>
      </c>
      <c r="F11" s="3">
        <f t="shared" si="0"/>
        <v>22500</v>
      </c>
      <c r="G11" s="2" t="s">
        <v>8</v>
      </c>
      <c r="H11" s="8">
        <v>45834</v>
      </c>
    </row>
    <row r="12" spans="1:15" x14ac:dyDescent="0.3">
      <c r="A12" s="8">
        <v>45830</v>
      </c>
      <c r="B12" s="2">
        <v>8</v>
      </c>
      <c r="C12" s="2" t="s">
        <v>351</v>
      </c>
      <c r="D12" s="2" t="s">
        <v>118</v>
      </c>
      <c r="E12" s="3">
        <v>2885</v>
      </c>
      <c r="F12" s="3">
        <f t="shared" si="0"/>
        <v>23080</v>
      </c>
      <c r="G12" s="2" t="s">
        <v>8</v>
      </c>
      <c r="H12" s="8">
        <v>45834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60">
        <v>45826</v>
      </c>
      <c r="B15" s="61">
        <v>1</v>
      </c>
      <c r="C15" s="61" t="s">
        <v>356</v>
      </c>
      <c r="D15" s="61" t="s">
        <v>361</v>
      </c>
      <c r="E15" s="62">
        <v>615</v>
      </c>
      <c r="F15" s="62">
        <f t="shared" si="0"/>
        <v>615</v>
      </c>
      <c r="G15" s="61" t="s">
        <v>394</v>
      </c>
      <c r="H15" s="61"/>
    </row>
    <row r="16" spans="1:15" x14ac:dyDescent="0.3">
      <c r="A16" s="8">
        <v>45826</v>
      </c>
      <c r="B16" s="2">
        <v>2</v>
      </c>
      <c r="C16" s="2" t="s">
        <v>356</v>
      </c>
      <c r="D16" s="2" t="s">
        <v>365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60">
        <v>45826</v>
      </c>
      <c r="B19" s="61">
        <v>1</v>
      </c>
      <c r="C19" s="61" t="s">
        <v>359</v>
      </c>
      <c r="D19" s="61" t="s">
        <v>358</v>
      </c>
      <c r="E19" s="62">
        <v>2799</v>
      </c>
      <c r="F19" s="62">
        <f t="shared" si="0"/>
        <v>2799</v>
      </c>
      <c r="G19" s="61" t="s">
        <v>369</v>
      </c>
      <c r="H19" s="61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60">
        <v>45832</v>
      </c>
      <c r="B21" s="61">
        <v>2</v>
      </c>
      <c r="C21" s="61" t="s">
        <v>356</v>
      </c>
      <c r="D21" s="61" t="s">
        <v>362</v>
      </c>
      <c r="E21" s="62">
        <v>615</v>
      </c>
      <c r="F21" s="62">
        <f t="shared" si="0"/>
        <v>1230</v>
      </c>
      <c r="G21" s="61" t="s">
        <v>8</v>
      </c>
      <c r="H21" s="61"/>
      <c r="I21" s="63"/>
      <c r="P21">
        <v>190</v>
      </c>
    </row>
    <row r="22" spans="1:16" x14ac:dyDescent="0.3">
      <c r="A22" s="60">
        <v>45832</v>
      </c>
      <c r="B22" s="61">
        <v>2</v>
      </c>
      <c r="C22" s="61" t="s">
        <v>356</v>
      </c>
      <c r="D22" s="61" t="s">
        <v>101</v>
      </c>
      <c r="E22" s="62">
        <v>629</v>
      </c>
      <c r="F22" s="62">
        <f t="shared" si="0"/>
        <v>1258</v>
      </c>
      <c r="G22" s="61" t="s">
        <v>394</v>
      </c>
      <c r="H22" s="61"/>
      <c r="P22">
        <v>190</v>
      </c>
    </row>
    <row r="23" spans="1:16" x14ac:dyDescent="0.3">
      <c r="A23" s="47">
        <v>45832</v>
      </c>
      <c r="B23" s="10">
        <v>4</v>
      </c>
      <c r="C23" s="10" t="s">
        <v>323</v>
      </c>
      <c r="D23" s="10" t="s">
        <v>358</v>
      </c>
      <c r="E23" s="48">
        <v>648</v>
      </c>
      <c r="F23" s="48">
        <f t="shared" si="0"/>
        <v>2592</v>
      </c>
      <c r="G23" s="10" t="s">
        <v>363</v>
      </c>
      <c r="H23" s="10"/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367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8">
        <v>45810</v>
      </c>
      <c r="B25" s="2">
        <v>200</v>
      </c>
      <c r="C25" s="2" t="s">
        <v>317</v>
      </c>
      <c r="D25" s="2" t="s">
        <v>335</v>
      </c>
      <c r="E25" s="3">
        <v>330</v>
      </c>
      <c r="F25" s="3">
        <f t="shared" si="0"/>
        <v>66000</v>
      </c>
      <c r="G25" s="2" t="s">
        <v>62</v>
      </c>
      <c r="H25" s="2"/>
      <c r="I25" t="s">
        <v>414</v>
      </c>
      <c r="P25">
        <v>474.5</v>
      </c>
    </row>
    <row r="26" spans="1:16" x14ac:dyDescent="0.3">
      <c r="A26" s="8"/>
      <c r="B26" s="2"/>
      <c r="C26" s="2"/>
      <c r="D26" s="2"/>
      <c r="E26" s="3"/>
      <c r="F26" s="3"/>
      <c r="G26" s="2"/>
      <c r="H26" s="2"/>
    </row>
    <row r="27" spans="1:16" x14ac:dyDescent="0.3">
      <c r="A27" s="47">
        <v>45837</v>
      </c>
      <c r="B27" s="10">
        <v>4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P27">
        <v>3461</v>
      </c>
    </row>
    <row r="28" spans="1:16" x14ac:dyDescent="0.3">
      <c r="A28" s="47">
        <v>45837</v>
      </c>
      <c r="B28" s="10">
        <v>2</v>
      </c>
      <c r="C28" s="10" t="s">
        <v>323</v>
      </c>
      <c r="D28" s="10" t="s">
        <v>358</v>
      </c>
      <c r="E28" s="10">
        <v>699</v>
      </c>
      <c r="F28" s="10">
        <v>0</v>
      </c>
      <c r="G28" s="10" t="s">
        <v>24</v>
      </c>
      <c r="H28" s="10" t="s">
        <v>371</v>
      </c>
    </row>
    <row r="29" spans="1:16" x14ac:dyDescent="0.3">
      <c r="A29" s="8">
        <v>45837</v>
      </c>
      <c r="B29" s="2">
        <v>2</v>
      </c>
      <c r="C29" s="2" t="s">
        <v>323</v>
      </c>
      <c r="D29" s="2" t="s">
        <v>372</v>
      </c>
      <c r="E29" s="2">
        <v>707</v>
      </c>
      <c r="F29" s="2">
        <v>1412.75</v>
      </c>
      <c r="G29" s="2" t="s">
        <v>62</v>
      </c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  <row r="71" spans="1:8" x14ac:dyDescent="0.3">
      <c r="A71" s="2"/>
      <c r="B71" s="2"/>
      <c r="C71" s="2"/>
      <c r="D71" s="2"/>
      <c r="E71" s="2"/>
      <c r="F71" s="2"/>
      <c r="G71" s="2"/>
      <c r="H71" s="2"/>
    </row>
  </sheetData>
  <autoFilter ref="A1:P71" xr:uid="{08457062-552F-4B11-AEB6-C2C085C5AB5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E22" sqref="E22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79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79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topLeftCell="A10" zoomScale="108" workbookViewId="0">
      <selection activeCell="H24" sqref="H24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80" t="s">
        <v>299</v>
      </c>
      <c r="B1" s="80"/>
      <c r="C1" s="80"/>
      <c r="D1" s="80"/>
      <c r="E1" s="80"/>
      <c r="F1" s="80"/>
      <c r="G1" s="80"/>
      <c r="H1" s="80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6" t="s">
        <v>311</v>
      </c>
      <c r="L2" s="46" t="s">
        <v>312</v>
      </c>
      <c r="M2" s="46" t="s">
        <v>313</v>
      </c>
    </row>
    <row r="3" spans="1:17" x14ac:dyDescent="0.3">
      <c r="A3" s="64">
        <v>45785</v>
      </c>
      <c r="B3" s="65">
        <v>5</v>
      </c>
      <c r="C3" s="66" t="s">
        <v>300</v>
      </c>
      <c r="D3" s="65" t="s">
        <v>302</v>
      </c>
      <c r="E3" s="67">
        <v>755</v>
      </c>
      <c r="F3" s="68">
        <f t="shared" ref="F3:F5" si="0">(E3*B3)</f>
        <v>3775</v>
      </c>
      <c r="G3" s="69" t="s">
        <v>292</v>
      </c>
      <c r="H3" s="66">
        <v>45789</v>
      </c>
      <c r="I3" s="68">
        <f t="shared" ref="I3:I5" si="1">(E3*13.04%)</f>
        <v>98.451999999999984</v>
      </c>
      <c r="J3" s="68">
        <f t="shared" ref="J3:J5" si="2">E3-I3</f>
        <v>656.548</v>
      </c>
      <c r="K3" s="45">
        <f>J3*2.13</f>
        <v>1398.44724</v>
      </c>
      <c r="L3" s="45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ht="28.2" customHeight="1" x14ac:dyDescent="0.3">
      <c r="A4" s="64">
        <v>45785</v>
      </c>
      <c r="B4" s="65">
        <v>5</v>
      </c>
      <c r="C4" s="66" t="s">
        <v>196</v>
      </c>
      <c r="D4" s="69" t="s">
        <v>291</v>
      </c>
      <c r="E4" s="67">
        <v>965</v>
      </c>
      <c r="F4" s="68">
        <f t="shared" si="0"/>
        <v>4825</v>
      </c>
      <c r="G4" s="69" t="s">
        <v>292</v>
      </c>
      <c r="H4" s="66">
        <v>45789</v>
      </c>
      <c r="I4" s="68">
        <f t="shared" si="1"/>
        <v>125.83599999999998</v>
      </c>
      <c r="J4" s="68">
        <f t="shared" si="2"/>
        <v>839.16399999999999</v>
      </c>
      <c r="K4" s="45">
        <f t="shared" ref="K4:K19" si="3">J4*2.13</f>
        <v>1787.41932</v>
      </c>
      <c r="L4" s="45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64">
        <v>45785</v>
      </c>
      <c r="B5" s="65">
        <v>5</v>
      </c>
      <c r="C5" s="66" t="s">
        <v>301</v>
      </c>
      <c r="D5" s="69" t="s">
        <v>291</v>
      </c>
      <c r="E5" s="67">
        <v>1205</v>
      </c>
      <c r="F5" s="68">
        <f t="shared" si="0"/>
        <v>6025</v>
      </c>
      <c r="G5" s="69" t="s">
        <v>292</v>
      </c>
      <c r="H5" s="66">
        <v>45789</v>
      </c>
      <c r="I5" s="68">
        <f t="shared" si="1"/>
        <v>157.13199999999998</v>
      </c>
      <c r="J5" s="68">
        <f t="shared" si="2"/>
        <v>1047.8679999999999</v>
      </c>
      <c r="K5" s="45">
        <f t="shared" si="3"/>
        <v>2231.9588399999998</v>
      </c>
      <c r="L5" s="45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70">
        <v>45784</v>
      </c>
      <c r="B6" s="71">
        <v>147</v>
      </c>
      <c r="C6" s="69" t="s">
        <v>295</v>
      </c>
      <c r="D6" s="69" t="s">
        <v>291</v>
      </c>
      <c r="E6" s="68">
        <v>520</v>
      </c>
      <c r="F6" s="68">
        <f>(E6*B6)</f>
        <v>76440</v>
      </c>
      <c r="G6" s="69" t="s">
        <v>292</v>
      </c>
      <c r="H6" s="66">
        <v>45789</v>
      </c>
      <c r="I6" s="68">
        <f>(E6*13.04%)</f>
        <v>67.807999999999993</v>
      </c>
      <c r="J6" s="68">
        <f>E6-I6</f>
        <v>452.19200000000001</v>
      </c>
      <c r="K6" s="45">
        <f t="shared" si="3"/>
        <v>963.16895999999997</v>
      </c>
      <c r="L6" s="45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70">
        <v>45784</v>
      </c>
      <c r="B7" s="71">
        <v>500</v>
      </c>
      <c r="C7" s="69" t="s">
        <v>294</v>
      </c>
      <c r="D7" s="69" t="s">
        <v>291</v>
      </c>
      <c r="E7" s="68">
        <v>28.99</v>
      </c>
      <c r="F7" s="68">
        <f>(E7*B7)</f>
        <v>14495</v>
      </c>
      <c r="G7" s="69" t="s">
        <v>292</v>
      </c>
      <c r="H7" s="66">
        <v>45789</v>
      </c>
      <c r="I7" s="68">
        <f t="shared" ref="I7:I19" si="6">(E7*13.04%)</f>
        <v>3.7802959999999994</v>
      </c>
      <c r="J7" s="68">
        <f t="shared" ref="J7:J19" si="7">E7-I7</f>
        <v>25.209703999999999</v>
      </c>
      <c r="K7" s="45">
        <f t="shared" si="3"/>
        <v>53.696669519999993</v>
      </c>
      <c r="L7" s="45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70">
        <v>45784</v>
      </c>
      <c r="B8" s="71">
        <v>200</v>
      </c>
      <c r="C8" s="69" t="s">
        <v>162</v>
      </c>
      <c r="D8" s="69" t="s">
        <v>291</v>
      </c>
      <c r="E8" s="68">
        <v>328.99</v>
      </c>
      <c r="F8" s="68">
        <f t="shared" ref="F8:F22" si="8">(E8*B8)</f>
        <v>65798</v>
      </c>
      <c r="G8" s="69" t="s">
        <v>292</v>
      </c>
      <c r="H8" s="66">
        <v>45789</v>
      </c>
      <c r="I8" s="68">
        <f t="shared" si="6"/>
        <v>42.900295999999997</v>
      </c>
      <c r="J8" s="68">
        <f t="shared" si="7"/>
        <v>286.08970399999998</v>
      </c>
      <c r="K8" s="45">
        <f t="shared" si="3"/>
        <v>609.37106951999988</v>
      </c>
      <c r="L8" s="45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70">
        <v>45784</v>
      </c>
      <c r="B9" s="71">
        <v>10</v>
      </c>
      <c r="C9" s="69" t="s">
        <v>297</v>
      </c>
      <c r="D9" s="69" t="s">
        <v>291</v>
      </c>
      <c r="E9" s="68">
        <v>759</v>
      </c>
      <c r="F9" s="68">
        <f t="shared" si="8"/>
        <v>7590</v>
      </c>
      <c r="G9" s="69" t="s">
        <v>292</v>
      </c>
      <c r="H9" s="66">
        <v>45789</v>
      </c>
      <c r="I9" s="68">
        <f t="shared" si="6"/>
        <v>98.97359999999999</v>
      </c>
      <c r="J9" s="68">
        <f t="shared" si="7"/>
        <v>660.02639999999997</v>
      </c>
      <c r="K9" s="45">
        <f t="shared" si="3"/>
        <v>1405.8562319999999</v>
      </c>
      <c r="L9" s="45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70">
        <v>45784</v>
      </c>
      <c r="B10" s="71">
        <v>10</v>
      </c>
      <c r="C10" s="69" t="s">
        <v>297</v>
      </c>
      <c r="D10" s="69" t="s">
        <v>291</v>
      </c>
      <c r="E10" s="68">
        <v>759</v>
      </c>
      <c r="F10" s="68">
        <f t="shared" si="8"/>
        <v>7590</v>
      </c>
      <c r="G10" s="69" t="s">
        <v>292</v>
      </c>
      <c r="H10" s="66">
        <v>45789</v>
      </c>
      <c r="I10" s="68">
        <f t="shared" si="6"/>
        <v>98.97359999999999</v>
      </c>
      <c r="J10" s="68">
        <f t="shared" si="7"/>
        <v>660.02639999999997</v>
      </c>
      <c r="K10" s="45">
        <f t="shared" si="3"/>
        <v>1405.8562319999999</v>
      </c>
      <c r="L10" s="45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70">
        <v>45784</v>
      </c>
      <c r="B11" s="71">
        <v>2</v>
      </c>
      <c r="C11" s="69" t="s">
        <v>297</v>
      </c>
      <c r="D11" s="69" t="s">
        <v>291</v>
      </c>
      <c r="E11" s="68">
        <v>759</v>
      </c>
      <c r="F11" s="68">
        <f t="shared" si="8"/>
        <v>1518</v>
      </c>
      <c r="G11" s="69" t="s">
        <v>292</v>
      </c>
      <c r="H11" s="66">
        <v>45789</v>
      </c>
      <c r="I11" s="68">
        <f t="shared" si="6"/>
        <v>98.97359999999999</v>
      </c>
      <c r="J11" s="68">
        <f t="shared" si="7"/>
        <v>660.02639999999997</v>
      </c>
      <c r="K11" s="45">
        <f t="shared" si="3"/>
        <v>1405.8562319999999</v>
      </c>
      <c r="L11" s="45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70">
        <v>45784</v>
      </c>
      <c r="B12" s="71">
        <v>2</v>
      </c>
      <c r="C12" s="69" t="s">
        <v>297</v>
      </c>
      <c r="D12" s="69" t="s">
        <v>291</v>
      </c>
      <c r="E12" s="68">
        <v>759</v>
      </c>
      <c r="F12" s="68">
        <f t="shared" si="8"/>
        <v>1518</v>
      </c>
      <c r="G12" s="69" t="s">
        <v>292</v>
      </c>
      <c r="H12" s="66">
        <v>45789</v>
      </c>
      <c r="I12" s="68">
        <f t="shared" si="6"/>
        <v>98.97359999999999</v>
      </c>
      <c r="J12" s="68">
        <f t="shared" si="7"/>
        <v>660.02639999999997</v>
      </c>
      <c r="K12" s="45">
        <f t="shared" si="3"/>
        <v>1405.8562319999999</v>
      </c>
      <c r="L12" s="45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70">
        <v>45784</v>
      </c>
      <c r="B13" s="71">
        <v>10</v>
      </c>
      <c r="C13" s="69" t="s">
        <v>297</v>
      </c>
      <c r="D13" s="69" t="s">
        <v>291</v>
      </c>
      <c r="E13" s="68">
        <v>759</v>
      </c>
      <c r="F13" s="68">
        <f t="shared" si="8"/>
        <v>7590</v>
      </c>
      <c r="G13" s="69" t="s">
        <v>292</v>
      </c>
      <c r="H13" s="66">
        <v>45789</v>
      </c>
      <c r="I13" s="68">
        <f t="shared" si="6"/>
        <v>98.97359999999999</v>
      </c>
      <c r="J13" s="68">
        <f t="shared" si="7"/>
        <v>660.02639999999997</v>
      </c>
      <c r="K13" s="45">
        <f t="shared" si="3"/>
        <v>1405.8562319999999</v>
      </c>
      <c r="L13" s="45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70">
        <v>45784</v>
      </c>
      <c r="B14" s="71">
        <v>250</v>
      </c>
      <c r="C14" s="69" t="s">
        <v>298</v>
      </c>
      <c r="D14" s="69" t="s">
        <v>291</v>
      </c>
      <c r="E14" s="68">
        <v>149</v>
      </c>
      <c r="F14" s="68">
        <f t="shared" si="8"/>
        <v>37250</v>
      </c>
      <c r="G14" s="69" t="s">
        <v>292</v>
      </c>
      <c r="H14" s="66">
        <v>45789</v>
      </c>
      <c r="I14" s="68">
        <f t="shared" si="6"/>
        <v>19.429599999999997</v>
      </c>
      <c r="J14" s="68">
        <f t="shared" si="7"/>
        <v>129.57040000000001</v>
      </c>
      <c r="K14" s="45">
        <f t="shared" si="3"/>
        <v>275.98495200000002</v>
      </c>
      <c r="L14" s="45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70">
        <v>45784</v>
      </c>
      <c r="B15" s="71">
        <v>200</v>
      </c>
      <c r="C15" s="69" t="s">
        <v>294</v>
      </c>
      <c r="D15" s="69" t="s">
        <v>291</v>
      </c>
      <c r="E15" s="68">
        <v>28.99</v>
      </c>
      <c r="F15" s="68">
        <f t="shared" si="8"/>
        <v>5798</v>
      </c>
      <c r="G15" s="69" t="s">
        <v>292</v>
      </c>
      <c r="H15" s="66">
        <v>45789</v>
      </c>
      <c r="I15" s="68">
        <f t="shared" si="6"/>
        <v>3.7802959999999994</v>
      </c>
      <c r="J15" s="68">
        <f t="shared" si="7"/>
        <v>25.209703999999999</v>
      </c>
      <c r="K15" s="45">
        <f t="shared" si="3"/>
        <v>53.696669519999993</v>
      </c>
      <c r="L15" s="45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70">
        <v>45784</v>
      </c>
      <c r="B16" s="71">
        <v>2</v>
      </c>
      <c r="C16" s="69" t="s">
        <v>296</v>
      </c>
      <c r="D16" s="69" t="s">
        <v>291</v>
      </c>
      <c r="E16" s="68">
        <v>89</v>
      </c>
      <c r="F16" s="68">
        <f t="shared" si="8"/>
        <v>178</v>
      </c>
      <c r="G16" s="69" t="s">
        <v>292</v>
      </c>
      <c r="H16" s="66">
        <v>45789</v>
      </c>
      <c r="I16" s="68">
        <f t="shared" si="6"/>
        <v>11.605599999999999</v>
      </c>
      <c r="J16" s="68">
        <f t="shared" si="7"/>
        <v>77.394400000000005</v>
      </c>
      <c r="K16" s="45">
        <f t="shared" si="3"/>
        <v>164.85007200000001</v>
      </c>
      <c r="L16" s="45">
        <f t="shared" si="4"/>
        <v>329.70014400000002</v>
      </c>
      <c r="N16">
        <f t="shared" si="5"/>
        <v>0</v>
      </c>
    </row>
    <row r="17" spans="1:15" x14ac:dyDescent="0.3">
      <c r="A17" s="70">
        <v>45790</v>
      </c>
      <c r="B17" s="69">
        <v>300</v>
      </c>
      <c r="C17" s="69" t="s">
        <v>295</v>
      </c>
      <c r="D17" s="69" t="s">
        <v>291</v>
      </c>
      <c r="E17" s="69">
        <v>492</v>
      </c>
      <c r="F17" s="68">
        <f t="shared" si="8"/>
        <v>147600</v>
      </c>
      <c r="G17" s="69" t="s">
        <v>292</v>
      </c>
      <c r="H17" s="69"/>
      <c r="I17" s="69">
        <f t="shared" si="6"/>
        <v>64.15679999999999</v>
      </c>
      <c r="J17" s="69">
        <f t="shared" si="7"/>
        <v>427.84320000000002</v>
      </c>
      <c r="K17" s="45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70">
        <v>45793</v>
      </c>
      <c r="B18" s="69">
        <v>200</v>
      </c>
      <c r="C18" s="69" t="s">
        <v>295</v>
      </c>
      <c r="D18" s="69" t="s">
        <v>291</v>
      </c>
      <c r="E18" s="69">
        <v>492</v>
      </c>
      <c r="F18" s="69">
        <f t="shared" si="8"/>
        <v>98400</v>
      </c>
      <c r="G18" s="69" t="s">
        <v>292</v>
      </c>
      <c r="H18" s="69"/>
      <c r="I18" s="68">
        <f t="shared" si="6"/>
        <v>64.15679999999999</v>
      </c>
      <c r="J18" s="68">
        <f t="shared" si="7"/>
        <v>427.84320000000002</v>
      </c>
      <c r="K18" s="45">
        <f t="shared" si="3"/>
        <v>911.306016</v>
      </c>
      <c r="L18" s="45">
        <f>SUM(L3:L17)</f>
        <v>467539.56672</v>
      </c>
      <c r="N18">
        <f>SUM(N3:N17)</f>
        <v>524865</v>
      </c>
      <c r="O18" s="45">
        <f>(N18-L18)</f>
        <v>57325.433279999997</v>
      </c>
    </row>
    <row r="19" spans="1:15" x14ac:dyDescent="0.3">
      <c r="A19" s="70">
        <v>45793</v>
      </c>
      <c r="B19" s="71">
        <v>20</v>
      </c>
      <c r="C19" s="69" t="s">
        <v>323</v>
      </c>
      <c r="D19" s="69" t="s">
        <v>302</v>
      </c>
      <c r="E19" s="68">
        <v>755</v>
      </c>
      <c r="F19" s="68">
        <f t="shared" si="8"/>
        <v>15100</v>
      </c>
      <c r="G19" s="69" t="s">
        <v>292</v>
      </c>
      <c r="H19" s="69"/>
      <c r="I19" s="68">
        <f t="shared" si="6"/>
        <v>98.451999999999984</v>
      </c>
      <c r="J19" s="68">
        <f t="shared" si="7"/>
        <v>656.548</v>
      </c>
      <c r="K19" s="45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364</v>
      </c>
      <c r="E21" s="49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364</v>
      </c>
      <c r="E22" s="49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K30"/>
  <sheetViews>
    <sheetView topLeftCell="A16" workbookViewId="0">
      <selection activeCell="K11" sqref="K11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9.5546875" customWidth="1"/>
    <col min="4" max="4" width="26.6640625" bestFit="1" customWidth="1"/>
    <col min="7" max="7" width="16.109375" bestFit="1" customWidth="1"/>
    <col min="8" max="8" width="13.5546875" bestFit="1" customWidth="1"/>
    <col min="10" max="10" width="10.218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59" t="s">
        <v>304</v>
      </c>
    </row>
    <row r="2" spans="1:11" x14ac:dyDescent="0.3">
      <c r="A2" s="70">
        <v>45839</v>
      </c>
      <c r="B2" s="69">
        <v>5</v>
      </c>
      <c r="C2" s="69" t="s">
        <v>373</v>
      </c>
      <c r="D2" s="69" t="s">
        <v>374</v>
      </c>
      <c r="E2" s="69">
        <v>1380</v>
      </c>
      <c r="F2" s="69">
        <f>B2*E2</f>
        <v>6900</v>
      </c>
      <c r="G2" s="69" t="s">
        <v>8</v>
      </c>
      <c r="H2" s="69"/>
      <c r="I2" s="69"/>
    </row>
    <row r="3" spans="1:11" x14ac:dyDescent="0.3">
      <c r="A3" s="70">
        <v>45839</v>
      </c>
      <c r="B3" s="69">
        <v>1</v>
      </c>
      <c r="C3" s="69" t="s">
        <v>376</v>
      </c>
      <c r="D3" s="69" t="s">
        <v>374</v>
      </c>
      <c r="E3" s="69">
        <v>1295</v>
      </c>
      <c r="F3" s="69">
        <f t="shared" ref="F3:F8" si="0">B3*E3</f>
        <v>1295</v>
      </c>
      <c r="G3" s="69" t="s">
        <v>8</v>
      </c>
      <c r="H3" s="69"/>
      <c r="I3" s="69"/>
    </row>
    <row r="4" spans="1:11" x14ac:dyDescent="0.3">
      <c r="A4" s="70">
        <v>45839</v>
      </c>
      <c r="B4" s="69">
        <v>1</v>
      </c>
      <c r="C4" s="69" t="s">
        <v>375</v>
      </c>
      <c r="D4" s="69" t="s">
        <v>374</v>
      </c>
      <c r="E4" s="69">
        <v>1375</v>
      </c>
      <c r="F4" s="69">
        <f t="shared" si="0"/>
        <v>1375</v>
      </c>
      <c r="G4" s="69" t="s">
        <v>8</v>
      </c>
      <c r="H4" s="69"/>
      <c r="I4" s="69"/>
    </row>
    <row r="5" spans="1:11" x14ac:dyDescent="0.3">
      <c r="A5" s="70">
        <v>45839</v>
      </c>
      <c r="B5" s="69">
        <v>1</v>
      </c>
      <c r="C5" s="69" t="s">
        <v>377</v>
      </c>
      <c r="D5" s="69" t="s">
        <v>374</v>
      </c>
      <c r="E5" s="69">
        <v>852</v>
      </c>
      <c r="F5" s="69">
        <f t="shared" si="0"/>
        <v>852</v>
      </c>
      <c r="G5" s="69" t="s">
        <v>8</v>
      </c>
      <c r="H5" s="69"/>
      <c r="I5" s="69"/>
    </row>
    <row r="6" spans="1:11" x14ac:dyDescent="0.3">
      <c r="A6" s="70">
        <v>45839</v>
      </c>
      <c r="B6" s="69">
        <v>4</v>
      </c>
      <c r="C6" s="69" t="s">
        <v>379</v>
      </c>
      <c r="D6" s="69" t="s">
        <v>380</v>
      </c>
      <c r="E6" s="69">
        <v>679</v>
      </c>
      <c r="F6" s="69">
        <f t="shared" si="0"/>
        <v>2716</v>
      </c>
      <c r="G6" s="69" t="s">
        <v>348</v>
      </c>
      <c r="H6" s="69"/>
      <c r="I6" s="69"/>
    </row>
    <row r="7" spans="1:11" x14ac:dyDescent="0.3">
      <c r="A7" s="72">
        <v>45840</v>
      </c>
      <c r="B7" s="73">
        <v>2</v>
      </c>
      <c r="C7" s="73" t="s">
        <v>412</v>
      </c>
      <c r="D7" s="73" t="s">
        <v>383</v>
      </c>
      <c r="E7" s="73">
        <v>1229</v>
      </c>
      <c r="F7" s="73">
        <f t="shared" si="0"/>
        <v>2458</v>
      </c>
      <c r="G7" s="73"/>
      <c r="H7" s="73"/>
      <c r="I7" s="73"/>
      <c r="K7">
        <v>2.21</v>
      </c>
    </row>
    <row r="8" spans="1:11" x14ac:dyDescent="0.3">
      <c r="A8" s="72">
        <v>45840</v>
      </c>
      <c r="B8" s="73">
        <v>1</v>
      </c>
      <c r="C8" s="73" t="s">
        <v>377</v>
      </c>
      <c r="D8" s="73" t="s">
        <v>383</v>
      </c>
      <c r="E8" s="73">
        <v>852</v>
      </c>
      <c r="F8" s="73">
        <f t="shared" si="0"/>
        <v>852</v>
      </c>
      <c r="G8" s="73"/>
      <c r="H8" s="73"/>
      <c r="I8" s="73"/>
    </row>
    <row r="9" spans="1:11" x14ac:dyDescent="0.3">
      <c r="A9" s="72">
        <v>45839</v>
      </c>
      <c r="B9" s="73">
        <v>3</v>
      </c>
      <c r="C9" s="73" t="s">
        <v>379</v>
      </c>
      <c r="D9" s="73" t="s">
        <v>384</v>
      </c>
      <c r="E9" s="73">
        <v>765.71</v>
      </c>
      <c r="F9" s="73">
        <f>B9*E9</f>
        <v>2297.13</v>
      </c>
      <c r="G9" s="73"/>
      <c r="H9" s="73"/>
      <c r="I9" s="73"/>
    </row>
    <row r="10" spans="1:11" x14ac:dyDescent="0.3">
      <c r="A10" s="72">
        <v>45839</v>
      </c>
      <c r="B10" s="73">
        <v>1</v>
      </c>
      <c r="C10" s="73" t="s">
        <v>407</v>
      </c>
      <c r="D10" s="73" t="s">
        <v>384</v>
      </c>
      <c r="E10" s="73">
        <v>1345</v>
      </c>
      <c r="F10" s="73">
        <f>B10*E10</f>
        <v>1345</v>
      </c>
      <c r="G10" s="73"/>
      <c r="H10" s="73"/>
      <c r="I10" s="73"/>
    </row>
    <row r="11" spans="1:11" x14ac:dyDescent="0.3">
      <c r="A11" s="72">
        <v>45839</v>
      </c>
      <c r="B11" s="73">
        <v>3</v>
      </c>
      <c r="C11" s="73" t="s">
        <v>379</v>
      </c>
      <c r="D11" s="73" t="s">
        <v>384</v>
      </c>
      <c r="E11" s="73">
        <v>738</v>
      </c>
      <c r="F11" s="73">
        <f t="shared" ref="F11:F23" si="1">B11*E11</f>
        <v>2214</v>
      </c>
      <c r="G11" s="73"/>
      <c r="H11" s="73"/>
      <c r="I11" s="73"/>
    </row>
    <row r="12" spans="1:11" x14ac:dyDescent="0.3">
      <c r="A12" s="72">
        <v>45839</v>
      </c>
      <c r="B12" s="73">
        <v>1</v>
      </c>
      <c r="C12" s="73" t="s">
        <v>377</v>
      </c>
      <c r="D12" s="73" t="s">
        <v>384</v>
      </c>
      <c r="E12" s="73">
        <v>852</v>
      </c>
      <c r="F12" s="73">
        <f t="shared" si="1"/>
        <v>852</v>
      </c>
      <c r="G12" s="73"/>
      <c r="H12" s="73"/>
      <c r="I12" s="73"/>
    </row>
    <row r="13" spans="1:11" x14ac:dyDescent="0.3">
      <c r="A13" s="72">
        <v>45840</v>
      </c>
      <c r="B13" s="73">
        <v>1</v>
      </c>
      <c r="C13" s="73" t="s">
        <v>389</v>
      </c>
      <c r="D13" s="73" t="s">
        <v>404</v>
      </c>
      <c r="E13" s="73">
        <v>775</v>
      </c>
      <c r="F13" s="73">
        <f t="shared" si="1"/>
        <v>775</v>
      </c>
      <c r="G13" s="73"/>
      <c r="H13" s="73"/>
      <c r="I13" s="73"/>
    </row>
    <row r="14" spans="1:11" x14ac:dyDescent="0.3">
      <c r="A14" s="72">
        <v>45840</v>
      </c>
      <c r="B14" s="73">
        <v>1</v>
      </c>
      <c r="C14" s="73" t="s">
        <v>405</v>
      </c>
      <c r="D14" s="73" t="s">
        <v>404</v>
      </c>
      <c r="E14" s="73">
        <v>1295</v>
      </c>
      <c r="F14" s="73">
        <f t="shared" si="1"/>
        <v>1295</v>
      </c>
      <c r="G14" s="73"/>
      <c r="H14" s="73"/>
      <c r="I14" s="73"/>
    </row>
    <row r="15" spans="1:11" x14ac:dyDescent="0.3">
      <c r="A15" s="72">
        <v>45840</v>
      </c>
      <c r="B15" s="73">
        <v>1</v>
      </c>
      <c r="C15" s="73" t="s">
        <v>406</v>
      </c>
      <c r="D15" s="73" t="s">
        <v>404</v>
      </c>
      <c r="E15" s="73">
        <v>1375</v>
      </c>
      <c r="F15" s="73">
        <f t="shared" si="1"/>
        <v>1375</v>
      </c>
      <c r="G15" s="73"/>
      <c r="H15" s="73"/>
      <c r="I15" s="73"/>
    </row>
    <row r="16" spans="1:11" x14ac:dyDescent="0.3">
      <c r="A16" s="72">
        <v>45840</v>
      </c>
      <c r="B16" s="73">
        <v>1</v>
      </c>
      <c r="C16" s="73" t="s">
        <v>377</v>
      </c>
      <c r="D16" s="73" t="s">
        <v>404</v>
      </c>
      <c r="E16" s="73">
        <v>852</v>
      </c>
      <c r="F16" s="73">
        <f t="shared" si="1"/>
        <v>852</v>
      </c>
      <c r="G16" s="73"/>
      <c r="H16" s="73"/>
      <c r="I16" s="73"/>
    </row>
    <row r="17" spans="1:10" x14ac:dyDescent="0.3">
      <c r="A17" s="72">
        <v>45840</v>
      </c>
      <c r="B17" s="73">
        <v>1</v>
      </c>
      <c r="C17" s="73" t="s">
        <v>405</v>
      </c>
      <c r="D17" s="73" t="s">
        <v>386</v>
      </c>
      <c r="E17" s="73">
        <v>1228</v>
      </c>
      <c r="F17" s="73">
        <f t="shared" si="1"/>
        <v>1228</v>
      </c>
      <c r="G17" s="73" t="s">
        <v>408</v>
      </c>
      <c r="H17" s="73"/>
      <c r="I17" s="73"/>
      <c r="J17" t="s">
        <v>415</v>
      </c>
    </row>
    <row r="18" spans="1:10" x14ac:dyDescent="0.3">
      <c r="A18" s="72">
        <v>45840</v>
      </c>
      <c r="B18" s="73">
        <v>1</v>
      </c>
      <c r="C18" s="73" t="s">
        <v>389</v>
      </c>
      <c r="D18" s="73" t="s">
        <v>386</v>
      </c>
      <c r="E18" s="73">
        <v>750</v>
      </c>
      <c r="F18" s="73">
        <f t="shared" si="1"/>
        <v>750</v>
      </c>
      <c r="G18" s="73" t="s">
        <v>408</v>
      </c>
      <c r="H18" s="73"/>
      <c r="I18" s="73"/>
      <c r="J18" t="s">
        <v>415</v>
      </c>
    </row>
    <row r="19" spans="1:10" x14ac:dyDescent="0.3">
      <c r="A19" s="70">
        <v>45841</v>
      </c>
      <c r="B19" s="69">
        <v>4</v>
      </c>
      <c r="C19" s="69" t="s">
        <v>405</v>
      </c>
      <c r="D19" s="69" t="s">
        <v>388</v>
      </c>
      <c r="E19" s="69">
        <v>1197</v>
      </c>
      <c r="F19" s="69">
        <f t="shared" si="1"/>
        <v>4788</v>
      </c>
      <c r="G19" s="69"/>
      <c r="H19" s="69"/>
      <c r="I19" s="69"/>
    </row>
    <row r="20" spans="1:10" x14ac:dyDescent="0.3">
      <c r="A20" s="70">
        <v>45841</v>
      </c>
      <c r="B20" s="69">
        <v>1</v>
      </c>
      <c r="C20" s="69" t="s">
        <v>377</v>
      </c>
      <c r="D20" s="69" t="s">
        <v>388</v>
      </c>
      <c r="E20" s="69">
        <v>852</v>
      </c>
      <c r="F20" s="69">
        <f t="shared" si="1"/>
        <v>852</v>
      </c>
      <c r="G20" s="69"/>
      <c r="H20" s="69"/>
      <c r="I20" s="69"/>
    </row>
    <row r="21" spans="1:10" x14ac:dyDescent="0.3">
      <c r="A21" s="70">
        <v>45841</v>
      </c>
      <c r="B21" s="69">
        <v>1</v>
      </c>
      <c r="C21" s="69" t="s">
        <v>413</v>
      </c>
      <c r="D21" s="69" t="s">
        <v>388</v>
      </c>
      <c r="E21" s="69">
        <v>338</v>
      </c>
      <c r="F21" s="69">
        <f t="shared" si="1"/>
        <v>338</v>
      </c>
      <c r="G21" s="69"/>
      <c r="H21" s="69"/>
      <c r="I21" s="69"/>
    </row>
    <row r="22" spans="1:10" x14ac:dyDescent="0.3">
      <c r="A22" s="70">
        <v>45840</v>
      </c>
      <c r="B22" s="69">
        <v>1</v>
      </c>
      <c r="C22" s="69" t="s">
        <v>411</v>
      </c>
      <c r="D22" s="69" t="s">
        <v>385</v>
      </c>
      <c r="E22" s="69">
        <v>1375</v>
      </c>
      <c r="F22" s="69">
        <f t="shared" si="1"/>
        <v>1375</v>
      </c>
      <c r="G22" s="69"/>
      <c r="H22" s="69"/>
      <c r="I22" s="69"/>
    </row>
    <row r="23" spans="1:10" x14ac:dyDescent="0.3">
      <c r="A23" s="70">
        <v>45840</v>
      </c>
      <c r="B23" s="69">
        <v>1</v>
      </c>
      <c r="C23" s="69" t="s">
        <v>379</v>
      </c>
      <c r="D23" s="69" t="s">
        <v>385</v>
      </c>
      <c r="E23" s="69">
        <v>775</v>
      </c>
      <c r="F23" s="69">
        <f t="shared" si="1"/>
        <v>775</v>
      </c>
      <c r="G23" s="69"/>
      <c r="H23" s="69"/>
      <c r="I23" s="69"/>
    </row>
    <row r="24" spans="1:10" x14ac:dyDescent="0.3">
      <c r="A24" s="70">
        <v>45841</v>
      </c>
      <c r="B24" s="69">
        <v>4</v>
      </c>
      <c r="C24" s="69" t="s">
        <v>389</v>
      </c>
      <c r="D24" s="69" t="s">
        <v>410</v>
      </c>
      <c r="E24" s="69">
        <v>766</v>
      </c>
      <c r="F24" s="69">
        <v>3064</v>
      </c>
      <c r="G24" s="69" t="s">
        <v>24</v>
      </c>
      <c r="H24" s="69"/>
      <c r="I24" s="69"/>
      <c r="J24" t="s">
        <v>415</v>
      </c>
    </row>
    <row r="25" spans="1:10" x14ac:dyDescent="0.3">
      <c r="A25" s="8">
        <v>45844</v>
      </c>
      <c r="B25" s="2">
        <v>2</v>
      </c>
      <c r="C25" s="2" t="s">
        <v>392</v>
      </c>
      <c r="D25" s="2" t="s">
        <v>393</v>
      </c>
      <c r="E25" s="2">
        <v>89</v>
      </c>
      <c r="F25" s="2">
        <v>89</v>
      </c>
      <c r="G25" s="2"/>
      <c r="H25" s="2"/>
      <c r="I25" s="2"/>
    </row>
    <row r="26" spans="1:10" x14ac:dyDescent="0.3">
      <c r="A26" s="8">
        <v>45844</v>
      </c>
      <c r="B26" s="2">
        <v>150</v>
      </c>
      <c r="C26" s="2" t="s">
        <v>409</v>
      </c>
      <c r="D26" s="2" t="s">
        <v>391</v>
      </c>
      <c r="E26" s="2">
        <v>494</v>
      </c>
      <c r="F26" s="2">
        <v>74100</v>
      </c>
      <c r="G26" s="2"/>
      <c r="H26" s="2"/>
      <c r="I26" s="2"/>
    </row>
    <row r="27" spans="1:10" x14ac:dyDescent="0.3">
      <c r="A27" s="8">
        <v>45842</v>
      </c>
      <c r="B27" s="2"/>
      <c r="C27" s="2" t="s">
        <v>402</v>
      </c>
      <c r="D27" s="2" t="s">
        <v>391</v>
      </c>
      <c r="E27" s="2">
        <v>1900</v>
      </c>
      <c r="F27" s="2">
        <v>1900</v>
      </c>
      <c r="G27" s="2"/>
      <c r="H27" s="2"/>
      <c r="I27" s="2"/>
    </row>
    <row r="28" spans="1:10" x14ac:dyDescent="0.3">
      <c r="A28" s="8">
        <v>45846</v>
      </c>
      <c r="B28" s="2">
        <v>100</v>
      </c>
      <c r="C28" s="2" t="s">
        <v>396</v>
      </c>
      <c r="D28" s="2" t="s">
        <v>291</v>
      </c>
      <c r="E28" s="2">
        <v>494</v>
      </c>
      <c r="F28" s="2">
        <v>49400</v>
      </c>
      <c r="G28" s="2"/>
      <c r="H28" s="2"/>
      <c r="I28" s="2"/>
    </row>
    <row r="29" spans="1:10" x14ac:dyDescent="0.3">
      <c r="A29" s="8">
        <v>45848</v>
      </c>
      <c r="B29" s="2">
        <v>100</v>
      </c>
      <c r="C29" s="2" t="s">
        <v>397</v>
      </c>
      <c r="D29" s="2" t="s">
        <v>291</v>
      </c>
      <c r="E29" s="2">
        <v>229</v>
      </c>
      <c r="F29" s="2">
        <v>32900</v>
      </c>
      <c r="G29" s="2"/>
      <c r="H29" s="2"/>
      <c r="I29" s="2"/>
    </row>
    <row r="30" spans="1:10" x14ac:dyDescent="0.3">
      <c r="A30" s="8">
        <v>45847</v>
      </c>
      <c r="B30" s="2">
        <v>500</v>
      </c>
      <c r="C30" s="2" t="s">
        <v>356</v>
      </c>
      <c r="D30" s="2" t="s">
        <v>291</v>
      </c>
      <c r="E30" s="2">
        <v>728</v>
      </c>
      <c r="F30" s="2">
        <v>15000</v>
      </c>
      <c r="G30" s="2" t="s">
        <v>256</v>
      </c>
      <c r="H30" s="2"/>
      <c r="I30" s="2"/>
      <c r="J30" t="s">
        <v>417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3"/>
  <sheetViews>
    <sheetView tabSelected="1" workbookViewId="0">
      <selection activeCell="H12" sqref="H12"/>
    </sheetView>
  </sheetViews>
  <sheetFormatPr defaultRowHeight="14.4" x14ac:dyDescent="0.3"/>
  <cols>
    <col min="1" max="1" width="10.5546875" bestFit="1" customWidth="1"/>
    <col min="3" max="3" width="26.6640625" bestFit="1" customWidth="1"/>
    <col min="8" max="8" width="13.5546875" bestFit="1" customWidth="1"/>
    <col min="10" max="10" width="10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4" t="s">
        <v>304</v>
      </c>
    </row>
    <row r="3" spans="1:13" x14ac:dyDescent="0.3">
      <c r="A3" s="74">
        <v>45848</v>
      </c>
      <c r="B3" s="75">
        <v>1</v>
      </c>
      <c r="C3" s="75" t="s">
        <v>403</v>
      </c>
      <c r="D3" s="75"/>
      <c r="E3" s="75">
        <v>10000</v>
      </c>
      <c r="F3" s="75">
        <v>10000</v>
      </c>
      <c r="G3" s="75"/>
      <c r="H3" s="75"/>
      <c r="I3" s="75"/>
      <c r="J3" s="75"/>
      <c r="K3" s="75" t="s">
        <v>416</v>
      </c>
      <c r="L3" s="75"/>
      <c r="M3" s="7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378</v>
      </c>
      <c r="B2" s="11">
        <v>238</v>
      </c>
    </row>
    <row r="3" spans="1:3" x14ac:dyDescent="0.3">
      <c r="A3" t="s">
        <v>381</v>
      </c>
      <c r="B3">
        <v>17.07</v>
      </c>
    </row>
    <row r="4" spans="1:3" x14ac:dyDescent="0.3">
      <c r="A4" t="s">
        <v>381</v>
      </c>
      <c r="B4">
        <v>5.69</v>
      </c>
    </row>
    <row r="5" spans="1:3" x14ac:dyDescent="0.3">
      <c r="A5" t="s">
        <v>382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387</v>
      </c>
      <c r="B10">
        <v>82.62</v>
      </c>
    </row>
    <row r="11" spans="1:3" x14ac:dyDescent="0.3">
      <c r="A11" t="s">
        <v>381</v>
      </c>
      <c r="B11">
        <v>77.959999999999994</v>
      </c>
    </row>
    <row r="12" spans="1:3" x14ac:dyDescent="0.3">
      <c r="A12" t="s">
        <v>390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400</v>
      </c>
      <c r="B16">
        <v>601</v>
      </c>
      <c r="C16" t="s">
        <v>395</v>
      </c>
    </row>
    <row r="17" spans="1:3" x14ac:dyDescent="0.3">
      <c r="A17" t="s">
        <v>400</v>
      </c>
      <c r="B17">
        <v>497</v>
      </c>
      <c r="C17" t="s">
        <v>395</v>
      </c>
    </row>
    <row r="18" spans="1:3" x14ac:dyDescent="0.3">
      <c r="A18" t="s">
        <v>399</v>
      </c>
      <c r="B18">
        <v>58</v>
      </c>
      <c r="C18" t="s">
        <v>398</v>
      </c>
    </row>
    <row r="19" spans="1:3" x14ac:dyDescent="0.3">
      <c r="A19" t="s">
        <v>401</v>
      </c>
      <c r="B19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Pending</vt:lpstr>
      <vt:lpstr>March </vt:lpstr>
      <vt:lpstr>Mehwish</vt:lpstr>
      <vt:lpstr>April</vt:lpstr>
      <vt:lpstr>May </vt:lpstr>
      <vt:lpstr>Sheet4</vt:lpstr>
      <vt:lpstr>June </vt:lpstr>
      <vt:lpstr>Sheet1</vt:lpstr>
      <vt:lpstr>Broadway</vt:lpstr>
      <vt:lpstr>Shipment</vt:lpstr>
      <vt:lpstr>Shipment 2904</vt:lpstr>
      <vt:lpstr>NZ Purchase May</vt:lpstr>
      <vt:lpstr>NZ July</vt:lpstr>
      <vt:lpstr>AU July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2025-03-28T14:31:05Z</dcterms:created>
  <dcterms:modified xsi:type="dcterms:W3CDTF">2025-07-29T12:02:05Z</dcterms:modified>
</cp:coreProperties>
</file>