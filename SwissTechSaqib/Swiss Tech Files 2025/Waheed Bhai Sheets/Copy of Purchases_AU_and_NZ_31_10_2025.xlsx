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D9AB5547-DBF2-47B1-8B2B-135D0E288DD8}" xr6:coauthVersionLast="47" xr6:coauthVersionMax="47" xr10:uidLastSave="{00000000-0000-0000-0000-000000000000}"/>
  <bookViews>
    <workbookView xWindow="-108" yWindow="-108" windowWidth="23256" windowHeight="13896" firstSheet="12" activeTab="20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Shipment" sheetId="6" state="hidden" r:id="rId9"/>
    <sheet name="Shipment 2904" sheetId="8" state="hidden" r:id="rId10"/>
    <sheet name="NZ Purchase May" sheetId="10" state="hidden" r:id="rId11"/>
    <sheet name="NZ July" sheetId="16" state="hidden" r:id="rId12"/>
    <sheet name="NZ Aug" sheetId="19" r:id="rId13"/>
    <sheet name="NZ SEP" sheetId="22" r:id="rId14"/>
    <sheet name="Waleed" sheetId="21" state="hidden" r:id="rId15"/>
    <sheet name="AU June " sheetId="12" r:id="rId16"/>
    <sheet name="AU Aug" sheetId="20" r:id="rId17"/>
    <sheet name="AU July" sheetId="18" state="hidden" r:id="rId18"/>
    <sheet name="AU SEP" sheetId="23" r:id="rId19"/>
    <sheet name="AU OCT" sheetId="24" r:id="rId20"/>
    <sheet name="NZ OCT" sheetId="25" r:id="rId21"/>
    <sheet name="NZ visit expense" sheetId="17" state="hidden" r:id="rId22"/>
    <sheet name="Abdul Rafey" sheetId="5" state="hidden" r:id="rId23"/>
  </sheets>
  <definedNames>
    <definedName name="_xlnm._FilterDatabase" localSheetId="3" hidden="1">April!$A$1:$H$152</definedName>
    <definedName name="_xlnm._FilterDatabase" localSheetId="16" hidden="1">'AU Aug'!$A$1:$N$37</definedName>
    <definedName name="_xlnm._FilterDatabase" localSheetId="17" hidden="1">'AU July'!$A$1:$K$40</definedName>
    <definedName name="_xlnm._FilterDatabase" localSheetId="15" hidden="1">'AU June '!$A$1:$P$70</definedName>
    <definedName name="_xlnm._FilterDatabase" localSheetId="19" hidden="1">'AU OCT'!$A$1:$G$24</definedName>
    <definedName name="_xlnm._FilterDatabase" localSheetId="18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0" r:id="rId24"/>
    <pivotCache cacheId="1" r:id="rId25"/>
    <pivotCache cacheId="2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" i="24" l="1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<sst xmlns="http://schemas.openxmlformats.org/spreadsheetml/2006/main" count="2082" uniqueCount="648">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</sst>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"/>
    <numFmt numFmtId="166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166" fontId="1" fillId="0" borderId="1" xfId="0" applyNumberFormat="1" applyFont="1" applyBorder="1" applyAlignment="1">
      <alignment horizontal="center"/>
    </xf>
    <xf numFmtId="16" fontId="0" fillId="8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6" fontId="0" fillId="9" borderId="1" xfId="0" applyNumberFormat="1" applyFill="1" applyBorder="1"/>
    <xf numFmtId="0" fontId="6" fillId="9" borderId="0" xfId="0" applyFont="1" applyFill="1" applyAlignment="1">
      <alignment vertical="center" wrapText="1"/>
    </xf>
    <xf numFmtId="16" fontId="0" fillId="10" borderId="1" xfId="0" applyNumberFormat="1" applyFill="1" applyBorder="1"/>
    <xf numFmtId="0" fontId="0" fillId="10" borderId="1" xfId="0" applyFill="1" applyBorder="1"/>
    <xf numFmtId="166" fontId="0" fillId="10" borderId="1" xfId="0" applyNumberFormat="1" applyFill="1" applyBorder="1"/>
    <xf numFmtId="166" fontId="0" fillId="8" borderId="1" xfId="0" applyNumberFormat="1" applyFill="1" applyBorder="1"/>
    <xf numFmtId="16" fontId="0" fillId="3" borderId="1" xfId="0" applyNumberFormat="1" applyFill="1" applyBorder="1"/>
    <xf numFmtId="166" fontId="0" fillId="3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and_NZ_updated%5b1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and_NZ_updated%5b1%5d.xlsx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and_NZ_updated%5b1%5d.xlsx%5d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.xlsx].xlsx]April" r:id="rId2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.xlsx].xlsx]Shipment" r:id="rId2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.xlsx].xlsx]Shipment 2904" r:id="rId2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4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86">
        <v>45746</v>
      </c>
      <c r="C1" s="86"/>
      <c r="D1" s="86"/>
      <c r="E1" s="86"/>
      <c r="F1" s="86"/>
      <c r="G1" s="86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87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87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76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88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88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88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88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E22" sqref="E22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89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89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90" t="s">
        <v>299</v>
      </c>
      <c r="B1" s="90"/>
      <c r="C1" s="90"/>
      <c r="D1" s="90"/>
      <c r="E1" s="90"/>
      <c r="F1" s="90"/>
      <c r="G1" s="90"/>
      <c r="H1" s="90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91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91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91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6" sqref="C26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G24" sqref="G24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4" workbookViewId="0">
      <selection activeCell="J24" sqref="J24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5" workbookViewId="0">
      <selection activeCell="D51" sqref="D51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zoomScaleNormal="100" workbookViewId="0">
      <selection activeCell="J24" sqref="J24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92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92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0" workbookViewId="0">
      <selection activeCell="K33" sqref="K33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4" workbookViewId="0">
      <selection activeCell="C30" sqref="C30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9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73">
        <v>45952</v>
      </c>
      <c r="B22" s="74">
        <v>1</v>
      </c>
      <c r="C22" s="74" t="s">
        <v>621</v>
      </c>
      <c r="D22" s="74" t="s">
        <v>627</v>
      </c>
      <c r="E22" s="75">
        <v>9442.8799999999992</v>
      </c>
      <c r="F22" s="75">
        <f t="shared" si="0"/>
        <v>9442.8799999999992</v>
      </c>
      <c r="G22" s="74" t="s">
        <v>622</v>
      </c>
      <c r="H22" s="74"/>
      <c r="I22" s="74"/>
    </row>
    <row r="23" spans="1:9" x14ac:dyDescent="0.3">
      <c r="A23" s="73">
        <v>45953</v>
      </c>
      <c r="B23" s="74">
        <v>8</v>
      </c>
      <c r="C23" s="74" t="s">
        <v>612</v>
      </c>
      <c r="D23" s="74" t="s">
        <v>615</v>
      </c>
      <c r="E23" s="75">
        <v>2199</v>
      </c>
      <c r="F23" s="75">
        <f t="shared" si="0"/>
        <v>17592</v>
      </c>
      <c r="G23" s="74" t="s">
        <v>630</v>
      </c>
      <c r="H23" s="74"/>
      <c r="I23" s="74" t="s">
        <v>633</v>
      </c>
    </row>
    <row r="24" spans="1:9" x14ac:dyDescent="0.3">
      <c r="A24" s="73">
        <v>45953</v>
      </c>
      <c r="B24" s="74">
        <v>4</v>
      </c>
      <c r="C24" s="74" t="s">
        <v>612</v>
      </c>
      <c r="D24" s="74" t="s">
        <v>44</v>
      </c>
      <c r="E24" s="75">
        <v>2199</v>
      </c>
      <c r="F24" s="75">
        <f t="shared" si="0"/>
        <v>8796</v>
      </c>
      <c r="G24" s="74" t="s">
        <v>630</v>
      </c>
      <c r="H24" s="74"/>
      <c r="I24" s="74" t="s">
        <v>633</v>
      </c>
    </row>
    <row r="25" spans="1:9" x14ac:dyDescent="0.3">
      <c r="A25" s="73">
        <v>45960</v>
      </c>
      <c r="B25" s="74">
        <v>5</v>
      </c>
      <c r="C25" s="74" t="s">
        <v>642</v>
      </c>
      <c r="D25" s="74" t="s">
        <v>641</v>
      </c>
      <c r="E25" s="83">
        <v>150</v>
      </c>
      <c r="F25" s="83">
        <f t="shared" si="0"/>
        <v>750</v>
      </c>
      <c r="G25" s="74" t="s">
        <v>644</v>
      </c>
      <c r="H25" s="74"/>
      <c r="I25" s="74"/>
    </row>
    <row r="26" spans="1:9" x14ac:dyDescent="0.3">
      <c r="A26" s="73">
        <v>45960</v>
      </c>
      <c r="B26" s="74">
        <v>4</v>
      </c>
      <c r="C26" s="74" t="s">
        <v>643</v>
      </c>
      <c r="D26" s="74" t="s">
        <v>641</v>
      </c>
      <c r="E26" s="83">
        <v>150</v>
      </c>
      <c r="F26" s="83">
        <f t="shared" si="0"/>
        <v>600</v>
      </c>
      <c r="G26" s="74" t="s">
        <v>644</v>
      </c>
      <c r="H26" s="74"/>
      <c r="I26" s="74"/>
    </row>
    <row r="27" spans="1:9" x14ac:dyDescent="0.3">
      <c r="A27" s="73">
        <v>45961</v>
      </c>
      <c r="B27" s="74">
        <v>10</v>
      </c>
      <c r="C27" s="74" t="s">
        <v>645</v>
      </c>
      <c r="D27" s="74" t="s">
        <v>335</v>
      </c>
      <c r="E27" s="83">
        <v>1400</v>
      </c>
      <c r="F27" s="83">
        <f t="shared" si="0"/>
        <v>14000</v>
      </c>
      <c r="G27" s="74" t="s">
        <v>24</v>
      </c>
      <c r="H27" s="74"/>
      <c r="I27" s="74"/>
    </row>
    <row r="28" spans="1:9" x14ac:dyDescent="0.3">
      <c r="A28" s="73">
        <v>45961</v>
      </c>
      <c r="B28" s="74">
        <v>5</v>
      </c>
      <c r="C28" s="74" t="s">
        <v>646</v>
      </c>
      <c r="D28" s="74" t="s">
        <v>335</v>
      </c>
      <c r="E28" s="83">
        <v>840</v>
      </c>
      <c r="F28" s="83">
        <f t="shared" si="0"/>
        <v>4200</v>
      </c>
      <c r="G28" s="74" t="s">
        <v>24</v>
      </c>
      <c r="H28" s="74"/>
      <c r="I28" s="74"/>
    </row>
    <row r="29" spans="1:9" x14ac:dyDescent="0.3">
      <c r="A29" s="80">
        <v>45961</v>
      </c>
      <c r="B29" s="81">
        <v>30</v>
      </c>
      <c r="C29" s="81" t="s">
        <v>647</v>
      </c>
      <c r="D29" s="81" t="s">
        <v>335</v>
      </c>
      <c r="E29" s="82"/>
      <c r="F29" s="82">
        <f t="shared" si="0"/>
        <v>0</v>
      </c>
      <c r="G29" s="81"/>
      <c r="H29" s="81"/>
      <c r="I29" s="81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I12"/>
  <sheetViews>
    <sheetView tabSelected="1" workbookViewId="0">
      <selection activeCell="D21" sqref="D21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2" t="s">
        <v>3</v>
      </c>
      <c r="F1" s="72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76">
        <v>45957</v>
      </c>
      <c r="B2" s="77">
        <v>1</v>
      </c>
      <c r="C2" s="77" t="s">
        <v>406</v>
      </c>
      <c r="D2" s="77" t="s">
        <v>635</v>
      </c>
      <c r="E2" s="78">
        <v>1449</v>
      </c>
      <c r="F2" s="78">
        <v>1449</v>
      </c>
      <c r="G2" s="77" t="s">
        <v>62</v>
      </c>
      <c r="H2" s="77" t="s">
        <v>636</v>
      </c>
      <c r="I2" s="77"/>
    </row>
    <row r="3" spans="1:9" x14ac:dyDescent="0.3">
      <c r="A3" s="76">
        <v>45957</v>
      </c>
      <c r="B3" s="77">
        <v>2</v>
      </c>
      <c r="C3" s="77" t="s">
        <v>406</v>
      </c>
      <c r="D3" s="77" t="s">
        <v>383</v>
      </c>
      <c r="E3" s="78">
        <v>1455</v>
      </c>
      <c r="F3" s="78">
        <f>E3*B3</f>
        <v>2910</v>
      </c>
      <c r="G3" s="77" t="s">
        <v>62</v>
      </c>
      <c r="H3" s="77" t="s">
        <v>638</v>
      </c>
      <c r="I3" s="79" t="s">
        <v>637</v>
      </c>
    </row>
    <row r="4" spans="1:9" x14ac:dyDescent="0.3">
      <c r="A4" s="76">
        <v>45958</v>
      </c>
      <c r="B4" s="77">
        <v>10</v>
      </c>
      <c r="C4" s="77" t="s">
        <v>406</v>
      </c>
      <c r="D4" s="77" t="s">
        <v>383</v>
      </c>
      <c r="E4" s="78">
        <v>1399</v>
      </c>
      <c r="F4" s="78">
        <f>E4*B4</f>
        <v>13990</v>
      </c>
      <c r="G4" s="77" t="s">
        <v>62</v>
      </c>
      <c r="H4" s="77" t="s">
        <v>636</v>
      </c>
      <c r="I4" s="77"/>
    </row>
    <row r="5" spans="1:9" x14ac:dyDescent="0.3">
      <c r="A5" s="84">
        <v>45958</v>
      </c>
      <c r="B5" s="25">
        <v>1</v>
      </c>
      <c r="C5" s="25" t="s">
        <v>391</v>
      </c>
      <c r="D5" s="25" t="s">
        <v>383</v>
      </c>
      <c r="E5" s="85">
        <v>9</v>
      </c>
      <c r="F5" s="85">
        <v>9</v>
      </c>
      <c r="G5" s="25"/>
      <c r="H5" s="25" t="s">
        <v>636</v>
      </c>
      <c r="I5" s="25"/>
    </row>
    <row r="6" spans="1:9" x14ac:dyDescent="0.3">
      <c r="A6" s="76">
        <v>45958</v>
      </c>
      <c r="B6" s="77">
        <v>3</v>
      </c>
      <c r="C6" s="77" t="s">
        <v>378</v>
      </c>
      <c r="D6" s="77" t="s">
        <v>383</v>
      </c>
      <c r="E6" s="78">
        <v>780</v>
      </c>
      <c r="F6" s="78">
        <f>E6*B6</f>
        <v>2340</v>
      </c>
      <c r="G6" s="77" t="s">
        <v>62</v>
      </c>
      <c r="H6" s="77" t="s">
        <v>636</v>
      </c>
      <c r="I6" s="77"/>
    </row>
    <row r="7" spans="1:9" x14ac:dyDescent="0.3">
      <c r="A7" s="76">
        <v>45958</v>
      </c>
      <c r="B7" s="77">
        <v>6</v>
      </c>
      <c r="C7" s="77" t="s">
        <v>406</v>
      </c>
      <c r="D7" s="77" t="s">
        <v>433</v>
      </c>
      <c r="E7" s="78">
        <v>1348</v>
      </c>
      <c r="F7" s="78">
        <f t="shared" ref="F7:F8" si="0">E7*B7</f>
        <v>8088</v>
      </c>
      <c r="G7" s="77" t="s">
        <v>62</v>
      </c>
      <c r="H7" s="77" t="s">
        <v>636</v>
      </c>
      <c r="I7" s="77"/>
    </row>
    <row r="8" spans="1:9" x14ac:dyDescent="0.3">
      <c r="A8" s="76">
        <v>45958</v>
      </c>
      <c r="B8" s="77">
        <v>1</v>
      </c>
      <c r="C8" s="77" t="s">
        <v>639</v>
      </c>
      <c r="D8" s="77" t="s">
        <v>433</v>
      </c>
      <c r="E8" s="78">
        <v>1348</v>
      </c>
      <c r="F8" s="78">
        <f t="shared" si="0"/>
        <v>1348</v>
      </c>
      <c r="G8" s="77" t="s">
        <v>62</v>
      </c>
      <c r="H8" s="77" t="s">
        <v>636</v>
      </c>
      <c r="I8" s="77"/>
    </row>
    <row r="9" spans="1:9" x14ac:dyDescent="0.3">
      <c r="A9" s="25"/>
      <c r="B9" s="25"/>
      <c r="C9" s="25"/>
      <c r="D9" s="25"/>
      <c r="E9" s="25"/>
      <c r="F9" s="25"/>
      <c r="G9" s="25"/>
      <c r="H9" s="25"/>
      <c r="I9" s="25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NZ OCT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2025-11-07T17:34:00Z</dcterms:modified>
</cp:coreProperties>
</file>