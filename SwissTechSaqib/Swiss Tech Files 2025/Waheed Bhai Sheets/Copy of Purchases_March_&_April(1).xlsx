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Waheed Bhai Sheets\"/>
    </mc:Choice>
  </mc:AlternateContent>
  <xr:revisionPtr revIDLastSave="0" documentId="13_ncr:1_{5B5A7039-527F-4F2D-828A-764CCC00EB79}" xr6:coauthVersionLast="47" xr6:coauthVersionMax="47" xr10:uidLastSave="{00000000-0000-0000-0000-000000000000}"/>
  <bookViews>
    <workbookView xWindow="-108" yWindow="-108" windowWidth="23256" windowHeight="13896" firstSheet="1" activeTab="3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</sheets>
  <definedNames>
    <definedName name="_xlnm._FilterDatabase" localSheetId="3" hidden="1">April!$A$1:$H$3</definedName>
    <definedName name="_xlnm._FilterDatabase" localSheetId="1" hidden="1">'March '!$A$1:$G$39</definedName>
  </definedNames>
  <calcPr calcId="191029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23" i="4"/>
  <c r="F24" i="4"/>
  <c r="F25" i="4"/>
  <c r="F26" i="4"/>
  <c r="F27" i="4"/>
  <c r="F28" i="4"/>
  <c r="F29" i="4"/>
  <c r="F30" i="4"/>
  <c r="F31" i="4"/>
  <c r="F32" i="4"/>
  <c r="F7" i="3"/>
  <c r="F19" i="4"/>
  <c r="F20" i="4"/>
  <c r="F21" i="4"/>
  <c r="F6" i="3"/>
  <c r="F39" i="1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5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<sst xmlns="http://schemas.openxmlformats.org/spreadsheetml/2006/main" count="347" uniqueCount="107">
  <si>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</si>
  <si>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</si>
  <si>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</si>
  <si>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</si>
  <si>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</si>
  <si>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</si>
  <si>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</si>
  <si>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</si>
  <si>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</si>
  <si>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</si>
  <si>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</si>
  <si>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</si>
  <si>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</si>
  <si>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</si>
  <si>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</si>
  <si>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</si>
  <si>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</si>
  <si>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</si>
  <si>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</si>
  <si>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</si>
  <si>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</si>
  <si>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</si>
  <si>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</si>
  <si>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</si>
  <si>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</si>
  <si>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</si>
  <si>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</si>
  <si>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</si>
  <si>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</si>
  <si>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</si>
  <si>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</si>
  <si>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</si>
  <si>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</si>
  <si>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</si>
  <si>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</si>
  <si>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</si>
  <si>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</si>
  <si>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</si>
  <si>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</si>
  <si>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</si>
  <si>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</si>
  <si>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</si>
  <si>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</si>
  <si>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</si>
  <si>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</si>
  <si>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</si>
  <si>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</si>
  <si>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</si>
  <si>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</si>
  <si>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</si>
  <si>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 xml:space="preserve">Pending Collection 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</si>
  <si>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</si>
  <si>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</si>
  <si>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</si>
  <si>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</si>
  <si>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</si>
  <si>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</si>
  <si>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</si>
  <si>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</si>
  <si>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</si>
  <si>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</si>
  <si>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</si>
  <si>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</si>
  <si>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</si>
  <si>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</si>
  <si>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</si>
  <si>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</si>
  <si>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</si>
  <si>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</si>
  <si>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</si>
  <si>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</si>
  <si>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</si>
  <si>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</si>
  <si>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</si>
  <si>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</si>
  <si>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</si>
  <si>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PS5 Astro Bot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</si>
  <si>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</si>
  <si>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</si>
  <si>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</si>
  <si>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</si>
  <si>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</si>
  <si>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</si>
  <si>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</si>
  <si>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</si>
  <si>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>(Multiple Items)</t>
  </si>
  <si>
    <t>Column Labels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</si>
  <si>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</si>
  <si>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</si>
  <si>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</si>
  <si>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</si>
  <si>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</si>
  <si>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</si>
  <si>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</si>
  <si>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</si>
  <si>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</si>
  <si>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</si>
  <si>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</si>
  <si>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</t>
  </si>
  <si>
    <t>Pending Collection Blacktown Zunera</t>
  </si>
  <si>
    <t>Pending Collection  Zunera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</si>
  <si>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</si>
  <si>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</si>
  <si>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</si>
  <si>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</si>
  <si>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</si>
  <si>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Order Cancelled Pending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</si>
</sst>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4" fontId="0" fillId="3" borderId="0" xfId="0" applyNumberFormat="1" applyFill="1"/>
    <xf numFmtId="0" fontId="0" fillId="3" borderId="1" xfId="0" applyFill="1" applyBorder="1"/>
    <xf numFmtId="0" fontId="0" fillId="3" borderId="0" xfId="0" applyFill="1"/>
    <xf numFmtId="165" fontId="0" fillId="3" borderId="1" xfId="0" applyNumberFormat="1" applyFill="1" applyBorder="1"/>
    <xf numFmtId="0" fontId="0" fillId="3" borderId="2" xfId="0" applyFill="1" applyBorder="1"/>
    <xf numFmtId="165" fontId="0" fillId="3" borderId="0" xfId="0" applyNumberFormat="1" applyFill="1"/>
    <xf numFmtId="164" fontId="0" fillId="3" borderId="0" xfId="0" applyNumberFormat="1" applyFill="1"/>
    <xf numFmtId="14" fontId="2" fillId="4" borderId="0" xfId="0" applyNumberFormat="1" applyFont="1" applyFill="1"/>
    <xf numFmtId="0" fontId="2" fillId="4" borderId="1" xfId="0" applyFont="1" applyFill="1" applyBorder="1"/>
    <xf numFmtId="0" fontId="2" fillId="4" borderId="0" xfId="0" applyFont="1" applyFill="1"/>
    <xf numFmtId="165" fontId="2" fillId="4" borderId="1" xfId="0" applyNumberFormat="1" applyFont="1" applyFill="1" applyBorder="1"/>
    <xf numFmtId="0" fontId="2" fillId="4" borderId="2" xfId="0" applyFont="1" applyFill="1" applyBorder="1"/>
    <xf numFmtId="14" fontId="0" fillId="5" borderId="0" xfId="0" applyNumberFormat="1" applyFill="1"/>
    <xf numFmtId="0" fontId="0" fillId="5" borderId="1" xfId="0" applyFill="1" applyBorder="1"/>
    <xf numFmtId="0" fontId="0" fillId="5" borderId="0" xfId="0" applyFill="1"/>
    <xf numFmtId="165" fontId="0" fillId="5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R8NMOHDZ/Purchases_March_&amp;_April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R8NMOHDZ/Purchases_March_&amp;_April%5b1%5d.xlsx%5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56.007211342592" createdVersion="6" refreshedVersion="8" minRefreshableVersion="3" recordCount="39" xr:uid="{3AFBD4CA-AFCC-4A2C-BA77-2EF90A94E5F9}">
  <cacheSource type="worksheet">
    <worksheetSource ref="A1:G1048576" sheet=".xlsx].xlsx]March " r:id="rId2"/>
  </cacheSource>
  <cacheFields count="7">
    <cacheField name="Date" numFmtId="0">
      <sharedItems containsNonDate="0" containsDate="1" containsString="0" containsBlank="1" minDate="2025-03-26T00:00:00" maxDate="2025-04-01T00:00:00"/>
    </cacheField>
    <cacheField name="Qty" numFmtId="0">
      <sharedItems containsString="0" containsBlank="1" containsNumber="1" containsInteger="1" minValue="1" maxValue="10"/>
    </cacheField>
    <cacheField name="Items" numFmtId="0">
      <sharedItems containsBlank="1" count="15">
        <s v="PS5 Astro BOT"/>
        <s v="Mac Book Air M4 24/512Midnight"/>
        <s v="Mac Book Air Midnight"/>
        <s v="Mac Book Air M4 24/512 Sky Blue"/>
        <s v="Iphone 16 Pro max 256 GB Desert "/>
        <s v="Mac Book Pro 16/512 Silver"/>
        <s v="Mac Book Pro M4 14&quot; 16/512 Silver"/>
        <s v="Mini Evo"/>
        <s v="Mini 12 Purple"/>
        <s v="Mini 12 Blue"/>
        <s v="Mini 12 White"/>
        <s v="Ninja Blast Blender"/>
        <s v="Mac Book Pro M4 14&quot; 16/ 1TB Space Black"/>
        <s v="Mini 12  Mix Colour"/>
        <m/>
      </sharedItems>
    </cacheField>
    <cacheField name="Store" numFmtId="0">
      <sharedItems containsBlank="1"/>
    </cacheField>
    <cacheField name="Price" numFmtId="0">
      <sharedItems containsString="0" containsBlank="1" containsNumber="1" minValue="55" maxValue="2460.9899999999998"/>
    </cacheField>
    <cacheField name="Total" numFmtId="0">
      <sharedItems containsString="0" containsBlank="1" containsNumber="1" minValue="89" maxValue="10999.949999999999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56.007287152781" createdVersion="6" refreshedVersion="8" minRefreshableVersion="3" recordCount="34" xr:uid="{71320CB0-AFE8-4E6C-B669-860BD1366F9F}">
  <cacheSource type="worksheet">
    <worksheetSource ref="A1:H1048576" sheet=".xlsx].xlsx]April" r:id="rId2"/>
  </cacheSource>
  <cacheFields count="8">
    <cacheField name="Date" numFmtId="0">
      <sharedItems containsNonDate="0" containsDate="1" containsString="0" containsBlank="1" minDate="2025-04-01T00:00:00" maxDate="2025-04-09T00:00:00"/>
    </cacheField>
    <cacheField name="Qty" numFmtId="0">
      <sharedItems containsString="0" containsBlank="1" containsNumber="1" containsInteger="1" minValue="1" maxValue="8"/>
    </cacheField>
    <cacheField name="Items" numFmtId="0">
      <sharedItems containsBlank="1" count="17">
        <s v="Mac Book Air 13&quot; M4 24/512 Sky Blue"/>
        <s v="Mac Book Pro M4 14&quot; 16/1TB Space Black"/>
        <m/>
        <s v="Mac Book Pro M4 16/1TB Space Black"/>
        <s v="Mac Book Air 13&quot; M4 24/512 Space Black"/>
        <s v="Instax Mini 99 Bundle"/>
        <s v="PS5 Astro Bot Bundle"/>
        <s v="Meta Quest 3 512"/>
        <s v="Norton Antivirus"/>
        <s v="JBHIFI Meta Quest "/>
        <s v="EB Games Online"/>
        <s v="Packaging"/>
        <s v="Instax Mini 12"/>
        <s v="Mac Book Pro M4 14&quot; 16/512 Silver"/>
        <s v="Mac Book Air 13&quot; M4 24/512 Midnight"/>
        <s v="PS5 Hard drive"/>
        <s v="Mac Book Air 15&quot; M4 24/512 Sky Blue"/>
      </sharedItems>
    </cacheField>
    <cacheField name="Store" numFmtId="0">
      <sharedItems containsBlank="1" count="14">
        <s v="Office Works Northmead"/>
        <s v="Office Works Auburn"/>
        <m/>
        <s v="Office Works Castle Hills"/>
        <s v="Office Works Hornsby"/>
        <s v="JBHIFI Hornsby"/>
        <s v="Office Works North Ryde"/>
        <s v="Office Works West Ryde"/>
        <s v="JBHIFI Castle Hills"/>
        <s v="Merylands"/>
        <s v="Expense"/>
        <s v="Good Guys "/>
        <s v="Good Guys Bankstown"/>
        <s v="Office Works Punchbowl"/>
      </sharedItems>
    </cacheField>
    <cacheField name="Price" numFmtId="0">
      <sharedItems containsString="0" containsBlank="1" containsNumber="1" minValue="36.54" maxValue="2549"/>
    </cacheField>
    <cacheField name="Total" numFmtId="0">
      <sharedItems containsString="0" containsBlank="1" containsNumber="1" minValue="0" maxValue="5034.9799999999996"/>
    </cacheField>
    <cacheField name="status" numFmtId="0">
      <sharedItems containsBlank="1" count="10">
        <s v="Collected"/>
        <m/>
        <s v="Pending Collection Northmead"/>
        <s v="Pending Collection"/>
        <s v="Pending Collection Bankstown"/>
        <s v="Pending Collection "/>
        <s v="Order Cancelled Pending refund"/>
        <s v="Pending Collection  Zunera"/>
        <s v="Pending Collection Blacktown Zunera"/>
        <s v="Pending Collection Castle Hills" u="1"/>
      </sharedItems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d v="2025-03-26T00:00:00"/>
    <n v="1"/>
    <x v="0"/>
    <s v="JBHIFI Castle Hills"/>
    <n v="699"/>
    <n v="699"/>
    <s v="Collected"/>
  </r>
  <r>
    <d v="2025-03-26T00:00:00"/>
    <n v="1"/>
    <x v="1"/>
    <s v="JBHIFI Castle Hills"/>
    <n v="2149"/>
    <n v="2149"/>
    <s v="Collected"/>
  </r>
  <r>
    <d v="2025-03-26T00:00:00"/>
    <n v="1"/>
    <x v="0"/>
    <s v="EB Games Online"/>
    <n v="669"/>
    <n v="669"/>
    <s v="Pending Collection Merrylands"/>
  </r>
  <r>
    <d v="2025-03-26T00:00:00"/>
    <n v="1"/>
    <x v="0"/>
    <s v="EB Games Online"/>
    <n v="669"/>
    <n v="669"/>
    <s v="Collected 04/04/2025"/>
  </r>
  <r>
    <d v="2025-03-26T00:00:00"/>
    <n v="5"/>
    <x v="2"/>
    <s v="Costco Online"/>
    <n v="2199.9899999999998"/>
    <n v="10999.949999999999"/>
    <s v="Delivered  home on 29/03/2025"/>
  </r>
  <r>
    <d v="2025-03-26T00:00:00"/>
    <n v="1"/>
    <x v="1"/>
    <s v="Office Works Hornsby"/>
    <n v="2089.9899999999998"/>
    <n v="2089.9899999999998"/>
    <s v="Collected"/>
  </r>
  <r>
    <d v="2025-03-26T00:00:00"/>
    <n v="1"/>
    <x v="3"/>
    <s v="Office Works Hornsby"/>
    <n v="2089.9899999999998"/>
    <n v="2089.9899999999998"/>
    <s v="Collected"/>
  </r>
  <r>
    <d v="2025-03-26T00:00:00"/>
    <n v="2"/>
    <x v="4"/>
    <s v="Office Works Northmead"/>
    <n v="1880.99"/>
    <n v="3761.98"/>
    <s v="Collected"/>
  </r>
  <r>
    <d v="2025-03-26T00:00:00"/>
    <n v="2"/>
    <x v="3"/>
    <s v="Office Works Northmead"/>
    <n v="2089.4899999999998"/>
    <n v="4178.9799999999996"/>
    <s v="Collected"/>
  </r>
  <r>
    <d v="2025-03-26T00:00:00"/>
    <n v="2"/>
    <x v="3"/>
    <s v="Office Works  west ryde"/>
    <n v="2089.4899999999998"/>
    <n v="4178.9799999999996"/>
    <s v="Collected 30/03/2025"/>
  </r>
  <r>
    <d v="2025-03-26T00:00:00"/>
    <n v="2"/>
    <x v="3"/>
    <s v="Office Works North Ryde"/>
    <n v="2089.4899999999998"/>
    <n v="4178.9799999999996"/>
    <s v="PickUp Northmead/ Collected"/>
  </r>
  <r>
    <d v="2025-03-26T00:00:00"/>
    <n v="2"/>
    <x v="3"/>
    <s v="Office Works  Castle Hills"/>
    <n v="2089.4899999999998"/>
    <n v="4178.9799999999996"/>
    <s v="Collected"/>
  </r>
  <r>
    <d v="2025-03-27T00:00:00"/>
    <n v="2"/>
    <x v="3"/>
    <s v="Office Works Northmead"/>
    <n v="2089.4899999999998"/>
    <n v="4178.9799999999996"/>
    <s v="Collected 31/03/2025"/>
  </r>
  <r>
    <d v="2025-03-27T00:00:00"/>
    <n v="2"/>
    <x v="3"/>
    <s v="Office Works  Castle Hills"/>
    <n v="2089.4899999999998"/>
    <n v="4178.9799999999996"/>
    <s v="Collected 31/03/2025"/>
  </r>
  <r>
    <d v="2025-03-27T00:00:00"/>
    <n v="2"/>
    <x v="1"/>
    <s v="Office Works  Castle Hills"/>
    <n v="2089.4899999999998"/>
    <n v="4178.9799999999996"/>
    <s v="Collected 31/03/2025"/>
  </r>
  <r>
    <d v="2025-03-27T00:00:00"/>
    <n v="2"/>
    <x v="1"/>
    <s v="Office Works Blacktown"/>
    <n v="2089.4899999999998"/>
    <n v="4178.9799999999996"/>
    <s v="Collected 31/03/2025"/>
  </r>
  <r>
    <d v="2025-03-27T00:00:00"/>
    <n v="2"/>
    <x v="3"/>
    <s v="Office Works Blacktown"/>
    <n v="2089.4899999999998"/>
    <n v="4178.9799999999996"/>
    <s v="Collected 31/03/2025"/>
  </r>
  <r>
    <d v="2025-03-27T00:00:00"/>
    <n v="2"/>
    <x v="5"/>
    <s v="Office Works Wentworthville"/>
    <n v="2204"/>
    <n v="4408"/>
    <s v="Collected 31/03/2025"/>
  </r>
  <r>
    <d v="2025-03-28T00:00:00"/>
    <n v="2"/>
    <x v="3"/>
    <s v="Office Works Auburn"/>
    <n v="2089.4899999999998"/>
    <n v="4178.9799999999996"/>
    <s v="Collected 01/04/2025"/>
  </r>
  <r>
    <d v="2025-03-28T00:00:00"/>
    <n v="1"/>
    <x v="6"/>
    <s v="Good Guys Auburn"/>
    <n v="2204"/>
    <n v="2204"/>
    <s v="Collected 04/04/2025"/>
  </r>
  <r>
    <d v="2025-03-28T00:00:00"/>
    <n v="2"/>
    <x v="7"/>
    <s v="Good Guys Auburn"/>
    <n v="220"/>
    <n v="440"/>
    <s v="Collected"/>
  </r>
  <r>
    <d v="2025-03-28T00:00:00"/>
    <n v="2"/>
    <x v="8"/>
    <s v="Good Guys Auburn"/>
    <n v="89"/>
    <n v="178"/>
    <s v="Collected"/>
  </r>
  <r>
    <d v="2025-03-28T00:00:00"/>
    <n v="2"/>
    <x v="9"/>
    <s v="Good Guys Auburn"/>
    <n v="89"/>
    <n v="178"/>
    <s v="Collected"/>
  </r>
  <r>
    <d v="2025-03-28T00:00:00"/>
    <n v="2"/>
    <x v="10"/>
    <s v="Good Guys Auburn"/>
    <n v="89"/>
    <n v="178"/>
    <s v="Collected"/>
  </r>
  <r>
    <d v="2025-03-28T00:00:00"/>
    <n v="2"/>
    <x v="11"/>
    <s v="Good Guys Auburn"/>
    <n v="55"/>
    <n v="110"/>
    <s v="Collected"/>
  </r>
  <r>
    <d v="2025-03-28T00:00:00"/>
    <n v="2"/>
    <x v="7"/>
    <s v="Good Guys Auburn"/>
    <n v="220"/>
    <n v="440"/>
    <s v="Collected 31/03/2025"/>
  </r>
  <r>
    <d v="2025-03-28T00:00:00"/>
    <n v="2"/>
    <x v="7"/>
    <s v="Good Guys Auburn"/>
    <n v="220"/>
    <n v="440"/>
    <s v="Collected 04/04/2025"/>
  </r>
  <r>
    <d v="2025-03-28T00:00:00"/>
    <n v="2"/>
    <x v="8"/>
    <s v="Good Guys Auburn"/>
    <n v="89"/>
    <n v="178"/>
    <s v="Collected 04/04/2025"/>
  </r>
  <r>
    <d v="2025-03-28T00:00:00"/>
    <n v="1"/>
    <x v="9"/>
    <s v="Good Guys Auburn"/>
    <n v="89"/>
    <n v="89"/>
    <s v="Collected 04/04/2025"/>
  </r>
  <r>
    <d v="2025-03-29T00:00:00"/>
    <n v="2"/>
    <x v="3"/>
    <s v="Office Works Auburn"/>
    <n v="2089.4899999999998"/>
    <n v="4178.9799999999996"/>
    <s v="Collected 01/04/2025"/>
  </r>
  <r>
    <d v="2025-03-29T00:00:00"/>
    <n v="2"/>
    <x v="6"/>
    <s v="Office Works Five Dock"/>
    <n v="2204"/>
    <n v="4408"/>
    <s v="Collected 30/03/2025"/>
  </r>
  <r>
    <d v="2025-03-29T00:00:00"/>
    <n v="1"/>
    <x v="0"/>
    <s v="EB Games Online"/>
    <n v="669"/>
    <n v="669"/>
    <s v="Collected 04/04/2025"/>
  </r>
  <r>
    <d v="2025-03-31T00:00:00"/>
    <n v="2"/>
    <x v="3"/>
    <s v="Office Works Northmead"/>
    <n v="2460.9899999999998"/>
    <n v="4921.9799999999996"/>
    <s v="Collected 01/04/2025"/>
  </r>
  <r>
    <d v="2025-03-31T00:00:00"/>
    <n v="2"/>
    <x v="12"/>
    <s v="Office Works Blacktown"/>
    <n v="2089.9899999999998"/>
    <n v="4179.9799999999996"/>
    <s v="Collected 03/04/2025"/>
  </r>
  <r>
    <d v="2025-03-31T00:00:00"/>
    <n v="2"/>
    <x v="12"/>
    <s v="Office Works Wentworthville"/>
    <n v="2460.9899999999998"/>
    <n v="4921.9799999999996"/>
    <s v="Collected 03/04/2025"/>
  </r>
  <r>
    <d v="2025-03-31T00:00:00"/>
    <n v="10"/>
    <x v="7"/>
    <s v="Good Guys Blacktown"/>
    <n v="213"/>
    <n v="2130"/>
    <s v="Pending Collection"/>
  </r>
  <r>
    <d v="2025-03-31T00:00:00"/>
    <n v="10"/>
    <x v="13"/>
    <s v="Good Guys Blacktown"/>
    <n v="87"/>
    <n v="870"/>
    <s v="Pending Collection"/>
  </r>
  <r>
    <d v="2025-03-31T00:00:00"/>
    <n v="2"/>
    <x v="3"/>
    <s v="Office Works Auburn"/>
    <n v="2089.9899999999998"/>
    <n v="4179.9799999999996"/>
    <s v="Order Cancelled /Refund 03/04/2025"/>
  </r>
  <r>
    <m/>
    <m/>
    <x v="1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5-04-01T00:00:00"/>
    <n v="2"/>
    <x v="0"/>
    <x v="0"/>
    <n v="2089.4899999999998"/>
    <n v="4178.9799999999996"/>
    <x v="0"/>
    <d v="2025-04-02T00:00:00"/>
  </r>
  <r>
    <d v="2025-04-01T00:00:00"/>
    <n v="2"/>
    <x v="1"/>
    <x v="1"/>
    <n v="2460.4899999999998"/>
    <n v="4920.9799999999996"/>
    <x v="0"/>
    <m/>
  </r>
  <r>
    <m/>
    <m/>
    <x v="2"/>
    <x v="2"/>
    <m/>
    <m/>
    <x v="1"/>
    <m/>
  </r>
  <r>
    <d v="2025-04-02T00:00:00"/>
    <n v="2"/>
    <x v="3"/>
    <x v="0"/>
    <n v="2517.4899999999998"/>
    <n v="5034.9799999999996"/>
    <x v="0"/>
    <m/>
  </r>
  <r>
    <d v="2025-04-02T00:00:00"/>
    <n v="2"/>
    <x v="0"/>
    <x v="3"/>
    <n v="2089.4899999999998"/>
    <n v="4178.9799999999996"/>
    <x v="0"/>
    <m/>
  </r>
  <r>
    <d v="2025-04-02T00:00:00"/>
    <n v="2"/>
    <x v="4"/>
    <x v="3"/>
    <n v="2089.4899999999998"/>
    <n v="4178.9799999999996"/>
    <x v="0"/>
    <m/>
  </r>
  <r>
    <d v="2025-04-02T00:00:00"/>
    <n v="1"/>
    <x v="0"/>
    <x v="4"/>
    <n v="2089.9899999999998"/>
    <n v="2089.9899999999998"/>
    <x v="0"/>
    <d v="2025-04-08T00:00:00"/>
  </r>
  <r>
    <d v="2025-04-02T00:00:00"/>
    <n v="1"/>
    <x v="4"/>
    <x v="4"/>
    <n v="2089.9899999999998"/>
    <n v="2089.9899999999998"/>
    <x v="0"/>
    <d v="2025-04-08T00:00:00"/>
  </r>
  <r>
    <d v="2025-04-02T00:00:00"/>
    <n v="8"/>
    <x v="5"/>
    <x v="5"/>
    <n v="229"/>
    <n v="1832"/>
    <x v="0"/>
    <d v="2025-04-02T00:00:00"/>
  </r>
  <r>
    <d v="2025-04-02T00:00:00"/>
    <n v="1"/>
    <x v="6"/>
    <x v="5"/>
    <n v="699"/>
    <n v="699"/>
    <x v="0"/>
    <d v="2025-04-03T00:00:00"/>
  </r>
  <r>
    <d v="2025-04-02T00:00:00"/>
    <n v="1"/>
    <x v="7"/>
    <x v="5"/>
    <n v="799"/>
    <n v="799"/>
    <x v="0"/>
    <d v="2025-04-03T00:00:00"/>
  </r>
  <r>
    <d v="2025-04-02T00:00:00"/>
    <n v="1"/>
    <x v="0"/>
    <x v="5"/>
    <n v="2149"/>
    <n v="2149"/>
    <x v="0"/>
    <d v="2025-04-02T00:00:00"/>
  </r>
  <r>
    <d v="2025-04-02T00:00:00"/>
    <n v="1"/>
    <x v="0"/>
    <x v="6"/>
    <n v="2089.9899999999998"/>
    <n v="2089.9899999999998"/>
    <x v="1"/>
    <s v="Order Cancelled Refund 08/04/2025"/>
  </r>
  <r>
    <d v="2025-04-02T00:00:00"/>
    <n v="2"/>
    <x v="0"/>
    <x v="7"/>
    <n v="2089.9899999999998"/>
    <n v="4179.9799999999996"/>
    <x v="2"/>
    <s v="Order Cancelled Refund"/>
  </r>
  <r>
    <d v="2025-04-02T00:00:00"/>
    <n v="1"/>
    <x v="0"/>
    <x v="1"/>
    <n v="2089.9899999999998"/>
    <n v="2089.9899999999998"/>
    <x v="0"/>
    <d v="2025-04-04T00:00:00"/>
  </r>
  <r>
    <d v="2025-04-02T00:00:00"/>
    <n v="1"/>
    <x v="4"/>
    <x v="1"/>
    <n v="2089.9899999999998"/>
    <n v="2089.9899999999998"/>
    <x v="0"/>
    <d v="2025-04-04T00:00:00"/>
  </r>
  <r>
    <d v="2025-04-02T00:00:00"/>
    <n v="1"/>
    <x v="8"/>
    <x v="1"/>
    <n v="39"/>
    <n v="39"/>
    <x v="0"/>
    <d v="2025-04-02T00:00:00"/>
  </r>
  <r>
    <m/>
    <m/>
    <x v="2"/>
    <x v="2"/>
    <m/>
    <n v="0"/>
    <x v="1"/>
    <m/>
  </r>
  <r>
    <d v="2025-04-03T00:00:00"/>
    <n v="1"/>
    <x v="9"/>
    <x v="8"/>
    <n v="799"/>
    <n v="799"/>
    <x v="0"/>
    <m/>
  </r>
  <r>
    <d v="2025-04-03T00:00:00"/>
    <n v="1"/>
    <x v="10"/>
    <x v="9"/>
    <n v="669"/>
    <n v="669"/>
    <x v="3"/>
    <m/>
  </r>
  <r>
    <d v="2025-04-03T00:00:00"/>
    <m/>
    <x v="11"/>
    <x v="10"/>
    <n v="36.54"/>
    <n v="0"/>
    <x v="1"/>
    <m/>
  </r>
  <r>
    <m/>
    <m/>
    <x v="2"/>
    <x v="2"/>
    <m/>
    <n v="0"/>
    <x v="1"/>
    <m/>
  </r>
  <r>
    <d v="2025-04-04T00:00:00"/>
    <n v="6"/>
    <x v="12"/>
    <x v="11"/>
    <n v="87"/>
    <n v="522"/>
    <x v="0"/>
    <m/>
  </r>
  <r>
    <d v="2025-04-04T00:00:00"/>
    <n v="1"/>
    <x v="13"/>
    <x v="12"/>
    <n v="2204"/>
    <n v="2204"/>
    <x v="4"/>
    <m/>
  </r>
  <r>
    <d v="2025-04-04T00:00:00"/>
    <n v="1"/>
    <x v="4"/>
    <x v="13"/>
    <n v="2089.9899999999998"/>
    <n v="2089.9899999999998"/>
    <x v="0"/>
    <m/>
  </r>
  <r>
    <d v="2025-04-04T00:00:00"/>
    <n v="1"/>
    <x v="0"/>
    <x v="13"/>
    <n v="2089.9899999999998"/>
    <n v="2089.9899999999998"/>
    <x v="5"/>
    <m/>
  </r>
  <r>
    <d v="2025-04-05T00:00:00"/>
    <n v="1"/>
    <x v="0"/>
    <x v="3"/>
    <n v="2089.9899999999998"/>
    <n v="2089.9899999999998"/>
    <x v="0"/>
    <m/>
  </r>
  <r>
    <d v="2025-04-05T00:00:00"/>
    <n v="1"/>
    <x v="14"/>
    <x v="3"/>
    <n v="2089.9899999999998"/>
    <n v="2089.9899999999998"/>
    <x v="6"/>
    <m/>
  </r>
  <r>
    <d v="2025-04-05T00:00:00"/>
    <n v="1"/>
    <x v="15"/>
    <x v="8"/>
    <n v="149"/>
    <n v="149"/>
    <x v="0"/>
    <m/>
  </r>
  <r>
    <d v="2025-04-05T00:00:00"/>
    <n v="1"/>
    <x v="16"/>
    <x v="8"/>
    <n v="2549"/>
    <n v="2549"/>
    <x v="0"/>
    <m/>
  </r>
  <r>
    <d v="2025-04-08T00:00:00"/>
    <n v="1"/>
    <x v="0"/>
    <x v="3"/>
    <n v="2089.9899999999998"/>
    <n v="2089.9899999999998"/>
    <x v="7"/>
    <m/>
  </r>
  <r>
    <d v="2025-04-08T00:00:00"/>
    <n v="1"/>
    <x v="4"/>
    <x v="4"/>
    <n v="2089.9899999999998"/>
    <n v="2089"/>
    <x v="8"/>
    <m/>
  </r>
  <r>
    <d v="2025-04-08T00:00:00"/>
    <n v="1"/>
    <x v="4"/>
    <x v="4"/>
    <n v="2089.9899999999998"/>
    <n v="2089"/>
    <x v="8"/>
    <m/>
  </r>
  <r>
    <m/>
    <m/>
    <x v="2"/>
    <x v="2"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90C34-9C05-4607-9B09-971F250C0FD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J17" firstHeaderRow="1" firstDataRow="1" firstDataCol="1"/>
  <pivotFields count="7">
    <pivotField showAll="0"/>
    <pivotField dataField="1" showAll="0"/>
    <pivotField axis="axisRow" showAll="0">
      <items count="16">
        <item x="4"/>
        <item x="3"/>
        <item x="1"/>
        <item x="2"/>
        <item x="5"/>
        <item x="12"/>
        <item x="6"/>
        <item x="13"/>
        <item x="9"/>
        <item x="8"/>
        <item x="10"/>
        <item x="7"/>
        <item x="11"/>
        <item x="0"/>
        <item x="1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03544-52B9-4DC6-9686-B756E4B175E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3:O8" firstHeaderRow="1" firstDataRow="2" firstDataCol="1" rowPageCount="1" colPageCount="1"/>
  <pivotFields count="8">
    <pivotField showAll="0"/>
    <pivotField dataField="1" showAll="0"/>
    <pivotField axis="axisRow" showAll="0">
      <items count="18">
        <item x="5"/>
        <item x="0"/>
        <item x="4"/>
        <item x="1"/>
        <item x="3"/>
        <item x="7"/>
        <item x="8"/>
        <item x="6"/>
        <item x="2"/>
        <item x="9"/>
        <item x="10"/>
        <item x="11"/>
        <item x="12"/>
        <item x="13"/>
        <item x="14"/>
        <item x="15"/>
        <item x="16"/>
        <item t="default"/>
      </items>
    </pivotField>
    <pivotField axis="axisCol" showAll="0">
      <items count="15">
        <item x="5"/>
        <item x="1"/>
        <item x="3"/>
        <item x="4"/>
        <item x="6"/>
        <item x="0"/>
        <item x="7"/>
        <item x="2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11">
        <item h="1" x="0"/>
        <item x="3"/>
        <item m="1" x="9"/>
        <item x="2"/>
        <item h="1" x="1"/>
        <item x="4"/>
        <item x="5"/>
        <item h="1" x="6"/>
        <item h="1" x="7"/>
        <item h="1" x="8"/>
        <item t="default"/>
      </items>
    </pivotField>
    <pivotField showAll="0"/>
  </pivotFields>
  <rowFields count="1">
    <field x="2"/>
  </rowFields>
  <rowItems count="4">
    <i>
      <x v="1"/>
    </i>
    <i>
      <x v="10"/>
    </i>
    <i>
      <x v="13"/>
    </i>
    <i t="grand">
      <x/>
    </i>
  </rowItems>
  <colFields count="1">
    <field x="3"/>
  </colFields>
  <colItems count="5">
    <i>
      <x v="6"/>
    </i>
    <i>
      <x v="9"/>
    </i>
    <i>
      <x v="12"/>
    </i>
    <i>
      <x v="13"/>
    </i>
    <i t="grand">
      <x/>
    </i>
  </colItems>
  <pageFields count="1">
    <pageField fld="6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7773437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55</v>
      </c>
    </row>
    <row r="2" spans="1:6" x14ac:dyDescent="0.3">
      <c r="A2" t="s">
        <v>47</v>
      </c>
      <c r="B2" t="s">
        <v>48</v>
      </c>
      <c r="F2" t="s">
        <v>54</v>
      </c>
    </row>
    <row r="3" spans="1:6" x14ac:dyDescent="0.3">
      <c r="A3">
        <v>2</v>
      </c>
      <c r="B3" t="s">
        <v>46</v>
      </c>
      <c r="C3" t="s">
        <v>38</v>
      </c>
      <c r="F3" t="s">
        <v>52</v>
      </c>
    </row>
    <row r="4" spans="1:6" x14ac:dyDescent="0.3">
      <c r="A4">
        <v>6</v>
      </c>
      <c r="B4" t="s">
        <v>45</v>
      </c>
      <c r="C4" t="s">
        <v>38</v>
      </c>
      <c r="F4" t="s">
        <v>53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6" workbookViewId="0">
      <selection activeCell="G38" sqref="G38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21875" bestFit="1" customWidth="1"/>
    <col min="10" max="10" width="10.44140625" bestFit="1" customWidth="1"/>
  </cols>
  <sheetData>
    <row r="1" spans="1:10" x14ac:dyDescent="0.3">
      <c r="A1" t="s">
        <v>66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4" t="s">
        <v>81</v>
      </c>
      <c r="J1" t="s">
        <v>84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5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5" t="s">
        <v>17</v>
      </c>
      <c r="J3">
        <v>23</v>
      </c>
    </row>
    <row r="4" spans="1:10" x14ac:dyDescent="0.3">
      <c r="A4" s="6">
        <v>45742</v>
      </c>
      <c r="B4" s="1">
        <v>1</v>
      </c>
      <c r="C4" s="10" t="s">
        <v>6</v>
      </c>
      <c r="D4" s="10" t="s">
        <v>10</v>
      </c>
      <c r="E4" s="11">
        <v>669</v>
      </c>
      <c r="F4" s="11">
        <f t="shared" si="0"/>
        <v>669</v>
      </c>
      <c r="G4" s="10" t="s">
        <v>11</v>
      </c>
      <c r="I4" s="15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94</v>
      </c>
      <c r="I5" s="15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5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5" t="s">
        <v>57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5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5" t="s">
        <v>61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5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58</v>
      </c>
      <c r="I11" s="15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5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5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59</v>
      </c>
      <c r="I14" s="15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59</v>
      </c>
      <c r="I15" s="15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59</v>
      </c>
      <c r="I16" s="15" t="s">
        <v>82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59</v>
      </c>
      <c r="I17" s="15" t="s">
        <v>83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59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59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80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94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59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94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94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94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80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51</v>
      </c>
      <c r="E32" s="3">
        <v>2204</v>
      </c>
      <c r="F32" s="3">
        <f>(B32*E32)</f>
        <v>4408</v>
      </c>
      <c r="G32" s="2" t="s">
        <v>58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ref="F33" si="2">(B33*E33)</f>
        <v>669</v>
      </c>
      <c r="G33" s="2" t="s">
        <v>94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>(B34*E34)</f>
        <v>4921.9799999999996</v>
      </c>
      <c r="G34" s="2" t="s">
        <v>80</v>
      </c>
    </row>
    <row r="35" spans="1:7" x14ac:dyDescent="0.3">
      <c r="A35" s="6">
        <v>45747</v>
      </c>
      <c r="B35" s="2">
        <v>2</v>
      </c>
      <c r="C35" s="2" t="s">
        <v>57</v>
      </c>
      <c r="D35" s="2" t="s">
        <v>25</v>
      </c>
      <c r="E35" s="2">
        <v>2089.9899999999998</v>
      </c>
      <c r="F35" s="2">
        <f t="shared" ref="F35:F39" si="3">(B35*E35)</f>
        <v>4179.9799999999996</v>
      </c>
      <c r="G35" s="2" t="s">
        <v>95</v>
      </c>
    </row>
    <row r="36" spans="1:7" x14ac:dyDescent="0.3">
      <c r="A36" s="6">
        <v>45747</v>
      </c>
      <c r="B36" s="2">
        <v>2</v>
      </c>
      <c r="C36" s="2" t="s">
        <v>57</v>
      </c>
      <c r="D36" s="2" t="s">
        <v>27</v>
      </c>
      <c r="E36" s="2">
        <v>2460.9899999999998</v>
      </c>
      <c r="F36" s="2">
        <f t="shared" si="3"/>
        <v>4921.9799999999996</v>
      </c>
      <c r="G36" s="2" t="s">
        <v>95</v>
      </c>
    </row>
    <row r="37" spans="1:7" x14ac:dyDescent="0.3">
      <c r="A37" s="6">
        <v>45747</v>
      </c>
      <c r="B37" s="10">
        <v>10</v>
      </c>
      <c r="C37" s="10" t="s">
        <v>31</v>
      </c>
      <c r="D37" s="10" t="s">
        <v>60</v>
      </c>
      <c r="E37" s="10">
        <v>213</v>
      </c>
      <c r="F37" s="10">
        <f t="shared" si="3"/>
        <v>2130</v>
      </c>
      <c r="G37" s="10" t="s">
        <v>24</v>
      </c>
    </row>
    <row r="38" spans="1:7" x14ac:dyDescent="0.3">
      <c r="A38" s="6">
        <v>45747</v>
      </c>
      <c r="B38" s="10">
        <v>10</v>
      </c>
      <c r="C38" s="10" t="s">
        <v>61</v>
      </c>
      <c r="D38" s="10" t="s">
        <v>60</v>
      </c>
      <c r="E38" s="10">
        <v>87</v>
      </c>
      <c r="F38" s="10">
        <f t="shared" si="3"/>
        <v>870</v>
      </c>
      <c r="G38" s="10" t="s">
        <v>24</v>
      </c>
    </row>
    <row r="39" spans="1:7" x14ac:dyDescent="0.3">
      <c r="A39" s="16">
        <v>45747</v>
      </c>
      <c r="B39" s="17">
        <v>2</v>
      </c>
      <c r="C39" s="17" t="s">
        <v>17</v>
      </c>
      <c r="D39" s="17" t="s">
        <v>28</v>
      </c>
      <c r="E39" s="17">
        <v>2089.9899999999998</v>
      </c>
      <c r="F39" s="17">
        <f t="shared" si="3"/>
        <v>4179.9799999999996</v>
      </c>
      <c r="G39" s="17" t="s">
        <v>96</v>
      </c>
    </row>
  </sheetData>
  <autoFilter ref="A1:G39" xr:uid="{DC07A957-8A1B-407D-8C45-962A45CF9E96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7"/>
  <sheetViews>
    <sheetView workbookViewId="0">
      <selection activeCell="F10" sqref="F10"/>
    </sheetView>
  </sheetViews>
  <sheetFormatPr defaultRowHeight="14.4" x14ac:dyDescent="0.3"/>
  <cols>
    <col min="1" max="1" width="9.5546875" bestFit="1" customWidth="1"/>
    <col min="3" max="3" width="28.77734375" bestFit="1" customWidth="1"/>
    <col min="4" max="4" width="20.6640625" bestFit="1" customWidth="1"/>
    <col min="7" max="7" width="14.44140625" bestFit="1" customWidth="1"/>
    <col min="8" max="8" width="9.5546875" bestFit="1" customWidth="1"/>
  </cols>
  <sheetData>
    <row r="1" spans="1:11" x14ac:dyDescent="0.3">
      <c r="B1" s="38">
        <v>45746</v>
      </c>
      <c r="C1" s="38"/>
      <c r="D1" s="38"/>
      <c r="E1" s="38"/>
      <c r="F1" s="38"/>
      <c r="G1" s="3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97</v>
      </c>
    </row>
    <row r="3" spans="1:11" x14ac:dyDescent="0.3">
      <c r="B3">
        <v>5</v>
      </c>
      <c r="C3" t="s">
        <v>62</v>
      </c>
      <c r="D3" t="s">
        <v>56</v>
      </c>
      <c r="E3">
        <v>679</v>
      </c>
      <c r="F3">
        <f>(B3*E3)</f>
        <v>3395</v>
      </c>
      <c r="G3" t="s">
        <v>64</v>
      </c>
      <c r="H3">
        <v>4</v>
      </c>
      <c r="I3" t="s">
        <v>64</v>
      </c>
      <c r="K3" s="3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64</v>
      </c>
      <c r="H4">
        <v>1</v>
      </c>
      <c r="I4" t="s">
        <v>64</v>
      </c>
      <c r="K4" s="39"/>
    </row>
    <row r="5" spans="1:11" x14ac:dyDescent="0.3">
      <c r="A5" s="13">
        <v>45748</v>
      </c>
      <c r="B5" s="12">
        <v>1</v>
      </c>
      <c r="C5" s="10" t="s">
        <v>65</v>
      </c>
      <c r="D5" s="12" t="s">
        <v>28</v>
      </c>
      <c r="E5" s="12">
        <v>2460.4899999999998</v>
      </c>
      <c r="F5" s="12">
        <v>2460.4899999999998</v>
      </c>
      <c r="G5" t="s">
        <v>63</v>
      </c>
    </row>
    <row r="6" spans="1:11" x14ac:dyDescent="0.3">
      <c r="A6" s="6">
        <v>45750</v>
      </c>
      <c r="B6" s="12">
        <v>2</v>
      </c>
      <c r="C6" s="2" t="s">
        <v>17</v>
      </c>
      <c r="D6" s="12" t="s">
        <v>28</v>
      </c>
      <c r="E6" s="12">
        <v>2460.4899999999998</v>
      </c>
      <c r="F6" s="12">
        <f>(B6*E6)</f>
        <v>4920.9799999999996</v>
      </c>
      <c r="G6" t="s">
        <v>63</v>
      </c>
    </row>
    <row r="7" spans="1:11" x14ac:dyDescent="0.3">
      <c r="A7" s="6">
        <v>45755</v>
      </c>
      <c r="B7">
        <v>2</v>
      </c>
      <c r="C7" s="2" t="s">
        <v>17</v>
      </c>
      <c r="D7" t="s">
        <v>104</v>
      </c>
      <c r="E7">
        <v>2089</v>
      </c>
      <c r="F7" s="12">
        <f>(B7*E7)</f>
        <v>4178</v>
      </c>
      <c r="G7" t="s">
        <v>63</v>
      </c>
    </row>
  </sheetData>
  <mergeCells count="2">
    <mergeCell ref="B1:G1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O36"/>
  <sheetViews>
    <sheetView tabSelected="1" topLeftCell="A10" workbookViewId="0">
      <selection activeCell="J25" sqref="J25"/>
    </sheetView>
  </sheetViews>
  <sheetFormatPr defaultRowHeight="14.4" x14ac:dyDescent="0.3"/>
  <cols>
    <col min="1" max="1" width="15.21875" customWidth="1"/>
    <col min="3" max="3" width="35.77734375" bestFit="1" customWidth="1"/>
    <col min="4" max="4" width="21.77734375" bestFit="1" customWidth="1"/>
    <col min="7" max="7" width="31.5546875" bestFit="1" customWidth="1"/>
    <col min="8" max="8" width="30.77734375" bestFit="1" customWidth="1"/>
    <col min="10" max="10" width="32.109375" bestFit="1" customWidth="1"/>
    <col min="11" max="11" width="21.44140625" bestFit="1" customWidth="1"/>
    <col min="12" max="12" width="9.88671875" bestFit="1" customWidth="1"/>
    <col min="13" max="13" width="20.109375" bestFit="1" customWidth="1"/>
    <col min="14" max="14" width="22" bestFit="1" customWidth="1"/>
    <col min="15" max="15" width="10.77734375" bestFit="1" customWidth="1"/>
    <col min="16" max="16" width="22" bestFit="1" customWidth="1"/>
    <col min="17" max="17" width="10.77734375" bestFit="1" customWidth="1"/>
  </cols>
  <sheetData>
    <row r="1" spans="1:15" x14ac:dyDescent="0.3">
      <c r="A1" s="2" t="s">
        <v>66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67</v>
      </c>
      <c r="J1" s="14" t="s">
        <v>5</v>
      </c>
      <c r="K1" t="s">
        <v>85</v>
      </c>
    </row>
    <row r="2" spans="1:15" x14ac:dyDescent="0.3">
      <c r="A2" s="8">
        <v>45748</v>
      </c>
      <c r="B2" s="2">
        <v>2</v>
      </c>
      <c r="C2" s="2" t="s">
        <v>69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15" x14ac:dyDescent="0.3">
      <c r="A3" s="8">
        <v>45748</v>
      </c>
      <c r="B3" s="2">
        <v>2</v>
      </c>
      <c r="C3" s="2" t="s">
        <v>70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J3" s="14" t="s">
        <v>84</v>
      </c>
      <c r="K3" s="14" t="s">
        <v>86</v>
      </c>
    </row>
    <row r="4" spans="1:15" x14ac:dyDescent="0.3">
      <c r="A4" s="2"/>
      <c r="B4" s="2"/>
      <c r="C4" s="2"/>
      <c r="D4" s="2"/>
      <c r="E4" s="3"/>
      <c r="F4" s="3"/>
      <c r="G4" s="2"/>
      <c r="H4" s="2"/>
      <c r="J4" s="14" t="s">
        <v>81</v>
      </c>
      <c r="K4" t="s">
        <v>73</v>
      </c>
      <c r="L4" t="s">
        <v>88</v>
      </c>
      <c r="M4" t="s">
        <v>41</v>
      </c>
      <c r="N4" t="s">
        <v>93</v>
      </c>
      <c r="O4" t="s">
        <v>83</v>
      </c>
    </row>
    <row r="5" spans="1:15" x14ac:dyDescent="0.3">
      <c r="A5" s="8">
        <v>45749</v>
      </c>
      <c r="B5" s="2">
        <v>2</v>
      </c>
      <c r="C5" s="2" t="s">
        <v>68</v>
      </c>
      <c r="D5" s="2" t="s">
        <v>19</v>
      </c>
      <c r="E5" s="3">
        <v>2517.4899999999998</v>
      </c>
      <c r="F5" s="3">
        <f>(B5*E5)</f>
        <v>5034.9799999999996</v>
      </c>
      <c r="G5" s="2" t="s">
        <v>8</v>
      </c>
      <c r="H5" s="2"/>
      <c r="J5" s="15" t="s">
        <v>69</v>
      </c>
      <c r="K5">
        <v>2</v>
      </c>
      <c r="N5">
        <v>1</v>
      </c>
      <c r="O5">
        <v>3</v>
      </c>
    </row>
    <row r="6" spans="1:15" x14ac:dyDescent="0.3">
      <c r="A6" s="8">
        <v>45749</v>
      </c>
      <c r="B6" s="2">
        <v>2</v>
      </c>
      <c r="C6" s="2" t="s">
        <v>69</v>
      </c>
      <c r="D6" s="2" t="s">
        <v>71</v>
      </c>
      <c r="E6" s="3">
        <v>2089.4899999999998</v>
      </c>
      <c r="F6" s="3">
        <f t="shared" ref="F6:F32" si="0">(B6*E6)</f>
        <v>4178.9799999999996</v>
      </c>
      <c r="G6" s="2" t="s">
        <v>8</v>
      </c>
      <c r="H6" s="2"/>
      <c r="J6" s="15" t="s">
        <v>10</v>
      </c>
      <c r="L6">
        <v>1</v>
      </c>
      <c r="O6">
        <v>1</v>
      </c>
    </row>
    <row r="7" spans="1:15" x14ac:dyDescent="0.3">
      <c r="A7" s="8">
        <v>45749</v>
      </c>
      <c r="B7" s="2">
        <v>2</v>
      </c>
      <c r="C7" s="2" t="s">
        <v>74</v>
      </c>
      <c r="D7" s="2" t="s">
        <v>71</v>
      </c>
      <c r="E7" s="3">
        <v>2089.4899999999998</v>
      </c>
      <c r="F7" s="3">
        <f t="shared" si="0"/>
        <v>4178.9799999999996</v>
      </c>
      <c r="G7" s="2" t="s">
        <v>8</v>
      </c>
      <c r="H7" s="2"/>
      <c r="J7" s="15" t="s">
        <v>29</v>
      </c>
      <c r="M7">
        <v>1</v>
      </c>
      <c r="O7">
        <v>1</v>
      </c>
    </row>
    <row r="8" spans="1:15" x14ac:dyDescent="0.3">
      <c r="A8" s="8">
        <v>45749</v>
      </c>
      <c r="B8" s="2">
        <v>1</v>
      </c>
      <c r="C8" s="2" t="s">
        <v>69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J8" s="15" t="s">
        <v>83</v>
      </c>
      <c r="K8">
        <v>2</v>
      </c>
      <c r="L8">
        <v>1</v>
      </c>
      <c r="M8">
        <v>1</v>
      </c>
      <c r="N8">
        <v>1</v>
      </c>
      <c r="O8">
        <v>5</v>
      </c>
    </row>
    <row r="9" spans="1:15" x14ac:dyDescent="0.3">
      <c r="A9" s="8">
        <v>45749</v>
      </c>
      <c r="B9" s="2">
        <v>1</v>
      </c>
      <c r="C9" s="2" t="s">
        <v>74</v>
      </c>
      <c r="D9" s="2" t="s">
        <v>16</v>
      </c>
      <c r="E9" s="3">
        <v>2089.9899999999998</v>
      </c>
      <c r="F9" s="3">
        <f t="shared" si="0"/>
        <v>2089.9899999999998</v>
      </c>
      <c r="G9" s="2" t="s">
        <v>8</v>
      </c>
      <c r="H9" s="8">
        <v>45755</v>
      </c>
    </row>
    <row r="10" spans="1:15" x14ac:dyDescent="0.3">
      <c r="A10" s="8">
        <v>45749</v>
      </c>
      <c r="B10" s="2">
        <v>8</v>
      </c>
      <c r="C10" s="2" t="s">
        <v>75</v>
      </c>
      <c r="D10" s="2" t="s">
        <v>72</v>
      </c>
      <c r="E10" s="3">
        <v>229</v>
      </c>
      <c r="F10" s="3">
        <f t="shared" si="0"/>
        <v>1832</v>
      </c>
      <c r="G10" s="2" t="s">
        <v>8</v>
      </c>
      <c r="H10" s="8">
        <v>45749</v>
      </c>
    </row>
    <row r="11" spans="1:15" x14ac:dyDescent="0.3">
      <c r="A11" s="8">
        <v>45749</v>
      </c>
      <c r="B11" s="2">
        <v>1</v>
      </c>
      <c r="C11" s="2" t="s">
        <v>76</v>
      </c>
      <c r="D11" s="2" t="s">
        <v>72</v>
      </c>
      <c r="E11" s="3">
        <v>699</v>
      </c>
      <c r="F11" s="3">
        <f t="shared" si="0"/>
        <v>699</v>
      </c>
      <c r="G11" s="2" t="s">
        <v>8</v>
      </c>
      <c r="H11" s="8">
        <v>45750</v>
      </c>
    </row>
    <row r="12" spans="1:15" x14ac:dyDescent="0.3">
      <c r="A12" s="8">
        <v>45749</v>
      </c>
      <c r="B12" s="2">
        <v>1</v>
      </c>
      <c r="C12" s="2" t="s">
        <v>77</v>
      </c>
      <c r="D12" s="2" t="s">
        <v>72</v>
      </c>
      <c r="E12" s="3">
        <v>799</v>
      </c>
      <c r="F12" s="3">
        <f t="shared" si="0"/>
        <v>799</v>
      </c>
      <c r="G12" s="2" t="s">
        <v>8</v>
      </c>
      <c r="H12" s="8">
        <v>45750</v>
      </c>
    </row>
    <row r="13" spans="1:15" x14ac:dyDescent="0.3">
      <c r="A13" s="8">
        <v>45749</v>
      </c>
      <c r="B13" s="2">
        <v>1</v>
      </c>
      <c r="C13" s="2" t="s">
        <v>69</v>
      </c>
      <c r="D13" s="2" t="s">
        <v>72</v>
      </c>
      <c r="E13" s="3">
        <v>2149</v>
      </c>
      <c r="F13" s="3">
        <f t="shared" si="0"/>
        <v>2149</v>
      </c>
      <c r="G13" s="2" t="s">
        <v>8</v>
      </c>
      <c r="H13" s="8">
        <v>45749</v>
      </c>
    </row>
    <row r="14" spans="1:15" x14ac:dyDescent="0.3">
      <c r="A14" s="18">
        <v>45749</v>
      </c>
      <c r="B14" s="19">
        <v>1</v>
      </c>
      <c r="C14" s="19" t="s">
        <v>69</v>
      </c>
      <c r="D14" s="19" t="s">
        <v>21</v>
      </c>
      <c r="E14" s="20">
        <v>2089.9899999999998</v>
      </c>
      <c r="F14" s="20">
        <f t="shared" si="0"/>
        <v>2089.9899999999998</v>
      </c>
      <c r="G14" s="17"/>
      <c r="H14" s="19" t="s">
        <v>101</v>
      </c>
    </row>
    <row r="15" spans="1:15" s="21" customFormat="1" x14ac:dyDescent="0.3">
      <c r="A15" s="18">
        <v>45749</v>
      </c>
      <c r="B15" s="19">
        <v>2</v>
      </c>
      <c r="C15" s="19" t="s">
        <v>69</v>
      </c>
      <c r="D15" s="19" t="s">
        <v>73</v>
      </c>
      <c r="E15" s="20">
        <v>2089.9899999999998</v>
      </c>
      <c r="F15" s="20">
        <f t="shared" si="0"/>
        <v>4179.9799999999996</v>
      </c>
      <c r="G15" s="17" t="s">
        <v>79</v>
      </c>
      <c r="H15" s="19" t="s">
        <v>98</v>
      </c>
    </row>
    <row r="16" spans="1:15" x14ac:dyDescent="0.3">
      <c r="A16" s="8">
        <v>45749</v>
      </c>
      <c r="B16" s="2">
        <v>1</v>
      </c>
      <c r="C16" s="2" t="s">
        <v>69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</row>
    <row r="17" spans="1:8" x14ac:dyDescent="0.3">
      <c r="A17" s="8">
        <v>45749</v>
      </c>
      <c r="B17" s="2">
        <v>1</v>
      </c>
      <c r="C17" s="2" t="s">
        <v>74</v>
      </c>
      <c r="D17" s="2" t="s">
        <v>28</v>
      </c>
      <c r="E17" s="3">
        <v>2089.9899999999998</v>
      </c>
      <c r="F17" s="3">
        <f t="shared" si="0"/>
        <v>2089.9899999999998</v>
      </c>
      <c r="G17" s="2" t="s">
        <v>8</v>
      </c>
      <c r="H17" s="8">
        <v>45751</v>
      </c>
    </row>
    <row r="18" spans="1:8" x14ac:dyDescent="0.3">
      <c r="A18" s="8">
        <v>45749</v>
      </c>
      <c r="B18" s="2">
        <v>1</v>
      </c>
      <c r="C18" s="2" t="s">
        <v>78</v>
      </c>
      <c r="D18" s="2" t="s">
        <v>28</v>
      </c>
      <c r="E18" s="3">
        <v>39</v>
      </c>
      <c r="F18" s="3">
        <f t="shared" si="0"/>
        <v>39</v>
      </c>
      <c r="G18" s="2" t="s">
        <v>8</v>
      </c>
      <c r="H18" s="8">
        <v>45749</v>
      </c>
    </row>
    <row r="19" spans="1:8" x14ac:dyDescent="0.3">
      <c r="A19" s="2"/>
      <c r="B19" s="2"/>
      <c r="C19" s="2"/>
      <c r="D19" s="2"/>
      <c r="E19" s="2"/>
      <c r="F19" s="3">
        <f t="shared" si="0"/>
        <v>0</v>
      </c>
      <c r="G19" s="2"/>
      <c r="H19" s="2"/>
    </row>
    <row r="20" spans="1:8" x14ac:dyDescent="0.3">
      <c r="A20" s="8">
        <v>45750</v>
      </c>
      <c r="B20" s="2">
        <v>1</v>
      </c>
      <c r="C20" s="2" t="s">
        <v>87</v>
      </c>
      <c r="D20" s="2" t="s">
        <v>7</v>
      </c>
      <c r="E20" s="3">
        <v>799</v>
      </c>
      <c r="F20" s="3">
        <f t="shared" si="0"/>
        <v>799</v>
      </c>
      <c r="G20" s="2" t="s">
        <v>8</v>
      </c>
      <c r="H20" s="2"/>
    </row>
    <row r="21" spans="1:8" x14ac:dyDescent="0.3">
      <c r="A21" s="8">
        <v>45750</v>
      </c>
      <c r="B21" s="2">
        <v>1</v>
      </c>
      <c r="C21" s="2" t="s">
        <v>10</v>
      </c>
      <c r="D21" s="2" t="s">
        <v>88</v>
      </c>
      <c r="E21" s="3">
        <v>669</v>
      </c>
      <c r="F21" s="3">
        <f t="shared" si="0"/>
        <v>669</v>
      </c>
      <c r="G21" s="10" t="s">
        <v>24</v>
      </c>
      <c r="H21" s="2"/>
    </row>
    <row r="22" spans="1:8" x14ac:dyDescent="0.3">
      <c r="A22" s="8">
        <v>45750</v>
      </c>
      <c r="B22" s="2"/>
      <c r="C22" s="2" t="s">
        <v>89</v>
      </c>
      <c r="D22" s="2" t="s">
        <v>90</v>
      </c>
      <c r="E22" s="3">
        <v>36.54</v>
      </c>
      <c r="F22" s="3">
        <f t="shared" si="0"/>
        <v>0</v>
      </c>
      <c r="G22" s="2"/>
      <c r="H22" s="2"/>
    </row>
    <row r="23" spans="1:8" x14ac:dyDescent="0.3">
      <c r="A23" s="8"/>
      <c r="B23" s="2"/>
      <c r="C23" s="2"/>
      <c r="D23" s="2"/>
      <c r="E23" s="3"/>
      <c r="F23" s="3">
        <f t="shared" si="0"/>
        <v>0</v>
      </c>
      <c r="G23" s="2"/>
      <c r="H23" s="2"/>
    </row>
    <row r="24" spans="1:8" x14ac:dyDescent="0.3">
      <c r="A24" s="8">
        <v>45751</v>
      </c>
      <c r="B24" s="2">
        <v>6</v>
      </c>
      <c r="C24" s="2" t="s">
        <v>91</v>
      </c>
      <c r="D24" s="2" t="s">
        <v>92</v>
      </c>
      <c r="E24" s="3">
        <v>87</v>
      </c>
      <c r="F24" s="3">
        <f t="shared" si="0"/>
        <v>522</v>
      </c>
      <c r="G24" s="2" t="s">
        <v>8</v>
      </c>
      <c r="H24" s="2"/>
    </row>
    <row r="25" spans="1:8" x14ac:dyDescent="0.3">
      <c r="A25" s="8">
        <v>45751</v>
      </c>
      <c r="B25" s="2">
        <v>1</v>
      </c>
      <c r="C25" s="2" t="s">
        <v>29</v>
      </c>
      <c r="D25" s="2" t="s">
        <v>41</v>
      </c>
      <c r="E25" s="3">
        <v>2204</v>
      </c>
      <c r="F25" s="3">
        <f t="shared" si="0"/>
        <v>2204</v>
      </c>
      <c r="G25" s="10" t="s">
        <v>12</v>
      </c>
      <c r="H25" s="2"/>
    </row>
    <row r="26" spans="1:8" x14ac:dyDescent="0.3">
      <c r="A26" s="8">
        <v>45751</v>
      </c>
      <c r="B26" s="2">
        <v>1</v>
      </c>
      <c r="C26" s="2" t="s">
        <v>74</v>
      </c>
      <c r="D26" s="2" t="s">
        <v>93</v>
      </c>
      <c r="E26" s="3">
        <v>2089.9899999999998</v>
      </c>
      <c r="F26" s="3">
        <f t="shared" si="0"/>
        <v>2089.9899999999998</v>
      </c>
      <c r="G26" s="2" t="s">
        <v>8</v>
      </c>
      <c r="H26" s="2"/>
    </row>
    <row r="27" spans="1:8" x14ac:dyDescent="0.3">
      <c r="A27" s="8">
        <v>45751</v>
      </c>
      <c r="B27" s="2">
        <v>1</v>
      </c>
      <c r="C27" s="2" t="s">
        <v>69</v>
      </c>
      <c r="D27" s="2" t="s">
        <v>93</v>
      </c>
      <c r="E27" s="3">
        <v>2089.9899999999998</v>
      </c>
      <c r="F27" s="3">
        <f t="shared" si="0"/>
        <v>2089.9899999999998</v>
      </c>
      <c r="G27" s="10" t="s">
        <v>50</v>
      </c>
      <c r="H27" s="2"/>
    </row>
    <row r="28" spans="1:8" x14ac:dyDescent="0.3">
      <c r="A28" s="22">
        <v>45752</v>
      </c>
      <c r="B28" s="23">
        <v>1</v>
      </c>
      <c r="C28" s="23" t="s">
        <v>69</v>
      </c>
      <c r="D28" s="24" t="s">
        <v>71</v>
      </c>
      <c r="E28" s="25">
        <v>2089.9899999999998</v>
      </c>
      <c r="F28" s="25">
        <f t="shared" si="0"/>
        <v>2089.9899999999998</v>
      </c>
      <c r="G28" s="26" t="s">
        <v>8</v>
      </c>
      <c r="H28" s="2"/>
    </row>
    <row r="29" spans="1:8" x14ac:dyDescent="0.3">
      <c r="A29" s="29">
        <v>45752</v>
      </c>
      <c r="B29" s="30">
        <v>1</v>
      </c>
      <c r="C29" s="30" t="s">
        <v>105</v>
      </c>
      <c r="D29" s="31" t="s">
        <v>71</v>
      </c>
      <c r="E29" s="32">
        <v>2089.9899999999998</v>
      </c>
      <c r="F29" s="32">
        <f t="shared" si="0"/>
        <v>2089.9899999999998</v>
      </c>
      <c r="G29" s="33" t="s">
        <v>106</v>
      </c>
      <c r="H29" s="2"/>
    </row>
    <row r="30" spans="1:8" x14ac:dyDescent="0.3">
      <c r="A30" s="22">
        <v>45752</v>
      </c>
      <c r="B30" s="23">
        <v>1</v>
      </c>
      <c r="C30" s="24" t="s">
        <v>103</v>
      </c>
      <c r="D30" s="23" t="s">
        <v>7</v>
      </c>
      <c r="E30" s="27">
        <v>149</v>
      </c>
      <c r="F30" s="25">
        <f t="shared" si="0"/>
        <v>149</v>
      </c>
      <c r="G30" s="24" t="s">
        <v>8</v>
      </c>
      <c r="H30" s="2"/>
    </row>
    <row r="31" spans="1:8" x14ac:dyDescent="0.3">
      <c r="A31" s="22">
        <v>45752</v>
      </c>
      <c r="B31" s="23">
        <v>1</v>
      </c>
      <c r="C31" s="23" t="s">
        <v>102</v>
      </c>
      <c r="D31" s="23" t="s">
        <v>7</v>
      </c>
      <c r="E31" s="28">
        <v>2549</v>
      </c>
      <c r="F31" s="25">
        <f t="shared" si="0"/>
        <v>2549</v>
      </c>
      <c r="G31" s="24" t="s">
        <v>8</v>
      </c>
      <c r="H31" s="2"/>
    </row>
    <row r="32" spans="1:8" x14ac:dyDescent="0.3">
      <c r="A32" s="34">
        <v>45755</v>
      </c>
      <c r="B32" s="35">
        <v>1</v>
      </c>
      <c r="C32" s="35" t="s">
        <v>69</v>
      </c>
      <c r="D32" s="36" t="s">
        <v>71</v>
      </c>
      <c r="E32" s="37">
        <v>2089.9899999999998</v>
      </c>
      <c r="F32" s="37">
        <f t="shared" si="0"/>
        <v>2089.9899999999998</v>
      </c>
      <c r="G32" s="36" t="s">
        <v>100</v>
      </c>
      <c r="H32" s="2"/>
    </row>
    <row r="33" spans="1:8" x14ac:dyDescent="0.3">
      <c r="A33" s="34">
        <v>45755</v>
      </c>
      <c r="B33" s="36">
        <v>1</v>
      </c>
      <c r="C33" s="35" t="s">
        <v>74</v>
      </c>
      <c r="D33" s="36" t="s">
        <v>16</v>
      </c>
      <c r="E33" s="37">
        <v>2089.9899999999998</v>
      </c>
      <c r="F33" s="37">
        <v>2089</v>
      </c>
      <c r="G33" s="36" t="s">
        <v>99</v>
      </c>
      <c r="H33" s="2"/>
    </row>
    <row r="34" spans="1:8" x14ac:dyDescent="0.3">
      <c r="A34" s="34">
        <v>45755</v>
      </c>
      <c r="B34" s="36">
        <v>1</v>
      </c>
      <c r="C34" s="35" t="s">
        <v>74</v>
      </c>
      <c r="D34" s="36" t="s">
        <v>16</v>
      </c>
      <c r="E34" s="37">
        <v>2089.9899999999998</v>
      </c>
      <c r="F34" s="37">
        <v>2089</v>
      </c>
      <c r="G34" s="36" t="s">
        <v>99</v>
      </c>
      <c r="H34" s="2"/>
    </row>
    <row r="35" spans="1:8" x14ac:dyDescent="0.3">
      <c r="A35" s="24"/>
      <c r="B35" s="24"/>
      <c r="C35" s="24"/>
      <c r="D35" s="24"/>
      <c r="E35" s="24"/>
      <c r="F35" s="24"/>
      <c r="G35" s="24"/>
    </row>
    <row r="36" spans="1:8" x14ac:dyDescent="0.3">
      <c r="A36" s="24"/>
      <c r="B36" s="24"/>
      <c r="C36" s="24"/>
      <c r="D36" s="24"/>
      <c r="E36" s="24"/>
      <c r="F36" s="24"/>
      <c r="G36" s="24"/>
    </row>
  </sheetData>
  <autoFilter ref="A1:H3" xr:uid="{59636CEA-D1B9-4BE4-8046-94F5B918FE6C}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Pending</vt:lpstr>
      <vt:lpstr>March </vt:lpstr>
      <vt:lpstr>Mehwish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2025-04-11T16:36:15Z</dcterms:modified>
</cp:coreProperties>
</file>