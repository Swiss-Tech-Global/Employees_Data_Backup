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A5109551-B969-4F30-A341-058D07F67B07}" xr6:coauthVersionLast="47" xr6:coauthVersionMax="47" xr10:uidLastSave="{00000000-0000-0000-0000-000000000000}"/>
  <bookViews>
    <workbookView xWindow="-108" yWindow="-108" windowWidth="23256" windowHeight="13896" firstSheet="18" activeTab="22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r:id="rId19"/>
    <sheet name="AU July" sheetId="18" r:id="rId20"/>
    <sheet name="AU SEP" sheetId="23" r:id="rId21"/>
    <sheet name="AU OCT" sheetId="24" r:id="rId22"/>
    <sheet name="AU NOV" sheetId="27" r:id="rId23"/>
    <sheet name="NZ OCT" sheetId="25" r:id="rId24"/>
    <sheet name="NZ NOV" sheetId="26" r:id="rId25"/>
    <sheet name="NZ visit expense" sheetId="17" state="hidden" r:id="rId26"/>
    <sheet name="Abdul Rafey" sheetId="5" state="hidden" r:id="rId27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7" r:id="rId28"/>
    <pivotCache cacheId="8" r:id="rId29"/>
    <pivotCache cacheId="9" r:id="rId30"/>
    <pivotCache cacheId="10" r:id="rId31"/>
    <pivotCache cacheId="11" r:id="rId32"/>
    <pivotCache cacheId="12" r:id="rId33"/>
    <pivotCache cacheId="13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26" l="1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E11" i="29" l="1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<sst xmlns="http://schemas.openxmlformats.org/spreadsheetml/2006/main" count="2223" uniqueCount="671">
  <si>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</si>
  <si>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</si>
  <si>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</si>
  <si>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</si>
  <si>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</si>
  <si>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</si>
  <si>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</si>
  <si>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</si>
  <si>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</si>
  <si>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</si>
  <si>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</si>
  <si>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</si>
  <si>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</si>
  <si>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</si>
  <si>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</si>
  <si>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</si>
  <si>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</si>
  <si>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</si>
  <si>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</si>
  <si>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</si>
  <si>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</si>
  <si>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</si>
  <si>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</si>
  <si>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</si>
  <si>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</si>
  <si>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</si>
  <si>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</si>
  <si>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</si>
  <si>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</si>
  <si>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</si>
  <si>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</si>
  <si>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</si>
  <si>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</si>
  <si>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</si>
  <si>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</si>
  <si>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</si>
  <si>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</si>
  <si>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</si>
  <si>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</si>
  <si>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</si>
  <si>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</si>
  <si>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</si>
  <si>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</si>
  <si>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</si>
  <si>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</si>
  <si>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</si>
  <si>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</si>
  <si>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</si>
  <si>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</si>
  <si>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</si>
  <si>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</si>
  <si>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</si>
  <si>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</si>
  <si>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</si>
  <si>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</si>
  <si>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</si>
  <si>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</si>
  <si>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</si>
  <si>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</si>
  <si>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</si>
  <si>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</si>
  <si>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</si>
  <si>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</si>
  <si>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</si>
  <si>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</si>
  <si>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</si>
  <si>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</si>
  <si>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</si>
  <si>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</si>
  <si>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</si>
  <si>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</si>
  <si>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</si>
  <si>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</si>
  <si>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</si>
  <si>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</si>
  <si>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</si>
  <si>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</si>
  <si>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</si>
  <si>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</si>
  <si>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</si>
  <si>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</si>
  <si>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</si>
  <si>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</si>
  <si>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</si>
  <si>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</si>
  <si>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</si>
  <si>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</si>
  <si>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</si>
  <si>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</si>
  <si>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</si>
  <si>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</si>
  <si>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</si>
  <si>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</si>
  <si>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</si>
  <si>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</si>
  <si>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</si>
  <si>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</si>
  <si>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</si>
  <si>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</si>
  <si>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</si>
  <si>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</si>
  <si>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</si>
  <si>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</si>
  <si>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</si>
  <si>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</si>
  <si>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</si>
  <si>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</si>
  <si>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</si>
  <si>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</si>
  <si>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</si>
  <si>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</si>
  <si>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</si>
  <si>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</si>
  <si>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</si>
  <si>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</si>
  <si>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</si>
  <si>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</si>
  <si>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</si>
  <si>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</si>
  <si>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</si>
  <si>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</si>
  <si>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</si>
  <si>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</si>
  <si>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</si>
  <si>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</si>
  <si>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</si>
  <si>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</si>
  <si>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</si>
  <si>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</si>
  <si>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</si>
  <si>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</si>
  <si>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</si>
  <si>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</si>
  <si>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</si>
  <si>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</si>
  <si>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</si>
  <si>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</si>
  <si>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</si>
  <si>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</si>
  <si>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</si>
  <si>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</si>
  <si>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</si>
  <si>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</si>
  <si>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</si>
  <si>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</si>
  <si>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</si>
  <si>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</si>
  <si>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</si>
  <si>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</si>
  <si>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</si>
  <si>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</si>
  <si>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</si>
  <si>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</si>
  <si>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</si>
  <si>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</si>
  <si>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</si>
  <si>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</si>
  <si>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</si>
  <si>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</si>
  <si>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</si>
  <si>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</si>
  <si>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</si>
  <si>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</si>
  <si>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</si>
  <si>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</si>
  <si>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</si>
  <si>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</si>
  <si>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</si>
  <si>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</si>
  <si>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</si>
  <si>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</si>
  <si>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</si>
  <si>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</si>
  <si>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</si>
  <si>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</si>
  <si>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</si>
  <si>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</si>
  <si>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</si>
  <si>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</si>
  <si>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</si>
  <si>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</si>
  <si>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</si>
  <si>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</si>
  <si>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</si>
  <si>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</si>
  <si>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</si>
  <si>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</si>
  <si>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</si>
  <si>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</si>
  <si>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</si>
  <si>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</si>
  <si>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</si>
  <si>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</si>
  <si>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</si>
  <si>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</si>
  <si>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</si>
  <si>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</si>
  <si>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</si>
  <si>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</si>
  <si>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</si>
  <si>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</si>
  <si>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</si>
  <si>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</si>
  <si>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</si>
  <si>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</si>
  <si>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</si>
  <si>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</si>
  <si>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</si>
  <si>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</si>
  <si>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</si>
  <si>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</si>
  <si>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</si>
  <si>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</si>
  <si>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</si>
  <si>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</si>
  <si>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</si>
  <si>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</si>
  <si>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</si>
  <si>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</si>
  <si>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</si>
  <si>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</si>
  <si>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</si>
  <si>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</si>
  <si>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</si>
  <si>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</si>
  <si>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</si>
  <si>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</si>
  <si>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</si>
  <si>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</si>
  <si>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</si>
  <si>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</si>
  <si>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</si>
  <si>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</si>
  <si>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</si>
  <si>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</si>
  <si>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</si>
  <si>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</si>
  <si>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</si>
  <si>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</si>
  <si>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</si>
  <si>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</si>
  <si>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</si>
  <si>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</si>
  <si>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</si>
  <si>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</si>
  <si>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</si>
  <si>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</si>
  <si>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</si>
  <si>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</si>
  <si>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</si>
  <si>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</si>
  <si>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</si>
  <si>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</si>
  <si>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</si>
  <si>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</si>
  <si>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</si>
  <si>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</si>
  <si>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</si>
  <si>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</si>
  <si>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</si>
  <si>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</si>
  <si>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</si>
  <si>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</si>
  <si>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</si>
  <si>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</si>
  <si>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</si>
  <si>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</si>
  <si>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</si>
  <si>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</si>
  <si>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</si>
  <si>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</si>
  <si>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</si>
  <si>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</si>
  <si>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</si>
  <si>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</si>
  <si>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</si>
  <si>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</si>
  <si>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</si>
  <si>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</si>
  <si>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</si>
  <si>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</si>
  <si>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</si>
  <si>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</si>
  <si>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</si>
  <si>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</si>
  <si>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</si>
  <si>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</si>
  <si>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</si>
  <si>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</si>
  <si>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</si>
  <si>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</si>
  <si>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</si>
  <si>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</si>
  <si>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</si>
  <si>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</si>
  <si>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</si>
  <si>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</si>
  <si>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</si>
  <si>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</si>
  <si>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</si>
  <si>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</si>
  <si>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</si>
  <si>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</si>
  <si>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</si>
  <si>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</si>
  <si>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</si>
  <si>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</si>
  <si>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</si>
  <si>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</si>
  <si>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</si>
  <si>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</si>
  <si>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</si>
  <si>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</si>
  <si>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</si>
  <si>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</si>
  <si>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</si>
  <si>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</si>
  <si>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</si>
  <si>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</si>
  <si>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</si>
  <si>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</si>
  <si>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</si>
  <si>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</si>
  <si>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</si>
  <si>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</si>
  <si>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</si>
  <si>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</si>
  <si>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</si>
  <si>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</si>
  <si>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</si>
  <si>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</si>
  <si>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</si>
  <si>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</si>
  <si>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</si>
  <si>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</si>
  <si>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</si>
  <si>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</si>
  <si>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</si>
  <si>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</si>
  <si>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</si>
  <si>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</si>
  <si>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</si>
  <si>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</si>
  <si>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</si>
  <si>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</si>
  <si>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</si>
  <si>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</si>
  <si>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</si>
  <si>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</si>
  <si>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</si>
  <si>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</si>
  <si>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</si>
  <si>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</si>
  <si>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</si>
  <si>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</si>
  <si>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</si>
  <si>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</si>
  <si>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</si>
  <si>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</si>
  <si>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</si>
  <si>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</si>
  <si>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</si>
  <si>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</si>
  <si>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</si>
  <si>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</si>
  <si>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</si>
  <si>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</si>
  <si>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</si>
  <si>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</si>
  <si>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</si>
  <si>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</si>
  <si>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</si>
  <si>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</si>
  <si>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</si>
  <si>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</si>
  <si>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</si>
  <si>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</si>
  <si>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</si>
  <si>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</si>
  <si>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</si>
  <si>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</si>
  <si>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</si>
  <si>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</si>
  <si>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</si>
  <si>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</si>
  <si>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</si>
  <si>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</si>
  <si>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</si>
  <si>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</si>
  <si>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</si>
  <si>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</si>
  <si>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</si>
  <si>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</si>
  <si>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</si>
  <si>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</si>
  <si>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</si>
  <si>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</si>
  <si>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</si>
  <si>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</si>
  <si>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</si>
  <si>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</si>
  <si>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</si>
  <si>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</si>
  <si>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</si>
  <si>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</si>
  <si>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</si>
  <si>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</si>
  <si>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</si>
  <si>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</si>
  <si>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</si>
  <si>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</si>
  <si>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</si>
  <si>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</si>
  <si>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</si>
  <si>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</si>
  <si>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</si>
  <si>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</si>
  <si>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</si>
  <si>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</si>
  <si>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</si>
  <si>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</si>
  <si>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</si>
  <si>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</si>
  <si>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</si>
  <si>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</si>
  <si>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</si>
  <si>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</si>
  <si>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</si>
  <si>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</si>
  <si>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</si>
  <si>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</si>
  <si>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</si>
  <si>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</si>
  <si>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</si>
  <si>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</si>
  <si>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</si>
  <si>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</si>
  <si>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</si>
  <si>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</si>
  <si>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</si>
  <si>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</si>
  <si>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</si>
  <si>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</si>
  <si>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</si>
  <si>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</si>
  <si>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</si>
  <si>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</si>
  <si>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</si>
  <si>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</si>
  <si>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</si>
  <si>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</si>
  <si>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</si>
  <si>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</si>
  <si>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</si>
  <si>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</si>
  <si>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</si>
  <si>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</si>
  <si>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</si>
  <si>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</si>
  <si>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</si>
  <si>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</si>
  <si>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</si>
  <si>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</si>
  <si>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</si>
  <si>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</si>
  <si>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</si>
  <si>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</si>
  <si>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</si>
  <si>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</si>
  <si>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</si>
  <si>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</si>
  <si>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</si>
  <si>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</si>
  <si>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</si>
  <si>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</si>
  <si>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</si>
  <si>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</si>
  <si>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</si>
  <si>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</si>
  <si>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</si>
  <si>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</si>
  <si>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</si>
  <si>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</si>
  <si>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</si>
  <si>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</si>
  <si>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</si>
  <si>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</si>
  <si>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</si>
  <si>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</si>
  <si>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</si>
  <si>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</si>
  <si>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</si>
  <si>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</si>
  <si>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</si>
  <si>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</si>
  <si>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</si>
  <si>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</si>
  <si>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</si>
  <si>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</si>
  <si>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</si>
  <si>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</si>
  <si>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</si>
  <si>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</si>
  <si>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</si>
  <si>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</si>
  <si>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</si>
  <si>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</si>
  <si>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</si>
  <si>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</si>
  <si>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</si>
  <si>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</si>
  <si>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</si>
  <si>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</si>
  <si>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</si>
  <si>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</si>
  <si>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</si>
  <si>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</si>
  <si>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</si>
  <si>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</si>
  <si>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</si>
  <si>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</si>
  <si>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</si>
  <si>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</si>
  <si>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</si>
  <si>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</si>
  <si>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</si>
  <si>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</si>
  <si>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</si>
  <si>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</si>
  <si>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</si>
  <si>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</si>
  <si>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</si>
  <si>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</si>
  <si>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</si>
  <si>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</si>
  <si>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</si>
  <si>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</si>
  <si>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</si>
  <si>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</si>
  <si>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</si>
  <si>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</si>
  <si>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</si>
  <si>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</si>
  <si>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</si>
  <si>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</si>
  <si>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</si>
  <si>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</si>
  <si>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</si>
  <si>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</si>
  <si>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</si>
  <si>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</si>
  <si>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</si>
  <si>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</si>
  <si>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</si>
  <si>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</si>
  <si>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</si>
  <si>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</si>
  <si>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</si>
  <si>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</si>
  <si>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</si>
  <si>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</si>
  <si>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</si>
  <si>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</si>
  <si>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</si>
  <si>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</si>
  <si>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</si>
  <si>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</si>
  <si>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</si>
  <si>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</si>
  <si>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</si>
  <si>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</si>
  <si>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</si>
  <si>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</si>
  <si>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</si>
  <si>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</si>
  <si>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</si>
  <si>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</si>
  <si>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</si>
  <si>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</si>
  <si>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</si>
  <si>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</si>
  <si>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</si>
  <si>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</si>
  <si>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</si>
  <si>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</si>
  <si>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</si>
  <si>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</si>
  <si>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</si>
  <si>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</si>
  <si>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</si>
  <si>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</si>
  <si>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</si>
  <si>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</si>
  <si>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</si>
  <si>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</si>
  <si>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</si>
  <si>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</si>
  <si>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</si>
  <si>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</si>
  <si>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</si>
  <si>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</si>
  <si>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</si>
  <si>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</si>
  <si>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</si>
  <si>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</si>
  <si>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</si>
  <si>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</si>
  <si>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</si>
  <si>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</si>
  <si>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</si>
  <si>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</si>
  <si>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</si>
  <si>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</si>
  <si>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</si>
  <si>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</si>
  <si>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</si>
  <si>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</si>
  <si>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</si>
  <si>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</si>
  <si>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</si>
  <si>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</si>
  <si>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</si>
  <si>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</si>
  <si>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</si>
  <si>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</si>
  <si>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</si>
  <si>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</si>
  <si>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</si>
  <si>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</si>
  <si>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</si>
  <si>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</si>
  <si>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</si>
  <si>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</si>
  <si>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</si>
  <si>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</si>
  <si>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</si>
  <si>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</si>
  <si>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</si>
  <si>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</si>
  <si>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</si>
  <si>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</si>
  <si>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</si>
  <si>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</si>
  <si>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</si>
  <si>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</si>
  <si>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</si>
  <si>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</si>
  <si>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</si>
  <si>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Black</t>
  </si>
  <si>
    <t>Silver</t>
  </si>
  <si>
    <t>Collected 03-11</t>
  </si>
  <si>
    <t>Collected 02-11</t>
  </si>
  <si>
    <t>Sum of Price</t>
  </si>
  <si>
    <t>JBL Cherge 6</t>
  </si>
  <si>
    <t>Flip 2</t>
  </si>
  <si>
    <t>Mini 4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</si>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</sst>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&quot;$&quot;#,##0.00"/>
    <numFmt numFmtId="166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1" xfId="0" applyFill="1" applyBorder="1"/>
    <xf numFmtId="4" fontId="0" fillId="0" borderId="1" xfId="0" applyNumberFormat="1" applyBorder="1"/>
    <xf numFmtId="16" fontId="0" fillId="8" borderId="1" xfId="0" applyNumberFormat="1" applyFill="1" applyBorder="1"/>
    <xf numFmtId="0" fontId="0" fillId="8" borderId="1" xfId="0" applyFill="1" applyBorder="1"/>
    <xf numFmtId="166" fontId="0" fillId="8" borderId="1" xfId="0" applyNumberFormat="1" applyFill="1" applyBorder="1"/>
    <xf numFmtId="165" fontId="0" fillId="8" borderId="1" xfId="0" applyNumberFormat="1" applyFill="1" applyBorder="1"/>
    <xf numFmtId="4" fontId="0" fillId="8" borderId="1" xfId="0" applyNumberFormat="1" applyFill="1" applyBorder="1"/>
    <xf numFmtId="14" fontId="0" fillId="9" borderId="1" xfId="0" applyNumberFormat="1" applyFill="1" applyBorder="1"/>
    <xf numFmtId="0" fontId="0" fillId="9" borderId="1" xfId="0" applyFill="1" applyBorder="1"/>
    <xf numFmtId="166" fontId="0" fillId="9" borderId="1" xfId="0" applyNumberFormat="1" applyFill="1" applyBorder="1"/>
    <xf numFmtId="0" fontId="6" fillId="8" borderId="0" xfId="0" applyFont="1" applyFill="1" applyAlignment="1">
      <alignment vertical="center" wrapText="1"/>
    </xf>
    <xf numFmtId="16" fontId="0" fillId="4" borderId="1" xfId="0" applyNumberFormat="1" applyFill="1" applyBorder="1"/>
    <xf numFmtId="16" fontId="0" fillId="9" borderId="1" xfId="0" applyNumberFormat="1" applyFill="1" applyBorder="1"/>
    <xf numFmtId="4" fontId="0" fillId="9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6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5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3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IUAU6ETY/Purchases_AU_and_NZ_updated%5b1%5d.xlsx%5d.xlsx%5d.xlsx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IUAU6ETY/Purchases_AU_and_NZ_updated%5b1%5d.xlsx%5d.xlsx%5d.xlsx%5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IUAU6ETY/Purchases_AU_and_NZ_updated%5b1%5d.xlsx%5d.xlsx%5d.xlsx%5d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IUAU6ETY/Purchases_AU_and_NZ_updated%5b1%5d.xlsx%5d.xlsx%5d.xlsx%5d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IUAU6ETY/Purchases_AU_and_NZ_updated%5b1%5d.xlsx%5d.xlsx%5d.xlsx%5d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IUAU6ETY/Purchases_AU_and_NZ_updated%5b1%5d.xlsx%5d.xlsx%5d.xlsx%5d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IUAU6ETY/Purchases_AU_and_NZ_updated%5b1%5d.xlsx%5d.xlsx%5d.xlsx%5d.xlsx" TargetMode="External"/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.xlsx].xlsx].xlsx].xlsx]April" r:id="rId2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.xlsx].xlsx].xlsx].xlsx]Shipment" r:id="rId2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.xlsx].xlsx].xlsx].xlsx]Shipment 2904" r:id="rId2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.xlsx].xlsx].xlsx].xlsx]NZ OCT" r:id="rId2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.xlsx].xlsx].xlsx].xlsx]NZ SEP" r:id="rId2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.xlsx].xlsx].xlsx].xlsx]NZ Aug" r:id="rId2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.xlsx].xlsx].xlsx].xlsx]Broadway DJI" r:id="rId2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4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88">
        <v>45746</v>
      </c>
      <c r="C1" s="88"/>
      <c r="D1" s="88"/>
      <c r="E1" s="88"/>
      <c r="F1" s="88"/>
      <c r="G1" s="88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89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89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76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90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90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90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90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91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91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652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3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3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3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3" t="s">
        <v>508</v>
      </c>
      <c r="M9">
        <v>3750</v>
      </c>
    </row>
    <row r="10" spans="1:13" x14ac:dyDescent="0.3">
      <c r="L10" s="73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665</v>
      </c>
      <c r="C1" s="44" t="s">
        <v>0</v>
      </c>
    </row>
    <row r="2" spans="2:7" x14ac:dyDescent="0.3">
      <c r="B2" s="2" t="s">
        <v>661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662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663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664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653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654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74" t="s">
        <v>660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92" t="s">
        <v>299</v>
      </c>
      <c r="B1" s="92"/>
      <c r="C1" s="92"/>
      <c r="D1" s="92"/>
      <c r="E1" s="92"/>
      <c r="F1" s="92"/>
      <c r="G1" s="92"/>
      <c r="H1" s="92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93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93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93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4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9" zoomScaleNormal="100" workbookViewId="0">
      <selection activeCell="A3" sqref="A3:G3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94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94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7" workbookViewId="0">
      <selection activeCell="A33" sqref="A33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1">
        <v>45925</v>
      </c>
      <c r="B24" s="82">
        <v>5</v>
      </c>
      <c r="C24" s="82" t="s">
        <v>585</v>
      </c>
      <c r="D24" s="82" t="s">
        <v>335</v>
      </c>
      <c r="E24" s="83">
        <v>4400</v>
      </c>
      <c r="F24" s="83">
        <f t="shared" ref="F24:F34" si="2">B24*E24</f>
        <v>22000</v>
      </c>
      <c r="G24" s="82" t="s">
        <v>589</v>
      </c>
      <c r="H24" s="82"/>
      <c r="I24" s="8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C31" sqref="C31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76">
        <v>45952</v>
      </c>
      <c r="B22" s="77">
        <v>1</v>
      </c>
      <c r="C22" s="77" t="s">
        <v>621</v>
      </c>
      <c r="D22" s="77" t="s">
        <v>627</v>
      </c>
      <c r="E22" s="79">
        <v>9442.8799999999992</v>
      </c>
      <c r="F22" s="79">
        <f t="shared" si="0"/>
        <v>9442.8799999999992</v>
      </c>
      <c r="G22" s="77" t="s">
        <v>622</v>
      </c>
      <c r="H22" s="77"/>
      <c r="I22" s="77"/>
    </row>
    <row r="23" spans="1:9" x14ac:dyDescent="0.3">
      <c r="A23" s="76">
        <v>45953</v>
      </c>
      <c r="B23" s="77">
        <v>8</v>
      </c>
      <c r="C23" s="77" t="s">
        <v>612</v>
      </c>
      <c r="D23" s="77" t="s">
        <v>615</v>
      </c>
      <c r="E23" s="79">
        <v>2199</v>
      </c>
      <c r="F23" s="79">
        <f t="shared" si="0"/>
        <v>17592</v>
      </c>
      <c r="G23" s="77" t="s">
        <v>630</v>
      </c>
      <c r="H23" s="77"/>
      <c r="I23" s="77" t="s">
        <v>633</v>
      </c>
    </row>
    <row r="24" spans="1:9" x14ac:dyDescent="0.3">
      <c r="A24" s="76">
        <v>45953</v>
      </c>
      <c r="B24" s="77">
        <v>4</v>
      </c>
      <c r="C24" s="77" t="s">
        <v>612</v>
      </c>
      <c r="D24" s="77" t="s">
        <v>44</v>
      </c>
      <c r="E24" s="79">
        <v>2199</v>
      </c>
      <c r="F24" s="79">
        <f t="shared" si="0"/>
        <v>8796</v>
      </c>
      <c r="G24" s="77" t="s">
        <v>630</v>
      </c>
      <c r="H24" s="77"/>
      <c r="I24" s="77" t="s">
        <v>633</v>
      </c>
    </row>
    <row r="25" spans="1:9" x14ac:dyDescent="0.3">
      <c r="A25" s="76">
        <v>45960</v>
      </c>
      <c r="B25" s="77">
        <v>5</v>
      </c>
      <c r="C25" s="77" t="s">
        <v>642</v>
      </c>
      <c r="D25" s="77" t="s">
        <v>641</v>
      </c>
      <c r="E25" s="78">
        <v>150</v>
      </c>
      <c r="F25" s="78">
        <f t="shared" si="0"/>
        <v>750</v>
      </c>
      <c r="G25" s="77" t="s">
        <v>644</v>
      </c>
      <c r="H25" s="77"/>
      <c r="I25" s="77"/>
    </row>
    <row r="26" spans="1:9" x14ac:dyDescent="0.3">
      <c r="A26" s="76">
        <v>45960</v>
      </c>
      <c r="B26" s="77">
        <v>4</v>
      </c>
      <c r="C26" s="77" t="s">
        <v>643</v>
      </c>
      <c r="D26" s="77" t="s">
        <v>641</v>
      </c>
      <c r="E26" s="78">
        <v>150</v>
      </c>
      <c r="F26" s="78">
        <f t="shared" si="0"/>
        <v>600</v>
      </c>
      <c r="G26" s="77" t="s">
        <v>644</v>
      </c>
      <c r="H26" s="77"/>
      <c r="I26" s="77"/>
    </row>
    <row r="27" spans="1:9" x14ac:dyDescent="0.3">
      <c r="A27" s="76">
        <v>45961</v>
      </c>
      <c r="B27" s="77">
        <v>10</v>
      </c>
      <c r="C27" s="77" t="s">
        <v>645</v>
      </c>
      <c r="D27" s="77" t="s">
        <v>335</v>
      </c>
      <c r="E27" s="78">
        <v>1400</v>
      </c>
      <c r="F27" s="78">
        <f t="shared" si="0"/>
        <v>14000</v>
      </c>
      <c r="G27" s="77" t="s">
        <v>650</v>
      </c>
      <c r="H27" s="77"/>
      <c r="I27" s="77"/>
    </row>
    <row r="28" spans="1:9" x14ac:dyDescent="0.3">
      <c r="A28" s="76">
        <v>45961</v>
      </c>
      <c r="B28" s="77">
        <v>5</v>
      </c>
      <c r="C28" s="77" t="s">
        <v>646</v>
      </c>
      <c r="D28" s="77" t="s">
        <v>335</v>
      </c>
      <c r="E28" s="78">
        <v>840</v>
      </c>
      <c r="F28" s="78">
        <f t="shared" si="0"/>
        <v>4200</v>
      </c>
      <c r="G28" s="77" t="s">
        <v>650</v>
      </c>
      <c r="H28" s="77"/>
      <c r="I28" s="77"/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I16"/>
  <sheetViews>
    <sheetView tabSelected="1" workbookViewId="0">
      <selection activeCell="E22" sqref="E22"/>
    </sheetView>
  </sheetViews>
  <sheetFormatPr defaultRowHeight="14.4" x14ac:dyDescent="0.3"/>
  <cols>
    <col min="1" max="1" width="12.5546875" customWidth="1"/>
    <col min="2" max="2" width="4" bestFit="1" customWidth="1"/>
    <col min="3" max="3" width="20.44140625" customWidth="1"/>
    <col min="4" max="4" width="23.6640625" bestFit="1" customWidth="1"/>
    <col min="5" max="5" width="8" bestFit="1" customWidth="1"/>
    <col min="6" max="6" width="9" bestFit="1" customWidth="1"/>
    <col min="7" max="7" width="14.44140625" bestFit="1" customWidth="1"/>
    <col min="8" max="8" width="7.88671875" bestFit="1" customWidth="1"/>
    <col min="9" max="9" width="12.88671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9" x14ac:dyDescent="0.3">
      <c r="A2" s="76">
        <v>45964</v>
      </c>
      <c r="B2" s="77">
        <v>10</v>
      </c>
      <c r="C2" s="77" t="s">
        <v>647</v>
      </c>
      <c r="D2" s="77" t="s">
        <v>335</v>
      </c>
      <c r="E2" s="80">
        <v>410</v>
      </c>
      <c r="F2" s="80">
        <f>E2*B2</f>
        <v>4100</v>
      </c>
      <c r="G2" s="77" t="s">
        <v>650</v>
      </c>
      <c r="H2" s="76">
        <v>45966</v>
      </c>
      <c r="I2" s="77"/>
    </row>
    <row r="3" spans="1:9" x14ac:dyDescent="0.3">
      <c r="A3" s="76">
        <v>45964</v>
      </c>
      <c r="B3" s="77">
        <v>7</v>
      </c>
      <c r="C3" s="77" t="s">
        <v>642</v>
      </c>
      <c r="D3" s="77" t="s">
        <v>59</v>
      </c>
      <c r="E3" s="80">
        <v>150</v>
      </c>
      <c r="F3" s="80">
        <f>E3*B3</f>
        <v>1050</v>
      </c>
      <c r="G3" s="77" t="s">
        <v>650</v>
      </c>
      <c r="H3" s="76">
        <v>45966</v>
      </c>
      <c r="I3" s="77"/>
    </row>
    <row r="4" spans="1:9" x14ac:dyDescent="0.3">
      <c r="A4" s="76">
        <v>45963</v>
      </c>
      <c r="B4" s="77">
        <v>4</v>
      </c>
      <c r="C4" s="77" t="s">
        <v>642</v>
      </c>
      <c r="D4" s="77" t="s">
        <v>30</v>
      </c>
      <c r="E4" s="80">
        <v>150</v>
      </c>
      <c r="F4" s="80">
        <f t="shared" ref="F4:F14" si="0">E4*B4</f>
        <v>600</v>
      </c>
      <c r="G4" s="77" t="s">
        <v>651</v>
      </c>
      <c r="H4" s="76">
        <v>45966</v>
      </c>
      <c r="I4" s="77"/>
    </row>
    <row r="5" spans="1:9" x14ac:dyDescent="0.3">
      <c r="A5" s="76">
        <v>45963</v>
      </c>
      <c r="B5" s="77">
        <v>4</v>
      </c>
      <c r="C5" s="77" t="s">
        <v>643</v>
      </c>
      <c r="D5" s="77" t="s">
        <v>30</v>
      </c>
      <c r="E5" s="80">
        <v>150</v>
      </c>
      <c r="F5" s="80">
        <f t="shared" si="0"/>
        <v>600</v>
      </c>
      <c r="G5" s="77" t="s">
        <v>651</v>
      </c>
      <c r="H5" s="76">
        <v>45966</v>
      </c>
      <c r="I5" s="77"/>
    </row>
    <row r="6" spans="1:9" x14ac:dyDescent="0.3">
      <c r="A6" s="76">
        <v>45965</v>
      </c>
      <c r="B6" s="77">
        <v>20</v>
      </c>
      <c r="C6" s="77" t="s">
        <v>655</v>
      </c>
      <c r="D6" s="77" t="s">
        <v>349</v>
      </c>
      <c r="E6" s="80">
        <v>1063</v>
      </c>
      <c r="F6" s="80">
        <f t="shared" si="0"/>
        <v>21260</v>
      </c>
      <c r="G6" s="77" t="s">
        <v>659</v>
      </c>
      <c r="H6" s="76">
        <v>45966</v>
      </c>
      <c r="I6" s="77" t="s">
        <v>657</v>
      </c>
    </row>
    <row r="7" spans="1:9" x14ac:dyDescent="0.3">
      <c r="A7" s="76">
        <v>45965</v>
      </c>
      <c r="B7" s="77">
        <v>12</v>
      </c>
      <c r="C7" s="77" t="s">
        <v>656</v>
      </c>
      <c r="D7" s="77" t="s">
        <v>118</v>
      </c>
      <c r="E7" s="80">
        <v>3375</v>
      </c>
      <c r="F7" s="80">
        <f t="shared" si="0"/>
        <v>40500</v>
      </c>
      <c r="G7" s="77" t="s">
        <v>659</v>
      </c>
      <c r="H7" s="76">
        <v>45966</v>
      </c>
      <c r="I7" s="77"/>
    </row>
    <row r="8" spans="1:9" x14ac:dyDescent="0.3">
      <c r="A8" s="76">
        <v>45965</v>
      </c>
      <c r="B8" s="77">
        <v>2</v>
      </c>
      <c r="C8" s="77" t="s">
        <v>666</v>
      </c>
      <c r="D8" s="77" t="s">
        <v>118</v>
      </c>
      <c r="E8" s="80">
        <v>88</v>
      </c>
      <c r="F8" s="80">
        <f t="shared" si="0"/>
        <v>176</v>
      </c>
      <c r="G8" s="77" t="s">
        <v>659</v>
      </c>
      <c r="H8" s="76">
        <v>45966</v>
      </c>
      <c r="I8" s="77" t="s">
        <v>658</v>
      </c>
    </row>
    <row r="9" spans="1:9" x14ac:dyDescent="0.3">
      <c r="A9" s="86">
        <v>45966</v>
      </c>
      <c r="B9" s="82">
        <v>30</v>
      </c>
      <c r="C9" s="82" t="s">
        <v>647</v>
      </c>
      <c r="D9" s="82" t="s">
        <v>335</v>
      </c>
      <c r="E9" s="87">
        <v>410</v>
      </c>
      <c r="F9" s="87">
        <f t="shared" si="0"/>
        <v>12300</v>
      </c>
      <c r="G9" s="82" t="s">
        <v>62</v>
      </c>
      <c r="H9" s="82"/>
      <c r="I9" s="82"/>
    </row>
    <row r="10" spans="1:9" x14ac:dyDescent="0.3">
      <c r="A10" s="76">
        <v>45969</v>
      </c>
      <c r="B10" s="77">
        <v>1</v>
      </c>
      <c r="C10" s="77" t="s">
        <v>667</v>
      </c>
      <c r="D10" s="77" t="s">
        <v>496</v>
      </c>
      <c r="E10" s="80">
        <v>450</v>
      </c>
      <c r="F10" s="80">
        <f t="shared" si="0"/>
        <v>450</v>
      </c>
      <c r="G10" s="77" t="s">
        <v>365</v>
      </c>
      <c r="H10" s="77"/>
      <c r="I10" s="77"/>
    </row>
    <row r="11" spans="1:9" x14ac:dyDescent="0.3">
      <c r="A11" s="76">
        <v>45969</v>
      </c>
      <c r="B11" s="77">
        <v>1</v>
      </c>
      <c r="C11" s="77" t="s">
        <v>667</v>
      </c>
      <c r="D11" s="77" t="s">
        <v>492</v>
      </c>
      <c r="E11" s="80">
        <v>450</v>
      </c>
      <c r="F11" s="80">
        <f t="shared" si="0"/>
        <v>450</v>
      </c>
      <c r="G11" s="77" t="s">
        <v>365</v>
      </c>
      <c r="H11" s="77"/>
      <c r="I11" s="77"/>
    </row>
    <row r="12" spans="1:9" x14ac:dyDescent="0.3">
      <c r="A12" s="76">
        <v>45969</v>
      </c>
      <c r="B12" s="77">
        <v>4</v>
      </c>
      <c r="C12" s="77" t="s">
        <v>667</v>
      </c>
      <c r="D12" s="77" t="s">
        <v>493</v>
      </c>
      <c r="E12" s="80">
        <v>450</v>
      </c>
      <c r="F12" s="80">
        <f t="shared" si="0"/>
        <v>1800</v>
      </c>
      <c r="G12" s="77" t="s">
        <v>365</v>
      </c>
      <c r="H12" s="77"/>
      <c r="I12" s="77"/>
    </row>
    <row r="13" spans="1:9" x14ac:dyDescent="0.3">
      <c r="A13" s="76">
        <v>45969</v>
      </c>
      <c r="B13" s="77">
        <v>5</v>
      </c>
      <c r="C13" s="77" t="s">
        <v>667</v>
      </c>
      <c r="D13" s="77" t="s">
        <v>668</v>
      </c>
      <c r="E13" s="80">
        <v>450</v>
      </c>
      <c r="F13" s="80">
        <f t="shared" si="0"/>
        <v>2250</v>
      </c>
      <c r="G13" s="77" t="s">
        <v>365</v>
      </c>
      <c r="H13" s="77"/>
      <c r="I13" s="77"/>
    </row>
    <row r="14" spans="1:9" x14ac:dyDescent="0.3">
      <c r="A14" s="76">
        <v>45969</v>
      </c>
      <c r="B14" s="77">
        <v>11</v>
      </c>
      <c r="C14" s="77" t="s">
        <v>667</v>
      </c>
      <c r="D14" s="77" t="s">
        <v>494</v>
      </c>
      <c r="E14" s="80">
        <v>450</v>
      </c>
      <c r="F14" s="80">
        <f t="shared" si="0"/>
        <v>4950</v>
      </c>
      <c r="G14" s="77" t="s">
        <v>365</v>
      </c>
      <c r="H14" s="77"/>
      <c r="I14" s="77"/>
    </row>
    <row r="15" spans="1:9" x14ac:dyDescent="0.3">
      <c r="A15" s="2"/>
      <c r="B15" s="2"/>
      <c r="C15" s="2"/>
      <c r="D15" s="2"/>
      <c r="E15" s="75"/>
      <c r="F15" s="75"/>
      <c r="G15" s="2"/>
      <c r="H15" s="2"/>
      <c r="I15" s="2"/>
    </row>
    <row r="16" spans="1:9" x14ac:dyDescent="0.3">
      <c r="A16" s="2"/>
      <c r="B16" s="2"/>
      <c r="C16" s="2"/>
      <c r="D16" s="2"/>
      <c r="E16" s="75"/>
      <c r="F16" s="75"/>
      <c r="G16" s="2"/>
      <c r="H16" s="2"/>
      <c r="I16" s="2"/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E13" sqref="E13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2" t="s">
        <v>3</v>
      </c>
      <c r="F1" s="72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76">
        <v>45957</v>
      </c>
      <c r="B2" s="77">
        <v>1</v>
      </c>
      <c r="C2" s="77" t="s">
        <v>406</v>
      </c>
      <c r="D2" s="77" t="s">
        <v>635</v>
      </c>
      <c r="E2" s="78">
        <v>1449</v>
      </c>
      <c r="F2" s="78">
        <v>1449</v>
      </c>
      <c r="G2" s="77" t="s">
        <v>348</v>
      </c>
      <c r="H2" s="77" t="s">
        <v>636</v>
      </c>
      <c r="I2" s="77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76">
        <v>45957</v>
      </c>
      <c r="B3" s="77">
        <v>2</v>
      </c>
      <c r="C3" s="77" t="s">
        <v>406</v>
      </c>
      <c r="D3" s="77" t="s">
        <v>383</v>
      </c>
      <c r="E3" s="78">
        <v>1455</v>
      </c>
      <c r="F3" s="78">
        <f>E3*B3</f>
        <v>2910</v>
      </c>
      <c r="G3" s="77" t="s">
        <v>348</v>
      </c>
      <c r="H3" s="77" t="s">
        <v>638</v>
      </c>
      <c r="I3" s="84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76">
        <v>45958</v>
      </c>
      <c r="B4" s="77">
        <v>10</v>
      </c>
      <c r="C4" s="77" t="s">
        <v>406</v>
      </c>
      <c r="D4" s="77" t="s">
        <v>383</v>
      </c>
      <c r="E4" s="78">
        <v>1399</v>
      </c>
      <c r="F4" s="78">
        <f>E4*B4</f>
        <v>13990</v>
      </c>
      <c r="G4" s="77" t="s">
        <v>348</v>
      </c>
      <c r="H4" s="77" t="s">
        <v>636</v>
      </c>
      <c r="I4" s="77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76">
        <v>45958</v>
      </c>
      <c r="B5" s="77">
        <v>1</v>
      </c>
      <c r="C5" s="77" t="s">
        <v>391</v>
      </c>
      <c r="D5" s="77" t="s">
        <v>383</v>
      </c>
      <c r="E5" s="78">
        <v>9</v>
      </c>
      <c r="F5" s="78">
        <v>9</v>
      </c>
      <c r="G5" s="77"/>
      <c r="H5" s="77" t="s">
        <v>636</v>
      </c>
      <c r="I5" s="77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76">
        <v>45958</v>
      </c>
      <c r="B6" s="77">
        <v>3</v>
      </c>
      <c r="C6" s="77" t="s">
        <v>378</v>
      </c>
      <c r="D6" s="77" t="s">
        <v>383</v>
      </c>
      <c r="E6" s="78">
        <v>780</v>
      </c>
      <c r="F6" s="78">
        <f>E6*B6</f>
        <v>2340</v>
      </c>
      <c r="G6" s="77" t="s">
        <v>348</v>
      </c>
      <c r="H6" s="77" t="s">
        <v>636</v>
      </c>
      <c r="I6" s="77"/>
    </row>
    <row r="7" spans="1:23" x14ac:dyDescent="0.3">
      <c r="A7" s="76">
        <v>45958</v>
      </c>
      <c r="B7" s="77">
        <v>6</v>
      </c>
      <c r="C7" s="77" t="s">
        <v>406</v>
      </c>
      <c r="D7" s="77" t="s">
        <v>433</v>
      </c>
      <c r="E7" s="78">
        <v>1348</v>
      </c>
      <c r="F7" s="78">
        <f t="shared" ref="F7:F8" si="0">E7*B7</f>
        <v>8088</v>
      </c>
      <c r="G7" s="77" t="s">
        <v>348</v>
      </c>
      <c r="H7" s="77" t="s">
        <v>636</v>
      </c>
      <c r="I7" s="77"/>
    </row>
    <row r="8" spans="1:23" x14ac:dyDescent="0.3">
      <c r="A8" s="76">
        <v>45958</v>
      </c>
      <c r="B8" s="77">
        <v>1</v>
      </c>
      <c r="C8" s="77" t="s">
        <v>639</v>
      </c>
      <c r="D8" s="77" t="s">
        <v>433</v>
      </c>
      <c r="E8" s="78">
        <v>1348</v>
      </c>
      <c r="F8" s="78">
        <f t="shared" si="0"/>
        <v>1348</v>
      </c>
      <c r="G8" s="77" t="s">
        <v>348</v>
      </c>
      <c r="H8" s="77" t="s">
        <v>636</v>
      </c>
      <c r="I8" s="77"/>
    </row>
    <row r="9" spans="1:23" x14ac:dyDescent="0.3">
      <c r="A9" s="77"/>
      <c r="B9" s="77"/>
      <c r="C9" s="77"/>
      <c r="D9" s="77"/>
      <c r="E9" s="77"/>
      <c r="F9" s="77"/>
      <c r="G9" s="77"/>
      <c r="H9" s="77"/>
      <c r="I9" s="77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9"/>
  <sheetViews>
    <sheetView workbookViewId="0">
      <selection activeCell="O12" sqref="O12"/>
    </sheetView>
  </sheetViews>
  <sheetFormatPr defaultRowHeight="14.4" x14ac:dyDescent="0.3"/>
  <cols>
    <col min="1" max="1" width="12.77734375" customWidth="1"/>
    <col min="2" max="2" width="4" bestFit="1" customWidth="1"/>
    <col min="3" max="3" width="20.5546875" customWidth="1"/>
    <col min="4" max="4" width="17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2" t="s">
        <v>3</v>
      </c>
      <c r="F1" s="72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34">
        <v>45964</v>
      </c>
      <c r="B2" s="35">
        <v>2</v>
      </c>
      <c r="C2" s="35" t="s">
        <v>648</v>
      </c>
      <c r="D2" s="35" t="s">
        <v>383</v>
      </c>
      <c r="E2" s="36">
        <v>1450</v>
      </c>
      <c r="F2" s="36">
        <f>B2*E2</f>
        <v>2900</v>
      </c>
      <c r="G2" s="35" t="s">
        <v>348</v>
      </c>
      <c r="H2" s="35" t="s">
        <v>464</v>
      </c>
      <c r="I2" s="35"/>
    </row>
    <row r="3" spans="1:9" x14ac:dyDescent="0.3">
      <c r="A3" s="34">
        <v>45964</v>
      </c>
      <c r="B3" s="35">
        <v>2</v>
      </c>
      <c r="C3" s="35" t="s">
        <v>649</v>
      </c>
      <c r="D3" s="35" t="s">
        <v>460</v>
      </c>
      <c r="E3" s="36">
        <v>1450</v>
      </c>
      <c r="F3" s="36">
        <f t="shared" ref="F3:F7" si="0">B3*E3</f>
        <v>2900</v>
      </c>
      <c r="G3" s="35" t="s">
        <v>348</v>
      </c>
      <c r="H3" s="35" t="s">
        <v>464</v>
      </c>
      <c r="I3" s="35"/>
    </row>
    <row r="4" spans="1:9" x14ac:dyDescent="0.3">
      <c r="A4" s="34">
        <v>45964</v>
      </c>
      <c r="B4" s="35">
        <v>1</v>
      </c>
      <c r="C4" s="35" t="s">
        <v>648</v>
      </c>
      <c r="D4" s="35" t="s">
        <v>635</v>
      </c>
      <c r="E4" s="36">
        <v>1480</v>
      </c>
      <c r="F4" s="36">
        <f t="shared" si="0"/>
        <v>1480</v>
      </c>
      <c r="G4" s="35" t="s">
        <v>348</v>
      </c>
      <c r="H4" s="35" t="s">
        <v>464</v>
      </c>
      <c r="I4" s="35"/>
    </row>
    <row r="5" spans="1:9" x14ac:dyDescent="0.3">
      <c r="A5" s="34">
        <v>45964</v>
      </c>
      <c r="B5" s="35">
        <v>4</v>
      </c>
      <c r="C5" s="35" t="s">
        <v>649</v>
      </c>
      <c r="D5" s="35" t="s">
        <v>383</v>
      </c>
      <c r="E5" s="36">
        <v>1399</v>
      </c>
      <c r="F5" s="36">
        <f t="shared" si="0"/>
        <v>5596</v>
      </c>
      <c r="G5" s="35" t="s">
        <v>348</v>
      </c>
      <c r="H5" s="35" t="s">
        <v>464</v>
      </c>
      <c r="I5" s="35"/>
    </row>
    <row r="6" spans="1:9" x14ac:dyDescent="0.3">
      <c r="A6" s="34">
        <v>45964</v>
      </c>
      <c r="B6" s="35">
        <v>2</v>
      </c>
      <c r="C6" s="35" t="s">
        <v>648</v>
      </c>
      <c r="D6" s="35" t="s">
        <v>383</v>
      </c>
      <c r="E6" s="36">
        <v>1399</v>
      </c>
      <c r="F6" s="36">
        <f t="shared" si="0"/>
        <v>2798</v>
      </c>
      <c r="G6" s="35" t="s">
        <v>348</v>
      </c>
      <c r="H6" s="35" t="s">
        <v>464</v>
      </c>
      <c r="I6" s="35"/>
    </row>
    <row r="7" spans="1:9" x14ac:dyDescent="0.3">
      <c r="A7" s="85">
        <v>45968</v>
      </c>
      <c r="B7" s="35">
        <v>60</v>
      </c>
      <c r="C7" s="35" t="s">
        <v>669</v>
      </c>
      <c r="D7" s="35" t="s">
        <v>670</v>
      </c>
      <c r="E7" s="36">
        <v>10</v>
      </c>
      <c r="F7" s="36">
        <f t="shared" si="0"/>
        <v>600</v>
      </c>
      <c r="G7" s="35"/>
      <c r="H7" s="35"/>
      <c r="I7" s="35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NZ OCT</vt:lpstr>
      <vt:lpstr>NZ NOV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2025-11-10T14:50:54Z</dcterms:modified>
</cp:coreProperties>
</file>