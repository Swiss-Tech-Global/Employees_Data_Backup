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dell5300\Downloads\"/>
    </mc:Choice>
  </mc:AlternateContent>
  <xr:revisionPtr revIDLastSave="0" documentId="13_ncr:1_{1808802C-D8A6-4539-8FC8-78C0F29F94BA}" xr6:coauthVersionLast="47" xr6:coauthVersionMax="47" xr10:uidLastSave="{00000000-0000-0000-0000-000000000000}"/>
  <bookViews>
    <workbookView xWindow="-108" yWindow="-108" windowWidth="23256" windowHeight="13896" firstSheet="1" activeTab="3" xr2:uid="{795DD68C-9659-410F-8844-C05D5B01E5C2}"/>
  </bookViews>
  <sheets>
    <sheet name="Pending" sheetId="2" state="hidden" r:id="rId1"/>
    <sheet name="March " sheetId="1" r:id="rId2"/>
    <sheet name="Mehwish" sheetId="3" state="hidden" r:id="rId3"/>
    <sheet name="April" sheetId="4" r:id="rId4"/>
  </sheets>
  <definedNames>
    <definedName name="_xlnm._FilterDatabase" localSheetId="3" hidden="1">April!$A$1:$H$3</definedName>
    <definedName name="_xlnm._FilterDatabase" localSheetId="1" hidden="1">'March '!$A$1:$G$39</definedName>
  </definedNames>
  <calcPr calcId="191029"/>
  <pivotCaches>
    <pivotCache cacheId="4" r:id="rId5"/>
    <pivotCache cacheId="5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41" i="4" l="1"/>
  <c r="F40" i="4"/>
  <c r="F36" i="4"/>
  <c r="F37" i="4"/>
  <c r="F38" i="4"/>
  <c r="F39" i="4"/>
  <c r="F42" i="4"/>
  <c r="F43" i="4"/>
  <c r="F44" i="4"/>
  <c r="F45" i="4"/>
  <c r="F46" i="4"/>
  <c r="F47" i="4"/>
  <c r="F48" i="4"/>
  <c r="F49" i="4"/>
  <c r="F35" i="4"/>
  <c r="F22" i="4"/>
  <c r="F23" i="4"/>
  <c r="F24" i="4"/>
  <c r="F25" i="4"/>
  <c r="F26" i="4"/>
  <c r="F27" i="4"/>
  <c r="F28" i="4"/>
  <c r="F29" i="4"/>
  <c r="F30" i="4"/>
  <c r="F31" i="4"/>
  <c r="F32" i="4"/>
  <c r="F7" i="3"/>
  <c r="F19" i="4"/>
  <c r="F20" i="4"/>
  <c r="F21" i="4"/>
  <c r="F6" i="3"/>
  <c r="F39" i="1" l="1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5" i="4"/>
  <c r="E3" i="4"/>
  <c r="E2" i="4"/>
  <c r="F4" i="3"/>
  <c r="F3" i="3"/>
  <c r="F35" i="1"/>
  <c r="F36" i="1"/>
  <c r="F37" i="1"/>
  <c r="F38" i="1"/>
  <c r="F34" i="1"/>
  <c r="E29" i="2"/>
  <c r="E28" i="2"/>
  <c r="E27" i="2"/>
  <c r="E26" i="2"/>
  <c r="E25" i="2"/>
  <c r="E24" i="2"/>
  <c r="F33" i="1"/>
  <c r="F32" i="1"/>
  <c r="E15" i="2"/>
  <c r="E14" i="2"/>
  <c r="E13" i="2"/>
  <c r="E12" i="2"/>
  <c r="E11" i="2"/>
  <c r="E10" i="2"/>
  <c r="F30" i="1" l="1"/>
  <c r="F29" i="1"/>
  <c r="F28" i="1"/>
  <c r="F27" i="1"/>
  <c r="F26" i="1"/>
  <c r="F25" i="1"/>
  <c r="F24" i="1"/>
  <c r="F23" i="1"/>
  <c r="F22" i="1"/>
  <c r="F21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" i="1"/>
  <c r="F2" i="1"/>
</calcChain>
</file>

<file path=xl/sharedStrings.xml><?xml version="1.0" encoding="utf-8"?>
<sst xmlns="http://schemas.openxmlformats.org/spreadsheetml/2006/main" count="388" uniqueCount="128">
  <si>
    <t>Qty</t>
  </si>
  <si>
    <t>Items</t>
  </si>
  <si>
    <t>Store</t>
  </si>
  <si>
    <t>Price</t>
  </si>
  <si>
    <t>Total</t>
  </si>
  <si>
    <t>status</t>
  </si>
  <si>
    <t>PS5 Astro BOT</t>
  </si>
  <si>
    <t>JBHIFI Castle Hills</t>
  </si>
  <si>
    <t>Collected</t>
  </si>
  <si>
    <t>Mac Book Air M4 24/512Midnight</t>
  </si>
  <si>
    <t>EB Games Online</t>
  </si>
  <si>
    <t>Pending Collection Merrylands</t>
  </si>
  <si>
    <t>Pending Collection Bankstown</t>
  </si>
  <si>
    <t>Mac Book Air Midnight</t>
  </si>
  <si>
    <t>Costco Online</t>
  </si>
  <si>
    <t>Delivered  home on 29/03/2025</t>
  </si>
  <si>
    <t>Office Works Hornsby</t>
  </si>
  <si>
    <t>Mac Book Air M4 24/512 Sky Blue</t>
  </si>
  <si>
    <t xml:space="preserve">Iphone 16 Pro max 256 GB Desert </t>
  </si>
  <si>
    <t>Office Works Northmead</t>
  </si>
  <si>
    <t>Office Works  west ryde</t>
  </si>
  <si>
    <t>Office Works North Ryde</t>
  </si>
  <si>
    <t>PickUp Northmead/ Collected</t>
  </si>
  <si>
    <t>Office Works  Castle Hills</t>
  </si>
  <si>
    <t>Pending Collection</t>
  </si>
  <si>
    <t>Office Works Blacktown</t>
  </si>
  <si>
    <t>Mac Book Pro 16/512 Silver</t>
  </si>
  <si>
    <t>Office Works Wentworthville</t>
  </si>
  <si>
    <t>Office Works Auburn</t>
  </si>
  <si>
    <t>Mac Book Pro M4 14" 16/512 Silver</t>
  </si>
  <si>
    <t>Good Guys Auburn</t>
  </si>
  <si>
    <t>Mini Evo</t>
  </si>
  <si>
    <t>Mini 12 Purple</t>
  </si>
  <si>
    <t>Mini 12 Blue</t>
  </si>
  <si>
    <t>Mini 12 White</t>
  </si>
  <si>
    <t>Ninja Blast Blender</t>
  </si>
  <si>
    <t>Pending Collection Blacktown</t>
  </si>
  <si>
    <t>Order Cancelled</t>
  </si>
  <si>
    <t>Air</t>
  </si>
  <si>
    <t>Officeworks Online</t>
  </si>
  <si>
    <t>Pro</t>
  </si>
  <si>
    <t>Good Guys Bankstown</t>
  </si>
  <si>
    <t>Wentworthville</t>
  </si>
  <si>
    <t>Blacktown</t>
  </si>
  <si>
    <t>Castle Hills</t>
  </si>
  <si>
    <t>Auburn</t>
  </si>
  <si>
    <t>Five Dock</t>
  </si>
  <si>
    <t>Pending</t>
  </si>
  <si>
    <t>Macbook</t>
  </si>
  <si>
    <t>No Entry</t>
  </si>
  <si>
    <t>Office Works Five Dock</t>
  </si>
  <si>
    <t>Collected 29.03.2025</t>
  </si>
  <si>
    <t>4 Collected 29.03.2025</t>
  </si>
  <si>
    <t>Comments 29.03.2025</t>
  </si>
  <si>
    <t>As of 28.03.2025</t>
  </si>
  <si>
    <t>JBHIFI Online</t>
  </si>
  <si>
    <t>Mac Book Pro M4 14" 16/ 1TB Space Black</t>
  </si>
  <si>
    <t>Collected 30/03/2025</t>
  </si>
  <si>
    <t>Collected 31/03/2025</t>
  </si>
  <si>
    <t>Good Guys Blacktown</t>
  </si>
  <si>
    <t>Mini 12  Mix Colour</t>
  </si>
  <si>
    <t>Ps5 Astro Bot</t>
  </si>
  <si>
    <t>Pending Delivery</t>
  </si>
  <si>
    <t>Received</t>
  </si>
  <si>
    <t>Mac Book Pro</t>
  </si>
  <si>
    <t>Date</t>
  </si>
  <si>
    <t>Collection Date</t>
  </si>
  <si>
    <t>Mac Book Pro M4 16/1TB Space Black</t>
  </si>
  <si>
    <t>Mac Book Air 13" M4 24/512 Sky Blue</t>
  </si>
  <si>
    <t>Mac Book Pro M4 14" 16/1TB Space Black</t>
  </si>
  <si>
    <t>Office Works Castle Hills</t>
  </si>
  <si>
    <t>JBHIFI Hornsby</t>
  </si>
  <si>
    <t>Office Works West Ryde</t>
  </si>
  <si>
    <t>Mac Book Air 13" M4 24/512 Space Black</t>
  </si>
  <si>
    <t>Instax Mini 99 Bundle</t>
  </si>
  <si>
    <t>PS5 Astro Bot Bundle</t>
  </si>
  <si>
    <t>Meta Quest 3 512</t>
  </si>
  <si>
    <t>Norton Antivirus</t>
  </si>
  <si>
    <t>Pending Collection Northmead</t>
  </si>
  <si>
    <t>Collected 01/04/2025</t>
  </si>
  <si>
    <t>Row Labels</t>
  </si>
  <si>
    <t>(blank)</t>
  </si>
  <si>
    <t>Grand Total</t>
  </si>
  <si>
    <t>Sum of Qty</t>
  </si>
  <si>
    <t>(Multiple Items)</t>
  </si>
  <si>
    <t>Column Labels</t>
  </si>
  <si>
    <t xml:space="preserve">JBHIFI Meta Quest </t>
  </si>
  <si>
    <t>Merylands</t>
  </si>
  <si>
    <t>Packaging</t>
  </si>
  <si>
    <t>Expense</t>
  </si>
  <si>
    <t>Instax Mini 12</t>
  </si>
  <si>
    <t xml:space="preserve">Good Guys </t>
  </si>
  <si>
    <t>Office Works Punchbowl</t>
  </si>
  <si>
    <t>Collected 04/04/2025</t>
  </si>
  <si>
    <t>Collected 03/04/2025</t>
  </si>
  <si>
    <t>Order Cancelled /Refund 03/04/2025</t>
  </si>
  <si>
    <t xml:space="preserve">Paid </t>
  </si>
  <si>
    <t>Order Cancelled Refund 08/04/2025</t>
  </si>
  <si>
    <t>Mac Book Air 15" M4 24/512 Sky Blue</t>
  </si>
  <si>
    <t>PS5 Hard drive</t>
  </si>
  <si>
    <t>Office Works Nortmead</t>
  </si>
  <si>
    <t>Mac Book Air 13" M4 24/512 Midnight</t>
  </si>
  <si>
    <t>PS5 Astrobot with CD game</t>
  </si>
  <si>
    <t>Big W Winston Hills</t>
  </si>
  <si>
    <t>Mac Book Air 15" 24/512 Sky Blue</t>
  </si>
  <si>
    <t>Delivered</t>
  </si>
  <si>
    <t>Mac Book Air 15" 24/512 Midnight</t>
  </si>
  <si>
    <t>Big W Bansktown</t>
  </si>
  <si>
    <t>JBHIFI Bankstown</t>
  </si>
  <si>
    <t>Pending Collection Parramatta</t>
  </si>
  <si>
    <t>Big W Merrylands</t>
  </si>
  <si>
    <t>Meta Quest 3S 128</t>
  </si>
  <si>
    <t>Delivered 11/04/2024</t>
  </si>
  <si>
    <t>Delivered 11/04/2025</t>
  </si>
  <si>
    <t>Delivered 11/04/2026</t>
  </si>
  <si>
    <t>Delivered 11/04/2027</t>
  </si>
  <si>
    <t>Mac Book Air 15" M3 24/512 Starlight</t>
  </si>
  <si>
    <t>Mac Book Air 15" M3 24/512 Silver</t>
  </si>
  <si>
    <t>Mac Book Air 15" M3 24/512 Midnight</t>
  </si>
  <si>
    <t>Delivered 11/04/2028</t>
  </si>
  <si>
    <t>Pending Confirmation</t>
  </si>
  <si>
    <t>Cancelled Pending Refund</t>
  </si>
  <si>
    <t>EB Games North Ryde</t>
  </si>
  <si>
    <t>Collected  10/04/2025</t>
  </si>
  <si>
    <t>Collected 10/04/2025</t>
  </si>
  <si>
    <t>Cancelled Refund to be process</t>
  </si>
  <si>
    <t>Order Cancelled Refunded</t>
  </si>
  <si>
    <t>1 PS5 Astro Bot EB Games Online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</si>
</sst>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;[Red]\-&quot;$&quot;#,##0"/>
    <numFmt numFmtId="165" formatCode="&quot;$&quot;#,##0.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1" fontId="0" fillId="0" borderId="1" xfId="0" applyNumberFormat="1" applyBorder="1"/>
    <xf numFmtId="0" fontId="0" fillId="0" borderId="1" xfId="0" applyBorder="1"/>
    <xf numFmtId="165" fontId="0" fillId="0" borderId="1" xfId="0" applyNumberFormat="1" applyBorder="1"/>
    <xf numFmtId="0" fontId="1" fillId="0" borderId="1" xfId="0" applyFont="1" applyBorder="1" applyAlignment="1">
      <alignment horizontal="center"/>
    </xf>
    <xf numFmtId="14" fontId="1" fillId="0" borderId="1" xfId="0" applyNumberFormat="1" applyFont="1" applyBorder="1" applyAlignment="1">
      <alignment horizontal="center"/>
    </xf>
    <xf numFmtId="14" fontId="0" fillId="0" borderId="0" xfId="0" applyNumberFormat="1"/>
    <xf numFmtId="0" fontId="1" fillId="0" borderId="0" xfId="0" applyFont="1" applyAlignment="1">
      <alignment horizontal="center"/>
    </xf>
    <xf numFmtId="14" fontId="0" fillId="0" borderId="1" xfId="0" applyNumberFormat="1" applyBorder="1"/>
    <xf numFmtId="165" fontId="1" fillId="0" borderId="1" xfId="0" applyNumberFormat="1" applyFont="1" applyBorder="1" applyAlignment="1">
      <alignment horizontal="center"/>
    </xf>
    <xf numFmtId="0" fontId="0" fillId="2" borderId="1" xfId="0" applyFill="1" applyBorder="1"/>
    <xf numFmtId="0" fontId="0" fillId="2" borderId="0" xfId="0" applyFill="1"/>
    <xf numFmtId="14" fontId="0" fillId="2" borderId="0" xfId="0" applyNumberFormat="1" applyFill="1"/>
    <xf numFmtId="0" fontId="0" fillId="0" borderId="0" xfId="0" pivotButton="1"/>
    <xf numFmtId="0" fontId="0" fillId="0" borderId="0" xfId="0" applyAlignment="1">
      <alignment horizontal="left"/>
    </xf>
    <xf numFmtId="14" fontId="2" fillId="0" borderId="0" xfId="0" applyNumberFormat="1" applyFont="1"/>
    <xf numFmtId="0" fontId="2" fillId="2" borderId="1" xfId="0" applyFont="1" applyFill="1" applyBorder="1"/>
    <xf numFmtId="14" fontId="2" fillId="0" borderId="1" xfId="0" applyNumberFormat="1" applyFont="1" applyBorder="1"/>
    <xf numFmtId="0" fontId="2" fillId="0" borderId="1" xfId="0" applyFont="1" applyBorder="1"/>
    <xf numFmtId="165" fontId="2" fillId="0" borderId="1" xfId="0" applyNumberFormat="1" applyFont="1" applyBorder="1"/>
    <xf numFmtId="0" fontId="2" fillId="0" borderId="0" xfId="0" applyFont="1"/>
    <xf numFmtId="165" fontId="0" fillId="0" borderId="2" xfId="0" applyNumberFormat="1" applyBorder="1"/>
    <xf numFmtId="164" fontId="0" fillId="0" borderId="1" xfId="0" applyNumberFormat="1" applyBorder="1"/>
    <xf numFmtId="14" fontId="1" fillId="0" borderId="1" xfId="0" applyNumberFormat="1" applyFont="1" applyBorder="1" applyAlignment="1">
      <alignment horizontal="center"/>
    </xf>
    <xf numFmtId="164" fontId="0" fillId="0" borderId="0" xfId="0" applyNumberFormat="1" applyAlignment="1">
      <alignment horizontal="center"/>
    </xf>
    <xf numFmtId="14" fontId="0" fillId="3" borderId="1" xfId="0" applyNumberFormat="1" applyFill="1" applyBorder="1"/>
    <xf numFmtId="0" fontId="0" fillId="3" borderId="1" xfId="0" applyFill="1" applyBorder="1"/>
    <xf numFmtId="165" fontId="0" fillId="3" borderId="1" xfId="0" applyNumberFormat="1" applyFill="1" applyBorder="1"/>
    <xf numFmtId="0" fontId="2" fillId="3" borderId="1" xfId="0" applyFont="1" applyFill="1" applyBorder="1"/>
    <xf numFmtId="0" fontId="0" fillId="3" borderId="0" xfId="0" applyFill="1"/>
    <xf numFmtId="14" fontId="0" fillId="4" borderId="1" xfId="0" applyNumberFormat="1" applyFill="1" applyBorder="1"/>
    <xf numFmtId="0" fontId="0" fillId="4" borderId="1" xfId="0" applyFill="1" applyBorder="1"/>
    <xf numFmtId="165" fontId="0" fillId="4" borderId="1" xfId="0" applyNumberFormat="1" applyFill="1" applyBorder="1"/>
    <xf numFmtId="14" fontId="0" fillId="5" borderId="1" xfId="0" applyNumberFormat="1" applyFill="1" applyBorder="1"/>
    <xf numFmtId="0" fontId="0" fillId="5" borderId="1" xfId="0" applyFill="1" applyBorder="1"/>
    <xf numFmtId="165" fontId="0" fillId="5" borderId="1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bdul Pasha" refreshedDate="45756.007211342592" createdVersion="6" refreshedVersion="8" minRefreshableVersion="3" recordCount="39" xr:uid="{3AFBD4CA-AFCC-4A2C-BA77-2EF90A94E5F9}">
  <cacheSource type="worksheet">
    <worksheetSource ref="A1:G1048576" sheet="March "/>
  </cacheSource>
  <cacheFields count="7">
    <cacheField name="Date" numFmtId="0">
      <sharedItems containsNonDate="0" containsDate="1" containsString="0" containsBlank="1" minDate="2025-03-26T00:00:00" maxDate="2025-04-01T00:00:00"/>
    </cacheField>
    <cacheField name="Qty" numFmtId="0">
      <sharedItems containsString="0" containsBlank="1" containsNumber="1" containsInteger="1" minValue="1" maxValue="10"/>
    </cacheField>
    <cacheField name="Items" numFmtId="0">
      <sharedItems containsBlank="1" count="15">
        <s v="PS5 Astro BOT"/>
        <s v="Mac Book Air M4 24/512Midnight"/>
        <s v="Mac Book Air Midnight"/>
        <s v="Mac Book Air M4 24/512 Sky Blue"/>
        <s v="Iphone 16 Pro max 256 GB Desert "/>
        <s v="Mac Book Pro 16/512 Silver"/>
        <s v="Mac Book Pro M4 14&quot; 16/512 Silver"/>
        <s v="Mini Evo"/>
        <s v="Mini 12 Purple"/>
        <s v="Mini 12 Blue"/>
        <s v="Mini 12 White"/>
        <s v="Ninja Blast Blender"/>
        <s v="Mac Book Pro M4 14&quot; 16/ 1TB Space Black"/>
        <s v="Mini 12  Mix Colour"/>
        <m/>
      </sharedItems>
    </cacheField>
    <cacheField name="Store" numFmtId="0">
      <sharedItems containsBlank="1"/>
    </cacheField>
    <cacheField name="Price" numFmtId="0">
      <sharedItems containsString="0" containsBlank="1" containsNumber="1" minValue="55" maxValue="2460.9899999999998"/>
    </cacheField>
    <cacheField name="Total" numFmtId="0">
      <sharedItems containsString="0" containsBlank="1" containsNumber="1" minValue="89" maxValue="10999.949999999999"/>
    </cacheField>
    <cacheField name="status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bdul Pasha" refreshedDate="45758.80947453704" createdVersion="6" refreshedVersion="8" minRefreshableVersion="3" recordCount="49" xr:uid="{71320CB0-AFE8-4E6C-B669-860BD1366F9F}">
  <cacheSource type="worksheet">
    <worksheetSource ref="A1:H1048576" sheet="April"/>
  </cacheSource>
  <cacheFields count="8">
    <cacheField name="Date" numFmtId="0">
      <sharedItems containsNonDate="0" containsDate="1" containsString="0" containsBlank="1" minDate="2025-04-01T00:00:00" maxDate="2025-04-12T00:00:00"/>
    </cacheField>
    <cacheField name="Qty" numFmtId="0">
      <sharedItems containsString="0" containsBlank="1" containsNumber="1" containsInteger="1" minValue="1" maxValue="11"/>
    </cacheField>
    <cacheField name="Items" numFmtId="0">
      <sharedItems containsBlank="1" count="24">
        <s v="Mac Book Air 13&quot; M4 24/512 Sky Blue"/>
        <s v="Mac Book Pro M4 14&quot; 16/1TB Space Black"/>
        <m/>
        <s v="Mac Book Pro M4 16/1TB Space Black"/>
        <s v="Mac Book Air 13&quot; M4 24/512 Space Black"/>
        <s v="Instax Mini 99 Bundle"/>
        <s v="PS5 Astro Bot Bundle"/>
        <s v="Meta Quest 3 512"/>
        <s v="Norton Antivirus"/>
        <s v="JBHIFI Meta Quest "/>
        <s v="EB Games Online"/>
        <s v="Packaging"/>
        <s v="Instax Mini 12"/>
        <s v="Mac Book Pro M4 14&quot; 16/512 Silver"/>
        <s v="Mac Book Air 13&quot; M4 24/512 Midnight"/>
        <s v="PS5 Hard drive"/>
        <s v="Mac Book Air 15&quot; M4 24/512 Sky Blue"/>
        <s v="PS5 Astrobot with CD game"/>
        <s v="Mac Book Air 15&quot; M3 24/512 Starlight"/>
        <s v="Mac Book Air 15&quot; M3 24/512 Silver"/>
        <s v="Mac Book Air 15&quot; M3 24/512 Midnight"/>
        <s v="Meta Quest 3S 128"/>
        <s v="Mac Book Air 15&quot; 24/512 Sky Blue"/>
        <s v="Mac Book Air 15&quot; 24/512 Midnight"/>
      </sharedItems>
    </cacheField>
    <cacheField name="Store" numFmtId="0">
      <sharedItems containsBlank="1" count="20">
        <s v="Office Works Northmead"/>
        <s v="Office Works Auburn"/>
        <m/>
        <s v="Office Works Castle Hills"/>
        <s v="Office Works Hornsby"/>
        <s v="JBHIFI Hornsby"/>
        <s v="Office Works North Ryde"/>
        <s v="Office Works West Ryde"/>
        <s v="JBHIFI Castle Hills"/>
        <s v="Merylands"/>
        <s v="Expense"/>
        <s v="Good Guys "/>
        <s v="Good Guys Bankstown"/>
        <s v="Office Works Punchbowl"/>
        <s v="Big W Merrylands"/>
        <s v="Costco Online"/>
        <s v="EB Games North Ryde"/>
        <s v="JBHIFI Bankstown"/>
        <s v="Big W Bansktown"/>
        <s v="Big W Winston Hills"/>
      </sharedItems>
    </cacheField>
    <cacheField name="Price" numFmtId="0">
      <sharedItems containsString="0" containsBlank="1" containsNumber="1" minValue="36.54" maxValue="2549.9899999999998"/>
    </cacheField>
    <cacheField name="Total" numFmtId="0">
      <sharedItems containsString="0" containsBlank="1" containsNumber="1" minValue="0" maxValue="10995"/>
    </cacheField>
    <cacheField name="status" numFmtId="0">
      <sharedItems containsBlank="1" count="20">
        <s v="Collected"/>
        <m/>
        <s v="Pending Collection Northmead"/>
        <s v="Collected  10/04/2025"/>
        <s v="Cancelled Refund to be process"/>
        <s v="Delivered 11/04/2024"/>
        <s v="Delivered 11/04/2025"/>
        <s v="Delivered 11/04/2026"/>
        <s v="Delivered 11/04/2027"/>
        <s v="Delivered 11/04/2028"/>
        <s v="Pending Confirmation"/>
        <s v="Pending Collection Parramatta"/>
        <s v="Pending Collection"/>
        <s v="Delivered"/>
        <s v="Pending Collection Bankstown" u="1"/>
        <s v="Pending Collection " u="1"/>
        <s v="Order Cancelled Pending refund" u="1"/>
        <s v="Pending Collection  Zunera" u="1"/>
        <s v="Pending Collection Blacktown Zunera" u="1"/>
        <s v="Pending Collection Castle Hills" u="1"/>
      </sharedItems>
    </cacheField>
    <cacheField name="Collection Date" numFmtId="0">
      <sharedItems containsDate="1" containsBlank="1" containsMixedTypes="1" minDate="2025-04-02T00:00:00" maxDate="2025-04-09T00:00: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9">
  <r>
    <d v="2025-03-26T00:00:00"/>
    <n v="1"/>
    <x v="0"/>
    <s v="JBHIFI Castle Hills"/>
    <n v="699"/>
    <n v="699"/>
    <s v="Collected"/>
  </r>
  <r>
    <d v="2025-03-26T00:00:00"/>
    <n v="1"/>
    <x v="1"/>
    <s v="JBHIFI Castle Hills"/>
    <n v="2149"/>
    <n v="2149"/>
    <s v="Collected"/>
  </r>
  <r>
    <d v="2025-03-26T00:00:00"/>
    <n v="1"/>
    <x v="0"/>
    <s v="EB Games Online"/>
    <n v="669"/>
    <n v="669"/>
    <s v="Pending Collection Merrylands"/>
  </r>
  <r>
    <d v="2025-03-26T00:00:00"/>
    <n v="1"/>
    <x v="0"/>
    <s v="EB Games Online"/>
    <n v="669"/>
    <n v="669"/>
    <s v="Collected 04/04/2025"/>
  </r>
  <r>
    <d v="2025-03-26T00:00:00"/>
    <n v="5"/>
    <x v="2"/>
    <s v="Costco Online"/>
    <n v="2199.9899999999998"/>
    <n v="10999.949999999999"/>
    <s v="Delivered  home on 29/03/2025"/>
  </r>
  <r>
    <d v="2025-03-26T00:00:00"/>
    <n v="1"/>
    <x v="1"/>
    <s v="Office Works Hornsby"/>
    <n v="2089.9899999999998"/>
    <n v="2089.9899999999998"/>
    <s v="Collected"/>
  </r>
  <r>
    <d v="2025-03-26T00:00:00"/>
    <n v="1"/>
    <x v="3"/>
    <s v="Office Works Hornsby"/>
    <n v="2089.9899999999998"/>
    <n v="2089.9899999999998"/>
    <s v="Collected"/>
  </r>
  <r>
    <d v="2025-03-26T00:00:00"/>
    <n v="2"/>
    <x v="4"/>
    <s v="Office Works Northmead"/>
    <n v="1880.99"/>
    <n v="3761.98"/>
    <s v="Collected"/>
  </r>
  <r>
    <d v="2025-03-26T00:00:00"/>
    <n v="2"/>
    <x v="3"/>
    <s v="Office Works Northmead"/>
    <n v="2089.4899999999998"/>
    <n v="4178.9799999999996"/>
    <s v="Collected"/>
  </r>
  <r>
    <d v="2025-03-26T00:00:00"/>
    <n v="2"/>
    <x v="3"/>
    <s v="Office Works  west ryde"/>
    <n v="2089.4899999999998"/>
    <n v="4178.9799999999996"/>
    <s v="Collected 30/03/2025"/>
  </r>
  <r>
    <d v="2025-03-26T00:00:00"/>
    <n v="2"/>
    <x v="3"/>
    <s v="Office Works North Ryde"/>
    <n v="2089.4899999999998"/>
    <n v="4178.9799999999996"/>
    <s v="PickUp Northmead/ Collected"/>
  </r>
  <r>
    <d v="2025-03-26T00:00:00"/>
    <n v="2"/>
    <x v="3"/>
    <s v="Office Works  Castle Hills"/>
    <n v="2089.4899999999998"/>
    <n v="4178.9799999999996"/>
    <s v="Collected"/>
  </r>
  <r>
    <d v="2025-03-27T00:00:00"/>
    <n v="2"/>
    <x v="3"/>
    <s v="Office Works Northmead"/>
    <n v="2089.4899999999998"/>
    <n v="4178.9799999999996"/>
    <s v="Collected 31/03/2025"/>
  </r>
  <r>
    <d v="2025-03-27T00:00:00"/>
    <n v="2"/>
    <x v="3"/>
    <s v="Office Works  Castle Hills"/>
    <n v="2089.4899999999998"/>
    <n v="4178.9799999999996"/>
    <s v="Collected 31/03/2025"/>
  </r>
  <r>
    <d v="2025-03-27T00:00:00"/>
    <n v="2"/>
    <x v="1"/>
    <s v="Office Works  Castle Hills"/>
    <n v="2089.4899999999998"/>
    <n v="4178.9799999999996"/>
    <s v="Collected 31/03/2025"/>
  </r>
  <r>
    <d v="2025-03-27T00:00:00"/>
    <n v="2"/>
    <x v="1"/>
    <s v="Office Works Blacktown"/>
    <n v="2089.4899999999998"/>
    <n v="4178.9799999999996"/>
    <s v="Collected 31/03/2025"/>
  </r>
  <r>
    <d v="2025-03-27T00:00:00"/>
    <n v="2"/>
    <x v="3"/>
    <s v="Office Works Blacktown"/>
    <n v="2089.4899999999998"/>
    <n v="4178.9799999999996"/>
    <s v="Collected 31/03/2025"/>
  </r>
  <r>
    <d v="2025-03-27T00:00:00"/>
    <n v="2"/>
    <x v="5"/>
    <s v="Office Works Wentworthville"/>
    <n v="2204"/>
    <n v="4408"/>
    <s v="Collected 31/03/2025"/>
  </r>
  <r>
    <d v="2025-03-28T00:00:00"/>
    <n v="2"/>
    <x v="3"/>
    <s v="Office Works Auburn"/>
    <n v="2089.4899999999998"/>
    <n v="4178.9799999999996"/>
    <s v="Collected 01/04/2025"/>
  </r>
  <r>
    <d v="2025-03-28T00:00:00"/>
    <n v="1"/>
    <x v="6"/>
    <s v="Good Guys Auburn"/>
    <n v="2204"/>
    <n v="2204"/>
    <s v="Collected 04/04/2025"/>
  </r>
  <r>
    <d v="2025-03-28T00:00:00"/>
    <n v="2"/>
    <x v="7"/>
    <s v="Good Guys Auburn"/>
    <n v="220"/>
    <n v="440"/>
    <s v="Collected"/>
  </r>
  <r>
    <d v="2025-03-28T00:00:00"/>
    <n v="2"/>
    <x v="8"/>
    <s v="Good Guys Auburn"/>
    <n v="89"/>
    <n v="178"/>
    <s v="Collected"/>
  </r>
  <r>
    <d v="2025-03-28T00:00:00"/>
    <n v="2"/>
    <x v="9"/>
    <s v="Good Guys Auburn"/>
    <n v="89"/>
    <n v="178"/>
    <s v="Collected"/>
  </r>
  <r>
    <d v="2025-03-28T00:00:00"/>
    <n v="2"/>
    <x v="10"/>
    <s v="Good Guys Auburn"/>
    <n v="89"/>
    <n v="178"/>
    <s v="Collected"/>
  </r>
  <r>
    <d v="2025-03-28T00:00:00"/>
    <n v="2"/>
    <x v="11"/>
    <s v="Good Guys Auburn"/>
    <n v="55"/>
    <n v="110"/>
    <s v="Collected"/>
  </r>
  <r>
    <d v="2025-03-28T00:00:00"/>
    <n v="2"/>
    <x v="7"/>
    <s v="Good Guys Auburn"/>
    <n v="220"/>
    <n v="440"/>
    <s v="Collected 31/03/2025"/>
  </r>
  <r>
    <d v="2025-03-28T00:00:00"/>
    <n v="2"/>
    <x v="7"/>
    <s v="Good Guys Auburn"/>
    <n v="220"/>
    <n v="440"/>
    <s v="Collected 04/04/2025"/>
  </r>
  <r>
    <d v="2025-03-28T00:00:00"/>
    <n v="2"/>
    <x v="8"/>
    <s v="Good Guys Auburn"/>
    <n v="89"/>
    <n v="178"/>
    <s v="Collected 04/04/2025"/>
  </r>
  <r>
    <d v="2025-03-28T00:00:00"/>
    <n v="1"/>
    <x v="9"/>
    <s v="Good Guys Auburn"/>
    <n v="89"/>
    <n v="89"/>
    <s v="Collected 04/04/2025"/>
  </r>
  <r>
    <d v="2025-03-29T00:00:00"/>
    <n v="2"/>
    <x v="3"/>
    <s v="Office Works Auburn"/>
    <n v="2089.4899999999998"/>
    <n v="4178.9799999999996"/>
    <s v="Collected 01/04/2025"/>
  </r>
  <r>
    <d v="2025-03-29T00:00:00"/>
    <n v="2"/>
    <x v="6"/>
    <s v="Office Works Five Dock"/>
    <n v="2204"/>
    <n v="4408"/>
    <s v="Collected 30/03/2025"/>
  </r>
  <r>
    <d v="2025-03-29T00:00:00"/>
    <n v="1"/>
    <x v="0"/>
    <s v="EB Games Online"/>
    <n v="669"/>
    <n v="669"/>
    <s v="Collected 04/04/2025"/>
  </r>
  <r>
    <d v="2025-03-31T00:00:00"/>
    <n v="2"/>
    <x v="3"/>
    <s v="Office Works Northmead"/>
    <n v="2460.9899999999998"/>
    <n v="4921.9799999999996"/>
    <s v="Collected 01/04/2025"/>
  </r>
  <r>
    <d v="2025-03-31T00:00:00"/>
    <n v="2"/>
    <x v="12"/>
    <s v="Office Works Blacktown"/>
    <n v="2089.9899999999998"/>
    <n v="4179.9799999999996"/>
    <s v="Collected 03/04/2025"/>
  </r>
  <r>
    <d v="2025-03-31T00:00:00"/>
    <n v="2"/>
    <x v="12"/>
    <s v="Office Works Wentworthville"/>
    <n v="2460.9899999999998"/>
    <n v="4921.9799999999996"/>
    <s v="Collected 03/04/2025"/>
  </r>
  <r>
    <d v="2025-03-31T00:00:00"/>
    <n v="10"/>
    <x v="7"/>
    <s v="Good Guys Blacktown"/>
    <n v="213"/>
    <n v="2130"/>
    <s v="Pending Collection"/>
  </r>
  <r>
    <d v="2025-03-31T00:00:00"/>
    <n v="10"/>
    <x v="13"/>
    <s v="Good Guys Blacktown"/>
    <n v="87"/>
    <n v="870"/>
    <s v="Pending Collection"/>
  </r>
  <r>
    <d v="2025-03-31T00:00:00"/>
    <n v="2"/>
    <x v="3"/>
    <s v="Office Works Auburn"/>
    <n v="2089.9899999999998"/>
    <n v="4179.9799999999996"/>
    <s v="Order Cancelled /Refund 03/04/2025"/>
  </r>
  <r>
    <m/>
    <m/>
    <x v="14"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9">
  <r>
    <d v="2025-04-01T00:00:00"/>
    <n v="2"/>
    <x v="0"/>
    <x v="0"/>
    <n v="2089.4899999999998"/>
    <n v="4178.9799999999996"/>
    <x v="0"/>
    <d v="2025-04-02T00:00:00"/>
  </r>
  <r>
    <d v="2025-04-01T00:00:00"/>
    <n v="2"/>
    <x v="1"/>
    <x v="1"/>
    <n v="2460.4899999999998"/>
    <n v="4920.9799999999996"/>
    <x v="0"/>
    <m/>
  </r>
  <r>
    <m/>
    <m/>
    <x v="2"/>
    <x v="2"/>
    <m/>
    <m/>
    <x v="1"/>
    <m/>
  </r>
  <r>
    <d v="2025-04-02T00:00:00"/>
    <n v="2"/>
    <x v="3"/>
    <x v="0"/>
    <n v="2517.4899999999998"/>
    <n v="5034.9799999999996"/>
    <x v="0"/>
    <m/>
  </r>
  <r>
    <d v="2025-04-02T00:00:00"/>
    <n v="2"/>
    <x v="0"/>
    <x v="3"/>
    <n v="2089.4899999999998"/>
    <n v="4178.9799999999996"/>
    <x v="0"/>
    <m/>
  </r>
  <r>
    <d v="2025-04-02T00:00:00"/>
    <n v="2"/>
    <x v="4"/>
    <x v="3"/>
    <n v="2089.4899999999998"/>
    <n v="4178.9799999999996"/>
    <x v="0"/>
    <m/>
  </r>
  <r>
    <d v="2025-04-02T00:00:00"/>
    <n v="1"/>
    <x v="0"/>
    <x v="4"/>
    <n v="2089.9899999999998"/>
    <n v="2089.9899999999998"/>
    <x v="0"/>
    <d v="2025-04-08T00:00:00"/>
  </r>
  <r>
    <d v="2025-04-02T00:00:00"/>
    <n v="1"/>
    <x v="4"/>
    <x v="4"/>
    <n v="2089.9899999999998"/>
    <n v="2089.9899999999998"/>
    <x v="0"/>
    <d v="2025-04-08T00:00:00"/>
  </r>
  <r>
    <d v="2025-04-02T00:00:00"/>
    <n v="8"/>
    <x v="5"/>
    <x v="5"/>
    <n v="229"/>
    <n v="1832"/>
    <x v="0"/>
    <d v="2025-04-02T00:00:00"/>
  </r>
  <r>
    <d v="2025-04-02T00:00:00"/>
    <n v="1"/>
    <x v="6"/>
    <x v="5"/>
    <n v="699"/>
    <n v="699"/>
    <x v="0"/>
    <d v="2025-04-03T00:00:00"/>
  </r>
  <r>
    <d v="2025-04-02T00:00:00"/>
    <n v="1"/>
    <x v="7"/>
    <x v="5"/>
    <n v="799"/>
    <n v="799"/>
    <x v="0"/>
    <d v="2025-04-03T00:00:00"/>
  </r>
  <r>
    <d v="2025-04-02T00:00:00"/>
    <n v="1"/>
    <x v="0"/>
    <x v="5"/>
    <n v="2149"/>
    <n v="2149"/>
    <x v="0"/>
    <d v="2025-04-02T00:00:00"/>
  </r>
  <r>
    <d v="2025-04-02T00:00:00"/>
    <n v="1"/>
    <x v="0"/>
    <x v="6"/>
    <n v="2089.9899999999998"/>
    <n v="2089.9899999999998"/>
    <x v="1"/>
    <s v="Order Cancelled Refund 08/04/2025"/>
  </r>
  <r>
    <d v="2025-04-02T00:00:00"/>
    <n v="2"/>
    <x v="0"/>
    <x v="7"/>
    <n v="2089.9899999999998"/>
    <n v="4179.9799999999996"/>
    <x v="2"/>
    <s v="Order Cancelled Refunded"/>
  </r>
  <r>
    <d v="2025-04-02T00:00:00"/>
    <n v="1"/>
    <x v="0"/>
    <x v="1"/>
    <n v="2089.9899999999998"/>
    <n v="2089.9899999999998"/>
    <x v="0"/>
    <d v="2025-04-04T00:00:00"/>
  </r>
  <r>
    <d v="2025-04-02T00:00:00"/>
    <n v="1"/>
    <x v="4"/>
    <x v="1"/>
    <n v="2089.9899999999998"/>
    <n v="2089.9899999999998"/>
    <x v="0"/>
    <d v="2025-04-04T00:00:00"/>
  </r>
  <r>
    <d v="2025-04-02T00:00:00"/>
    <n v="1"/>
    <x v="8"/>
    <x v="1"/>
    <n v="39"/>
    <n v="39"/>
    <x v="0"/>
    <d v="2025-04-02T00:00:00"/>
  </r>
  <r>
    <m/>
    <m/>
    <x v="2"/>
    <x v="2"/>
    <m/>
    <n v="0"/>
    <x v="1"/>
    <m/>
  </r>
  <r>
    <d v="2025-04-03T00:00:00"/>
    <n v="1"/>
    <x v="9"/>
    <x v="8"/>
    <n v="799"/>
    <n v="799"/>
    <x v="0"/>
    <m/>
  </r>
  <r>
    <d v="2025-04-03T00:00:00"/>
    <n v="1"/>
    <x v="10"/>
    <x v="9"/>
    <n v="669"/>
    <n v="669"/>
    <x v="3"/>
    <m/>
  </r>
  <r>
    <d v="2025-04-03T00:00:00"/>
    <m/>
    <x v="11"/>
    <x v="10"/>
    <n v="36.54"/>
    <n v="0"/>
    <x v="1"/>
    <m/>
  </r>
  <r>
    <m/>
    <m/>
    <x v="2"/>
    <x v="2"/>
    <m/>
    <n v="0"/>
    <x v="1"/>
    <m/>
  </r>
  <r>
    <d v="2025-04-04T00:00:00"/>
    <n v="6"/>
    <x v="12"/>
    <x v="11"/>
    <n v="87"/>
    <n v="522"/>
    <x v="0"/>
    <m/>
  </r>
  <r>
    <d v="2025-04-04T00:00:00"/>
    <n v="1"/>
    <x v="13"/>
    <x v="12"/>
    <n v="2204"/>
    <n v="2204"/>
    <x v="3"/>
    <m/>
  </r>
  <r>
    <d v="2025-04-04T00:00:00"/>
    <n v="1"/>
    <x v="4"/>
    <x v="13"/>
    <n v="2089.9899999999998"/>
    <n v="2089.9899999999998"/>
    <x v="0"/>
    <m/>
  </r>
  <r>
    <d v="2025-04-04T00:00:00"/>
    <n v="1"/>
    <x v="0"/>
    <x v="13"/>
    <n v="2089.9899999999998"/>
    <n v="2089.9899999999998"/>
    <x v="4"/>
    <m/>
  </r>
  <r>
    <d v="2025-04-05T00:00:00"/>
    <n v="1"/>
    <x v="0"/>
    <x v="3"/>
    <n v="2089.9899999999998"/>
    <n v="2089.9899999999998"/>
    <x v="0"/>
    <m/>
  </r>
  <r>
    <d v="2025-04-05T00:00:00"/>
    <n v="1"/>
    <x v="14"/>
    <x v="3"/>
    <n v="2089.9899999999998"/>
    <n v="2089.9899999999998"/>
    <x v="4"/>
    <m/>
  </r>
  <r>
    <d v="2025-04-05T00:00:00"/>
    <n v="1"/>
    <x v="15"/>
    <x v="8"/>
    <n v="149"/>
    <n v="149"/>
    <x v="0"/>
    <m/>
  </r>
  <r>
    <d v="2025-04-05T00:00:00"/>
    <n v="1"/>
    <x v="16"/>
    <x v="8"/>
    <n v="2549"/>
    <n v="2549"/>
    <x v="0"/>
    <m/>
  </r>
  <r>
    <d v="2025-04-08T00:00:00"/>
    <n v="1"/>
    <x v="0"/>
    <x v="3"/>
    <n v="2089.9899999999998"/>
    <n v="2089.9899999999998"/>
    <x v="4"/>
    <m/>
  </r>
  <r>
    <d v="2025-04-08T00:00:00"/>
    <n v="1"/>
    <x v="4"/>
    <x v="4"/>
    <n v="2089.9899999999998"/>
    <n v="2089"/>
    <x v="4"/>
    <m/>
  </r>
  <r>
    <d v="2025-04-08T00:00:00"/>
    <n v="1"/>
    <x v="4"/>
    <x v="4"/>
    <n v="2089.9899999999998"/>
    <n v="2089"/>
    <x v="4"/>
    <m/>
  </r>
  <r>
    <d v="2025-04-09T00:00:00"/>
    <n v="10"/>
    <x v="17"/>
    <x v="14"/>
    <n v="724"/>
    <n v="7240"/>
    <x v="0"/>
    <m/>
  </r>
  <r>
    <d v="2025-04-09T00:00:00"/>
    <n v="2"/>
    <x v="18"/>
    <x v="15"/>
    <n v="1749.99"/>
    <n v="3499.98"/>
    <x v="5"/>
    <m/>
  </r>
  <r>
    <d v="2025-04-09T00:00:00"/>
    <n v="2"/>
    <x v="19"/>
    <x v="15"/>
    <n v="1749.99"/>
    <n v="3499.98"/>
    <x v="6"/>
    <m/>
  </r>
  <r>
    <d v="2025-04-09T00:00:00"/>
    <n v="3"/>
    <x v="18"/>
    <x v="15"/>
    <n v="1749.99"/>
    <n v="5249.97"/>
    <x v="7"/>
    <m/>
  </r>
  <r>
    <d v="2025-04-09T00:00:00"/>
    <n v="6"/>
    <x v="20"/>
    <x v="15"/>
    <n v="1749.99"/>
    <n v="10499.94"/>
    <x v="8"/>
    <m/>
  </r>
  <r>
    <d v="2025-04-09T00:00:00"/>
    <n v="5"/>
    <x v="16"/>
    <x v="15"/>
    <n v="2199"/>
    <n v="10995"/>
    <x v="9"/>
    <m/>
  </r>
  <r>
    <d v="2025-04-09T00:00:00"/>
    <n v="1"/>
    <x v="10"/>
    <x v="16"/>
    <n v="669"/>
    <n v="669"/>
    <x v="10"/>
    <m/>
  </r>
  <r>
    <d v="2025-04-10T00:00:00"/>
    <n v="1"/>
    <x v="21"/>
    <x v="17"/>
    <n v="449"/>
    <n v="449"/>
    <x v="0"/>
    <m/>
  </r>
  <r>
    <d v="2025-04-10T00:00:00"/>
    <n v="2"/>
    <x v="17"/>
    <x v="17"/>
    <n v="689"/>
    <n v="1378"/>
    <x v="11"/>
    <m/>
  </r>
  <r>
    <d v="2025-04-10T00:00:00"/>
    <n v="8"/>
    <x v="17"/>
    <x v="18"/>
    <n v="724"/>
    <n v="5792"/>
    <x v="12"/>
    <m/>
  </r>
  <r>
    <d v="2025-04-10T00:00:00"/>
    <n v="5"/>
    <x v="17"/>
    <x v="19"/>
    <n v="724"/>
    <n v="3620"/>
    <x v="0"/>
    <m/>
  </r>
  <r>
    <d v="2025-04-11T00:00:00"/>
    <n v="11"/>
    <x v="17"/>
    <x v="19"/>
    <n v="724"/>
    <n v="7964"/>
    <x v="0"/>
    <m/>
  </r>
  <r>
    <d v="2025-04-11T00:00:00"/>
    <n v="3"/>
    <x v="22"/>
    <x v="15"/>
    <n v="2549.9899999999998"/>
    <n v="7649.9699999999993"/>
    <x v="13"/>
    <m/>
  </r>
  <r>
    <d v="2025-04-11T00:00:00"/>
    <n v="1"/>
    <x v="23"/>
    <x v="15"/>
    <n v="2549.9899999999998"/>
    <n v="2549.9899999999998"/>
    <x v="13"/>
    <m/>
  </r>
  <r>
    <m/>
    <m/>
    <x v="2"/>
    <x v="2"/>
    <m/>
    <n v="0"/>
    <x v="1"/>
    <m/>
  </r>
  <r>
    <m/>
    <m/>
    <x v="2"/>
    <x v="2"/>
    <m/>
    <m/>
    <x v="1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0090C34-9C05-4607-9B09-971F250C0FDB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outline="1" outlineData="1" multipleFieldFilters="0">
  <location ref="I1:J17" firstHeaderRow="1" firstDataRow="1" firstDataCol="1"/>
  <pivotFields count="7">
    <pivotField showAll="0"/>
    <pivotField dataField="1" showAll="0"/>
    <pivotField axis="axisRow" showAll="0">
      <items count="16">
        <item x="4"/>
        <item x="3"/>
        <item x="1"/>
        <item x="2"/>
        <item x="5"/>
        <item x="12"/>
        <item x="6"/>
        <item x="13"/>
        <item x="9"/>
        <item x="8"/>
        <item x="10"/>
        <item x="7"/>
        <item x="11"/>
        <item x="0"/>
        <item x="14"/>
        <item t="default"/>
      </items>
    </pivotField>
    <pivotField showAll="0"/>
    <pivotField showAll="0"/>
    <pivotField showAll="0"/>
    <pivotField showAll="0"/>
  </pivotFields>
  <rowFields count="1">
    <field x="2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Items count="1">
    <i/>
  </colItems>
  <dataFields count="1">
    <dataField name="Sum of Qty" fld="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D503544-52B9-4DC6-9686-B756E4B175E8}" name="PivotTable2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outline="1" outlineData="1" multipleFieldFilters="0">
  <location ref="J3:M7" firstHeaderRow="1" firstDataRow="2" firstDataCol="1" rowPageCount="1" colPageCount="1"/>
  <pivotFields count="8">
    <pivotField showAll="0"/>
    <pivotField dataField="1" showAll="0"/>
    <pivotField axis="axisRow" showAll="0">
      <items count="25">
        <item x="5"/>
        <item x="0"/>
        <item x="4"/>
        <item x="1"/>
        <item x="3"/>
        <item x="7"/>
        <item x="8"/>
        <item x="6"/>
        <item x="2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axis="axisCol" showAll="0">
      <items count="21">
        <item x="5"/>
        <item x="1"/>
        <item x="3"/>
        <item x="4"/>
        <item x="6"/>
        <item x="0"/>
        <item x="7"/>
        <item x="2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showAll="0"/>
    <pivotField showAll="0"/>
    <pivotField axis="axisPage" multipleItemSelectionAllowed="1" showAll="0">
      <items count="21">
        <item h="1" x="0"/>
        <item x="12"/>
        <item m="1" x="19"/>
        <item x="2"/>
        <item h="1" x="1"/>
        <item m="1" x="14"/>
        <item m="1" x="15"/>
        <item h="1" m="1" x="16"/>
        <item h="1" m="1" x="17"/>
        <item h="1" m="1" x="18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3"/>
        <item t="default"/>
      </items>
    </pivotField>
    <pivotField showAll="0"/>
  </pivotFields>
  <rowFields count="1">
    <field x="2"/>
  </rowFields>
  <rowItems count="3">
    <i>
      <x v="1"/>
    </i>
    <i>
      <x v="17"/>
    </i>
    <i t="grand">
      <x/>
    </i>
  </rowItems>
  <colFields count="1">
    <field x="3"/>
  </colFields>
  <colItems count="3">
    <i>
      <x v="6"/>
    </i>
    <i>
      <x v="18"/>
    </i>
    <i t="grand">
      <x/>
    </i>
  </colItems>
  <pageFields count="1">
    <pageField fld="6" hier="-1"/>
  </pageFields>
  <dataFields count="1">
    <dataField name="Sum of Qty" fld="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46B308-AC8E-4EA6-88E6-4FA3FB60CEAC}">
  <dimension ref="A1:F29"/>
  <sheetViews>
    <sheetView topLeftCell="A10" workbookViewId="0">
      <selection activeCell="B34" sqref="B34"/>
    </sheetView>
  </sheetViews>
  <sheetFormatPr defaultRowHeight="14.4" x14ac:dyDescent="0.3"/>
  <cols>
    <col min="1" max="1" width="14.77734375" bestFit="1" customWidth="1"/>
    <col min="2" max="2" width="18.5546875" bestFit="1" customWidth="1"/>
    <col min="3" max="3" width="16.109375" bestFit="1" customWidth="1"/>
    <col min="4" max="4" width="19.88671875" bestFit="1" customWidth="1"/>
    <col min="5" max="5" width="10.5546875" bestFit="1" customWidth="1"/>
    <col min="6" max="6" width="25.88671875" bestFit="1" customWidth="1"/>
  </cols>
  <sheetData>
    <row r="1" spans="1:6" x14ac:dyDescent="0.3">
      <c r="A1" t="s">
        <v>54</v>
      </c>
    </row>
    <row r="2" spans="1:6" x14ac:dyDescent="0.3">
      <c r="A2" t="s">
        <v>47</v>
      </c>
      <c r="B2" t="s">
        <v>48</v>
      </c>
      <c r="F2" t="s">
        <v>53</v>
      </c>
    </row>
    <row r="3" spans="1:6" x14ac:dyDescent="0.3">
      <c r="A3">
        <v>2</v>
      </c>
      <c r="B3" t="s">
        <v>46</v>
      </c>
      <c r="C3" t="s">
        <v>38</v>
      </c>
      <c r="F3" t="s">
        <v>51</v>
      </c>
    </row>
    <row r="4" spans="1:6" x14ac:dyDescent="0.3">
      <c r="A4">
        <v>6</v>
      </c>
      <c r="B4" t="s">
        <v>45</v>
      </c>
      <c r="C4" t="s">
        <v>38</v>
      </c>
      <c r="F4" t="s">
        <v>52</v>
      </c>
    </row>
    <row r="5" spans="1:6" x14ac:dyDescent="0.3">
      <c r="A5">
        <v>4</v>
      </c>
      <c r="B5" t="s">
        <v>44</v>
      </c>
      <c r="C5" t="s">
        <v>38</v>
      </c>
    </row>
    <row r="6" spans="1:6" x14ac:dyDescent="0.3">
      <c r="A6">
        <v>4</v>
      </c>
      <c r="B6" t="s">
        <v>43</v>
      </c>
      <c r="C6" t="s">
        <v>38</v>
      </c>
    </row>
    <row r="7" spans="1:6" x14ac:dyDescent="0.3">
      <c r="A7">
        <v>2</v>
      </c>
      <c r="B7" t="s">
        <v>42</v>
      </c>
      <c r="C7" t="s">
        <v>40</v>
      </c>
    </row>
    <row r="8" spans="1:6" x14ac:dyDescent="0.3">
      <c r="A8">
        <v>1</v>
      </c>
      <c r="B8" t="s">
        <v>41</v>
      </c>
      <c r="C8" t="s">
        <v>40</v>
      </c>
    </row>
    <row r="9" spans="1:6" x14ac:dyDescent="0.3">
      <c r="A9">
        <v>2</v>
      </c>
      <c r="B9" t="s">
        <v>39</v>
      </c>
      <c r="C9" t="s">
        <v>38</v>
      </c>
      <c r="D9" t="s">
        <v>37</v>
      </c>
      <c r="E9" s="6">
        <v>45742</v>
      </c>
      <c r="F9" t="s">
        <v>49</v>
      </c>
    </row>
    <row r="10" spans="1:6" x14ac:dyDescent="0.3">
      <c r="A10" s="1">
        <v>2</v>
      </c>
      <c r="B10" s="2" t="s">
        <v>31</v>
      </c>
      <c r="C10" s="2" t="s">
        <v>30</v>
      </c>
      <c r="D10" s="3">
        <v>220</v>
      </c>
      <c r="E10" s="3">
        <f t="shared" ref="E10:E15" si="0">(A10*D10)</f>
        <v>440</v>
      </c>
      <c r="F10" s="2" t="s">
        <v>36</v>
      </c>
    </row>
    <row r="11" spans="1:6" x14ac:dyDescent="0.3">
      <c r="A11" s="1">
        <v>2</v>
      </c>
      <c r="B11" s="2" t="s">
        <v>31</v>
      </c>
      <c r="C11" s="2" t="s">
        <v>30</v>
      </c>
      <c r="D11" s="3">
        <v>220</v>
      </c>
      <c r="E11" s="3">
        <f t="shared" si="0"/>
        <v>440</v>
      </c>
      <c r="F11" s="2" t="s">
        <v>12</v>
      </c>
    </row>
    <row r="12" spans="1:6" x14ac:dyDescent="0.3">
      <c r="A12" s="1">
        <v>2</v>
      </c>
      <c r="B12" s="2" t="s">
        <v>32</v>
      </c>
      <c r="C12" s="2" t="s">
        <v>30</v>
      </c>
      <c r="D12" s="3">
        <v>89</v>
      </c>
      <c r="E12" s="3">
        <f t="shared" si="0"/>
        <v>178</v>
      </c>
      <c r="F12" s="2" t="s">
        <v>12</v>
      </c>
    </row>
    <row r="13" spans="1:6" x14ac:dyDescent="0.3">
      <c r="A13" s="1">
        <v>1</v>
      </c>
      <c r="B13" s="2" t="s">
        <v>33</v>
      </c>
      <c r="C13" s="2" t="s">
        <v>30</v>
      </c>
      <c r="D13" s="3">
        <v>89</v>
      </c>
      <c r="E13" s="3">
        <f t="shared" si="0"/>
        <v>89</v>
      </c>
      <c r="F13" s="2" t="s">
        <v>12</v>
      </c>
    </row>
    <row r="14" spans="1:6" x14ac:dyDescent="0.3">
      <c r="A14" s="1">
        <v>1</v>
      </c>
      <c r="B14" s="2" t="s">
        <v>6</v>
      </c>
      <c r="C14" s="2" t="s">
        <v>10</v>
      </c>
      <c r="D14" s="3">
        <v>669</v>
      </c>
      <c r="E14" s="3">
        <f t="shared" si="0"/>
        <v>669</v>
      </c>
      <c r="F14" s="2" t="s">
        <v>11</v>
      </c>
    </row>
    <row r="15" spans="1:6" x14ac:dyDescent="0.3">
      <c r="A15" s="1">
        <v>1</v>
      </c>
      <c r="B15" s="2" t="s">
        <v>6</v>
      </c>
      <c r="C15" s="2" t="s">
        <v>10</v>
      </c>
      <c r="D15" s="3">
        <v>669</v>
      </c>
      <c r="E15" s="3">
        <f t="shared" si="0"/>
        <v>669</v>
      </c>
      <c r="F15" s="2" t="s">
        <v>12</v>
      </c>
    </row>
    <row r="17" spans="1:6" x14ac:dyDescent="0.3">
      <c r="A17" s="6">
        <v>45381</v>
      </c>
    </row>
    <row r="18" spans="1:6" x14ac:dyDescent="0.3">
      <c r="A18">
        <v>4</v>
      </c>
      <c r="B18" t="s">
        <v>45</v>
      </c>
      <c r="C18" t="s">
        <v>38</v>
      </c>
    </row>
    <row r="19" spans="1:6" x14ac:dyDescent="0.3">
      <c r="A19">
        <v>4</v>
      </c>
      <c r="B19" t="s">
        <v>44</v>
      </c>
      <c r="C19" t="s">
        <v>38</v>
      </c>
    </row>
    <row r="20" spans="1:6" x14ac:dyDescent="0.3">
      <c r="A20">
        <v>4</v>
      </c>
      <c r="B20" t="s">
        <v>43</v>
      </c>
      <c r="C20" t="s">
        <v>38</v>
      </c>
    </row>
    <row r="21" spans="1:6" x14ac:dyDescent="0.3">
      <c r="A21">
        <v>2</v>
      </c>
      <c r="B21" t="s">
        <v>42</v>
      </c>
      <c r="C21" t="s">
        <v>40</v>
      </c>
    </row>
    <row r="22" spans="1:6" x14ac:dyDescent="0.3">
      <c r="A22">
        <v>1</v>
      </c>
      <c r="B22" t="s">
        <v>41</v>
      </c>
      <c r="C22" t="s">
        <v>40</v>
      </c>
    </row>
    <row r="23" spans="1:6" x14ac:dyDescent="0.3">
      <c r="A23">
        <v>2</v>
      </c>
      <c r="B23" t="s">
        <v>39</v>
      </c>
      <c r="C23" t="s">
        <v>38</v>
      </c>
      <c r="D23" t="s">
        <v>37</v>
      </c>
      <c r="E23" s="6">
        <v>45742</v>
      </c>
      <c r="F23" t="s">
        <v>49</v>
      </c>
    </row>
    <row r="24" spans="1:6" x14ac:dyDescent="0.3">
      <c r="A24" s="1">
        <v>2</v>
      </c>
      <c r="B24" s="2" t="s">
        <v>31</v>
      </c>
      <c r="C24" s="2" t="s">
        <v>30</v>
      </c>
      <c r="D24" s="3">
        <v>220</v>
      </c>
      <c r="E24" s="3">
        <f t="shared" ref="E24:E29" si="1">(A24*D24)</f>
        <v>440</v>
      </c>
      <c r="F24" s="2" t="s">
        <v>36</v>
      </c>
    </row>
    <row r="25" spans="1:6" x14ac:dyDescent="0.3">
      <c r="A25" s="1">
        <v>2</v>
      </c>
      <c r="B25" s="2" t="s">
        <v>31</v>
      </c>
      <c r="C25" s="2" t="s">
        <v>30</v>
      </c>
      <c r="D25" s="3">
        <v>220</v>
      </c>
      <c r="E25" s="3">
        <f t="shared" si="1"/>
        <v>440</v>
      </c>
      <c r="F25" s="2" t="s">
        <v>12</v>
      </c>
    </row>
    <row r="26" spans="1:6" x14ac:dyDescent="0.3">
      <c r="A26" s="1">
        <v>2</v>
      </c>
      <c r="B26" s="2" t="s">
        <v>32</v>
      </c>
      <c r="C26" s="2" t="s">
        <v>30</v>
      </c>
      <c r="D26" s="3">
        <v>89</v>
      </c>
      <c r="E26" s="3">
        <f t="shared" si="1"/>
        <v>178</v>
      </c>
      <c r="F26" s="2" t="s">
        <v>12</v>
      </c>
    </row>
    <row r="27" spans="1:6" x14ac:dyDescent="0.3">
      <c r="A27" s="1">
        <v>1</v>
      </c>
      <c r="B27" s="2" t="s">
        <v>33</v>
      </c>
      <c r="C27" s="2" t="s">
        <v>30</v>
      </c>
      <c r="D27" s="3">
        <v>89</v>
      </c>
      <c r="E27" s="3">
        <f t="shared" si="1"/>
        <v>89</v>
      </c>
      <c r="F27" s="2" t="s">
        <v>12</v>
      </c>
    </row>
    <row r="28" spans="1:6" x14ac:dyDescent="0.3">
      <c r="A28" s="1">
        <v>1</v>
      </c>
      <c r="B28" s="2" t="s">
        <v>6</v>
      </c>
      <c r="C28" s="2" t="s">
        <v>10</v>
      </c>
      <c r="D28" s="3">
        <v>669</v>
      </c>
      <c r="E28" s="3">
        <f t="shared" si="1"/>
        <v>669</v>
      </c>
      <c r="F28" s="2" t="s">
        <v>11</v>
      </c>
    </row>
    <row r="29" spans="1:6" x14ac:dyDescent="0.3">
      <c r="A29" s="1">
        <v>1</v>
      </c>
      <c r="B29" s="2" t="s">
        <v>6</v>
      </c>
      <c r="C29" s="2" t="s">
        <v>10</v>
      </c>
      <c r="D29" s="3">
        <v>669</v>
      </c>
      <c r="E29" s="3">
        <f t="shared" si="1"/>
        <v>669</v>
      </c>
      <c r="F29" s="2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F43748-E6CA-4C09-ADC4-E9C94C19C6E7}">
  <dimension ref="A1:J39"/>
  <sheetViews>
    <sheetView topLeftCell="A13" workbookViewId="0">
      <selection activeCell="C40" sqref="C40"/>
    </sheetView>
  </sheetViews>
  <sheetFormatPr defaultRowHeight="14.4" x14ac:dyDescent="0.3"/>
  <cols>
    <col min="1" max="1" width="10.5546875" bestFit="1" customWidth="1"/>
    <col min="3" max="3" width="30.33203125" bestFit="1" customWidth="1"/>
    <col min="4" max="4" width="25" bestFit="1" customWidth="1"/>
    <col min="5" max="5" width="9" bestFit="1" customWidth="1"/>
    <col min="6" max="6" width="10" bestFit="1" customWidth="1"/>
    <col min="7" max="7" width="31.5546875" bestFit="1" customWidth="1"/>
    <col min="9" max="9" width="36.21875" bestFit="1" customWidth="1"/>
    <col min="10" max="10" width="10.44140625" bestFit="1" customWidth="1"/>
  </cols>
  <sheetData>
    <row r="1" spans="1:10" x14ac:dyDescent="0.3">
      <c r="A1" t="s">
        <v>65</v>
      </c>
      <c r="B1" s="4" t="s">
        <v>0</v>
      </c>
      <c r="C1" s="5" t="s">
        <v>1</v>
      </c>
      <c r="D1" s="4" t="s">
        <v>2</v>
      </c>
      <c r="E1" s="4" t="s">
        <v>3</v>
      </c>
      <c r="F1" s="4" t="s">
        <v>4</v>
      </c>
      <c r="G1" s="4" t="s">
        <v>5</v>
      </c>
      <c r="I1" s="13" t="s">
        <v>80</v>
      </c>
      <c r="J1" t="s">
        <v>83</v>
      </c>
    </row>
    <row r="2" spans="1:10" x14ac:dyDescent="0.3">
      <c r="A2" s="6">
        <v>45742</v>
      </c>
      <c r="B2" s="1">
        <v>1</v>
      </c>
      <c r="C2" s="2" t="s">
        <v>6</v>
      </c>
      <c r="D2" s="2" t="s">
        <v>7</v>
      </c>
      <c r="E2" s="3">
        <v>699</v>
      </c>
      <c r="F2" s="3">
        <f>(B2*E2)</f>
        <v>699</v>
      </c>
      <c r="G2" s="2" t="s">
        <v>8</v>
      </c>
      <c r="I2" s="14" t="s">
        <v>18</v>
      </c>
      <c r="J2">
        <v>2</v>
      </c>
    </row>
    <row r="3" spans="1:10" x14ac:dyDescent="0.3">
      <c r="A3" s="6">
        <v>45742</v>
      </c>
      <c r="B3" s="1">
        <v>1</v>
      </c>
      <c r="C3" s="2" t="s">
        <v>9</v>
      </c>
      <c r="D3" s="2" t="s">
        <v>7</v>
      </c>
      <c r="E3" s="3">
        <v>2149</v>
      </c>
      <c r="F3" s="3">
        <f t="shared" ref="F3:F19" si="0">(B3*E3)</f>
        <v>2149</v>
      </c>
      <c r="G3" s="2" t="s">
        <v>8</v>
      </c>
      <c r="I3" s="14" t="s">
        <v>17</v>
      </c>
      <c r="J3">
        <v>23</v>
      </c>
    </row>
    <row r="4" spans="1:10" x14ac:dyDescent="0.3">
      <c r="A4" s="6">
        <v>45742</v>
      </c>
      <c r="B4" s="1">
        <v>1</v>
      </c>
      <c r="C4" s="2" t="s">
        <v>6</v>
      </c>
      <c r="D4" s="2" t="s">
        <v>10</v>
      </c>
      <c r="E4" s="3">
        <v>669</v>
      </c>
      <c r="F4" s="3">
        <f t="shared" si="0"/>
        <v>669</v>
      </c>
      <c r="G4" s="2" t="s">
        <v>124</v>
      </c>
      <c r="I4" s="14" t="s">
        <v>9</v>
      </c>
      <c r="J4">
        <v>6</v>
      </c>
    </row>
    <row r="5" spans="1:10" x14ac:dyDescent="0.3">
      <c r="A5" s="6">
        <v>45742</v>
      </c>
      <c r="B5" s="1">
        <v>1</v>
      </c>
      <c r="C5" s="2" t="s">
        <v>6</v>
      </c>
      <c r="D5" s="2" t="s">
        <v>10</v>
      </c>
      <c r="E5" s="3">
        <v>669</v>
      </c>
      <c r="F5" s="3">
        <f t="shared" si="0"/>
        <v>669</v>
      </c>
      <c r="G5" s="2" t="s">
        <v>93</v>
      </c>
      <c r="I5" s="14" t="s">
        <v>13</v>
      </c>
      <c r="J5">
        <v>5</v>
      </c>
    </row>
    <row r="6" spans="1:10" x14ac:dyDescent="0.3">
      <c r="A6" s="6">
        <v>45742</v>
      </c>
      <c r="B6" s="1">
        <v>5</v>
      </c>
      <c r="C6" s="2" t="s">
        <v>13</v>
      </c>
      <c r="D6" s="2" t="s">
        <v>14</v>
      </c>
      <c r="E6" s="3">
        <v>2199.9899999999998</v>
      </c>
      <c r="F6" s="3">
        <f t="shared" si="0"/>
        <v>10999.949999999999</v>
      </c>
      <c r="G6" s="2" t="s">
        <v>15</v>
      </c>
      <c r="I6" s="14" t="s">
        <v>26</v>
      </c>
      <c r="J6">
        <v>2</v>
      </c>
    </row>
    <row r="7" spans="1:10" x14ac:dyDescent="0.3">
      <c r="A7" s="6">
        <v>45742</v>
      </c>
      <c r="B7" s="1">
        <v>1</v>
      </c>
      <c r="C7" s="2" t="s">
        <v>9</v>
      </c>
      <c r="D7" s="2" t="s">
        <v>16</v>
      </c>
      <c r="E7" s="3">
        <v>2089.9899999999998</v>
      </c>
      <c r="F7" s="3">
        <f t="shared" si="0"/>
        <v>2089.9899999999998</v>
      </c>
      <c r="G7" s="2" t="s">
        <v>8</v>
      </c>
      <c r="I7" s="14" t="s">
        <v>56</v>
      </c>
      <c r="J7">
        <v>4</v>
      </c>
    </row>
    <row r="8" spans="1:10" x14ac:dyDescent="0.3">
      <c r="A8" s="6">
        <v>45742</v>
      </c>
      <c r="B8" s="1">
        <v>1</v>
      </c>
      <c r="C8" s="2" t="s">
        <v>17</v>
      </c>
      <c r="D8" s="2" t="s">
        <v>16</v>
      </c>
      <c r="E8" s="3">
        <v>2089.9899999999998</v>
      </c>
      <c r="F8" s="3">
        <f t="shared" si="0"/>
        <v>2089.9899999999998</v>
      </c>
      <c r="G8" s="2" t="s">
        <v>8</v>
      </c>
      <c r="I8" s="14" t="s">
        <v>29</v>
      </c>
      <c r="J8">
        <v>3</v>
      </c>
    </row>
    <row r="9" spans="1:10" x14ac:dyDescent="0.3">
      <c r="A9" s="6">
        <v>45742</v>
      </c>
      <c r="B9" s="1">
        <v>2</v>
      </c>
      <c r="C9" s="2" t="s">
        <v>18</v>
      </c>
      <c r="D9" s="2" t="s">
        <v>19</v>
      </c>
      <c r="E9" s="3">
        <v>1880.99</v>
      </c>
      <c r="F9" s="3">
        <f t="shared" si="0"/>
        <v>3761.98</v>
      </c>
      <c r="G9" s="2" t="s">
        <v>8</v>
      </c>
      <c r="I9" s="14" t="s">
        <v>60</v>
      </c>
      <c r="J9">
        <v>10</v>
      </c>
    </row>
    <row r="10" spans="1:10" x14ac:dyDescent="0.3">
      <c r="A10" s="6">
        <v>45742</v>
      </c>
      <c r="B10" s="1">
        <v>2</v>
      </c>
      <c r="C10" s="2" t="s">
        <v>17</v>
      </c>
      <c r="D10" s="2" t="s">
        <v>19</v>
      </c>
      <c r="E10" s="3">
        <v>2089.4899999999998</v>
      </c>
      <c r="F10" s="3">
        <f t="shared" si="0"/>
        <v>4178.9799999999996</v>
      </c>
      <c r="G10" s="2" t="s">
        <v>8</v>
      </c>
      <c r="I10" s="14" t="s">
        <v>33</v>
      </c>
      <c r="J10">
        <v>3</v>
      </c>
    </row>
    <row r="11" spans="1:10" x14ac:dyDescent="0.3">
      <c r="A11" s="6">
        <v>45742</v>
      </c>
      <c r="B11" s="1">
        <v>2</v>
      </c>
      <c r="C11" s="2" t="s">
        <v>17</v>
      </c>
      <c r="D11" s="2" t="s">
        <v>20</v>
      </c>
      <c r="E11" s="3">
        <v>2089.4899999999998</v>
      </c>
      <c r="F11" s="3">
        <f t="shared" si="0"/>
        <v>4178.9799999999996</v>
      </c>
      <c r="G11" s="2" t="s">
        <v>57</v>
      </c>
      <c r="I11" s="14" t="s">
        <v>32</v>
      </c>
      <c r="J11">
        <v>4</v>
      </c>
    </row>
    <row r="12" spans="1:10" x14ac:dyDescent="0.3">
      <c r="A12" s="6">
        <v>45742</v>
      </c>
      <c r="B12" s="1">
        <v>2</v>
      </c>
      <c r="C12" s="2" t="s">
        <v>17</v>
      </c>
      <c r="D12" s="2" t="s">
        <v>21</v>
      </c>
      <c r="E12" s="3">
        <v>2089.4899999999998</v>
      </c>
      <c r="F12" s="3">
        <f t="shared" si="0"/>
        <v>4178.9799999999996</v>
      </c>
      <c r="G12" s="2" t="s">
        <v>22</v>
      </c>
      <c r="I12" s="14" t="s">
        <v>34</v>
      </c>
      <c r="J12">
        <v>2</v>
      </c>
    </row>
    <row r="13" spans="1:10" x14ac:dyDescent="0.3">
      <c r="A13" s="6">
        <v>45742</v>
      </c>
      <c r="B13" s="1">
        <v>2</v>
      </c>
      <c r="C13" s="2" t="s">
        <v>17</v>
      </c>
      <c r="D13" s="2" t="s">
        <v>23</v>
      </c>
      <c r="E13" s="3">
        <v>2089.4899999999998</v>
      </c>
      <c r="F13" s="3">
        <f t="shared" si="0"/>
        <v>4178.9799999999996</v>
      </c>
      <c r="G13" s="2" t="s">
        <v>8</v>
      </c>
      <c r="I13" s="14" t="s">
        <v>31</v>
      </c>
      <c r="J13">
        <v>16</v>
      </c>
    </row>
    <row r="14" spans="1:10" x14ac:dyDescent="0.3">
      <c r="A14" s="6">
        <v>45743</v>
      </c>
      <c r="B14" s="1">
        <v>2</v>
      </c>
      <c r="C14" s="2" t="s">
        <v>17</v>
      </c>
      <c r="D14" s="2" t="s">
        <v>19</v>
      </c>
      <c r="E14" s="3">
        <v>2089.4899999999998</v>
      </c>
      <c r="F14" s="3">
        <f t="shared" si="0"/>
        <v>4178.9799999999996</v>
      </c>
      <c r="G14" s="2" t="s">
        <v>58</v>
      </c>
      <c r="I14" s="14" t="s">
        <v>35</v>
      </c>
      <c r="J14">
        <v>2</v>
      </c>
    </row>
    <row r="15" spans="1:10" x14ac:dyDescent="0.3">
      <c r="A15" s="6">
        <v>45743</v>
      </c>
      <c r="B15" s="1">
        <v>2</v>
      </c>
      <c r="C15" s="2" t="s">
        <v>17</v>
      </c>
      <c r="D15" s="2" t="s">
        <v>23</v>
      </c>
      <c r="E15" s="3">
        <v>2089.4899999999998</v>
      </c>
      <c r="F15" s="3">
        <f t="shared" si="0"/>
        <v>4178.9799999999996</v>
      </c>
      <c r="G15" s="2" t="s">
        <v>58</v>
      </c>
      <c r="I15" s="14" t="s">
        <v>6</v>
      </c>
      <c r="J15">
        <v>4</v>
      </c>
    </row>
    <row r="16" spans="1:10" x14ac:dyDescent="0.3">
      <c r="A16" s="6">
        <v>45743</v>
      </c>
      <c r="B16" s="1">
        <v>2</v>
      </c>
      <c r="C16" s="2" t="s">
        <v>9</v>
      </c>
      <c r="D16" s="2" t="s">
        <v>23</v>
      </c>
      <c r="E16" s="3">
        <v>2089.4899999999998</v>
      </c>
      <c r="F16" s="3">
        <f t="shared" si="0"/>
        <v>4178.9799999999996</v>
      </c>
      <c r="G16" s="2" t="s">
        <v>58</v>
      </c>
      <c r="I16" s="14" t="s">
        <v>81</v>
      </c>
    </row>
    <row r="17" spans="1:10" x14ac:dyDescent="0.3">
      <c r="A17" s="6">
        <v>45743</v>
      </c>
      <c r="B17" s="1">
        <v>2</v>
      </c>
      <c r="C17" s="2" t="s">
        <v>9</v>
      </c>
      <c r="D17" s="2" t="s">
        <v>25</v>
      </c>
      <c r="E17" s="3">
        <v>2089.4899999999998</v>
      </c>
      <c r="F17" s="3">
        <f t="shared" si="0"/>
        <v>4178.9799999999996</v>
      </c>
      <c r="G17" s="2" t="s">
        <v>58</v>
      </c>
      <c r="I17" s="14" t="s">
        <v>82</v>
      </c>
      <c r="J17">
        <v>86</v>
      </c>
    </row>
    <row r="18" spans="1:10" x14ac:dyDescent="0.3">
      <c r="A18" s="6">
        <v>45743</v>
      </c>
      <c r="B18" s="1">
        <v>2</v>
      </c>
      <c r="C18" s="2" t="s">
        <v>17</v>
      </c>
      <c r="D18" s="2" t="s">
        <v>25</v>
      </c>
      <c r="E18" s="3">
        <v>2089.4899999999998</v>
      </c>
      <c r="F18" s="3">
        <f t="shared" si="0"/>
        <v>4178.9799999999996</v>
      </c>
      <c r="G18" s="2" t="s">
        <v>58</v>
      </c>
    </row>
    <row r="19" spans="1:10" x14ac:dyDescent="0.3">
      <c r="A19" s="6">
        <v>45743</v>
      </c>
      <c r="B19" s="1">
        <v>2</v>
      </c>
      <c r="C19" s="2" t="s">
        <v>26</v>
      </c>
      <c r="D19" s="2" t="s">
        <v>27</v>
      </c>
      <c r="E19" s="3">
        <v>2204</v>
      </c>
      <c r="F19" s="3">
        <f t="shared" si="0"/>
        <v>4408</v>
      </c>
      <c r="G19" s="2" t="s">
        <v>58</v>
      </c>
    </row>
    <row r="20" spans="1:10" x14ac:dyDescent="0.3">
      <c r="A20" s="6">
        <v>45744</v>
      </c>
      <c r="B20" s="1">
        <v>2</v>
      </c>
      <c r="C20" s="2" t="s">
        <v>17</v>
      </c>
      <c r="D20" s="2" t="s">
        <v>28</v>
      </c>
      <c r="E20" s="3">
        <v>2089.4899999999998</v>
      </c>
      <c r="F20" s="3">
        <v>4178.9799999999996</v>
      </c>
      <c r="G20" s="2" t="s">
        <v>79</v>
      </c>
    </row>
    <row r="21" spans="1:10" x14ac:dyDescent="0.3">
      <c r="A21" s="6">
        <v>45744</v>
      </c>
      <c r="B21" s="1">
        <v>1</v>
      </c>
      <c r="C21" s="2" t="s">
        <v>29</v>
      </c>
      <c r="D21" s="2" t="s">
        <v>30</v>
      </c>
      <c r="E21" s="3">
        <v>2204</v>
      </c>
      <c r="F21" s="3">
        <f>(B21*E21)</f>
        <v>2204</v>
      </c>
      <c r="G21" s="2" t="s">
        <v>93</v>
      </c>
    </row>
    <row r="22" spans="1:10" x14ac:dyDescent="0.3">
      <c r="A22" s="6">
        <v>45744</v>
      </c>
      <c r="B22" s="1">
        <v>2</v>
      </c>
      <c r="C22" s="2" t="s">
        <v>31</v>
      </c>
      <c r="D22" s="2" t="s">
        <v>30</v>
      </c>
      <c r="E22" s="3">
        <v>220</v>
      </c>
      <c r="F22" s="3">
        <f t="shared" ref="F22:F30" si="1">(B22*E22)</f>
        <v>440</v>
      </c>
      <c r="G22" s="2" t="s">
        <v>8</v>
      </c>
    </row>
    <row r="23" spans="1:10" x14ac:dyDescent="0.3">
      <c r="A23" s="6">
        <v>45744</v>
      </c>
      <c r="B23" s="1">
        <v>2</v>
      </c>
      <c r="C23" s="2" t="s">
        <v>32</v>
      </c>
      <c r="D23" s="2" t="s">
        <v>30</v>
      </c>
      <c r="E23" s="3">
        <v>89</v>
      </c>
      <c r="F23" s="3">
        <f t="shared" si="1"/>
        <v>178</v>
      </c>
      <c r="G23" s="2" t="s">
        <v>8</v>
      </c>
    </row>
    <row r="24" spans="1:10" x14ac:dyDescent="0.3">
      <c r="A24" s="6">
        <v>45744</v>
      </c>
      <c r="B24" s="1">
        <v>2</v>
      </c>
      <c r="C24" s="2" t="s">
        <v>33</v>
      </c>
      <c r="D24" s="2" t="s">
        <v>30</v>
      </c>
      <c r="E24" s="3">
        <v>89</v>
      </c>
      <c r="F24" s="3">
        <f t="shared" si="1"/>
        <v>178</v>
      </c>
      <c r="G24" s="2" t="s">
        <v>8</v>
      </c>
    </row>
    <row r="25" spans="1:10" x14ac:dyDescent="0.3">
      <c r="A25" s="6">
        <v>45744</v>
      </c>
      <c r="B25" s="1">
        <v>2</v>
      </c>
      <c r="C25" s="2" t="s">
        <v>34</v>
      </c>
      <c r="D25" s="2" t="s">
        <v>30</v>
      </c>
      <c r="E25" s="3">
        <v>89</v>
      </c>
      <c r="F25" s="3">
        <f t="shared" si="1"/>
        <v>178</v>
      </c>
      <c r="G25" s="2" t="s">
        <v>8</v>
      </c>
    </row>
    <row r="26" spans="1:10" x14ac:dyDescent="0.3">
      <c r="A26" s="6">
        <v>45744</v>
      </c>
      <c r="B26" s="1">
        <v>2</v>
      </c>
      <c r="C26" s="2" t="s">
        <v>35</v>
      </c>
      <c r="D26" s="2" t="s">
        <v>30</v>
      </c>
      <c r="E26" s="3">
        <v>55</v>
      </c>
      <c r="F26" s="3">
        <f t="shared" si="1"/>
        <v>110</v>
      </c>
      <c r="G26" s="2" t="s">
        <v>8</v>
      </c>
    </row>
    <row r="27" spans="1:10" x14ac:dyDescent="0.3">
      <c r="A27" s="6">
        <v>45744</v>
      </c>
      <c r="B27" s="1">
        <v>2</v>
      </c>
      <c r="C27" s="2" t="s">
        <v>31</v>
      </c>
      <c r="D27" s="2" t="s">
        <v>30</v>
      </c>
      <c r="E27" s="3">
        <v>220</v>
      </c>
      <c r="F27" s="3">
        <f t="shared" si="1"/>
        <v>440</v>
      </c>
      <c r="G27" s="2" t="s">
        <v>58</v>
      </c>
    </row>
    <row r="28" spans="1:10" x14ac:dyDescent="0.3">
      <c r="A28" s="6">
        <v>45744</v>
      </c>
      <c r="B28" s="1">
        <v>2</v>
      </c>
      <c r="C28" s="2" t="s">
        <v>31</v>
      </c>
      <c r="D28" s="2" t="s">
        <v>30</v>
      </c>
      <c r="E28" s="3">
        <v>220</v>
      </c>
      <c r="F28" s="3">
        <f t="shared" si="1"/>
        <v>440</v>
      </c>
      <c r="G28" s="2" t="s">
        <v>93</v>
      </c>
    </row>
    <row r="29" spans="1:10" x14ac:dyDescent="0.3">
      <c r="A29" s="6">
        <v>45744</v>
      </c>
      <c r="B29" s="1">
        <v>2</v>
      </c>
      <c r="C29" s="2" t="s">
        <v>32</v>
      </c>
      <c r="D29" s="2" t="s">
        <v>30</v>
      </c>
      <c r="E29" s="3">
        <v>89</v>
      </c>
      <c r="F29" s="3">
        <f t="shared" si="1"/>
        <v>178</v>
      </c>
      <c r="G29" s="2" t="s">
        <v>93</v>
      </c>
    </row>
    <row r="30" spans="1:10" x14ac:dyDescent="0.3">
      <c r="A30" s="6">
        <v>45744</v>
      </c>
      <c r="B30" s="1">
        <v>1</v>
      </c>
      <c r="C30" s="2" t="s">
        <v>33</v>
      </c>
      <c r="D30" s="2" t="s">
        <v>30</v>
      </c>
      <c r="E30" s="3">
        <v>89</v>
      </c>
      <c r="F30" s="3">
        <f t="shared" si="1"/>
        <v>89</v>
      </c>
      <c r="G30" s="2" t="s">
        <v>93</v>
      </c>
    </row>
    <row r="31" spans="1:10" x14ac:dyDescent="0.3">
      <c r="A31" s="6">
        <v>45745</v>
      </c>
      <c r="B31" s="1">
        <v>2</v>
      </c>
      <c r="C31" s="2" t="s">
        <v>17</v>
      </c>
      <c r="D31" s="2" t="s">
        <v>28</v>
      </c>
      <c r="E31" s="3">
        <v>2089.4899999999998</v>
      </c>
      <c r="F31" s="3">
        <v>4178.9799999999996</v>
      </c>
      <c r="G31" s="2" t="s">
        <v>79</v>
      </c>
    </row>
    <row r="32" spans="1:10" x14ac:dyDescent="0.3">
      <c r="A32" s="6">
        <v>45745</v>
      </c>
      <c r="B32" s="1">
        <v>2</v>
      </c>
      <c r="C32" s="2" t="s">
        <v>29</v>
      </c>
      <c r="D32" s="2" t="s">
        <v>50</v>
      </c>
      <c r="E32" s="3">
        <v>2204</v>
      </c>
      <c r="F32" s="3">
        <f>(B32*E32)</f>
        <v>4408</v>
      </c>
      <c r="G32" s="2" t="s">
        <v>57</v>
      </c>
    </row>
    <row r="33" spans="1:7" x14ac:dyDescent="0.3">
      <c r="A33" s="6">
        <v>45745</v>
      </c>
      <c r="B33" s="1">
        <v>1</v>
      </c>
      <c r="C33" s="2" t="s">
        <v>6</v>
      </c>
      <c r="D33" s="2" t="s">
        <v>10</v>
      </c>
      <c r="E33" s="3">
        <v>669</v>
      </c>
      <c r="F33" s="3">
        <f t="shared" ref="F33" si="2">(B33*E33)</f>
        <v>669</v>
      </c>
      <c r="G33" s="2" t="s">
        <v>93</v>
      </c>
    </row>
    <row r="34" spans="1:7" x14ac:dyDescent="0.3">
      <c r="A34" s="6">
        <v>45747</v>
      </c>
      <c r="B34" s="2">
        <v>2</v>
      </c>
      <c r="C34" s="2" t="s">
        <v>17</v>
      </c>
      <c r="D34" s="2" t="s">
        <v>19</v>
      </c>
      <c r="E34" s="2">
        <v>2460.9899999999998</v>
      </c>
      <c r="F34" s="2">
        <f>(B34*E34)</f>
        <v>4921.9799999999996</v>
      </c>
      <c r="G34" s="2" t="s">
        <v>79</v>
      </c>
    </row>
    <row r="35" spans="1:7" x14ac:dyDescent="0.3">
      <c r="A35" s="6">
        <v>45747</v>
      </c>
      <c r="B35" s="2">
        <v>2</v>
      </c>
      <c r="C35" s="2" t="s">
        <v>56</v>
      </c>
      <c r="D35" s="2" t="s">
        <v>25</v>
      </c>
      <c r="E35" s="2">
        <v>2089.9899999999998</v>
      </c>
      <c r="F35" s="2">
        <f t="shared" ref="F35:F39" si="3">(B35*E35)</f>
        <v>4179.9799999999996</v>
      </c>
      <c r="G35" s="2" t="s">
        <v>94</v>
      </c>
    </row>
    <row r="36" spans="1:7" x14ac:dyDescent="0.3">
      <c r="A36" s="6">
        <v>45747</v>
      </c>
      <c r="B36" s="2">
        <v>2</v>
      </c>
      <c r="C36" s="2" t="s">
        <v>56</v>
      </c>
      <c r="D36" s="2" t="s">
        <v>27</v>
      </c>
      <c r="E36" s="2">
        <v>2460.9899999999998</v>
      </c>
      <c r="F36" s="2">
        <f t="shared" si="3"/>
        <v>4921.9799999999996</v>
      </c>
      <c r="G36" s="2" t="s">
        <v>94</v>
      </c>
    </row>
    <row r="37" spans="1:7" x14ac:dyDescent="0.3">
      <c r="A37" s="6">
        <v>45747</v>
      </c>
      <c r="B37" s="10">
        <v>10</v>
      </c>
      <c r="C37" s="10" t="s">
        <v>31</v>
      </c>
      <c r="D37" s="10" t="s">
        <v>59</v>
      </c>
      <c r="E37" s="10">
        <v>213</v>
      </c>
      <c r="F37" s="10">
        <f t="shared" si="3"/>
        <v>2130</v>
      </c>
      <c r="G37" s="10" t="s">
        <v>24</v>
      </c>
    </row>
    <row r="38" spans="1:7" x14ac:dyDescent="0.3">
      <c r="A38" s="6">
        <v>45747</v>
      </c>
      <c r="B38" s="10">
        <v>10</v>
      </c>
      <c r="C38" s="10" t="s">
        <v>60</v>
      </c>
      <c r="D38" s="10" t="s">
        <v>59</v>
      </c>
      <c r="E38" s="10">
        <v>87</v>
      </c>
      <c r="F38" s="10">
        <f t="shared" si="3"/>
        <v>870</v>
      </c>
      <c r="G38" s="10" t="s">
        <v>24</v>
      </c>
    </row>
    <row r="39" spans="1:7" x14ac:dyDescent="0.3">
      <c r="A39" s="15">
        <v>45747</v>
      </c>
      <c r="B39" s="16">
        <v>2</v>
      </c>
      <c r="C39" s="16" t="s">
        <v>17</v>
      </c>
      <c r="D39" s="16" t="s">
        <v>28</v>
      </c>
      <c r="E39" s="16">
        <v>2089.9899999999998</v>
      </c>
      <c r="F39" s="16">
        <f t="shared" si="3"/>
        <v>4179.9799999999996</v>
      </c>
      <c r="G39" s="16" t="s">
        <v>95</v>
      </c>
    </row>
  </sheetData>
  <autoFilter ref="A1:G39" xr:uid="{DC07A957-8A1B-407D-8C45-962A45CF9E96}"/>
  <pageMargins left="0.7" right="0.7" top="0.75" bottom="0.75" header="0.3" footer="0.3"/>
  <pageSetup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C3D81B-C2B7-4955-80BB-EC43B2456073}">
  <dimension ref="A1:K7"/>
  <sheetViews>
    <sheetView workbookViewId="0">
      <selection activeCell="H11" sqref="H11"/>
    </sheetView>
  </sheetViews>
  <sheetFormatPr defaultRowHeight="14.4" x14ac:dyDescent="0.3"/>
  <cols>
    <col min="1" max="1" width="9.5546875" bestFit="1" customWidth="1"/>
    <col min="3" max="3" width="28.77734375" bestFit="1" customWidth="1"/>
    <col min="4" max="4" width="20.6640625" bestFit="1" customWidth="1"/>
    <col min="7" max="7" width="14.44140625" bestFit="1" customWidth="1"/>
    <col min="8" max="8" width="9.5546875" bestFit="1" customWidth="1"/>
    <col min="9" max="9" width="22.21875" bestFit="1" customWidth="1"/>
  </cols>
  <sheetData>
    <row r="1" spans="1:11" x14ac:dyDescent="0.3">
      <c r="B1" s="23">
        <v>45746</v>
      </c>
      <c r="C1" s="23"/>
      <c r="D1" s="23"/>
      <c r="E1" s="23"/>
      <c r="F1" s="23"/>
      <c r="G1" s="23"/>
    </row>
    <row r="2" spans="1:11" x14ac:dyDescent="0.3">
      <c r="B2" s="4" t="s">
        <v>0</v>
      </c>
      <c r="C2" s="5" t="s">
        <v>1</v>
      </c>
      <c r="D2" s="4" t="s">
        <v>2</v>
      </c>
      <c r="E2" s="4" t="s">
        <v>3</v>
      </c>
      <c r="F2" s="4" t="s">
        <v>4</v>
      </c>
      <c r="G2" s="4" t="s">
        <v>5</v>
      </c>
      <c r="H2" s="6">
        <v>45749</v>
      </c>
      <c r="J2" s="7"/>
      <c r="K2" t="s">
        <v>96</v>
      </c>
    </row>
    <row r="3" spans="1:11" x14ac:dyDescent="0.3">
      <c r="B3">
        <v>5</v>
      </c>
      <c r="C3" t="s">
        <v>61</v>
      </c>
      <c r="D3" t="s">
        <v>55</v>
      </c>
      <c r="E3">
        <v>679</v>
      </c>
      <c r="F3">
        <f>(B3*E3)</f>
        <v>3395</v>
      </c>
      <c r="G3" t="s">
        <v>63</v>
      </c>
      <c r="H3">
        <v>4</v>
      </c>
      <c r="I3" t="s">
        <v>63</v>
      </c>
      <c r="K3" s="24">
        <v>125</v>
      </c>
    </row>
    <row r="4" spans="1:11" x14ac:dyDescent="0.3">
      <c r="B4">
        <v>1</v>
      </c>
      <c r="C4" s="2" t="s">
        <v>17</v>
      </c>
      <c r="D4" t="s">
        <v>28</v>
      </c>
      <c r="E4">
        <v>2089</v>
      </c>
      <c r="F4">
        <f>(B4*E4)</f>
        <v>2089</v>
      </c>
      <c r="G4" t="s">
        <v>63</v>
      </c>
      <c r="H4">
        <v>1</v>
      </c>
      <c r="I4" t="s">
        <v>63</v>
      </c>
      <c r="K4" s="24"/>
    </row>
    <row r="5" spans="1:11" x14ac:dyDescent="0.3">
      <c r="A5" s="12">
        <v>45748</v>
      </c>
      <c r="B5" s="11">
        <v>1</v>
      </c>
      <c r="C5" s="10" t="s">
        <v>64</v>
      </c>
      <c r="D5" s="11" t="s">
        <v>28</v>
      </c>
      <c r="E5" s="11">
        <v>2460.4899999999998</v>
      </c>
      <c r="F5" s="11">
        <v>2460.4899999999998</v>
      </c>
      <c r="G5" t="s">
        <v>62</v>
      </c>
    </row>
    <row r="6" spans="1:11" x14ac:dyDescent="0.3">
      <c r="A6" s="6">
        <v>45750</v>
      </c>
      <c r="B6" s="11">
        <v>2</v>
      </c>
      <c r="C6" s="2" t="s">
        <v>17</v>
      </c>
      <c r="D6" s="11" t="s">
        <v>28</v>
      </c>
      <c r="E6" s="11">
        <v>2460.4899999999998</v>
      </c>
      <c r="F6" s="11">
        <f>(B6*E6)</f>
        <v>4920.9799999999996</v>
      </c>
      <c r="G6" t="s">
        <v>62</v>
      </c>
      <c r="H6">
        <v>2</v>
      </c>
      <c r="I6" t="s">
        <v>121</v>
      </c>
    </row>
    <row r="7" spans="1:11" x14ac:dyDescent="0.3">
      <c r="A7" s="6">
        <v>45755</v>
      </c>
      <c r="B7">
        <v>2</v>
      </c>
      <c r="C7" s="2" t="s">
        <v>17</v>
      </c>
      <c r="D7" t="s">
        <v>100</v>
      </c>
      <c r="E7">
        <v>2089</v>
      </c>
      <c r="F7" s="11">
        <f>(B7*E7)</f>
        <v>4178</v>
      </c>
      <c r="G7" t="s">
        <v>62</v>
      </c>
      <c r="H7">
        <v>2</v>
      </c>
      <c r="I7" t="s">
        <v>63</v>
      </c>
    </row>
  </sheetData>
  <mergeCells count="2">
    <mergeCell ref="B1:G1"/>
    <mergeCell ref="K3:K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F1D222-7D91-4DD5-A208-B3F68A87D525}">
  <dimension ref="A1:M49"/>
  <sheetViews>
    <sheetView tabSelected="1" topLeftCell="A28" workbookViewId="0">
      <selection activeCell="E51" sqref="E51"/>
    </sheetView>
  </sheetViews>
  <sheetFormatPr defaultRowHeight="14.4" x14ac:dyDescent="0.3"/>
  <cols>
    <col min="1" max="1" width="10.5546875" bestFit="1" customWidth="1"/>
    <col min="3" max="3" width="35.77734375" bestFit="1" customWidth="1"/>
    <col min="4" max="4" width="21.77734375" bestFit="1" customWidth="1"/>
    <col min="6" max="6" width="10" bestFit="1" customWidth="1"/>
    <col min="7" max="7" width="31.5546875" bestFit="1" customWidth="1"/>
    <col min="8" max="8" width="30.77734375" bestFit="1" customWidth="1"/>
    <col min="10" max="10" width="32.109375" bestFit="1" customWidth="1"/>
    <col min="11" max="11" width="21.44140625" bestFit="1" customWidth="1"/>
    <col min="12" max="12" width="15.6640625" bestFit="1" customWidth="1"/>
    <col min="13" max="13" width="10.77734375" bestFit="1" customWidth="1"/>
    <col min="14" max="14" width="22" bestFit="1" customWidth="1"/>
    <col min="15" max="15" width="10.77734375" bestFit="1" customWidth="1"/>
    <col min="16" max="16" width="22" bestFit="1" customWidth="1"/>
    <col min="17" max="17" width="10.77734375" bestFit="1" customWidth="1"/>
  </cols>
  <sheetData>
    <row r="1" spans="1:13" x14ac:dyDescent="0.3">
      <c r="A1" s="2" t="s">
        <v>65</v>
      </c>
      <c r="B1" s="4" t="s">
        <v>0</v>
      </c>
      <c r="C1" s="5" t="s">
        <v>1</v>
      </c>
      <c r="D1" s="4" t="s">
        <v>2</v>
      </c>
      <c r="E1" s="9" t="s">
        <v>3</v>
      </c>
      <c r="F1" s="9" t="s">
        <v>4</v>
      </c>
      <c r="G1" s="4" t="s">
        <v>5</v>
      </c>
      <c r="H1" s="4" t="s">
        <v>66</v>
      </c>
      <c r="J1" s="13" t="s">
        <v>5</v>
      </c>
      <c r="K1" t="s">
        <v>84</v>
      </c>
    </row>
    <row r="2" spans="1:13" x14ac:dyDescent="0.3">
      <c r="A2" s="8">
        <v>45748</v>
      </c>
      <c r="B2" s="2">
        <v>2</v>
      </c>
      <c r="C2" s="2" t="s">
        <v>68</v>
      </c>
      <c r="D2" s="2" t="s">
        <v>19</v>
      </c>
      <c r="E2" s="3">
        <f>(F2/2)</f>
        <v>2089.4899999999998</v>
      </c>
      <c r="F2" s="3">
        <v>4178.9799999999996</v>
      </c>
      <c r="G2" s="2" t="s">
        <v>8</v>
      </c>
      <c r="H2" s="8">
        <v>45749</v>
      </c>
    </row>
    <row r="3" spans="1:13" x14ac:dyDescent="0.3">
      <c r="A3" s="8">
        <v>45748</v>
      </c>
      <c r="B3" s="2">
        <v>2</v>
      </c>
      <c r="C3" s="2" t="s">
        <v>69</v>
      </c>
      <c r="D3" s="2" t="s">
        <v>28</v>
      </c>
      <c r="E3" s="3">
        <f>(F3/2)</f>
        <v>2460.4899999999998</v>
      </c>
      <c r="F3" s="3">
        <v>4920.9799999999996</v>
      </c>
      <c r="G3" s="2" t="s">
        <v>8</v>
      </c>
      <c r="H3" s="2"/>
      <c r="J3" s="13" t="s">
        <v>83</v>
      </c>
      <c r="K3" s="13" t="s">
        <v>85</v>
      </c>
    </row>
    <row r="4" spans="1:13" x14ac:dyDescent="0.3">
      <c r="A4" s="2"/>
      <c r="B4" s="2"/>
      <c r="C4" s="2"/>
      <c r="D4" s="2"/>
      <c r="E4" s="3"/>
      <c r="F4" s="3"/>
      <c r="G4" s="2"/>
      <c r="H4" s="2"/>
      <c r="J4" s="13" t="s">
        <v>80</v>
      </c>
      <c r="K4" t="s">
        <v>72</v>
      </c>
      <c r="L4" t="s">
        <v>107</v>
      </c>
      <c r="M4" t="s">
        <v>82</v>
      </c>
    </row>
    <row r="5" spans="1:13" x14ac:dyDescent="0.3">
      <c r="A5" s="8">
        <v>45749</v>
      </c>
      <c r="B5" s="2">
        <v>2</v>
      </c>
      <c r="C5" s="2" t="s">
        <v>67</v>
      </c>
      <c r="D5" s="2" t="s">
        <v>19</v>
      </c>
      <c r="E5" s="3">
        <v>2517.4899999999998</v>
      </c>
      <c r="F5" s="3">
        <f>(B5*E5)</f>
        <v>5034.9799999999996</v>
      </c>
      <c r="G5" s="2" t="s">
        <v>8</v>
      </c>
      <c r="H5" s="2"/>
      <c r="J5" s="14" t="s">
        <v>68</v>
      </c>
      <c r="K5">
        <v>2</v>
      </c>
      <c r="M5">
        <v>2</v>
      </c>
    </row>
    <row r="6" spans="1:13" x14ac:dyDescent="0.3">
      <c r="A6" s="8">
        <v>45749</v>
      </c>
      <c r="B6" s="2">
        <v>2</v>
      </c>
      <c r="C6" s="2" t="s">
        <v>68</v>
      </c>
      <c r="D6" s="2" t="s">
        <v>70</v>
      </c>
      <c r="E6" s="3">
        <v>2089.4899999999998</v>
      </c>
      <c r="F6" s="3">
        <f t="shared" ref="F6:F32" si="0">(B6*E6)</f>
        <v>4178.9799999999996</v>
      </c>
      <c r="G6" s="2" t="s">
        <v>8</v>
      </c>
      <c r="H6" s="2"/>
      <c r="J6" s="14" t="s">
        <v>102</v>
      </c>
      <c r="L6">
        <v>8</v>
      </c>
      <c r="M6">
        <v>8</v>
      </c>
    </row>
    <row r="7" spans="1:13" x14ac:dyDescent="0.3">
      <c r="A7" s="8">
        <v>45749</v>
      </c>
      <c r="B7" s="2">
        <v>2</v>
      </c>
      <c r="C7" s="2" t="s">
        <v>73</v>
      </c>
      <c r="D7" s="2" t="s">
        <v>70</v>
      </c>
      <c r="E7" s="3">
        <v>2089.4899999999998</v>
      </c>
      <c r="F7" s="3">
        <f t="shared" si="0"/>
        <v>4178.9799999999996</v>
      </c>
      <c r="G7" s="2" t="s">
        <v>8</v>
      </c>
      <c r="H7" s="2"/>
      <c r="J7" s="14" t="s">
        <v>82</v>
      </c>
      <c r="K7">
        <v>2</v>
      </c>
      <c r="L7">
        <v>8</v>
      </c>
      <c r="M7">
        <v>10</v>
      </c>
    </row>
    <row r="8" spans="1:13" x14ac:dyDescent="0.3">
      <c r="A8" s="8">
        <v>45749</v>
      </c>
      <c r="B8" s="2">
        <v>1</v>
      </c>
      <c r="C8" s="2" t="s">
        <v>68</v>
      </c>
      <c r="D8" s="2" t="s">
        <v>16</v>
      </c>
      <c r="E8" s="3">
        <v>2089.9899999999998</v>
      </c>
      <c r="F8" s="3">
        <f t="shared" si="0"/>
        <v>2089.9899999999998</v>
      </c>
      <c r="G8" s="2" t="s">
        <v>8</v>
      </c>
      <c r="H8" s="8">
        <v>45755</v>
      </c>
    </row>
    <row r="9" spans="1:13" x14ac:dyDescent="0.3">
      <c r="A9" s="8">
        <v>45749</v>
      </c>
      <c r="B9" s="2">
        <v>1</v>
      </c>
      <c r="C9" s="2" t="s">
        <v>73</v>
      </c>
      <c r="D9" s="2" t="s">
        <v>16</v>
      </c>
      <c r="E9" s="3">
        <v>2089.9899999999998</v>
      </c>
      <c r="F9" s="3">
        <f t="shared" si="0"/>
        <v>2089.9899999999998</v>
      </c>
      <c r="G9" s="2" t="s">
        <v>8</v>
      </c>
      <c r="H9" s="8">
        <v>45755</v>
      </c>
    </row>
    <row r="10" spans="1:13" x14ac:dyDescent="0.3">
      <c r="A10" s="8">
        <v>45749</v>
      </c>
      <c r="B10" s="2">
        <v>8</v>
      </c>
      <c r="C10" s="2" t="s">
        <v>74</v>
      </c>
      <c r="D10" s="2" t="s">
        <v>71</v>
      </c>
      <c r="E10" s="3">
        <v>229</v>
      </c>
      <c r="F10" s="3">
        <f t="shared" si="0"/>
        <v>1832</v>
      </c>
      <c r="G10" s="2" t="s">
        <v>8</v>
      </c>
      <c r="H10" s="8">
        <v>45749</v>
      </c>
    </row>
    <row r="11" spans="1:13" x14ac:dyDescent="0.3">
      <c r="A11" s="8">
        <v>45749</v>
      </c>
      <c r="B11" s="2">
        <v>1</v>
      </c>
      <c r="C11" s="2" t="s">
        <v>75</v>
      </c>
      <c r="D11" s="2" t="s">
        <v>71</v>
      </c>
      <c r="E11" s="3">
        <v>699</v>
      </c>
      <c r="F11" s="3">
        <f t="shared" si="0"/>
        <v>699</v>
      </c>
      <c r="G11" s="2" t="s">
        <v>8</v>
      </c>
      <c r="H11" s="8">
        <v>45750</v>
      </c>
    </row>
    <row r="12" spans="1:13" x14ac:dyDescent="0.3">
      <c r="A12" s="8">
        <v>45749</v>
      </c>
      <c r="B12" s="2">
        <v>1</v>
      </c>
      <c r="C12" s="2" t="s">
        <v>76</v>
      </c>
      <c r="D12" s="2" t="s">
        <v>71</v>
      </c>
      <c r="E12" s="3">
        <v>799</v>
      </c>
      <c r="F12" s="3">
        <f t="shared" si="0"/>
        <v>799</v>
      </c>
      <c r="G12" s="2" t="s">
        <v>8</v>
      </c>
      <c r="H12" s="8">
        <v>45750</v>
      </c>
    </row>
    <row r="13" spans="1:13" x14ac:dyDescent="0.3">
      <c r="A13" s="8">
        <v>45749</v>
      </c>
      <c r="B13" s="2">
        <v>1</v>
      </c>
      <c r="C13" s="2" t="s">
        <v>68</v>
      </c>
      <c r="D13" s="2" t="s">
        <v>71</v>
      </c>
      <c r="E13" s="3">
        <v>2149</v>
      </c>
      <c r="F13" s="3">
        <f t="shared" si="0"/>
        <v>2149</v>
      </c>
      <c r="G13" s="2" t="s">
        <v>8</v>
      </c>
      <c r="H13" s="8">
        <v>45749</v>
      </c>
    </row>
    <row r="14" spans="1:13" x14ac:dyDescent="0.3">
      <c r="A14" s="17">
        <v>45749</v>
      </c>
      <c r="B14" s="18">
        <v>1</v>
      </c>
      <c r="C14" s="18" t="s">
        <v>68</v>
      </c>
      <c r="D14" s="18" t="s">
        <v>21</v>
      </c>
      <c r="E14" s="19">
        <v>2089.9899999999998</v>
      </c>
      <c r="F14" s="19">
        <f t="shared" si="0"/>
        <v>2089.9899999999998</v>
      </c>
      <c r="G14" s="16"/>
      <c r="H14" s="18" t="s">
        <v>97</v>
      </c>
    </row>
    <row r="15" spans="1:13" s="20" customFormat="1" x14ac:dyDescent="0.3">
      <c r="A15" s="17">
        <v>45749</v>
      </c>
      <c r="B15" s="18">
        <v>2</v>
      </c>
      <c r="C15" s="18" t="s">
        <v>68</v>
      </c>
      <c r="D15" s="18" t="s">
        <v>72</v>
      </c>
      <c r="E15" s="19">
        <v>2089.9899999999998</v>
      </c>
      <c r="F15" s="19">
        <f t="shared" si="0"/>
        <v>4179.9799999999996</v>
      </c>
      <c r="G15" s="16" t="s">
        <v>78</v>
      </c>
      <c r="H15" s="18" t="s">
        <v>126</v>
      </c>
    </row>
    <row r="16" spans="1:13" x14ac:dyDescent="0.3">
      <c r="A16" s="8">
        <v>45749</v>
      </c>
      <c r="B16" s="2">
        <v>1</v>
      </c>
      <c r="C16" s="2" t="s">
        <v>68</v>
      </c>
      <c r="D16" s="2" t="s">
        <v>28</v>
      </c>
      <c r="E16" s="3">
        <v>2089.9899999999998</v>
      </c>
      <c r="F16" s="3">
        <f t="shared" si="0"/>
        <v>2089.9899999999998</v>
      </c>
      <c r="G16" s="2" t="s">
        <v>8</v>
      </c>
      <c r="H16" s="8">
        <v>45751</v>
      </c>
    </row>
    <row r="17" spans="1:9" x14ac:dyDescent="0.3">
      <c r="A17" s="8">
        <v>45749</v>
      </c>
      <c r="B17" s="2">
        <v>1</v>
      </c>
      <c r="C17" s="2" t="s">
        <v>73</v>
      </c>
      <c r="D17" s="2" t="s">
        <v>28</v>
      </c>
      <c r="E17" s="3">
        <v>2089.9899999999998</v>
      </c>
      <c r="F17" s="3">
        <f t="shared" si="0"/>
        <v>2089.9899999999998</v>
      </c>
      <c r="G17" s="2" t="s">
        <v>8</v>
      </c>
      <c r="H17" s="8">
        <v>45751</v>
      </c>
    </row>
    <row r="18" spans="1:9" x14ac:dyDescent="0.3">
      <c r="A18" s="8">
        <v>45749</v>
      </c>
      <c r="B18" s="2">
        <v>1</v>
      </c>
      <c r="C18" s="2" t="s">
        <v>77</v>
      </c>
      <c r="D18" s="2" t="s">
        <v>28</v>
      </c>
      <c r="E18" s="3">
        <v>39</v>
      </c>
      <c r="F18" s="3">
        <f t="shared" si="0"/>
        <v>39</v>
      </c>
      <c r="G18" s="2" t="s">
        <v>8</v>
      </c>
      <c r="H18" s="8">
        <v>45749</v>
      </c>
    </row>
    <row r="19" spans="1:9" x14ac:dyDescent="0.3">
      <c r="A19" s="2"/>
      <c r="B19" s="2"/>
      <c r="C19" s="2"/>
      <c r="D19" s="2"/>
      <c r="E19" s="2"/>
      <c r="F19" s="3">
        <f t="shared" si="0"/>
        <v>0</v>
      </c>
      <c r="G19" s="2"/>
      <c r="H19" s="2"/>
    </row>
    <row r="20" spans="1:9" x14ac:dyDescent="0.3">
      <c r="A20" s="8">
        <v>45750</v>
      </c>
      <c r="B20" s="2">
        <v>1</v>
      </c>
      <c r="C20" s="2" t="s">
        <v>86</v>
      </c>
      <c r="D20" s="2" t="s">
        <v>7</v>
      </c>
      <c r="E20" s="3">
        <v>799</v>
      </c>
      <c r="F20" s="3">
        <f t="shared" si="0"/>
        <v>799</v>
      </c>
      <c r="G20" s="2" t="s">
        <v>8</v>
      </c>
      <c r="H20" s="2"/>
    </row>
    <row r="21" spans="1:9" x14ac:dyDescent="0.3">
      <c r="A21" s="8">
        <v>45750</v>
      </c>
      <c r="B21" s="2">
        <v>1</v>
      </c>
      <c r="C21" s="2" t="s">
        <v>10</v>
      </c>
      <c r="D21" s="2" t="s">
        <v>87</v>
      </c>
      <c r="E21" s="3">
        <v>669</v>
      </c>
      <c r="F21" s="3">
        <f t="shared" si="0"/>
        <v>669</v>
      </c>
      <c r="G21" s="2" t="s">
        <v>123</v>
      </c>
      <c r="H21" s="2"/>
    </row>
    <row r="22" spans="1:9" x14ac:dyDescent="0.3">
      <c r="A22" s="8">
        <v>45750</v>
      </c>
      <c r="B22" s="2"/>
      <c r="C22" s="2" t="s">
        <v>88</v>
      </c>
      <c r="D22" s="2" t="s">
        <v>89</v>
      </c>
      <c r="E22" s="3">
        <v>36.54</v>
      </c>
      <c r="F22" s="3">
        <f t="shared" si="0"/>
        <v>0</v>
      </c>
      <c r="G22" s="2"/>
      <c r="H22" s="2"/>
    </row>
    <row r="23" spans="1:9" x14ac:dyDescent="0.3">
      <c r="A23" s="8"/>
      <c r="B23" s="2"/>
      <c r="C23" s="2"/>
      <c r="D23" s="2"/>
      <c r="E23" s="3"/>
      <c r="F23" s="3">
        <f t="shared" si="0"/>
        <v>0</v>
      </c>
      <c r="G23" s="2"/>
      <c r="H23" s="2"/>
    </row>
    <row r="24" spans="1:9" x14ac:dyDescent="0.3">
      <c r="A24" s="8">
        <v>45751</v>
      </c>
      <c r="B24" s="2">
        <v>6</v>
      </c>
      <c r="C24" s="2" t="s">
        <v>90</v>
      </c>
      <c r="D24" s="2" t="s">
        <v>91</v>
      </c>
      <c r="E24" s="3">
        <v>87</v>
      </c>
      <c r="F24" s="3">
        <f t="shared" si="0"/>
        <v>522</v>
      </c>
      <c r="G24" s="2" t="s">
        <v>8</v>
      </c>
      <c r="H24" s="2"/>
    </row>
    <row r="25" spans="1:9" x14ac:dyDescent="0.3">
      <c r="A25" s="8">
        <v>45751</v>
      </c>
      <c r="B25" s="2">
        <v>1</v>
      </c>
      <c r="C25" s="2" t="s">
        <v>29</v>
      </c>
      <c r="D25" s="2" t="s">
        <v>41</v>
      </c>
      <c r="E25" s="3">
        <v>2204</v>
      </c>
      <c r="F25" s="3">
        <f t="shared" si="0"/>
        <v>2204</v>
      </c>
      <c r="G25" s="2" t="s">
        <v>123</v>
      </c>
      <c r="H25" s="2"/>
    </row>
    <row r="26" spans="1:9" x14ac:dyDescent="0.3">
      <c r="A26" s="8">
        <v>45751</v>
      </c>
      <c r="B26" s="2">
        <v>1</v>
      </c>
      <c r="C26" s="2" t="s">
        <v>73</v>
      </c>
      <c r="D26" s="2" t="s">
        <v>92</v>
      </c>
      <c r="E26" s="3">
        <v>2089.9899999999998</v>
      </c>
      <c r="F26" s="3">
        <f t="shared" si="0"/>
        <v>2089.9899999999998</v>
      </c>
      <c r="G26" s="2" t="s">
        <v>8</v>
      </c>
      <c r="H26" s="2"/>
    </row>
    <row r="27" spans="1:9" x14ac:dyDescent="0.3">
      <c r="A27" s="8">
        <v>45751</v>
      </c>
      <c r="B27" s="2">
        <v>1</v>
      </c>
      <c r="C27" s="2" t="s">
        <v>68</v>
      </c>
      <c r="D27" s="2" t="s">
        <v>92</v>
      </c>
      <c r="E27" s="3">
        <v>2089.9899999999998</v>
      </c>
      <c r="F27" s="3">
        <f t="shared" si="0"/>
        <v>2089.9899999999998</v>
      </c>
      <c r="G27" s="16" t="s">
        <v>125</v>
      </c>
      <c r="H27" s="2"/>
    </row>
    <row r="28" spans="1:9" x14ac:dyDescent="0.3">
      <c r="A28" s="8">
        <v>45752</v>
      </c>
      <c r="B28" s="2">
        <v>1</v>
      </c>
      <c r="C28" s="2" t="s">
        <v>68</v>
      </c>
      <c r="D28" s="2" t="s">
        <v>70</v>
      </c>
      <c r="E28" s="3">
        <v>2089.9899999999998</v>
      </c>
      <c r="F28" s="3">
        <f t="shared" si="0"/>
        <v>2089.9899999999998</v>
      </c>
      <c r="G28" s="2" t="s">
        <v>8</v>
      </c>
      <c r="H28" s="2"/>
    </row>
    <row r="29" spans="1:9" x14ac:dyDescent="0.3">
      <c r="A29" s="8">
        <v>45752</v>
      </c>
      <c r="B29" s="2">
        <v>1</v>
      </c>
      <c r="C29" s="2" t="s">
        <v>101</v>
      </c>
      <c r="D29" s="2" t="s">
        <v>70</v>
      </c>
      <c r="E29" s="3">
        <v>2089.9899999999998</v>
      </c>
      <c r="F29" s="3">
        <f t="shared" si="0"/>
        <v>2089.9899999999998</v>
      </c>
      <c r="G29" s="16" t="s">
        <v>125</v>
      </c>
      <c r="H29" s="2"/>
    </row>
    <row r="30" spans="1:9" x14ac:dyDescent="0.3">
      <c r="A30" s="8">
        <v>45752</v>
      </c>
      <c r="B30" s="2">
        <v>1</v>
      </c>
      <c r="C30" s="2" t="s">
        <v>99</v>
      </c>
      <c r="D30" s="2" t="s">
        <v>7</v>
      </c>
      <c r="E30" s="3">
        <v>149</v>
      </c>
      <c r="F30" s="3">
        <f t="shared" si="0"/>
        <v>149</v>
      </c>
      <c r="G30" s="2" t="s">
        <v>8</v>
      </c>
      <c r="H30" s="2"/>
    </row>
    <row r="31" spans="1:9" x14ac:dyDescent="0.3">
      <c r="A31" s="8">
        <v>45752</v>
      </c>
      <c r="B31" s="2">
        <v>1</v>
      </c>
      <c r="C31" s="2" t="s">
        <v>98</v>
      </c>
      <c r="D31" s="2" t="s">
        <v>7</v>
      </c>
      <c r="E31" s="22">
        <v>2549</v>
      </c>
      <c r="F31" s="3">
        <f t="shared" si="0"/>
        <v>2549</v>
      </c>
      <c r="G31" s="2" t="s">
        <v>8</v>
      </c>
      <c r="H31" s="2"/>
    </row>
    <row r="32" spans="1:9" x14ac:dyDescent="0.3">
      <c r="A32" s="25">
        <v>45755</v>
      </c>
      <c r="B32" s="26">
        <v>1</v>
      </c>
      <c r="C32" s="26" t="s">
        <v>68</v>
      </c>
      <c r="D32" s="26" t="s">
        <v>70</v>
      </c>
      <c r="E32" s="27">
        <v>2089.9899999999998</v>
      </c>
      <c r="F32" s="27">
        <f t="shared" si="0"/>
        <v>2089.9899999999998</v>
      </c>
      <c r="G32" s="28" t="s">
        <v>125</v>
      </c>
      <c r="H32" s="26"/>
      <c r="I32" s="29"/>
    </row>
    <row r="33" spans="1:9" x14ac:dyDescent="0.3">
      <c r="A33" s="25">
        <v>45755</v>
      </c>
      <c r="B33" s="26">
        <v>1</v>
      </c>
      <c r="C33" s="26" t="s">
        <v>73</v>
      </c>
      <c r="D33" s="26" t="s">
        <v>16</v>
      </c>
      <c r="E33" s="27">
        <v>2089.9899999999998</v>
      </c>
      <c r="F33" s="27">
        <v>2089</v>
      </c>
      <c r="G33" s="28" t="s">
        <v>125</v>
      </c>
      <c r="H33" s="26"/>
      <c r="I33" s="29"/>
    </row>
    <row r="34" spans="1:9" x14ac:dyDescent="0.3">
      <c r="A34" s="25">
        <v>45755</v>
      </c>
      <c r="B34" s="26">
        <v>1</v>
      </c>
      <c r="C34" s="26" t="s">
        <v>73</v>
      </c>
      <c r="D34" s="26" t="s">
        <v>16</v>
      </c>
      <c r="E34" s="27">
        <v>2089.9899999999998</v>
      </c>
      <c r="F34" s="27">
        <v>2089</v>
      </c>
      <c r="G34" s="28" t="s">
        <v>125</v>
      </c>
      <c r="H34" s="26"/>
      <c r="I34" s="29"/>
    </row>
    <row r="35" spans="1:9" x14ac:dyDescent="0.3">
      <c r="A35" s="30">
        <v>45756</v>
      </c>
      <c r="B35" s="31">
        <v>10</v>
      </c>
      <c r="C35" s="31" t="s">
        <v>102</v>
      </c>
      <c r="D35" s="31" t="s">
        <v>110</v>
      </c>
      <c r="E35" s="32">
        <v>724</v>
      </c>
      <c r="F35" s="32">
        <f>B35*E35</f>
        <v>7240</v>
      </c>
      <c r="G35" s="31" t="s">
        <v>8</v>
      </c>
      <c r="H35" s="31"/>
    </row>
    <row r="36" spans="1:9" x14ac:dyDescent="0.3">
      <c r="A36" s="30">
        <v>45756</v>
      </c>
      <c r="B36" s="31">
        <v>2</v>
      </c>
      <c r="C36" s="31" t="s">
        <v>116</v>
      </c>
      <c r="D36" s="31" t="s">
        <v>14</v>
      </c>
      <c r="E36" s="32">
        <v>1749.99</v>
      </c>
      <c r="F36" s="32">
        <f t="shared" ref="F36:F42" si="1">B36*E36</f>
        <v>3499.98</v>
      </c>
      <c r="G36" s="31" t="s">
        <v>112</v>
      </c>
      <c r="H36" s="31"/>
    </row>
    <row r="37" spans="1:9" x14ac:dyDescent="0.3">
      <c r="A37" s="30">
        <v>45756</v>
      </c>
      <c r="B37" s="31">
        <v>2</v>
      </c>
      <c r="C37" s="31" t="s">
        <v>117</v>
      </c>
      <c r="D37" s="31" t="s">
        <v>14</v>
      </c>
      <c r="E37" s="32">
        <v>1749.99</v>
      </c>
      <c r="F37" s="32">
        <f t="shared" si="1"/>
        <v>3499.98</v>
      </c>
      <c r="G37" s="31" t="s">
        <v>113</v>
      </c>
      <c r="H37" s="31"/>
    </row>
    <row r="38" spans="1:9" x14ac:dyDescent="0.3">
      <c r="A38" s="30">
        <v>45756</v>
      </c>
      <c r="B38" s="31">
        <v>3</v>
      </c>
      <c r="C38" s="31" t="s">
        <v>116</v>
      </c>
      <c r="D38" s="31" t="s">
        <v>14</v>
      </c>
      <c r="E38" s="32">
        <v>1749.99</v>
      </c>
      <c r="F38" s="32">
        <f t="shared" si="1"/>
        <v>5249.97</v>
      </c>
      <c r="G38" s="31" t="s">
        <v>114</v>
      </c>
      <c r="H38" s="31"/>
    </row>
    <row r="39" spans="1:9" x14ac:dyDescent="0.3">
      <c r="A39" s="30">
        <v>45756</v>
      </c>
      <c r="B39" s="31">
        <v>6</v>
      </c>
      <c r="C39" s="31" t="s">
        <v>118</v>
      </c>
      <c r="D39" s="31" t="s">
        <v>14</v>
      </c>
      <c r="E39" s="32">
        <v>1749.99</v>
      </c>
      <c r="F39" s="32">
        <f t="shared" si="1"/>
        <v>10499.94</v>
      </c>
      <c r="G39" s="31" t="s">
        <v>115</v>
      </c>
      <c r="H39" s="31"/>
    </row>
    <row r="40" spans="1:9" x14ac:dyDescent="0.3">
      <c r="A40" s="30">
        <v>45756</v>
      </c>
      <c r="B40" s="31">
        <v>5</v>
      </c>
      <c r="C40" s="31" t="s">
        <v>98</v>
      </c>
      <c r="D40" s="31" t="s">
        <v>14</v>
      </c>
      <c r="E40" s="32">
        <v>2199</v>
      </c>
      <c r="F40" s="32">
        <f t="shared" si="1"/>
        <v>10995</v>
      </c>
      <c r="G40" s="31" t="s">
        <v>119</v>
      </c>
      <c r="H40" s="31"/>
    </row>
    <row r="41" spans="1:9" x14ac:dyDescent="0.3">
      <c r="A41" s="33">
        <v>45756</v>
      </c>
      <c r="B41" s="34">
        <v>1</v>
      </c>
      <c r="C41" s="34" t="s">
        <v>127</v>
      </c>
      <c r="D41" s="34" t="s">
        <v>122</v>
      </c>
      <c r="E41" s="35">
        <v>669</v>
      </c>
      <c r="F41" s="35">
        <f t="shared" si="1"/>
        <v>669</v>
      </c>
      <c r="G41" s="34" t="s">
        <v>120</v>
      </c>
      <c r="H41" s="34"/>
    </row>
    <row r="42" spans="1:9" x14ac:dyDescent="0.3">
      <c r="A42" s="30">
        <v>45757</v>
      </c>
      <c r="B42" s="31">
        <v>1</v>
      </c>
      <c r="C42" s="31" t="s">
        <v>111</v>
      </c>
      <c r="D42" s="31" t="s">
        <v>108</v>
      </c>
      <c r="E42" s="32">
        <v>449</v>
      </c>
      <c r="F42" s="32">
        <f t="shared" si="1"/>
        <v>449</v>
      </c>
      <c r="G42" s="31" t="s">
        <v>8</v>
      </c>
      <c r="H42" s="31"/>
    </row>
    <row r="43" spans="1:9" x14ac:dyDescent="0.3">
      <c r="A43" s="33">
        <v>45757</v>
      </c>
      <c r="B43" s="34">
        <v>2</v>
      </c>
      <c r="C43" s="34" t="s">
        <v>102</v>
      </c>
      <c r="D43" s="34" t="s">
        <v>108</v>
      </c>
      <c r="E43" s="35">
        <v>689</v>
      </c>
      <c r="F43" s="35">
        <f t="shared" ref="F43:F49" si="2">B43*E43</f>
        <v>1378</v>
      </c>
      <c r="G43" s="34" t="s">
        <v>109</v>
      </c>
      <c r="H43" s="34"/>
    </row>
    <row r="44" spans="1:9" x14ac:dyDescent="0.3">
      <c r="A44" s="33">
        <v>45757</v>
      </c>
      <c r="B44" s="34">
        <v>8</v>
      </c>
      <c r="C44" s="34" t="s">
        <v>102</v>
      </c>
      <c r="D44" s="34" t="s">
        <v>107</v>
      </c>
      <c r="E44" s="35">
        <v>724</v>
      </c>
      <c r="F44" s="35">
        <f t="shared" si="2"/>
        <v>5792</v>
      </c>
      <c r="G44" s="34" t="s">
        <v>24</v>
      </c>
      <c r="H44" s="34"/>
    </row>
    <row r="45" spans="1:9" x14ac:dyDescent="0.3">
      <c r="A45" s="30">
        <v>45757</v>
      </c>
      <c r="B45" s="31">
        <v>5</v>
      </c>
      <c r="C45" s="31" t="s">
        <v>102</v>
      </c>
      <c r="D45" s="31" t="s">
        <v>103</v>
      </c>
      <c r="E45" s="32">
        <v>724</v>
      </c>
      <c r="F45" s="32">
        <f t="shared" si="2"/>
        <v>3620</v>
      </c>
      <c r="G45" s="31" t="s">
        <v>8</v>
      </c>
      <c r="H45" s="31"/>
    </row>
    <row r="46" spans="1:9" x14ac:dyDescent="0.3">
      <c r="A46" s="8">
        <v>45758</v>
      </c>
      <c r="B46" s="2">
        <v>11</v>
      </c>
      <c r="C46" s="2" t="s">
        <v>102</v>
      </c>
      <c r="D46" s="2" t="s">
        <v>103</v>
      </c>
      <c r="E46" s="3">
        <v>724</v>
      </c>
      <c r="F46" s="3">
        <f t="shared" si="2"/>
        <v>7964</v>
      </c>
      <c r="G46" s="2" t="s">
        <v>8</v>
      </c>
      <c r="H46" s="2"/>
    </row>
    <row r="47" spans="1:9" x14ac:dyDescent="0.3">
      <c r="A47" s="8">
        <v>45758</v>
      </c>
      <c r="B47" s="2">
        <v>3</v>
      </c>
      <c r="C47" s="2" t="s">
        <v>104</v>
      </c>
      <c r="D47" s="2" t="s">
        <v>14</v>
      </c>
      <c r="E47" s="3">
        <v>2549.9899999999998</v>
      </c>
      <c r="F47" s="3">
        <f t="shared" si="2"/>
        <v>7649.9699999999993</v>
      </c>
      <c r="G47" s="2" t="s">
        <v>105</v>
      </c>
      <c r="H47" s="2"/>
    </row>
    <row r="48" spans="1:9" x14ac:dyDescent="0.3">
      <c r="A48" s="8">
        <v>45758</v>
      </c>
      <c r="B48" s="2">
        <v>1</v>
      </c>
      <c r="C48" s="2" t="s">
        <v>106</v>
      </c>
      <c r="D48" s="2" t="s">
        <v>14</v>
      </c>
      <c r="E48" s="3">
        <v>2549.9899999999998</v>
      </c>
      <c r="F48" s="3">
        <f t="shared" si="2"/>
        <v>2549.9899999999998</v>
      </c>
      <c r="G48" s="2" t="s">
        <v>105</v>
      </c>
      <c r="H48" s="2"/>
    </row>
    <row r="49" spans="6:6" x14ac:dyDescent="0.3">
      <c r="F49" s="21">
        <f t="shared" si="2"/>
        <v>0</v>
      </c>
    </row>
  </sheetData>
  <autoFilter ref="A1:H3" xr:uid="{59636CEA-D1B9-4BE4-8046-94F5B918FE6C}"/>
  <phoneticPr fontId="3" type="noConversion"/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Pending</vt:lpstr>
      <vt:lpstr>March </vt:lpstr>
      <vt:lpstr>Mehwish</vt:lpstr>
      <vt:lpstr>April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 Pasha</dc:creator>
  <cp:lastModifiedBy>dell5300</cp:lastModifiedBy>
  <dcterms:created xsi:type="dcterms:W3CDTF">2025-03-28T14:31:05Z</dcterms:created>
  <dcterms:modified xsi:type="dcterms:W3CDTF">2025-04-11T20:39:07Z</dcterms:modified>
</cp:coreProperties>
</file>