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5300\Downloads\Waheed Bhai Sheets\"/>
    </mc:Choice>
  </mc:AlternateContent>
  <xr:revisionPtr revIDLastSave="0" documentId="13_ncr:1_{8ED2368A-15E1-4153-A789-CB2DD85FAD78}" xr6:coauthVersionLast="47" xr6:coauthVersionMax="47" xr10:uidLastSave="{00000000-0000-0000-0000-000000000000}"/>
  <bookViews>
    <workbookView xWindow="11424" yWindow="0" windowWidth="11712" windowHeight="13776" firstSheet="1" activeTab="3" xr2:uid="{795DD68C-9659-410F-8844-C05D5B01E5C2}"/>
  </bookViews>
  <sheets>
    <sheet name="Pending" sheetId="2" state="hidden" r:id="rId1"/>
    <sheet name="March " sheetId="1" r:id="rId2"/>
    <sheet name="Mehwish" sheetId="3" state="hidden" r:id="rId3"/>
    <sheet name="April" sheetId="4" r:id="rId4"/>
    <sheet name="Shipment" sheetId="6" r:id="rId5"/>
    <sheet name="Abdul Rafey" sheetId="5" state="hidden" r:id="rId6"/>
  </sheets>
  <definedNames>
    <definedName name="_xlnm._FilterDatabase" localSheetId="3" hidden="1">April!$A$1:$H$147</definedName>
    <definedName name="_xlnm._FilterDatabase" localSheetId="1" hidden="1">'March '!$A$1:$G$39</definedName>
  </definedNames>
  <calcPr calcId="191029"/>
  <pivotCaches>
    <pivotCache cacheId="5" r:id="rId7"/>
    <pivotCache cacheId="6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47" i="4" l="1"/>
  <c r="F146" i="4"/>
  <c r="F145" i="4"/>
  <c r="F144" i="4"/>
  <c r="F138" i="4"/>
  <c r="F139" i="4"/>
  <c r="F140" i="4"/>
  <c r="F141" i="4"/>
  <c r="F142" i="4"/>
  <c r="F143" i="4"/>
  <c r="F137" i="4"/>
  <c r="F136" i="4"/>
  <c r="F135" i="4"/>
  <c r="F134" i="4"/>
  <c r="F133" i="4"/>
  <c r="F132" i="4"/>
  <c r="F131" i="4"/>
  <c r="F130" i="4"/>
  <c r="F127" i="4"/>
  <c r="F126" i="4"/>
  <c r="F124" i="4"/>
  <c r="F125" i="4"/>
  <c r="F123" i="4"/>
  <c r="F122" i="4"/>
  <c r="F121" i="4"/>
  <c r="F120" i="4"/>
  <c r="F119" i="4"/>
  <c r="F118" i="4"/>
  <c r="F117" i="4"/>
  <c r="F116" i="4"/>
  <c r="F115" i="4"/>
  <c r="F114" i="4"/>
  <c r="F113" i="4"/>
  <c r="F112" i="4"/>
  <c r="F111" i="4"/>
  <c r="F108" i="4"/>
  <c r="F109" i="4"/>
  <c r="F110" i="4"/>
  <c r="F107" i="4"/>
  <c r="F106" i="4"/>
  <c r="F46" i="4"/>
  <c r="F48" i="4"/>
  <c r="F91" i="4"/>
  <c r="F90" i="4"/>
  <c r="F89" i="4"/>
  <c r="F104" i="4"/>
  <c r="F105" i="4"/>
  <c r="F103" i="4"/>
  <c r="F102" i="4"/>
  <c r="F101" i="4"/>
  <c r="F100" i="4"/>
  <c r="F99" i="4"/>
  <c r="F98" i="4"/>
  <c r="F97" i="4"/>
  <c r="F96" i="4"/>
  <c r="F95" i="4"/>
  <c r="F94" i="4"/>
  <c r="F93" i="4"/>
  <c r="F92" i="4"/>
  <c r="F88" i="4"/>
  <c r="F87" i="4"/>
  <c r="F86" i="4"/>
  <c r="F85" i="4"/>
  <c r="F84" i="4"/>
  <c r="F83" i="4"/>
  <c r="F82" i="4"/>
  <c r="F81" i="4"/>
  <c r="F9" i="3"/>
  <c r="F8" i="3"/>
  <c r="F69" i="4"/>
  <c r="F67" i="4"/>
  <c r="F68" i="4"/>
  <c r="F70" i="4"/>
  <c r="F71" i="4"/>
  <c r="F72" i="4"/>
  <c r="F73" i="4"/>
  <c r="F74" i="4"/>
  <c r="F75" i="4"/>
  <c r="F76" i="4"/>
  <c r="F77" i="4"/>
  <c r="F78" i="4"/>
  <c r="F79" i="4"/>
  <c r="F80" i="4"/>
  <c r="F66" i="4"/>
  <c r="F63" i="4"/>
  <c r="F64" i="4"/>
  <c r="F65" i="4"/>
  <c r="F62" i="4"/>
  <c r="F61" i="4"/>
  <c r="F60" i="4"/>
  <c r="F59" i="4"/>
  <c r="F58" i="4"/>
  <c r="F55" i="4"/>
  <c r="F56" i="4"/>
  <c r="F57" i="4"/>
  <c r="F50" i="4"/>
  <c r="F51" i="4"/>
  <c r="F52" i="4"/>
  <c r="F53" i="4"/>
  <c r="F54" i="4"/>
  <c r="F49" i="4"/>
  <c r="F47" i="4"/>
  <c r="F38" i="4" l="1"/>
  <c r="F37" i="4"/>
  <c r="F33" i="4"/>
  <c r="F34" i="4"/>
  <c r="F35" i="4"/>
  <c r="F36" i="4"/>
  <c r="F39" i="4"/>
  <c r="F40" i="4"/>
  <c r="F41" i="4"/>
  <c r="F42" i="4"/>
  <c r="F43" i="4"/>
  <c r="F44" i="4"/>
  <c r="F45" i="4"/>
  <c r="F32" i="4"/>
  <c r="F20" i="4"/>
  <c r="F21" i="4"/>
  <c r="F22" i="4"/>
  <c r="F23" i="4"/>
  <c r="F24" i="4"/>
  <c r="F25" i="4"/>
  <c r="F26" i="4"/>
  <c r="F27" i="4"/>
  <c r="F28" i="4"/>
  <c r="F29" i="4"/>
  <c r="F7" i="3"/>
  <c r="F18" i="4"/>
  <c r="F19" i="4"/>
  <c r="F6" i="3"/>
  <c r="F39" i="1" l="1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4" i="4"/>
  <c r="E3" i="4"/>
  <c r="E2" i="4"/>
  <c r="F4" i="3"/>
  <c r="F3" i="3"/>
  <c r="F35" i="1"/>
  <c r="F36" i="1"/>
  <c r="F37" i="1"/>
  <c r="F38" i="1"/>
  <c r="F34" i="1"/>
  <c r="E29" i="2"/>
  <c r="E28" i="2"/>
  <c r="E27" i="2"/>
  <c r="E26" i="2"/>
  <c r="E25" i="2"/>
  <c r="E24" i="2"/>
  <c r="F33" i="1"/>
  <c r="F32" i="1"/>
  <c r="E15" i="2"/>
  <c r="E14" i="2"/>
  <c r="E13" i="2"/>
  <c r="E12" i="2"/>
  <c r="E11" i="2"/>
  <c r="E10" i="2"/>
  <c r="F30" i="1" l="1"/>
  <c r="F29" i="1"/>
  <c r="F28" i="1"/>
  <c r="F27" i="1"/>
  <c r="F26" i="1"/>
  <c r="F25" i="1"/>
  <c r="F24" i="1"/>
  <c r="F23" i="1"/>
  <c r="F22" i="1"/>
  <c r="F21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<sst xmlns="http://schemas.openxmlformats.org/spreadsheetml/2006/main" count="831" uniqueCount="252">
  <si>
    <t>Qty</t>
  </si>
  <si>
    <t>Items</t>
  </si>
  <si>
    <t>Store</t>
  </si>
  <si>
    <t>Price</t>
  </si>
  <si>
    <t>Total</t>
  </si>
  <si>
    <t>status</t>
  </si>
  <si>
    <t>PS5 Astro BOT</t>
  </si>
  <si>
    <t>JBHIFI Castle Hills</t>
  </si>
  <si>
    <t>Collected</t>
  </si>
  <si>
    <t>Mac Book Air M4 24/512Midnight</t>
  </si>
  <si>
    <t>EB Games Online</t>
  </si>
  <si>
    <t>Pending Collection Merrylands</t>
  </si>
  <si>
    <t>Pending Collection Bankstown</t>
  </si>
  <si>
    <t>Mac Book Air Midnight</t>
  </si>
  <si>
    <t>Costco Online</t>
  </si>
  <si>
    <t>Delivered  home on 29/03/2025</t>
  </si>
  <si>
    <t>Office Works Hornsby</t>
  </si>
  <si>
    <t>Mac Book Air M4 24/512 Sky Blue</t>
  </si>
  <si>
    <t xml:space="preserve">Iphone 16 Pro max 256 GB Desert </t>
  </si>
  <si>
    <t>Office Works Northmead</t>
  </si>
  <si>
    <t>Office Works  west ryde</t>
  </si>
  <si>
    <t>Office Works North Ryde</t>
  </si>
  <si>
    <t>PickUp Northmead/ Collected</t>
  </si>
  <si>
    <t>Office Works  Castle Hills</t>
  </si>
  <si>
    <t>Pending Collection</t>
  </si>
  <si>
    <t>Office Works Blacktown</t>
  </si>
  <si>
    <t>Mac Book Pro 16/512 Silver</t>
  </si>
  <si>
    <t>Office Works Wentworthville</t>
  </si>
  <si>
    <t>Office Works Auburn</t>
  </si>
  <si>
    <t>Mac Book Pro M4 14" 16/512 Silver</t>
  </si>
  <si>
    <t>Good Guys Auburn</t>
  </si>
  <si>
    <t>Mini Evo</t>
  </si>
  <si>
    <t>Mini 12 Purple</t>
  </si>
  <si>
    <t>Mini 12 Blue</t>
  </si>
  <si>
    <t>Mini 12 White</t>
  </si>
  <si>
    <t>Ninja Blast Blender</t>
  </si>
  <si>
    <t>Pending Collection Blacktown</t>
  </si>
  <si>
    <t>Order Cancelled</t>
  </si>
  <si>
    <t>Air</t>
  </si>
  <si>
    <t>Officeworks Online</t>
  </si>
  <si>
    <t>Pro</t>
  </si>
  <si>
    <t>Good Guys Bankstown</t>
  </si>
  <si>
    <t>Wentworthville</t>
  </si>
  <si>
    <t>Blacktown</t>
  </si>
  <si>
    <t>Castle Hills</t>
  </si>
  <si>
    <t>Auburn</t>
  </si>
  <si>
    <t>Five Dock</t>
  </si>
  <si>
    <t>Pending</t>
  </si>
  <si>
    <t>Macbook</t>
  </si>
  <si>
    <t>No Entry</t>
  </si>
  <si>
    <t>Office Works Five Dock</t>
  </si>
  <si>
    <t>Collected 29.03.2025</t>
  </si>
  <si>
    <t>4 Collected 29.03.2025</t>
  </si>
  <si>
    <t>Comments 29.03.2025</t>
  </si>
  <si>
    <t>As of 28.03.2025</t>
  </si>
  <si>
    <t>JBHIFI Online</t>
  </si>
  <si>
    <t>Mac Book Pro M4 14" 16/ 1TB Space Black</t>
  </si>
  <si>
    <t>Collected 30/03/2025</t>
  </si>
  <si>
    <t>Collected 31/03/2025</t>
  </si>
  <si>
    <t>Good Guys Blacktown</t>
  </si>
  <si>
    <t>Mini 12  Mix Colour</t>
  </si>
  <si>
    <t>Ps5 Astro Bot</t>
  </si>
  <si>
    <t>Pending Delivery</t>
  </si>
  <si>
    <t>Received</t>
  </si>
  <si>
    <t>Mac Book Pro</t>
  </si>
  <si>
    <t>Date</t>
  </si>
  <si>
    <t>Collection Date</t>
  </si>
  <si>
    <t>Mac Book Pro M4 16/1TB Space Black</t>
  </si>
  <si>
    <t>Mac Book Air 13" M4 24/512 Sky Blue</t>
  </si>
  <si>
    <t>Mac Book Pro M4 14" 16/1TB Space Black</t>
  </si>
  <si>
    <t>Office Works Castle Hills</t>
  </si>
  <si>
    <t>JBHIFI Hornsby</t>
  </si>
  <si>
    <t>Office Works West Ryde</t>
  </si>
  <si>
    <t>Mac Book Air 13" M4 24/512 Space Black</t>
  </si>
  <si>
    <t>Instax Mini 99 Bundle</t>
  </si>
  <si>
    <t>Meta Quest 3 512</t>
  </si>
  <si>
    <t>Norton Antivirus</t>
  </si>
  <si>
    <t>Pending Collection Northmead</t>
  </si>
  <si>
    <t>Collected 01/04/2025</t>
  </si>
  <si>
    <t>Row Labels</t>
  </si>
  <si>
    <t>(blank)</t>
  </si>
  <si>
    <t>Grand Total</t>
  </si>
  <si>
    <t>Sum of Qty</t>
  </si>
  <si>
    <t xml:space="preserve">JBHIFI Meta Quest </t>
  </si>
  <si>
    <t>Merylands</t>
  </si>
  <si>
    <t>Packaging</t>
  </si>
  <si>
    <t>Expense</t>
  </si>
  <si>
    <t>Instax Mini 12</t>
  </si>
  <si>
    <t xml:space="preserve">Good Guys </t>
  </si>
  <si>
    <t>Office Works Punchbowl</t>
  </si>
  <si>
    <t>Collected 04/04/2025</t>
  </si>
  <si>
    <t>Collected 03/04/2025</t>
  </si>
  <si>
    <t>Order Cancelled /Refund 03/04/2025</t>
  </si>
  <si>
    <t xml:space="preserve">Paid </t>
  </si>
  <si>
    <t>Order Cancelled Refund 08/04/2025</t>
  </si>
  <si>
    <t>Mac Book Air 15" M4 24/512 Sky Blue</t>
  </si>
  <si>
    <t>PS5 Hard drive</t>
  </si>
  <si>
    <t>Office Works Nortmead</t>
  </si>
  <si>
    <t>Mac Book Air 13" M4 24/512 Midnight</t>
  </si>
  <si>
    <t>PS5 Astrobot with CD game</t>
  </si>
  <si>
    <t>Big W Winston Hills</t>
  </si>
  <si>
    <t>Big W Bansktown</t>
  </si>
  <si>
    <t>JBHIFI Bankstown</t>
  </si>
  <si>
    <t>Pending Collection Parramatta</t>
  </si>
  <si>
    <t>Big W Merrylands</t>
  </si>
  <si>
    <t>Meta Quest 3S 128</t>
  </si>
  <si>
    <t>Delivered 11/04/2025</t>
  </si>
  <si>
    <t>EB Games North Ryde</t>
  </si>
  <si>
    <t>Collected  10/04/2025</t>
  </si>
  <si>
    <t>Collected 10/04/2025</t>
  </si>
  <si>
    <t>Cancelled Refund to be process</t>
  </si>
  <si>
    <t>Order Cancelled Refunded</t>
  </si>
  <si>
    <t>Shipment 07/04/2025</t>
  </si>
  <si>
    <t>Macbook Air M4 13" 24/512 Midnight</t>
  </si>
  <si>
    <t>Macbook Air M4 13" 24/512 Sky Blue</t>
  </si>
  <si>
    <t>Harvey Norman Morre Park</t>
  </si>
  <si>
    <t>10% Gift Card</t>
  </si>
  <si>
    <t>PS5 Astrobot Bundle No CD</t>
  </si>
  <si>
    <t>Play Station Portal Black</t>
  </si>
  <si>
    <t>Harvey Norman Broadway</t>
  </si>
  <si>
    <t>Macbook Air M4 13" 24/512 Silver</t>
  </si>
  <si>
    <t>Harvey Norman Castle Hills</t>
  </si>
  <si>
    <t>Macbook Air M4 15" 24/512 Midnight</t>
  </si>
  <si>
    <t>Instax Mini 40</t>
  </si>
  <si>
    <t>Dragon Age Game CD</t>
  </si>
  <si>
    <t>Harvey Norman North Ryde</t>
  </si>
  <si>
    <t xml:space="preserve">Big W Online </t>
  </si>
  <si>
    <t>Macbook Air M4 15" 24/512 Silver</t>
  </si>
  <si>
    <t>13/04/205</t>
  </si>
  <si>
    <t>13/04/206</t>
  </si>
  <si>
    <t>10% gift Card</t>
  </si>
  <si>
    <t>Harvey Norman Auburn</t>
  </si>
  <si>
    <t>Mac Book Air M4 24/512 13"</t>
  </si>
  <si>
    <t>DJI Osmo Pocket 3</t>
  </si>
  <si>
    <t>Instax mini EVO</t>
  </si>
  <si>
    <t>Instax Film 20 Pack</t>
  </si>
  <si>
    <t>Collected 13/04/2024</t>
  </si>
  <si>
    <t>Collected 13/04/2025</t>
  </si>
  <si>
    <t>Harvey Norman Alexandria</t>
  </si>
  <si>
    <t>Harvey Norman Blacktown</t>
  </si>
  <si>
    <t>Good Guys Castle Hills</t>
  </si>
  <si>
    <t>DJI Mavic Pro RC</t>
  </si>
  <si>
    <t>DJI Mavic Pro RC Combo</t>
  </si>
  <si>
    <t>10% Gift Card + $200 Gift Card</t>
  </si>
  <si>
    <t xml:space="preserve">Instax LiPlay Mix </t>
  </si>
  <si>
    <t>Instax LiPlay Pink</t>
  </si>
  <si>
    <t>Macbook Air M3 13" 24/512 Midnight</t>
  </si>
  <si>
    <t>Sum of Total</t>
  </si>
  <si>
    <t>(Multiple Items)</t>
  </si>
  <si>
    <t>Mac Book Air M4 13" 24/512 Sky Blue</t>
  </si>
  <si>
    <t>Mac Book Air M4 13 " 24/512 Sky Blue</t>
  </si>
  <si>
    <t>Mac Book Air M4 13" 24/512 Midnight</t>
  </si>
  <si>
    <t>Mac Book Air M3 15"24/512 Starlight</t>
  </si>
  <si>
    <t>Mac Book Air M3 15"24/512 Silver</t>
  </si>
  <si>
    <t>Mac Book Air  M3 15" 24/512 Starlight</t>
  </si>
  <si>
    <t>Mac Book Air M3 15" 24/512 Midnight</t>
  </si>
  <si>
    <t>Mac Book Air  M4 15" 24/512 Sky Blue</t>
  </si>
  <si>
    <t>Mac Book Air M4 15" 24/512 Sky Blue</t>
  </si>
  <si>
    <t>Mac Book Air  M4 15" 24/512 Midnight</t>
  </si>
  <si>
    <t>Macbook Air M4 15" 24/512 Sky Blue</t>
  </si>
  <si>
    <t>Description</t>
  </si>
  <si>
    <t>Mac Book Air 13" M4 24/512</t>
  </si>
  <si>
    <t>Mac Book Air 15" M4 24/512</t>
  </si>
  <si>
    <t>Instax mini Evo</t>
  </si>
  <si>
    <t xml:space="preserve">PS Portal </t>
  </si>
  <si>
    <t>DJI</t>
  </si>
  <si>
    <t>Mini 12</t>
  </si>
  <si>
    <t>Mini 40</t>
  </si>
  <si>
    <t>Evo</t>
  </si>
  <si>
    <t>CD</t>
  </si>
  <si>
    <t>Paper</t>
  </si>
  <si>
    <t>Liplay</t>
  </si>
  <si>
    <t>EVO</t>
  </si>
  <si>
    <t>MC7D4X</t>
  </si>
  <si>
    <t>Osmo Pocket</t>
  </si>
  <si>
    <t>MC9K4X</t>
  </si>
  <si>
    <t>Pro 15" M4 16/512</t>
  </si>
  <si>
    <t>MC9J4X</t>
  </si>
  <si>
    <t>Meta Quest</t>
  </si>
  <si>
    <t>DJI COMBO</t>
  </si>
  <si>
    <t>MC6L4X</t>
  </si>
  <si>
    <t>M4 PRO 24/512</t>
  </si>
  <si>
    <t>BAG</t>
  </si>
  <si>
    <t>MC9L4X</t>
  </si>
  <si>
    <t>PS5</t>
  </si>
  <si>
    <t>IN Van</t>
  </si>
  <si>
    <t>home</t>
  </si>
  <si>
    <t>MIni 40</t>
  </si>
  <si>
    <t>MCV64X</t>
  </si>
  <si>
    <t>PS5 with CD</t>
  </si>
  <si>
    <t>Big W Online Rockdale</t>
  </si>
  <si>
    <t>PS5 Collected ,CD pending collection</t>
  </si>
  <si>
    <t>Order cancelled</t>
  </si>
  <si>
    <t>Cancelled Refund processed 17/04</t>
  </si>
  <si>
    <t>Collected 16/04/2025</t>
  </si>
  <si>
    <t>Sunglass Hut Bankstown</t>
  </si>
  <si>
    <t>Osmo Action 5 pro Adventure</t>
  </si>
  <si>
    <t>Osmo Pocket 3</t>
  </si>
  <si>
    <t>Osmo Mobile 7 P</t>
  </si>
  <si>
    <t>RW4008</t>
  </si>
  <si>
    <t>OPSM Parramatta</t>
  </si>
  <si>
    <t>RW4010 Transitions</t>
  </si>
  <si>
    <t>RW4008 Transitions</t>
  </si>
  <si>
    <t>RW 4008 Transitions</t>
  </si>
  <si>
    <t>Sunglass Hut Parramatta</t>
  </si>
  <si>
    <t>RW4006 Transitions</t>
  </si>
  <si>
    <t>EYE CONCEPTS MerryLands</t>
  </si>
  <si>
    <t>RW4006</t>
  </si>
  <si>
    <t>Macbook Air M4 15" 24/512 Starlinght</t>
  </si>
  <si>
    <t>Collected/shipped Dubai</t>
  </si>
  <si>
    <t>Cancelled /Refunded</t>
  </si>
  <si>
    <t>RW4006 Rayban Glasses</t>
  </si>
  <si>
    <t>Meta RW4010 Transition</t>
  </si>
  <si>
    <t>Myer Online</t>
  </si>
  <si>
    <t>Myer Sydney</t>
  </si>
  <si>
    <t xml:space="preserve">RW4006 Matte Dusty Blue </t>
  </si>
  <si>
    <t>Osmo 7P</t>
  </si>
  <si>
    <t>DJI Mavic Pro3 RC</t>
  </si>
  <si>
    <t xml:space="preserve">$1200 Gift Card </t>
  </si>
  <si>
    <t>Sunglass Hut Castle Towers</t>
  </si>
  <si>
    <t>David Jones Castle hills</t>
  </si>
  <si>
    <t>RW4006 Matte Dusty Blue 53</t>
  </si>
  <si>
    <t>Myer Castle Hills</t>
  </si>
  <si>
    <t xml:space="preserve">Meta RaybanTransitions Mix </t>
  </si>
  <si>
    <t>OPSM Castle Hills</t>
  </si>
  <si>
    <t>New AU Company registration</t>
  </si>
  <si>
    <t>Airpods 4 ANC</t>
  </si>
  <si>
    <t>Camera House Drummyone</t>
  </si>
  <si>
    <t>DJI Mavic Pro 3 RC</t>
  </si>
  <si>
    <t>DJI Mavic Pro 3 RC Combo</t>
  </si>
  <si>
    <t>$200 Gift Card</t>
  </si>
  <si>
    <t>JBHIFI Top Ryde</t>
  </si>
  <si>
    <t>Pending Collection Broadway</t>
  </si>
  <si>
    <t>JBHIFI Top Macquarie park</t>
  </si>
  <si>
    <t>Collected 24/04/2025</t>
  </si>
  <si>
    <t>Delivered 23/04/2025</t>
  </si>
  <si>
    <t>DJI Mavic 3 Pro RC</t>
  </si>
  <si>
    <t>DJI Mavic 3 Pro RC Combo</t>
  </si>
  <si>
    <t>Meta Ryban Transitions</t>
  </si>
  <si>
    <t>Instax film wide 10pk</t>
  </si>
  <si>
    <t>Instax film wide 20pk</t>
  </si>
  <si>
    <t>Instax film Square 10 PK</t>
  </si>
  <si>
    <t xml:space="preserve">Instax film Square 10 PK Black </t>
  </si>
  <si>
    <t>Instax film Square 10 PK Monochorome</t>
  </si>
  <si>
    <t>Instax film Square 10 PK star Illuminate</t>
  </si>
  <si>
    <t>Instax film Square 10 PK star sunset</t>
  </si>
  <si>
    <t>Instax film Square 10 PK star Rainbow</t>
  </si>
  <si>
    <t>Intax mini link 3</t>
  </si>
  <si>
    <t>instax Liplay</t>
  </si>
  <si>
    <t xml:space="preserve">Instax mini EVO </t>
  </si>
  <si>
    <t>JBHIFI Moore Park</t>
  </si>
  <si>
    <t>Harvey Norman Moore 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</si>
</sst>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;[Red]\-&quot;$&quot;#,##0"/>
    <numFmt numFmtId="165" formatCode="&quot;$&quot;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1" fontId="0" fillId="0" borderId="1" xfId="0" applyNumberFormat="1" applyBorder="1"/>
    <xf numFmtId="0" fontId="0" fillId="0" borderId="1" xfId="0" applyBorder="1"/>
    <xf numFmtId="165" fontId="0" fillId="0" borderId="1" xfId="0" applyNumberFormat="1" applyBorder="1"/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4" fontId="0" fillId="0" borderId="0" xfId="0" applyNumberFormat="1"/>
    <xf numFmtId="0" fontId="1" fillId="0" borderId="0" xfId="0" applyFont="1" applyAlignment="1">
      <alignment horizontal="center"/>
    </xf>
    <xf numFmtId="14" fontId="0" fillId="0" borderId="1" xfId="0" applyNumberFormat="1" applyBorder="1"/>
    <xf numFmtId="165" fontId="1" fillId="0" borderId="1" xfId="0" applyNumberFormat="1" applyFont="1" applyBorder="1" applyAlignment="1">
      <alignment horizontal="center"/>
    </xf>
    <xf numFmtId="0" fontId="0" fillId="2" borderId="1" xfId="0" applyFill="1" applyBorder="1"/>
    <xf numFmtId="0" fontId="0" fillId="2" borderId="0" xfId="0" applyFill="1"/>
    <xf numFmtId="14" fontId="0" fillId="2" borderId="0" xfId="0" applyNumberFormat="1" applyFill="1"/>
    <xf numFmtId="0" fontId="0" fillId="0" borderId="0" xfId="0" pivotButton="1"/>
    <xf numFmtId="0" fontId="0" fillId="0" borderId="0" xfId="0" applyAlignment="1">
      <alignment horizontal="left"/>
    </xf>
    <xf numFmtId="14" fontId="2" fillId="0" borderId="0" xfId="0" applyNumberFormat="1" applyFont="1"/>
    <xf numFmtId="0" fontId="2" fillId="2" borderId="1" xfId="0" applyFont="1" applyFill="1" applyBorder="1"/>
    <xf numFmtId="14" fontId="2" fillId="0" borderId="1" xfId="0" applyNumberFormat="1" applyFont="1" applyBorder="1"/>
    <xf numFmtId="0" fontId="2" fillId="0" borderId="1" xfId="0" applyFont="1" applyBorder="1"/>
    <xf numFmtId="165" fontId="2" fillId="0" borderId="1" xfId="0" applyNumberFormat="1" applyFont="1" applyBorder="1"/>
    <xf numFmtId="0" fontId="2" fillId="0" borderId="0" xfId="0" applyFont="1"/>
    <xf numFmtId="164" fontId="0" fillId="0" borderId="1" xfId="0" applyNumberFormat="1" applyBorder="1"/>
    <xf numFmtId="0" fontId="0" fillId="0" borderId="2" xfId="0" applyBorder="1"/>
    <xf numFmtId="165" fontId="0" fillId="0" borderId="2" xfId="0" applyNumberFormat="1" applyBorder="1"/>
    <xf numFmtId="0" fontId="0" fillId="0" borderId="3" xfId="0" applyBorder="1"/>
    <xf numFmtId="0" fontId="0" fillId="3" borderId="1" xfId="0" applyFill="1" applyBorder="1"/>
    <xf numFmtId="0" fontId="2" fillId="3" borderId="1" xfId="0" applyFont="1" applyFill="1" applyBorder="1"/>
    <xf numFmtId="14" fontId="0" fillId="2" borderId="1" xfId="0" applyNumberFormat="1" applyFill="1" applyBorder="1"/>
    <xf numFmtId="165" fontId="0" fillId="2" borderId="1" xfId="0" applyNumberFormat="1" applyFill="1" applyBorder="1"/>
    <xf numFmtId="165" fontId="0" fillId="2" borderId="2" xfId="0" applyNumberFormat="1" applyFill="1" applyBorder="1"/>
    <xf numFmtId="14" fontId="0" fillId="4" borderId="1" xfId="0" applyNumberFormat="1" applyFill="1" applyBorder="1"/>
    <xf numFmtId="0" fontId="0" fillId="4" borderId="1" xfId="0" applyFill="1" applyBorder="1"/>
    <xf numFmtId="165" fontId="0" fillId="4" borderId="1" xfId="0" applyNumberFormat="1" applyFill="1" applyBorder="1"/>
    <xf numFmtId="14" fontId="1" fillId="0" borderId="1" xfId="0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  <xf numFmtId="14" fontId="0" fillId="5" borderId="1" xfId="0" applyNumberFormat="1" applyFill="1" applyBorder="1"/>
    <xf numFmtId="0" fontId="0" fillId="5" borderId="1" xfId="0" applyFill="1" applyBorder="1"/>
    <xf numFmtId="165" fontId="0" fillId="5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760.935911921297" createdVersion="8" refreshedVersion="8" minRefreshableVersion="3" recordCount="89" xr:uid="{E56D146B-893C-4692-9733-3923AF751B4C}">
  <cacheSource type="worksheet">
    <worksheetSource ref="A1:H1048576" sheet="April"/>
  </cacheSource>
  <cacheFields count="8">
    <cacheField name="Date" numFmtId="0">
      <sharedItems containsNonDate="0" containsDate="1" containsString="0" containsBlank="1" minDate="2025-04-01T00:00:00" maxDate="2025-04-14T00:00:00" count="12">
        <d v="2025-04-01T00:00:00"/>
        <d v="2025-04-02T00:00:00"/>
        <d v="2025-04-03T00:00:00"/>
        <d v="2025-04-04T00:00:00"/>
        <m/>
        <d v="2025-04-05T00:00:00"/>
        <d v="2025-04-08T00:00:00"/>
        <d v="2025-04-09T00:00:00"/>
        <d v="2025-04-10T00:00:00"/>
        <d v="2025-04-11T00:00:00"/>
        <d v="2025-04-12T00:00:00"/>
        <d v="2025-04-13T00:00:00"/>
      </sharedItems>
    </cacheField>
    <cacheField name="Qty" numFmtId="0">
      <sharedItems containsString="0" containsBlank="1" containsNumber="1" containsInteger="1" minValue="1" maxValue="20"/>
    </cacheField>
    <cacheField name="Items" numFmtId="0">
      <sharedItems containsBlank="1" count="53">
        <s v="Mac Book Air 13&quot; M4 24/512 Sky Blue"/>
        <s v="Mac Book Pro M4 14&quot; 16/1TB Space Black"/>
        <s v="Mac Book Pro M4 16/1TB Space Black"/>
        <s v="Mac Book Air 13&quot; M4 24/512 Space Black"/>
        <s v="Instax Mini 99 Bundle"/>
        <s v="PS5 Astrobot with CD game"/>
        <s v="Meta Quest 3 512"/>
        <s v="Norton Antivirus"/>
        <s v="JBHIFI Meta Quest "/>
        <s v="Packaging"/>
        <s v="Instax Mini 12"/>
        <s v="Mac Book Pro M4 14&quot; 16/512 Silver"/>
        <s v="Mac Book Air M4 13&quot; 24/512 Sky Blue"/>
        <s v="Mac Book Air 13&quot; M4 24/512 Midnight"/>
        <s v="PS5 Hard drive"/>
        <s v="Mac Book Air 15&quot; M4 24/512 Sky Blue"/>
        <s v="Mac Book Air M4 13 &quot; 24/512 Sky Blue"/>
        <s v="Mac Book Air M4 13&quot; 24/512 Midnight"/>
        <s v="Mac Book Air M3 15&quot;24/512 Starlight"/>
        <s v="Mac Book Air M3 15&quot;24/512 Silver"/>
        <s v="Mac Book Air  M3 15&quot; 24/512 Starlight"/>
        <s v="Mac Book Air M3 15&quot; 24/512 Midnight"/>
        <s v="Mac Book Air  M4 15&quot; 24/512 Sky Blue"/>
        <s v="Meta Quest 3S 128"/>
        <s v="Mac Book Air M4 15&quot; 24/512 Sky Blue"/>
        <s v="Mac Book Air  M4 15&quot; 24/512 Midnight"/>
        <s v="Macbook Air M4 13&quot; 24/512 Midnight"/>
        <s v="Macbook Air M4 13&quot; 24/512 Sky Blue"/>
        <s v="PS5 Astrobot Bundle No CD"/>
        <s v="Play Station Portal Black"/>
        <s v="Macbook Air M4 13&quot; 24/512 Silver"/>
        <s v="Macbook Air M4 15&quot; 24/512 Midnight"/>
        <s v="Macbook Air M4 15&quot; 24/512 Sky Blue"/>
        <s v="Instax Mini 40"/>
        <s v="Dragon Age Game CD"/>
        <s v="Macbook Air M4 15&quot; 24/512 Silver"/>
        <s v="DJI Osmo Pocket 3"/>
        <s v="Instax mini EVO"/>
        <s v="Instax Film 20 Pack"/>
        <s v="Macbook Air M3 13&quot; 24/512 Midnight"/>
        <s v="DJI Mavic Pro RC"/>
        <s v="DJI Mavic Pro RC Combo"/>
        <s v="Instax LiPlay Mix "/>
        <s v="Instax LiPlay Pink"/>
        <m/>
        <s v="Macbook Air M4 15&quot; 24/512 Sky" u="1"/>
        <s v="Mac Book Air 15&quot; M3 24/512 Starlight" u="1"/>
        <s v="Mac Book Air 15&quot; M3 24/512 Silver" u="1"/>
        <s v="Mac Book Air 15&quot; M3 24/512 Midnight" u="1"/>
        <s v="Mac Book Air 15&quot; 24/512 Sky Blue" u="1"/>
        <s v="Mac Book Air 15&quot; 24/512 Midnight" u="1"/>
        <s v="PS5 Astro Bot Bundle" u="1"/>
        <s v="PS5 Astro Bot Bundle With CD" u="1"/>
      </sharedItems>
    </cacheField>
    <cacheField name="Store" numFmtId="0">
      <sharedItems containsBlank="1"/>
    </cacheField>
    <cacheField name="Price" numFmtId="0">
      <sharedItems containsString="0" containsBlank="1" containsNumber="1" minValue="19" maxValue="3535"/>
    </cacheField>
    <cacheField name="Total" numFmtId="0">
      <sharedItems containsString="0" containsBlank="1" containsNumber="1" minValue="0" maxValue="34485"/>
    </cacheField>
    <cacheField name="status" numFmtId="0">
      <sharedItems containsBlank="1"/>
    </cacheField>
    <cacheField name="Collection Date" numFmtId="0">
      <sharedItems containsDate="1" containsBlank="1" containsMixedTypes="1" minDate="2025-04-02T00:00:00" maxDate="2025-04-09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765.002499768518" createdVersion="8" refreshedVersion="8" minRefreshableVersion="3" recordCount="44" xr:uid="{85A17209-09B1-4700-8385-A531484FAB42}">
  <cacheSource type="worksheet">
    <worksheetSource ref="A1:B1048576" sheet="Shipment"/>
  </cacheSource>
  <cacheFields count="2">
    <cacheField name="Qty" numFmtId="0">
      <sharedItems containsString="0" containsBlank="1" containsNumber="1" containsInteger="1" minValue="1" maxValue="33"/>
    </cacheField>
    <cacheField name="Description" numFmtId="0">
      <sharedItems containsBlank="1" containsMixedTypes="1" containsNumber="1" containsInteger="1" minValue="12" maxValue="12" count="25">
        <s v="Mac Book Air 13&quot; M4 24/512"/>
        <s v="Mac Book Air 15&quot; M4 24/512"/>
        <s v="Instax mini Evo"/>
        <s v="PS Portal "/>
        <s v="DJI"/>
        <s v="Mini 12"/>
        <s v="Mini 40"/>
        <s v="CD"/>
        <s v="Paper"/>
        <s v="Evo"/>
        <s v="Liplay"/>
        <s v="MCV64X"/>
        <s v="MC7D4X"/>
        <s v="Osmo Pocket"/>
        <s v="MC9K4X"/>
        <s v="Pro 15&quot; M4 16/512"/>
        <s v="MC9J4X"/>
        <s v="Meta Quest"/>
        <s v="DJI COMBO"/>
        <s v="MC6L4X"/>
        <s v="M4 PRO 24/512"/>
        <s v="MC9L4X"/>
        <s v="PS5"/>
        <m/>
        <n v="12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n v="2"/>
    <x v="0"/>
    <s v="Office Works Northmead"/>
    <n v="2089.4899999999998"/>
    <n v="4178.9799999999996"/>
    <s v="Collected"/>
    <d v="2025-04-02T00:00:00"/>
  </r>
  <r>
    <x v="0"/>
    <n v="2"/>
    <x v="1"/>
    <s v="Office Works Auburn"/>
    <n v="2460.4899999999998"/>
    <n v="4920.9799999999996"/>
    <s v="Collected"/>
    <m/>
  </r>
  <r>
    <x v="1"/>
    <n v="2"/>
    <x v="2"/>
    <s v="Office Works Northmead"/>
    <n v="2517.4899999999998"/>
    <n v="5034.9799999999996"/>
    <s v="Collected"/>
    <m/>
  </r>
  <r>
    <x v="1"/>
    <n v="2"/>
    <x v="0"/>
    <s v="Office Works Castle Hills"/>
    <n v="2089.4899999999998"/>
    <n v="4178.9799999999996"/>
    <s v="Collected"/>
    <m/>
  </r>
  <r>
    <x v="1"/>
    <n v="2"/>
    <x v="3"/>
    <s v="Office Works Castle Hills"/>
    <n v="2089.4899999999998"/>
    <n v="4178.9799999999996"/>
    <s v="Collected"/>
    <m/>
  </r>
  <r>
    <x v="1"/>
    <n v="1"/>
    <x v="0"/>
    <s v="Office Works Hornsby"/>
    <n v="2089.9899999999998"/>
    <n v="2089.9899999999998"/>
    <s v="Collected"/>
    <d v="2025-04-08T00:00:00"/>
  </r>
  <r>
    <x v="1"/>
    <n v="1"/>
    <x v="3"/>
    <s v="Office Works Hornsby"/>
    <n v="2089.9899999999998"/>
    <n v="2089.9899999999998"/>
    <s v="Collected"/>
    <d v="2025-04-08T00:00:00"/>
  </r>
  <r>
    <x v="1"/>
    <n v="8"/>
    <x v="4"/>
    <s v="JBHIFI Hornsby"/>
    <n v="229"/>
    <n v="1832"/>
    <s v="Collected"/>
    <d v="2025-04-02T00:00:00"/>
  </r>
  <r>
    <x v="1"/>
    <n v="1"/>
    <x v="5"/>
    <s v="JBHIFI Hornsby"/>
    <n v="699"/>
    <n v="699"/>
    <s v="Collected"/>
    <d v="2025-04-03T00:00:00"/>
  </r>
  <r>
    <x v="1"/>
    <n v="1"/>
    <x v="6"/>
    <s v="JBHIFI Hornsby"/>
    <n v="799"/>
    <n v="799"/>
    <s v="Collected"/>
    <d v="2025-04-03T00:00:00"/>
  </r>
  <r>
    <x v="1"/>
    <n v="1"/>
    <x v="0"/>
    <s v="JBHIFI Hornsby"/>
    <n v="2149"/>
    <n v="2149"/>
    <s v="Collected"/>
    <d v="2025-04-02T00:00:00"/>
  </r>
  <r>
    <x v="1"/>
    <n v="1"/>
    <x v="0"/>
    <s v="Office Works North Ryde"/>
    <n v="2089.9899999999998"/>
    <n v="2089.9899999999998"/>
    <m/>
    <s v="Order Cancelled Refund 08/04/2025"/>
  </r>
  <r>
    <x v="1"/>
    <n v="2"/>
    <x v="0"/>
    <s v="Office Works West Ryde"/>
    <n v="2089.9899999999998"/>
    <n v="4179.9799999999996"/>
    <s v="Pending Collection Northmead"/>
    <s v="Order Cancelled Refunded"/>
  </r>
  <r>
    <x v="1"/>
    <n v="1"/>
    <x v="0"/>
    <s v="Office Works Auburn"/>
    <n v="2089.9899999999998"/>
    <n v="2089.9899999999998"/>
    <s v="Collected"/>
    <d v="2025-04-04T00:00:00"/>
  </r>
  <r>
    <x v="1"/>
    <n v="1"/>
    <x v="3"/>
    <s v="Office Works Auburn"/>
    <n v="2089.9899999999998"/>
    <n v="2089.9899999999998"/>
    <s v="Collected"/>
    <d v="2025-04-04T00:00:00"/>
  </r>
  <r>
    <x v="1"/>
    <n v="1"/>
    <x v="7"/>
    <s v="Office Works Auburn"/>
    <n v="39"/>
    <n v="39"/>
    <s v="Collected"/>
    <d v="2025-04-02T00:00:00"/>
  </r>
  <r>
    <x v="2"/>
    <n v="1"/>
    <x v="8"/>
    <s v="JBHIFI Castle Hills"/>
    <n v="799"/>
    <n v="799"/>
    <s v="Collected"/>
    <m/>
  </r>
  <r>
    <x v="2"/>
    <n v="1"/>
    <x v="5"/>
    <s v="Merylands"/>
    <n v="669"/>
    <n v="669"/>
    <s v="Collected  10/04/2025"/>
    <m/>
  </r>
  <r>
    <x v="2"/>
    <m/>
    <x v="9"/>
    <s v="Expense"/>
    <n v="36.54"/>
    <n v="0"/>
    <m/>
    <m/>
  </r>
  <r>
    <x v="3"/>
    <n v="6"/>
    <x v="10"/>
    <s v="Good Guys "/>
    <n v="87"/>
    <n v="522"/>
    <s v="Collected"/>
    <m/>
  </r>
  <r>
    <x v="3"/>
    <n v="1"/>
    <x v="11"/>
    <s v="Good Guys Bankstown"/>
    <n v="2204"/>
    <n v="2204"/>
    <s v="Collected  10/04/2025"/>
    <m/>
  </r>
  <r>
    <x v="3"/>
    <n v="1"/>
    <x v="3"/>
    <s v="Office Works Punchbowl"/>
    <n v="2089.9899999999998"/>
    <n v="2089.9899999999998"/>
    <s v="Collected"/>
    <m/>
  </r>
  <r>
    <x v="3"/>
    <n v="1"/>
    <x v="0"/>
    <s v="Office Works Punchbowl"/>
    <n v="2089.9899999999998"/>
    <n v="2089.9899999999998"/>
    <s v="Cancelled Refund to be process"/>
    <m/>
  </r>
  <r>
    <x v="4"/>
    <n v="1"/>
    <x v="12"/>
    <s v="Office Works Castle Hills"/>
    <n v="2089.9899999999998"/>
    <n v="2089.9899999999998"/>
    <s v="Collected"/>
    <m/>
  </r>
  <r>
    <x v="5"/>
    <n v="1"/>
    <x v="13"/>
    <s v="Office Works Castle Hills"/>
    <n v="2089.9899999999998"/>
    <n v="2089.9899999999998"/>
    <s v="Cancelled Refund to be process"/>
    <m/>
  </r>
  <r>
    <x v="5"/>
    <n v="1"/>
    <x v="14"/>
    <s v="JBHIFI Castle Hills"/>
    <n v="149"/>
    <n v="149"/>
    <s v="Collected"/>
    <m/>
  </r>
  <r>
    <x v="5"/>
    <n v="1"/>
    <x v="15"/>
    <s v="JBHIFI Castle Hills"/>
    <n v="2549"/>
    <n v="2549"/>
    <s v="Collected"/>
    <m/>
  </r>
  <r>
    <x v="6"/>
    <n v="1"/>
    <x v="16"/>
    <s v="Office Works Castle Hills"/>
    <n v="2089.9899999999998"/>
    <n v="2089.9899999999998"/>
    <s v="Cancelled Refund to be process"/>
    <m/>
  </r>
  <r>
    <x v="6"/>
    <n v="1"/>
    <x v="17"/>
    <s v="Office Works Hornsby"/>
    <n v="2089.9899999999998"/>
    <n v="2089"/>
    <s v="Cancelled Refund to be process"/>
    <m/>
  </r>
  <r>
    <x v="6"/>
    <n v="1"/>
    <x v="17"/>
    <s v="Office Works Hornsby"/>
    <n v="2089.9899999999998"/>
    <n v="2089"/>
    <s v="Cancelled Refund to be process"/>
    <m/>
  </r>
  <r>
    <x v="7"/>
    <n v="10"/>
    <x v="5"/>
    <s v="Big W Merrylands"/>
    <n v="724"/>
    <n v="7240"/>
    <s v="Collected"/>
    <m/>
  </r>
  <r>
    <x v="7"/>
    <n v="2"/>
    <x v="18"/>
    <s v="Costco Online"/>
    <n v="1749.99"/>
    <n v="3499.98"/>
    <s v="Delivered 11/04/2024"/>
    <m/>
  </r>
  <r>
    <x v="7"/>
    <n v="2"/>
    <x v="19"/>
    <s v="Costco Online"/>
    <n v="1749.99"/>
    <n v="3499.98"/>
    <s v="Delivered 11/04/2025"/>
    <m/>
  </r>
  <r>
    <x v="7"/>
    <n v="3"/>
    <x v="20"/>
    <s v="Costco Online"/>
    <n v="1749.99"/>
    <n v="5249.97"/>
    <s v="Delivered 11/04/2026"/>
    <m/>
  </r>
  <r>
    <x v="7"/>
    <n v="6"/>
    <x v="21"/>
    <s v="Costco Online"/>
    <n v="1749.99"/>
    <n v="10499.94"/>
    <s v="Delivered 11/04/2027"/>
    <m/>
  </r>
  <r>
    <x v="7"/>
    <n v="5"/>
    <x v="22"/>
    <s v="Costco Online"/>
    <n v="2199"/>
    <n v="10995"/>
    <s v="Delivered 11/04/2028"/>
    <m/>
  </r>
  <r>
    <x v="7"/>
    <n v="1"/>
    <x v="5"/>
    <s v="EB Games North Ryde"/>
    <n v="669"/>
    <n v="669"/>
    <s v="Pending Confirmation"/>
    <m/>
  </r>
  <r>
    <x v="8"/>
    <n v="1"/>
    <x v="23"/>
    <s v="JBHIFI Bankstown"/>
    <n v="449"/>
    <n v="449"/>
    <s v="Collected"/>
    <m/>
  </r>
  <r>
    <x v="8"/>
    <n v="2"/>
    <x v="5"/>
    <s v="JBHIFI Bankstown"/>
    <n v="689"/>
    <n v="1378"/>
    <s v="Pending Collection Parramatta"/>
    <m/>
  </r>
  <r>
    <x v="8"/>
    <n v="8"/>
    <x v="5"/>
    <s v="Big W Bansktown"/>
    <n v="724"/>
    <n v="5792"/>
    <s v="Pending Collection"/>
    <m/>
  </r>
  <r>
    <x v="8"/>
    <n v="5"/>
    <x v="5"/>
    <s v="Big W Winston Hills"/>
    <n v="724"/>
    <n v="3620"/>
    <s v="Collected"/>
    <m/>
  </r>
  <r>
    <x v="9"/>
    <n v="11"/>
    <x v="5"/>
    <s v="Big W Winston Hills"/>
    <n v="724"/>
    <n v="7964"/>
    <s v="Collected"/>
    <m/>
  </r>
  <r>
    <x v="9"/>
    <n v="3"/>
    <x v="24"/>
    <s v="Costco Online"/>
    <n v="2549.9899999999998"/>
    <n v="7649.9699999999993"/>
    <s v="Delivered"/>
    <m/>
  </r>
  <r>
    <x v="9"/>
    <n v="1"/>
    <x v="25"/>
    <s v="Costco Online"/>
    <n v="2549.9899999999998"/>
    <n v="2549.9899999999998"/>
    <s v="Delivered"/>
    <m/>
  </r>
  <r>
    <x v="10"/>
    <n v="1"/>
    <x v="26"/>
    <s v="Harvey Norman Morre Park"/>
    <n v="2299"/>
    <n v="2299"/>
    <s v="Pending Collection"/>
    <s v="10% Gift Card"/>
  </r>
  <r>
    <x v="10"/>
    <n v="1"/>
    <x v="27"/>
    <s v="Harvey Norman Morre Park"/>
    <n v="2299"/>
    <n v="2299"/>
    <s v="Pending Collection"/>
    <s v="10% Gift Card"/>
  </r>
  <r>
    <x v="10"/>
    <n v="1"/>
    <x v="28"/>
    <s v="Harvey Norman Morre Park"/>
    <n v="724"/>
    <n v="724"/>
    <s v="Pending Collection"/>
    <s v="10% Gift Card"/>
  </r>
  <r>
    <x v="10"/>
    <n v="3"/>
    <x v="29"/>
    <s v="Harvey Norman Morre Park"/>
    <n v="328"/>
    <n v="984"/>
    <s v="Pending Collection"/>
    <s v="10% Gift Card"/>
  </r>
  <r>
    <x v="10"/>
    <n v="15"/>
    <x v="27"/>
    <s v="Harvey Norman Broadway"/>
    <n v="2299"/>
    <n v="34485"/>
    <s v="Pending Collection"/>
    <s v="10% Gift Card"/>
  </r>
  <r>
    <x v="10"/>
    <n v="10"/>
    <x v="26"/>
    <s v="Harvey Norman Broadway"/>
    <n v="2299"/>
    <n v="22990"/>
    <s v="Pending Collection"/>
    <s v="10% Gift Card"/>
  </r>
  <r>
    <x v="10"/>
    <n v="5"/>
    <x v="30"/>
    <s v="Harvey Norman Broadway"/>
    <n v="2299"/>
    <n v="11495"/>
    <s v="Pending Collection"/>
    <s v="10% Gift Card"/>
  </r>
  <r>
    <x v="10"/>
    <n v="5"/>
    <x v="31"/>
    <s v="Harvey Norman Broadway"/>
    <n v="2699"/>
    <n v="13495"/>
    <s v="Pending Collection"/>
    <s v="10% Gift Card"/>
  </r>
  <r>
    <x v="10"/>
    <n v="5"/>
    <x v="32"/>
    <s v="Harvey Norman Broadway"/>
    <n v="2699"/>
    <n v="13495"/>
    <s v="Pending Collection"/>
    <s v="10% Gift Card"/>
  </r>
  <r>
    <x v="10"/>
    <n v="2"/>
    <x v="26"/>
    <s v="Harvey Norman Castle Hills"/>
    <n v="2299"/>
    <n v="4598"/>
    <s v="Collected"/>
    <s v="10% Gift Card"/>
  </r>
  <r>
    <x v="10"/>
    <n v="2"/>
    <x v="27"/>
    <s v="Harvey Norman Castle Hills"/>
    <n v="2299"/>
    <n v="4598"/>
    <s v="Collected"/>
    <s v="10% Gift Card"/>
  </r>
  <r>
    <x v="10"/>
    <n v="1"/>
    <x v="31"/>
    <s v="Harvey Norman Castle Hills"/>
    <n v="2699"/>
    <n v="2699"/>
    <s v="Collected"/>
    <s v="10% Gift Card"/>
  </r>
  <r>
    <x v="10"/>
    <n v="2"/>
    <x v="32"/>
    <s v="Harvey Norman Castle Hills"/>
    <n v="2699"/>
    <n v="5398"/>
    <s v="Collected"/>
    <s v="10% Gift Card"/>
  </r>
  <r>
    <x v="10"/>
    <n v="5"/>
    <x v="33"/>
    <s v="Harvey Norman Castle Hills"/>
    <n v="143"/>
    <n v="715"/>
    <s v="Collected"/>
    <s v="10% Gift Card"/>
  </r>
  <r>
    <x v="10"/>
    <n v="6"/>
    <x v="34"/>
    <s v="Harvey Norman Castle Hills"/>
    <n v="30"/>
    <n v="180"/>
    <s v="Collected"/>
    <s v="10% Gift Card"/>
  </r>
  <r>
    <x v="10"/>
    <n v="20"/>
    <x v="34"/>
    <s v="Harvey Norman Castle Hills"/>
    <n v="30"/>
    <n v="600"/>
    <s v="Pending Collection"/>
    <s v="10% Gift Card"/>
  </r>
  <r>
    <x v="10"/>
    <n v="6"/>
    <x v="34"/>
    <s v="Harvey Norman North Ryde"/>
    <n v="30"/>
    <n v="180"/>
    <s v="Collected"/>
    <s v="10% Gift Card"/>
  </r>
  <r>
    <x v="10"/>
    <n v="5"/>
    <x v="28"/>
    <s v="Harvey Norman North Ryde"/>
    <n v="715"/>
    <n v="3575"/>
    <s v="Collected"/>
    <s v="10% Gift Card"/>
  </r>
  <r>
    <x v="10"/>
    <n v="1"/>
    <x v="26"/>
    <s v="Harvey Norman North Ryde"/>
    <n v="2299"/>
    <n v="2299"/>
    <s v="Collected"/>
    <s v="10% Gift Card"/>
  </r>
  <r>
    <x v="10"/>
    <n v="1"/>
    <x v="31"/>
    <s v="Harvey Norman North Ryde"/>
    <n v="2699"/>
    <n v="2699"/>
    <s v="Collected"/>
    <s v="10% Gift Card"/>
  </r>
  <r>
    <x v="11"/>
    <n v="17"/>
    <x v="28"/>
    <s v="Costco Online"/>
    <n v="699.99"/>
    <n v="11899.83"/>
    <s v="Pending Delivery"/>
    <m/>
  </r>
  <r>
    <x v="11"/>
    <n v="1"/>
    <x v="28"/>
    <s v="Costco Online"/>
    <n v="699.99"/>
    <n v="699.99"/>
    <s v="Pending Delivery"/>
    <m/>
  </r>
  <r>
    <x v="11"/>
    <n v="3"/>
    <x v="31"/>
    <s v="Costco Online"/>
    <n v="2549.9899999999998"/>
    <n v="7649.9699999999993"/>
    <s v="Pending Delivery"/>
    <m/>
  </r>
  <r>
    <x v="11"/>
    <n v="2"/>
    <x v="35"/>
    <s v="Costco Online"/>
    <n v="2549.9899999999998"/>
    <n v="5099.9799999999996"/>
    <s v="Pending Delivery"/>
    <m/>
  </r>
  <r>
    <x v="11"/>
    <n v="10"/>
    <x v="5"/>
    <s v="Big W Online "/>
    <n v="724"/>
    <n v="7240"/>
    <s v="Pending Collection Hurstville"/>
    <m/>
  </r>
  <r>
    <x v="11"/>
    <n v="1"/>
    <x v="36"/>
    <s v="Good Guys Blacktown"/>
    <n v="713"/>
    <n v="713"/>
    <s v="Collected"/>
    <m/>
  </r>
  <r>
    <x v="11"/>
    <n v="3"/>
    <x v="37"/>
    <s v="Good Guys Bankstown"/>
    <n v="213"/>
    <n v="639"/>
    <s v="Collected"/>
    <m/>
  </r>
  <r>
    <x v="11"/>
    <n v="2"/>
    <x v="10"/>
    <s v="Good Guys Bankstown"/>
    <n v="87"/>
    <n v="174"/>
    <s v="Collected"/>
    <m/>
  </r>
  <r>
    <x v="11"/>
    <n v="8"/>
    <x v="38"/>
    <s v="Good Guys Bankstown"/>
    <n v="19"/>
    <n v="152"/>
    <s v="Collected"/>
    <m/>
  </r>
  <r>
    <x v="11"/>
    <n v="20"/>
    <x v="34"/>
    <s v="Harvey Norman Morre Park"/>
    <n v="30"/>
    <n v="600"/>
    <s v="Pending Collection"/>
    <s v="10% Gift Card"/>
  </r>
  <r>
    <x v="11"/>
    <n v="3"/>
    <x v="28"/>
    <s v="Harvey Norman Alexandria"/>
    <n v="724"/>
    <n v="2172"/>
    <s v="Pending Collection"/>
    <s v="10% Gift Card"/>
  </r>
  <r>
    <x v="11"/>
    <n v="1"/>
    <x v="39"/>
    <s v="Harvey Norman Blacktown"/>
    <n v="2077"/>
    <n v="2077"/>
    <s v="Collected"/>
    <s v="10% Gift Card"/>
  </r>
  <r>
    <x v="11"/>
    <n v="1"/>
    <x v="31"/>
    <s v="Harvey Norman Blacktown"/>
    <n v="2699"/>
    <n v="2699"/>
    <s v="Collected"/>
    <s v="10% Gift Card"/>
  </r>
  <r>
    <x v="11"/>
    <n v="2"/>
    <x v="29"/>
    <s v="JBHIFI Castle Hills"/>
    <n v="299"/>
    <n v="598"/>
    <s v="Collected"/>
    <s v="10% Gift Card"/>
  </r>
  <r>
    <x v="11"/>
    <n v="12"/>
    <x v="38"/>
    <s v="Good Guys Castle Hills"/>
    <n v="19"/>
    <n v="228"/>
    <m/>
    <m/>
  </r>
  <r>
    <x v="11"/>
    <n v="1"/>
    <x v="37"/>
    <s v="Good Guys Castle Hills"/>
    <n v="213"/>
    <n v="213"/>
    <m/>
    <m/>
  </r>
  <r>
    <x v="11"/>
    <n v="3"/>
    <x v="10"/>
    <s v="Good Guys Castle Hills"/>
    <n v="87"/>
    <n v="261"/>
    <m/>
    <m/>
  </r>
  <r>
    <x v="11"/>
    <n v="5"/>
    <x v="40"/>
    <s v="Harvey Norman Castle Hills"/>
    <n v="2605"/>
    <n v="13025"/>
    <m/>
    <s v="10% Gift Card + $200 Gift Card"/>
  </r>
  <r>
    <x v="11"/>
    <n v="1"/>
    <x v="41"/>
    <s v="Harvey Norman Castle Hills"/>
    <n v="3535"/>
    <n v="3535"/>
    <m/>
    <s v="10% Gift Card + $200 Gift Card"/>
  </r>
  <r>
    <x v="11"/>
    <n v="6"/>
    <x v="42"/>
    <s v="Harvey Norman Castle Hills"/>
    <n v="204"/>
    <n v="1224"/>
    <m/>
    <s v="10% Gift Card"/>
  </r>
  <r>
    <x v="11"/>
    <n v="3"/>
    <x v="43"/>
    <s v="Harvey Norman Castle Hills"/>
    <n v="200"/>
    <n v="600"/>
    <m/>
    <s v="10% Gift Card"/>
  </r>
  <r>
    <x v="11"/>
    <n v="11"/>
    <x v="38"/>
    <s v="Harvey Norman Castle Hills"/>
    <n v="21"/>
    <n v="231"/>
    <m/>
    <s v="10% Gift Card"/>
  </r>
  <r>
    <x v="4"/>
    <m/>
    <x v="44"/>
    <m/>
    <m/>
    <m/>
    <m/>
    <m/>
  </r>
  <r>
    <x v="4"/>
    <m/>
    <x v="44"/>
    <m/>
    <m/>
    <m/>
    <m/>
    <m/>
  </r>
  <r>
    <x v="4"/>
    <m/>
    <x v="44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n v="4"/>
    <x v="0"/>
  </r>
  <r>
    <n v="2"/>
    <x v="1"/>
  </r>
  <r>
    <n v="4"/>
    <x v="2"/>
  </r>
  <r>
    <n v="2"/>
    <x v="1"/>
  </r>
  <r>
    <n v="2"/>
    <x v="3"/>
  </r>
  <r>
    <n v="2"/>
    <x v="4"/>
  </r>
  <r>
    <n v="9"/>
    <x v="5"/>
  </r>
  <r>
    <n v="2"/>
    <x v="6"/>
  </r>
  <r>
    <n v="2"/>
    <x v="2"/>
  </r>
  <r>
    <n v="7"/>
    <x v="7"/>
  </r>
  <r>
    <n v="27"/>
    <x v="8"/>
  </r>
  <r>
    <n v="2"/>
    <x v="9"/>
  </r>
  <r>
    <n v="8"/>
    <x v="10"/>
  </r>
  <r>
    <n v="7"/>
    <x v="5"/>
  </r>
  <r>
    <n v="4"/>
    <x v="8"/>
  </r>
  <r>
    <n v="1"/>
    <x v="7"/>
  </r>
  <r>
    <n v="5"/>
    <x v="11"/>
  </r>
  <r>
    <n v="2"/>
    <x v="4"/>
  </r>
  <r>
    <n v="4"/>
    <x v="9"/>
  </r>
  <r>
    <n v="30"/>
    <x v="7"/>
  </r>
  <r>
    <n v="2"/>
    <x v="6"/>
  </r>
  <r>
    <n v="2"/>
    <x v="12"/>
  </r>
  <r>
    <n v="1"/>
    <x v="1"/>
  </r>
  <r>
    <n v="1"/>
    <x v="6"/>
  </r>
  <r>
    <n v="1"/>
    <x v="9"/>
  </r>
  <r>
    <n v="1"/>
    <x v="13"/>
  </r>
  <r>
    <n v="2"/>
    <x v="14"/>
  </r>
  <r>
    <n v="1"/>
    <x v="15"/>
  </r>
  <r>
    <n v="2"/>
    <x v="16"/>
  </r>
  <r>
    <n v="3"/>
    <x v="14"/>
  </r>
  <r>
    <n v="1"/>
    <x v="17"/>
  </r>
  <r>
    <n v="2"/>
    <x v="7"/>
  </r>
  <r>
    <n v="5"/>
    <x v="0"/>
  </r>
  <r>
    <n v="1"/>
    <x v="18"/>
  </r>
  <r>
    <n v="1"/>
    <x v="19"/>
  </r>
  <r>
    <n v="1"/>
    <x v="12"/>
  </r>
  <r>
    <n v="1"/>
    <x v="20"/>
  </r>
  <r>
    <n v="2"/>
    <x v="0"/>
  </r>
  <r>
    <n v="6"/>
    <x v="21"/>
  </r>
  <r>
    <n v="33"/>
    <x v="22"/>
  </r>
  <r>
    <n v="6"/>
    <x v="22"/>
  </r>
  <r>
    <n v="8"/>
    <x v="22"/>
  </r>
  <r>
    <n v="10"/>
    <x v="22"/>
  </r>
  <r>
    <m/>
    <x v="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8CDC26-7888-4022-A435-C26BDFB55F57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K3:M32" firstHeaderRow="0" firstDataRow="1" firstDataCol="1" rowPageCount="1" colPageCount="1"/>
  <pivotFields count="8">
    <pivotField axis="axisPage" multipleItemSelectionAllowed="1" showAll="0">
      <items count="13">
        <item h="1" x="0"/>
        <item h="1" x="1"/>
        <item h="1" x="2"/>
        <item h="1" x="3"/>
        <item h="1" x="5"/>
        <item h="1" x="6"/>
        <item x="7"/>
        <item x="8"/>
        <item x="9"/>
        <item x="10"/>
        <item x="11"/>
        <item h="1" x="4"/>
        <item t="default"/>
      </items>
    </pivotField>
    <pivotField dataField="1" showAll="0"/>
    <pivotField axis="axisRow" showAll="0">
      <items count="54">
        <item x="40"/>
        <item x="41"/>
        <item x="36"/>
        <item x="34"/>
        <item x="38"/>
        <item x="42"/>
        <item x="43"/>
        <item x="10"/>
        <item x="33"/>
        <item x="4"/>
        <item x="37"/>
        <item x="8"/>
        <item x="13"/>
        <item x="0"/>
        <item x="3"/>
        <item m="1" x="50"/>
        <item m="1" x="49"/>
        <item m="1" x="48"/>
        <item m="1" x="47"/>
        <item m="1" x="46"/>
        <item x="15"/>
        <item x="1"/>
        <item x="11"/>
        <item x="2"/>
        <item x="39"/>
        <item x="26"/>
        <item x="30"/>
        <item x="27"/>
        <item x="31"/>
        <item x="35"/>
        <item m="1" x="45"/>
        <item x="6"/>
        <item x="23"/>
        <item x="7"/>
        <item x="9"/>
        <item x="29"/>
        <item m="1" x="51"/>
        <item m="1" x="52"/>
        <item x="28"/>
        <item x="5"/>
        <item x="14"/>
        <item x="44"/>
        <item x="12"/>
        <item x="16"/>
        <item x="17"/>
        <item x="18"/>
        <item x="19"/>
        <item x="20"/>
        <item x="21"/>
        <item x="22"/>
        <item x="24"/>
        <item x="25"/>
        <item x="32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2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24"/>
    </i>
    <i>
      <x v="25"/>
    </i>
    <i>
      <x v="26"/>
    </i>
    <i>
      <x v="27"/>
    </i>
    <i>
      <x v="28"/>
    </i>
    <i>
      <x v="29"/>
    </i>
    <i>
      <x v="32"/>
    </i>
    <i>
      <x v="35"/>
    </i>
    <i>
      <x v="38"/>
    </i>
    <i>
      <x v="39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Sum of Qty" fld="1" baseField="0" baseItem="0"/>
    <dataField name="Sum of Total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D46CD0-3AB8-4CDC-B956-87B9AD7E756F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rowHeaderCaption="Items">
  <location ref="E1:F25" firstHeaderRow="1" firstDataRow="1" firstDataCol="1"/>
  <pivotFields count="2">
    <pivotField dataField="1" showAll="0"/>
    <pivotField axis="axisRow" showAll="0">
      <items count="26">
        <item m="1" x="24"/>
        <item x="7"/>
        <item x="4"/>
        <item x="18"/>
        <item x="9"/>
        <item x="2"/>
        <item x="10"/>
        <item x="20"/>
        <item x="0"/>
        <item x="1"/>
        <item x="19"/>
        <item x="12"/>
        <item x="16"/>
        <item x="14"/>
        <item x="21"/>
        <item x="11"/>
        <item x="17"/>
        <item x="5"/>
        <item x="6"/>
        <item x="13"/>
        <item x="8"/>
        <item x="15"/>
        <item x="3"/>
        <item x="22"/>
        <item h="1" x="23"/>
        <item t="default"/>
      </items>
    </pivotField>
  </pivotFields>
  <rowFields count="1">
    <field x="1"/>
  </rowFields>
  <rowItems count="24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Qty" fld="0" baseField="1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6B308-AC8E-4EA6-88E6-4FA3FB60CEAC}">
  <dimension ref="A1:F29"/>
  <sheetViews>
    <sheetView topLeftCell="A10" workbookViewId="0">
      <selection activeCell="B34" sqref="B34"/>
    </sheetView>
  </sheetViews>
  <sheetFormatPr defaultRowHeight="14.4" x14ac:dyDescent="0.3"/>
  <cols>
    <col min="1" max="1" width="14.6640625" bestFit="1" customWidth="1"/>
    <col min="2" max="2" width="18.5546875" bestFit="1" customWidth="1"/>
    <col min="3" max="3" width="16.109375" bestFit="1" customWidth="1"/>
    <col min="4" max="4" width="19.88671875" bestFit="1" customWidth="1"/>
    <col min="5" max="5" width="10.5546875" bestFit="1" customWidth="1"/>
    <col min="6" max="6" width="25.88671875" bestFit="1" customWidth="1"/>
  </cols>
  <sheetData>
    <row r="1" spans="1:6" x14ac:dyDescent="0.3">
      <c r="A1" t="s">
        <v>54</v>
      </c>
    </row>
    <row r="2" spans="1:6" x14ac:dyDescent="0.3">
      <c r="A2" t="s">
        <v>47</v>
      </c>
      <c r="B2" t="s">
        <v>48</v>
      </c>
      <c r="F2" t="s">
        <v>53</v>
      </c>
    </row>
    <row r="3" spans="1:6" x14ac:dyDescent="0.3">
      <c r="A3">
        <v>2</v>
      </c>
      <c r="B3" t="s">
        <v>46</v>
      </c>
      <c r="C3" t="s">
        <v>38</v>
      </c>
      <c r="F3" t="s">
        <v>51</v>
      </c>
    </row>
    <row r="4" spans="1:6" x14ac:dyDescent="0.3">
      <c r="A4">
        <v>6</v>
      </c>
      <c r="B4" t="s">
        <v>45</v>
      </c>
      <c r="C4" t="s">
        <v>38</v>
      </c>
      <c r="F4" t="s">
        <v>52</v>
      </c>
    </row>
    <row r="5" spans="1:6" x14ac:dyDescent="0.3">
      <c r="A5">
        <v>4</v>
      </c>
      <c r="B5" t="s">
        <v>44</v>
      </c>
      <c r="C5" t="s">
        <v>38</v>
      </c>
    </row>
    <row r="6" spans="1:6" x14ac:dyDescent="0.3">
      <c r="A6">
        <v>4</v>
      </c>
      <c r="B6" t="s">
        <v>43</v>
      </c>
      <c r="C6" t="s">
        <v>38</v>
      </c>
    </row>
    <row r="7" spans="1:6" x14ac:dyDescent="0.3">
      <c r="A7">
        <v>2</v>
      </c>
      <c r="B7" t="s">
        <v>42</v>
      </c>
      <c r="C7" t="s">
        <v>40</v>
      </c>
    </row>
    <row r="8" spans="1:6" x14ac:dyDescent="0.3">
      <c r="A8">
        <v>1</v>
      </c>
      <c r="B8" t="s">
        <v>41</v>
      </c>
      <c r="C8" t="s">
        <v>40</v>
      </c>
    </row>
    <row r="9" spans="1:6" x14ac:dyDescent="0.3">
      <c r="A9">
        <v>2</v>
      </c>
      <c r="B9" t="s">
        <v>39</v>
      </c>
      <c r="C9" t="s">
        <v>38</v>
      </c>
      <c r="D9" t="s">
        <v>37</v>
      </c>
      <c r="E9" s="6">
        <v>45742</v>
      </c>
      <c r="F9" t="s">
        <v>49</v>
      </c>
    </row>
    <row r="10" spans="1:6" x14ac:dyDescent="0.3">
      <c r="A10" s="1">
        <v>2</v>
      </c>
      <c r="B10" s="2" t="s">
        <v>31</v>
      </c>
      <c r="C10" s="2" t="s">
        <v>30</v>
      </c>
      <c r="D10" s="3">
        <v>220</v>
      </c>
      <c r="E10" s="3">
        <f t="shared" ref="E10:E15" si="0">(A10*D10)</f>
        <v>440</v>
      </c>
      <c r="F10" s="2" t="s">
        <v>36</v>
      </c>
    </row>
    <row r="11" spans="1:6" x14ac:dyDescent="0.3">
      <c r="A11" s="1">
        <v>2</v>
      </c>
      <c r="B11" s="2" t="s">
        <v>31</v>
      </c>
      <c r="C11" s="2" t="s">
        <v>30</v>
      </c>
      <c r="D11" s="3">
        <v>220</v>
      </c>
      <c r="E11" s="3">
        <f t="shared" si="0"/>
        <v>440</v>
      </c>
      <c r="F11" s="2" t="s">
        <v>12</v>
      </c>
    </row>
    <row r="12" spans="1:6" x14ac:dyDescent="0.3">
      <c r="A12" s="1">
        <v>2</v>
      </c>
      <c r="B12" s="2" t="s">
        <v>32</v>
      </c>
      <c r="C12" s="2" t="s">
        <v>30</v>
      </c>
      <c r="D12" s="3">
        <v>89</v>
      </c>
      <c r="E12" s="3">
        <f t="shared" si="0"/>
        <v>178</v>
      </c>
      <c r="F12" s="2" t="s">
        <v>12</v>
      </c>
    </row>
    <row r="13" spans="1:6" x14ac:dyDescent="0.3">
      <c r="A13" s="1">
        <v>1</v>
      </c>
      <c r="B13" s="2" t="s">
        <v>33</v>
      </c>
      <c r="C13" s="2" t="s">
        <v>30</v>
      </c>
      <c r="D13" s="3">
        <v>89</v>
      </c>
      <c r="E13" s="3">
        <f t="shared" si="0"/>
        <v>89</v>
      </c>
      <c r="F13" s="2" t="s">
        <v>12</v>
      </c>
    </row>
    <row r="14" spans="1:6" x14ac:dyDescent="0.3">
      <c r="A14" s="1">
        <v>1</v>
      </c>
      <c r="B14" s="2" t="s">
        <v>6</v>
      </c>
      <c r="C14" s="2" t="s">
        <v>10</v>
      </c>
      <c r="D14" s="3">
        <v>669</v>
      </c>
      <c r="E14" s="3">
        <f t="shared" si="0"/>
        <v>669</v>
      </c>
      <c r="F14" s="2" t="s">
        <v>11</v>
      </c>
    </row>
    <row r="15" spans="1:6" x14ac:dyDescent="0.3">
      <c r="A15" s="1">
        <v>1</v>
      </c>
      <c r="B15" s="2" t="s">
        <v>6</v>
      </c>
      <c r="C15" s="2" t="s">
        <v>10</v>
      </c>
      <c r="D15" s="3">
        <v>669</v>
      </c>
      <c r="E15" s="3">
        <f t="shared" si="0"/>
        <v>669</v>
      </c>
      <c r="F15" s="2" t="s">
        <v>12</v>
      </c>
    </row>
    <row r="17" spans="1:6" x14ac:dyDescent="0.3">
      <c r="A17" s="6">
        <v>45381</v>
      </c>
    </row>
    <row r="18" spans="1:6" x14ac:dyDescent="0.3">
      <c r="A18">
        <v>4</v>
      </c>
      <c r="B18" t="s">
        <v>45</v>
      </c>
      <c r="C18" t="s">
        <v>38</v>
      </c>
    </row>
    <row r="19" spans="1:6" x14ac:dyDescent="0.3">
      <c r="A19">
        <v>4</v>
      </c>
      <c r="B19" t="s">
        <v>44</v>
      </c>
      <c r="C19" t="s">
        <v>38</v>
      </c>
    </row>
    <row r="20" spans="1:6" x14ac:dyDescent="0.3">
      <c r="A20">
        <v>4</v>
      </c>
      <c r="B20" t="s">
        <v>43</v>
      </c>
      <c r="C20" t="s">
        <v>38</v>
      </c>
    </row>
    <row r="21" spans="1:6" x14ac:dyDescent="0.3">
      <c r="A21">
        <v>2</v>
      </c>
      <c r="B21" t="s">
        <v>42</v>
      </c>
      <c r="C21" t="s">
        <v>40</v>
      </c>
    </row>
    <row r="22" spans="1:6" x14ac:dyDescent="0.3">
      <c r="A22">
        <v>1</v>
      </c>
      <c r="B22" t="s">
        <v>41</v>
      </c>
      <c r="C22" t="s">
        <v>40</v>
      </c>
    </row>
    <row r="23" spans="1:6" x14ac:dyDescent="0.3">
      <c r="A23">
        <v>2</v>
      </c>
      <c r="B23" t="s">
        <v>39</v>
      </c>
      <c r="C23" t="s">
        <v>38</v>
      </c>
      <c r="D23" t="s">
        <v>37</v>
      </c>
      <c r="E23" s="6">
        <v>45742</v>
      </c>
      <c r="F23" t="s">
        <v>49</v>
      </c>
    </row>
    <row r="24" spans="1:6" x14ac:dyDescent="0.3">
      <c r="A24" s="1">
        <v>2</v>
      </c>
      <c r="B24" s="2" t="s">
        <v>31</v>
      </c>
      <c r="C24" s="2" t="s">
        <v>30</v>
      </c>
      <c r="D24" s="3">
        <v>220</v>
      </c>
      <c r="E24" s="3">
        <f t="shared" ref="E24:E29" si="1">(A24*D24)</f>
        <v>440</v>
      </c>
      <c r="F24" s="2" t="s">
        <v>36</v>
      </c>
    </row>
    <row r="25" spans="1:6" x14ac:dyDescent="0.3">
      <c r="A25" s="1">
        <v>2</v>
      </c>
      <c r="B25" s="2" t="s">
        <v>31</v>
      </c>
      <c r="C25" s="2" t="s">
        <v>30</v>
      </c>
      <c r="D25" s="3">
        <v>220</v>
      </c>
      <c r="E25" s="3">
        <f t="shared" si="1"/>
        <v>440</v>
      </c>
      <c r="F25" s="2" t="s">
        <v>12</v>
      </c>
    </row>
    <row r="26" spans="1:6" x14ac:dyDescent="0.3">
      <c r="A26" s="1">
        <v>2</v>
      </c>
      <c r="B26" s="2" t="s">
        <v>32</v>
      </c>
      <c r="C26" s="2" t="s">
        <v>30</v>
      </c>
      <c r="D26" s="3">
        <v>89</v>
      </c>
      <c r="E26" s="3">
        <f t="shared" si="1"/>
        <v>178</v>
      </c>
      <c r="F26" s="2" t="s">
        <v>12</v>
      </c>
    </row>
    <row r="27" spans="1:6" x14ac:dyDescent="0.3">
      <c r="A27" s="1">
        <v>1</v>
      </c>
      <c r="B27" s="2" t="s">
        <v>33</v>
      </c>
      <c r="C27" s="2" t="s">
        <v>30</v>
      </c>
      <c r="D27" s="3">
        <v>89</v>
      </c>
      <c r="E27" s="3">
        <f t="shared" si="1"/>
        <v>89</v>
      </c>
      <c r="F27" s="2" t="s">
        <v>12</v>
      </c>
    </row>
    <row r="28" spans="1:6" x14ac:dyDescent="0.3">
      <c r="A28" s="1">
        <v>1</v>
      </c>
      <c r="B28" s="2" t="s">
        <v>6</v>
      </c>
      <c r="C28" s="2" t="s">
        <v>10</v>
      </c>
      <c r="D28" s="3">
        <v>669</v>
      </c>
      <c r="E28" s="3">
        <f t="shared" si="1"/>
        <v>669</v>
      </c>
      <c r="F28" s="2" t="s">
        <v>11</v>
      </c>
    </row>
    <row r="29" spans="1:6" x14ac:dyDescent="0.3">
      <c r="A29" s="1">
        <v>1</v>
      </c>
      <c r="B29" s="2" t="s">
        <v>6</v>
      </c>
      <c r="C29" s="2" t="s">
        <v>10</v>
      </c>
      <c r="D29" s="3">
        <v>669</v>
      </c>
      <c r="E29" s="3">
        <f t="shared" si="1"/>
        <v>669</v>
      </c>
      <c r="F29" s="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43748-E6CA-4C09-ADC4-E9C94C19C6E7}">
  <dimension ref="A1:J39"/>
  <sheetViews>
    <sheetView topLeftCell="A16" workbookViewId="0">
      <selection activeCell="C41" sqref="C41"/>
    </sheetView>
  </sheetViews>
  <sheetFormatPr defaultRowHeight="14.4" x14ac:dyDescent="0.3"/>
  <cols>
    <col min="1" max="1" width="10.5546875" bestFit="1" customWidth="1"/>
    <col min="3" max="3" width="30.33203125" bestFit="1" customWidth="1"/>
    <col min="4" max="4" width="25" bestFit="1" customWidth="1"/>
    <col min="5" max="5" width="9" bestFit="1" customWidth="1"/>
    <col min="6" max="6" width="10" bestFit="1" customWidth="1"/>
    <col min="7" max="7" width="31.5546875" bestFit="1" customWidth="1"/>
    <col min="9" max="9" width="36.33203125" bestFit="1" customWidth="1"/>
    <col min="10" max="10" width="10.44140625" bestFit="1" customWidth="1"/>
  </cols>
  <sheetData>
    <row r="1" spans="1:10" x14ac:dyDescent="0.3">
      <c r="A1" t="s">
        <v>65</v>
      </c>
      <c r="B1" s="4" t="s">
        <v>0</v>
      </c>
      <c r="C1" s="5" t="s">
        <v>1</v>
      </c>
      <c r="D1" s="4" t="s">
        <v>2</v>
      </c>
      <c r="E1" s="4" t="s">
        <v>3</v>
      </c>
      <c r="F1" s="4" t="s">
        <v>4</v>
      </c>
      <c r="G1" s="4" t="s">
        <v>5</v>
      </c>
      <c r="I1" s="13" t="s">
        <v>79</v>
      </c>
      <c r="J1" t="s">
        <v>82</v>
      </c>
    </row>
    <row r="2" spans="1:10" x14ac:dyDescent="0.3">
      <c r="A2" s="6">
        <v>45742</v>
      </c>
      <c r="B2" s="1">
        <v>1</v>
      </c>
      <c r="C2" s="2" t="s">
        <v>6</v>
      </c>
      <c r="D2" s="2" t="s">
        <v>7</v>
      </c>
      <c r="E2" s="3">
        <v>699</v>
      </c>
      <c r="F2" s="3">
        <f>(B2*E2)</f>
        <v>699</v>
      </c>
      <c r="G2" s="2" t="s">
        <v>8</v>
      </c>
      <c r="I2" s="14" t="s">
        <v>18</v>
      </c>
      <c r="J2">
        <v>2</v>
      </c>
    </row>
    <row r="3" spans="1:10" x14ac:dyDescent="0.3">
      <c r="A3" s="6">
        <v>45742</v>
      </c>
      <c r="B3" s="1">
        <v>1</v>
      </c>
      <c r="C3" s="2" t="s">
        <v>9</v>
      </c>
      <c r="D3" s="2" t="s">
        <v>7</v>
      </c>
      <c r="E3" s="3">
        <v>2149</v>
      </c>
      <c r="F3" s="3">
        <f t="shared" ref="F3:F19" si="0">(B3*E3)</f>
        <v>2149</v>
      </c>
      <c r="G3" s="2" t="s">
        <v>8</v>
      </c>
      <c r="I3" s="14" t="s">
        <v>17</v>
      </c>
      <c r="J3">
        <v>23</v>
      </c>
    </row>
    <row r="4" spans="1:10" x14ac:dyDescent="0.3">
      <c r="A4" s="6">
        <v>45742</v>
      </c>
      <c r="B4" s="1">
        <v>1</v>
      </c>
      <c r="C4" s="2" t="s">
        <v>6</v>
      </c>
      <c r="D4" s="2" t="s">
        <v>10</v>
      </c>
      <c r="E4" s="3">
        <v>669</v>
      </c>
      <c r="F4" s="3">
        <f t="shared" si="0"/>
        <v>669</v>
      </c>
      <c r="G4" s="2" t="s">
        <v>109</v>
      </c>
      <c r="I4" s="14" t="s">
        <v>9</v>
      </c>
      <c r="J4">
        <v>6</v>
      </c>
    </row>
    <row r="5" spans="1:10" x14ac:dyDescent="0.3">
      <c r="A5" s="6">
        <v>45742</v>
      </c>
      <c r="B5" s="1">
        <v>1</v>
      </c>
      <c r="C5" s="2" t="s">
        <v>6</v>
      </c>
      <c r="D5" s="2" t="s">
        <v>10</v>
      </c>
      <c r="E5" s="3">
        <v>669</v>
      </c>
      <c r="F5" s="3">
        <f t="shared" si="0"/>
        <v>669</v>
      </c>
      <c r="G5" s="2" t="s">
        <v>90</v>
      </c>
      <c r="I5" s="14" t="s">
        <v>13</v>
      </c>
      <c r="J5">
        <v>5</v>
      </c>
    </row>
    <row r="6" spans="1:10" x14ac:dyDescent="0.3">
      <c r="A6" s="6">
        <v>45742</v>
      </c>
      <c r="B6" s="1">
        <v>5</v>
      </c>
      <c r="C6" s="2" t="s">
        <v>13</v>
      </c>
      <c r="D6" s="2" t="s">
        <v>14</v>
      </c>
      <c r="E6" s="3">
        <v>2199.9899999999998</v>
      </c>
      <c r="F6" s="3">
        <f t="shared" si="0"/>
        <v>10999.949999999999</v>
      </c>
      <c r="G6" s="2" t="s">
        <v>15</v>
      </c>
      <c r="I6" s="14" t="s">
        <v>26</v>
      </c>
      <c r="J6">
        <v>2</v>
      </c>
    </row>
    <row r="7" spans="1:10" x14ac:dyDescent="0.3">
      <c r="A7" s="6">
        <v>45742</v>
      </c>
      <c r="B7" s="1">
        <v>1</v>
      </c>
      <c r="C7" s="2" t="s">
        <v>9</v>
      </c>
      <c r="D7" s="2" t="s">
        <v>16</v>
      </c>
      <c r="E7" s="3">
        <v>2089.9899999999998</v>
      </c>
      <c r="F7" s="3">
        <f t="shared" si="0"/>
        <v>2089.9899999999998</v>
      </c>
      <c r="G7" s="2" t="s">
        <v>8</v>
      </c>
      <c r="I7" s="14" t="s">
        <v>56</v>
      </c>
      <c r="J7">
        <v>4</v>
      </c>
    </row>
    <row r="8" spans="1:10" x14ac:dyDescent="0.3">
      <c r="A8" s="6">
        <v>45742</v>
      </c>
      <c r="B8" s="1">
        <v>1</v>
      </c>
      <c r="C8" s="2" t="s">
        <v>17</v>
      </c>
      <c r="D8" s="2" t="s">
        <v>16</v>
      </c>
      <c r="E8" s="3">
        <v>2089.9899999999998</v>
      </c>
      <c r="F8" s="3">
        <f t="shared" si="0"/>
        <v>2089.9899999999998</v>
      </c>
      <c r="G8" s="2" t="s">
        <v>8</v>
      </c>
      <c r="I8" s="14" t="s">
        <v>29</v>
      </c>
      <c r="J8">
        <v>3</v>
      </c>
    </row>
    <row r="9" spans="1:10" x14ac:dyDescent="0.3">
      <c r="A9" s="6">
        <v>45742</v>
      </c>
      <c r="B9" s="1">
        <v>2</v>
      </c>
      <c r="C9" s="2" t="s">
        <v>18</v>
      </c>
      <c r="D9" s="2" t="s">
        <v>19</v>
      </c>
      <c r="E9" s="3">
        <v>1880.99</v>
      </c>
      <c r="F9" s="3">
        <f t="shared" si="0"/>
        <v>3761.98</v>
      </c>
      <c r="G9" s="2" t="s">
        <v>8</v>
      </c>
      <c r="I9" s="14" t="s">
        <v>60</v>
      </c>
      <c r="J9">
        <v>10</v>
      </c>
    </row>
    <row r="10" spans="1:10" x14ac:dyDescent="0.3">
      <c r="A10" s="6">
        <v>45742</v>
      </c>
      <c r="B10" s="1">
        <v>2</v>
      </c>
      <c r="C10" s="2" t="s">
        <v>17</v>
      </c>
      <c r="D10" s="2" t="s">
        <v>19</v>
      </c>
      <c r="E10" s="3">
        <v>2089.4899999999998</v>
      </c>
      <c r="F10" s="3">
        <f t="shared" si="0"/>
        <v>4178.9799999999996</v>
      </c>
      <c r="G10" s="2" t="s">
        <v>8</v>
      </c>
      <c r="I10" s="14" t="s">
        <v>33</v>
      </c>
      <c r="J10">
        <v>3</v>
      </c>
    </row>
    <row r="11" spans="1:10" x14ac:dyDescent="0.3">
      <c r="A11" s="6">
        <v>45742</v>
      </c>
      <c r="B11" s="1">
        <v>2</v>
      </c>
      <c r="C11" s="2" t="s">
        <v>17</v>
      </c>
      <c r="D11" s="2" t="s">
        <v>20</v>
      </c>
      <c r="E11" s="3">
        <v>2089.4899999999998</v>
      </c>
      <c r="F11" s="3">
        <f t="shared" si="0"/>
        <v>4178.9799999999996</v>
      </c>
      <c r="G11" s="2" t="s">
        <v>57</v>
      </c>
      <c r="I11" s="14" t="s">
        <v>32</v>
      </c>
      <c r="J11">
        <v>4</v>
      </c>
    </row>
    <row r="12" spans="1:10" x14ac:dyDescent="0.3">
      <c r="A12" s="6">
        <v>45742</v>
      </c>
      <c r="B12" s="1">
        <v>2</v>
      </c>
      <c r="C12" s="2" t="s">
        <v>17</v>
      </c>
      <c r="D12" s="2" t="s">
        <v>21</v>
      </c>
      <c r="E12" s="3">
        <v>2089.4899999999998</v>
      </c>
      <c r="F12" s="3">
        <f t="shared" si="0"/>
        <v>4178.9799999999996</v>
      </c>
      <c r="G12" s="2" t="s">
        <v>22</v>
      </c>
      <c r="I12" s="14" t="s">
        <v>34</v>
      </c>
      <c r="J12">
        <v>2</v>
      </c>
    </row>
    <row r="13" spans="1:10" x14ac:dyDescent="0.3">
      <c r="A13" s="6">
        <v>45742</v>
      </c>
      <c r="B13" s="1">
        <v>2</v>
      </c>
      <c r="C13" s="2" t="s">
        <v>17</v>
      </c>
      <c r="D13" s="2" t="s">
        <v>23</v>
      </c>
      <c r="E13" s="3">
        <v>2089.4899999999998</v>
      </c>
      <c r="F13" s="3">
        <f t="shared" si="0"/>
        <v>4178.9799999999996</v>
      </c>
      <c r="G13" s="2" t="s">
        <v>8</v>
      </c>
      <c r="I13" s="14" t="s">
        <v>31</v>
      </c>
      <c r="J13">
        <v>16</v>
      </c>
    </row>
    <row r="14" spans="1:10" x14ac:dyDescent="0.3">
      <c r="A14" s="6">
        <v>45743</v>
      </c>
      <c r="B14" s="1">
        <v>2</v>
      </c>
      <c r="C14" s="2" t="s">
        <v>17</v>
      </c>
      <c r="D14" s="2" t="s">
        <v>19</v>
      </c>
      <c r="E14" s="3">
        <v>2089.4899999999998</v>
      </c>
      <c r="F14" s="3">
        <f t="shared" si="0"/>
        <v>4178.9799999999996</v>
      </c>
      <c r="G14" s="2" t="s">
        <v>58</v>
      </c>
      <c r="I14" s="14" t="s">
        <v>35</v>
      </c>
      <c r="J14">
        <v>2</v>
      </c>
    </row>
    <row r="15" spans="1:10" x14ac:dyDescent="0.3">
      <c r="A15" s="6">
        <v>45743</v>
      </c>
      <c r="B15" s="1">
        <v>2</v>
      </c>
      <c r="C15" s="2" t="s">
        <v>17</v>
      </c>
      <c r="D15" s="2" t="s">
        <v>23</v>
      </c>
      <c r="E15" s="3">
        <v>2089.4899999999998</v>
      </c>
      <c r="F15" s="3">
        <f t="shared" si="0"/>
        <v>4178.9799999999996</v>
      </c>
      <c r="G15" s="2" t="s">
        <v>58</v>
      </c>
      <c r="I15" s="14" t="s">
        <v>6</v>
      </c>
      <c r="J15">
        <v>4</v>
      </c>
    </row>
    <row r="16" spans="1:10" x14ac:dyDescent="0.3">
      <c r="A16" s="6">
        <v>45743</v>
      </c>
      <c r="B16" s="1">
        <v>2</v>
      </c>
      <c r="C16" s="2" t="s">
        <v>9</v>
      </c>
      <c r="D16" s="2" t="s">
        <v>23</v>
      </c>
      <c r="E16" s="3">
        <v>2089.4899999999998</v>
      </c>
      <c r="F16" s="3">
        <f t="shared" si="0"/>
        <v>4178.9799999999996</v>
      </c>
      <c r="G16" s="2" t="s">
        <v>58</v>
      </c>
      <c r="I16" s="14" t="s">
        <v>80</v>
      </c>
    </row>
    <row r="17" spans="1:10" x14ac:dyDescent="0.3">
      <c r="A17" s="6">
        <v>45743</v>
      </c>
      <c r="B17" s="1">
        <v>2</v>
      </c>
      <c r="C17" s="2" t="s">
        <v>9</v>
      </c>
      <c r="D17" s="2" t="s">
        <v>25</v>
      </c>
      <c r="E17" s="3">
        <v>2089.4899999999998</v>
      </c>
      <c r="F17" s="3">
        <f t="shared" si="0"/>
        <v>4178.9799999999996</v>
      </c>
      <c r="G17" s="2" t="s">
        <v>58</v>
      </c>
      <c r="I17" s="14" t="s">
        <v>81</v>
      </c>
      <c r="J17">
        <v>86</v>
      </c>
    </row>
    <row r="18" spans="1:10" x14ac:dyDescent="0.3">
      <c r="A18" s="6">
        <v>45743</v>
      </c>
      <c r="B18" s="1">
        <v>2</v>
      </c>
      <c r="C18" s="2" t="s">
        <v>17</v>
      </c>
      <c r="D18" s="2" t="s">
        <v>25</v>
      </c>
      <c r="E18" s="3">
        <v>2089.4899999999998</v>
      </c>
      <c r="F18" s="3">
        <f t="shared" si="0"/>
        <v>4178.9799999999996</v>
      </c>
      <c r="G18" s="2" t="s">
        <v>58</v>
      </c>
    </row>
    <row r="19" spans="1:10" x14ac:dyDescent="0.3">
      <c r="A19" s="6">
        <v>45743</v>
      </c>
      <c r="B19" s="1">
        <v>2</v>
      </c>
      <c r="C19" s="2" t="s">
        <v>26</v>
      </c>
      <c r="D19" s="2" t="s">
        <v>27</v>
      </c>
      <c r="E19" s="3">
        <v>2204</v>
      </c>
      <c r="F19" s="3">
        <f t="shared" si="0"/>
        <v>4408</v>
      </c>
      <c r="G19" s="2" t="s">
        <v>58</v>
      </c>
    </row>
    <row r="20" spans="1:10" x14ac:dyDescent="0.3">
      <c r="A20" s="6">
        <v>45744</v>
      </c>
      <c r="B20" s="1">
        <v>2</v>
      </c>
      <c r="C20" s="2" t="s">
        <v>17</v>
      </c>
      <c r="D20" s="2" t="s">
        <v>28</v>
      </c>
      <c r="E20" s="3">
        <v>2089.4899999999998</v>
      </c>
      <c r="F20" s="3">
        <v>4178.9799999999996</v>
      </c>
      <c r="G20" s="2" t="s">
        <v>78</v>
      </c>
    </row>
    <row r="21" spans="1:10" x14ac:dyDescent="0.3">
      <c r="A21" s="6">
        <v>45744</v>
      </c>
      <c r="B21" s="1">
        <v>1</v>
      </c>
      <c r="C21" s="2" t="s">
        <v>29</v>
      </c>
      <c r="D21" s="2" t="s">
        <v>30</v>
      </c>
      <c r="E21" s="3">
        <v>2204</v>
      </c>
      <c r="F21" s="3">
        <f>(B21*E21)</f>
        <v>2204</v>
      </c>
      <c r="G21" s="2" t="s">
        <v>90</v>
      </c>
    </row>
    <row r="22" spans="1:10" x14ac:dyDescent="0.3">
      <c r="A22" s="6">
        <v>45744</v>
      </c>
      <c r="B22" s="1">
        <v>2</v>
      </c>
      <c r="C22" s="2" t="s">
        <v>31</v>
      </c>
      <c r="D22" s="2" t="s">
        <v>30</v>
      </c>
      <c r="E22" s="3">
        <v>220</v>
      </c>
      <c r="F22" s="3">
        <f t="shared" ref="F22:F30" si="1">(B22*E22)</f>
        <v>440</v>
      </c>
      <c r="G22" s="2" t="s">
        <v>8</v>
      </c>
    </row>
    <row r="23" spans="1:10" x14ac:dyDescent="0.3">
      <c r="A23" s="6">
        <v>45744</v>
      </c>
      <c r="B23" s="1">
        <v>2</v>
      </c>
      <c r="C23" s="2" t="s">
        <v>32</v>
      </c>
      <c r="D23" s="2" t="s">
        <v>30</v>
      </c>
      <c r="E23" s="3">
        <v>89</v>
      </c>
      <c r="F23" s="3">
        <f t="shared" si="1"/>
        <v>178</v>
      </c>
      <c r="G23" s="2" t="s">
        <v>8</v>
      </c>
    </row>
    <row r="24" spans="1:10" x14ac:dyDescent="0.3">
      <c r="A24" s="6">
        <v>45744</v>
      </c>
      <c r="B24" s="1">
        <v>2</v>
      </c>
      <c r="C24" s="2" t="s">
        <v>33</v>
      </c>
      <c r="D24" s="2" t="s">
        <v>30</v>
      </c>
      <c r="E24" s="3">
        <v>89</v>
      </c>
      <c r="F24" s="3">
        <f t="shared" si="1"/>
        <v>178</v>
      </c>
      <c r="G24" s="2" t="s">
        <v>8</v>
      </c>
    </row>
    <row r="25" spans="1:10" x14ac:dyDescent="0.3">
      <c r="A25" s="6">
        <v>45744</v>
      </c>
      <c r="B25" s="1">
        <v>2</v>
      </c>
      <c r="C25" s="2" t="s">
        <v>34</v>
      </c>
      <c r="D25" s="2" t="s">
        <v>30</v>
      </c>
      <c r="E25" s="3">
        <v>89</v>
      </c>
      <c r="F25" s="3">
        <f t="shared" si="1"/>
        <v>178</v>
      </c>
      <c r="G25" s="2" t="s">
        <v>8</v>
      </c>
    </row>
    <row r="26" spans="1:10" x14ac:dyDescent="0.3">
      <c r="A26" s="6">
        <v>45744</v>
      </c>
      <c r="B26" s="1">
        <v>2</v>
      </c>
      <c r="C26" s="2" t="s">
        <v>35</v>
      </c>
      <c r="D26" s="2" t="s">
        <v>30</v>
      </c>
      <c r="E26" s="3">
        <v>55</v>
      </c>
      <c r="F26" s="3">
        <f t="shared" si="1"/>
        <v>110</v>
      </c>
      <c r="G26" s="2" t="s">
        <v>8</v>
      </c>
    </row>
    <row r="27" spans="1:10" x14ac:dyDescent="0.3">
      <c r="A27" s="6">
        <v>45744</v>
      </c>
      <c r="B27" s="1">
        <v>2</v>
      </c>
      <c r="C27" s="2" t="s">
        <v>31</v>
      </c>
      <c r="D27" s="2" t="s">
        <v>30</v>
      </c>
      <c r="E27" s="3">
        <v>220</v>
      </c>
      <c r="F27" s="3">
        <f t="shared" si="1"/>
        <v>440</v>
      </c>
      <c r="G27" s="2" t="s">
        <v>58</v>
      </c>
    </row>
    <row r="28" spans="1:10" x14ac:dyDescent="0.3">
      <c r="A28" s="6">
        <v>45744</v>
      </c>
      <c r="B28" s="1">
        <v>2</v>
      </c>
      <c r="C28" s="2" t="s">
        <v>31</v>
      </c>
      <c r="D28" s="2" t="s">
        <v>30</v>
      </c>
      <c r="E28" s="3">
        <v>220</v>
      </c>
      <c r="F28" s="3">
        <f t="shared" si="1"/>
        <v>440</v>
      </c>
      <c r="G28" s="2" t="s">
        <v>90</v>
      </c>
    </row>
    <row r="29" spans="1:10" x14ac:dyDescent="0.3">
      <c r="A29" s="6">
        <v>45744</v>
      </c>
      <c r="B29" s="1">
        <v>2</v>
      </c>
      <c r="C29" s="2" t="s">
        <v>32</v>
      </c>
      <c r="D29" s="2" t="s">
        <v>30</v>
      </c>
      <c r="E29" s="3">
        <v>89</v>
      </c>
      <c r="F29" s="3">
        <f t="shared" si="1"/>
        <v>178</v>
      </c>
      <c r="G29" s="2" t="s">
        <v>90</v>
      </c>
    </row>
    <row r="30" spans="1:10" x14ac:dyDescent="0.3">
      <c r="A30" s="6">
        <v>45744</v>
      </c>
      <c r="B30" s="1">
        <v>1</v>
      </c>
      <c r="C30" s="2" t="s">
        <v>33</v>
      </c>
      <c r="D30" s="2" t="s">
        <v>30</v>
      </c>
      <c r="E30" s="3">
        <v>89</v>
      </c>
      <c r="F30" s="3">
        <f t="shared" si="1"/>
        <v>89</v>
      </c>
      <c r="G30" s="2" t="s">
        <v>90</v>
      </c>
    </row>
    <row r="31" spans="1:10" x14ac:dyDescent="0.3">
      <c r="A31" s="6">
        <v>45745</v>
      </c>
      <c r="B31" s="1">
        <v>2</v>
      </c>
      <c r="C31" s="2" t="s">
        <v>17</v>
      </c>
      <c r="D31" s="2" t="s">
        <v>28</v>
      </c>
      <c r="E31" s="3">
        <v>2089.4899999999998</v>
      </c>
      <c r="F31" s="3">
        <v>4178.9799999999996</v>
      </c>
      <c r="G31" s="2" t="s">
        <v>78</v>
      </c>
    </row>
    <row r="32" spans="1:10" x14ac:dyDescent="0.3">
      <c r="A32" s="6">
        <v>45745</v>
      </c>
      <c r="B32" s="1">
        <v>2</v>
      </c>
      <c r="C32" s="2" t="s">
        <v>29</v>
      </c>
      <c r="D32" s="2" t="s">
        <v>50</v>
      </c>
      <c r="E32" s="3">
        <v>2204</v>
      </c>
      <c r="F32" s="3">
        <f t="shared" ref="F32:F39" si="2">(B32*E32)</f>
        <v>4408</v>
      </c>
      <c r="G32" s="2" t="s">
        <v>57</v>
      </c>
    </row>
    <row r="33" spans="1:7" x14ac:dyDescent="0.3">
      <c r="A33" s="6">
        <v>45745</v>
      </c>
      <c r="B33" s="1">
        <v>1</v>
      </c>
      <c r="C33" s="2" t="s">
        <v>6</v>
      </c>
      <c r="D33" s="2" t="s">
        <v>10</v>
      </c>
      <c r="E33" s="3">
        <v>669</v>
      </c>
      <c r="F33" s="3">
        <f t="shared" si="2"/>
        <v>669</v>
      </c>
      <c r="G33" s="2" t="s">
        <v>90</v>
      </c>
    </row>
    <row r="34" spans="1:7" x14ac:dyDescent="0.3">
      <c r="A34" s="6">
        <v>45747</v>
      </c>
      <c r="B34" s="2">
        <v>2</v>
      </c>
      <c r="C34" s="2" t="s">
        <v>17</v>
      </c>
      <c r="D34" s="2" t="s">
        <v>19</v>
      </c>
      <c r="E34" s="2">
        <v>2460.9899999999998</v>
      </c>
      <c r="F34" s="2">
        <f t="shared" si="2"/>
        <v>4921.9799999999996</v>
      </c>
      <c r="G34" s="2" t="s">
        <v>78</v>
      </c>
    </row>
    <row r="35" spans="1:7" x14ac:dyDescent="0.3">
      <c r="A35" s="6">
        <v>45747</v>
      </c>
      <c r="B35" s="2">
        <v>2</v>
      </c>
      <c r="C35" s="2" t="s">
        <v>56</v>
      </c>
      <c r="D35" s="2" t="s">
        <v>25</v>
      </c>
      <c r="E35" s="2">
        <v>2089.9899999999998</v>
      </c>
      <c r="F35" s="2">
        <f t="shared" si="2"/>
        <v>4179.9799999999996</v>
      </c>
      <c r="G35" s="2" t="s">
        <v>91</v>
      </c>
    </row>
    <row r="36" spans="1:7" x14ac:dyDescent="0.3">
      <c r="A36" s="6">
        <v>45747</v>
      </c>
      <c r="B36" s="2">
        <v>2</v>
      </c>
      <c r="C36" s="2" t="s">
        <v>56</v>
      </c>
      <c r="D36" s="2" t="s">
        <v>27</v>
      </c>
      <c r="E36" s="2">
        <v>2460.9899999999998</v>
      </c>
      <c r="F36" s="2">
        <f t="shared" si="2"/>
        <v>4921.9799999999996</v>
      </c>
      <c r="G36" s="2" t="s">
        <v>91</v>
      </c>
    </row>
    <row r="37" spans="1:7" x14ac:dyDescent="0.3">
      <c r="A37" s="6">
        <v>45747</v>
      </c>
      <c r="B37" s="2">
        <v>10</v>
      </c>
      <c r="C37" s="2" t="s">
        <v>31</v>
      </c>
      <c r="D37" s="2" t="s">
        <v>59</v>
      </c>
      <c r="E37" s="2">
        <v>213</v>
      </c>
      <c r="F37" s="2">
        <f t="shared" si="2"/>
        <v>2130</v>
      </c>
      <c r="G37" s="2" t="s">
        <v>136</v>
      </c>
    </row>
    <row r="38" spans="1:7" x14ac:dyDescent="0.3">
      <c r="A38" s="6">
        <v>45747</v>
      </c>
      <c r="B38" s="2">
        <v>10</v>
      </c>
      <c r="C38" s="2" t="s">
        <v>60</v>
      </c>
      <c r="D38" s="2" t="s">
        <v>59</v>
      </c>
      <c r="E38" s="2">
        <v>87</v>
      </c>
      <c r="F38" s="2">
        <f t="shared" si="2"/>
        <v>870</v>
      </c>
      <c r="G38" s="2" t="s">
        <v>137</v>
      </c>
    </row>
    <row r="39" spans="1:7" x14ac:dyDescent="0.3">
      <c r="A39" s="15">
        <v>45747</v>
      </c>
      <c r="B39" s="16">
        <v>2</v>
      </c>
      <c r="C39" s="16" t="s">
        <v>17</v>
      </c>
      <c r="D39" s="16" t="s">
        <v>28</v>
      </c>
      <c r="E39" s="16">
        <v>2089.9899999999998</v>
      </c>
      <c r="F39" s="16">
        <f t="shared" si="2"/>
        <v>4179.9799999999996</v>
      </c>
      <c r="G39" s="16" t="s">
        <v>92</v>
      </c>
    </row>
  </sheetData>
  <autoFilter ref="A1:G39" xr:uid="{DC07A957-8A1B-407D-8C45-962A45CF9E96}"/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3D81B-C2B7-4955-80BB-EC43B2456073}">
  <dimension ref="A1:K9"/>
  <sheetViews>
    <sheetView workbookViewId="0">
      <selection activeCell="D14" sqref="D14"/>
    </sheetView>
  </sheetViews>
  <sheetFormatPr defaultRowHeight="14.4" x14ac:dyDescent="0.3"/>
  <cols>
    <col min="1" max="1" width="9.5546875" bestFit="1" customWidth="1"/>
    <col min="3" max="3" width="28.6640625" bestFit="1" customWidth="1"/>
    <col min="4" max="4" width="20.6640625" bestFit="1" customWidth="1"/>
    <col min="7" max="7" width="14.44140625" bestFit="1" customWidth="1"/>
    <col min="8" max="8" width="9.5546875" bestFit="1" customWidth="1"/>
    <col min="9" max="9" width="22.33203125" bestFit="1" customWidth="1"/>
  </cols>
  <sheetData>
    <row r="1" spans="1:11" x14ac:dyDescent="0.3">
      <c r="B1" s="33">
        <v>45746</v>
      </c>
      <c r="C1" s="33"/>
      <c r="D1" s="33"/>
      <c r="E1" s="33"/>
      <c r="F1" s="33"/>
      <c r="G1" s="33"/>
    </row>
    <row r="2" spans="1:11" x14ac:dyDescent="0.3">
      <c r="B2" s="4" t="s">
        <v>0</v>
      </c>
      <c r="C2" s="5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6">
        <v>45749</v>
      </c>
      <c r="J2" s="7"/>
      <c r="K2" t="s">
        <v>93</v>
      </c>
    </row>
    <row r="3" spans="1:11" x14ac:dyDescent="0.3">
      <c r="B3">
        <v>5</v>
      </c>
      <c r="C3" t="s">
        <v>61</v>
      </c>
      <c r="D3" t="s">
        <v>55</v>
      </c>
      <c r="E3">
        <v>679</v>
      </c>
      <c r="F3">
        <f>(B3*E3)</f>
        <v>3395</v>
      </c>
      <c r="G3" t="s">
        <v>63</v>
      </c>
      <c r="H3">
        <v>4</v>
      </c>
      <c r="I3" t="s">
        <v>63</v>
      </c>
      <c r="K3" s="34">
        <v>125</v>
      </c>
    </row>
    <row r="4" spans="1:11" x14ac:dyDescent="0.3">
      <c r="B4">
        <v>1</v>
      </c>
      <c r="C4" s="2" t="s">
        <v>17</v>
      </c>
      <c r="D4" t="s">
        <v>28</v>
      </c>
      <c r="E4">
        <v>2089</v>
      </c>
      <c r="F4">
        <f>(B4*E4)</f>
        <v>2089</v>
      </c>
      <c r="G4" t="s">
        <v>63</v>
      </c>
      <c r="H4">
        <v>1</v>
      </c>
      <c r="I4" t="s">
        <v>63</v>
      </c>
      <c r="K4" s="34"/>
    </row>
    <row r="5" spans="1:11" x14ac:dyDescent="0.3">
      <c r="A5" s="12">
        <v>45748</v>
      </c>
      <c r="B5" s="11">
        <v>1</v>
      </c>
      <c r="C5" s="10" t="s">
        <v>64</v>
      </c>
      <c r="D5" s="11" t="s">
        <v>28</v>
      </c>
      <c r="E5" s="11">
        <v>2460.4899999999998</v>
      </c>
      <c r="F5" s="11">
        <v>2460.4899999999998</v>
      </c>
      <c r="G5" t="s">
        <v>62</v>
      </c>
    </row>
    <row r="6" spans="1:11" x14ac:dyDescent="0.3">
      <c r="A6" s="6">
        <v>45750</v>
      </c>
      <c r="B6" s="11">
        <v>2</v>
      </c>
      <c r="C6" s="2" t="s">
        <v>17</v>
      </c>
      <c r="D6" s="11" t="s">
        <v>28</v>
      </c>
      <c r="E6" s="11">
        <v>2460.4899999999998</v>
      </c>
      <c r="F6" s="11">
        <f>(B6*E6)</f>
        <v>4920.9799999999996</v>
      </c>
      <c r="G6" t="s">
        <v>62</v>
      </c>
      <c r="H6">
        <v>2</v>
      </c>
      <c r="I6" t="s">
        <v>210</v>
      </c>
      <c r="K6">
        <v>100</v>
      </c>
    </row>
    <row r="7" spans="1:11" x14ac:dyDescent="0.3">
      <c r="A7" s="6">
        <v>45755</v>
      </c>
      <c r="B7">
        <v>2</v>
      </c>
      <c r="C7" s="2" t="s">
        <v>17</v>
      </c>
      <c r="D7" t="s">
        <v>97</v>
      </c>
      <c r="E7">
        <v>2089</v>
      </c>
      <c r="F7" s="11">
        <f>(B7*E7)</f>
        <v>4178</v>
      </c>
      <c r="G7" t="s">
        <v>63</v>
      </c>
      <c r="H7">
        <v>2</v>
      </c>
      <c r="I7" t="s">
        <v>63</v>
      </c>
    </row>
    <row r="8" spans="1:11" x14ac:dyDescent="0.3">
      <c r="A8" t="s">
        <v>128</v>
      </c>
      <c r="B8">
        <v>1</v>
      </c>
      <c r="C8" s="2" t="s">
        <v>132</v>
      </c>
      <c r="D8" t="s">
        <v>131</v>
      </c>
      <c r="E8">
        <v>2299</v>
      </c>
      <c r="F8" s="11">
        <f>(B8*E8)</f>
        <v>2299</v>
      </c>
      <c r="G8" t="s">
        <v>63</v>
      </c>
      <c r="H8">
        <v>1</v>
      </c>
      <c r="I8" t="s">
        <v>130</v>
      </c>
    </row>
    <row r="9" spans="1:11" x14ac:dyDescent="0.3">
      <c r="A9" t="s">
        <v>129</v>
      </c>
      <c r="B9">
        <v>1</v>
      </c>
      <c r="C9" s="22" t="s">
        <v>61</v>
      </c>
      <c r="D9" t="s">
        <v>131</v>
      </c>
      <c r="E9">
        <v>724</v>
      </c>
      <c r="F9" s="11">
        <f>(B9*E9)</f>
        <v>724</v>
      </c>
      <c r="G9" t="s">
        <v>63</v>
      </c>
      <c r="H9">
        <v>1</v>
      </c>
      <c r="I9" t="s">
        <v>130</v>
      </c>
    </row>
  </sheetData>
  <mergeCells count="2">
    <mergeCell ref="B1:G1"/>
    <mergeCell ref="K3:K4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1D222-7D91-4DD5-A208-B3F68A87D525}">
  <dimension ref="A1:W192"/>
  <sheetViews>
    <sheetView tabSelected="1" topLeftCell="A117" zoomScale="83" zoomScaleNormal="83" workbookViewId="0">
      <selection activeCell="D150" sqref="D150"/>
    </sheetView>
  </sheetViews>
  <sheetFormatPr defaultRowHeight="14.4" x14ac:dyDescent="0.3"/>
  <cols>
    <col min="1" max="1" width="10.5546875" bestFit="1" customWidth="1"/>
    <col min="3" max="3" width="35.6640625" bestFit="1" customWidth="1"/>
    <col min="4" max="4" width="25.33203125" bestFit="1" customWidth="1"/>
    <col min="6" max="6" width="10" bestFit="1" customWidth="1"/>
    <col min="7" max="7" width="31.5546875" bestFit="1" customWidth="1"/>
    <col min="8" max="8" width="30.6640625" bestFit="1" customWidth="1"/>
    <col min="10" max="10" width="22" bestFit="1" customWidth="1"/>
    <col min="11" max="11" width="34.88671875" bestFit="1" customWidth="1"/>
    <col min="12" max="12" width="17.88671875" bestFit="1" customWidth="1"/>
    <col min="13" max="13" width="12" bestFit="1" customWidth="1"/>
    <col min="14" max="16" width="11.109375" bestFit="1" customWidth="1"/>
    <col min="17" max="17" width="12" bestFit="1" customWidth="1"/>
    <col min="18" max="21" width="11.109375" bestFit="1" customWidth="1"/>
    <col min="22" max="22" width="15.6640625" bestFit="1" customWidth="1"/>
    <col min="23" max="23" width="17" bestFit="1" customWidth="1"/>
  </cols>
  <sheetData>
    <row r="1" spans="1:23" x14ac:dyDescent="0.3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  <c r="K1" s="13" t="s">
        <v>65</v>
      </c>
      <c r="L1" t="s">
        <v>148</v>
      </c>
    </row>
    <row r="2" spans="1:23" x14ac:dyDescent="0.3">
      <c r="A2" s="8">
        <v>45748</v>
      </c>
      <c r="B2" s="2">
        <v>2</v>
      </c>
      <c r="C2" s="2" t="s">
        <v>68</v>
      </c>
      <c r="D2" s="2" t="s">
        <v>19</v>
      </c>
      <c r="E2" s="3">
        <f>(F2/2)</f>
        <v>2089.4899999999998</v>
      </c>
      <c r="F2" s="3">
        <v>4178.9799999999996</v>
      </c>
      <c r="G2" s="2" t="s">
        <v>8</v>
      </c>
      <c r="H2" s="8">
        <v>45749</v>
      </c>
    </row>
    <row r="3" spans="1:23" x14ac:dyDescent="0.3">
      <c r="A3" s="8">
        <v>45748</v>
      </c>
      <c r="B3" s="2">
        <v>2</v>
      </c>
      <c r="C3" s="2" t="s">
        <v>69</v>
      </c>
      <c r="D3" s="2" t="s">
        <v>28</v>
      </c>
      <c r="E3" s="3">
        <f>(F3/2)</f>
        <v>2460.4899999999998</v>
      </c>
      <c r="F3" s="3">
        <v>4920.9799999999996</v>
      </c>
      <c r="G3" s="2" t="s">
        <v>8</v>
      </c>
      <c r="H3" s="2"/>
      <c r="K3" s="13" t="s">
        <v>79</v>
      </c>
      <c r="L3" t="s">
        <v>82</v>
      </c>
      <c r="M3" t="s">
        <v>147</v>
      </c>
    </row>
    <row r="4" spans="1:23" x14ac:dyDescent="0.3">
      <c r="A4" s="8">
        <v>45749</v>
      </c>
      <c r="B4" s="2">
        <v>2</v>
      </c>
      <c r="C4" s="2" t="s">
        <v>67</v>
      </c>
      <c r="D4" s="2" t="s">
        <v>19</v>
      </c>
      <c r="E4" s="3">
        <v>2517.4899999999998</v>
      </c>
      <c r="F4" s="3">
        <f>(B4*E4)</f>
        <v>5034.9799999999996</v>
      </c>
      <c r="G4" s="2" t="s">
        <v>8</v>
      </c>
      <c r="H4" s="2"/>
      <c r="K4" s="14" t="s">
        <v>141</v>
      </c>
      <c r="L4">
        <v>5</v>
      </c>
      <c r="M4">
        <v>13025</v>
      </c>
    </row>
    <row r="5" spans="1:23" x14ac:dyDescent="0.3">
      <c r="A5" s="8">
        <v>45749</v>
      </c>
      <c r="B5" s="2">
        <v>2</v>
      </c>
      <c r="C5" s="2" t="s">
        <v>68</v>
      </c>
      <c r="D5" s="2" t="s">
        <v>70</v>
      </c>
      <c r="E5" s="3">
        <v>2089.4899999999998</v>
      </c>
      <c r="F5" s="3">
        <f t="shared" ref="F5:F29" si="0">(B5*E5)</f>
        <v>4178.9799999999996</v>
      </c>
      <c r="G5" s="2" t="s">
        <v>8</v>
      </c>
      <c r="H5" s="2"/>
      <c r="K5" s="14" t="s">
        <v>142</v>
      </c>
      <c r="L5">
        <v>1</v>
      </c>
      <c r="M5">
        <v>3535</v>
      </c>
    </row>
    <row r="6" spans="1:23" x14ac:dyDescent="0.3">
      <c r="A6" s="8">
        <v>45749</v>
      </c>
      <c r="B6" s="2">
        <v>2</v>
      </c>
      <c r="C6" s="2" t="s">
        <v>73</v>
      </c>
      <c r="D6" s="2" t="s">
        <v>70</v>
      </c>
      <c r="E6" s="3">
        <v>2089.4899999999998</v>
      </c>
      <c r="F6" s="3">
        <f t="shared" si="0"/>
        <v>4178.9799999999996</v>
      </c>
      <c r="G6" s="2" t="s">
        <v>8</v>
      </c>
      <c r="H6" s="2"/>
      <c r="K6" s="14" t="s">
        <v>133</v>
      </c>
      <c r="L6">
        <v>1</v>
      </c>
      <c r="M6">
        <v>713</v>
      </c>
    </row>
    <row r="7" spans="1:23" x14ac:dyDescent="0.3">
      <c r="A7" s="8">
        <v>45749</v>
      </c>
      <c r="B7" s="2">
        <v>1</v>
      </c>
      <c r="C7" s="2" t="s">
        <v>68</v>
      </c>
      <c r="D7" s="2" t="s">
        <v>16</v>
      </c>
      <c r="E7" s="3">
        <v>2089.9899999999998</v>
      </c>
      <c r="F7" s="3">
        <f t="shared" si="0"/>
        <v>2089.9899999999998</v>
      </c>
      <c r="G7" s="2" t="s">
        <v>8</v>
      </c>
      <c r="H7" s="8">
        <v>45755</v>
      </c>
      <c r="K7" s="14" t="s">
        <v>124</v>
      </c>
      <c r="L7">
        <v>52</v>
      </c>
      <c r="M7">
        <v>1560</v>
      </c>
    </row>
    <row r="8" spans="1:23" x14ac:dyDescent="0.3">
      <c r="A8" s="8">
        <v>45749</v>
      </c>
      <c r="B8" s="2">
        <v>1</v>
      </c>
      <c r="C8" s="2" t="s">
        <v>73</v>
      </c>
      <c r="D8" s="2" t="s">
        <v>16</v>
      </c>
      <c r="E8" s="3">
        <v>2089.9899999999998</v>
      </c>
      <c r="F8" s="3">
        <f t="shared" si="0"/>
        <v>2089.9899999999998</v>
      </c>
      <c r="G8" s="2" t="s">
        <v>8</v>
      </c>
      <c r="H8" s="8">
        <v>45755</v>
      </c>
      <c r="K8" s="14" t="s">
        <v>135</v>
      </c>
      <c r="L8">
        <v>31</v>
      </c>
      <c r="M8">
        <v>611</v>
      </c>
    </row>
    <row r="9" spans="1:23" x14ac:dyDescent="0.3">
      <c r="A9" s="8">
        <v>45749</v>
      </c>
      <c r="B9" s="2">
        <v>8</v>
      </c>
      <c r="C9" s="2" t="s">
        <v>74</v>
      </c>
      <c r="D9" s="2" t="s">
        <v>71</v>
      </c>
      <c r="E9" s="3">
        <v>229</v>
      </c>
      <c r="F9" s="3">
        <f t="shared" si="0"/>
        <v>1832</v>
      </c>
      <c r="G9" s="2" t="s">
        <v>8</v>
      </c>
      <c r="H9" s="8">
        <v>45749</v>
      </c>
      <c r="K9" s="14" t="s">
        <v>144</v>
      </c>
      <c r="L9">
        <v>6</v>
      </c>
      <c r="M9">
        <v>1224</v>
      </c>
    </row>
    <row r="10" spans="1:23" x14ac:dyDescent="0.3">
      <c r="A10" s="8">
        <v>45749</v>
      </c>
      <c r="B10" s="2">
        <v>1</v>
      </c>
      <c r="C10" s="2" t="s">
        <v>99</v>
      </c>
      <c r="D10" s="2" t="s">
        <v>71</v>
      </c>
      <c r="E10" s="3">
        <v>699</v>
      </c>
      <c r="F10" s="3">
        <f t="shared" si="0"/>
        <v>699</v>
      </c>
      <c r="G10" s="2" t="s">
        <v>8</v>
      </c>
      <c r="H10" s="8">
        <v>45750</v>
      </c>
      <c r="K10" s="14" t="s">
        <v>145</v>
      </c>
      <c r="L10">
        <v>3</v>
      </c>
      <c r="M10">
        <v>600</v>
      </c>
    </row>
    <row r="11" spans="1:23" x14ac:dyDescent="0.3">
      <c r="A11" s="8">
        <v>45749</v>
      </c>
      <c r="B11" s="2">
        <v>1</v>
      </c>
      <c r="C11" s="2" t="s">
        <v>75</v>
      </c>
      <c r="D11" s="2" t="s">
        <v>71</v>
      </c>
      <c r="E11" s="3">
        <v>799</v>
      </c>
      <c r="F11" s="3">
        <f t="shared" si="0"/>
        <v>799</v>
      </c>
      <c r="G11" s="2" t="s">
        <v>8</v>
      </c>
      <c r="H11" s="8">
        <v>45750</v>
      </c>
      <c r="K11" s="14" t="s">
        <v>87</v>
      </c>
      <c r="L11">
        <v>5</v>
      </c>
      <c r="M11">
        <v>435</v>
      </c>
    </row>
    <row r="12" spans="1:23" x14ac:dyDescent="0.3">
      <c r="A12" s="8">
        <v>45749</v>
      </c>
      <c r="B12" s="2">
        <v>1</v>
      </c>
      <c r="C12" s="2" t="s">
        <v>68</v>
      </c>
      <c r="D12" s="2" t="s">
        <v>71</v>
      </c>
      <c r="E12" s="3">
        <v>2149</v>
      </c>
      <c r="F12" s="3">
        <f t="shared" si="0"/>
        <v>2149</v>
      </c>
      <c r="G12" s="2" t="s">
        <v>8</v>
      </c>
      <c r="H12" s="8">
        <v>45749</v>
      </c>
      <c r="K12" s="14" t="s">
        <v>123</v>
      </c>
      <c r="L12">
        <v>5</v>
      </c>
      <c r="M12">
        <v>715</v>
      </c>
    </row>
    <row r="13" spans="1:23" x14ac:dyDescent="0.3">
      <c r="A13" s="17">
        <v>45749</v>
      </c>
      <c r="B13" s="18">
        <v>1</v>
      </c>
      <c r="C13" s="18" t="s">
        <v>68</v>
      </c>
      <c r="D13" s="18" t="s">
        <v>21</v>
      </c>
      <c r="E13" s="19">
        <v>2089.9899999999998</v>
      </c>
      <c r="F13" s="19">
        <f t="shared" si="0"/>
        <v>2089.9899999999998</v>
      </c>
      <c r="G13" s="16"/>
      <c r="H13" s="18" t="s">
        <v>94</v>
      </c>
      <c r="K13" s="14" t="s">
        <v>134</v>
      </c>
      <c r="L13">
        <v>4</v>
      </c>
      <c r="M13">
        <v>852</v>
      </c>
    </row>
    <row r="14" spans="1:23" s="20" customFormat="1" x14ac:dyDescent="0.3">
      <c r="A14" s="17">
        <v>45749</v>
      </c>
      <c r="B14" s="18">
        <v>2</v>
      </c>
      <c r="C14" s="18" t="s">
        <v>68</v>
      </c>
      <c r="D14" s="18" t="s">
        <v>72</v>
      </c>
      <c r="E14" s="19">
        <v>2089.9899999999998</v>
      </c>
      <c r="F14" s="19">
        <f t="shared" si="0"/>
        <v>4179.9799999999996</v>
      </c>
      <c r="G14" s="16" t="s">
        <v>77</v>
      </c>
      <c r="H14" s="18" t="s">
        <v>111</v>
      </c>
      <c r="K14" s="14" t="s">
        <v>146</v>
      </c>
      <c r="L14">
        <v>1</v>
      </c>
      <c r="M14">
        <v>2077</v>
      </c>
      <c r="N14"/>
      <c r="O14"/>
      <c r="P14"/>
      <c r="Q14"/>
      <c r="R14"/>
      <c r="S14"/>
      <c r="T14"/>
      <c r="U14"/>
      <c r="V14"/>
      <c r="W14"/>
    </row>
    <row r="15" spans="1:23" x14ac:dyDescent="0.3">
      <c r="A15" s="8">
        <v>45749</v>
      </c>
      <c r="B15" s="2">
        <v>1</v>
      </c>
      <c r="C15" s="2" t="s">
        <v>68</v>
      </c>
      <c r="D15" s="2" t="s">
        <v>28</v>
      </c>
      <c r="E15" s="3">
        <v>2089.9899999999998</v>
      </c>
      <c r="F15" s="3">
        <f t="shared" si="0"/>
        <v>2089.9899999999998</v>
      </c>
      <c r="G15" s="2" t="s">
        <v>8</v>
      </c>
      <c r="H15" s="8">
        <v>45751</v>
      </c>
      <c r="K15" s="14" t="s">
        <v>113</v>
      </c>
      <c r="L15">
        <v>14</v>
      </c>
      <c r="M15">
        <v>32186</v>
      </c>
    </row>
    <row r="16" spans="1:23" x14ac:dyDescent="0.3">
      <c r="A16" s="8">
        <v>45749</v>
      </c>
      <c r="B16" s="2">
        <v>1</v>
      </c>
      <c r="C16" s="2" t="s">
        <v>73</v>
      </c>
      <c r="D16" s="2" t="s">
        <v>28</v>
      </c>
      <c r="E16" s="3">
        <v>2089.9899999999998</v>
      </c>
      <c r="F16" s="3">
        <f t="shared" si="0"/>
        <v>2089.9899999999998</v>
      </c>
      <c r="G16" s="2" t="s">
        <v>8</v>
      </c>
      <c r="H16" s="8">
        <v>45751</v>
      </c>
      <c r="K16" s="14" t="s">
        <v>120</v>
      </c>
      <c r="L16">
        <v>5</v>
      </c>
      <c r="M16">
        <v>11495</v>
      </c>
    </row>
    <row r="17" spans="1:13" x14ac:dyDescent="0.3">
      <c r="A17" s="8">
        <v>45749</v>
      </c>
      <c r="B17" s="2">
        <v>1</v>
      </c>
      <c r="C17" s="2" t="s">
        <v>76</v>
      </c>
      <c r="D17" s="2" t="s">
        <v>28</v>
      </c>
      <c r="E17" s="3">
        <v>39</v>
      </c>
      <c r="F17" s="3">
        <f t="shared" si="0"/>
        <v>39</v>
      </c>
      <c r="G17" s="2" t="s">
        <v>8</v>
      </c>
      <c r="H17" s="8">
        <v>45749</v>
      </c>
      <c r="K17" s="14" t="s">
        <v>114</v>
      </c>
      <c r="L17">
        <v>18</v>
      </c>
      <c r="M17">
        <v>41382</v>
      </c>
    </row>
    <row r="18" spans="1:13" x14ac:dyDescent="0.3">
      <c r="A18" s="8">
        <v>45750</v>
      </c>
      <c r="B18" s="2">
        <v>1</v>
      </c>
      <c r="C18" s="2" t="s">
        <v>83</v>
      </c>
      <c r="D18" s="2" t="s">
        <v>7</v>
      </c>
      <c r="E18" s="3">
        <v>799</v>
      </c>
      <c r="F18" s="3">
        <f t="shared" si="0"/>
        <v>799</v>
      </c>
      <c r="G18" s="2" t="s">
        <v>8</v>
      </c>
      <c r="H18" s="2"/>
      <c r="K18" s="14" t="s">
        <v>122</v>
      </c>
      <c r="L18">
        <v>11</v>
      </c>
      <c r="M18">
        <v>29241.97</v>
      </c>
    </row>
    <row r="19" spans="1:13" x14ac:dyDescent="0.3">
      <c r="A19" s="8">
        <v>45750</v>
      </c>
      <c r="B19" s="2">
        <v>1</v>
      </c>
      <c r="C19" s="2" t="s">
        <v>99</v>
      </c>
      <c r="D19" s="2" t="s">
        <v>84</v>
      </c>
      <c r="E19" s="3">
        <v>669</v>
      </c>
      <c r="F19" s="3">
        <f t="shared" si="0"/>
        <v>669</v>
      </c>
      <c r="G19" s="2" t="s">
        <v>108</v>
      </c>
      <c r="H19" s="2"/>
      <c r="K19" s="14" t="s">
        <v>127</v>
      </c>
      <c r="L19">
        <v>2</v>
      </c>
      <c r="M19">
        <v>5099.9799999999996</v>
      </c>
    </row>
    <row r="20" spans="1:13" x14ac:dyDescent="0.3">
      <c r="A20" s="8">
        <v>45750</v>
      </c>
      <c r="B20" s="2"/>
      <c r="C20" s="2" t="s">
        <v>85</v>
      </c>
      <c r="D20" s="2" t="s">
        <v>86</v>
      </c>
      <c r="E20" s="3">
        <v>36.54</v>
      </c>
      <c r="F20" s="3">
        <f t="shared" si="0"/>
        <v>0</v>
      </c>
      <c r="G20" s="2"/>
      <c r="H20" s="2"/>
      <c r="K20" s="14" t="s">
        <v>105</v>
      </c>
      <c r="L20">
        <v>1</v>
      </c>
      <c r="M20">
        <v>449</v>
      </c>
    </row>
    <row r="21" spans="1:13" x14ac:dyDescent="0.3">
      <c r="A21" s="8">
        <v>45751</v>
      </c>
      <c r="B21" s="2">
        <v>6</v>
      </c>
      <c r="C21" s="2" t="s">
        <v>87</v>
      </c>
      <c r="D21" s="2" t="s">
        <v>88</v>
      </c>
      <c r="E21" s="3">
        <v>87</v>
      </c>
      <c r="F21" s="3">
        <f t="shared" si="0"/>
        <v>522</v>
      </c>
      <c r="G21" s="2" t="s">
        <v>8</v>
      </c>
      <c r="H21" s="2"/>
      <c r="K21" s="14" t="s">
        <v>118</v>
      </c>
      <c r="L21">
        <v>5</v>
      </c>
      <c r="M21">
        <v>1582</v>
      </c>
    </row>
    <row r="22" spans="1:13" x14ac:dyDescent="0.3">
      <c r="A22" s="8">
        <v>45751</v>
      </c>
      <c r="B22" s="2">
        <v>1</v>
      </c>
      <c r="C22" s="2" t="s">
        <v>29</v>
      </c>
      <c r="D22" s="2" t="s">
        <v>41</v>
      </c>
      <c r="E22" s="3">
        <v>2204</v>
      </c>
      <c r="F22" s="3">
        <f t="shared" si="0"/>
        <v>2204</v>
      </c>
      <c r="G22" s="2" t="s">
        <v>108</v>
      </c>
      <c r="H22" s="2"/>
      <c r="K22" s="14" t="s">
        <v>117</v>
      </c>
      <c r="L22">
        <v>27</v>
      </c>
      <c r="M22">
        <v>19070.82</v>
      </c>
    </row>
    <row r="23" spans="1:13" x14ac:dyDescent="0.3">
      <c r="A23" s="8">
        <v>45751</v>
      </c>
      <c r="B23" s="2">
        <v>1</v>
      </c>
      <c r="C23" s="2" t="s">
        <v>73</v>
      </c>
      <c r="D23" s="2" t="s">
        <v>89</v>
      </c>
      <c r="E23" s="3">
        <v>2089.9899999999998</v>
      </c>
      <c r="F23" s="3">
        <f t="shared" si="0"/>
        <v>2089.9899999999998</v>
      </c>
      <c r="G23" s="2" t="s">
        <v>8</v>
      </c>
      <c r="H23" s="2"/>
      <c r="K23" s="14" t="s">
        <v>99</v>
      </c>
      <c r="L23">
        <v>47</v>
      </c>
      <c r="M23">
        <v>33903</v>
      </c>
    </row>
    <row r="24" spans="1:13" x14ac:dyDescent="0.3">
      <c r="A24" s="8">
        <v>45751</v>
      </c>
      <c r="B24" s="2">
        <v>1</v>
      </c>
      <c r="C24" s="2" t="s">
        <v>68</v>
      </c>
      <c r="D24" s="2" t="s">
        <v>89</v>
      </c>
      <c r="E24" s="3">
        <v>2089.9899999999998</v>
      </c>
      <c r="F24" s="3">
        <f t="shared" si="0"/>
        <v>2089.9899999999998</v>
      </c>
      <c r="G24" s="16" t="s">
        <v>193</v>
      </c>
      <c r="H24" s="2"/>
      <c r="K24" s="14" t="s">
        <v>152</v>
      </c>
      <c r="L24">
        <v>2</v>
      </c>
      <c r="M24">
        <v>3499.98</v>
      </c>
    </row>
    <row r="25" spans="1:13" x14ac:dyDescent="0.3">
      <c r="A25" s="8"/>
      <c r="B25" s="2">
        <v>1</v>
      </c>
      <c r="C25" s="2" t="s">
        <v>149</v>
      </c>
      <c r="D25" s="2" t="s">
        <v>70</v>
      </c>
      <c r="E25" s="3">
        <v>2089.9899999999998</v>
      </c>
      <c r="F25" s="3">
        <f t="shared" si="0"/>
        <v>2089.9899999999998</v>
      </c>
      <c r="G25" s="2" t="s">
        <v>8</v>
      </c>
      <c r="H25" s="2"/>
      <c r="J25" t="s">
        <v>112</v>
      </c>
      <c r="K25" s="14" t="s">
        <v>153</v>
      </c>
      <c r="L25">
        <v>2</v>
      </c>
      <c r="M25">
        <v>3499.98</v>
      </c>
    </row>
    <row r="26" spans="1:13" x14ac:dyDescent="0.3">
      <c r="A26" s="8">
        <v>45752</v>
      </c>
      <c r="B26" s="2">
        <v>1</v>
      </c>
      <c r="C26" s="2" t="s">
        <v>98</v>
      </c>
      <c r="D26" s="2" t="s">
        <v>70</v>
      </c>
      <c r="E26" s="3">
        <v>2089.9899999999998</v>
      </c>
      <c r="F26" s="3">
        <f t="shared" si="0"/>
        <v>2089.9899999999998</v>
      </c>
      <c r="G26" s="16" t="s">
        <v>193</v>
      </c>
      <c r="H26" s="2"/>
      <c r="K26" s="14" t="s">
        <v>154</v>
      </c>
      <c r="L26">
        <v>3</v>
      </c>
      <c r="M26">
        <v>5249.97</v>
      </c>
    </row>
    <row r="27" spans="1:13" x14ac:dyDescent="0.3">
      <c r="A27" s="8">
        <v>45752</v>
      </c>
      <c r="B27" s="2">
        <v>1</v>
      </c>
      <c r="C27" s="2" t="s">
        <v>96</v>
      </c>
      <c r="D27" s="2" t="s">
        <v>7</v>
      </c>
      <c r="E27" s="3">
        <v>149</v>
      </c>
      <c r="F27" s="3">
        <f t="shared" si="0"/>
        <v>149</v>
      </c>
      <c r="G27" s="2" t="s">
        <v>8</v>
      </c>
      <c r="H27" s="2"/>
      <c r="K27" s="14" t="s">
        <v>155</v>
      </c>
      <c r="L27">
        <v>6</v>
      </c>
      <c r="M27">
        <v>10499.94</v>
      </c>
    </row>
    <row r="28" spans="1:13" x14ac:dyDescent="0.3">
      <c r="A28" s="8">
        <v>45752</v>
      </c>
      <c r="B28" s="2">
        <v>1</v>
      </c>
      <c r="C28" s="2" t="s">
        <v>95</v>
      </c>
      <c r="D28" s="2" t="s">
        <v>7</v>
      </c>
      <c r="E28" s="21">
        <v>2549</v>
      </c>
      <c r="F28" s="3">
        <f t="shared" si="0"/>
        <v>2549</v>
      </c>
      <c r="G28" s="2" t="s">
        <v>8</v>
      </c>
      <c r="H28" s="2"/>
      <c r="K28" s="14" t="s">
        <v>156</v>
      </c>
      <c r="L28">
        <v>5</v>
      </c>
      <c r="M28">
        <v>10995</v>
      </c>
    </row>
    <row r="29" spans="1:13" x14ac:dyDescent="0.3">
      <c r="A29" s="8">
        <v>45755</v>
      </c>
      <c r="B29" s="2">
        <v>1</v>
      </c>
      <c r="C29" s="2" t="s">
        <v>150</v>
      </c>
      <c r="D29" s="2" t="s">
        <v>70</v>
      </c>
      <c r="E29" s="3">
        <v>2089.9899999999998</v>
      </c>
      <c r="F29" s="3">
        <f t="shared" si="0"/>
        <v>2089.9899999999998</v>
      </c>
      <c r="G29" s="16" t="s">
        <v>193</v>
      </c>
      <c r="H29" s="2"/>
      <c r="K29" s="14" t="s">
        <v>157</v>
      </c>
      <c r="L29">
        <v>3</v>
      </c>
      <c r="M29">
        <v>7649.9699999999993</v>
      </c>
    </row>
    <row r="30" spans="1:13" x14ac:dyDescent="0.3">
      <c r="A30" s="8">
        <v>45755</v>
      </c>
      <c r="B30" s="2">
        <v>1</v>
      </c>
      <c r="C30" s="2" t="s">
        <v>151</v>
      </c>
      <c r="D30" s="2" t="s">
        <v>16</v>
      </c>
      <c r="E30" s="3">
        <v>2089.9899999999998</v>
      </c>
      <c r="F30" s="3">
        <v>2089</v>
      </c>
      <c r="G30" s="16" t="s">
        <v>193</v>
      </c>
      <c r="H30" s="2"/>
      <c r="K30" s="14" t="s">
        <v>158</v>
      </c>
      <c r="L30">
        <v>1</v>
      </c>
      <c r="M30">
        <v>2549.9899999999998</v>
      </c>
    </row>
    <row r="31" spans="1:13" x14ac:dyDescent="0.3">
      <c r="A31" s="8">
        <v>45755</v>
      </c>
      <c r="B31" s="2">
        <v>1</v>
      </c>
      <c r="C31" s="2" t="s">
        <v>151</v>
      </c>
      <c r="D31" s="2" t="s">
        <v>16</v>
      </c>
      <c r="E31" s="3">
        <v>2089.9899999999998</v>
      </c>
      <c r="F31" s="3">
        <v>2089</v>
      </c>
      <c r="G31" s="16" t="s">
        <v>110</v>
      </c>
      <c r="H31" s="2"/>
      <c r="K31" s="14" t="s">
        <v>159</v>
      </c>
      <c r="L31">
        <v>7</v>
      </c>
      <c r="M31">
        <v>18893</v>
      </c>
    </row>
    <row r="32" spans="1:13" x14ac:dyDescent="0.3">
      <c r="A32" s="8">
        <v>45756</v>
      </c>
      <c r="B32" s="2">
        <v>10</v>
      </c>
      <c r="C32" s="2" t="s">
        <v>99</v>
      </c>
      <c r="D32" s="2" t="s">
        <v>104</v>
      </c>
      <c r="E32" s="3">
        <v>724</v>
      </c>
      <c r="F32" s="3">
        <f>B32*E32</f>
        <v>7240</v>
      </c>
      <c r="G32" s="2" t="s">
        <v>8</v>
      </c>
      <c r="H32" s="2"/>
      <c r="K32" s="14" t="s">
        <v>81</v>
      </c>
      <c r="L32">
        <v>273</v>
      </c>
      <c r="M32">
        <v>262594.60000000003</v>
      </c>
    </row>
    <row r="33" spans="1:9" x14ac:dyDescent="0.3">
      <c r="A33" s="8">
        <v>45756</v>
      </c>
      <c r="B33" s="2">
        <v>2</v>
      </c>
      <c r="C33" s="2" t="s">
        <v>152</v>
      </c>
      <c r="D33" s="2" t="s">
        <v>14</v>
      </c>
      <c r="E33" s="3">
        <v>1749.99</v>
      </c>
      <c r="F33" s="3">
        <f t="shared" ref="F33:F39" si="1">B33*E33</f>
        <v>3499.98</v>
      </c>
      <c r="G33" s="2" t="s">
        <v>106</v>
      </c>
      <c r="H33" s="2"/>
    </row>
    <row r="34" spans="1:9" x14ac:dyDescent="0.3">
      <c r="A34" s="8">
        <v>45756</v>
      </c>
      <c r="B34" s="2">
        <v>2</v>
      </c>
      <c r="C34" s="2" t="s">
        <v>153</v>
      </c>
      <c r="D34" s="2" t="s">
        <v>14</v>
      </c>
      <c r="E34" s="3">
        <v>1749.99</v>
      </c>
      <c r="F34" s="3">
        <f t="shared" si="1"/>
        <v>3499.98</v>
      </c>
      <c r="G34" s="2" t="s">
        <v>106</v>
      </c>
      <c r="H34" s="2"/>
    </row>
    <row r="35" spans="1:9" x14ac:dyDescent="0.3">
      <c r="A35" s="8">
        <v>45756</v>
      </c>
      <c r="B35" s="2">
        <v>3</v>
      </c>
      <c r="C35" s="2" t="s">
        <v>154</v>
      </c>
      <c r="D35" s="2" t="s">
        <v>14</v>
      </c>
      <c r="E35" s="3">
        <v>1749.99</v>
      </c>
      <c r="F35" s="3">
        <f t="shared" si="1"/>
        <v>5249.97</v>
      </c>
      <c r="G35" s="2" t="s">
        <v>106</v>
      </c>
      <c r="H35" s="2"/>
    </row>
    <row r="36" spans="1:9" x14ac:dyDescent="0.3">
      <c r="A36" s="8">
        <v>45756</v>
      </c>
      <c r="B36" s="2">
        <v>6</v>
      </c>
      <c r="C36" s="2" t="s">
        <v>155</v>
      </c>
      <c r="D36" s="2" t="s">
        <v>14</v>
      </c>
      <c r="E36" s="3">
        <v>1749.99</v>
      </c>
      <c r="F36" s="3">
        <f t="shared" si="1"/>
        <v>10499.94</v>
      </c>
      <c r="G36" s="2" t="s">
        <v>106</v>
      </c>
      <c r="H36" s="2"/>
    </row>
    <row r="37" spans="1:9" x14ac:dyDescent="0.3">
      <c r="A37" s="8">
        <v>45756</v>
      </c>
      <c r="B37" s="2">
        <v>5</v>
      </c>
      <c r="C37" s="2" t="s">
        <v>156</v>
      </c>
      <c r="D37" s="2" t="s">
        <v>14</v>
      </c>
      <c r="E37" s="3">
        <v>2199</v>
      </c>
      <c r="F37" s="3">
        <f t="shared" si="1"/>
        <v>10995</v>
      </c>
      <c r="G37" s="2" t="s">
        <v>106</v>
      </c>
      <c r="H37" s="2"/>
    </row>
    <row r="38" spans="1:9" x14ac:dyDescent="0.3">
      <c r="A38" s="35">
        <v>45756</v>
      </c>
      <c r="B38" s="36">
        <v>1</v>
      </c>
      <c r="C38" s="36" t="s">
        <v>99</v>
      </c>
      <c r="D38" s="36" t="s">
        <v>107</v>
      </c>
      <c r="E38" s="37">
        <v>669</v>
      </c>
      <c r="F38" s="37">
        <f t="shared" si="1"/>
        <v>669</v>
      </c>
      <c r="G38" s="36" t="s">
        <v>192</v>
      </c>
      <c r="H38" s="2"/>
    </row>
    <row r="39" spans="1:9" x14ac:dyDescent="0.3">
      <c r="A39" s="8">
        <v>45757</v>
      </c>
      <c r="B39" s="2">
        <v>1</v>
      </c>
      <c r="C39" s="2" t="s">
        <v>105</v>
      </c>
      <c r="D39" s="2" t="s">
        <v>102</v>
      </c>
      <c r="E39" s="3">
        <v>449</v>
      </c>
      <c r="F39" s="3">
        <f t="shared" si="1"/>
        <v>449</v>
      </c>
      <c r="G39" s="2" t="s">
        <v>8</v>
      </c>
      <c r="H39" s="2"/>
    </row>
    <row r="40" spans="1:9" x14ac:dyDescent="0.3">
      <c r="A40" s="30">
        <v>45757</v>
      </c>
      <c r="B40" s="31">
        <v>2</v>
      </c>
      <c r="C40" s="31" t="s">
        <v>99</v>
      </c>
      <c r="D40" s="31" t="s">
        <v>102</v>
      </c>
      <c r="E40" s="32">
        <v>689</v>
      </c>
      <c r="F40" s="32">
        <f t="shared" ref="F40:F108" si="2">B40*E40</f>
        <v>1378</v>
      </c>
      <c r="G40" s="31" t="s">
        <v>103</v>
      </c>
      <c r="H40" s="31"/>
    </row>
    <row r="41" spans="1:9" x14ac:dyDescent="0.3">
      <c r="A41" s="8">
        <v>45757</v>
      </c>
      <c r="B41" s="2">
        <v>8</v>
      </c>
      <c r="C41" s="2" t="s">
        <v>99</v>
      </c>
      <c r="D41" s="2" t="s">
        <v>101</v>
      </c>
      <c r="E41" s="3">
        <v>724</v>
      </c>
      <c r="F41" s="3">
        <f t="shared" si="2"/>
        <v>5792</v>
      </c>
      <c r="G41" s="2" t="s">
        <v>8</v>
      </c>
      <c r="H41" s="2"/>
    </row>
    <row r="42" spans="1:9" x14ac:dyDescent="0.3">
      <c r="A42" s="8">
        <v>45757</v>
      </c>
      <c r="B42" s="2">
        <v>5</v>
      </c>
      <c r="C42" s="2" t="s">
        <v>99</v>
      </c>
      <c r="D42" s="2" t="s">
        <v>100</v>
      </c>
      <c r="E42" s="3">
        <v>724</v>
      </c>
      <c r="F42" s="3">
        <f t="shared" si="2"/>
        <v>3620</v>
      </c>
      <c r="G42" s="2" t="s">
        <v>8</v>
      </c>
      <c r="H42" s="2"/>
    </row>
    <row r="43" spans="1:9" x14ac:dyDescent="0.3">
      <c r="A43" s="8">
        <v>45758</v>
      </c>
      <c r="B43" s="2">
        <v>11</v>
      </c>
      <c r="C43" s="2" t="s">
        <v>99</v>
      </c>
      <c r="D43" s="2" t="s">
        <v>100</v>
      </c>
      <c r="E43" s="3">
        <v>724</v>
      </c>
      <c r="F43" s="3">
        <f t="shared" si="2"/>
        <v>7964</v>
      </c>
      <c r="G43" s="2" t="s">
        <v>8</v>
      </c>
      <c r="H43" s="2"/>
    </row>
    <row r="44" spans="1:9" x14ac:dyDescent="0.3">
      <c r="A44" s="8">
        <v>45758</v>
      </c>
      <c r="B44" s="2">
        <v>3</v>
      </c>
      <c r="C44" s="2" t="s">
        <v>157</v>
      </c>
      <c r="D44" s="2" t="s">
        <v>14</v>
      </c>
      <c r="E44" s="3">
        <v>2549.9899999999998</v>
      </c>
      <c r="F44" s="3">
        <f t="shared" si="2"/>
        <v>7649.9699999999993</v>
      </c>
      <c r="G44" s="2" t="s">
        <v>106</v>
      </c>
      <c r="H44" s="2"/>
    </row>
    <row r="45" spans="1:9" x14ac:dyDescent="0.3">
      <c r="A45" s="8">
        <v>45758</v>
      </c>
      <c r="B45" s="2">
        <v>1</v>
      </c>
      <c r="C45" s="2" t="s">
        <v>158</v>
      </c>
      <c r="D45" s="2" t="s">
        <v>14</v>
      </c>
      <c r="E45" s="3">
        <v>2549.9899999999998</v>
      </c>
      <c r="F45" s="3">
        <f t="shared" si="2"/>
        <v>2549.9899999999998</v>
      </c>
      <c r="G45" s="2" t="s">
        <v>106</v>
      </c>
      <c r="H45" s="2"/>
    </row>
    <row r="46" spans="1:9" x14ac:dyDescent="0.3">
      <c r="A46" s="8">
        <v>45759</v>
      </c>
      <c r="B46" s="2">
        <v>1</v>
      </c>
      <c r="C46" s="2" t="s">
        <v>113</v>
      </c>
      <c r="D46" s="2" t="s">
        <v>115</v>
      </c>
      <c r="E46" s="3">
        <v>2299</v>
      </c>
      <c r="F46" s="3">
        <f t="shared" si="2"/>
        <v>2299</v>
      </c>
      <c r="G46" s="10" t="s">
        <v>234</v>
      </c>
      <c r="H46" s="2" t="s">
        <v>116</v>
      </c>
      <c r="I46">
        <v>471</v>
      </c>
    </row>
    <row r="47" spans="1:9" x14ac:dyDescent="0.3">
      <c r="A47" s="8">
        <v>45759</v>
      </c>
      <c r="B47" s="2">
        <v>1</v>
      </c>
      <c r="C47" s="2" t="s">
        <v>114</v>
      </c>
      <c r="D47" s="2" t="s">
        <v>115</v>
      </c>
      <c r="E47" s="3">
        <v>2299</v>
      </c>
      <c r="F47" s="3">
        <f t="shared" si="2"/>
        <v>2299</v>
      </c>
      <c r="G47" s="10" t="s">
        <v>234</v>
      </c>
      <c r="H47" s="2" t="s">
        <v>116</v>
      </c>
      <c r="I47">
        <v>171</v>
      </c>
    </row>
    <row r="48" spans="1:9" x14ac:dyDescent="0.3">
      <c r="A48" s="8">
        <v>45759</v>
      </c>
      <c r="B48" s="2">
        <v>1</v>
      </c>
      <c r="C48" s="2" t="s">
        <v>117</v>
      </c>
      <c r="D48" s="2" t="s">
        <v>115</v>
      </c>
      <c r="E48" s="3">
        <v>724</v>
      </c>
      <c r="F48" s="3">
        <f t="shared" si="2"/>
        <v>724</v>
      </c>
      <c r="G48" s="10" t="s">
        <v>234</v>
      </c>
      <c r="H48" s="2" t="s">
        <v>116</v>
      </c>
    </row>
    <row r="49" spans="1:9" x14ac:dyDescent="0.3">
      <c r="A49" s="8">
        <v>45759</v>
      </c>
      <c r="B49" s="2">
        <v>3</v>
      </c>
      <c r="C49" s="2" t="s">
        <v>118</v>
      </c>
      <c r="D49" s="2" t="s">
        <v>115</v>
      </c>
      <c r="E49" s="3">
        <v>328</v>
      </c>
      <c r="F49" s="3">
        <f t="shared" si="2"/>
        <v>984</v>
      </c>
      <c r="G49" s="10" t="s">
        <v>234</v>
      </c>
      <c r="H49" s="2" t="s">
        <v>116</v>
      </c>
    </row>
    <row r="50" spans="1:9" x14ac:dyDescent="0.3">
      <c r="A50" s="30">
        <v>45759</v>
      </c>
      <c r="B50" s="31">
        <v>15</v>
      </c>
      <c r="C50" s="31" t="s">
        <v>114</v>
      </c>
      <c r="D50" s="31" t="s">
        <v>119</v>
      </c>
      <c r="E50" s="32">
        <v>2299</v>
      </c>
      <c r="F50" s="32">
        <f t="shared" si="2"/>
        <v>34485</v>
      </c>
      <c r="G50" s="31" t="s">
        <v>24</v>
      </c>
      <c r="H50" s="2" t="s">
        <v>116</v>
      </c>
      <c r="I50">
        <v>3000</v>
      </c>
    </row>
    <row r="51" spans="1:9" x14ac:dyDescent="0.3">
      <c r="A51" s="30">
        <v>45759</v>
      </c>
      <c r="B51" s="31">
        <v>10</v>
      </c>
      <c r="C51" s="31" t="s">
        <v>113</v>
      </c>
      <c r="D51" s="31" t="s">
        <v>119</v>
      </c>
      <c r="E51" s="32">
        <v>2299</v>
      </c>
      <c r="F51" s="32">
        <f t="shared" si="2"/>
        <v>22990</v>
      </c>
      <c r="G51" s="31" t="s">
        <v>24</v>
      </c>
      <c r="H51" s="2" t="s">
        <v>116</v>
      </c>
    </row>
    <row r="52" spans="1:9" x14ac:dyDescent="0.3">
      <c r="A52" s="30">
        <v>45759</v>
      </c>
      <c r="B52" s="31">
        <v>5</v>
      </c>
      <c r="C52" s="31" t="s">
        <v>120</v>
      </c>
      <c r="D52" s="31" t="s">
        <v>119</v>
      </c>
      <c r="E52" s="32">
        <v>2299</v>
      </c>
      <c r="F52" s="32">
        <f t="shared" si="2"/>
        <v>11495</v>
      </c>
      <c r="G52" s="31" t="s">
        <v>24</v>
      </c>
      <c r="H52" s="2" t="s">
        <v>116</v>
      </c>
    </row>
    <row r="53" spans="1:9" x14ac:dyDescent="0.3">
      <c r="A53" s="30">
        <v>45759</v>
      </c>
      <c r="B53" s="31">
        <v>5</v>
      </c>
      <c r="C53" s="31" t="s">
        <v>122</v>
      </c>
      <c r="D53" s="31" t="s">
        <v>119</v>
      </c>
      <c r="E53" s="32">
        <v>2699</v>
      </c>
      <c r="F53" s="32">
        <f t="shared" si="2"/>
        <v>13495</v>
      </c>
      <c r="G53" s="31" t="s">
        <v>24</v>
      </c>
      <c r="H53" s="2" t="s">
        <v>116</v>
      </c>
    </row>
    <row r="54" spans="1:9" x14ac:dyDescent="0.3">
      <c r="A54" s="30">
        <v>45759</v>
      </c>
      <c r="B54" s="31">
        <v>5</v>
      </c>
      <c r="C54" s="31" t="s">
        <v>159</v>
      </c>
      <c r="D54" s="31" t="s">
        <v>119</v>
      </c>
      <c r="E54" s="32">
        <v>2699</v>
      </c>
      <c r="F54" s="32">
        <f t="shared" si="2"/>
        <v>13495</v>
      </c>
      <c r="G54" s="31" t="s">
        <v>24</v>
      </c>
      <c r="H54" s="2" t="s">
        <v>116</v>
      </c>
    </row>
    <row r="55" spans="1:9" x14ac:dyDescent="0.3">
      <c r="A55" s="8">
        <v>45759</v>
      </c>
      <c r="B55" s="2">
        <v>2</v>
      </c>
      <c r="C55" s="2" t="s">
        <v>113</v>
      </c>
      <c r="D55" s="2" t="s">
        <v>121</v>
      </c>
      <c r="E55" s="3">
        <v>2299</v>
      </c>
      <c r="F55" s="3">
        <f t="shared" si="2"/>
        <v>4598</v>
      </c>
      <c r="G55" s="2" t="s">
        <v>8</v>
      </c>
      <c r="H55" s="2" t="s">
        <v>116</v>
      </c>
    </row>
    <row r="56" spans="1:9" x14ac:dyDescent="0.3">
      <c r="A56" s="8">
        <v>45759</v>
      </c>
      <c r="B56" s="2">
        <v>2</v>
      </c>
      <c r="C56" s="2" t="s">
        <v>114</v>
      </c>
      <c r="D56" s="2" t="s">
        <v>121</v>
      </c>
      <c r="E56" s="3">
        <v>2299</v>
      </c>
      <c r="F56" s="3">
        <f t="shared" si="2"/>
        <v>4598</v>
      </c>
      <c r="G56" s="2" t="s">
        <v>8</v>
      </c>
      <c r="H56" s="2" t="s">
        <v>116</v>
      </c>
    </row>
    <row r="57" spans="1:9" x14ac:dyDescent="0.3">
      <c r="A57" s="8">
        <v>45759</v>
      </c>
      <c r="B57" s="2">
        <v>1</v>
      </c>
      <c r="C57" s="2" t="s">
        <v>122</v>
      </c>
      <c r="D57" s="2" t="s">
        <v>121</v>
      </c>
      <c r="E57" s="3">
        <v>2699</v>
      </c>
      <c r="F57" s="3">
        <f t="shared" si="2"/>
        <v>2699</v>
      </c>
      <c r="G57" s="2" t="s">
        <v>8</v>
      </c>
      <c r="H57" s="2" t="s">
        <v>116</v>
      </c>
    </row>
    <row r="58" spans="1:9" x14ac:dyDescent="0.3">
      <c r="A58" s="8">
        <v>45759</v>
      </c>
      <c r="B58" s="2">
        <v>2</v>
      </c>
      <c r="C58" s="2" t="s">
        <v>159</v>
      </c>
      <c r="D58" s="2" t="s">
        <v>121</v>
      </c>
      <c r="E58" s="3">
        <v>2699</v>
      </c>
      <c r="F58" s="3">
        <f t="shared" si="2"/>
        <v>5398</v>
      </c>
      <c r="G58" s="2" t="s">
        <v>8</v>
      </c>
      <c r="H58" s="2" t="s">
        <v>116</v>
      </c>
    </row>
    <row r="59" spans="1:9" x14ac:dyDescent="0.3">
      <c r="A59" s="8">
        <v>45759</v>
      </c>
      <c r="B59" s="2">
        <v>5</v>
      </c>
      <c r="C59" s="2" t="s">
        <v>123</v>
      </c>
      <c r="D59" s="2" t="s">
        <v>121</v>
      </c>
      <c r="E59" s="3">
        <v>143</v>
      </c>
      <c r="F59" s="3">
        <f t="shared" si="2"/>
        <v>715</v>
      </c>
      <c r="G59" s="2" t="s">
        <v>8</v>
      </c>
      <c r="H59" s="2" t="s">
        <v>116</v>
      </c>
    </row>
    <row r="60" spans="1:9" x14ac:dyDescent="0.3">
      <c r="A60" s="8">
        <v>45759</v>
      </c>
      <c r="B60" s="2">
        <v>6</v>
      </c>
      <c r="C60" s="2" t="s">
        <v>124</v>
      </c>
      <c r="D60" s="2" t="s">
        <v>121</v>
      </c>
      <c r="E60" s="3">
        <v>30</v>
      </c>
      <c r="F60" s="3">
        <f t="shared" si="2"/>
        <v>180</v>
      </c>
      <c r="G60" s="2" t="s">
        <v>8</v>
      </c>
      <c r="H60" s="2" t="s">
        <v>116</v>
      </c>
    </row>
    <row r="61" spans="1:9" x14ac:dyDescent="0.3">
      <c r="A61" s="30">
        <v>45759</v>
      </c>
      <c r="B61" s="31">
        <v>20</v>
      </c>
      <c r="C61" s="31" t="s">
        <v>124</v>
      </c>
      <c r="D61" s="31" t="s">
        <v>121</v>
      </c>
      <c r="E61" s="32">
        <v>30</v>
      </c>
      <c r="F61" s="32">
        <f t="shared" si="2"/>
        <v>600</v>
      </c>
      <c r="G61" s="31" t="s">
        <v>24</v>
      </c>
      <c r="H61" s="2" t="s">
        <v>116</v>
      </c>
    </row>
    <row r="62" spans="1:9" x14ac:dyDescent="0.3">
      <c r="A62" s="8">
        <v>45759</v>
      </c>
      <c r="B62" s="2">
        <v>6</v>
      </c>
      <c r="C62" s="2" t="s">
        <v>124</v>
      </c>
      <c r="D62" s="2" t="s">
        <v>125</v>
      </c>
      <c r="E62" s="3">
        <v>30</v>
      </c>
      <c r="F62" s="3">
        <f t="shared" si="2"/>
        <v>180</v>
      </c>
      <c r="G62" s="2" t="s">
        <v>8</v>
      </c>
      <c r="H62" s="2" t="s">
        <v>116</v>
      </c>
    </row>
    <row r="63" spans="1:9" x14ac:dyDescent="0.3">
      <c r="A63" s="8">
        <v>45759</v>
      </c>
      <c r="B63" s="2">
        <v>5</v>
      </c>
      <c r="C63" s="2" t="s">
        <v>117</v>
      </c>
      <c r="D63" s="2" t="s">
        <v>125</v>
      </c>
      <c r="E63" s="3">
        <v>715</v>
      </c>
      <c r="F63" s="3">
        <f t="shared" si="2"/>
        <v>3575</v>
      </c>
      <c r="G63" s="2" t="s">
        <v>8</v>
      </c>
      <c r="H63" s="2" t="s">
        <v>116</v>
      </c>
    </row>
    <row r="64" spans="1:9" x14ac:dyDescent="0.3">
      <c r="A64" s="8">
        <v>45759</v>
      </c>
      <c r="B64" s="2">
        <v>1</v>
      </c>
      <c r="C64" s="2" t="s">
        <v>113</v>
      </c>
      <c r="D64" s="2" t="s">
        <v>125</v>
      </c>
      <c r="E64" s="3">
        <v>2299</v>
      </c>
      <c r="F64" s="3">
        <f t="shared" si="2"/>
        <v>2299</v>
      </c>
      <c r="G64" s="2" t="s">
        <v>8</v>
      </c>
      <c r="H64" s="2" t="s">
        <v>116</v>
      </c>
    </row>
    <row r="65" spans="1:9" x14ac:dyDescent="0.3">
      <c r="A65" s="8">
        <v>45759</v>
      </c>
      <c r="B65" s="2">
        <v>1</v>
      </c>
      <c r="C65" s="2" t="s">
        <v>122</v>
      </c>
      <c r="D65" s="2" t="s">
        <v>125</v>
      </c>
      <c r="E65" s="3">
        <v>2699</v>
      </c>
      <c r="F65" s="3">
        <f t="shared" si="2"/>
        <v>2699</v>
      </c>
      <c r="G65" s="2" t="s">
        <v>8</v>
      </c>
      <c r="H65" s="2" t="s">
        <v>116</v>
      </c>
    </row>
    <row r="66" spans="1:9" x14ac:dyDescent="0.3">
      <c r="A66" s="27">
        <v>45760</v>
      </c>
      <c r="B66" s="10">
        <v>17</v>
      </c>
      <c r="C66" s="10" t="s">
        <v>117</v>
      </c>
      <c r="D66" s="10" t="s">
        <v>14</v>
      </c>
      <c r="E66" s="28">
        <v>699.99</v>
      </c>
      <c r="F66" s="28">
        <f t="shared" si="2"/>
        <v>11899.83</v>
      </c>
      <c r="G66" s="10" t="s">
        <v>235</v>
      </c>
      <c r="H66" s="2"/>
    </row>
    <row r="67" spans="1:9" x14ac:dyDescent="0.3">
      <c r="A67" s="27">
        <v>45760</v>
      </c>
      <c r="B67" s="10">
        <v>1</v>
      </c>
      <c r="C67" s="10" t="s">
        <v>117</v>
      </c>
      <c r="D67" s="10" t="s">
        <v>14</v>
      </c>
      <c r="E67" s="28">
        <v>699.99</v>
      </c>
      <c r="F67" s="28">
        <f t="shared" si="2"/>
        <v>699.99</v>
      </c>
      <c r="G67" s="10" t="s">
        <v>235</v>
      </c>
      <c r="H67" s="2"/>
    </row>
    <row r="68" spans="1:9" x14ac:dyDescent="0.3">
      <c r="A68" s="27">
        <v>45760</v>
      </c>
      <c r="B68" s="10">
        <v>3</v>
      </c>
      <c r="C68" s="10" t="s">
        <v>122</v>
      </c>
      <c r="D68" s="10" t="s">
        <v>14</v>
      </c>
      <c r="E68" s="28">
        <v>2549.9899999999998</v>
      </c>
      <c r="F68" s="28">
        <f t="shared" si="2"/>
        <v>7649.9699999999993</v>
      </c>
      <c r="G68" s="10" t="s">
        <v>235</v>
      </c>
      <c r="H68" s="2"/>
    </row>
    <row r="69" spans="1:9" x14ac:dyDescent="0.3">
      <c r="A69" s="27">
        <v>45760</v>
      </c>
      <c r="B69" s="10">
        <v>2</v>
      </c>
      <c r="C69" s="10" t="s">
        <v>127</v>
      </c>
      <c r="D69" s="10" t="s">
        <v>14</v>
      </c>
      <c r="E69" s="28">
        <v>2549.9899999999998</v>
      </c>
      <c r="F69" s="28">
        <f t="shared" si="2"/>
        <v>5099.9799999999996</v>
      </c>
      <c r="G69" s="10" t="s">
        <v>235</v>
      </c>
      <c r="H69" s="2"/>
    </row>
    <row r="70" spans="1:9" x14ac:dyDescent="0.3">
      <c r="A70" s="8">
        <v>45760</v>
      </c>
      <c r="B70" s="2">
        <v>10</v>
      </c>
      <c r="C70" s="2" t="s">
        <v>99</v>
      </c>
      <c r="D70" s="2" t="s">
        <v>126</v>
      </c>
      <c r="E70" s="3">
        <v>724</v>
      </c>
      <c r="F70" s="3">
        <f t="shared" si="2"/>
        <v>7240</v>
      </c>
      <c r="G70" s="2" t="s">
        <v>194</v>
      </c>
      <c r="H70" s="2"/>
    </row>
    <row r="71" spans="1:9" x14ac:dyDescent="0.3">
      <c r="A71" s="8">
        <v>45760</v>
      </c>
      <c r="B71" s="2">
        <v>1</v>
      </c>
      <c r="C71" s="2" t="s">
        <v>133</v>
      </c>
      <c r="D71" s="2" t="s">
        <v>59</v>
      </c>
      <c r="E71" s="3">
        <v>713</v>
      </c>
      <c r="F71" s="3">
        <f t="shared" si="2"/>
        <v>713</v>
      </c>
      <c r="G71" s="2" t="s">
        <v>8</v>
      </c>
      <c r="H71" s="2"/>
    </row>
    <row r="72" spans="1:9" x14ac:dyDescent="0.3">
      <c r="A72" s="8">
        <v>45760</v>
      </c>
      <c r="B72" s="2">
        <v>3</v>
      </c>
      <c r="C72" s="2" t="s">
        <v>134</v>
      </c>
      <c r="D72" s="2" t="s">
        <v>41</v>
      </c>
      <c r="E72" s="3">
        <v>213</v>
      </c>
      <c r="F72" s="3">
        <f t="shared" si="2"/>
        <v>639</v>
      </c>
      <c r="G72" s="18" t="s">
        <v>8</v>
      </c>
      <c r="H72" s="2"/>
    </row>
    <row r="73" spans="1:9" x14ac:dyDescent="0.3">
      <c r="A73" s="8">
        <v>45760</v>
      </c>
      <c r="B73" s="2">
        <v>2</v>
      </c>
      <c r="C73" s="2" t="s">
        <v>87</v>
      </c>
      <c r="D73" s="2" t="s">
        <v>41</v>
      </c>
      <c r="E73" s="3">
        <v>87</v>
      </c>
      <c r="F73" s="3">
        <f t="shared" si="2"/>
        <v>174</v>
      </c>
      <c r="G73" s="2" t="s">
        <v>8</v>
      </c>
      <c r="H73" s="2"/>
    </row>
    <row r="74" spans="1:9" x14ac:dyDescent="0.3">
      <c r="A74" s="8">
        <v>45760</v>
      </c>
      <c r="B74" s="2">
        <v>8</v>
      </c>
      <c r="C74" s="2" t="s">
        <v>135</v>
      </c>
      <c r="D74" s="2" t="s">
        <v>41</v>
      </c>
      <c r="E74" s="3">
        <v>19</v>
      </c>
      <c r="F74" s="3">
        <f t="shared" si="2"/>
        <v>152</v>
      </c>
      <c r="G74" s="2" t="s">
        <v>8</v>
      </c>
      <c r="H74" s="2"/>
    </row>
    <row r="75" spans="1:9" x14ac:dyDescent="0.3">
      <c r="A75" s="27">
        <v>45760</v>
      </c>
      <c r="B75" s="10">
        <v>20</v>
      </c>
      <c r="C75" s="10" t="s">
        <v>124</v>
      </c>
      <c r="D75" s="10" t="s">
        <v>251</v>
      </c>
      <c r="E75" s="28">
        <v>30</v>
      </c>
      <c r="F75" s="28">
        <f t="shared" si="2"/>
        <v>600</v>
      </c>
      <c r="G75" s="10" t="s">
        <v>234</v>
      </c>
      <c r="H75" s="2" t="s">
        <v>116</v>
      </c>
    </row>
    <row r="76" spans="1:9" x14ac:dyDescent="0.3">
      <c r="A76" s="27">
        <v>45760</v>
      </c>
      <c r="B76" s="10">
        <v>4</v>
      </c>
      <c r="C76" s="10" t="s">
        <v>117</v>
      </c>
      <c r="D76" s="10" t="s">
        <v>138</v>
      </c>
      <c r="E76" s="28">
        <v>724</v>
      </c>
      <c r="F76" s="28">
        <f t="shared" si="2"/>
        <v>2896</v>
      </c>
      <c r="G76" s="10" t="s">
        <v>234</v>
      </c>
      <c r="H76" s="2" t="s">
        <v>116</v>
      </c>
      <c r="I76">
        <v>60</v>
      </c>
    </row>
    <row r="77" spans="1:9" x14ac:dyDescent="0.3">
      <c r="A77" s="8">
        <v>45760</v>
      </c>
      <c r="B77" s="2">
        <v>1</v>
      </c>
      <c r="C77" s="2" t="s">
        <v>146</v>
      </c>
      <c r="D77" s="2" t="s">
        <v>139</v>
      </c>
      <c r="E77" s="3">
        <v>2077</v>
      </c>
      <c r="F77" s="3">
        <f t="shared" si="2"/>
        <v>2077</v>
      </c>
      <c r="G77" s="2" t="s">
        <v>8</v>
      </c>
      <c r="H77" s="2" t="s">
        <v>116</v>
      </c>
    </row>
    <row r="78" spans="1:9" x14ac:dyDescent="0.3">
      <c r="A78" s="8">
        <v>45760</v>
      </c>
      <c r="B78" s="2">
        <v>1</v>
      </c>
      <c r="C78" s="2" t="s">
        <v>122</v>
      </c>
      <c r="D78" s="2" t="s">
        <v>139</v>
      </c>
      <c r="E78" s="3">
        <v>2699</v>
      </c>
      <c r="F78" s="3">
        <f t="shared" si="2"/>
        <v>2699</v>
      </c>
      <c r="G78" s="2" t="s">
        <v>8</v>
      </c>
      <c r="H78" s="2" t="s">
        <v>116</v>
      </c>
    </row>
    <row r="79" spans="1:9" x14ac:dyDescent="0.3">
      <c r="A79" s="8">
        <v>45760</v>
      </c>
      <c r="B79" s="2">
        <v>2</v>
      </c>
      <c r="C79" s="2" t="s">
        <v>118</v>
      </c>
      <c r="D79" s="2" t="s">
        <v>7</v>
      </c>
      <c r="E79" s="3">
        <v>299</v>
      </c>
      <c r="F79" s="3">
        <f t="shared" si="2"/>
        <v>598</v>
      </c>
      <c r="G79" s="2" t="s">
        <v>8</v>
      </c>
      <c r="H79" s="2" t="s">
        <v>116</v>
      </c>
    </row>
    <row r="80" spans="1:9" x14ac:dyDescent="0.3">
      <c r="A80" s="8">
        <v>45760</v>
      </c>
      <c r="B80" s="2">
        <v>12</v>
      </c>
      <c r="C80" s="2" t="s">
        <v>135</v>
      </c>
      <c r="D80" s="2" t="s">
        <v>140</v>
      </c>
      <c r="E80" s="3">
        <v>19</v>
      </c>
      <c r="F80" s="3">
        <f t="shared" si="2"/>
        <v>228</v>
      </c>
      <c r="G80" s="2" t="s">
        <v>8</v>
      </c>
      <c r="H80" s="2"/>
    </row>
    <row r="81" spans="1:8" x14ac:dyDescent="0.3">
      <c r="A81" s="8">
        <v>45760</v>
      </c>
      <c r="B81" s="2">
        <v>1</v>
      </c>
      <c r="C81" s="2" t="s">
        <v>134</v>
      </c>
      <c r="D81" s="2" t="s">
        <v>140</v>
      </c>
      <c r="E81" s="3">
        <v>213</v>
      </c>
      <c r="F81" s="3">
        <f t="shared" si="2"/>
        <v>213</v>
      </c>
      <c r="G81" s="2" t="s">
        <v>8</v>
      </c>
      <c r="H81" s="2"/>
    </row>
    <row r="82" spans="1:8" x14ac:dyDescent="0.3">
      <c r="A82" s="8">
        <v>45760</v>
      </c>
      <c r="B82" s="2">
        <v>3</v>
      </c>
      <c r="C82" s="2" t="s">
        <v>87</v>
      </c>
      <c r="D82" s="2" t="s">
        <v>140</v>
      </c>
      <c r="E82" s="3">
        <v>87</v>
      </c>
      <c r="F82" s="3">
        <f t="shared" si="2"/>
        <v>261</v>
      </c>
      <c r="G82" s="2" t="s">
        <v>8</v>
      </c>
      <c r="H82" s="2"/>
    </row>
    <row r="83" spans="1:8" x14ac:dyDescent="0.3">
      <c r="A83" s="8">
        <v>45760</v>
      </c>
      <c r="B83" s="2">
        <v>5</v>
      </c>
      <c r="C83" s="2" t="s">
        <v>236</v>
      </c>
      <c r="D83" s="2" t="s">
        <v>121</v>
      </c>
      <c r="E83" s="3">
        <v>2605</v>
      </c>
      <c r="F83" s="3">
        <f t="shared" si="2"/>
        <v>13025</v>
      </c>
      <c r="G83" s="2" t="s">
        <v>8</v>
      </c>
      <c r="H83" s="2" t="s">
        <v>143</v>
      </c>
    </row>
    <row r="84" spans="1:8" x14ac:dyDescent="0.3">
      <c r="A84" s="8">
        <v>45760</v>
      </c>
      <c r="B84" s="2">
        <v>1</v>
      </c>
      <c r="C84" s="2" t="s">
        <v>237</v>
      </c>
      <c r="D84" s="2" t="s">
        <v>121</v>
      </c>
      <c r="E84" s="3">
        <v>3535</v>
      </c>
      <c r="F84" s="3">
        <f t="shared" si="2"/>
        <v>3535</v>
      </c>
      <c r="G84" s="2" t="s">
        <v>8</v>
      </c>
      <c r="H84" s="2" t="s">
        <v>143</v>
      </c>
    </row>
    <row r="85" spans="1:8" x14ac:dyDescent="0.3">
      <c r="A85" s="8">
        <v>45760</v>
      </c>
      <c r="B85" s="2">
        <v>6</v>
      </c>
      <c r="C85" s="2" t="s">
        <v>144</v>
      </c>
      <c r="D85" s="2" t="s">
        <v>121</v>
      </c>
      <c r="E85" s="3">
        <v>204</v>
      </c>
      <c r="F85" s="3">
        <f t="shared" si="2"/>
        <v>1224</v>
      </c>
      <c r="G85" s="2" t="s">
        <v>8</v>
      </c>
      <c r="H85" s="2" t="s">
        <v>116</v>
      </c>
    </row>
    <row r="86" spans="1:8" x14ac:dyDescent="0.3">
      <c r="A86" s="8">
        <v>45760</v>
      </c>
      <c r="B86" s="2">
        <v>3</v>
      </c>
      <c r="C86" s="2" t="s">
        <v>145</v>
      </c>
      <c r="D86" s="2" t="s">
        <v>121</v>
      </c>
      <c r="E86" s="3">
        <v>200</v>
      </c>
      <c r="F86" s="3">
        <f t="shared" si="2"/>
        <v>600</v>
      </c>
      <c r="G86" s="2" t="s">
        <v>8</v>
      </c>
      <c r="H86" s="2" t="s">
        <v>116</v>
      </c>
    </row>
    <row r="87" spans="1:8" x14ac:dyDescent="0.3">
      <c r="A87" s="8">
        <v>45760</v>
      </c>
      <c r="B87" s="2">
        <v>11</v>
      </c>
      <c r="C87" s="2" t="s">
        <v>135</v>
      </c>
      <c r="D87" s="2" t="s">
        <v>121</v>
      </c>
      <c r="E87" s="3">
        <v>21</v>
      </c>
      <c r="F87" s="3">
        <f t="shared" si="2"/>
        <v>231</v>
      </c>
      <c r="G87" s="2" t="s">
        <v>8</v>
      </c>
      <c r="H87" s="2" t="s">
        <v>116</v>
      </c>
    </row>
    <row r="88" spans="1:8" x14ac:dyDescent="0.3">
      <c r="A88" s="6">
        <v>45761</v>
      </c>
      <c r="B88" s="22">
        <v>6</v>
      </c>
      <c r="C88" s="22" t="s">
        <v>189</v>
      </c>
      <c r="D88" s="2" t="s">
        <v>190</v>
      </c>
      <c r="E88" s="23">
        <v>724</v>
      </c>
      <c r="F88" s="23">
        <f t="shared" si="2"/>
        <v>4344</v>
      </c>
      <c r="G88" s="2" t="s">
        <v>191</v>
      </c>
      <c r="H88" s="2"/>
    </row>
    <row r="89" spans="1:8" x14ac:dyDescent="0.3">
      <c r="A89" s="27">
        <v>45762</v>
      </c>
      <c r="B89" s="10">
        <v>2</v>
      </c>
      <c r="C89" s="10" t="s">
        <v>208</v>
      </c>
      <c r="D89" s="10" t="s">
        <v>14</v>
      </c>
      <c r="E89" s="29">
        <v>2549</v>
      </c>
      <c r="F89" s="29">
        <f t="shared" si="2"/>
        <v>5098</v>
      </c>
      <c r="G89" s="10" t="s">
        <v>235</v>
      </c>
      <c r="H89" s="2"/>
    </row>
    <row r="90" spans="1:8" x14ac:dyDescent="0.3">
      <c r="A90" s="27">
        <v>45762</v>
      </c>
      <c r="B90" s="10">
        <v>1</v>
      </c>
      <c r="C90" s="10" t="s">
        <v>127</v>
      </c>
      <c r="D90" s="10" t="s">
        <v>14</v>
      </c>
      <c r="E90" s="29">
        <v>2549</v>
      </c>
      <c r="F90" s="29">
        <f t="shared" si="2"/>
        <v>2549</v>
      </c>
      <c r="G90" s="10" t="s">
        <v>235</v>
      </c>
      <c r="H90" s="2"/>
    </row>
    <row r="91" spans="1:8" x14ac:dyDescent="0.3">
      <c r="A91" s="27">
        <v>45762</v>
      </c>
      <c r="B91" s="10">
        <v>2</v>
      </c>
      <c r="C91" s="10" t="s">
        <v>114</v>
      </c>
      <c r="D91" s="10" t="s">
        <v>14</v>
      </c>
      <c r="E91" s="29">
        <v>2199</v>
      </c>
      <c r="F91" s="29">
        <f t="shared" si="2"/>
        <v>4398</v>
      </c>
      <c r="G91" s="10" t="s">
        <v>235</v>
      </c>
      <c r="H91" s="2"/>
    </row>
    <row r="92" spans="1:8" x14ac:dyDescent="0.3">
      <c r="A92" s="6">
        <v>45763</v>
      </c>
      <c r="B92" s="22">
        <v>2</v>
      </c>
      <c r="C92" s="22" t="s">
        <v>212</v>
      </c>
      <c r="D92" s="22" t="s">
        <v>195</v>
      </c>
      <c r="E92" s="23">
        <v>539</v>
      </c>
      <c r="F92" s="23">
        <f t="shared" si="2"/>
        <v>1078</v>
      </c>
      <c r="G92" s="22" t="s">
        <v>209</v>
      </c>
      <c r="H92" s="2"/>
    </row>
    <row r="93" spans="1:8" x14ac:dyDescent="0.3">
      <c r="A93" s="6">
        <v>45763</v>
      </c>
      <c r="B93" s="22">
        <v>2</v>
      </c>
      <c r="C93" s="22" t="s">
        <v>31</v>
      </c>
      <c r="D93" s="24" t="s">
        <v>30</v>
      </c>
      <c r="E93" s="23">
        <v>213</v>
      </c>
      <c r="F93" s="23">
        <f t="shared" si="2"/>
        <v>426</v>
      </c>
      <c r="G93" s="22" t="s">
        <v>8</v>
      </c>
      <c r="H93" s="2"/>
    </row>
    <row r="94" spans="1:8" x14ac:dyDescent="0.3">
      <c r="A94" s="8">
        <v>45763</v>
      </c>
      <c r="B94" s="2">
        <v>6</v>
      </c>
      <c r="C94" s="2" t="s">
        <v>135</v>
      </c>
      <c r="D94" s="2" t="s">
        <v>30</v>
      </c>
      <c r="E94" s="3">
        <v>19</v>
      </c>
      <c r="F94" s="3">
        <f t="shared" si="2"/>
        <v>114</v>
      </c>
      <c r="G94" s="2" t="s">
        <v>8</v>
      </c>
      <c r="H94" s="2"/>
    </row>
    <row r="95" spans="1:8" x14ac:dyDescent="0.3">
      <c r="A95" s="30">
        <v>45763</v>
      </c>
      <c r="B95" s="31">
        <v>2</v>
      </c>
      <c r="C95" s="31" t="s">
        <v>196</v>
      </c>
      <c r="D95" s="31" t="s">
        <v>30</v>
      </c>
      <c r="E95" s="32">
        <v>646</v>
      </c>
      <c r="F95" s="32">
        <f t="shared" si="2"/>
        <v>1292</v>
      </c>
      <c r="G95" s="31" t="s">
        <v>24</v>
      </c>
      <c r="H95" s="2"/>
    </row>
    <row r="96" spans="1:8" x14ac:dyDescent="0.3">
      <c r="A96" s="30">
        <v>45763</v>
      </c>
      <c r="B96" s="31">
        <v>4</v>
      </c>
      <c r="C96" s="31" t="s">
        <v>197</v>
      </c>
      <c r="D96" s="31" t="s">
        <v>30</v>
      </c>
      <c r="E96" s="32">
        <v>713</v>
      </c>
      <c r="F96" s="32">
        <f t="shared" si="2"/>
        <v>2852</v>
      </c>
      <c r="G96" s="31" t="s">
        <v>24</v>
      </c>
      <c r="H96" s="2"/>
    </row>
    <row r="97" spans="1:8" x14ac:dyDescent="0.3">
      <c r="A97" s="30">
        <v>45763</v>
      </c>
      <c r="B97" s="31">
        <v>2</v>
      </c>
      <c r="C97" s="31" t="s">
        <v>198</v>
      </c>
      <c r="D97" s="31" t="s">
        <v>30</v>
      </c>
      <c r="E97" s="32">
        <v>184</v>
      </c>
      <c r="F97" s="32">
        <f t="shared" si="2"/>
        <v>368</v>
      </c>
      <c r="G97" s="31" t="s">
        <v>24</v>
      </c>
      <c r="H97" s="2"/>
    </row>
    <row r="98" spans="1:8" x14ac:dyDescent="0.3">
      <c r="A98" s="8">
        <v>45764</v>
      </c>
      <c r="B98" s="2">
        <v>1</v>
      </c>
      <c r="C98" s="2" t="s">
        <v>211</v>
      </c>
      <c r="D98" s="2" t="s">
        <v>206</v>
      </c>
      <c r="E98" s="3">
        <v>489</v>
      </c>
      <c r="F98" s="3">
        <f t="shared" si="2"/>
        <v>489</v>
      </c>
      <c r="G98" s="2" t="s">
        <v>8</v>
      </c>
      <c r="H98" s="2"/>
    </row>
    <row r="99" spans="1:8" x14ac:dyDescent="0.3">
      <c r="A99" s="8">
        <v>45764</v>
      </c>
      <c r="B99" s="2">
        <v>1</v>
      </c>
      <c r="C99" s="2" t="s">
        <v>199</v>
      </c>
      <c r="D99" s="2" t="s">
        <v>206</v>
      </c>
      <c r="E99" s="3">
        <v>489</v>
      </c>
      <c r="F99" s="3">
        <f t="shared" si="2"/>
        <v>489</v>
      </c>
      <c r="G99" s="2" t="s">
        <v>8</v>
      </c>
      <c r="H99" s="2"/>
    </row>
    <row r="100" spans="1:8" x14ac:dyDescent="0.3">
      <c r="A100" s="8">
        <v>45764</v>
      </c>
      <c r="B100" s="2">
        <v>1</v>
      </c>
      <c r="C100" s="2" t="s">
        <v>201</v>
      </c>
      <c r="D100" s="2" t="s">
        <v>200</v>
      </c>
      <c r="E100" s="3">
        <v>539</v>
      </c>
      <c r="F100" s="3">
        <f t="shared" si="2"/>
        <v>539</v>
      </c>
      <c r="G100" s="2" t="s">
        <v>8</v>
      </c>
      <c r="H100" s="2"/>
    </row>
    <row r="101" spans="1:8" x14ac:dyDescent="0.3">
      <c r="A101" s="8">
        <v>45764</v>
      </c>
      <c r="B101" s="2">
        <v>1</v>
      </c>
      <c r="C101" s="2" t="s">
        <v>202</v>
      </c>
      <c r="D101" s="2" t="s">
        <v>200</v>
      </c>
      <c r="E101" s="3">
        <v>539</v>
      </c>
      <c r="F101" s="3">
        <f t="shared" si="2"/>
        <v>539</v>
      </c>
      <c r="G101" s="2" t="s">
        <v>8</v>
      </c>
      <c r="H101" s="2"/>
    </row>
    <row r="102" spans="1:8" x14ac:dyDescent="0.3">
      <c r="A102" s="8">
        <v>45764</v>
      </c>
      <c r="B102" s="2">
        <v>1</v>
      </c>
      <c r="C102" s="25" t="s">
        <v>203</v>
      </c>
      <c r="D102" s="2" t="s">
        <v>204</v>
      </c>
      <c r="E102" s="3">
        <v>539</v>
      </c>
      <c r="F102" s="3">
        <f t="shared" si="2"/>
        <v>539</v>
      </c>
      <c r="G102" s="2" t="s">
        <v>8</v>
      </c>
      <c r="H102" s="2"/>
    </row>
    <row r="103" spans="1:8" x14ac:dyDescent="0.3">
      <c r="A103" s="8">
        <v>45764</v>
      </c>
      <c r="B103" s="2">
        <v>1</v>
      </c>
      <c r="C103" s="25" t="s">
        <v>207</v>
      </c>
      <c r="D103" s="2" t="s">
        <v>204</v>
      </c>
      <c r="E103" s="3">
        <v>489</v>
      </c>
      <c r="F103" s="3">
        <f t="shared" si="2"/>
        <v>489</v>
      </c>
      <c r="G103" s="2" t="s">
        <v>8</v>
      </c>
      <c r="H103" s="2"/>
    </row>
    <row r="104" spans="1:8" x14ac:dyDescent="0.3">
      <c r="A104" s="8">
        <v>45764</v>
      </c>
      <c r="B104" s="2">
        <v>5</v>
      </c>
      <c r="C104" s="25" t="s">
        <v>201</v>
      </c>
      <c r="D104" s="2" t="s">
        <v>204</v>
      </c>
      <c r="E104" s="3">
        <v>539</v>
      </c>
      <c r="F104" s="3">
        <f t="shared" si="2"/>
        <v>2695</v>
      </c>
      <c r="G104" s="2" t="s">
        <v>8</v>
      </c>
      <c r="H104" s="2"/>
    </row>
    <row r="105" spans="1:8" x14ac:dyDescent="0.3">
      <c r="A105" s="8">
        <v>45764</v>
      </c>
      <c r="B105" s="2">
        <v>4</v>
      </c>
      <c r="C105" s="2" t="s">
        <v>205</v>
      </c>
      <c r="D105" s="2" t="s">
        <v>204</v>
      </c>
      <c r="E105" s="3">
        <v>539</v>
      </c>
      <c r="F105" s="3">
        <f t="shared" si="2"/>
        <v>2156</v>
      </c>
      <c r="G105" s="2" t="s">
        <v>8</v>
      </c>
      <c r="H105" s="2"/>
    </row>
    <row r="106" spans="1:8" x14ac:dyDescent="0.3">
      <c r="A106" s="8">
        <v>45767</v>
      </c>
      <c r="B106" s="2">
        <v>1</v>
      </c>
      <c r="C106" s="26" t="s">
        <v>86</v>
      </c>
      <c r="D106" s="2" t="s">
        <v>225</v>
      </c>
      <c r="E106" s="3">
        <v>597</v>
      </c>
      <c r="F106" s="3">
        <f t="shared" si="2"/>
        <v>597</v>
      </c>
      <c r="G106" s="2"/>
      <c r="H106" s="2"/>
    </row>
    <row r="107" spans="1:8" x14ac:dyDescent="0.3">
      <c r="A107" s="8">
        <v>45767</v>
      </c>
      <c r="B107" s="2">
        <v>9</v>
      </c>
      <c r="C107" s="25" t="s">
        <v>223</v>
      </c>
      <c r="D107" s="2" t="s">
        <v>214</v>
      </c>
      <c r="E107" s="3">
        <v>539</v>
      </c>
      <c r="F107" s="3">
        <f t="shared" si="2"/>
        <v>4851</v>
      </c>
      <c r="G107" s="2" t="s">
        <v>8</v>
      </c>
      <c r="H107" s="2"/>
    </row>
    <row r="108" spans="1:8" x14ac:dyDescent="0.3">
      <c r="A108" s="27">
        <v>45767</v>
      </c>
      <c r="B108" s="10">
        <v>5</v>
      </c>
      <c r="C108" s="10" t="s">
        <v>215</v>
      </c>
      <c r="D108" s="10" t="s">
        <v>213</v>
      </c>
      <c r="E108" s="28">
        <v>489</v>
      </c>
      <c r="F108" s="28">
        <f t="shared" si="2"/>
        <v>2445</v>
      </c>
      <c r="G108" s="10" t="s">
        <v>235</v>
      </c>
      <c r="H108" s="2"/>
    </row>
    <row r="109" spans="1:8" x14ac:dyDescent="0.3">
      <c r="A109" s="8">
        <v>45768</v>
      </c>
      <c r="B109" s="2">
        <v>1</v>
      </c>
      <c r="C109" s="2" t="s">
        <v>216</v>
      </c>
      <c r="D109" s="2" t="s">
        <v>140</v>
      </c>
      <c r="E109" s="2">
        <v>184</v>
      </c>
      <c r="F109" s="3">
        <f t="shared" ref="F109:F147" si="3">B109*E109</f>
        <v>184</v>
      </c>
      <c r="G109" s="2" t="s">
        <v>8</v>
      </c>
      <c r="H109" s="2"/>
    </row>
    <row r="110" spans="1:8" x14ac:dyDescent="0.3">
      <c r="A110" s="8">
        <v>45768</v>
      </c>
      <c r="B110" s="2">
        <v>6</v>
      </c>
      <c r="C110" s="2" t="s">
        <v>217</v>
      </c>
      <c r="D110" s="2" t="s">
        <v>121</v>
      </c>
      <c r="E110" s="2">
        <v>2590</v>
      </c>
      <c r="F110" s="3">
        <f t="shared" si="3"/>
        <v>15540</v>
      </c>
      <c r="G110" s="2" t="s">
        <v>8</v>
      </c>
      <c r="H110" s="2" t="s">
        <v>218</v>
      </c>
    </row>
    <row r="111" spans="1:8" x14ac:dyDescent="0.3">
      <c r="A111" s="8">
        <v>45768</v>
      </c>
      <c r="B111" s="2">
        <v>5</v>
      </c>
      <c r="C111" s="2" t="s">
        <v>135</v>
      </c>
      <c r="D111" s="2" t="s">
        <v>121</v>
      </c>
      <c r="E111" s="2">
        <v>21</v>
      </c>
      <c r="F111" s="2">
        <f t="shared" si="3"/>
        <v>105</v>
      </c>
      <c r="G111" s="2" t="s">
        <v>8</v>
      </c>
      <c r="H111" s="2"/>
    </row>
    <row r="112" spans="1:8" x14ac:dyDescent="0.3">
      <c r="A112" s="8">
        <v>45768</v>
      </c>
      <c r="B112" s="2">
        <v>6</v>
      </c>
      <c r="C112" s="25" t="s">
        <v>223</v>
      </c>
      <c r="D112" s="2" t="s">
        <v>219</v>
      </c>
      <c r="E112" s="3">
        <v>539</v>
      </c>
      <c r="F112" s="3">
        <f t="shared" si="3"/>
        <v>3234</v>
      </c>
      <c r="G112" s="2" t="s">
        <v>8</v>
      </c>
      <c r="H112" s="2"/>
    </row>
    <row r="113" spans="1:8" x14ac:dyDescent="0.3">
      <c r="A113" s="30">
        <v>45768</v>
      </c>
      <c r="B113" s="31">
        <v>2</v>
      </c>
      <c r="C113" s="31" t="s">
        <v>221</v>
      </c>
      <c r="D113" s="31" t="s">
        <v>220</v>
      </c>
      <c r="E113" s="32">
        <v>489</v>
      </c>
      <c r="F113" s="32">
        <f t="shared" si="3"/>
        <v>978</v>
      </c>
      <c r="G113" s="31" t="s">
        <v>62</v>
      </c>
      <c r="H113" s="2"/>
    </row>
    <row r="114" spans="1:8" x14ac:dyDescent="0.3">
      <c r="A114" s="8">
        <v>45768</v>
      </c>
      <c r="B114" s="2">
        <v>4</v>
      </c>
      <c r="C114" s="25" t="s">
        <v>223</v>
      </c>
      <c r="D114" s="2" t="s">
        <v>222</v>
      </c>
      <c r="E114" s="3">
        <v>539</v>
      </c>
      <c r="F114" s="3">
        <f t="shared" si="3"/>
        <v>2156</v>
      </c>
      <c r="G114" s="2" t="s">
        <v>8</v>
      </c>
      <c r="H114" s="2"/>
    </row>
    <row r="115" spans="1:8" x14ac:dyDescent="0.3">
      <c r="A115" s="8">
        <v>45768</v>
      </c>
      <c r="B115" s="2">
        <v>4</v>
      </c>
      <c r="C115" s="25" t="s">
        <v>223</v>
      </c>
      <c r="D115" s="2" t="s">
        <v>224</v>
      </c>
      <c r="E115" s="3">
        <v>539</v>
      </c>
      <c r="F115" s="3">
        <f t="shared" si="3"/>
        <v>2156</v>
      </c>
      <c r="G115" s="2" t="s">
        <v>8</v>
      </c>
      <c r="H115" s="2"/>
    </row>
    <row r="116" spans="1:8" x14ac:dyDescent="0.3">
      <c r="A116" s="27">
        <v>45768</v>
      </c>
      <c r="B116" s="10">
        <v>3</v>
      </c>
      <c r="C116" s="10" t="s">
        <v>114</v>
      </c>
      <c r="D116" s="10" t="s">
        <v>14</v>
      </c>
      <c r="E116" s="28">
        <v>2199</v>
      </c>
      <c r="F116" s="28">
        <f t="shared" si="3"/>
        <v>6597</v>
      </c>
      <c r="G116" s="10" t="s">
        <v>235</v>
      </c>
      <c r="H116" s="2"/>
    </row>
    <row r="117" spans="1:8" x14ac:dyDescent="0.3">
      <c r="A117" s="27">
        <v>45768</v>
      </c>
      <c r="B117" s="10">
        <v>6</v>
      </c>
      <c r="C117" s="10" t="s">
        <v>113</v>
      </c>
      <c r="D117" s="10" t="s">
        <v>14</v>
      </c>
      <c r="E117" s="28">
        <v>2199</v>
      </c>
      <c r="F117" s="28">
        <f t="shared" si="3"/>
        <v>13194</v>
      </c>
      <c r="G117" s="10" t="s">
        <v>235</v>
      </c>
      <c r="H117" s="2"/>
    </row>
    <row r="118" spans="1:8" x14ac:dyDescent="0.3">
      <c r="A118" s="8">
        <v>45769</v>
      </c>
      <c r="B118" s="2">
        <v>2</v>
      </c>
      <c r="C118" s="2" t="s">
        <v>226</v>
      </c>
      <c r="D118" s="2" t="s">
        <v>72</v>
      </c>
      <c r="E118" s="3">
        <v>254.6</v>
      </c>
      <c r="F118" s="3">
        <f t="shared" si="3"/>
        <v>509.2</v>
      </c>
      <c r="G118" s="2" t="s">
        <v>8</v>
      </c>
      <c r="H118" s="2"/>
    </row>
    <row r="119" spans="1:8" x14ac:dyDescent="0.3">
      <c r="A119" s="8">
        <v>45769</v>
      </c>
      <c r="B119" s="2">
        <v>17</v>
      </c>
      <c r="C119" s="2" t="s">
        <v>87</v>
      </c>
      <c r="D119" s="2" t="s">
        <v>227</v>
      </c>
      <c r="E119" s="3">
        <v>98</v>
      </c>
      <c r="F119" s="3">
        <f t="shared" si="3"/>
        <v>1666</v>
      </c>
      <c r="G119" s="2" t="s">
        <v>8</v>
      </c>
      <c r="H119" s="2"/>
    </row>
    <row r="120" spans="1:8" x14ac:dyDescent="0.3">
      <c r="A120" s="8">
        <v>45769</v>
      </c>
      <c r="B120" s="2">
        <v>1</v>
      </c>
      <c r="C120" s="2" t="s">
        <v>228</v>
      </c>
      <c r="D120" s="2" t="s">
        <v>125</v>
      </c>
      <c r="E120" s="3">
        <v>2588</v>
      </c>
      <c r="F120" s="3">
        <f t="shared" si="3"/>
        <v>2588</v>
      </c>
      <c r="G120" s="2" t="s">
        <v>8</v>
      </c>
      <c r="H120" s="2" t="s">
        <v>230</v>
      </c>
    </row>
    <row r="121" spans="1:8" x14ac:dyDescent="0.3">
      <c r="A121" s="8">
        <v>45769</v>
      </c>
      <c r="B121" s="2">
        <v>1</v>
      </c>
      <c r="C121" s="2" t="s">
        <v>229</v>
      </c>
      <c r="D121" s="2" t="s">
        <v>125</v>
      </c>
      <c r="E121" s="3">
        <v>3518</v>
      </c>
      <c r="F121" s="3">
        <f t="shared" si="3"/>
        <v>3518</v>
      </c>
      <c r="G121" s="2" t="s">
        <v>8</v>
      </c>
      <c r="H121" s="2" t="s">
        <v>230</v>
      </c>
    </row>
    <row r="122" spans="1:8" x14ac:dyDescent="0.3">
      <c r="A122" s="30">
        <v>45769</v>
      </c>
      <c r="B122" s="31">
        <v>1</v>
      </c>
      <c r="C122" s="31" t="s">
        <v>114</v>
      </c>
      <c r="D122" s="31" t="s">
        <v>231</v>
      </c>
      <c r="E122" s="32">
        <v>2197</v>
      </c>
      <c r="F122" s="32">
        <f t="shared" si="3"/>
        <v>2197</v>
      </c>
      <c r="G122" s="31" t="s">
        <v>232</v>
      </c>
      <c r="H122" s="2"/>
    </row>
    <row r="123" spans="1:8" x14ac:dyDescent="0.3">
      <c r="A123" s="30">
        <v>45769</v>
      </c>
      <c r="B123" s="31">
        <v>1</v>
      </c>
      <c r="C123" s="31" t="s">
        <v>159</v>
      </c>
      <c r="D123" s="31" t="s">
        <v>231</v>
      </c>
      <c r="E123" s="32">
        <v>2549</v>
      </c>
      <c r="F123" s="32">
        <f t="shared" si="3"/>
        <v>2549</v>
      </c>
      <c r="G123" s="31" t="s">
        <v>103</v>
      </c>
      <c r="H123" s="2"/>
    </row>
    <row r="124" spans="1:8" x14ac:dyDescent="0.3">
      <c r="A124" s="8">
        <v>45769</v>
      </c>
      <c r="B124" s="2">
        <v>1</v>
      </c>
      <c r="C124" s="2" t="s">
        <v>159</v>
      </c>
      <c r="D124" s="2" t="s">
        <v>233</v>
      </c>
      <c r="E124" s="3">
        <v>2549</v>
      </c>
      <c r="F124" s="3">
        <f t="shared" si="3"/>
        <v>2549</v>
      </c>
      <c r="G124" s="2" t="s">
        <v>8</v>
      </c>
      <c r="H124" s="2"/>
    </row>
    <row r="125" spans="1:8" x14ac:dyDescent="0.3">
      <c r="A125" s="8">
        <v>45769</v>
      </c>
      <c r="B125" s="2">
        <v>3</v>
      </c>
      <c r="C125" s="2" t="s">
        <v>114</v>
      </c>
      <c r="D125" s="2" t="s">
        <v>233</v>
      </c>
      <c r="E125" s="3">
        <v>2197</v>
      </c>
      <c r="F125" s="3">
        <f t="shared" si="3"/>
        <v>6591</v>
      </c>
      <c r="G125" s="2" t="s">
        <v>8</v>
      </c>
      <c r="H125" s="2"/>
    </row>
    <row r="126" spans="1:8" x14ac:dyDescent="0.3">
      <c r="A126" s="8">
        <v>45769</v>
      </c>
      <c r="B126" s="2">
        <v>3</v>
      </c>
      <c r="C126" s="2" t="s">
        <v>226</v>
      </c>
      <c r="D126" s="2" t="s">
        <v>28</v>
      </c>
      <c r="E126" s="3">
        <v>254.6</v>
      </c>
      <c r="F126" s="3">
        <f t="shared" si="3"/>
        <v>763.8</v>
      </c>
      <c r="G126" s="2" t="s">
        <v>8</v>
      </c>
      <c r="H126" s="2"/>
    </row>
    <row r="127" spans="1:8" x14ac:dyDescent="0.3">
      <c r="A127" s="8">
        <v>45769</v>
      </c>
      <c r="B127" s="2">
        <v>1</v>
      </c>
      <c r="C127" s="2" t="s">
        <v>87</v>
      </c>
      <c r="D127" s="2" t="s">
        <v>28</v>
      </c>
      <c r="E127" s="3">
        <v>98</v>
      </c>
      <c r="F127" s="3">
        <f t="shared" si="3"/>
        <v>98</v>
      </c>
      <c r="G127" s="2" t="s">
        <v>8</v>
      </c>
      <c r="H127" s="2"/>
    </row>
    <row r="128" spans="1:8" x14ac:dyDescent="0.3">
      <c r="A128" s="8"/>
      <c r="B128" s="2"/>
      <c r="C128" s="2"/>
      <c r="D128" s="2"/>
      <c r="E128" s="3"/>
      <c r="F128" s="3"/>
      <c r="G128" s="2"/>
      <c r="H128" s="2"/>
    </row>
    <row r="129" spans="1:8" x14ac:dyDescent="0.3">
      <c r="A129" s="8"/>
      <c r="B129" s="2"/>
      <c r="C129" s="2"/>
      <c r="D129" s="2"/>
      <c r="E129" s="3"/>
      <c r="F129" s="3"/>
      <c r="G129" s="2"/>
      <c r="H129" s="2"/>
    </row>
    <row r="130" spans="1:8" x14ac:dyDescent="0.3">
      <c r="A130" s="8">
        <v>45771</v>
      </c>
      <c r="B130" s="2">
        <v>4</v>
      </c>
      <c r="C130" s="2" t="s">
        <v>236</v>
      </c>
      <c r="D130" s="2" t="s">
        <v>115</v>
      </c>
      <c r="E130" s="3">
        <v>2530</v>
      </c>
      <c r="F130" s="3">
        <f t="shared" si="3"/>
        <v>10120</v>
      </c>
      <c r="G130" s="2" t="s">
        <v>8</v>
      </c>
      <c r="H130" s="2" t="s">
        <v>230</v>
      </c>
    </row>
    <row r="131" spans="1:8" x14ac:dyDescent="0.3">
      <c r="A131" s="8">
        <v>45771</v>
      </c>
      <c r="B131" s="2">
        <v>4</v>
      </c>
      <c r="C131" s="2" t="s">
        <v>237</v>
      </c>
      <c r="D131" s="2" t="s">
        <v>115</v>
      </c>
      <c r="E131" s="3">
        <v>3450</v>
      </c>
      <c r="F131" s="3">
        <f t="shared" si="3"/>
        <v>13800</v>
      </c>
      <c r="G131" s="2" t="s">
        <v>8</v>
      </c>
      <c r="H131" s="2" t="s">
        <v>230</v>
      </c>
    </row>
    <row r="132" spans="1:8" x14ac:dyDescent="0.3">
      <c r="A132" s="8">
        <v>45771</v>
      </c>
      <c r="B132" s="2">
        <v>3</v>
      </c>
      <c r="C132" s="2" t="s">
        <v>238</v>
      </c>
      <c r="D132" s="2" t="s">
        <v>115</v>
      </c>
      <c r="E132" s="3">
        <v>521</v>
      </c>
      <c r="F132" s="3">
        <f t="shared" si="3"/>
        <v>1563</v>
      </c>
      <c r="G132" s="2" t="s">
        <v>8</v>
      </c>
      <c r="H132" s="2"/>
    </row>
    <row r="133" spans="1:8" x14ac:dyDescent="0.3">
      <c r="A133" s="8">
        <v>45771</v>
      </c>
      <c r="B133" s="2">
        <v>12</v>
      </c>
      <c r="C133" s="2" t="s">
        <v>239</v>
      </c>
      <c r="D133" s="2" t="s">
        <v>115</v>
      </c>
      <c r="E133" s="3">
        <v>14.5</v>
      </c>
      <c r="F133" s="3">
        <f t="shared" si="3"/>
        <v>174</v>
      </c>
      <c r="G133" s="2" t="s">
        <v>8</v>
      </c>
      <c r="H133" s="2"/>
    </row>
    <row r="134" spans="1:8" x14ac:dyDescent="0.3">
      <c r="A134" s="8">
        <v>45771</v>
      </c>
      <c r="B134" s="2">
        <v>15</v>
      </c>
      <c r="C134" s="2" t="s">
        <v>240</v>
      </c>
      <c r="D134" s="2" t="s">
        <v>115</v>
      </c>
      <c r="E134" s="3">
        <v>26.5</v>
      </c>
      <c r="F134" s="3">
        <f t="shared" si="3"/>
        <v>397.5</v>
      </c>
      <c r="G134" s="2" t="s">
        <v>8</v>
      </c>
      <c r="H134" s="2"/>
    </row>
    <row r="135" spans="1:8" x14ac:dyDescent="0.3">
      <c r="A135" s="8">
        <v>45771</v>
      </c>
      <c r="B135" s="2">
        <v>23</v>
      </c>
      <c r="C135" s="2" t="s">
        <v>241</v>
      </c>
      <c r="D135" s="2" t="s">
        <v>115</v>
      </c>
      <c r="E135" s="3">
        <v>12</v>
      </c>
      <c r="F135" s="3">
        <f t="shared" si="3"/>
        <v>276</v>
      </c>
      <c r="G135" s="2" t="s">
        <v>8</v>
      </c>
      <c r="H135" s="2"/>
    </row>
    <row r="136" spans="1:8" x14ac:dyDescent="0.3">
      <c r="A136" s="8">
        <v>45771</v>
      </c>
      <c r="B136" s="2">
        <v>3</v>
      </c>
      <c r="C136" s="2" t="s">
        <v>242</v>
      </c>
      <c r="D136" s="2" t="s">
        <v>115</v>
      </c>
      <c r="E136" s="3">
        <v>18</v>
      </c>
      <c r="F136" s="3">
        <f t="shared" si="3"/>
        <v>54</v>
      </c>
      <c r="G136" s="2" t="s">
        <v>8</v>
      </c>
      <c r="H136" s="2"/>
    </row>
    <row r="137" spans="1:8" x14ac:dyDescent="0.3">
      <c r="A137" s="8">
        <v>45771</v>
      </c>
      <c r="B137" s="2">
        <v>3</v>
      </c>
      <c r="C137" s="2" t="s">
        <v>243</v>
      </c>
      <c r="D137" s="2" t="s">
        <v>115</v>
      </c>
      <c r="E137" s="3">
        <v>18</v>
      </c>
      <c r="F137" s="3">
        <f t="shared" si="3"/>
        <v>54</v>
      </c>
      <c r="G137" s="2" t="s">
        <v>8</v>
      </c>
      <c r="H137" s="2"/>
    </row>
    <row r="138" spans="1:8" x14ac:dyDescent="0.3">
      <c r="A138" s="8">
        <v>45771</v>
      </c>
      <c r="B138" s="2">
        <v>2</v>
      </c>
      <c r="C138" s="2" t="s">
        <v>244</v>
      </c>
      <c r="D138" s="2" t="s">
        <v>115</v>
      </c>
      <c r="E138" s="3">
        <v>18</v>
      </c>
      <c r="F138" s="3">
        <f t="shared" si="3"/>
        <v>36</v>
      </c>
      <c r="G138" s="2" t="s">
        <v>8</v>
      </c>
      <c r="H138" s="2"/>
    </row>
    <row r="139" spans="1:8" x14ac:dyDescent="0.3">
      <c r="A139" s="8">
        <v>45771</v>
      </c>
      <c r="B139" s="2">
        <v>2</v>
      </c>
      <c r="C139" s="2" t="s">
        <v>245</v>
      </c>
      <c r="D139" s="2" t="s">
        <v>115</v>
      </c>
      <c r="E139" s="3">
        <v>18</v>
      </c>
      <c r="F139" s="3">
        <f t="shared" si="3"/>
        <v>36</v>
      </c>
      <c r="G139" s="2" t="s">
        <v>8</v>
      </c>
      <c r="H139" s="2"/>
    </row>
    <row r="140" spans="1:8" x14ac:dyDescent="0.3">
      <c r="A140" s="8">
        <v>45771</v>
      </c>
      <c r="B140" s="2">
        <v>2</v>
      </c>
      <c r="C140" s="2" t="s">
        <v>246</v>
      </c>
      <c r="D140" s="2" t="s">
        <v>115</v>
      </c>
      <c r="E140" s="3">
        <v>18</v>
      </c>
      <c r="F140" s="3">
        <f t="shared" si="3"/>
        <v>36</v>
      </c>
      <c r="G140" s="2" t="s">
        <v>8</v>
      </c>
      <c r="H140" s="2"/>
    </row>
    <row r="141" spans="1:8" x14ac:dyDescent="0.3">
      <c r="A141" s="8">
        <v>45771</v>
      </c>
      <c r="B141" s="2">
        <v>1</v>
      </c>
      <c r="C141" s="2" t="s">
        <v>247</v>
      </c>
      <c r="D141" s="2" t="s">
        <v>115</v>
      </c>
      <c r="E141" s="3">
        <v>136</v>
      </c>
      <c r="F141" s="3">
        <f t="shared" si="3"/>
        <v>136</v>
      </c>
      <c r="G141" s="2" t="s">
        <v>8</v>
      </c>
      <c r="H141" s="2"/>
    </row>
    <row r="142" spans="1:8" x14ac:dyDescent="0.3">
      <c r="A142" s="8">
        <v>45771</v>
      </c>
      <c r="B142" s="2">
        <v>2</v>
      </c>
      <c r="C142" s="2" t="s">
        <v>248</v>
      </c>
      <c r="D142" s="2" t="s">
        <v>115</v>
      </c>
      <c r="E142" s="3">
        <v>191</v>
      </c>
      <c r="F142" s="3">
        <f t="shared" si="3"/>
        <v>382</v>
      </c>
      <c r="G142" s="2" t="s">
        <v>8</v>
      </c>
      <c r="H142" s="2"/>
    </row>
    <row r="143" spans="1:8" x14ac:dyDescent="0.3">
      <c r="A143" s="8">
        <v>45771</v>
      </c>
      <c r="B143" s="2">
        <v>4</v>
      </c>
      <c r="C143" s="2" t="s">
        <v>198</v>
      </c>
      <c r="D143" s="2" t="s">
        <v>115</v>
      </c>
      <c r="E143" s="3">
        <v>184</v>
      </c>
      <c r="F143" s="3">
        <f t="shared" si="3"/>
        <v>736</v>
      </c>
      <c r="G143" s="2" t="s">
        <v>8</v>
      </c>
      <c r="H143" s="2"/>
    </row>
    <row r="144" spans="1:8" x14ac:dyDescent="0.3">
      <c r="A144" s="8">
        <v>45771</v>
      </c>
      <c r="B144" s="2">
        <v>4</v>
      </c>
      <c r="C144" s="2" t="s">
        <v>249</v>
      </c>
      <c r="D144" s="2" t="s">
        <v>115</v>
      </c>
      <c r="E144" s="3">
        <v>238</v>
      </c>
      <c r="F144" s="3">
        <f t="shared" si="3"/>
        <v>952</v>
      </c>
      <c r="G144" s="2" t="s">
        <v>8</v>
      </c>
      <c r="H144" s="2"/>
    </row>
    <row r="145" spans="1:8" x14ac:dyDescent="0.3">
      <c r="A145" s="8">
        <v>45771</v>
      </c>
      <c r="B145" s="2">
        <v>3</v>
      </c>
      <c r="C145" s="2" t="s">
        <v>238</v>
      </c>
      <c r="D145" s="2" t="s">
        <v>138</v>
      </c>
      <c r="E145" s="3">
        <v>510</v>
      </c>
      <c r="F145" s="3">
        <f t="shared" si="3"/>
        <v>1530</v>
      </c>
      <c r="G145" s="2" t="s">
        <v>8</v>
      </c>
      <c r="H145" s="2"/>
    </row>
    <row r="146" spans="1:8" x14ac:dyDescent="0.3">
      <c r="A146" s="8">
        <v>45771</v>
      </c>
      <c r="B146" s="2">
        <v>2</v>
      </c>
      <c r="C146" s="2" t="s">
        <v>237</v>
      </c>
      <c r="D146" s="2" t="s">
        <v>138</v>
      </c>
      <c r="E146" s="3">
        <v>3500</v>
      </c>
      <c r="F146" s="3">
        <f t="shared" si="3"/>
        <v>7000</v>
      </c>
      <c r="G146" s="2" t="s">
        <v>8</v>
      </c>
      <c r="H146" s="2" t="s">
        <v>230</v>
      </c>
    </row>
    <row r="147" spans="1:8" x14ac:dyDescent="0.3">
      <c r="A147" s="8">
        <v>45771</v>
      </c>
      <c r="B147" s="2">
        <v>2</v>
      </c>
      <c r="C147" s="2" t="s">
        <v>114</v>
      </c>
      <c r="D147" s="2" t="s">
        <v>250</v>
      </c>
      <c r="E147" s="3">
        <v>2149</v>
      </c>
      <c r="F147" s="3">
        <f t="shared" si="3"/>
        <v>4298</v>
      </c>
      <c r="G147" s="2" t="s">
        <v>8</v>
      </c>
      <c r="H147" s="2"/>
    </row>
    <row r="148" spans="1:8" x14ac:dyDescent="0.3">
      <c r="A148" s="2"/>
      <c r="B148" s="2"/>
      <c r="C148" s="2"/>
      <c r="D148" s="2"/>
      <c r="E148" s="2"/>
      <c r="F148" s="2"/>
      <c r="G148" s="2"/>
      <c r="H148" s="2"/>
    </row>
    <row r="149" spans="1:8" x14ac:dyDescent="0.3">
      <c r="A149" s="2"/>
      <c r="B149" s="2"/>
      <c r="C149" s="2"/>
      <c r="D149" s="2"/>
      <c r="E149" s="2"/>
      <c r="F149" s="2"/>
      <c r="G149" s="2"/>
      <c r="H149" s="2"/>
    </row>
    <row r="150" spans="1:8" x14ac:dyDescent="0.3">
      <c r="A150" s="2"/>
      <c r="B150" s="2"/>
      <c r="C150" s="2"/>
      <c r="D150" s="2"/>
      <c r="E150" s="2"/>
      <c r="F150" s="2"/>
      <c r="G150" s="2"/>
      <c r="H150" s="2"/>
    </row>
    <row r="151" spans="1:8" x14ac:dyDescent="0.3">
      <c r="A151" s="2"/>
      <c r="B151" s="2"/>
      <c r="C151" s="2"/>
      <c r="D151" s="2"/>
      <c r="E151" s="2"/>
      <c r="F151" s="2"/>
      <c r="G151" s="2"/>
      <c r="H151" s="2"/>
    </row>
    <row r="152" spans="1:8" x14ac:dyDescent="0.3">
      <c r="A152" s="2"/>
      <c r="B152" s="2"/>
      <c r="C152" s="2"/>
      <c r="D152" s="2"/>
      <c r="E152" s="2"/>
      <c r="F152" s="2"/>
      <c r="G152" s="2"/>
      <c r="H152" s="2"/>
    </row>
    <row r="153" spans="1:8" x14ac:dyDescent="0.3">
      <c r="A153" s="2"/>
      <c r="B153" s="2"/>
      <c r="C153" s="2"/>
      <c r="D153" s="2"/>
      <c r="E153" s="2"/>
      <c r="F153" s="2"/>
      <c r="G153" s="2"/>
      <c r="H153" s="2"/>
    </row>
    <row r="154" spans="1:8" x14ac:dyDescent="0.3">
      <c r="A154" s="2"/>
      <c r="B154" s="2"/>
      <c r="C154" s="2"/>
      <c r="D154" s="2"/>
      <c r="E154" s="2"/>
      <c r="F154" s="2"/>
      <c r="G154" s="2"/>
      <c r="H154" s="2"/>
    </row>
    <row r="155" spans="1:8" x14ac:dyDescent="0.3">
      <c r="A155" s="2"/>
      <c r="B155" s="2"/>
      <c r="C155" s="2"/>
      <c r="D155" s="2"/>
      <c r="E155" s="2"/>
      <c r="F155" s="2"/>
      <c r="G155" s="2"/>
      <c r="H155" s="2"/>
    </row>
    <row r="156" spans="1:8" x14ac:dyDescent="0.3">
      <c r="A156" s="2"/>
      <c r="B156" s="2"/>
      <c r="C156" s="2"/>
      <c r="D156" s="2"/>
      <c r="E156" s="2"/>
      <c r="F156" s="2"/>
      <c r="G156" s="2"/>
      <c r="H156" s="2"/>
    </row>
    <row r="157" spans="1:8" x14ac:dyDescent="0.3">
      <c r="A157" s="2"/>
      <c r="B157" s="2"/>
      <c r="C157" s="2"/>
      <c r="D157" s="2"/>
      <c r="E157" s="2"/>
      <c r="F157" s="2"/>
      <c r="G157" s="2"/>
      <c r="H157" s="2"/>
    </row>
    <row r="158" spans="1:8" x14ac:dyDescent="0.3">
      <c r="A158" s="2"/>
      <c r="B158" s="2"/>
      <c r="C158" s="2"/>
      <c r="D158" s="2"/>
      <c r="E158" s="2"/>
      <c r="F158" s="2"/>
      <c r="G158" s="2"/>
      <c r="H158" s="2"/>
    </row>
    <row r="159" spans="1:8" x14ac:dyDescent="0.3">
      <c r="A159" s="2"/>
      <c r="B159" s="2"/>
      <c r="C159" s="2"/>
      <c r="D159" s="2"/>
      <c r="E159" s="2"/>
      <c r="F159" s="2"/>
      <c r="G159" s="2"/>
      <c r="H159" s="2"/>
    </row>
    <row r="160" spans="1:8" x14ac:dyDescent="0.3">
      <c r="A160" s="2"/>
      <c r="B160" s="2"/>
      <c r="C160" s="2"/>
      <c r="D160" s="2"/>
      <c r="E160" s="2"/>
      <c r="F160" s="2"/>
      <c r="G160" s="2"/>
      <c r="H160" s="2"/>
    </row>
    <row r="161" spans="1:8" x14ac:dyDescent="0.3">
      <c r="A161" s="2"/>
      <c r="B161" s="2"/>
      <c r="C161" s="2"/>
      <c r="D161" s="2"/>
      <c r="E161" s="2"/>
      <c r="F161" s="2"/>
      <c r="G161" s="2"/>
      <c r="H161" s="2"/>
    </row>
    <row r="162" spans="1:8" x14ac:dyDescent="0.3">
      <c r="A162" s="2"/>
      <c r="B162" s="2"/>
      <c r="C162" s="2"/>
      <c r="D162" s="2"/>
      <c r="E162" s="2"/>
      <c r="F162" s="2"/>
      <c r="G162" s="2"/>
      <c r="H162" s="2"/>
    </row>
    <row r="163" spans="1:8" x14ac:dyDescent="0.3">
      <c r="A163" s="2"/>
      <c r="B163" s="2"/>
      <c r="C163" s="2"/>
      <c r="D163" s="2"/>
      <c r="E163" s="2"/>
      <c r="F163" s="2"/>
      <c r="G163" s="2"/>
      <c r="H163" s="2"/>
    </row>
    <row r="164" spans="1:8" x14ac:dyDescent="0.3">
      <c r="A164" s="2"/>
      <c r="B164" s="2"/>
      <c r="C164" s="2"/>
      <c r="D164" s="2"/>
      <c r="E164" s="2"/>
      <c r="F164" s="2"/>
      <c r="G164" s="2"/>
      <c r="H164" s="2"/>
    </row>
    <row r="165" spans="1:8" x14ac:dyDescent="0.3">
      <c r="A165" s="2"/>
      <c r="B165" s="2"/>
      <c r="C165" s="2"/>
      <c r="D165" s="2"/>
      <c r="E165" s="2"/>
      <c r="F165" s="2"/>
      <c r="G165" s="2"/>
      <c r="H165" s="2"/>
    </row>
    <row r="166" spans="1:8" x14ac:dyDescent="0.3">
      <c r="A166" s="2"/>
      <c r="B166" s="2"/>
      <c r="C166" s="2"/>
      <c r="D166" s="2"/>
      <c r="E166" s="2"/>
      <c r="F166" s="2"/>
      <c r="G166" s="2"/>
      <c r="H166" s="2"/>
    </row>
    <row r="167" spans="1:8" x14ac:dyDescent="0.3">
      <c r="A167" s="2"/>
      <c r="B167" s="2"/>
      <c r="C167" s="2"/>
      <c r="D167" s="2"/>
      <c r="E167" s="2"/>
      <c r="F167" s="2"/>
      <c r="G167" s="2"/>
      <c r="H167" s="2"/>
    </row>
    <row r="168" spans="1:8" x14ac:dyDescent="0.3">
      <c r="A168" s="2"/>
      <c r="B168" s="2"/>
      <c r="C168" s="2"/>
      <c r="D168" s="2"/>
      <c r="E168" s="2"/>
      <c r="F168" s="2"/>
      <c r="G168" s="2"/>
      <c r="H168" s="2"/>
    </row>
    <row r="169" spans="1:8" x14ac:dyDescent="0.3">
      <c r="A169" s="2"/>
      <c r="B169" s="2"/>
      <c r="C169" s="2"/>
      <c r="D169" s="2"/>
      <c r="E169" s="2"/>
      <c r="F169" s="2"/>
      <c r="G169" s="2"/>
      <c r="H169" s="2"/>
    </row>
    <row r="170" spans="1:8" x14ac:dyDescent="0.3">
      <c r="A170" s="2"/>
      <c r="B170" s="2"/>
      <c r="C170" s="2"/>
      <c r="D170" s="2"/>
      <c r="E170" s="2"/>
      <c r="F170" s="2"/>
      <c r="G170" s="2"/>
      <c r="H170" s="2"/>
    </row>
    <row r="171" spans="1:8" x14ac:dyDescent="0.3">
      <c r="A171" s="2"/>
      <c r="B171" s="2"/>
      <c r="C171" s="2"/>
      <c r="D171" s="2"/>
      <c r="E171" s="2"/>
      <c r="F171" s="2"/>
      <c r="G171" s="2"/>
      <c r="H171" s="2"/>
    </row>
    <row r="172" spans="1:8" x14ac:dyDescent="0.3">
      <c r="A172" s="2"/>
      <c r="B172" s="2"/>
      <c r="C172" s="2"/>
      <c r="D172" s="2"/>
      <c r="E172" s="2"/>
      <c r="F172" s="2"/>
      <c r="G172" s="2"/>
      <c r="H172" s="2"/>
    </row>
    <row r="173" spans="1:8" x14ac:dyDescent="0.3">
      <c r="A173" s="2"/>
      <c r="B173" s="2"/>
      <c r="C173" s="2"/>
      <c r="D173" s="2"/>
      <c r="E173" s="2"/>
      <c r="F173" s="2"/>
      <c r="G173" s="2"/>
      <c r="H173" s="2"/>
    </row>
    <row r="174" spans="1:8" x14ac:dyDescent="0.3">
      <c r="A174" s="2"/>
      <c r="B174" s="2"/>
      <c r="C174" s="2"/>
      <c r="D174" s="2"/>
      <c r="E174" s="2"/>
      <c r="F174" s="2"/>
      <c r="G174" s="2"/>
      <c r="H174" s="2"/>
    </row>
    <row r="175" spans="1:8" x14ac:dyDescent="0.3">
      <c r="A175" s="2"/>
      <c r="B175" s="2"/>
      <c r="C175" s="2"/>
      <c r="D175" s="2"/>
      <c r="E175" s="2"/>
      <c r="F175" s="2"/>
      <c r="G175" s="2"/>
      <c r="H175" s="2"/>
    </row>
    <row r="176" spans="1:8" x14ac:dyDescent="0.3">
      <c r="A176" s="2"/>
      <c r="B176" s="2"/>
      <c r="C176" s="2"/>
      <c r="D176" s="2"/>
      <c r="E176" s="2"/>
      <c r="F176" s="2"/>
      <c r="G176" s="2"/>
      <c r="H176" s="2"/>
    </row>
    <row r="177" spans="1:8" x14ac:dyDescent="0.3">
      <c r="A177" s="2"/>
      <c r="B177" s="2"/>
      <c r="C177" s="2"/>
      <c r="D177" s="2"/>
      <c r="E177" s="2"/>
      <c r="F177" s="2"/>
      <c r="G177" s="2"/>
      <c r="H177" s="2"/>
    </row>
    <row r="178" spans="1:8" x14ac:dyDescent="0.3">
      <c r="A178" s="2"/>
      <c r="B178" s="2"/>
      <c r="C178" s="2"/>
      <c r="D178" s="2"/>
      <c r="E178" s="2"/>
      <c r="F178" s="2"/>
      <c r="G178" s="2"/>
      <c r="H178" s="2"/>
    </row>
    <row r="179" spans="1:8" x14ac:dyDescent="0.3">
      <c r="A179" s="2"/>
      <c r="B179" s="2"/>
      <c r="C179" s="2"/>
      <c r="D179" s="2"/>
      <c r="E179" s="2"/>
      <c r="F179" s="2"/>
      <c r="G179" s="2"/>
      <c r="H179" s="2"/>
    </row>
    <row r="180" spans="1:8" x14ac:dyDescent="0.3">
      <c r="A180" s="2"/>
      <c r="B180" s="2"/>
      <c r="C180" s="2"/>
      <c r="D180" s="2"/>
      <c r="E180" s="2"/>
      <c r="F180" s="2"/>
      <c r="G180" s="2"/>
      <c r="H180" s="2"/>
    </row>
    <row r="181" spans="1:8" x14ac:dyDescent="0.3">
      <c r="A181" s="2"/>
      <c r="B181" s="2"/>
      <c r="C181" s="2"/>
      <c r="D181" s="2"/>
      <c r="E181" s="2"/>
      <c r="F181" s="2"/>
      <c r="G181" s="2"/>
      <c r="H181" s="2"/>
    </row>
    <row r="182" spans="1:8" x14ac:dyDescent="0.3">
      <c r="A182" s="2"/>
      <c r="B182" s="2"/>
      <c r="C182" s="2"/>
      <c r="D182" s="2"/>
      <c r="E182" s="2"/>
      <c r="F182" s="2"/>
      <c r="G182" s="2"/>
      <c r="H182" s="2"/>
    </row>
    <row r="183" spans="1:8" x14ac:dyDescent="0.3">
      <c r="A183" s="2"/>
      <c r="B183" s="2"/>
      <c r="C183" s="2"/>
      <c r="D183" s="2"/>
      <c r="E183" s="2"/>
      <c r="F183" s="2"/>
      <c r="G183" s="2"/>
      <c r="H183" s="2"/>
    </row>
    <row r="184" spans="1:8" x14ac:dyDescent="0.3">
      <c r="A184" s="2"/>
      <c r="B184" s="2"/>
      <c r="C184" s="2"/>
      <c r="D184" s="2"/>
      <c r="E184" s="2"/>
      <c r="F184" s="2"/>
      <c r="G184" s="2"/>
      <c r="H184" s="2"/>
    </row>
    <row r="185" spans="1:8" x14ac:dyDescent="0.3">
      <c r="A185" s="2"/>
      <c r="B185" s="2"/>
      <c r="C185" s="2"/>
      <c r="D185" s="2"/>
      <c r="E185" s="2"/>
      <c r="F185" s="2"/>
      <c r="G185" s="2"/>
      <c r="H185" s="2"/>
    </row>
    <row r="186" spans="1:8" x14ac:dyDescent="0.3">
      <c r="A186" s="2"/>
      <c r="B186" s="2"/>
      <c r="C186" s="2"/>
      <c r="D186" s="2"/>
      <c r="E186" s="2"/>
      <c r="F186" s="2"/>
      <c r="G186" s="2"/>
      <c r="H186" s="2"/>
    </row>
    <row r="187" spans="1:8" x14ac:dyDescent="0.3">
      <c r="A187" s="2"/>
      <c r="B187" s="2"/>
      <c r="C187" s="2"/>
      <c r="D187" s="2"/>
      <c r="E187" s="2"/>
      <c r="F187" s="2"/>
      <c r="G187" s="2"/>
      <c r="H187" s="2"/>
    </row>
    <row r="188" spans="1:8" x14ac:dyDescent="0.3">
      <c r="A188" s="2"/>
      <c r="B188" s="2"/>
      <c r="C188" s="2"/>
      <c r="D188" s="2"/>
      <c r="E188" s="2"/>
      <c r="F188" s="2"/>
      <c r="G188" s="2"/>
      <c r="H188" s="2"/>
    </row>
    <row r="189" spans="1:8" x14ac:dyDescent="0.3">
      <c r="A189" s="2"/>
      <c r="B189" s="2"/>
      <c r="C189" s="2"/>
      <c r="D189" s="2"/>
      <c r="E189" s="2"/>
      <c r="F189" s="2"/>
      <c r="G189" s="2"/>
      <c r="H189" s="2"/>
    </row>
    <row r="190" spans="1:8" x14ac:dyDescent="0.3">
      <c r="A190" s="2"/>
      <c r="B190" s="2"/>
      <c r="C190" s="2"/>
      <c r="D190" s="2"/>
      <c r="E190" s="2"/>
      <c r="F190" s="2"/>
      <c r="G190" s="2"/>
      <c r="H190" s="2"/>
    </row>
    <row r="191" spans="1:8" x14ac:dyDescent="0.3">
      <c r="A191" s="2"/>
      <c r="B191" s="2"/>
      <c r="C191" s="2"/>
      <c r="D191" s="2"/>
      <c r="E191" s="2"/>
      <c r="F191" s="2"/>
      <c r="G191" s="2"/>
      <c r="H191" s="2"/>
    </row>
    <row r="192" spans="1:8" x14ac:dyDescent="0.3">
      <c r="A192" s="2"/>
      <c r="B192" s="2"/>
      <c r="C192" s="2"/>
      <c r="D192" s="2"/>
      <c r="E192" s="2"/>
      <c r="F192" s="2"/>
      <c r="G192" s="2"/>
      <c r="H192" s="2"/>
    </row>
  </sheetData>
  <autoFilter ref="A1:H147" xr:uid="{59636CEA-D1B9-4BE4-8046-94F5B918FE6C}"/>
  <phoneticPr fontId="3" type="noConversion"/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AF591-BE75-4ECD-9580-82F76D615CAC}">
  <dimension ref="A1:F44"/>
  <sheetViews>
    <sheetView workbookViewId="0">
      <selection activeCell="D25" sqref="D25"/>
    </sheetView>
  </sheetViews>
  <sheetFormatPr defaultRowHeight="14.4" x14ac:dyDescent="0.3"/>
  <cols>
    <col min="1" max="1" width="20" bestFit="1" customWidth="1"/>
    <col min="2" max="2" width="25.6640625" bestFit="1" customWidth="1"/>
    <col min="5" max="5" width="24.77734375" bestFit="1" customWidth="1"/>
    <col min="6" max="6" width="10.44140625" bestFit="1" customWidth="1"/>
  </cols>
  <sheetData>
    <row r="1" spans="1:6" x14ac:dyDescent="0.3">
      <c r="A1" t="s">
        <v>0</v>
      </c>
      <c r="B1" t="s">
        <v>160</v>
      </c>
      <c r="E1" s="13" t="s">
        <v>1</v>
      </c>
      <c r="F1" t="s">
        <v>82</v>
      </c>
    </row>
    <row r="2" spans="1:6" x14ac:dyDescent="0.3">
      <c r="A2">
        <v>4</v>
      </c>
      <c r="B2" t="s">
        <v>161</v>
      </c>
      <c r="C2">
        <v>1</v>
      </c>
      <c r="E2" s="14" t="s">
        <v>169</v>
      </c>
      <c r="F2">
        <v>40</v>
      </c>
    </row>
    <row r="3" spans="1:6" x14ac:dyDescent="0.3">
      <c r="A3">
        <v>2</v>
      </c>
      <c r="B3" t="s">
        <v>162</v>
      </c>
      <c r="C3">
        <v>1</v>
      </c>
      <c r="E3" s="14" t="s">
        <v>165</v>
      </c>
      <c r="F3">
        <v>4</v>
      </c>
    </row>
    <row r="4" spans="1:6" x14ac:dyDescent="0.3">
      <c r="A4">
        <v>4</v>
      </c>
      <c r="B4" t="s">
        <v>163</v>
      </c>
      <c r="C4">
        <v>1</v>
      </c>
      <c r="E4" s="14" t="s">
        <v>179</v>
      </c>
      <c r="F4">
        <v>1</v>
      </c>
    </row>
    <row r="5" spans="1:6" x14ac:dyDescent="0.3">
      <c r="A5">
        <v>2</v>
      </c>
      <c r="B5" t="s">
        <v>162</v>
      </c>
      <c r="C5">
        <v>2</v>
      </c>
      <c r="E5" s="14" t="s">
        <v>168</v>
      </c>
      <c r="F5">
        <v>7</v>
      </c>
    </row>
    <row r="6" spans="1:6" x14ac:dyDescent="0.3">
      <c r="A6">
        <v>2</v>
      </c>
      <c r="B6" t="s">
        <v>164</v>
      </c>
      <c r="C6">
        <v>2</v>
      </c>
      <c r="E6" s="14" t="s">
        <v>163</v>
      </c>
      <c r="F6">
        <v>6</v>
      </c>
    </row>
    <row r="7" spans="1:6" x14ac:dyDescent="0.3">
      <c r="A7">
        <v>2</v>
      </c>
      <c r="B7" t="s">
        <v>165</v>
      </c>
      <c r="C7">
        <v>2</v>
      </c>
      <c r="E7" s="14" t="s">
        <v>171</v>
      </c>
      <c r="F7">
        <v>8</v>
      </c>
    </row>
    <row r="8" spans="1:6" x14ac:dyDescent="0.3">
      <c r="A8">
        <v>9</v>
      </c>
      <c r="B8" t="s">
        <v>166</v>
      </c>
      <c r="C8">
        <v>2</v>
      </c>
      <c r="E8" s="14" t="s">
        <v>181</v>
      </c>
      <c r="F8">
        <v>1</v>
      </c>
    </row>
    <row r="9" spans="1:6" x14ac:dyDescent="0.3">
      <c r="A9">
        <v>2</v>
      </c>
      <c r="B9" t="s">
        <v>167</v>
      </c>
      <c r="C9">
        <v>2</v>
      </c>
      <c r="E9" s="14" t="s">
        <v>161</v>
      </c>
      <c r="F9">
        <v>11</v>
      </c>
    </row>
    <row r="10" spans="1:6" x14ac:dyDescent="0.3">
      <c r="A10">
        <v>2</v>
      </c>
      <c r="B10" t="s">
        <v>163</v>
      </c>
      <c r="C10">
        <v>2</v>
      </c>
      <c r="E10" s="14" t="s">
        <v>162</v>
      </c>
      <c r="F10">
        <v>5</v>
      </c>
    </row>
    <row r="11" spans="1:6" x14ac:dyDescent="0.3">
      <c r="A11">
        <v>7</v>
      </c>
      <c r="B11" t="s">
        <v>169</v>
      </c>
      <c r="C11">
        <v>3</v>
      </c>
      <c r="E11" s="14" t="s">
        <v>180</v>
      </c>
      <c r="F11">
        <v>1</v>
      </c>
    </row>
    <row r="12" spans="1:6" x14ac:dyDescent="0.3">
      <c r="A12">
        <v>27</v>
      </c>
      <c r="B12" t="s">
        <v>170</v>
      </c>
      <c r="C12">
        <v>3</v>
      </c>
      <c r="E12" s="14" t="s">
        <v>173</v>
      </c>
      <c r="F12">
        <v>3</v>
      </c>
    </row>
    <row r="13" spans="1:6" x14ac:dyDescent="0.3">
      <c r="A13">
        <v>2</v>
      </c>
      <c r="B13" t="s">
        <v>168</v>
      </c>
      <c r="C13">
        <v>4</v>
      </c>
      <c r="E13" s="14" t="s">
        <v>177</v>
      </c>
      <c r="F13">
        <v>2</v>
      </c>
    </row>
    <row r="14" spans="1:6" x14ac:dyDescent="0.3">
      <c r="A14">
        <v>8</v>
      </c>
      <c r="B14" t="s">
        <v>171</v>
      </c>
      <c r="C14">
        <v>4</v>
      </c>
      <c r="E14" s="14" t="s">
        <v>175</v>
      </c>
      <c r="F14">
        <v>5</v>
      </c>
    </row>
    <row r="15" spans="1:6" x14ac:dyDescent="0.3">
      <c r="A15">
        <v>7</v>
      </c>
      <c r="B15" t="s">
        <v>166</v>
      </c>
      <c r="C15">
        <v>4</v>
      </c>
      <c r="E15" s="14" t="s">
        <v>183</v>
      </c>
      <c r="F15">
        <v>6</v>
      </c>
    </row>
    <row r="16" spans="1:6" x14ac:dyDescent="0.3">
      <c r="A16">
        <v>4</v>
      </c>
      <c r="B16" t="s">
        <v>170</v>
      </c>
      <c r="C16">
        <v>4</v>
      </c>
      <c r="E16" s="14" t="s">
        <v>188</v>
      </c>
      <c r="F16">
        <v>5</v>
      </c>
    </row>
    <row r="17" spans="1:6" x14ac:dyDescent="0.3">
      <c r="A17">
        <v>1</v>
      </c>
      <c r="B17" t="s">
        <v>169</v>
      </c>
      <c r="C17">
        <v>4</v>
      </c>
      <c r="E17" s="14" t="s">
        <v>178</v>
      </c>
      <c r="F17">
        <v>1</v>
      </c>
    </row>
    <row r="18" spans="1:6" x14ac:dyDescent="0.3">
      <c r="A18">
        <v>5</v>
      </c>
      <c r="B18" t="s">
        <v>188</v>
      </c>
      <c r="C18">
        <v>5</v>
      </c>
      <c r="E18" s="14" t="s">
        <v>166</v>
      </c>
      <c r="F18">
        <v>16</v>
      </c>
    </row>
    <row r="19" spans="1:6" x14ac:dyDescent="0.3">
      <c r="A19">
        <v>2</v>
      </c>
      <c r="B19" t="s">
        <v>165</v>
      </c>
      <c r="C19">
        <v>5</v>
      </c>
      <c r="E19" s="14" t="s">
        <v>167</v>
      </c>
      <c r="F19">
        <v>5</v>
      </c>
    </row>
    <row r="20" spans="1:6" x14ac:dyDescent="0.3">
      <c r="A20">
        <v>4</v>
      </c>
      <c r="B20" t="s">
        <v>172</v>
      </c>
      <c r="C20">
        <v>5</v>
      </c>
      <c r="E20" s="14" t="s">
        <v>174</v>
      </c>
      <c r="F20">
        <v>1</v>
      </c>
    </row>
    <row r="21" spans="1:6" x14ac:dyDescent="0.3">
      <c r="A21">
        <v>30</v>
      </c>
      <c r="B21" t="s">
        <v>169</v>
      </c>
      <c r="C21">
        <v>5</v>
      </c>
      <c r="E21" s="14" t="s">
        <v>170</v>
      </c>
      <c r="F21">
        <v>31</v>
      </c>
    </row>
    <row r="22" spans="1:6" x14ac:dyDescent="0.3">
      <c r="A22">
        <v>2</v>
      </c>
      <c r="B22" t="s">
        <v>187</v>
      </c>
      <c r="C22">
        <v>5</v>
      </c>
      <c r="E22" s="14" t="s">
        <v>176</v>
      </c>
      <c r="F22">
        <v>1</v>
      </c>
    </row>
    <row r="23" spans="1:6" x14ac:dyDescent="0.3">
      <c r="A23">
        <v>2</v>
      </c>
      <c r="B23" t="s">
        <v>173</v>
      </c>
      <c r="C23">
        <v>6</v>
      </c>
      <c r="E23" s="14" t="s">
        <v>164</v>
      </c>
      <c r="F23">
        <v>2</v>
      </c>
    </row>
    <row r="24" spans="1:6" x14ac:dyDescent="0.3">
      <c r="A24">
        <v>1</v>
      </c>
      <c r="B24" t="s">
        <v>162</v>
      </c>
      <c r="C24">
        <v>6</v>
      </c>
      <c r="E24" s="14" t="s">
        <v>184</v>
      </c>
      <c r="F24">
        <v>57</v>
      </c>
    </row>
    <row r="25" spans="1:6" x14ac:dyDescent="0.3">
      <c r="A25">
        <v>1</v>
      </c>
      <c r="B25" t="s">
        <v>167</v>
      </c>
      <c r="C25">
        <v>6</v>
      </c>
      <c r="E25" s="14" t="s">
        <v>81</v>
      </c>
      <c r="F25">
        <v>219</v>
      </c>
    </row>
    <row r="26" spans="1:6" x14ac:dyDescent="0.3">
      <c r="A26">
        <v>1</v>
      </c>
      <c r="B26" t="s">
        <v>172</v>
      </c>
      <c r="C26">
        <v>6</v>
      </c>
    </row>
    <row r="27" spans="1:6" x14ac:dyDescent="0.3">
      <c r="A27">
        <v>1</v>
      </c>
      <c r="B27" t="s">
        <v>174</v>
      </c>
      <c r="C27">
        <v>6</v>
      </c>
    </row>
    <row r="28" spans="1:6" x14ac:dyDescent="0.3">
      <c r="A28">
        <v>2</v>
      </c>
      <c r="B28" t="s">
        <v>175</v>
      </c>
      <c r="C28">
        <v>7</v>
      </c>
    </row>
    <row r="29" spans="1:6" x14ac:dyDescent="0.3">
      <c r="A29">
        <v>1</v>
      </c>
      <c r="B29" t="s">
        <v>176</v>
      </c>
      <c r="C29">
        <v>7</v>
      </c>
    </row>
    <row r="30" spans="1:6" x14ac:dyDescent="0.3">
      <c r="A30">
        <v>2</v>
      </c>
      <c r="B30" t="s">
        <v>177</v>
      </c>
      <c r="C30">
        <v>8</v>
      </c>
    </row>
    <row r="31" spans="1:6" x14ac:dyDescent="0.3">
      <c r="A31">
        <v>3</v>
      </c>
      <c r="B31" t="s">
        <v>175</v>
      </c>
      <c r="C31">
        <v>8</v>
      </c>
    </row>
    <row r="32" spans="1:6" x14ac:dyDescent="0.3">
      <c r="A32">
        <v>1</v>
      </c>
      <c r="B32" t="s">
        <v>178</v>
      </c>
      <c r="C32">
        <v>8</v>
      </c>
    </row>
    <row r="33" spans="1:3" x14ac:dyDescent="0.3">
      <c r="A33">
        <v>2</v>
      </c>
      <c r="B33" t="s">
        <v>169</v>
      </c>
      <c r="C33">
        <v>8</v>
      </c>
    </row>
    <row r="34" spans="1:3" x14ac:dyDescent="0.3">
      <c r="A34">
        <v>5</v>
      </c>
      <c r="B34" t="s">
        <v>161</v>
      </c>
      <c r="C34">
        <v>9</v>
      </c>
    </row>
    <row r="35" spans="1:3" x14ac:dyDescent="0.3">
      <c r="A35">
        <v>1</v>
      </c>
      <c r="B35" t="s">
        <v>179</v>
      </c>
      <c r="C35">
        <v>9</v>
      </c>
    </row>
    <row r="36" spans="1:3" x14ac:dyDescent="0.3">
      <c r="A36">
        <v>1</v>
      </c>
      <c r="B36" t="s">
        <v>180</v>
      </c>
      <c r="C36">
        <v>10</v>
      </c>
    </row>
    <row r="37" spans="1:3" x14ac:dyDescent="0.3">
      <c r="A37">
        <v>1</v>
      </c>
      <c r="B37" t="s">
        <v>173</v>
      </c>
      <c r="C37">
        <v>10</v>
      </c>
    </row>
    <row r="38" spans="1:3" x14ac:dyDescent="0.3">
      <c r="A38">
        <v>1</v>
      </c>
      <c r="B38" t="s">
        <v>181</v>
      </c>
      <c r="C38">
        <v>10</v>
      </c>
    </row>
    <row r="39" spans="1:3" x14ac:dyDescent="0.3">
      <c r="A39">
        <v>2</v>
      </c>
      <c r="B39" t="s">
        <v>161</v>
      </c>
      <c r="C39" t="s">
        <v>182</v>
      </c>
    </row>
    <row r="40" spans="1:3" x14ac:dyDescent="0.3">
      <c r="A40">
        <v>6</v>
      </c>
      <c r="B40" t="s">
        <v>183</v>
      </c>
      <c r="C40">
        <v>11</v>
      </c>
    </row>
    <row r="41" spans="1:3" x14ac:dyDescent="0.3">
      <c r="A41">
        <v>33</v>
      </c>
      <c r="B41" t="s">
        <v>184</v>
      </c>
      <c r="C41" t="s">
        <v>186</v>
      </c>
    </row>
    <row r="42" spans="1:3" x14ac:dyDescent="0.3">
      <c r="A42">
        <v>6</v>
      </c>
      <c r="B42" t="s">
        <v>184</v>
      </c>
      <c r="C42" t="s">
        <v>185</v>
      </c>
    </row>
    <row r="43" spans="1:3" x14ac:dyDescent="0.3">
      <c r="A43">
        <v>8</v>
      </c>
      <c r="B43" t="s">
        <v>184</v>
      </c>
    </row>
    <row r="44" spans="1:3" x14ac:dyDescent="0.3">
      <c r="A44">
        <v>10</v>
      </c>
      <c r="B44" t="s">
        <v>184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6051D-BCF4-4AE7-931D-67B9AE3FBFAD}">
  <dimension ref="A2:B2"/>
  <sheetViews>
    <sheetView workbookViewId="0">
      <selection activeCell="D9" sqref="D9"/>
    </sheetView>
  </sheetViews>
  <sheetFormatPr defaultRowHeight="14.4" x14ac:dyDescent="0.3"/>
  <cols>
    <col min="1" max="1" width="10.88671875" bestFit="1" customWidth="1"/>
  </cols>
  <sheetData>
    <row r="2" spans="1:2" x14ac:dyDescent="0.3">
      <c r="A2" s="6">
        <v>45759</v>
      </c>
      <c r="B2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Pending</vt:lpstr>
      <vt:lpstr>March </vt:lpstr>
      <vt:lpstr>Mehwish</vt:lpstr>
      <vt:lpstr>April</vt:lpstr>
      <vt:lpstr>Shipment</vt:lpstr>
      <vt:lpstr>Abdul Rafey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Pasha</dc:creator>
  <cp:lastModifiedBy>dell5300</cp:lastModifiedBy>
  <dcterms:created xsi:type="dcterms:W3CDTF">2025-03-28T14:31:05Z</dcterms:created>
  <dcterms:modified xsi:type="dcterms:W3CDTF">2025-04-28T16:58:34Z</dcterms:modified>
</cp:coreProperties>
</file>