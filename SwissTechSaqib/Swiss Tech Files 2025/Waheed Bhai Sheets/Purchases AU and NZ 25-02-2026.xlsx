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07934410-4491-4507-9395-B22D2470D2CC}" xr6:coauthVersionLast="47" xr6:coauthVersionMax="47" xr10:uidLastSave="{00000000-0000-0000-0000-000000000000}"/>
  <bookViews>
    <workbookView xWindow="-120" yWindow="-120" windowWidth="29040" windowHeight="15720" firstSheet="23" activeTab="25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r:id="rId24"/>
    <sheet name="AU JAN" sheetId="40" r:id="rId25"/>
    <sheet name="AU FEB" sheetId="43" r:id="rId26"/>
    <sheet name="Sheet8" sheetId="42" state="hidden" r:id="rId27"/>
    <sheet name="Sheet7" sheetId="39" state="hidden" r:id="rId28"/>
    <sheet name="Sheet6" sheetId="38" state="hidden" r:id="rId29"/>
    <sheet name="Gift Card" sheetId="37" state="hidden" r:id="rId30"/>
    <sheet name="Adil " sheetId="35" state="hidden" r:id="rId31"/>
    <sheet name="Waleed " sheetId="33" state="hidden" r:id="rId32"/>
    <sheet name="Sheet5" sheetId="32" state="hidden" r:id="rId33"/>
    <sheet name="NZ OCT" sheetId="25" state="hidden" r:id="rId34"/>
    <sheet name="NZ NOV" sheetId="26" state="hidden" r:id="rId35"/>
    <sheet name="NZ JAN" sheetId="41" r:id="rId36"/>
    <sheet name="NZ FEB" sheetId="44" r:id="rId37"/>
    <sheet name="NZ DEC" sheetId="36" r:id="rId38"/>
    <sheet name="Sheet3" sheetId="31" state="hidden" r:id="rId39"/>
    <sheet name="Sheet2" sheetId="30" state="hidden" r:id="rId40"/>
    <sheet name="NZ visit expense" sheetId="17" state="hidden" r:id="rId41"/>
    <sheet name="Abdul Rafey" sheetId="5" state="hidden" r:id="rId42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24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7" hidden="1">Sheet7!$A$1:$I$30</definedName>
  </definedNames>
  <calcPr calcId="191029"/>
  <pivotCaches>
    <pivotCache cacheId="11" r:id="rId43"/>
    <pivotCache cacheId="12" r:id="rId44"/>
    <pivotCache cacheId="13" r:id="rId45"/>
    <pivotCache cacheId="14" r:id="rId46"/>
    <pivotCache cacheId="15" r:id="rId47"/>
    <pivotCache cacheId="16" r:id="rId48"/>
    <pivotCache cacheId="17" r:id="rId49"/>
    <pivotCache cacheId="18" r:id="rId50"/>
    <pivotCache cacheId="19" r:id="rId51"/>
    <pivotCache cacheId="20" r:id="rId52"/>
    <pivotCache cacheId="21" r:id="rId5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43" l="1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<sst xmlns="http://schemas.openxmlformats.org/spreadsheetml/2006/main" count="4713" uniqueCount="1160">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</sst>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3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8" fontId="0" fillId="10" borderId="1" xfId="0" applyNumberFormat="1" applyFill="1" applyBorder="1"/>
    <xf numFmtId="16" fontId="2" fillId="10" borderId="1" xfId="0" applyNumberFormat="1" applyFont="1" applyFill="1" applyBorder="1"/>
    <xf numFmtId="0" fontId="2" fillId="10" borderId="1" xfId="0" applyFont="1" applyFill="1" applyBorder="1"/>
    <xf numFmtId="168" fontId="2" fillId="10" borderId="1" xfId="0" applyNumberFormat="1" applyFont="1" applyFill="1" applyBorder="1"/>
    <xf numFmtId="16" fontId="0" fillId="11" borderId="1" xfId="0" applyNumberFormat="1" applyFill="1" applyBorder="1"/>
    <xf numFmtId="0" fontId="0" fillId="11" borderId="1" xfId="0" applyFill="1" applyBorder="1"/>
    <xf numFmtId="168" fontId="0" fillId="11" borderId="1" xfId="0" applyNumberFormat="1" applyFill="1" applyBorder="1"/>
    <xf numFmtId="165" fontId="0" fillId="11" borderId="1" xfId="0" applyNumberFormat="1" applyFill="1" applyBorder="1"/>
    <xf numFmtId="164" fontId="0" fillId="11" borderId="1" xfId="0" applyNumberFormat="1" applyFill="1" applyBorder="1"/>
    <xf numFmtId="16" fontId="2" fillId="11" borderId="1" xfId="0" applyNumberFormat="1" applyFont="1" applyFill="1" applyBorder="1"/>
    <xf numFmtId="0" fontId="2" fillId="11" borderId="1" xfId="0" applyFont="1" applyFill="1" applyBorder="1"/>
    <xf numFmtId="168" fontId="2" fillId="11" borderId="1" xfId="0" applyNumberFormat="1" applyFont="1" applyFill="1" applyBorder="1"/>
    <xf numFmtId="164" fontId="0" fillId="10" borderId="1" xfId="0" applyNumberFormat="1" applyFill="1" applyBorder="1"/>
    <xf numFmtId="165" fontId="0" fillId="10" borderId="1" xfId="0" applyNumberFormat="1" applyFill="1" applyBorder="1"/>
    <xf numFmtId="167" fontId="0" fillId="11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5.xml"/><Relationship Id="rId50" Type="http://schemas.openxmlformats.org/officeDocument/2006/relationships/pivotCacheDefinition" Target="pivotCache/pivotCacheDefinition8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pivotCacheDefinition" Target="pivotCache/pivotCacheDefinition3.xml"/><Relationship Id="rId53" Type="http://schemas.openxmlformats.org/officeDocument/2006/relationships/pivotCacheDefinition" Target="pivotCache/pivotCacheDefinition1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1.xml"/><Relationship Id="rId48" Type="http://schemas.openxmlformats.org/officeDocument/2006/relationships/pivotCacheDefinition" Target="pivotCache/pivotCacheDefinition6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pivotCacheDefinition" Target="pivotCache/pivotCacheDefinition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7.xml"/><Relationship Id="rId57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2.xml"/><Relationship Id="rId52" Type="http://schemas.openxmlformats.org/officeDocument/2006/relationships/pivotCacheDefinition" Target="pivotCache/pivotCacheDefinition10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25">
        <v>45746</v>
      </c>
      <c r="C1" s="125"/>
      <c r="D1" s="125"/>
      <c r="E1" s="125"/>
      <c r="F1" s="125"/>
      <c r="G1" s="125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26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26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27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27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27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27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28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28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29" t="s">
        <v>299</v>
      </c>
      <c r="B1" s="129"/>
      <c r="C1" s="129"/>
      <c r="D1" s="129"/>
      <c r="E1" s="129"/>
      <c r="F1" s="129"/>
      <c r="G1" s="129"/>
      <c r="H1" s="129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30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30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30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5" x14ac:dyDescent="0.25"/>
  <sheetData>
    <row r="3" spans="1:1" x14ac:dyDescent="0.25">
      <c r="A3">
        <v>3000</v>
      </c>
    </row>
    <row r="4" spans="1:1" x14ac:dyDescent="0.25">
      <c r="A4">
        <v>5000</v>
      </c>
    </row>
    <row r="5" spans="1:1" x14ac:dyDescent="0.25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31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31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V1029"/>
  <sheetViews>
    <sheetView topLeftCell="A151" workbookViewId="0">
      <selection activeCell="I268" sqref="A268:I268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x14ac:dyDescent="0.25">
      <c r="A34" s="103">
        <v>45994</v>
      </c>
      <c r="B34" s="64">
        <v>5</v>
      </c>
      <c r="C34" s="64" t="s">
        <v>804</v>
      </c>
      <c r="D34" s="64" t="s">
        <v>688</v>
      </c>
      <c r="E34" s="104">
        <v>419</v>
      </c>
      <c r="F34" s="104">
        <f t="shared" si="2"/>
        <v>2095</v>
      </c>
      <c r="G34" s="64" t="s">
        <v>1149</v>
      </c>
      <c r="H34" s="2"/>
      <c r="I34" s="2"/>
    </row>
    <row r="35" spans="1:22" x14ac:dyDescent="0.25">
      <c r="A35" s="103">
        <v>45994</v>
      </c>
      <c r="B35" s="64">
        <v>1</v>
      </c>
      <c r="C35" s="64" t="s">
        <v>664</v>
      </c>
      <c r="D35" s="64" t="s">
        <v>688</v>
      </c>
      <c r="E35" s="104">
        <v>299</v>
      </c>
      <c r="F35" s="104">
        <f t="shared" si="2"/>
        <v>299</v>
      </c>
      <c r="G35" s="64" t="s">
        <v>1149</v>
      </c>
      <c r="H35" s="2"/>
      <c r="I35" s="2"/>
    </row>
    <row r="36" spans="1:22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x14ac:dyDescent="0.25">
      <c r="A83" s="105">
        <v>45999</v>
      </c>
      <c r="B83" s="106">
        <v>1</v>
      </c>
      <c r="C83" s="106" t="s">
        <v>664</v>
      </c>
      <c r="D83" s="106" t="s">
        <v>101</v>
      </c>
      <c r="E83" s="107">
        <v>299</v>
      </c>
      <c r="F83" s="107">
        <f t="shared" si="2"/>
        <v>299</v>
      </c>
      <c r="G83" s="106" t="s">
        <v>833</v>
      </c>
      <c r="H83" s="106"/>
      <c r="I83" s="106"/>
    </row>
    <row r="84" spans="1:9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x14ac:dyDescent="0.25">
      <c r="A89" s="108">
        <v>46000</v>
      </c>
      <c r="B89" s="109">
        <v>1</v>
      </c>
      <c r="C89" s="109" t="s">
        <v>664</v>
      </c>
      <c r="D89" s="109" t="s">
        <v>492</v>
      </c>
      <c r="E89" s="110">
        <v>0</v>
      </c>
      <c r="F89" s="110">
        <f t="shared" si="2"/>
        <v>0</v>
      </c>
      <c r="G89" s="109" t="s">
        <v>831</v>
      </c>
      <c r="H89" s="109"/>
      <c r="I89" s="109"/>
    </row>
    <row r="90" spans="1:9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x14ac:dyDescent="0.25">
      <c r="A119" s="108">
        <v>46006</v>
      </c>
      <c r="B119" s="109">
        <v>1</v>
      </c>
      <c r="C119" s="109" t="s">
        <v>664</v>
      </c>
      <c r="D119" s="109" t="s">
        <v>502</v>
      </c>
      <c r="E119" s="109"/>
      <c r="F119" s="110">
        <f t="shared" si="2"/>
        <v>0</v>
      </c>
      <c r="G119" s="109" t="s">
        <v>891</v>
      </c>
      <c r="H119" s="109"/>
      <c r="I119" s="109"/>
    </row>
    <row r="120" spans="1:9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x14ac:dyDescent="0.25">
      <c r="A127" s="108">
        <v>46008</v>
      </c>
      <c r="B127" s="109">
        <v>1</v>
      </c>
      <c r="C127" s="109" t="s">
        <v>664</v>
      </c>
      <c r="D127" s="109" t="s">
        <v>878</v>
      </c>
      <c r="E127" s="110"/>
      <c r="F127" s="110"/>
      <c r="G127" s="109" t="s">
        <v>882</v>
      </c>
      <c r="H127" s="109"/>
      <c r="I127" s="109"/>
    </row>
    <row r="128" spans="1:9" x14ac:dyDescent="0.25">
      <c r="A128" s="108">
        <v>46008</v>
      </c>
      <c r="B128" s="109">
        <v>20</v>
      </c>
      <c r="C128" s="109" t="s">
        <v>664</v>
      </c>
      <c r="D128" s="109" t="s">
        <v>879</v>
      </c>
      <c r="E128" s="110"/>
      <c r="F128" s="110">
        <f t="shared" si="4"/>
        <v>0</v>
      </c>
      <c r="G128" s="109" t="s">
        <v>880</v>
      </c>
      <c r="H128" s="109"/>
      <c r="I128" s="109"/>
    </row>
    <row r="129" spans="1:12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x14ac:dyDescent="0.25">
      <c r="A131" s="108">
        <v>46009</v>
      </c>
      <c r="B131" s="109"/>
      <c r="C131" s="109" t="s">
        <v>664</v>
      </c>
      <c r="D131" s="109" t="s">
        <v>890</v>
      </c>
      <c r="E131" s="110"/>
      <c r="F131" s="110">
        <f t="shared" si="4"/>
        <v>0</v>
      </c>
      <c r="G131" s="109" t="s">
        <v>889</v>
      </c>
      <c r="H131" s="109"/>
      <c r="I131" s="109"/>
    </row>
    <row r="132" spans="1:12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x14ac:dyDescent="0.25">
      <c r="A218" s="108">
        <v>46014</v>
      </c>
      <c r="B218" s="109">
        <v>40</v>
      </c>
      <c r="C218" s="109" t="s">
        <v>933</v>
      </c>
      <c r="D218" s="109" t="s">
        <v>934</v>
      </c>
      <c r="E218" s="109"/>
      <c r="F218" s="109"/>
      <c r="G218" s="109" t="s">
        <v>935</v>
      </c>
      <c r="H218" s="109"/>
      <c r="I218" s="109"/>
    </row>
    <row r="219" spans="1:9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x14ac:dyDescent="0.25">
      <c r="A228" s="111">
        <v>46015</v>
      </c>
      <c r="B228" s="112">
        <v>1</v>
      </c>
      <c r="C228" s="112" t="s">
        <v>933</v>
      </c>
      <c r="D228" s="112" t="s">
        <v>955</v>
      </c>
      <c r="E228" s="113"/>
      <c r="F228" s="113">
        <f t="shared" si="12"/>
        <v>0</v>
      </c>
      <c r="G228" s="112" t="s">
        <v>956</v>
      </c>
      <c r="H228" s="112"/>
      <c r="I228" s="112" t="s">
        <v>1154</v>
      </c>
    </row>
    <row r="229" spans="1:13" x14ac:dyDescent="0.25">
      <c r="A229" s="108">
        <v>46015</v>
      </c>
      <c r="B229" s="109"/>
      <c r="C229" s="109" t="s">
        <v>933</v>
      </c>
      <c r="D229" s="109" t="s">
        <v>865</v>
      </c>
      <c r="E229" s="110"/>
      <c r="F229" s="110">
        <f t="shared" si="12"/>
        <v>0</v>
      </c>
      <c r="G229" s="109" t="s">
        <v>957</v>
      </c>
      <c r="H229" s="109"/>
      <c r="I229" s="109"/>
    </row>
    <row r="230" spans="1:13" x14ac:dyDescent="0.25">
      <c r="A230" s="108">
        <v>46015</v>
      </c>
      <c r="B230" s="109"/>
      <c r="C230" s="109" t="s">
        <v>933</v>
      </c>
      <c r="D230" s="109" t="s">
        <v>959</v>
      </c>
      <c r="E230" s="110"/>
      <c r="F230" s="110">
        <f t="shared" si="12"/>
        <v>0</v>
      </c>
      <c r="G230" s="109" t="s">
        <v>958</v>
      </c>
      <c r="H230" s="109"/>
      <c r="I230" s="109"/>
    </row>
    <row r="231" spans="1:13" x14ac:dyDescent="0.25">
      <c r="A231" s="108">
        <v>46015</v>
      </c>
      <c r="B231" s="109"/>
      <c r="C231" s="109" t="s">
        <v>933</v>
      </c>
      <c r="D231" s="109" t="s">
        <v>959</v>
      </c>
      <c r="E231" s="110"/>
      <c r="F231" s="110">
        <f t="shared" si="12"/>
        <v>0</v>
      </c>
      <c r="G231" s="109" t="s">
        <v>958</v>
      </c>
      <c r="H231" s="109"/>
      <c r="I231" s="109"/>
    </row>
    <row r="232" spans="1:13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x14ac:dyDescent="0.25">
      <c r="A234" s="111">
        <v>46015</v>
      </c>
      <c r="B234" s="112"/>
      <c r="C234" s="112" t="s">
        <v>933</v>
      </c>
      <c r="D234" s="112" t="s">
        <v>961</v>
      </c>
      <c r="E234" s="113"/>
      <c r="F234" s="113">
        <f t="shared" si="12"/>
        <v>0</v>
      </c>
      <c r="G234" s="112" t="s">
        <v>962</v>
      </c>
      <c r="H234" s="112"/>
      <c r="I234" s="112" t="s">
        <v>790</v>
      </c>
      <c r="K234" s="11">
        <v>19700</v>
      </c>
    </row>
    <row r="235" spans="1:13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1" t="s">
        <v>812</v>
      </c>
      <c r="I253" s="2" t="s">
        <v>1041</v>
      </c>
      <c r="J253" s="102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x14ac:dyDescent="0.25">
      <c r="A259" s="108">
        <v>46018</v>
      </c>
      <c r="B259" s="109">
        <v>1</v>
      </c>
      <c r="C259" s="109" t="s">
        <v>975</v>
      </c>
      <c r="D259" s="109" t="s">
        <v>101</v>
      </c>
      <c r="E259" s="110">
        <v>299</v>
      </c>
      <c r="F259" s="110">
        <f t="shared" si="12"/>
        <v>299</v>
      </c>
      <c r="G259" s="109" t="s">
        <v>974</v>
      </c>
      <c r="H259" s="109"/>
      <c r="I259" s="109" t="s">
        <v>634</v>
      </c>
    </row>
    <row r="260" spans="1:13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x14ac:dyDescent="0.25">
      <c r="A268" s="108">
        <v>46018</v>
      </c>
      <c r="B268" s="109">
        <v>7</v>
      </c>
      <c r="C268" s="109" t="s">
        <v>978</v>
      </c>
      <c r="D268" s="109" t="s">
        <v>677</v>
      </c>
      <c r="E268" s="110"/>
      <c r="F268" s="110">
        <f t="shared" si="12"/>
        <v>0</v>
      </c>
      <c r="G268" s="109" t="s">
        <v>1006</v>
      </c>
      <c r="H268" s="109"/>
      <c r="I268" s="109" t="s">
        <v>1043</v>
      </c>
      <c r="M268">
        <v>439.4</v>
      </c>
    </row>
    <row r="269" spans="1:13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0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topLeftCell="A33" workbookViewId="0">
      <selection activeCell="G48" sqref="G4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114">
        <v>46026</v>
      </c>
      <c r="B2" s="115">
        <v>2</v>
      </c>
      <c r="C2" s="115" t="s">
        <v>969</v>
      </c>
      <c r="D2" s="115" t="s">
        <v>674</v>
      </c>
      <c r="E2" s="116">
        <v>2010</v>
      </c>
      <c r="F2" s="116">
        <f t="shared" ref="F2:F15" si="0">E2*B2</f>
        <v>4020</v>
      </c>
      <c r="G2" s="115" t="s">
        <v>1034</v>
      </c>
      <c r="H2" s="115"/>
      <c r="I2" s="115"/>
      <c r="J2" s="115"/>
    </row>
    <row r="3" spans="1:18" x14ac:dyDescent="0.25">
      <c r="A3" s="114">
        <v>46026</v>
      </c>
      <c r="B3" s="115">
        <v>2</v>
      </c>
      <c r="C3" s="115" t="s">
        <v>969</v>
      </c>
      <c r="D3" s="115" t="s">
        <v>19</v>
      </c>
      <c r="E3" s="116">
        <v>2010</v>
      </c>
      <c r="F3" s="116">
        <f t="shared" si="0"/>
        <v>4020</v>
      </c>
      <c r="G3" s="115" t="s">
        <v>1039</v>
      </c>
      <c r="H3" s="115"/>
      <c r="I3" s="115"/>
      <c r="J3" s="115"/>
    </row>
    <row r="4" spans="1:18" x14ac:dyDescent="0.25">
      <c r="A4" s="114">
        <v>46024</v>
      </c>
      <c r="B4" s="115">
        <v>1</v>
      </c>
      <c r="C4" s="115" t="s">
        <v>1011</v>
      </c>
      <c r="D4" s="115" t="s">
        <v>1012</v>
      </c>
      <c r="E4" s="116">
        <v>104</v>
      </c>
      <c r="F4" s="116">
        <f t="shared" si="0"/>
        <v>104</v>
      </c>
      <c r="G4" s="115" t="s">
        <v>85</v>
      </c>
      <c r="H4" s="115"/>
      <c r="I4" s="115"/>
      <c r="J4" s="115"/>
    </row>
    <row r="5" spans="1:18" x14ac:dyDescent="0.25">
      <c r="A5" s="114">
        <v>46025</v>
      </c>
      <c r="B5" s="115">
        <v>2</v>
      </c>
      <c r="C5" s="115" t="s">
        <v>1013</v>
      </c>
      <c r="D5" s="115" t="s">
        <v>857</v>
      </c>
      <c r="E5" s="116">
        <v>398</v>
      </c>
      <c r="F5" s="116">
        <f t="shared" si="0"/>
        <v>796</v>
      </c>
      <c r="G5" s="115" t="s">
        <v>1023</v>
      </c>
      <c r="H5" s="115"/>
      <c r="I5" s="115"/>
      <c r="J5" s="115"/>
    </row>
    <row r="6" spans="1:18" x14ac:dyDescent="0.25">
      <c r="A6" s="114">
        <v>46025</v>
      </c>
      <c r="B6" s="115">
        <v>8</v>
      </c>
      <c r="C6" s="115" t="s">
        <v>971</v>
      </c>
      <c r="D6" s="115" t="s">
        <v>857</v>
      </c>
      <c r="E6" s="116">
        <v>629</v>
      </c>
      <c r="F6" s="116">
        <f t="shared" si="0"/>
        <v>5032</v>
      </c>
      <c r="G6" s="115" t="s">
        <v>1023</v>
      </c>
      <c r="H6" s="115"/>
      <c r="I6" s="115" t="s">
        <v>115</v>
      </c>
      <c r="J6" s="115"/>
      <c r="P6" s="79"/>
    </row>
    <row r="7" spans="1:18" x14ac:dyDescent="0.25">
      <c r="A7" s="114">
        <v>46025</v>
      </c>
      <c r="B7" s="115">
        <v>2</v>
      </c>
      <c r="C7" s="115" t="s">
        <v>971</v>
      </c>
      <c r="D7" s="115" t="s">
        <v>857</v>
      </c>
      <c r="E7" s="116">
        <v>629</v>
      </c>
      <c r="F7" s="116">
        <f t="shared" si="0"/>
        <v>1258</v>
      </c>
      <c r="G7" s="115" t="s">
        <v>1023</v>
      </c>
      <c r="H7" s="115"/>
      <c r="I7" s="115"/>
      <c r="J7" s="115"/>
      <c r="P7" s="79"/>
    </row>
    <row r="8" spans="1:18" x14ac:dyDescent="0.25">
      <c r="A8" s="114">
        <v>46025</v>
      </c>
      <c r="B8" s="115">
        <v>4</v>
      </c>
      <c r="C8" s="115" t="s">
        <v>979</v>
      </c>
      <c r="D8" s="115" t="s">
        <v>857</v>
      </c>
      <c r="E8" s="116">
        <v>477</v>
      </c>
      <c r="F8" s="116">
        <f t="shared" si="0"/>
        <v>1908</v>
      </c>
      <c r="G8" s="115" t="s">
        <v>1023</v>
      </c>
      <c r="H8" s="115"/>
      <c r="I8" s="115"/>
      <c r="J8" s="115"/>
      <c r="O8" s="11"/>
      <c r="P8" s="99"/>
      <c r="Q8" s="11"/>
      <c r="R8" s="11"/>
    </row>
    <row r="9" spans="1:18" x14ac:dyDescent="0.25">
      <c r="A9" s="105">
        <v>46025</v>
      </c>
      <c r="B9" s="106">
        <v>2</v>
      </c>
      <c r="C9" s="106" t="s">
        <v>971</v>
      </c>
      <c r="D9" s="106" t="s">
        <v>1024</v>
      </c>
      <c r="E9" s="107">
        <v>629</v>
      </c>
      <c r="F9" s="107">
        <f t="shared" si="0"/>
        <v>1258</v>
      </c>
      <c r="G9" s="106" t="s">
        <v>1022</v>
      </c>
      <c r="H9" s="106"/>
      <c r="I9" s="106"/>
      <c r="J9" s="106"/>
      <c r="O9" s="20"/>
      <c r="P9" s="98"/>
      <c r="Q9" s="20"/>
      <c r="R9" s="20"/>
    </row>
    <row r="10" spans="1:18" x14ac:dyDescent="0.25">
      <c r="A10" s="114">
        <v>46027</v>
      </c>
      <c r="B10" s="115">
        <v>1</v>
      </c>
      <c r="C10" s="115" t="s">
        <v>1026</v>
      </c>
      <c r="D10" s="115" t="s">
        <v>857</v>
      </c>
      <c r="E10" s="116">
        <v>510</v>
      </c>
      <c r="F10" s="116">
        <f t="shared" si="0"/>
        <v>510</v>
      </c>
      <c r="G10" s="115" t="s">
        <v>1027</v>
      </c>
      <c r="H10" s="115"/>
      <c r="I10" s="115" t="s">
        <v>85</v>
      </c>
      <c r="J10" s="115"/>
      <c r="O10" s="20"/>
      <c r="P10" s="98"/>
      <c r="Q10" s="20"/>
      <c r="R10" s="20"/>
    </row>
    <row r="11" spans="1:18" x14ac:dyDescent="0.25">
      <c r="A11" s="114">
        <v>46028</v>
      </c>
      <c r="B11" s="115">
        <v>2</v>
      </c>
      <c r="C11" s="115" t="s">
        <v>969</v>
      </c>
      <c r="D11" s="115" t="s">
        <v>19</v>
      </c>
      <c r="E11" s="116">
        <v>2010</v>
      </c>
      <c r="F11" s="116">
        <f t="shared" si="0"/>
        <v>4020</v>
      </c>
      <c r="G11" s="115" t="s">
        <v>1039</v>
      </c>
      <c r="H11" s="115"/>
      <c r="I11" s="115"/>
      <c r="J11" s="115"/>
      <c r="P11" s="79"/>
    </row>
    <row r="12" spans="1:18" x14ac:dyDescent="0.25">
      <c r="A12" s="114">
        <v>46028</v>
      </c>
      <c r="B12" s="115">
        <v>2</v>
      </c>
      <c r="C12" s="115" t="s">
        <v>969</v>
      </c>
      <c r="D12" s="115" t="s">
        <v>70</v>
      </c>
      <c r="E12" s="116">
        <v>2010</v>
      </c>
      <c r="F12" s="116">
        <f t="shared" si="0"/>
        <v>4020</v>
      </c>
      <c r="G12" s="115" t="s">
        <v>1038</v>
      </c>
      <c r="H12" s="115"/>
      <c r="I12" s="115"/>
      <c r="J12" s="115"/>
      <c r="P12" s="79"/>
    </row>
    <row r="13" spans="1:18" x14ac:dyDescent="0.25">
      <c r="A13" s="114">
        <v>46028</v>
      </c>
      <c r="B13" s="115">
        <v>2</v>
      </c>
      <c r="C13" s="115" t="s">
        <v>969</v>
      </c>
      <c r="D13" s="115" t="s">
        <v>70</v>
      </c>
      <c r="E13" s="116">
        <v>2010</v>
      </c>
      <c r="F13" s="116">
        <f t="shared" si="0"/>
        <v>4020</v>
      </c>
      <c r="G13" s="115" t="s">
        <v>1036</v>
      </c>
      <c r="H13" s="115"/>
      <c r="I13" s="115"/>
      <c r="J13" s="115"/>
      <c r="P13" s="79"/>
    </row>
    <row r="14" spans="1:18" x14ac:dyDescent="0.25">
      <c r="A14" s="114">
        <v>46028</v>
      </c>
      <c r="B14" s="115">
        <v>2</v>
      </c>
      <c r="C14" s="115" t="s">
        <v>969</v>
      </c>
      <c r="D14" s="115" t="s">
        <v>1031</v>
      </c>
      <c r="E14" s="116">
        <v>2010</v>
      </c>
      <c r="F14" s="116">
        <f t="shared" si="0"/>
        <v>4020</v>
      </c>
      <c r="G14" s="115" t="s">
        <v>1037</v>
      </c>
      <c r="H14" s="115"/>
      <c r="I14" s="115"/>
      <c r="J14" s="115"/>
      <c r="P14" s="79"/>
    </row>
    <row r="15" spans="1:18" x14ac:dyDescent="0.25">
      <c r="A15" s="114">
        <v>46028</v>
      </c>
      <c r="B15" s="115">
        <v>1</v>
      </c>
      <c r="C15" s="115" t="s">
        <v>969</v>
      </c>
      <c r="D15" s="115" t="s">
        <v>675</v>
      </c>
      <c r="E15" s="116">
        <v>2010</v>
      </c>
      <c r="F15" s="116">
        <f t="shared" si="0"/>
        <v>2010</v>
      </c>
      <c r="G15" s="115" t="s">
        <v>1042</v>
      </c>
      <c r="H15" s="115"/>
      <c r="I15" s="115"/>
      <c r="J15" s="115"/>
      <c r="O15">
        <v>642</v>
      </c>
      <c r="P15" s="79"/>
    </row>
    <row r="16" spans="1:18" x14ac:dyDescent="0.25">
      <c r="A16" s="114">
        <v>46029</v>
      </c>
      <c r="B16" s="115">
        <v>1</v>
      </c>
      <c r="C16" s="115" t="s">
        <v>542</v>
      </c>
      <c r="D16" s="115" t="s">
        <v>1032</v>
      </c>
      <c r="E16" s="117">
        <v>11423.05</v>
      </c>
      <c r="F16" s="117">
        <v>11423.05</v>
      </c>
      <c r="G16" s="115" t="s">
        <v>1033</v>
      </c>
      <c r="H16" s="115"/>
      <c r="I16" s="115"/>
      <c r="J16" s="115"/>
      <c r="P16" s="79"/>
    </row>
    <row r="17" spans="1:16" x14ac:dyDescent="0.25">
      <c r="A17" s="114">
        <v>46031</v>
      </c>
      <c r="B17" s="115">
        <v>2</v>
      </c>
      <c r="C17" s="115" t="s">
        <v>969</v>
      </c>
      <c r="D17" s="115" t="s">
        <v>674</v>
      </c>
      <c r="E17" s="116">
        <v>2010</v>
      </c>
      <c r="F17" s="116">
        <f>B17*E17</f>
        <v>4020</v>
      </c>
      <c r="G17" s="115" t="s">
        <v>1064</v>
      </c>
      <c r="H17" s="115"/>
      <c r="I17" s="115"/>
      <c r="J17" s="115"/>
      <c r="P17" s="79"/>
    </row>
    <row r="18" spans="1:16" x14ac:dyDescent="0.25">
      <c r="A18" s="114">
        <v>46031</v>
      </c>
      <c r="B18" s="115">
        <v>2</v>
      </c>
      <c r="C18" s="115" t="s">
        <v>969</v>
      </c>
      <c r="D18" s="115" t="s">
        <v>1031</v>
      </c>
      <c r="E18" s="116">
        <v>2010</v>
      </c>
      <c r="F18" s="116">
        <f t="shared" ref="F18:F21" si="1">B18*E18</f>
        <v>4020</v>
      </c>
      <c r="G18" s="115" t="s">
        <v>1063</v>
      </c>
      <c r="H18" s="115"/>
      <c r="I18" s="115"/>
      <c r="J18" s="115"/>
      <c r="P18" s="79"/>
    </row>
    <row r="19" spans="1:16" x14ac:dyDescent="0.25">
      <c r="A19" s="114">
        <v>46031</v>
      </c>
      <c r="B19" s="115">
        <v>2</v>
      </c>
      <c r="C19" s="115" t="s">
        <v>969</v>
      </c>
      <c r="D19" s="115" t="s">
        <v>1040</v>
      </c>
      <c r="E19" s="116">
        <v>2010</v>
      </c>
      <c r="F19" s="116">
        <f t="shared" si="1"/>
        <v>4020</v>
      </c>
      <c r="G19" s="115" t="s">
        <v>1064</v>
      </c>
      <c r="H19" s="115"/>
      <c r="I19" s="115"/>
      <c r="J19" s="115"/>
      <c r="P19" s="79"/>
    </row>
    <row r="20" spans="1:16" x14ac:dyDescent="0.25">
      <c r="A20" s="114">
        <v>46031</v>
      </c>
      <c r="B20" s="115">
        <v>1</v>
      </c>
      <c r="C20" s="115" t="s">
        <v>969</v>
      </c>
      <c r="D20" s="115" t="s">
        <v>27</v>
      </c>
      <c r="E20" s="116">
        <v>2010</v>
      </c>
      <c r="F20" s="116">
        <f t="shared" si="1"/>
        <v>2010</v>
      </c>
      <c r="G20" s="115" t="s">
        <v>1042</v>
      </c>
      <c r="H20" s="115"/>
      <c r="I20" s="115"/>
      <c r="J20" s="115"/>
      <c r="P20" s="79"/>
    </row>
    <row r="21" spans="1:16" x14ac:dyDescent="0.25">
      <c r="A21" s="114">
        <v>46031</v>
      </c>
      <c r="B21" s="115">
        <v>2</v>
      </c>
      <c r="C21" s="115" t="s">
        <v>969</v>
      </c>
      <c r="D21" s="115" t="s">
        <v>813</v>
      </c>
      <c r="E21" s="116">
        <v>2010</v>
      </c>
      <c r="F21" s="116">
        <f t="shared" si="1"/>
        <v>4020</v>
      </c>
      <c r="G21" s="115" t="s">
        <v>1042</v>
      </c>
      <c r="H21" s="115"/>
      <c r="I21" s="115"/>
      <c r="J21" s="115"/>
      <c r="P21" s="79"/>
    </row>
    <row r="22" spans="1:16" x14ac:dyDescent="0.25">
      <c r="A22" s="114">
        <v>46033</v>
      </c>
      <c r="B22" s="115">
        <v>7</v>
      </c>
      <c r="C22" s="115" t="s">
        <v>1062</v>
      </c>
      <c r="D22" s="115" t="s">
        <v>677</v>
      </c>
      <c r="E22" s="118">
        <v>2197</v>
      </c>
      <c r="F22" s="118">
        <f>B22*E22</f>
        <v>15379</v>
      </c>
      <c r="G22" s="115" t="s">
        <v>1061</v>
      </c>
      <c r="H22" s="115"/>
      <c r="I22" s="115"/>
      <c r="J22" s="115"/>
    </row>
    <row r="23" spans="1:16" x14ac:dyDescent="0.25">
      <c r="A23" s="114">
        <v>46036</v>
      </c>
      <c r="B23" s="115">
        <v>8</v>
      </c>
      <c r="C23" s="115" t="s">
        <v>1046</v>
      </c>
      <c r="D23" s="115" t="s">
        <v>335</v>
      </c>
      <c r="E23" s="116">
        <v>2490</v>
      </c>
      <c r="F23" s="116">
        <f>B23*E23</f>
        <v>19920</v>
      </c>
      <c r="G23" s="115" t="s">
        <v>1071</v>
      </c>
      <c r="H23" s="115"/>
      <c r="I23" s="115"/>
      <c r="J23" s="115"/>
    </row>
    <row r="24" spans="1:16" x14ac:dyDescent="0.25">
      <c r="A24" s="114">
        <v>46036</v>
      </c>
      <c r="B24" s="115">
        <v>25</v>
      </c>
      <c r="C24" s="115" t="s">
        <v>1047</v>
      </c>
      <c r="D24" s="115" t="s">
        <v>335</v>
      </c>
      <c r="E24" s="116">
        <v>415</v>
      </c>
      <c r="F24" s="116">
        <f>B24*E24</f>
        <v>10375</v>
      </c>
      <c r="G24" s="115" t="s">
        <v>1071</v>
      </c>
      <c r="H24" s="115"/>
      <c r="I24" s="115"/>
      <c r="J24" s="115"/>
    </row>
    <row r="25" spans="1:16" x14ac:dyDescent="0.25">
      <c r="A25" s="114">
        <v>46037</v>
      </c>
      <c r="B25" s="115">
        <v>3</v>
      </c>
      <c r="C25" s="115" t="s">
        <v>1048</v>
      </c>
      <c r="D25" s="115" t="s">
        <v>101</v>
      </c>
      <c r="E25" s="116">
        <v>2690</v>
      </c>
      <c r="F25" s="116">
        <f t="shared" ref="F25:F69" si="2">B25*E25</f>
        <v>8070</v>
      </c>
      <c r="G25" s="115" t="s">
        <v>1051</v>
      </c>
      <c r="H25" s="115"/>
      <c r="I25" s="115"/>
      <c r="J25" s="115"/>
    </row>
    <row r="26" spans="1:16" x14ac:dyDescent="0.25">
      <c r="A26" s="114">
        <v>46037</v>
      </c>
      <c r="B26" s="115">
        <v>3</v>
      </c>
      <c r="C26" s="115" t="s">
        <v>1049</v>
      </c>
      <c r="D26" s="115" t="s">
        <v>101</v>
      </c>
      <c r="E26" s="116">
        <v>259</v>
      </c>
      <c r="F26" s="116">
        <f t="shared" si="2"/>
        <v>777</v>
      </c>
      <c r="G26" s="115" t="s">
        <v>1051</v>
      </c>
      <c r="H26" s="115"/>
      <c r="I26" s="115"/>
      <c r="J26" s="115"/>
    </row>
    <row r="27" spans="1:16" x14ac:dyDescent="0.25">
      <c r="A27" s="114">
        <v>46037</v>
      </c>
      <c r="B27" s="115">
        <v>3</v>
      </c>
      <c r="C27" s="115" t="s">
        <v>1050</v>
      </c>
      <c r="D27" s="115" t="s">
        <v>101</v>
      </c>
      <c r="E27" s="116">
        <v>519</v>
      </c>
      <c r="F27" s="116">
        <f t="shared" si="2"/>
        <v>1557</v>
      </c>
      <c r="G27" s="115" t="s">
        <v>8</v>
      </c>
      <c r="H27" s="115"/>
      <c r="I27" s="115"/>
      <c r="J27" s="115"/>
    </row>
    <row r="28" spans="1:16" x14ac:dyDescent="0.25">
      <c r="A28" s="114">
        <v>46037</v>
      </c>
      <c r="B28" s="115">
        <v>3</v>
      </c>
      <c r="C28" s="115" t="s">
        <v>1047</v>
      </c>
      <c r="D28" s="115" t="s">
        <v>101</v>
      </c>
      <c r="E28" s="116">
        <v>419</v>
      </c>
      <c r="F28" s="116">
        <f t="shared" si="2"/>
        <v>1257</v>
      </c>
      <c r="G28" s="115" t="s">
        <v>8</v>
      </c>
      <c r="H28" s="115"/>
      <c r="I28" s="115"/>
      <c r="J28" s="115"/>
    </row>
    <row r="29" spans="1:16" x14ac:dyDescent="0.25">
      <c r="A29" s="114">
        <v>46037</v>
      </c>
      <c r="B29" s="115">
        <v>1</v>
      </c>
      <c r="C29" s="115" t="s">
        <v>542</v>
      </c>
      <c r="D29" s="115" t="s">
        <v>1052</v>
      </c>
      <c r="E29" s="116">
        <v>7980</v>
      </c>
      <c r="F29" s="116">
        <f t="shared" si="2"/>
        <v>7980</v>
      </c>
      <c r="G29" s="115" t="s">
        <v>1033</v>
      </c>
      <c r="H29" s="115"/>
      <c r="I29" s="115"/>
      <c r="J29" s="115"/>
    </row>
    <row r="30" spans="1:16" x14ac:dyDescent="0.25">
      <c r="A30" s="114">
        <v>46038</v>
      </c>
      <c r="B30" s="115">
        <v>2</v>
      </c>
      <c r="C30" s="115" t="s">
        <v>1060</v>
      </c>
      <c r="D30" s="115" t="s">
        <v>813</v>
      </c>
      <c r="E30" s="116">
        <v>1397</v>
      </c>
      <c r="F30" s="116">
        <f t="shared" si="2"/>
        <v>2794</v>
      </c>
      <c r="G30" s="115" t="s">
        <v>1088</v>
      </c>
      <c r="H30" s="115"/>
      <c r="I30" s="115"/>
      <c r="J30" s="115"/>
    </row>
    <row r="31" spans="1:16" x14ac:dyDescent="0.25">
      <c r="A31" s="114">
        <v>46038</v>
      </c>
      <c r="B31" s="115">
        <v>2</v>
      </c>
      <c r="C31" s="115" t="s">
        <v>1058</v>
      </c>
      <c r="D31" s="115" t="s">
        <v>1055</v>
      </c>
      <c r="E31" s="116">
        <v>1397</v>
      </c>
      <c r="F31" s="116">
        <f t="shared" si="2"/>
        <v>2794</v>
      </c>
      <c r="G31" s="115" t="s">
        <v>1056</v>
      </c>
      <c r="H31" s="115"/>
      <c r="I31" s="115"/>
      <c r="J31" s="115"/>
    </row>
    <row r="32" spans="1:16" x14ac:dyDescent="0.25">
      <c r="A32" s="114">
        <v>46038</v>
      </c>
      <c r="B32" s="115">
        <v>4</v>
      </c>
      <c r="C32" s="115" t="s">
        <v>323</v>
      </c>
      <c r="D32" s="115" t="s">
        <v>358</v>
      </c>
      <c r="E32" s="116">
        <v>648</v>
      </c>
      <c r="F32" s="116">
        <f t="shared" si="2"/>
        <v>2592</v>
      </c>
      <c r="G32" s="115" t="s">
        <v>1056</v>
      </c>
      <c r="H32" s="115"/>
      <c r="I32" s="115"/>
      <c r="J32" s="115"/>
    </row>
    <row r="33" spans="1:10" x14ac:dyDescent="0.25">
      <c r="A33" s="114">
        <v>46039</v>
      </c>
      <c r="B33" s="115">
        <v>2</v>
      </c>
      <c r="C33" s="115" t="s">
        <v>1060</v>
      </c>
      <c r="D33" s="115" t="s">
        <v>1057</v>
      </c>
      <c r="E33" s="116">
        <v>1398</v>
      </c>
      <c r="F33" s="116">
        <f t="shared" si="2"/>
        <v>2796</v>
      </c>
      <c r="G33" s="115" t="s">
        <v>8</v>
      </c>
      <c r="H33" s="115"/>
      <c r="I33" s="115"/>
      <c r="J33" s="115"/>
    </row>
    <row r="34" spans="1:10" x14ac:dyDescent="0.25">
      <c r="A34" s="114">
        <v>46039</v>
      </c>
      <c r="B34" s="115">
        <v>2</v>
      </c>
      <c r="C34" s="115" t="s">
        <v>323</v>
      </c>
      <c r="D34" s="115" t="s">
        <v>358</v>
      </c>
      <c r="E34" s="116">
        <v>648</v>
      </c>
      <c r="F34" s="116">
        <f t="shared" si="2"/>
        <v>1296</v>
      </c>
      <c r="G34" s="115" t="s">
        <v>8</v>
      </c>
      <c r="H34" s="115"/>
      <c r="I34" s="115"/>
      <c r="J34" s="115"/>
    </row>
    <row r="35" spans="1:10" x14ac:dyDescent="0.25">
      <c r="A35" s="114">
        <v>46039</v>
      </c>
      <c r="B35" s="115">
        <v>2</v>
      </c>
      <c r="C35" s="115" t="s">
        <v>1059</v>
      </c>
      <c r="D35" s="115" t="s">
        <v>1031</v>
      </c>
      <c r="E35" s="116">
        <v>1397</v>
      </c>
      <c r="F35" s="116">
        <f t="shared" si="2"/>
        <v>2794</v>
      </c>
      <c r="G35" s="115" t="s">
        <v>1066</v>
      </c>
      <c r="H35" s="115"/>
      <c r="I35" s="115"/>
      <c r="J35" s="115"/>
    </row>
    <row r="36" spans="1:10" x14ac:dyDescent="0.25">
      <c r="A36" s="114">
        <v>46039</v>
      </c>
      <c r="B36" s="115">
        <v>2</v>
      </c>
      <c r="C36" s="115" t="s">
        <v>1058</v>
      </c>
      <c r="D36" s="115" t="s">
        <v>674</v>
      </c>
      <c r="E36" s="116">
        <v>1397</v>
      </c>
      <c r="F36" s="116">
        <f t="shared" si="2"/>
        <v>2794</v>
      </c>
      <c r="G36" s="115" t="s">
        <v>8</v>
      </c>
      <c r="H36" s="115"/>
      <c r="I36" s="115"/>
      <c r="J36" s="115"/>
    </row>
    <row r="37" spans="1:10" x14ac:dyDescent="0.25">
      <c r="A37" s="114">
        <v>46041</v>
      </c>
      <c r="B37" s="115">
        <v>40</v>
      </c>
      <c r="C37" s="115" t="s">
        <v>1013</v>
      </c>
      <c r="D37" s="115" t="s">
        <v>1067</v>
      </c>
      <c r="E37" s="116">
        <v>402</v>
      </c>
      <c r="F37" s="116">
        <f t="shared" si="2"/>
        <v>16080</v>
      </c>
      <c r="G37" s="115" t="s">
        <v>1068</v>
      </c>
      <c r="H37" s="115"/>
      <c r="I37" s="115"/>
      <c r="J37" s="115"/>
    </row>
    <row r="38" spans="1:10" x14ac:dyDescent="0.25">
      <c r="A38" s="114">
        <v>46041</v>
      </c>
      <c r="B38" s="115">
        <v>32</v>
      </c>
      <c r="C38" s="115" t="s">
        <v>1013</v>
      </c>
      <c r="D38" s="115" t="s">
        <v>500</v>
      </c>
      <c r="E38" s="116">
        <v>402</v>
      </c>
      <c r="F38" s="116">
        <f t="shared" si="2"/>
        <v>12864</v>
      </c>
      <c r="G38" s="115" t="s">
        <v>1068</v>
      </c>
      <c r="H38" s="115"/>
      <c r="I38" s="115"/>
      <c r="J38" s="115"/>
    </row>
    <row r="39" spans="1:10" x14ac:dyDescent="0.25">
      <c r="A39" s="114">
        <v>46041</v>
      </c>
      <c r="B39" s="115">
        <v>60</v>
      </c>
      <c r="C39" s="115" t="s">
        <v>1013</v>
      </c>
      <c r="D39" s="115" t="s">
        <v>492</v>
      </c>
      <c r="E39" s="116">
        <v>402</v>
      </c>
      <c r="F39" s="116">
        <f t="shared" si="2"/>
        <v>24120</v>
      </c>
      <c r="G39" s="115" t="s">
        <v>1068</v>
      </c>
      <c r="H39" s="115"/>
      <c r="I39" s="115"/>
      <c r="J39" s="115"/>
    </row>
    <row r="40" spans="1:10" x14ac:dyDescent="0.25">
      <c r="A40" s="108"/>
      <c r="B40" s="109"/>
      <c r="C40" s="109" t="s">
        <v>1013</v>
      </c>
      <c r="D40" s="109" t="s">
        <v>492</v>
      </c>
      <c r="E40" s="110">
        <v>500</v>
      </c>
      <c r="F40" s="110">
        <v>500</v>
      </c>
      <c r="G40" s="109" t="s">
        <v>1091</v>
      </c>
      <c r="H40" s="109"/>
      <c r="I40" s="109"/>
      <c r="J40" s="109"/>
    </row>
    <row r="41" spans="1:10" x14ac:dyDescent="0.25">
      <c r="A41" s="108">
        <v>46042</v>
      </c>
      <c r="B41" s="109"/>
      <c r="C41" s="109" t="s">
        <v>1013</v>
      </c>
      <c r="D41" s="109" t="s">
        <v>1067</v>
      </c>
      <c r="E41" s="110">
        <v>500</v>
      </c>
      <c r="F41" s="110">
        <v>500</v>
      </c>
      <c r="G41" s="109" t="s">
        <v>1069</v>
      </c>
      <c r="H41" s="109"/>
      <c r="I41" s="109"/>
      <c r="J41" s="109"/>
    </row>
    <row r="42" spans="1:10" x14ac:dyDescent="0.25">
      <c r="A42" s="114">
        <v>46042</v>
      </c>
      <c r="B42" s="115">
        <v>1</v>
      </c>
      <c r="C42" s="115" t="s">
        <v>1070</v>
      </c>
      <c r="D42" s="115" t="s">
        <v>1075</v>
      </c>
      <c r="E42" s="116">
        <v>100</v>
      </c>
      <c r="F42" s="116">
        <f t="shared" si="2"/>
        <v>100</v>
      </c>
      <c r="G42" s="115" t="s">
        <v>85</v>
      </c>
      <c r="H42" s="115"/>
      <c r="I42" s="115"/>
      <c r="J42" s="115"/>
    </row>
    <row r="43" spans="1:10" x14ac:dyDescent="0.25">
      <c r="A43" s="114">
        <v>46043</v>
      </c>
      <c r="B43" s="115">
        <v>80</v>
      </c>
      <c r="C43" s="115" t="s">
        <v>1013</v>
      </c>
      <c r="D43" s="115" t="s">
        <v>608</v>
      </c>
      <c r="E43" s="116">
        <v>398</v>
      </c>
      <c r="F43" s="116">
        <f t="shared" si="2"/>
        <v>31840</v>
      </c>
      <c r="G43" s="115" t="s">
        <v>1130</v>
      </c>
      <c r="H43" s="115"/>
      <c r="I43" s="115"/>
      <c r="J43" s="115"/>
    </row>
    <row r="44" spans="1:10" x14ac:dyDescent="0.25">
      <c r="A44" s="114">
        <v>46044</v>
      </c>
      <c r="B44" s="115">
        <v>2</v>
      </c>
      <c r="C44" s="115" t="s">
        <v>1089</v>
      </c>
      <c r="D44" s="115" t="s">
        <v>318</v>
      </c>
      <c r="E44" s="116">
        <v>1397</v>
      </c>
      <c r="F44" s="116">
        <f t="shared" si="2"/>
        <v>2794</v>
      </c>
      <c r="G44" s="115" t="s">
        <v>8</v>
      </c>
      <c r="H44" s="115"/>
      <c r="I44" s="115"/>
      <c r="J44" s="115"/>
    </row>
    <row r="45" spans="1:10" x14ac:dyDescent="0.25">
      <c r="A45" s="114">
        <v>46044</v>
      </c>
      <c r="B45" s="115">
        <v>1</v>
      </c>
      <c r="C45" s="115" t="s">
        <v>1089</v>
      </c>
      <c r="D45" s="115" t="s">
        <v>1090</v>
      </c>
      <c r="E45" s="116">
        <v>1397</v>
      </c>
      <c r="F45" s="116">
        <f t="shared" si="2"/>
        <v>1397</v>
      </c>
      <c r="G45" s="115" t="s">
        <v>8</v>
      </c>
      <c r="H45" s="115"/>
      <c r="I45" s="115"/>
      <c r="J45" s="115"/>
    </row>
    <row r="46" spans="1:10" x14ac:dyDescent="0.25">
      <c r="A46" s="114">
        <v>46044</v>
      </c>
      <c r="B46" s="115">
        <v>1</v>
      </c>
      <c r="C46" s="115" t="s">
        <v>1013</v>
      </c>
      <c r="D46" s="115" t="s">
        <v>934</v>
      </c>
      <c r="E46" s="116">
        <v>439</v>
      </c>
      <c r="F46" s="116">
        <f t="shared" si="2"/>
        <v>439</v>
      </c>
      <c r="G46" s="115" t="s">
        <v>8</v>
      </c>
      <c r="H46" s="115"/>
      <c r="I46" s="115"/>
      <c r="J46" s="115"/>
    </row>
    <row r="47" spans="1:10" x14ac:dyDescent="0.25">
      <c r="A47" s="108">
        <v>46044</v>
      </c>
      <c r="B47" s="109"/>
      <c r="C47" s="109" t="s">
        <v>1013</v>
      </c>
      <c r="D47" s="109" t="s">
        <v>1092</v>
      </c>
      <c r="E47" s="110"/>
      <c r="F47" s="110">
        <f t="shared" si="2"/>
        <v>0</v>
      </c>
      <c r="G47" s="109" t="s">
        <v>758</v>
      </c>
      <c r="H47" s="109"/>
      <c r="I47" s="109"/>
      <c r="J47" s="109"/>
    </row>
    <row r="48" spans="1:10" x14ac:dyDescent="0.25">
      <c r="A48" s="119">
        <v>46045</v>
      </c>
      <c r="B48" s="120">
        <v>40</v>
      </c>
      <c r="C48" s="120" t="s">
        <v>1013</v>
      </c>
      <c r="D48" s="120" t="s">
        <v>490</v>
      </c>
      <c r="E48" s="121">
        <v>398</v>
      </c>
      <c r="F48" s="121">
        <f t="shared" si="2"/>
        <v>15920</v>
      </c>
      <c r="G48" s="120" t="s">
        <v>1155</v>
      </c>
      <c r="H48" s="115"/>
      <c r="I48" s="115"/>
      <c r="J48" s="115"/>
    </row>
    <row r="49" spans="1:10" x14ac:dyDescent="0.25">
      <c r="A49" s="114">
        <v>46045</v>
      </c>
      <c r="B49" s="115">
        <v>10</v>
      </c>
      <c r="C49" s="115" t="s">
        <v>1013</v>
      </c>
      <c r="D49" s="115" t="s">
        <v>494</v>
      </c>
      <c r="E49" s="116">
        <v>431</v>
      </c>
      <c r="F49" s="116">
        <f t="shared" si="2"/>
        <v>4310</v>
      </c>
      <c r="G49" s="115" t="s">
        <v>8</v>
      </c>
      <c r="H49" s="115"/>
      <c r="I49" s="115"/>
      <c r="J49" s="115"/>
    </row>
    <row r="50" spans="1:10" x14ac:dyDescent="0.25">
      <c r="A50" s="114">
        <v>46046</v>
      </c>
      <c r="B50" s="115">
        <v>4</v>
      </c>
      <c r="C50" s="115" t="s">
        <v>1013</v>
      </c>
      <c r="D50" s="115" t="s">
        <v>1093</v>
      </c>
      <c r="E50" s="116">
        <v>431</v>
      </c>
      <c r="F50" s="116">
        <f t="shared" si="2"/>
        <v>1724</v>
      </c>
      <c r="G50" s="115" t="s">
        <v>8</v>
      </c>
      <c r="H50" s="115"/>
      <c r="I50" s="115"/>
      <c r="J50" s="115"/>
    </row>
    <row r="51" spans="1:10" x14ac:dyDescent="0.25">
      <c r="A51" s="114">
        <v>46046</v>
      </c>
      <c r="B51" s="115">
        <v>10</v>
      </c>
      <c r="C51" s="115" t="s">
        <v>1013</v>
      </c>
      <c r="D51" s="115" t="s">
        <v>934</v>
      </c>
      <c r="E51" s="116">
        <v>451</v>
      </c>
      <c r="F51" s="116">
        <f t="shared" si="2"/>
        <v>4510</v>
      </c>
      <c r="G51" s="115" t="s">
        <v>8</v>
      </c>
      <c r="H51" s="115"/>
      <c r="I51" s="115"/>
      <c r="J51" s="115"/>
    </row>
    <row r="52" spans="1:10" x14ac:dyDescent="0.25">
      <c r="A52" s="114">
        <v>46046</v>
      </c>
      <c r="B52" s="115">
        <v>4</v>
      </c>
      <c r="C52" s="115" t="s">
        <v>969</v>
      </c>
      <c r="D52" s="115" t="s">
        <v>331</v>
      </c>
      <c r="E52" s="116">
        <v>2199</v>
      </c>
      <c r="F52" s="116">
        <f t="shared" si="2"/>
        <v>8796</v>
      </c>
      <c r="G52" s="115" t="s">
        <v>8</v>
      </c>
      <c r="H52" s="115"/>
      <c r="I52" s="115" t="s">
        <v>115</v>
      </c>
      <c r="J52" s="115"/>
    </row>
    <row r="53" spans="1:10" x14ac:dyDescent="0.25">
      <c r="A53" s="114">
        <v>46046</v>
      </c>
      <c r="B53" s="115">
        <v>4</v>
      </c>
      <c r="C53" s="115" t="s">
        <v>969</v>
      </c>
      <c r="D53" s="115" t="s">
        <v>71</v>
      </c>
      <c r="E53" s="116">
        <v>2199</v>
      </c>
      <c r="F53" s="116">
        <f t="shared" si="2"/>
        <v>8796</v>
      </c>
      <c r="G53" s="115" t="s">
        <v>8</v>
      </c>
      <c r="H53" s="115"/>
      <c r="I53" s="115" t="s">
        <v>115</v>
      </c>
      <c r="J53" s="115"/>
    </row>
    <row r="54" spans="1:10" x14ac:dyDescent="0.25">
      <c r="A54" s="114">
        <v>46046</v>
      </c>
      <c r="B54" s="115">
        <v>2</v>
      </c>
      <c r="C54" s="115" t="s">
        <v>969</v>
      </c>
      <c r="D54" s="115" t="s">
        <v>1094</v>
      </c>
      <c r="E54" s="116">
        <v>2199</v>
      </c>
      <c r="F54" s="116">
        <f t="shared" si="2"/>
        <v>4398</v>
      </c>
      <c r="G54" s="115" t="s">
        <v>8</v>
      </c>
      <c r="H54" s="115"/>
      <c r="I54" s="115" t="s">
        <v>115</v>
      </c>
      <c r="J54" s="115"/>
    </row>
    <row r="55" spans="1:10" x14ac:dyDescent="0.25">
      <c r="A55" s="114">
        <v>46046</v>
      </c>
      <c r="B55" s="115">
        <v>4</v>
      </c>
      <c r="C55" s="115" t="s">
        <v>969</v>
      </c>
      <c r="D55" s="115" t="s">
        <v>1096</v>
      </c>
      <c r="E55" s="116">
        <v>2199</v>
      </c>
      <c r="F55" s="116">
        <f t="shared" si="2"/>
        <v>8796</v>
      </c>
      <c r="G55" s="115" t="s">
        <v>8</v>
      </c>
      <c r="H55" s="115"/>
      <c r="I55" s="115" t="s">
        <v>115</v>
      </c>
      <c r="J55" s="115"/>
    </row>
    <row r="56" spans="1:10" x14ac:dyDescent="0.25">
      <c r="A56" s="114">
        <v>46046</v>
      </c>
      <c r="B56" s="115">
        <v>2</v>
      </c>
      <c r="C56" s="115" t="s">
        <v>1095</v>
      </c>
      <c r="D56" s="115" t="s">
        <v>1096</v>
      </c>
      <c r="E56" s="116">
        <v>2199</v>
      </c>
      <c r="F56" s="116">
        <f t="shared" si="2"/>
        <v>4398</v>
      </c>
      <c r="G56" s="115" t="s">
        <v>8</v>
      </c>
      <c r="H56" s="115"/>
      <c r="I56" s="115" t="s">
        <v>115</v>
      </c>
      <c r="J56" s="115"/>
    </row>
    <row r="57" spans="1:10" x14ac:dyDescent="0.25">
      <c r="A57" s="114">
        <v>46046</v>
      </c>
      <c r="B57" s="115">
        <v>2</v>
      </c>
      <c r="C57" s="115" t="s">
        <v>1097</v>
      </c>
      <c r="D57" s="115" t="s">
        <v>1096</v>
      </c>
      <c r="E57" s="116">
        <v>1497</v>
      </c>
      <c r="F57" s="116">
        <f t="shared" si="2"/>
        <v>2994</v>
      </c>
      <c r="G57" s="115" t="s">
        <v>8</v>
      </c>
      <c r="H57" s="115"/>
      <c r="I57" s="115" t="s">
        <v>115</v>
      </c>
      <c r="J57" s="115"/>
    </row>
    <row r="58" spans="1:10" x14ac:dyDescent="0.25">
      <c r="A58" s="114">
        <v>46046</v>
      </c>
      <c r="B58" s="115">
        <v>3</v>
      </c>
      <c r="C58" s="115" t="s">
        <v>1097</v>
      </c>
      <c r="D58" s="115" t="s">
        <v>120</v>
      </c>
      <c r="E58" s="116">
        <v>1497</v>
      </c>
      <c r="F58" s="116">
        <f t="shared" si="2"/>
        <v>4491</v>
      </c>
      <c r="G58" s="115" t="s">
        <v>8</v>
      </c>
      <c r="H58" s="115"/>
      <c r="I58" s="115" t="s">
        <v>115</v>
      </c>
      <c r="J58" s="115"/>
    </row>
    <row r="59" spans="1:10" x14ac:dyDescent="0.25">
      <c r="A59" s="114">
        <v>46047</v>
      </c>
      <c r="B59" s="115">
        <v>4</v>
      </c>
      <c r="C59" s="115" t="s">
        <v>969</v>
      </c>
      <c r="D59" s="115" t="s">
        <v>230</v>
      </c>
      <c r="E59" s="116">
        <v>2199</v>
      </c>
      <c r="F59" s="116">
        <f t="shared" si="2"/>
        <v>8796</v>
      </c>
      <c r="G59" s="115" t="s">
        <v>8</v>
      </c>
      <c r="H59" s="115"/>
      <c r="I59" s="115" t="s">
        <v>115</v>
      </c>
      <c r="J59" s="115"/>
    </row>
    <row r="60" spans="1:10" x14ac:dyDescent="0.25">
      <c r="A60" s="114">
        <v>46047</v>
      </c>
      <c r="B60" s="115">
        <v>2</v>
      </c>
      <c r="C60" s="115" t="s">
        <v>1095</v>
      </c>
      <c r="D60" s="115" t="s">
        <v>230</v>
      </c>
      <c r="E60" s="116">
        <v>2199</v>
      </c>
      <c r="F60" s="116">
        <f t="shared" si="2"/>
        <v>4398</v>
      </c>
      <c r="G60" s="115" t="s">
        <v>8</v>
      </c>
      <c r="H60" s="115"/>
      <c r="I60" s="115" t="s">
        <v>115</v>
      </c>
      <c r="J60" s="115"/>
    </row>
    <row r="61" spans="1:10" x14ac:dyDescent="0.25">
      <c r="A61" s="114">
        <v>46047</v>
      </c>
      <c r="B61" s="115">
        <v>2</v>
      </c>
      <c r="C61" s="115" t="s">
        <v>1099</v>
      </c>
      <c r="D61" s="115" t="s">
        <v>230</v>
      </c>
      <c r="E61" s="116">
        <v>1499</v>
      </c>
      <c r="F61" s="116">
        <f t="shared" si="2"/>
        <v>2998</v>
      </c>
      <c r="G61" s="115" t="s">
        <v>8</v>
      </c>
      <c r="H61" s="115"/>
      <c r="I61" s="115" t="s">
        <v>115</v>
      </c>
      <c r="J61" s="115"/>
    </row>
    <row r="62" spans="1:10" x14ac:dyDescent="0.25">
      <c r="A62" s="114">
        <v>46047</v>
      </c>
      <c r="B62" s="115">
        <v>2</v>
      </c>
      <c r="C62" s="115" t="s">
        <v>1059</v>
      </c>
      <c r="D62" s="115" t="s">
        <v>230</v>
      </c>
      <c r="E62" s="116">
        <v>1499</v>
      </c>
      <c r="F62" s="116">
        <f t="shared" si="2"/>
        <v>2998</v>
      </c>
      <c r="G62" s="115" t="s">
        <v>8</v>
      </c>
      <c r="H62" s="115"/>
      <c r="I62" s="115" t="s">
        <v>115</v>
      </c>
      <c r="J62" s="115"/>
    </row>
    <row r="63" spans="1:10" x14ac:dyDescent="0.25">
      <c r="A63" s="114">
        <v>46047</v>
      </c>
      <c r="B63" s="115">
        <v>3</v>
      </c>
      <c r="C63" s="115" t="s">
        <v>969</v>
      </c>
      <c r="D63" s="115" t="s">
        <v>808</v>
      </c>
      <c r="E63" s="116">
        <v>2199</v>
      </c>
      <c r="F63" s="116">
        <f t="shared" si="2"/>
        <v>6597</v>
      </c>
      <c r="G63" s="115" t="s">
        <v>8</v>
      </c>
      <c r="H63" s="115"/>
      <c r="I63" s="115" t="s">
        <v>115</v>
      </c>
      <c r="J63" s="115"/>
    </row>
    <row r="64" spans="1:10" x14ac:dyDescent="0.25">
      <c r="A64" s="114">
        <v>46047</v>
      </c>
      <c r="B64" s="115">
        <v>4</v>
      </c>
      <c r="C64" s="115" t="s">
        <v>969</v>
      </c>
      <c r="D64" s="115" t="s">
        <v>101</v>
      </c>
      <c r="E64" s="116">
        <v>2199</v>
      </c>
      <c r="F64" s="116">
        <f t="shared" si="2"/>
        <v>8796</v>
      </c>
      <c r="G64" s="115" t="s">
        <v>8</v>
      </c>
      <c r="H64" s="115"/>
      <c r="I64" s="115" t="s">
        <v>115</v>
      </c>
      <c r="J64" s="115"/>
    </row>
    <row r="65" spans="1:12" x14ac:dyDescent="0.25">
      <c r="A65" s="114">
        <v>46047</v>
      </c>
      <c r="B65" s="115">
        <v>4</v>
      </c>
      <c r="C65" s="115" t="s">
        <v>1095</v>
      </c>
      <c r="D65" s="115" t="s">
        <v>101</v>
      </c>
      <c r="E65" s="116">
        <v>2199</v>
      </c>
      <c r="F65" s="116">
        <f t="shared" si="2"/>
        <v>8796</v>
      </c>
      <c r="G65" s="115" t="s">
        <v>8</v>
      </c>
      <c r="H65" s="115"/>
      <c r="I65" s="115" t="s">
        <v>115</v>
      </c>
      <c r="J65" s="115"/>
    </row>
    <row r="66" spans="1:12" x14ac:dyDescent="0.25">
      <c r="A66" s="114">
        <v>46047</v>
      </c>
      <c r="B66" s="115">
        <v>4</v>
      </c>
      <c r="C66" s="115" t="s">
        <v>1099</v>
      </c>
      <c r="D66" s="115" t="s">
        <v>101</v>
      </c>
      <c r="E66" s="116">
        <v>1499</v>
      </c>
      <c r="F66" s="116">
        <f t="shared" si="2"/>
        <v>5996</v>
      </c>
      <c r="G66" s="115" t="s">
        <v>8</v>
      </c>
      <c r="H66" s="115"/>
      <c r="I66" s="115" t="s">
        <v>115</v>
      </c>
      <c r="J66" s="115"/>
    </row>
    <row r="67" spans="1:12" x14ac:dyDescent="0.25">
      <c r="A67" s="114">
        <v>46047</v>
      </c>
      <c r="B67" s="115">
        <v>4</v>
      </c>
      <c r="C67" s="115" t="s">
        <v>1059</v>
      </c>
      <c r="D67" s="115" t="s">
        <v>101</v>
      </c>
      <c r="E67" s="116">
        <v>1499</v>
      </c>
      <c r="F67" s="116">
        <f t="shared" si="2"/>
        <v>5996</v>
      </c>
      <c r="G67" s="115" t="s">
        <v>8</v>
      </c>
      <c r="H67" s="115"/>
      <c r="I67" s="115" t="s">
        <v>115</v>
      </c>
      <c r="J67" s="115"/>
    </row>
    <row r="68" spans="1:12" x14ac:dyDescent="0.25">
      <c r="A68" s="108">
        <v>46047</v>
      </c>
      <c r="B68" s="109">
        <v>2</v>
      </c>
      <c r="C68" s="109" t="s">
        <v>969</v>
      </c>
      <c r="D68" s="109" t="s">
        <v>677</v>
      </c>
      <c r="E68" s="109" t="s">
        <v>1140</v>
      </c>
      <c r="F68" s="110" t="s">
        <v>1140</v>
      </c>
      <c r="G68" s="109" t="s">
        <v>1102</v>
      </c>
      <c r="H68" s="122">
        <v>1127</v>
      </c>
      <c r="I68" s="109" t="s">
        <v>115</v>
      </c>
      <c r="J68" s="123">
        <v>2663.6</v>
      </c>
      <c r="K68" t="s">
        <v>1133</v>
      </c>
      <c r="L68">
        <v>580</v>
      </c>
    </row>
    <row r="69" spans="1:12" x14ac:dyDescent="0.25">
      <c r="A69" s="114">
        <v>46047</v>
      </c>
      <c r="B69" s="115">
        <v>2</v>
      </c>
      <c r="C69" s="115" t="s">
        <v>1101</v>
      </c>
      <c r="D69" s="115" t="s">
        <v>677</v>
      </c>
      <c r="E69" s="115">
        <v>1497</v>
      </c>
      <c r="F69" s="116">
        <f t="shared" si="2"/>
        <v>2994</v>
      </c>
      <c r="G69" s="115" t="s">
        <v>1110</v>
      </c>
      <c r="H69" s="118">
        <v>949</v>
      </c>
      <c r="I69" s="115" t="s">
        <v>115</v>
      </c>
      <c r="J69" s="115"/>
      <c r="L69">
        <v>62</v>
      </c>
    </row>
    <row r="70" spans="1:12" x14ac:dyDescent="0.25">
      <c r="A70" s="114">
        <v>46049</v>
      </c>
      <c r="B70" s="115">
        <v>24</v>
      </c>
      <c r="C70" s="115" t="s">
        <v>1013</v>
      </c>
      <c r="D70" s="115" t="s">
        <v>1103</v>
      </c>
      <c r="E70" s="115">
        <v>403</v>
      </c>
      <c r="F70" s="115">
        <f>B70*E70</f>
        <v>9672</v>
      </c>
      <c r="G70" s="115" t="s">
        <v>1111</v>
      </c>
      <c r="H70" s="115"/>
      <c r="I70" s="115"/>
      <c r="J70" s="115"/>
      <c r="L70">
        <v>62</v>
      </c>
    </row>
    <row r="71" spans="1:12" x14ac:dyDescent="0.25">
      <c r="A71" s="114">
        <v>46049</v>
      </c>
      <c r="B71" s="115">
        <v>1</v>
      </c>
      <c r="C71" s="115" t="s">
        <v>1104</v>
      </c>
      <c r="D71" s="115" t="s">
        <v>1106</v>
      </c>
      <c r="E71" s="118">
        <v>2800</v>
      </c>
      <c r="F71" s="118">
        <v>2800</v>
      </c>
      <c r="G71" s="115" t="s">
        <v>1105</v>
      </c>
      <c r="H71" s="115"/>
      <c r="I71" s="115"/>
      <c r="J71" s="115"/>
      <c r="L71">
        <v>125.6</v>
      </c>
    </row>
    <row r="72" spans="1:12" x14ac:dyDescent="0.25">
      <c r="A72" s="114">
        <v>46051</v>
      </c>
      <c r="B72" s="115">
        <v>15</v>
      </c>
      <c r="C72" s="115" t="s">
        <v>1013</v>
      </c>
      <c r="D72" s="115" t="s">
        <v>1103</v>
      </c>
      <c r="E72" s="124">
        <v>403</v>
      </c>
      <c r="F72" s="124">
        <f>B72*E72</f>
        <v>6045</v>
      </c>
      <c r="G72" s="115" t="s">
        <v>1112</v>
      </c>
      <c r="H72" s="115"/>
      <c r="I72" s="115"/>
      <c r="J72" s="115"/>
      <c r="L72">
        <v>298</v>
      </c>
    </row>
    <row r="73" spans="1:12" x14ac:dyDescent="0.25">
      <c r="A73" s="114">
        <v>46052</v>
      </c>
      <c r="B73" s="115">
        <v>250</v>
      </c>
      <c r="C73" s="115" t="s">
        <v>1013</v>
      </c>
      <c r="D73" s="115" t="s">
        <v>506</v>
      </c>
      <c r="E73" s="124">
        <v>466</v>
      </c>
      <c r="F73" s="124">
        <f t="shared" ref="F73:F91" si="3">B73*E73</f>
        <v>116500</v>
      </c>
      <c r="G73" s="115" t="s">
        <v>1131</v>
      </c>
      <c r="H73" s="115"/>
      <c r="I73" s="115"/>
      <c r="J73" s="115"/>
    </row>
    <row r="74" spans="1:12" x14ac:dyDescent="0.25">
      <c r="A74" s="114">
        <v>46052</v>
      </c>
      <c r="B74" s="115">
        <v>48</v>
      </c>
      <c r="C74" s="115" t="s">
        <v>1013</v>
      </c>
      <c r="D74" s="115" t="s">
        <v>1113</v>
      </c>
      <c r="E74" s="124">
        <v>466</v>
      </c>
      <c r="F74" s="124">
        <f t="shared" si="3"/>
        <v>22368</v>
      </c>
      <c r="G74" s="115" t="s">
        <v>1131</v>
      </c>
      <c r="H74" s="115"/>
      <c r="I74" s="115"/>
      <c r="J74" s="115"/>
    </row>
    <row r="75" spans="1:12" x14ac:dyDescent="0.25">
      <c r="A75" s="114">
        <v>46052</v>
      </c>
      <c r="B75" s="115">
        <v>8</v>
      </c>
      <c r="C75" s="115" t="s">
        <v>1013</v>
      </c>
      <c r="D75" s="115" t="s">
        <v>1114</v>
      </c>
      <c r="E75" s="124">
        <v>450.89</v>
      </c>
      <c r="F75" s="124">
        <f t="shared" si="3"/>
        <v>3607.12</v>
      </c>
      <c r="G75" s="115" t="s">
        <v>8</v>
      </c>
      <c r="H75" s="115"/>
      <c r="I75" s="115"/>
      <c r="J75" s="115"/>
    </row>
    <row r="76" spans="1:12" x14ac:dyDescent="0.25">
      <c r="A76" s="114">
        <v>46052</v>
      </c>
      <c r="B76" s="115">
        <v>8</v>
      </c>
      <c r="C76" s="115" t="s">
        <v>1013</v>
      </c>
      <c r="D76" s="115" t="s">
        <v>1115</v>
      </c>
      <c r="E76" s="124">
        <v>431.1</v>
      </c>
      <c r="F76" s="124">
        <f t="shared" si="3"/>
        <v>3448.8</v>
      </c>
      <c r="G76" s="115" t="s">
        <v>8</v>
      </c>
      <c r="H76" s="115"/>
      <c r="I76" s="115"/>
      <c r="J76" s="115"/>
    </row>
    <row r="77" spans="1:12" x14ac:dyDescent="0.25">
      <c r="A77" s="114">
        <v>46052</v>
      </c>
      <c r="B77" s="115">
        <v>6</v>
      </c>
      <c r="C77" s="115" t="s">
        <v>1013</v>
      </c>
      <c r="D77" s="115" t="s">
        <v>1116</v>
      </c>
      <c r="E77" s="124">
        <v>440.1</v>
      </c>
      <c r="F77" s="124">
        <f t="shared" si="3"/>
        <v>2640.6000000000004</v>
      </c>
      <c r="G77" s="115" t="s">
        <v>8</v>
      </c>
      <c r="H77" s="115"/>
      <c r="I77" s="115"/>
      <c r="J77" s="115"/>
    </row>
    <row r="78" spans="1:12" x14ac:dyDescent="0.25">
      <c r="A78" s="114">
        <v>46052</v>
      </c>
      <c r="B78" s="115">
        <v>4</v>
      </c>
      <c r="C78" s="115" t="s">
        <v>1013</v>
      </c>
      <c r="D78" s="115" t="s">
        <v>1116</v>
      </c>
      <c r="E78" s="124">
        <v>440.1</v>
      </c>
      <c r="F78" s="124">
        <f t="shared" si="3"/>
        <v>1760.4</v>
      </c>
      <c r="G78" s="115" t="s">
        <v>8</v>
      </c>
      <c r="H78" s="115"/>
      <c r="I78" s="115"/>
      <c r="J78" s="115"/>
    </row>
    <row r="79" spans="1:12" x14ac:dyDescent="0.25">
      <c r="A79" s="114">
        <v>46052</v>
      </c>
      <c r="B79" s="115">
        <v>10</v>
      </c>
      <c r="C79" s="115" t="s">
        <v>1013</v>
      </c>
      <c r="D79" s="115" t="s">
        <v>1117</v>
      </c>
      <c r="E79" s="124">
        <v>454.49</v>
      </c>
      <c r="F79" s="124">
        <f t="shared" si="3"/>
        <v>4544.8999999999996</v>
      </c>
      <c r="G79" s="115" t="s">
        <v>8</v>
      </c>
      <c r="H79" s="115"/>
      <c r="I79" s="115"/>
      <c r="J79" s="115"/>
    </row>
    <row r="80" spans="1:12" x14ac:dyDescent="0.25">
      <c r="A80" s="114">
        <v>46052</v>
      </c>
      <c r="B80" s="115">
        <v>11</v>
      </c>
      <c r="C80" s="115" t="s">
        <v>1013</v>
      </c>
      <c r="D80" s="115" t="s">
        <v>1118</v>
      </c>
      <c r="E80" s="124">
        <v>423.45</v>
      </c>
      <c r="F80" s="124">
        <f t="shared" si="3"/>
        <v>4657.95</v>
      </c>
      <c r="G80" s="115" t="s">
        <v>8</v>
      </c>
      <c r="H80" s="115"/>
      <c r="I80" s="115"/>
      <c r="J80" s="115"/>
    </row>
    <row r="81" spans="1:10" x14ac:dyDescent="0.25">
      <c r="A81" s="114">
        <v>46052</v>
      </c>
      <c r="B81" s="115">
        <v>1</v>
      </c>
      <c r="C81" s="115" t="s">
        <v>1013</v>
      </c>
      <c r="D81" s="115" t="s">
        <v>1118</v>
      </c>
      <c r="E81" s="124">
        <v>431.1</v>
      </c>
      <c r="F81" s="124">
        <f t="shared" si="3"/>
        <v>431.1</v>
      </c>
      <c r="G81" s="115" t="s">
        <v>8</v>
      </c>
      <c r="H81" s="115"/>
      <c r="I81" s="115"/>
      <c r="J81" s="115"/>
    </row>
    <row r="82" spans="1:10" x14ac:dyDescent="0.25">
      <c r="A82" s="114">
        <v>46052</v>
      </c>
      <c r="B82" s="115">
        <v>7</v>
      </c>
      <c r="C82" s="115" t="s">
        <v>1013</v>
      </c>
      <c r="D82" s="115" t="s">
        <v>1119</v>
      </c>
      <c r="E82" s="124">
        <v>431.1</v>
      </c>
      <c r="F82" s="124">
        <f t="shared" si="3"/>
        <v>3017.7000000000003</v>
      </c>
      <c r="G82" s="115" t="s">
        <v>8</v>
      </c>
      <c r="H82" s="115"/>
      <c r="I82" s="115"/>
      <c r="J82" s="115"/>
    </row>
    <row r="83" spans="1:10" x14ac:dyDescent="0.25">
      <c r="A83" s="114">
        <v>46052</v>
      </c>
      <c r="B83" s="115">
        <v>15</v>
      </c>
      <c r="C83" s="115" t="s">
        <v>1013</v>
      </c>
      <c r="D83" s="115" t="s">
        <v>1120</v>
      </c>
      <c r="E83" s="124">
        <v>431.1</v>
      </c>
      <c r="F83" s="124">
        <f t="shared" si="3"/>
        <v>6466.5</v>
      </c>
      <c r="G83" s="115" t="s">
        <v>8</v>
      </c>
      <c r="H83" s="115"/>
      <c r="I83" s="115"/>
      <c r="J83" s="115"/>
    </row>
    <row r="84" spans="1:10" x14ac:dyDescent="0.25">
      <c r="A84" s="114">
        <v>46052</v>
      </c>
      <c r="B84" s="115">
        <v>5</v>
      </c>
      <c r="C84" s="115" t="s">
        <v>1013</v>
      </c>
      <c r="D84" s="115" t="s">
        <v>1121</v>
      </c>
      <c r="E84" s="124">
        <v>450.89</v>
      </c>
      <c r="F84" s="124">
        <f t="shared" si="3"/>
        <v>2254.4499999999998</v>
      </c>
      <c r="G84" s="115" t="s">
        <v>8</v>
      </c>
      <c r="H84" s="115"/>
      <c r="I84" s="115"/>
      <c r="J84" s="115"/>
    </row>
    <row r="85" spans="1:10" x14ac:dyDescent="0.25">
      <c r="A85" s="114">
        <v>46052</v>
      </c>
      <c r="B85" s="115">
        <v>6</v>
      </c>
      <c r="C85" s="115" t="s">
        <v>1013</v>
      </c>
      <c r="D85" s="115" t="s">
        <v>1120</v>
      </c>
      <c r="E85" s="124">
        <v>431.1</v>
      </c>
      <c r="F85" s="124">
        <f t="shared" si="3"/>
        <v>2586.6000000000004</v>
      </c>
      <c r="G85" s="115" t="s">
        <v>8</v>
      </c>
      <c r="H85" s="115"/>
      <c r="I85" s="115"/>
      <c r="J85" s="115"/>
    </row>
    <row r="86" spans="1:10" x14ac:dyDescent="0.25">
      <c r="A86" s="114">
        <v>46052</v>
      </c>
      <c r="B86" s="115">
        <v>8</v>
      </c>
      <c r="C86" s="115" t="s">
        <v>1013</v>
      </c>
      <c r="D86" s="115" t="s">
        <v>1122</v>
      </c>
      <c r="E86" s="124">
        <v>431.1</v>
      </c>
      <c r="F86" s="124">
        <f t="shared" si="3"/>
        <v>3448.8</v>
      </c>
      <c r="G86" s="115" t="s">
        <v>8</v>
      </c>
      <c r="H86" s="115"/>
      <c r="I86" s="115"/>
      <c r="J86" s="115"/>
    </row>
    <row r="87" spans="1:10" x14ac:dyDescent="0.25">
      <c r="A87" s="114">
        <v>46052</v>
      </c>
      <c r="B87" s="115">
        <v>8</v>
      </c>
      <c r="C87" s="115" t="s">
        <v>1013</v>
      </c>
      <c r="D87" s="115" t="s">
        <v>1122</v>
      </c>
      <c r="E87" s="124">
        <v>431.1</v>
      </c>
      <c r="F87" s="124">
        <f t="shared" si="3"/>
        <v>3448.8</v>
      </c>
      <c r="G87" s="115" t="s">
        <v>8</v>
      </c>
      <c r="H87" s="115"/>
      <c r="I87" s="115"/>
      <c r="J87" s="115"/>
    </row>
    <row r="88" spans="1:10" x14ac:dyDescent="0.25">
      <c r="A88" s="114">
        <v>46052</v>
      </c>
      <c r="B88" s="115">
        <v>16</v>
      </c>
      <c r="C88" s="115" t="s">
        <v>1013</v>
      </c>
      <c r="D88" s="115" t="s">
        <v>1123</v>
      </c>
      <c r="E88" s="124">
        <v>431.1</v>
      </c>
      <c r="F88" s="124">
        <f t="shared" si="3"/>
        <v>6897.6</v>
      </c>
      <c r="G88" s="115" t="s">
        <v>8</v>
      </c>
      <c r="H88" s="115"/>
      <c r="I88" s="115"/>
      <c r="J88" s="115"/>
    </row>
    <row r="89" spans="1:10" x14ac:dyDescent="0.25">
      <c r="A89" s="114">
        <v>46052</v>
      </c>
      <c r="B89" s="115">
        <v>2</v>
      </c>
      <c r="C89" s="115" t="s">
        <v>1013</v>
      </c>
      <c r="D89" s="115" t="s">
        <v>1119</v>
      </c>
      <c r="E89" s="124">
        <v>450.89</v>
      </c>
      <c r="F89" s="124">
        <f t="shared" si="3"/>
        <v>901.78</v>
      </c>
      <c r="G89" s="115" t="s">
        <v>8</v>
      </c>
      <c r="H89" s="115"/>
      <c r="I89" s="115"/>
      <c r="J89" s="115"/>
    </row>
    <row r="90" spans="1:10" x14ac:dyDescent="0.25">
      <c r="A90" s="114">
        <v>46053</v>
      </c>
      <c r="B90" s="115">
        <v>1</v>
      </c>
      <c r="C90" s="115" t="s">
        <v>923</v>
      </c>
      <c r="D90" s="115" t="s">
        <v>1124</v>
      </c>
      <c r="E90" s="124">
        <v>1400</v>
      </c>
      <c r="F90" s="124">
        <f t="shared" si="3"/>
        <v>1400</v>
      </c>
      <c r="G90" s="115" t="s">
        <v>85</v>
      </c>
      <c r="H90" s="115"/>
      <c r="I90" s="115"/>
      <c r="J90" s="115"/>
    </row>
    <row r="91" spans="1:10" x14ac:dyDescent="0.25">
      <c r="A91" s="114">
        <v>46053</v>
      </c>
      <c r="B91" s="115">
        <v>1</v>
      </c>
      <c r="C91" s="115" t="s">
        <v>1127</v>
      </c>
      <c r="D91" s="115" t="s">
        <v>1128</v>
      </c>
      <c r="E91" s="124">
        <v>1480</v>
      </c>
      <c r="F91" s="124">
        <f t="shared" si="3"/>
        <v>1480</v>
      </c>
      <c r="G91" s="115" t="s">
        <v>1129</v>
      </c>
      <c r="H91" s="115"/>
      <c r="I91" s="115"/>
      <c r="J91" s="115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abSelected="1" topLeftCell="A17" workbookViewId="0">
      <selection activeCell="N33" sqref="N33"/>
    </sheetView>
  </sheetViews>
  <sheetFormatPr defaultRowHeight="15" x14ac:dyDescent="0.25"/>
  <cols>
    <col min="1" max="1" width="10.140625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0" x14ac:dyDescent="0.25">
      <c r="A2" s="114">
        <v>46055</v>
      </c>
      <c r="B2" s="115">
        <v>11</v>
      </c>
      <c r="C2" s="115" t="s">
        <v>664</v>
      </c>
      <c r="D2" s="115" t="s">
        <v>490</v>
      </c>
      <c r="E2" s="116">
        <v>398</v>
      </c>
      <c r="F2" s="116">
        <f t="shared" ref="F2:F32" si="0">E2*B2</f>
        <v>4378</v>
      </c>
      <c r="G2" s="115" t="s">
        <v>8</v>
      </c>
      <c r="H2" s="115"/>
      <c r="I2" s="115"/>
      <c r="J2" s="115"/>
    </row>
    <row r="3" spans="1:10" x14ac:dyDescent="0.25">
      <c r="A3" s="114">
        <v>46055</v>
      </c>
      <c r="B3" s="115">
        <v>4</v>
      </c>
      <c r="C3" s="115" t="s">
        <v>664</v>
      </c>
      <c r="D3" s="115" t="s">
        <v>496</v>
      </c>
      <c r="E3" s="124">
        <v>431</v>
      </c>
      <c r="F3" s="116">
        <f t="shared" si="0"/>
        <v>1724</v>
      </c>
      <c r="G3" s="115" t="s">
        <v>8</v>
      </c>
      <c r="H3" s="115"/>
      <c r="I3" s="115"/>
      <c r="J3" s="115"/>
    </row>
    <row r="4" spans="1:10" x14ac:dyDescent="0.25">
      <c r="A4" s="114">
        <v>46056</v>
      </c>
      <c r="B4" s="115">
        <v>3</v>
      </c>
      <c r="C4" s="115" t="s">
        <v>664</v>
      </c>
      <c r="D4" s="115" t="s">
        <v>495</v>
      </c>
      <c r="E4" s="124">
        <v>431</v>
      </c>
      <c r="F4" s="116">
        <f t="shared" si="0"/>
        <v>1293</v>
      </c>
      <c r="G4" s="115" t="s">
        <v>8</v>
      </c>
      <c r="H4" s="115"/>
      <c r="I4" s="115"/>
      <c r="J4" s="115"/>
    </row>
    <row r="5" spans="1:10" x14ac:dyDescent="0.25">
      <c r="A5" s="114">
        <v>46056</v>
      </c>
      <c r="B5" s="115">
        <v>8</v>
      </c>
      <c r="C5" s="115" t="s">
        <v>664</v>
      </c>
      <c r="D5" s="115" t="s">
        <v>1134</v>
      </c>
      <c r="E5" s="124">
        <v>440</v>
      </c>
      <c r="F5" s="116">
        <f t="shared" si="0"/>
        <v>3520</v>
      </c>
      <c r="G5" s="115" t="s">
        <v>8</v>
      </c>
      <c r="H5" s="115"/>
      <c r="I5" s="115"/>
      <c r="J5" s="115"/>
    </row>
    <row r="6" spans="1:10" x14ac:dyDescent="0.25">
      <c r="A6" s="114">
        <v>46056</v>
      </c>
      <c r="B6" s="115">
        <v>5</v>
      </c>
      <c r="C6" s="115" t="s">
        <v>664</v>
      </c>
      <c r="D6" s="115" t="s">
        <v>731</v>
      </c>
      <c r="E6" s="124">
        <v>440</v>
      </c>
      <c r="F6" s="116">
        <f t="shared" si="0"/>
        <v>2200</v>
      </c>
      <c r="G6" s="115" t="s">
        <v>8</v>
      </c>
      <c r="H6" s="115"/>
      <c r="I6" s="115"/>
      <c r="J6" s="115"/>
    </row>
    <row r="7" spans="1:10" x14ac:dyDescent="0.25">
      <c r="A7" s="114">
        <v>46056</v>
      </c>
      <c r="B7" s="115">
        <v>6</v>
      </c>
      <c r="C7" s="115" t="s">
        <v>664</v>
      </c>
      <c r="D7" s="115" t="s">
        <v>760</v>
      </c>
      <c r="E7" s="124">
        <v>440</v>
      </c>
      <c r="F7" s="116">
        <f t="shared" si="0"/>
        <v>2640</v>
      </c>
      <c r="G7" s="115" t="s">
        <v>8</v>
      </c>
      <c r="H7" s="115"/>
      <c r="I7" s="115"/>
      <c r="J7" s="115"/>
    </row>
    <row r="8" spans="1:10" x14ac:dyDescent="0.25">
      <c r="A8" s="114">
        <v>46056</v>
      </c>
      <c r="B8" s="115">
        <v>3</v>
      </c>
      <c r="C8" s="115" t="s">
        <v>1135</v>
      </c>
      <c r="D8" s="115" t="s">
        <v>760</v>
      </c>
      <c r="E8" s="124">
        <v>398</v>
      </c>
      <c r="F8" s="116">
        <f t="shared" si="0"/>
        <v>1194</v>
      </c>
      <c r="G8" s="115" t="s">
        <v>8</v>
      </c>
      <c r="H8" s="115"/>
      <c r="I8" s="115"/>
      <c r="J8" s="115"/>
    </row>
    <row r="9" spans="1:10" x14ac:dyDescent="0.25">
      <c r="A9" s="114">
        <v>46056</v>
      </c>
      <c r="B9" s="115">
        <v>3</v>
      </c>
      <c r="C9" s="115" t="s">
        <v>1135</v>
      </c>
      <c r="D9" s="115" t="s">
        <v>1134</v>
      </c>
      <c r="E9" s="124">
        <v>398</v>
      </c>
      <c r="F9" s="116">
        <f t="shared" si="0"/>
        <v>1194</v>
      </c>
      <c r="G9" s="115" t="s">
        <v>8</v>
      </c>
      <c r="H9" s="115"/>
      <c r="I9" s="115"/>
      <c r="J9" s="115"/>
    </row>
    <row r="10" spans="1:10" x14ac:dyDescent="0.25">
      <c r="A10" s="114">
        <v>46056</v>
      </c>
      <c r="B10" s="115">
        <v>2</v>
      </c>
      <c r="C10" s="115" t="s">
        <v>1135</v>
      </c>
      <c r="D10" s="115" t="s">
        <v>1136</v>
      </c>
      <c r="E10" s="124">
        <v>398</v>
      </c>
      <c r="F10" s="116">
        <f t="shared" si="0"/>
        <v>796</v>
      </c>
      <c r="G10" s="115" t="s">
        <v>8</v>
      </c>
      <c r="H10" s="115"/>
      <c r="I10" s="115"/>
      <c r="J10" s="115"/>
    </row>
    <row r="11" spans="1:10" x14ac:dyDescent="0.25">
      <c r="A11" s="114">
        <v>46056</v>
      </c>
      <c r="B11" s="115">
        <v>1</v>
      </c>
      <c r="C11" s="115" t="s">
        <v>1137</v>
      </c>
      <c r="D11" s="115" t="s">
        <v>1136</v>
      </c>
      <c r="E11" s="124">
        <v>7</v>
      </c>
      <c r="F11" s="116">
        <f t="shared" si="0"/>
        <v>7</v>
      </c>
      <c r="G11" s="115" t="s">
        <v>8</v>
      </c>
      <c r="H11" s="115"/>
      <c r="I11" s="115"/>
      <c r="J11" s="115"/>
    </row>
    <row r="12" spans="1:10" x14ac:dyDescent="0.25">
      <c r="A12" s="114">
        <v>46056</v>
      </c>
      <c r="B12" s="115">
        <v>2</v>
      </c>
      <c r="C12" s="115" t="s">
        <v>1132</v>
      </c>
      <c r="D12" s="115" t="s">
        <v>677</v>
      </c>
      <c r="E12" s="124">
        <v>2197</v>
      </c>
      <c r="F12" s="116">
        <f t="shared" si="0"/>
        <v>4394</v>
      </c>
      <c r="G12" s="115" t="s">
        <v>348</v>
      </c>
      <c r="H12" s="115"/>
      <c r="I12" s="115" t="s">
        <v>1138</v>
      </c>
      <c r="J12" s="115" t="s">
        <v>115</v>
      </c>
    </row>
    <row r="13" spans="1:10" x14ac:dyDescent="0.25">
      <c r="A13" s="114">
        <v>46056</v>
      </c>
      <c r="B13" s="115">
        <v>5</v>
      </c>
      <c r="C13" s="115" t="s">
        <v>898</v>
      </c>
      <c r="D13" s="115" t="s">
        <v>335</v>
      </c>
      <c r="E13" s="124">
        <v>2490</v>
      </c>
      <c r="F13" s="116">
        <f t="shared" si="0"/>
        <v>12450</v>
      </c>
      <c r="G13" s="115" t="s">
        <v>1141</v>
      </c>
      <c r="H13" s="115"/>
      <c r="I13" s="115"/>
      <c r="J13" s="115"/>
    </row>
    <row r="14" spans="1:10" x14ac:dyDescent="0.25">
      <c r="A14" s="114">
        <v>46057</v>
      </c>
      <c r="B14" s="115">
        <v>3</v>
      </c>
      <c r="C14" s="115" t="s">
        <v>1135</v>
      </c>
      <c r="D14" s="115" t="s">
        <v>749</v>
      </c>
      <c r="E14" s="115">
        <v>397</v>
      </c>
      <c r="F14" s="116">
        <f t="shared" si="0"/>
        <v>1191</v>
      </c>
      <c r="G14" s="115" t="s">
        <v>8</v>
      </c>
      <c r="H14" s="115"/>
      <c r="I14" s="115" t="s">
        <v>1139</v>
      </c>
      <c r="J14" s="115"/>
    </row>
    <row r="15" spans="1:10" x14ac:dyDescent="0.25">
      <c r="A15" s="114">
        <v>46057</v>
      </c>
      <c r="B15" s="115">
        <v>4</v>
      </c>
      <c r="C15" s="115" t="s">
        <v>664</v>
      </c>
      <c r="D15" s="115" t="s">
        <v>665</v>
      </c>
      <c r="E15" s="115">
        <v>454</v>
      </c>
      <c r="F15" s="116">
        <f t="shared" si="0"/>
        <v>1816</v>
      </c>
      <c r="G15" s="115" t="s">
        <v>8</v>
      </c>
      <c r="H15" s="115"/>
      <c r="I15" s="115"/>
      <c r="J15" s="115"/>
    </row>
    <row r="16" spans="1:10" x14ac:dyDescent="0.25">
      <c r="A16" s="114">
        <v>46057</v>
      </c>
      <c r="B16" s="115">
        <v>4</v>
      </c>
      <c r="C16" s="115" t="s">
        <v>664</v>
      </c>
      <c r="D16" s="115" t="s">
        <v>749</v>
      </c>
      <c r="E16" s="115">
        <v>450</v>
      </c>
      <c r="F16" s="116">
        <f t="shared" si="0"/>
        <v>1800</v>
      </c>
      <c r="G16" s="115" t="s">
        <v>8</v>
      </c>
      <c r="H16" s="115"/>
      <c r="I16" s="115"/>
      <c r="J16" s="115"/>
    </row>
    <row r="17" spans="1:14" x14ac:dyDescent="0.25">
      <c r="A17" s="114">
        <v>46058</v>
      </c>
      <c r="B17" s="115">
        <v>50</v>
      </c>
      <c r="C17" s="115" t="s">
        <v>1135</v>
      </c>
      <c r="D17" s="115" t="s">
        <v>881</v>
      </c>
      <c r="E17" s="115">
        <v>397</v>
      </c>
      <c r="F17" s="116">
        <f t="shared" si="0"/>
        <v>19850</v>
      </c>
      <c r="G17" s="115" t="s">
        <v>348</v>
      </c>
      <c r="H17" s="10" t="s">
        <v>1159</v>
      </c>
      <c r="I17" s="10" t="s">
        <v>1150</v>
      </c>
      <c r="J17" s="10"/>
      <c r="N17">
        <v>149</v>
      </c>
    </row>
    <row r="18" spans="1:14" x14ac:dyDescent="0.25">
      <c r="A18" s="114">
        <v>46059</v>
      </c>
      <c r="B18" s="115">
        <v>2</v>
      </c>
      <c r="C18" s="115" t="s">
        <v>664</v>
      </c>
      <c r="D18" s="115" t="s">
        <v>665</v>
      </c>
      <c r="E18" s="115">
        <v>450</v>
      </c>
      <c r="F18" s="116">
        <f t="shared" si="0"/>
        <v>900</v>
      </c>
      <c r="G18" s="115" t="s">
        <v>8</v>
      </c>
      <c r="H18" s="115"/>
      <c r="I18" s="115"/>
      <c r="J18" s="115"/>
      <c r="N18">
        <v>4198</v>
      </c>
    </row>
    <row r="19" spans="1:14" x14ac:dyDescent="0.25">
      <c r="A19" s="114">
        <v>46066</v>
      </c>
      <c r="B19" s="115">
        <v>1</v>
      </c>
      <c r="C19" s="115" t="s">
        <v>1142</v>
      </c>
      <c r="D19" s="115" t="s">
        <v>101</v>
      </c>
      <c r="E19" s="115">
        <v>2949</v>
      </c>
      <c r="F19" s="115">
        <f t="shared" si="0"/>
        <v>2949</v>
      </c>
      <c r="G19" s="115" t="s">
        <v>8</v>
      </c>
      <c r="H19" s="115"/>
      <c r="I19" s="115" t="s">
        <v>1148</v>
      </c>
      <c r="J19" s="115"/>
      <c r="N19">
        <v>4648</v>
      </c>
    </row>
    <row r="20" spans="1:14" x14ac:dyDescent="0.25">
      <c r="A20" s="114">
        <v>46066</v>
      </c>
      <c r="B20" s="115">
        <v>1</v>
      </c>
      <c r="C20" s="115" t="s">
        <v>1147</v>
      </c>
      <c r="D20" s="115" t="s">
        <v>101</v>
      </c>
      <c r="E20" s="115">
        <v>0</v>
      </c>
      <c r="F20" s="115">
        <f t="shared" si="0"/>
        <v>0</v>
      </c>
      <c r="G20" s="115" t="s">
        <v>8</v>
      </c>
      <c r="H20" s="115"/>
      <c r="I20" s="115"/>
      <c r="J20" s="115"/>
      <c r="N20">
        <v>4648</v>
      </c>
    </row>
    <row r="21" spans="1:14" x14ac:dyDescent="0.25">
      <c r="A21" s="114">
        <v>46066</v>
      </c>
      <c r="B21" s="115">
        <v>1</v>
      </c>
      <c r="C21" s="115" t="s">
        <v>963</v>
      </c>
      <c r="D21" s="115" t="s">
        <v>101</v>
      </c>
      <c r="E21" s="115">
        <v>4400</v>
      </c>
      <c r="F21" s="115">
        <f t="shared" si="0"/>
        <v>4400</v>
      </c>
      <c r="G21" s="115" t="s">
        <v>8</v>
      </c>
      <c r="H21" s="115"/>
      <c r="I21" s="115"/>
      <c r="J21" s="115"/>
      <c r="N21">
        <v>4648</v>
      </c>
    </row>
    <row r="22" spans="1:14" x14ac:dyDescent="0.25">
      <c r="A22" s="114">
        <v>46066</v>
      </c>
      <c r="B22" s="115">
        <v>1</v>
      </c>
      <c r="C22" s="115" t="s">
        <v>1143</v>
      </c>
      <c r="D22" s="115" t="s">
        <v>101</v>
      </c>
      <c r="E22" s="115">
        <v>3300</v>
      </c>
      <c r="F22" s="115">
        <f t="shared" si="0"/>
        <v>3300</v>
      </c>
      <c r="G22" s="115" t="s">
        <v>8</v>
      </c>
      <c r="H22" s="115"/>
      <c r="I22" s="115"/>
      <c r="J22" s="115"/>
      <c r="N22">
        <v>2000</v>
      </c>
    </row>
    <row r="23" spans="1:14" x14ac:dyDescent="0.25">
      <c r="A23" s="114">
        <v>46066</v>
      </c>
      <c r="B23" s="115">
        <v>2</v>
      </c>
      <c r="C23" s="115" t="s">
        <v>1144</v>
      </c>
      <c r="D23" s="115" t="s">
        <v>101</v>
      </c>
      <c r="E23" s="115">
        <v>1400</v>
      </c>
      <c r="F23" s="115">
        <f t="shared" si="0"/>
        <v>2800</v>
      </c>
      <c r="G23" s="115" t="s">
        <v>8</v>
      </c>
      <c r="H23" s="115"/>
      <c r="I23" s="115"/>
      <c r="J23" s="115"/>
      <c r="N23">
        <v>2000</v>
      </c>
    </row>
    <row r="24" spans="1:14" x14ac:dyDescent="0.25">
      <c r="A24" s="114">
        <v>46066</v>
      </c>
      <c r="B24" s="115">
        <v>3</v>
      </c>
      <c r="C24" s="115" t="s">
        <v>546</v>
      </c>
      <c r="D24" s="115" t="s">
        <v>101</v>
      </c>
      <c r="E24" s="115">
        <v>520</v>
      </c>
      <c r="F24" s="115">
        <f t="shared" si="0"/>
        <v>1560</v>
      </c>
      <c r="G24" s="115" t="s">
        <v>8</v>
      </c>
      <c r="H24" s="115"/>
      <c r="I24" s="115"/>
      <c r="J24" s="115"/>
      <c r="N24">
        <v>500</v>
      </c>
    </row>
    <row r="25" spans="1:14" x14ac:dyDescent="0.25">
      <c r="A25" s="114">
        <v>46066</v>
      </c>
      <c r="B25" s="115">
        <v>1</v>
      </c>
      <c r="C25" s="115" t="s">
        <v>1145</v>
      </c>
      <c r="D25" s="115" t="s">
        <v>101</v>
      </c>
      <c r="E25" s="115">
        <v>1299</v>
      </c>
      <c r="F25" s="115">
        <f t="shared" si="0"/>
        <v>1299</v>
      </c>
      <c r="G25" s="115" t="s">
        <v>8</v>
      </c>
      <c r="H25" s="115"/>
      <c r="I25" s="115"/>
      <c r="J25" s="115"/>
      <c r="N25">
        <f>SUM(N17:N24)</f>
        <v>22791</v>
      </c>
    </row>
    <row r="26" spans="1:14" x14ac:dyDescent="0.25">
      <c r="A26" s="114">
        <v>46066</v>
      </c>
      <c r="B26" s="115">
        <v>5</v>
      </c>
      <c r="C26" s="115" t="s">
        <v>1146</v>
      </c>
      <c r="D26" s="115" t="s">
        <v>101</v>
      </c>
      <c r="E26" s="115">
        <v>30</v>
      </c>
      <c r="F26" s="115">
        <f t="shared" si="0"/>
        <v>150</v>
      </c>
      <c r="G26" s="115" t="s">
        <v>8</v>
      </c>
      <c r="H26" s="115"/>
      <c r="I26" s="115"/>
      <c r="J26" s="115"/>
    </row>
    <row r="27" spans="1:14" x14ac:dyDescent="0.25">
      <c r="A27" s="114">
        <v>46073</v>
      </c>
      <c r="B27" s="115">
        <v>80</v>
      </c>
      <c r="C27" s="115" t="s">
        <v>664</v>
      </c>
      <c r="D27" s="115" t="s">
        <v>526</v>
      </c>
      <c r="E27" s="115">
        <v>400</v>
      </c>
      <c r="F27" s="115">
        <f t="shared" si="0"/>
        <v>32000</v>
      </c>
      <c r="G27" s="115" t="s">
        <v>348</v>
      </c>
      <c r="H27" s="115"/>
      <c r="I27" s="115" t="s">
        <v>1159</v>
      </c>
      <c r="J27" s="115"/>
    </row>
    <row r="28" spans="1:14" x14ac:dyDescent="0.25">
      <c r="A28" s="114">
        <v>46072</v>
      </c>
      <c r="B28" s="115">
        <v>60</v>
      </c>
      <c r="C28" s="115" t="s">
        <v>664</v>
      </c>
      <c r="D28" s="115" t="s">
        <v>1151</v>
      </c>
      <c r="E28" s="115">
        <v>400</v>
      </c>
      <c r="F28" s="115">
        <f t="shared" si="0"/>
        <v>24000</v>
      </c>
      <c r="G28" s="115" t="s">
        <v>348</v>
      </c>
      <c r="H28" s="115"/>
      <c r="I28" s="115" t="s">
        <v>1159</v>
      </c>
      <c r="J28" s="115"/>
    </row>
    <row r="29" spans="1:14" x14ac:dyDescent="0.25">
      <c r="A29" s="114">
        <v>46074</v>
      </c>
      <c r="B29" s="115">
        <v>10</v>
      </c>
      <c r="C29" s="115" t="s">
        <v>969</v>
      </c>
      <c r="D29" s="115" t="s">
        <v>101</v>
      </c>
      <c r="E29" s="115">
        <v>2100</v>
      </c>
      <c r="F29" s="115">
        <f t="shared" si="0"/>
        <v>21000</v>
      </c>
      <c r="G29" s="115" t="s">
        <v>8</v>
      </c>
      <c r="H29" s="115"/>
      <c r="I29" s="115"/>
      <c r="J29" s="115"/>
    </row>
    <row r="30" spans="1:14" x14ac:dyDescent="0.25">
      <c r="A30" s="114">
        <v>46074</v>
      </c>
      <c r="B30" s="115">
        <v>4</v>
      </c>
      <c r="C30" s="115" t="s">
        <v>664</v>
      </c>
      <c r="D30" s="115" t="s">
        <v>101</v>
      </c>
      <c r="E30" s="115">
        <v>450</v>
      </c>
      <c r="F30" s="115">
        <f t="shared" si="0"/>
        <v>1800</v>
      </c>
      <c r="G30" s="115" t="s">
        <v>8</v>
      </c>
      <c r="H30" s="115"/>
      <c r="I30" s="115"/>
      <c r="J30" s="115"/>
    </row>
    <row r="31" spans="1:14" x14ac:dyDescent="0.25">
      <c r="A31" s="114">
        <v>46074</v>
      </c>
      <c r="B31" s="115">
        <v>4</v>
      </c>
      <c r="C31" s="115" t="s">
        <v>969</v>
      </c>
      <c r="D31" s="115" t="s">
        <v>1152</v>
      </c>
      <c r="E31" s="115">
        <v>2099</v>
      </c>
      <c r="F31" s="115">
        <f t="shared" si="0"/>
        <v>8396</v>
      </c>
      <c r="G31" s="115" t="s">
        <v>8</v>
      </c>
      <c r="H31" s="115"/>
      <c r="I31" s="115"/>
      <c r="J31" s="115"/>
    </row>
    <row r="32" spans="1:14" x14ac:dyDescent="0.25">
      <c r="A32" s="114">
        <v>46074</v>
      </c>
      <c r="B32" s="115">
        <v>5</v>
      </c>
      <c r="C32" s="115" t="s">
        <v>664</v>
      </c>
      <c r="D32" s="115" t="s">
        <v>1152</v>
      </c>
      <c r="E32" s="115">
        <v>450</v>
      </c>
      <c r="F32" s="115">
        <f t="shared" si="0"/>
        <v>2250</v>
      </c>
      <c r="G32" s="115" t="s">
        <v>8</v>
      </c>
      <c r="H32" s="115"/>
      <c r="I32" s="115"/>
      <c r="J32" s="115"/>
    </row>
    <row r="33" spans="1:10" x14ac:dyDescent="0.25">
      <c r="A33" s="80">
        <v>46069</v>
      </c>
      <c r="B33" s="10">
        <v>1</v>
      </c>
      <c r="C33" s="10" t="s">
        <v>542</v>
      </c>
      <c r="D33" s="10" t="s">
        <v>686</v>
      </c>
      <c r="E33" s="10">
        <v>21250.35</v>
      </c>
      <c r="F33" s="10">
        <v>21250.35</v>
      </c>
      <c r="G33" s="10"/>
      <c r="H33" s="10"/>
      <c r="I33" s="10" t="s">
        <v>1033</v>
      </c>
      <c r="J33" s="10"/>
    </row>
    <row r="34" spans="1:10" x14ac:dyDescent="0.25">
      <c r="A34" s="105">
        <v>46078</v>
      </c>
      <c r="B34" s="106">
        <v>40</v>
      </c>
      <c r="C34" s="106" t="s">
        <v>664</v>
      </c>
      <c r="D34" s="106" t="s">
        <v>1158</v>
      </c>
      <c r="E34" s="106">
        <v>398</v>
      </c>
      <c r="F34" s="106">
        <f>B34*E34</f>
        <v>15920</v>
      </c>
      <c r="G34" s="106" t="s">
        <v>62</v>
      </c>
      <c r="H34" s="106"/>
      <c r="I34" s="106"/>
      <c r="J34" s="106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32" t="s">
        <v>1025</v>
      </c>
      <c r="B54" s="132"/>
      <c r="C54" s="132"/>
      <c r="D54" s="132"/>
      <c r="E54" s="132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A4" sqref="A4:J7"/>
    </sheetView>
  </sheetViews>
  <sheetFormatPr defaultRowHeight="15" x14ac:dyDescent="0.25"/>
  <cols>
    <col min="3" max="3" width="20" bestFit="1" customWidth="1"/>
    <col min="4" max="4" width="12.140625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4">
        <v>46034</v>
      </c>
      <c r="B2" s="115">
        <v>10</v>
      </c>
      <c r="C2" s="115" t="s">
        <v>405</v>
      </c>
      <c r="D2" s="115" t="s">
        <v>291</v>
      </c>
      <c r="E2" s="115">
        <v>1449</v>
      </c>
      <c r="F2" s="115">
        <f>B2*E2</f>
        <v>14490</v>
      </c>
      <c r="G2" s="115" t="s">
        <v>1044</v>
      </c>
      <c r="H2" s="115"/>
      <c r="I2" s="115"/>
      <c r="J2" s="115"/>
    </row>
    <row r="3" spans="1:10" x14ac:dyDescent="0.25">
      <c r="A3" s="108">
        <v>46034</v>
      </c>
      <c r="B3" s="109">
        <v>30</v>
      </c>
      <c r="C3" s="109" t="s">
        <v>933</v>
      </c>
      <c r="D3" s="109" t="s">
        <v>291</v>
      </c>
      <c r="E3" s="109">
        <v>460</v>
      </c>
      <c r="F3" s="109">
        <f t="shared" ref="F3:F7" si="0">B3*E3</f>
        <v>13800</v>
      </c>
      <c r="G3" s="109" t="s">
        <v>1044</v>
      </c>
      <c r="H3" s="109" t="s">
        <v>1045</v>
      </c>
      <c r="I3" s="109"/>
      <c r="J3" s="109"/>
    </row>
    <row r="4" spans="1:10" x14ac:dyDescent="0.25">
      <c r="A4" s="114">
        <v>46035</v>
      </c>
      <c r="B4" s="115">
        <v>1</v>
      </c>
      <c r="C4" s="115" t="s">
        <v>542</v>
      </c>
      <c r="D4" s="115" t="s">
        <v>1053</v>
      </c>
      <c r="E4" s="115">
        <v>3408</v>
      </c>
      <c r="F4" s="115">
        <f t="shared" si="0"/>
        <v>3408</v>
      </c>
      <c r="G4" s="115"/>
      <c r="H4" s="115" t="s">
        <v>1033</v>
      </c>
      <c r="I4" s="115"/>
      <c r="J4" s="115"/>
    </row>
    <row r="5" spans="1:10" x14ac:dyDescent="0.25">
      <c r="A5" s="114">
        <v>46048</v>
      </c>
      <c r="B5" s="115"/>
      <c r="C5" s="115" t="s">
        <v>622</v>
      </c>
      <c r="D5" s="115" t="s">
        <v>464</v>
      </c>
      <c r="E5" s="115"/>
      <c r="F5" s="115">
        <v>5000</v>
      </c>
      <c r="G5" s="115"/>
      <c r="H5" s="115" t="s">
        <v>1100</v>
      </c>
      <c r="I5" s="115"/>
      <c r="J5" s="115"/>
    </row>
    <row r="6" spans="1:10" x14ac:dyDescent="0.25">
      <c r="A6" s="114">
        <v>46051</v>
      </c>
      <c r="B6" s="115">
        <v>100</v>
      </c>
      <c r="C6" s="115" t="s">
        <v>1125</v>
      </c>
      <c r="D6" s="115" t="s">
        <v>291</v>
      </c>
      <c r="E6" s="115">
        <v>299</v>
      </c>
      <c r="F6" s="115">
        <f t="shared" si="0"/>
        <v>29900</v>
      </c>
      <c r="G6" s="115"/>
      <c r="H6" s="115" t="s">
        <v>528</v>
      </c>
      <c r="I6" s="115"/>
      <c r="J6" s="115"/>
    </row>
    <row r="7" spans="1:10" x14ac:dyDescent="0.25">
      <c r="A7" s="114">
        <v>46051</v>
      </c>
      <c r="B7" s="115">
        <v>4</v>
      </c>
      <c r="C7" s="115" t="s">
        <v>1126</v>
      </c>
      <c r="D7" s="115" t="s">
        <v>464</v>
      </c>
      <c r="E7" s="115">
        <v>349</v>
      </c>
      <c r="F7" s="115">
        <f t="shared" si="0"/>
        <v>1396</v>
      </c>
      <c r="G7" s="115"/>
      <c r="H7" s="115"/>
      <c r="I7" s="115"/>
      <c r="J7" s="115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C12" sqref="C12"/>
    </sheetView>
  </sheetViews>
  <sheetFormatPr defaultRowHeight="15" x14ac:dyDescent="0.25"/>
  <cols>
    <col min="1" max="1" width="12.140625" customWidth="1"/>
    <col min="2" max="2" width="4" bestFit="1" customWidth="1"/>
    <col min="3" max="3" width="22.7109375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114">
        <v>46055</v>
      </c>
      <c r="B2" s="115">
        <v>1</v>
      </c>
      <c r="C2" s="115" t="s">
        <v>1157</v>
      </c>
      <c r="D2" s="115" t="s">
        <v>464</v>
      </c>
      <c r="E2" s="115">
        <v>500</v>
      </c>
      <c r="F2" s="115">
        <f t="shared" ref="F2:F5" si="0">B2*E2</f>
        <v>500</v>
      </c>
      <c r="G2" s="115"/>
      <c r="H2" s="115"/>
      <c r="I2" s="115"/>
      <c r="J2" s="115"/>
    </row>
    <row r="3" spans="1:10" x14ac:dyDescent="0.25">
      <c r="A3" s="114">
        <v>46055</v>
      </c>
      <c r="B3" s="115">
        <v>33</v>
      </c>
      <c r="C3" s="115" t="s">
        <v>666</v>
      </c>
      <c r="D3" s="115" t="s">
        <v>464</v>
      </c>
      <c r="E3" s="115">
        <v>10</v>
      </c>
      <c r="F3" s="115">
        <f t="shared" si="0"/>
        <v>330</v>
      </c>
      <c r="G3" s="115"/>
      <c r="H3" s="115" t="s">
        <v>85</v>
      </c>
      <c r="I3" s="115"/>
      <c r="J3" s="115"/>
    </row>
    <row r="4" spans="1:10" x14ac:dyDescent="0.25">
      <c r="A4" s="114">
        <v>46055</v>
      </c>
      <c r="B4" s="115">
        <v>4</v>
      </c>
      <c r="C4" s="115" t="s">
        <v>1156</v>
      </c>
      <c r="D4" s="115" t="s">
        <v>464</v>
      </c>
      <c r="E4" s="115">
        <v>20</v>
      </c>
      <c r="F4" s="115">
        <f t="shared" si="0"/>
        <v>80</v>
      </c>
      <c r="G4" s="115"/>
      <c r="H4" s="115" t="s">
        <v>85</v>
      </c>
      <c r="I4" s="115"/>
      <c r="J4" s="115"/>
    </row>
    <row r="5" spans="1:10" x14ac:dyDescent="0.25">
      <c r="A5" s="114">
        <v>46055</v>
      </c>
      <c r="B5" s="115">
        <v>2</v>
      </c>
      <c r="C5" s="115" t="s">
        <v>296</v>
      </c>
      <c r="D5" s="115" t="s">
        <v>464</v>
      </c>
      <c r="E5" s="115">
        <v>90</v>
      </c>
      <c r="F5" s="115">
        <f t="shared" si="0"/>
        <v>180</v>
      </c>
      <c r="G5" s="115"/>
      <c r="H5" s="115" t="s">
        <v>85</v>
      </c>
      <c r="I5" s="115"/>
      <c r="J5" s="115"/>
    </row>
    <row r="6" spans="1:10" x14ac:dyDescent="0.25">
      <c r="A6" s="105">
        <v>46071</v>
      </c>
      <c r="B6" s="106">
        <v>3</v>
      </c>
      <c r="C6" s="106" t="s">
        <v>1153</v>
      </c>
      <c r="D6" s="106" t="s">
        <v>291</v>
      </c>
      <c r="E6" s="106">
        <v>1449</v>
      </c>
      <c r="F6" s="106">
        <f>E6*B6</f>
        <v>4347</v>
      </c>
      <c r="G6" s="106" t="s">
        <v>62</v>
      </c>
      <c r="H6" s="106"/>
      <c r="I6" s="106" t="s">
        <v>463</v>
      </c>
      <c r="J6" s="106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I22" sqref="I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105">
        <v>46014</v>
      </c>
      <c r="B13" s="106">
        <v>5</v>
      </c>
      <c r="C13" s="106" t="s">
        <v>928</v>
      </c>
      <c r="D13" s="106" t="s">
        <v>291</v>
      </c>
      <c r="E13" s="106">
        <v>1449</v>
      </c>
      <c r="F13" s="106">
        <f t="shared" si="0"/>
        <v>7245</v>
      </c>
      <c r="G13" s="106" t="s">
        <v>62</v>
      </c>
      <c r="H13" s="106" t="s">
        <v>543</v>
      </c>
      <c r="I13" s="106"/>
    </row>
    <row r="14" spans="1:15" x14ac:dyDescent="0.25">
      <c r="A14" s="105">
        <v>46014</v>
      </c>
      <c r="B14" s="106">
        <v>4</v>
      </c>
      <c r="C14" s="106" t="s">
        <v>928</v>
      </c>
      <c r="D14" s="106" t="s">
        <v>291</v>
      </c>
      <c r="E14" s="106">
        <v>1449</v>
      </c>
      <c r="F14" s="106">
        <v>5796</v>
      </c>
      <c r="G14" s="106" t="s">
        <v>62</v>
      </c>
      <c r="H14" s="106" t="s">
        <v>543</v>
      </c>
      <c r="I14" s="106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AU JAN</vt:lpstr>
      <vt:lpstr>AU FEB</vt:lpstr>
      <vt:lpstr>Sheet8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2026-06-24T13:01:16Z</dcterms:modified>
</cp:coreProperties>
</file>