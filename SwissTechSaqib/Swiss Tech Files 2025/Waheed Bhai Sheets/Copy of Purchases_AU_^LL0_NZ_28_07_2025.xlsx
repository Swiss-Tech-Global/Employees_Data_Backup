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Waheed Bhai Sheets\"/>
    </mc:Choice>
  </mc:AlternateContent>
  <xr:revisionPtr revIDLastSave="0" documentId="13_ncr:1_{5FADB808-0ED5-427C-BE77-0C77AD028B79}" xr6:coauthVersionLast="47" xr6:coauthVersionMax="47" xr10:uidLastSave="{00000000-0000-0000-0000-000000000000}"/>
  <bookViews>
    <workbookView xWindow="19090" yWindow="-110" windowWidth="19420" windowHeight="10300" firstSheet="4" activeTab="1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r:id="rId5"/>
    <sheet name="Sheet4" sheetId="15" state="hidden" r:id="rId6"/>
    <sheet name="June " sheetId="12" r:id="rId7"/>
    <sheet name="Sheet1" sheetId="11" state="hidden" r:id="rId8"/>
    <sheet name="Broadway" sheetId="7" state="hidden" r:id="rId9"/>
    <sheet name="Shipment" sheetId="6" state="hidden" r:id="rId10"/>
    <sheet name="Shipment 2904" sheetId="8" state="hidden" r:id="rId11"/>
    <sheet name="NZ Purchase May" sheetId="10" r:id="rId12"/>
    <sheet name="NZ July" sheetId="16" r:id="rId13"/>
    <sheet name="AU July" sheetId="18" r:id="rId14"/>
    <sheet name="NZ visit expense" sheetId="17" state="hidden" r:id="rId15"/>
    <sheet name="Abdul Rafey" sheetId="5" state="hidden" r:id="rId16"/>
  </sheets>
  <definedNames>
    <definedName name="_xlnm._FilterDatabase" localSheetId="3" hidden="1">April!$A$1:$H$152</definedName>
    <definedName name="_xlnm._FilterDatabase" localSheetId="6" hidden="1">'June '!$A$1:$P$70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0" r:id="rId17"/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8" l="1"/>
  <c r="F31" i="18"/>
  <c r="F30" i="18"/>
  <c r="F29" i="18"/>
  <c r="F28" i="18"/>
  <c r="F27" i="18"/>
  <c r="F26" i="18"/>
  <c r="F25" i="18"/>
  <c r="F24" i="18"/>
  <c r="F23" i="18"/>
  <c r="F35" i="16" l="1"/>
  <c r="F34" i="16"/>
  <c r="F33" i="16"/>
  <c r="F19" i="18"/>
  <c r="F20" i="18"/>
  <c r="F21" i="18"/>
  <c r="F22" i="18"/>
  <c r="F18" i="18"/>
  <c r="F17" i="18"/>
  <c r="F16" i="18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<sst xmlns="http://schemas.openxmlformats.org/spreadsheetml/2006/main" count="1492" uniqueCount="462">
  <si>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</si>
  <si>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</si>
  <si>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</si>
  <si>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</si>
  <si>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</si>
  <si>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</si>
  <si>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</si>
  <si>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</si>
  <si>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</si>
  <si>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</si>
  <si>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</si>
  <si>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</si>
  <si>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</si>
  <si>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</si>
  <si>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</si>
  <si>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</si>
  <si>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</si>
  <si>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</si>
  <si>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</si>
  <si>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</si>
  <si>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</si>
  <si>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</si>
  <si>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</si>
  <si>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</si>
  <si>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</si>
  <si>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</si>
  <si>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</si>
  <si>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</si>
  <si>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</si>
  <si>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</si>
  <si>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</si>
  <si>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</si>
  <si>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</si>
  <si>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</si>
  <si>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</si>
  <si>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</si>
  <si>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</si>
  <si>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</si>
  <si>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</si>
  <si>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</si>
  <si>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</si>
  <si>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</si>
  <si>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</si>
  <si>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</si>
  <si>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</si>
  <si>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</si>
  <si>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</si>
  <si>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</si>
  <si>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</si>
  <si>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</si>
  <si>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</si>
  <si>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</si>
  <si>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</si>
  <si>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</si>
  <si>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</si>
  <si>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</si>
  <si>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</si>
  <si>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</si>
  <si>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</si>
  <si>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</si>
  <si>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</si>
  <si>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</si>
  <si>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</si>
  <si>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</si>
  <si>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</si>
  <si>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</si>
  <si>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</si>
  <si>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</si>
  <si>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</si>
  <si>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</si>
  <si>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</si>
  <si>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</si>
  <si>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</si>
  <si>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</si>
  <si>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</si>
  <si>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</si>
  <si>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</si>
  <si>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</si>
  <si>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</si>
  <si>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</si>
  <si>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</si>
  <si>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</si>
  <si>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</si>
  <si>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</si>
  <si>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</si>
  <si>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</si>
  <si>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</si>
  <si>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</si>
  <si>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</si>
  <si>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</si>
  <si>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</si>
  <si>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</si>
  <si>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</si>
  <si>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</si>
  <si>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</si>
  <si>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</si>
  <si>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</si>
  <si>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</si>
  <si>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</si>
  <si>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</si>
  <si>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</si>
  <si>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</si>
  <si>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</si>
  <si>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</si>
  <si>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</si>
  <si>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</si>
  <si>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</si>
  <si>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</si>
  <si>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</si>
  <si>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</si>
  <si>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</si>
  <si>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</si>
  <si>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</si>
  <si>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</si>
  <si>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</si>
  <si>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</si>
  <si>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</si>
  <si>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</si>
  <si>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</si>
  <si>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</si>
  <si>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</si>
  <si>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</si>
  <si>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</si>
  <si>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</si>
  <si>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</si>
  <si>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</si>
  <si>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</si>
  <si>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</si>
  <si>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</si>
  <si>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</si>
  <si>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</si>
  <si>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</si>
  <si>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</si>
  <si>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</si>
  <si>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</si>
  <si>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</si>
  <si>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</si>
  <si>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</si>
  <si>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</si>
  <si>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</si>
  <si>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</si>
  <si>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</si>
  <si>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</si>
  <si>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</si>
  <si>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</si>
  <si>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</si>
  <si>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</si>
  <si>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</si>
  <si>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</si>
  <si>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</si>
  <si>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</si>
  <si>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</si>
  <si>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</si>
  <si>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</si>
  <si>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</si>
  <si>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</si>
  <si>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</si>
  <si>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</si>
  <si>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</si>
  <si>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</si>
  <si>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</si>
  <si>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</si>
  <si>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</si>
  <si>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</si>
  <si>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</si>
  <si>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</si>
  <si>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</si>
  <si>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</si>
  <si>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</si>
  <si>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</si>
  <si>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</si>
  <si>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</si>
  <si>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</si>
  <si>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</si>
  <si>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</si>
  <si>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</si>
  <si>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</si>
  <si>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</si>
  <si>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</si>
  <si>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</si>
  <si>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</si>
  <si>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</si>
  <si>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</si>
  <si>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</si>
  <si>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</si>
  <si>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</si>
  <si>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</si>
  <si>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</si>
  <si>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</si>
  <si>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</si>
  <si>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</si>
  <si>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</si>
  <si>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</si>
  <si>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</si>
  <si>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</si>
  <si>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</si>
  <si>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</si>
  <si>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</si>
  <si>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</si>
  <si>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</si>
  <si>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</si>
  <si>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</si>
  <si>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</si>
  <si>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</si>
  <si>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</si>
  <si>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</si>
  <si>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</si>
  <si>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</si>
  <si>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</si>
  <si>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</si>
  <si>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</si>
  <si>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</si>
  <si>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</si>
  <si>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</si>
  <si>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</si>
  <si>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</si>
  <si>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</si>
  <si>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</si>
  <si>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</si>
  <si>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</si>
  <si>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</si>
  <si>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</si>
  <si>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</si>
  <si>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</si>
  <si>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</si>
  <si>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</si>
  <si>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</si>
  <si>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</si>
  <si>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</si>
  <si>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</si>
  <si>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</si>
  <si>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</si>
  <si>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</si>
  <si>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</si>
  <si>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</si>
  <si>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</si>
  <si>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</si>
  <si>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</si>
  <si>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</si>
  <si>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</si>
  <si>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</si>
  <si>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</si>
  <si>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</si>
  <si>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</si>
  <si>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</si>
  <si>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</si>
  <si>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</si>
  <si>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</si>
  <si>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</si>
  <si>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</si>
  <si>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</si>
  <si>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</si>
  <si>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</si>
  <si>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</si>
  <si>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</si>
  <si>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</si>
  <si>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</si>
  <si>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</si>
  <si>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</si>
  <si>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</si>
  <si>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</si>
  <si>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</si>
  <si>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</si>
  <si>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</si>
  <si>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</si>
  <si>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</si>
  <si>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</si>
  <si>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</si>
  <si>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</si>
  <si>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</si>
  <si>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</si>
  <si>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</si>
  <si>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</si>
  <si>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</si>
  <si>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</si>
  <si>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</si>
  <si>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</si>
  <si>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</si>
  <si>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</si>
  <si>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</si>
  <si>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</si>
  <si>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</si>
  <si>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</si>
  <si>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</si>
  <si>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</si>
  <si>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</si>
  <si>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</si>
  <si>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</si>
  <si>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</si>
  <si>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</si>
  <si>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</si>
  <si>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</si>
  <si>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</si>
  <si>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</si>
  <si>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</si>
  <si>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</si>
  <si>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</si>
  <si>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</si>
  <si>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</si>
  <si>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</si>
  <si>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</si>
  <si>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</si>
  <si>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</si>
  <si>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</si>
  <si>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</si>
  <si>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</si>
  <si>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</si>
  <si>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</si>
  <si>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</si>
  <si>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</si>
  <si>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</si>
  <si>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</si>
  <si>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</si>
  <si>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</si>
  <si>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</si>
  <si>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</si>
  <si>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</si>
  <si>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</si>
  <si>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</si>
  <si>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</si>
  <si>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</si>
  <si>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</si>
  <si>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</si>
  <si>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</si>
  <si>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</si>
  <si>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</si>
  <si>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</si>
  <si>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</si>
  <si>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</si>
  <si>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</si>
  <si>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</si>
  <si>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</si>
  <si>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</si>
  <si>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</si>
  <si>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</si>
  <si>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</si>
  <si>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</si>
  <si>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</si>
  <si>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</si>
  <si>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</si>
  <si>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</si>
  <si>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</si>
  <si>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</si>
  <si>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</si>
  <si>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</si>
  <si>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</si>
  <si>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</si>
  <si>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</si>
  <si>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</si>
  <si>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</si>
  <si>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</si>
  <si>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</si>
  <si>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</si>
  <si>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</si>
  <si>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</si>
  <si>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</si>
  <si>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</si>
  <si>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</si>
  <si>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</si>
  <si>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</si>
  <si>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</si>
  <si>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</si>
  <si>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</si>
  <si>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</si>
  <si>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</si>
  <si>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</si>
  <si>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</si>
  <si>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</si>
  <si>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</si>
  <si>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</si>
  <si>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</si>
  <si>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</si>
  <si>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</si>
  <si>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</si>
  <si>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</si>
  <si>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</si>
  <si>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</si>
  <si>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</si>
  <si>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</si>
  <si>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</si>
  <si>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</si>
  <si>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</si>
  <si>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</si>
  <si>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</si>
  <si>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</si>
  <si>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</si>
  <si>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</si>
  <si>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</si>
  <si>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</si>
  <si>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</si>
  <si>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</si>
  <si>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</si>
  <si>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</si>
  <si>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</si>
  <si>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</si>
  <si>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</si>
  <si>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</si>
  <si>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</si>
  <si>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</si>
  <si>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</si>
  <si>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</si>
  <si>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</si>
  <si>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</si>
  <si>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</si>
  <si>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</si>
  <si>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</si>
  <si>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</si>
  <si>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</si>
  <si>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</si>
  <si>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</si>
  <si>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</si>
  <si>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</si>
  <si>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</si>
  <si>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</si>
  <si>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</si>
  <si>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</si>
  <si>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</si>
  <si>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</si>
  <si>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</si>
  <si>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</si>
  <si>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</si>
  <si>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</si>
  <si>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</si>
  <si>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Pending Payment</t>
  </si>
  <si>
    <t>Deposit Only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</si>
  <si>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</si>
  <si>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</si>
  <si>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</si>
  <si>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</si>
  <si>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</si>
  <si>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</si>
  <si>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</si>
  <si>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</si>
  <si>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G7X MARK II Black</t>
  </si>
  <si>
    <t>G7X MARK II Silver</t>
  </si>
  <si>
    <t>Lenses Canon</t>
  </si>
  <si>
    <t>Deposit/ Pending Stock</t>
  </si>
  <si>
    <t>Photogear</t>
  </si>
  <si>
    <t>Harvey Norman McGrath Hills</t>
  </si>
  <si>
    <t>Delivered Abdul NL</t>
  </si>
  <si>
    <t>10 %Deposit/ Pending Stock</t>
  </si>
  <si>
    <t>Pending Delivery Abdul NL</t>
  </si>
  <si>
    <t>$4000 Deposit Paid</t>
  </si>
  <si>
    <t>PS5 Console Bundle Disc</t>
  </si>
  <si>
    <t>PS5 Console Bundle Digital</t>
  </si>
  <si>
    <t>PS5 Controller Wireless</t>
  </si>
  <si>
    <t>to Purchase</t>
  </si>
  <si>
    <t>Done</t>
  </si>
  <si>
    <t xml:space="preserve">waheed bhai </t>
  </si>
  <si>
    <t>80 purchase only</t>
  </si>
  <si>
    <t>Pending Collection Top Ryde</t>
  </si>
  <si>
    <t>Big W Macquarie Centre</t>
  </si>
  <si>
    <t>EB Games Macquarie Park</t>
  </si>
  <si>
    <t>EB Games Roselands</t>
  </si>
  <si>
    <t xml:space="preserve">Pending Collection </t>
  </si>
  <si>
    <t>EB Games Rhodes</t>
  </si>
  <si>
    <t>Big W Top Ryde</t>
  </si>
  <si>
    <t>Big W Top Ryde Online</t>
  </si>
  <si>
    <t>Pending Confirmation</t>
  </si>
  <si>
    <t>JBHIFI Top Macquarie Park</t>
  </si>
  <si>
    <t>29/072025</t>
  </si>
  <si>
    <t>G7X MARK III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</si>
</sst>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0" fontId="0" fillId="0" borderId="13" xfId="0" applyBorder="1"/>
    <xf numFmtId="14" fontId="0" fillId="7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0" fontId="0" fillId="8" borderId="0" xfId="0" applyFill="1"/>
    <xf numFmtId="0" fontId="0" fillId="7" borderId="13" xfId="0" applyFill="1" applyBorder="1"/>
    <xf numFmtId="14" fontId="2" fillId="9" borderId="1" xfId="0" applyNumberFormat="1" applyFont="1" applyFill="1" applyBorder="1"/>
    <xf numFmtId="0" fontId="2" fillId="9" borderId="1" xfId="0" applyFont="1" applyFill="1" applyBorder="1"/>
    <xf numFmtId="0" fontId="0" fillId="9" borderId="1" xfId="0" applyFill="1" applyBorder="1"/>
    <xf numFmtId="0" fontId="0" fillId="10" borderId="0" xfId="0" applyFill="1"/>
    <xf numFmtId="14" fontId="0" fillId="11" borderId="1" xfId="0" applyNumberFormat="1" applyFill="1" applyBorder="1"/>
    <xf numFmtId="0" fontId="0" fillId="11" borderId="1" xfId="0" applyFill="1" applyBorder="1"/>
    <xf numFmtId="165" fontId="0" fillId="11" borderId="1" xfId="0" applyNumberFormat="1" applyFill="1" applyBorder="1"/>
    <xf numFmtId="14" fontId="4" fillId="12" borderId="1" xfId="0" applyNumberFormat="1" applyFont="1" applyFill="1" applyBorder="1"/>
    <xf numFmtId="0" fontId="4" fillId="12" borderId="1" xfId="0" applyFont="1" applyFill="1" applyBorder="1"/>
    <xf numFmtId="165" fontId="4" fillId="12" borderId="1" xfId="0" applyNumberFormat="1" applyFont="1" applyFill="1" applyBorder="1"/>
    <xf numFmtId="0" fontId="0" fillId="2" borderId="2" xfId="0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14" fontId="0" fillId="9" borderId="1" xfId="0" applyNumberFormat="1" applyFill="1" applyBorder="1"/>
    <xf numFmtId="0" fontId="0" fillId="9" borderId="1" xfId="0" applyFill="1" applyBorder="1" applyAlignment="1">
      <alignment horizontal="center" vertical="center" wrapText="1"/>
    </xf>
    <xf numFmtId="14" fontId="0" fillId="13" borderId="1" xfId="0" applyNumberFormat="1" applyFill="1" applyBorder="1"/>
    <xf numFmtId="0" fontId="0" fillId="13" borderId="1" xfId="0" applyFill="1" applyBorder="1"/>
    <xf numFmtId="165" fontId="0" fillId="13" borderId="1" xfId="0" applyNumberFormat="1" applyFill="1" applyBorder="1"/>
    <xf numFmtId="0" fontId="0" fillId="7" borderId="2" xfId="0" applyFill="1" applyBorder="1"/>
    <xf numFmtId="14" fontId="0" fillId="7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82BBTYC6/Purchases_AU_%5eLL0_NZ_updated%5b1%5d.xlsx%5d.xlsx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82BBTYC6/Purchases_AU_%5eLL0_NZ_updated%5b1%5d.xlsx%5d.xlsx%5d.xlsx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82BBTYC6/Purchases_AU_%5eLL0_NZ_updated%5b1%5d.xlsx%5d.xlsx%5d.xlsx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.xlsx].xlsx]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.xlsx].xlsx]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.xlsx].xlsx]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22" workbookViewId="0">
      <selection activeCell="C41" sqref="C41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82">
        <v>45746</v>
      </c>
      <c r="C1" s="82"/>
      <c r="D1" s="82"/>
      <c r="E1" s="82"/>
      <c r="F1" s="82"/>
      <c r="G1" s="82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83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83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E1" workbookViewId="0">
      <selection activeCell="L157" sqref="L157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/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/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84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84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84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84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16" workbookViewId="0">
      <selection activeCell="H26" sqref="H26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18.21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8">
        <v>45830</v>
      </c>
      <c r="B11" s="2">
        <v>6</v>
      </c>
      <c r="C11" s="2" t="s">
        <v>352</v>
      </c>
      <c r="D11" s="2" t="s">
        <v>118</v>
      </c>
      <c r="E11" s="3">
        <v>3750</v>
      </c>
      <c r="F11" s="3">
        <f t="shared" si="0"/>
        <v>22500</v>
      </c>
      <c r="G11" s="2" t="s">
        <v>8</v>
      </c>
      <c r="H11" s="8">
        <v>45834</v>
      </c>
    </row>
    <row r="12" spans="1:15" x14ac:dyDescent="0.3">
      <c r="A12" s="8">
        <v>45830</v>
      </c>
      <c r="B12" s="2">
        <v>8</v>
      </c>
      <c r="C12" s="2" t="s">
        <v>351</v>
      </c>
      <c r="D12" s="2" t="s">
        <v>118</v>
      </c>
      <c r="E12" s="3">
        <v>2885</v>
      </c>
      <c r="F12" s="3">
        <f t="shared" si="0"/>
        <v>23080</v>
      </c>
      <c r="G12" s="2" t="s">
        <v>8</v>
      </c>
      <c r="H12" s="8">
        <v>45834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75">
        <v>45832</v>
      </c>
      <c r="B23" s="76">
        <v>4</v>
      </c>
      <c r="C23" s="76" t="s">
        <v>323</v>
      </c>
      <c r="D23" s="76" t="s">
        <v>358</v>
      </c>
      <c r="E23" s="77">
        <v>648</v>
      </c>
      <c r="F23" s="77">
        <f t="shared" si="0"/>
        <v>2592</v>
      </c>
      <c r="G23" s="76" t="s">
        <v>412</v>
      </c>
      <c r="H23" s="76"/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78">
        <v>45810</v>
      </c>
      <c r="B25" s="79">
        <v>200</v>
      </c>
      <c r="C25" s="79" t="s">
        <v>317</v>
      </c>
      <c r="D25" s="79" t="s">
        <v>335</v>
      </c>
      <c r="E25" s="80">
        <v>330</v>
      </c>
      <c r="F25" s="80">
        <f t="shared" si="0"/>
        <v>66000</v>
      </c>
      <c r="G25" s="79" t="s">
        <v>62</v>
      </c>
      <c r="H25" s="79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I26" s="81" t="s">
        <v>446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81" t="s">
        <v>446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E22" sqref="E22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85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85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5"/>
  <sheetViews>
    <sheetView topLeftCell="A11" zoomScale="108" workbookViewId="0">
      <selection activeCell="D28" sqref="D28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86" t="s">
        <v>299</v>
      </c>
      <c r="B1" s="86"/>
      <c r="C1" s="86"/>
      <c r="D1" s="86"/>
      <c r="E1" s="86"/>
      <c r="F1" s="86"/>
      <c r="G1" s="86"/>
      <c r="H1" s="86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  <row r="25" spans="1:15" x14ac:dyDescent="0.3">
      <c r="E25" t="s">
        <v>447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K42"/>
  <sheetViews>
    <sheetView tabSelected="1" topLeftCell="A31" workbookViewId="0">
      <selection activeCell="J46" sqref="J46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7" max="7" width="23.88671875" bestFit="1" customWidth="1"/>
    <col min="8" max="8" width="13.5546875" bestFit="1" customWidth="1"/>
    <col min="10" max="10" width="18.88671875" customWidth="1"/>
    <col min="11" max="11" width="19.33203125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63">
        <v>45839</v>
      </c>
      <c r="B2" s="64">
        <v>5</v>
      </c>
      <c r="C2" s="64" t="s">
        <v>372</v>
      </c>
      <c r="D2" s="64" t="s">
        <v>373</v>
      </c>
      <c r="E2" s="64">
        <v>1380</v>
      </c>
      <c r="F2" s="64">
        <f>B2*E2</f>
        <v>6900</v>
      </c>
      <c r="G2" s="64" t="s">
        <v>8</v>
      </c>
      <c r="H2" s="64"/>
      <c r="I2" s="64"/>
    </row>
    <row r="3" spans="1:10" x14ac:dyDescent="0.3">
      <c r="A3" s="63">
        <v>45839</v>
      </c>
      <c r="B3" s="64">
        <v>1</v>
      </c>
      <c r="C3" s="64" t="s">
        <v>375</v>
      </c>
      <c r="D3" s="64" t="s">
        <v>373</v>
      </c>
      <c r="E3" s="64">
        <v>1295</v>
      </c>
      <c r="F3" s="64">
        <f t="shared" ref="F3:F8" si="0">B3*E3</f>
        <v>1295</v>
      </c>
      <c r="G3" s="64" t="s">
        <v>8</v>
      </c>
      <c r="H3" s="64"/>
      <c r="I3" s="64"/>
    </row>
    <row r="4" spans="1:10" x14ac:dyDescent="0.3">
      <c r="A4" s="63">
        <v>45839</v>
      </c>
      <c r="B4" s="64">
        <v>1</v>
      </c>
      <c r="C4" s="64" t="s">
        <v>374</v>
      </c>
      <c r="D4" s="64" t="s">
        <v>373</v>
      </c>
      <c r="E4" s="64">
        <v>1375</v>
      </c>
      <c r="F4" s="64">
        <f t="shared" si="0"/>
        <v>1375</v>
      </c>
      <c r="G4" s="64" t="s">
        <v>8</v>
      </c>
      <c r="H4" s="64"/>
      <c r="I4" s="64"/>
    </row>
    <row r="5" spans="1:10" x14ac:dyDescent="0.3">
      <c r="A5" s="63">
        <v>45839</v>
      </c>
      <c r="B5" s="64">
        <v>1</v>
      </c>
      <c r="C5" s="64" t="s">
        <v>376</v>
      </c>
      <c r="D5" s="64" t="s">
        <v>373</v>
      </c>
      <c r="E5" s="64">
        <v>852</v>
      </c>
      <c r="F5" s="64">
        <f t="shared" si="0"/>
        <v>852</v>
      </c>
      <c r="G5" s="64" t="s">
        <v>8</v>
      </c>
      <c r="H5" s="64"/>
      <c r="I5" s="64"/>
    </row>
    <row r="6" spans="1:10" x14ac:dyDescent="0.3">
      <c r="A6" s="63">
        <v>45839</v>
      </c>
      <c r="B6" s="64">
        <v>4</v>
      </c>
      <c r="C6" s="64" t="s">
        <v>378</v>
      </c>
      <c r="D6" s="64" t="s">
        <v>379</v>
      </c>
      <c r="E6" s="64">
        <v>679</v>
      </c>
      <c r="F6" s="64">
        <f t="shared" si="0"/>
        <v>2716</v>
      </c>
      <c r="G6" s="64" t="s">
        <v>348</v>
      </c>
      <c r="H6" s="64"/>
      <c r="I6" s="64"/>
    </row>
    <row r="7" spans="1:10" x14ac:dyDescent="0.3">
      <c r="A7" s="63">
        <v>45840</v>
      </c>
      <c r="B7" s="64">
        <v>2</v>
      </c>
      <c r="C7" s="64" t="s">
        <v>410</v>
      </c>
      <c r="D7" s="64" t="s">
        <v>382</v>
      </c>
      <c r="E7" s="64">
        <v>1229</v>
      </c>
      <c r="F7" s="64">
        <f t="shared" si="0"/>
        <v>2458</v>
      </c>
      <c r="G7" s="64" t="s">
        <v>430</v>
      </c>
      <c r="H7" s="64"/>
      <c r="I7" s="64"/>
    </row>
    <row r="8" spans="1:10" x14ac:dyDescent="0.3">
      <c r="A8" s="63">
        <v>45840</v>
      </c>
      <c r="B8" s="64">
        <v>1</v>
      </c>
      <c r="C8" s="64" t="s">
        <v>376</v>
      </c>
      <c r="D8" s="64" t="s">
        <v>382</v>
      </c>
      <c r="E8" s="64">
        <v>852</v>
      </c>
      <c r="F8" s="64">
        <f t="shared" si="0"/>
        <v>852</v>
      </c>
      <c r="G8" s="64" t="s">
        <v>430</v>
      </c>
      <c r="H8" s="64"/>
      <c r="I8" s="64"/>
    </row>
    <row r="9" spans="1:10" x14ac:dyDescent="0.3">
      <c r="A9" s="63">
        <v>45839</v>
      </c>
      <c r="B9" s="64">
        <v>3</v>
      </c>
      <c r="C9" s="64" t="s">
        <v>378</v>
      </c>
      <c r="D9" s="64" t="s">
        <v>383</v>
      </c>
      <c r="E9" s="64">
        <v>765.71</v>
      </c>
      <c r="F9" s="64">
        <f>B9*E9</f>
        <v>2297.13</v>
      </c>
      <c r="G9" s="64" t="s">
        <v>430</v>
      </c>
      <c r="H9" s="64"/>
      <c r="I9" s="64"/>
    </row>
    <row r="10" spans="1:10" x14ac:dyDescent="0.3">
      <c r="A10" s="63">
        <v>45839</v>
      </c>
      <c r="B10" s="64">
        <v>1</v>
      </c>
      <c r="C10" s="64" t="s">
        <v>406</v>
      </c>
      <c r="D10" s="64" t="s">
        <v>383</v>
      </c>
      <c r="E10" s="64">
        <v>1345</v>
      </c>
      <c r="F10" s="64">
        <f>B10*E10</f>
        <v>1345</v>
      </c>
      <c r="G10" s="64" t="s">
        <v>430</v>
      </c>
      <c r="H10" s="64"/>
      <c r="I10" s="64"/>
    </row>
    <row r="11" spans="1:10" x14ac:dyDescent="0.3">
      <c r="A11" s="63">
        <v>45839</v>
      </c>
      <c r="B11" s="64">
        <v>3</v>
      </c>
      <c r="C11" s="64" t="s">
        <v>378</v>
      </c>
      <c r="D11" s="64" t="s">
        <v>383</v>
      </c>
      <c r="E11" s="64">
        <v>738</v>
      </c>
      <c r="F11" s="64">
        <f t="shared" ref="F11:F23" si="1">B11*E11</f>
        <v>2214</v>
      </c>
      <c r="G11" s="64" t="s">
        <v>430</v>
      </c>
      <c r="H11" s="64"/>
      <c r="I11" s="64"/>
    </row>
    <row r="12" spans="1:10" x14ac:dyDescent="0.3">
      <c r="A12" s="63">
        <v>45839</v>
      </c>
      <c r="B12" s="64">
        <v>1</v>
      </c>
      <c r="C12" s="64" t="s">
        <v>376</v>
      </c>
      <c r="D12" s="64" t="s">
        <v>383</v>
      </c>
      <c r="E12" s="64">
        <v>852</v>
      </c>
      <c r="F12" s="64">
        <f t="shared" si="1"/>
        <v>852</v>
      </c>
      <c r="G12" s="64" t="s">
        <v>430</v>
      </c>
      <c r="H12" s="64"/>
      <c r="I12" s="64"/>
    </row>
    <row r="13" spans="1:10" x14ac:dyDescent="0.3">
      <c r="A13" s="63">
        <v>45840</v>
      </c>
      <c r="B13" s="64">
        <v>1</v>
      </c>
      <c r="C13" s="64" t="s">
        <v>388</v>
      </c>
      <c r="D13" s="64" t="s">
        <v>403</v>
      </c>
      <c r="E13" s="64">
        <v>775</v>
      </c>
      <c r="F13" s="64">
        <f t="shared" si="1"/>
        <v>775</v>
      </c>
      <c r="G13" s="64" t="s">
        <v>430</v>
      </c>
      <c r="H13" s="64"/>
      <c r="I13" s="64"/>
    </row>
    <row r="14" spans="1:10" x14ac:dyDescent="0.3">
      <c r="A14" s="63">
        <v>45840</v>
      </c>
      <c r="B14" s="64">
        <v>1</v>
      </c>
      <c r="C14" s="64" t="s">
        <v>404</v>
      </c>
      <c r="D14" s="64" t="s">
        <v>403</v>
      </c>
      <c r="E14" s="64">
        <v>1295</v>
      </c>
      <c r="F14" s="64">
        <f t="shared" si="1"/>
        <v>1295</v>
      </c>
      <c r="G14" s="64" t="s">
        <v>430</v>
      </c>
      <c r="H14" s="64"/>
      <c r="I14" s="64"/>
    </row>
    <row r="15" spans="1:10" x14ac:dyDescent="0.3">
      <c r="A15" s="63">
        <v>45840</v>
      </c>
      <c r="B15" s="64">
        <v>1</v>
      </c>
      <c r="C15" s="64" t="s">
        <v>405</v>
      </c>
      <c r="D15" s="64" t="s">
        <v>403</v>
      </c>
      <c r="E15" s="64">
        <v>1375</v>
      </c>
      <c r="F15" s="64">
        <f t="shared" si="1"/>
        <v>1375</v>
      </c>
      <c r="G15" s="64" t="s">
        <v>430</v>
      </c>
      <c r="H15" s="64"/>
      <c r="I15" s="64"/>
    </row>
    <row r="16" spans="1:10" x14ac:dyDescent="0.3">
      <c r="A16" s="63">
        <v>45840</v>
      </c>
      <c r="B16" s="64">
        <v>1</v>
      </c>
      <c r="C16" s="64" t="s">
        <v>376</v>
      </c>
      <c r="D16" s="64" t="s">
        <v>403</v>
      </c>
      <c r="E16" s="64">
        <v>852</v>
      </c>
      <c r="F16" s="64">
        <f t="shared" si="1"/>
        <v>852</v>
      </c>
      <c r="G16" s="64" t="s">
        <v>430</v>
      </c>
      <c r="H16" s="64"/>
      <c r="I16" s="64"/>
    </row>
    <row r="17" spans="1:11" x14ac:dyDescent="0.3">
      <c r="A17" s="63">
        <v>45840</v>
      </c>
      <c r="B17" s="64">
        <v>1</v>
      </c>
      <c r="C17" s="64" t="s">
        <v>404</v>
      </c>
      <c r="D17" s="64" t="s">
        <v>385</v>
      </c>
      <c r="E17" s="64">
        <v>1228</v>
      </c>
      <c r="F17" s="64">
        <f t="shared" si="1"/>
        <v>1228</v>
      </c>
      <c r="G17" s="64" t="s">
        <v>439</v>
      </c>
      <c r="H17" s="64"/>
      <c r="I17" s="64"/>
    </row>
    <row r="18" spans="1:11" x14ac:dyDescent="0.3">
      <c r="A18" s="63">
        <v>45840</v>
      </c>
      <c r="B18" s="64">
        <v>1</v>
      </c>
      <c r="C18" s="64" t="s">
        <v>388</v>
      </c>
      <c r="D18" s="64" t="s">
        <v>385</v>
      </c>
      <c r="E18" s="64">
        <v>750</v>
      </c>
      <c r="F18" s="64">
        <f t="shared" si="1"/>
        <v>750</v>
      </c>
      <c r="G18" s="64" t="s">
        <v>439</v>
      </c>
      <c r="H18" s="64"/>
      <c r="I18" s="64"/>
    </row>
    <row r="19" spans="1:11" x14ac:dyDescent="0.3">
      <c r="A19" s="63">
        <v>45841</v>
      </c>
      <c r="B19" s="64">
        <v>4</v>
      </c>
      <c r="C19" s="64" t="s">
        <v>404</v>
      </c>
      <c r="D19" s="64" t="s">
        <v>387</v>
      </c>
      <c r="E19" s="64">
        <v>1197</v>
      </c>
      <c r="F19" s="64">
        <f t="shared" si="1"/>
        <v>4788</v>
      </c>
      <c r="G19" s="64" t="s">
        <v>430</v>
      </c>
      <c r="H19" s="64"/>
      <c r="I19" s="64"/>
    </row>
    <row r="20" spans="1:11" x14ac:dyDescent="0.3">
      <c r="A20" s="63">
        <v>45841</v>
      </c>
      <c r="B20" s="64">
        <v>1</v>
      </c>
      <c r="C20" s="64" t="s">
        <v>376</v>
      </c>
      <c r="D20" s="64" t="s">
        <v>387</v>
      </c>
      <c r="E20" s="64">
        <v>852</v>
      </c>
      <c r="F20" s="64">
        <f t="shared" si="1"/>
        <v>852</v>
      </c>
      <c r="G20" s="64" t="s">
        <v>430</v>
      </c>
      <c r="H20" s="64"/>
      <c r="I20" s="64"/>
    </row>
    <row r="21" spans="1:11" x14ac:dyDescent="0.3">
      <c r="A21" s="71">
        <v>45841</v>
      </c>
      <c r="B21" s="72">
        <v>1</v>
      </c>
      <c r="C21" s="72" t="s">
        <v>411</v>
      </c>
      <c r="D21" s="72" t="s">
        <v>387</v>
      </c>
      <c r="E21" s="72">
        <v>338</v>
      </c>
      <c r="F21" s="72">
        <f t="shared" si="1"/>
        <v>338</v>
      </c>
      <c r="G21" s="72"/>
      <c r="H21" s="73"/>
      <c r="I21" s="73"/>
    </row>
    <row r="22" spans="1:11" x14ac:dyDescent="0.3">
      <c r="A22" s="63">
        <v>45840</v>
      </c>
      <c r="B22" s="64">
        <v>1</v>
      </c>
      <c r="C22" s="64" t="s">
        <v>409</v>
      </c>
      <c r="D22" s="64" t="s">
        <v>384</v>
      </c>
      <c r="E22" s="64">
        <v>1375</v>
      </c>
      <c r="F22" s="64">
        <f t="shared" si="1"/>
        <v>1375</v>
      </c>
      <c r="G22" s="64" t="s">
        <v>430</v>
      </c>
      <c r="H22" s="64"/>
      <c r="I22" s="64"/>
    </row>
    <row r="23" spans="1:11" x14ac:dyDescent="0.3">
      <c r="A23" s="63">
        <v>45840</v>
      </c>
      <c r="B23" s="64">
        <v>1</v>
      </c>
      <c r="C23" s="64" t="s">
        <v>378</v>
      </c>
      <c r="D23" s="64" t="s">
        <v>384</v>
      </c>
      <c r="E23" s="64">
        <v>775</v>
      </c>
      <c r="F23" s="64">
        <f t="shared" si="1"/>
        <v>775</v>
      </c>
      <c r="G23" s="64" t="s">
        <v>430</v>
      </c>
      <c r="H23" s="70"/>
      <c r="I23" s="64"/>
    </row>
    <row r="24" spans="1:11" x14ac:dyDescent="0.3">
      <c r="A24" s="63">
        <v>45841</v>
      </c>
      <c r="B24" s="64">
        <v>4</v>
      </c>
      <c r="C24" s="64" t="s">
        <v>388</v>
      </c>
      <c r="D24" s="64" t="s">
        <v>408</v>
      </c>
      <c r="E24" s="64">
        <v>766</v>
      </c>
      <c r="F24" s="64">
        <v>3064</v>
      </c>
      <c r="G24" s="64" t="s">
        <v>439</v>
      </c>
      <c r="H24" s="70"/>
      <c r="I24" s="64"/>
    </row>
    <row r="25" spans="1:11" x14ac:dyDescent="0.3">
      <c r="A25" s="63">
        <v>45844</v>
      </c>
      <c r="B25" s="64">
        <v>2</v>
      </c>
      <c r="C25" s="64" t="s">
        <v>391</v>
      </c>
      <c r="D25" s="64" t="s">
        <v>392</v>
      </c>
      <c r="E25" s="64">
        <v>89</v>
      </c>
      <c r="F25" s="64">
        <v>89</v>
      </c>
      <c r="G25" s="64"/>
      <c r="H25" s="70"/>
      <c r="I25" s="64"/>
    </row>
    <row r="26" spans="1:11" x14ac:dyDescent="0.3">
      <c r="A26" s="63">
        <v>45844</v>
      </c>
      <c r="B26" s="64">
        <v>150</v>
      </c>
      <c r="C26" s="64" t="s">
        <v>407</v>
      </c>
      <c r="D26" s="64" t="s">
        <v>390</v>
      </c>
      <c r="E26" s="64">
        <v>494</v>
      </c>
      <c r="F26" s="64">
        <v>74100</v>
      </c>
      <c r="G26" s="64" t="s">
        <v>430</v>
      </c>
      <c r="H26" s="70"/>
      <c r="I26" s="64"/>
    </row>
    <row r="27" spans="1:11" x14ac:dyDescent="0.3">
      <c r="A27" s="63">
        <v>45842</v>
      </c>
      <c r="B27" s="64"/>
      <c r="C27" s="64" t="s">
        <v>401</v>
      </c>
      <c r="D27" s="64" t="s">
        <v>390</v>
      </c>
      <c r="E27" s="64">
        <v>1900</v>
      </c>
      <c r="F27" s="64">
        <v>1900</v>
      </c>
      <c r="G27" s="64" t="s">
        <v>430</v>
      </c>
      <c r="H27" s="70"/>
      <c r="I27" s="64"/>
    </row>
    <row r="28" spans="1:11" x14ac:dyDescent="0.3">
      <c r="A28" s="63">
        <v>45846</v>
      </c>
      <c r="B28" s="64">
        <v>100</v>
      </c>
      <c r="C28" s="64" t="s">
        <v>395</v>
      </c>
      <c r="D28" s="64" t="s">
        <v>291</v>
      </c>
      <c r="E28" s="64">
        <v>494</v>
      </c>
      <c r="F28" s="64">
        <v>49400</v>
      </c>
      <c r="G28" s="64" t="s">
        <v>430</v>
      </c>
      <c r="H28" s="70"/>
      <c r="I28" s="64"/>
    </row>
    <row r="29" spans="1:11" x14ac:dyDescent="0.3">
      <c r="A29" s="63">
        <v>45848</v>
      </c>
      <c r="B29" s="64">
        <v>100</v>
      </c>
      <c r="C29" s="64" t="s">
        <v>396</v>
      </c>
      <c r="D29" s="64" t="s">
        <v>291</v>
      </c>
      <c r="E29" s="64">
        <v>229</v>
      </c>
      <c r="F29" s="64">
        <v>32900</v>
      </c>
      <c r="G29" s="64" t="s">
        <v>429</v>
      </c>
      <c r="H29" s="70"/>
      <c r="I29" s="64"/>
    </row>
    <row r="30" spans="1:11" x14ac:dyDescent="0.3">
      <c r="A30" s="8">
        <v>45854</v>
      </c>
      <c r="B30" s="2">
        <v>200</v>
      </c>
      <c r="C30" s="2" t="s">
        <v>356</v>
      </c>
      <c r="D30" s="2" t="s">
        <v>291</v>
      </c>
      <c r="E30" s="2">
        <v>728</v>
      </c>
      <c r="F30" s="2">
        <f>E30*B30</f>
        <v>145600</v>
      </c>
      <c r="G30" s="2" t="s">
        <v>431</v>
      </c>
      <c r="H30" s="62"/>
      <c r="I30" s="2"/>
    </row>
    <row r="31" spans="1:11" x14ac:dyDescent="0.3">
      <c r="A31" s="8">
        <v>45854</v>
      </c>
      <c r="B31" s="2">
        <v>200</v>
      </c>
      <c r="C31" s="2" t="s">
        <v>357</v>
      </c>
      <c r="D31" s="2" t="s">
        <v>291</v>
      </c>
      <c r="E31" s="2">
        <v>85</v>
      </c>
      <c r="F31" s="2">
        <f>B31*E31</f>
        <v>17000</v>
      </c>
      <c r="G31" s="2" t="s">
        <v>432</v>
      </c>
      <c r="J31" t="s">
        <v>448</v>
      </c>
      <c r="K31" t="s">
        <v>449</v>
      </c>
    </row>
    <row r="32" spans="1:11" x14ac:dyDescent="0.3">
      <c r="A32" s="8">
        <v>45857</v>
      </c>
      <c r="B32" s="2">
        <v>2</v>
      </c>
      <c r="C32" s="2" t="s">
        <v>296</v>
      </c>
      <c r="D32" s="2" t="s">
        <v>291</v>
      </c>
      <c r="E32" s="2">
        <v>89</v>
      </c>
      <c r="F32" s="2">
        <f>B32*E32</f>
        <v>178</v>
      </c>
      <c r="G32" s="2"/>
    </row>
    <row r="33" spans="1:8" x14ac:dyDescent="0.3">
      <c r="A33" s="63">
        <v>45861</v>
      </c>
      <c r="B33" s="64">
        <v>10</v>
      </c>
      <c r="C33" s="64" t="s">
        <v>433</v>
      </c>
      <c r="D33" s="64" t="s">
        <v>383</v>
      </c>
      <c r="E33" s="64">
        <v>1448.98</v>
      </c>
      <c r="F33" s="64">
        <f>B33*E33</f>
        <v>14489.8</v>
      </c>
      <c r="G33" s="64" t="s">
        <v>24</v>
      </c>
      <c r="H33" s="93"/>
    </row>
    <row r="34" spans="1:8" x14ac:dyDescent="0.3">
      <c r="A34" s="63">
        <v>45862</v>
      </c>
      <c r="B34" s="64">
        <v>5</v>
      </c>
      <c r="C34" s="64" t="s">
        <v>434</v>
      </c>
      <c r="D34" s="64" t="s">
        <v>383</v>
      </c>
      <c r="E34" s="64">
        <v>1448.98</v>
      </c>
      <c r="F34" s="64">
        <f t="shared" ref="F34:F35" si="2">B34*E34</f>
        <v>7244.9</v>
      </c>
      <c r="G34" s="64" t="s">
        <v>24</v>
      </c>
      <c r="H34" s="93"/>
    </row>
    <row r="35" spans="1:8" x14ac:dyDescent="0.3">
      <c r="A35" s="63">
        <v>45863</v>
      </c>
      <c r="B35" s="64">
        <v>2</v>
      </c>
      <c r="C35" s="64" t="s">
        <v>435</v>
      </c>
      <c r="D35" s="64" t="s">
        <v>383</v>
      </c>
      <c r="E35" s="64">
        <v>852</v>
      </c>
      <c r="F35" s="64">
        <f t="shared" si="2"/>
        <v>1704</v>
      </c>
      <c r="G35" s="64" t="s">
        <v>24</v>
      </c>
      <c r="H35" s="93"/>
    </row>
    <row r="36" spans="1:8" x14ac:dyDescent="0.3">
      <c r="A36" s="88">
        <v>45864</v>
      </c>
      <c r="B36" s="73">
        <v>10</v>
      </c>
      <c r="C36" s="73" t="s">
        <v>378</v>
      </c>
      <c r="D36" s="73" t="s">
        <v>383</v>
      </c>
      <c r="E36" s="73">
        <v>0</v>
      </c>
      <c r="F36" s="73">
        <v>2556</v>
      </c>
      <c r="G36" s="73" t="s">
        <v>436</v>
      </c>
      <c r="H36" s="74"/>
    </row>
    <row r="37" spans="1:8" x14ac:dyDescent="0.3">
      <c r="A37" s="88">
        <v>45864</v>
      </c>
      <c r="B37" s="73">
        <v>10</v>
      </c>
      <c r="C37" s="73" t="s">
        <v>433</v>
      </c>
      <c r="D37" s="73" t="s">
        <v>437</v>
      </c>
      <c r="E37" s="73">
        <v>738</v>
      </c>
      <c r="F37" s="73"/>
      <c r="G37" s="89" t="s">
        <v>440</v>
      </c>
      <c r="H37" s="74"/>
    </row>
    <row r="38" spans="1:8" x14ac:dyDescent="0.3">
      <c r="A38" s="88">
        <v>45864</v>
      </c>
      <c r="B38" s="73">
        <v>10</v>
      </c>
      <c r="C38" s="73" t="s">
        <v>434</v>
      </c>
      <c r="D38" s="73" t="s">
        <v>437</v>
      </c>
      <c r="E38" s="73">
        <v>1348</v>
      </c>
      <c r="F38" s="73"/>
      <c r="G38" s="89"/>
      <c r="H38" s="74"/>
    </row>
    <row r="39" spans="1:8" x14ac:dyDescent="0.3">
      <c r="A39" s="88">
        <v>45864</v>
      </c>
      <c r="B39" s="73">
        <v>10</v>
      </c>
      <c r="C39" s="73" t="s">
        <v>378</v>
      </c>
      <c r="D39" s="73" t="s">
        <v>437</v>
      </c>
      <c r="E39" s="73">
        <v>1348</v>
      </c>
      <c r="F39" s="73"/>
      <c r="G39" s="89"/>
      <c r="H39" s="74"/>
    </row>
    <row r="40" spans="1:8" x14ac:dyDescent="0.3">
      <c r="A40" s="63">
        <v>45862</v>
      </c>
      <c r="B40" s="64">
        <v>1</v>
      </c>
      <c r="C40" s="64" t="s">
        <v>409</v>
      </c>
      <c r="D40" s="64" t="s">
        <v>385</v>
      </c>
      <c r="E40" s="64">
        <v>1359</v>
      </c>
      <c r="F40" s="64">
        <v>1359</v>
      </c>
      <c r="G40" s="64" t="s">
        <v>441</v>
      </c>
      <c r="H40" s="93"/>
    </row>
    <row r="41" spans="1:8" x14ac:dyDescent="0.3">
      <c r="A41" s="94">
        <v>45865</v>
      </c>
      <c r="B41" s="93">
        <v>20</v>
      </c>
      <c r="C41" s="64" t="s">
        <v>378</v>
      </c>
      <c r="D41" s="64" t="s">
        <v>291</v>
      </c>
      <c r="E41" s="93">
        <v>720</v>
      </c>
      <c r="F41" s="95"/>
      <c r="G41" s="93" t="s">
        <v>442</v>
      </c>
      <c r="H41" s="95"/>
    </row>
    <row r="42" spans="1:8" x14ac:dyDescent="0.3">
      <c r="A42" s="95" t="s">
        <v>460</v>
      </c>
      <c r="B42" s="93">
        <v>1</v>
      </c>
      <c r="C42" s="64" t="s">
        <v>461</v>
      </c>
      <c r="D42" s="64" t="s">
        <v>387</v>
      </c>
      <c r="E42" s="93">
        <v>1359</v>
      </c>
      <c r="F42" s="95">
        <v>1359</v>
      </c>
      <c r="G42" s="93" t="s">
        <v>24</v>
      </c>
      <c r="H42" s="95"/>
    </row>
  </sheetData>
  <mergeCells count="1">
    <mergeCell ref="G37:G39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K32"/>
  <sheetViews>
    <sheetView topLeftCell="A19" workbookViewId="0">
      <selection activeCell="I28" sqref="I28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7.44140625" bestFit="1" customWidth="1"/>
    <col min="6" max="6" width="10" bestFit="1" customWidth="1"/>
    <col min="7" max="7" width="31.44140625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1" x14ac:dyDescent="0.3">
      <c r="A2" s="63">
        <v>45848</v>
      </c>
      <c r="B2" s="64">
        <v>1</v>
      </c>
      <c r="C2" s="64" t="s">
        <v>402</v>
      </c>
      <c r="D2" s="64"/>
      <c r="E2" s="64">
        <v>10000</v>
      </c>
      <c r="F2" s="64">
        <v>10000</v>
      </c>
      <c r="G2" s="64"/>
      <c r="H2" s="64"/>
    </row>
    <row r="3" spans="1:11" x14ac:dyDescent="0.3">
      <c r="A3" s="63">
        <v>45860</v>
      </c>
      <c r="B3" s="64">
        <v>3</v>
      </c>
      <c r="C3" s="64" t="s">
        <v>351</v>
      </c>
      <c r="D3" s="64" t="s">
        <v>118</v>
      </c>
      <c r="E3" s="65">
        <v>2885</v>
      </c>
      <c r="F3" s="65">
        <f t="shared" ref="F3:F32" si="0">(B3*E3)</f>
        <v>8655</v>
      </c>
      <c r="G3" s="64" t="s">
        <v>8</v>
      </c>
      <c r="H3" s="64"/>
      <c r="K3" t="s">
        <v>415</v>
      </c>
    </row>
    <row r="4" spans="1:11" x14ac:dyDescent="0.3">
      <c r="A4" s="63">
        <v>45860</v>
      </c>
      <c r="B4" s="64">
        <v>10</v>
      </c>
      <c r="C4" s="64" t="s">
        <v>425</v>
      </c>
      <c r="D4" s="64" t="s">
        <v>349</v>
      </c>
      <c r="E4" s="65">
        <v>2288</v>
      </c>
      <c r="F4" s="65">
        <f t="shared" si="0"/>
        <v>22880</v>
      </c>
      <c r="G4" s="64" t="s">
        <v>8</v>
      </c>
      <c r="H4" s="64"/>
    </row>
    <row r="5" spans="1:11" x14ac:dyDescent="0.3">
      <c r="A5" s="63">
        <v>45860</v>
      </c>
      <c r="B5" s="64">
        <v>30</v>
      </c>
      <c r="C5" s="64" t="s">
        <v>416</v>
      </c>
      <c r="D5" s="64" t="s">
        <v>349</v>
      </c>
      <c r="E5" s="64">
        <v>560</v>
      </c>
      <c r="F5" s="65">
        <f t="shared" si="0"/>
        <v>16800</v>
      </c>
      <c r="G5" s="64" t="s">
        <v>8</v>
      </c>
      <c r="H5" s="64"/>
    </row>
    <row r="6" spans="1:11" x14ac:dyDescent="0.3">
      <c r="A6" s="63">
        <v>45860</v>
      </c>
      <c r="B6" s="64">
        <v>28</v>
      </c>
      <c r="C6" s="64" t="s">
        <v>417</v>
      </c>
      <c r="D6" s="64" t="s">
        <v>349</v>
      </c>
      <c r="E6" s="64">
        <v>1063</v>
      </c>
      <c r="F6" s="65">
        <f t="shared" si="0"/>
        <v>29764</v>
      </c>
      <c r="G6" s="64" t="s">
        <v>8</v>
      </c>
      <c r="H6" s="64"/>
    </row>
    <row r="7" spans="1:11" x14ac:dyDescent="0.3">
      <c r="A7" s="63">
        <v>45860</v>
      </c>
      <c r="B7" s="64">
        <v>1</v>
      </c>
      <c r="C7" s="64" t="s">
        <v>418</v>
      </c>
      <c r="D7" s="64" t="s">
        <v>349</v>
      </c>
      <c r="E7" s="64">
        <v>433</v>
      </c>
      <c r="F7" s="65">
        <f t="shared" si="0"/>
        <v>433</v>
      </c>
      <c r="G7" s="64" t="s">
        <v>8</v>
      </c>
      <c r="H7" s="64"/>
    </row>
    <row r="8" spans="1:11" x14ac:dyDescent="0.3">
      <c r="A8" s="63">
        <v>45860</v>
      </c>
      <c r="B8" s="64">
        <v>6</v>
      </c>
      <c r="C8" s="64" t="s">
        <v>419</v>
      </c>
      <c r="D8" s="64" t="s">
        <v>349</v>
      </c>
      <c r="E8" s="64">
        <v>655</v>
      </c>
      <c r="F8" s="65">
        <f t="shared" si="0"/>
        <v>3930</v>
      </c>
      <c r="G8" s="64" t="s">
        <v>8</v>
      </c>
      <c r="H8" s="64"/>
    </row>
    <row r="9" spans="1:11" x14ac:dyDescent="0.3">
      <c r="A9" s="66">
        <v>45860</v>
      </c>
      <c r="B9" s="67">
        <v>5</v>
      </c>
      <c r="C9" s="67" t="s">
        <v>422</v>
      </c>
      <c r="D9" s="67" t="s">
        <v>349</v>
      </c>
      <c r="E9" s="67">
        <v>751</v>
      </c>
      <c r="F9" s="68">
        <f t="shared" si="0"/>
        <v>3755</v>
      </c>
      <c r="G9" s="67" t="s">
        <v>423</v>
      </c>
      <c r="H9" s="67" t="s">
        <v>424</v>
      </c>
      <c r="I9" s="69"/>
    </row>
    <row r="10" spans="1:11" x14ac:dyDescent="0.3">
      <c r="A10" s="66">
        <v>45860</v>
      </c>
      <c r="B10" s="67">
        <v>2</v>
      </c>
      <c r="C10" s="67" t="s">
        <v>425</v>
      </c>
      <c r="D10" s="67" t="s">
        <v>349</v>
      </c>
      <c r="E10" s="67">
        <v>2288</v>
      </c>
      <c r="F10" s="68">
        <f t="shared" si="0"/>
        <v>4576</v>
      </c>
      <c r="G10" s="67" t="s">
        <v>423</v>
      </c>
      <c r="H10" s="67" t="s">
        <v>424</v>
      </c>
      <c r="I10" s="69"/>
    </row>
    <row r="11" spans="1:11" x14ac:dyDescent="0.3">
      <c r="A11" s="66">
        <v>45860</v>
      </c>
      <c r="B11" s="67">
        <v>12</v>
      </c>
      <c r="C11" s="67" t="s">
        <v>417</v>
      </c>
      <c r="D11" s="67" t="s">
        <v>349</v>
      </c>
      <c r="E11" s="67">
        <v>1063</v>
      </c>
      <c r="F11" s="68">
        <f t="shared" si="0"/>
        <v>12756</v>
      </c>
      <c r="G11" s="67" t="s">
        <v>423</v>
      </c>
      <c r="H11" s="67" t="s">
        <v>424</v>
      </c>
      <c r="I11" s="69"/>
    </row>
    <row r="12" spans="1:11" x14ac:dyDescent="0.3">
      <c r="A12" s="66">
        <v>45860</v>
      </c>
      <c r="B12" s="67">
        <v>4</v>
      </c>
      <c r="C12" s="67" t="s">
        <v>419</v>
      </c>
      <c r="D12" s="67" t="s">
        <v>426</v>
      </c>
      <c r="E12" s="87">
        <v>400</v>
      </c>
      <c r="F12" s="68">
        <v>400</v>
      </c>
      <c r="G12" s="67" t="s">
        <v>424</v>
      </c>
      <c r="H12" s="67"/>
      <c r="I12" s="69"/>
    </row>
    <row r="13" spans="1:11" x14ac:dyDescent="0.3">
      <c r="A13" s="66">
        <v>45860</v>
      </c>
      <c r="B13" s="67">
        <v>4</v>
      </c>
      <c r="C13" s="67" t="s">
        <v>427</v>
      </c>
      <c r="D13" s="67" t="s">
        <v>426</v>
      </c>
      <c r="E13" s="87"/>
      <c r="F13" s="68">
        <f t="shared" si="0"/>
        <v>0</v>
      </c>
      <c r="G13" s="67" t="s">
        <v>424</v>
      </c>
      <c r="H13" s="67"/>
      <c r="I13" s="69"/>
    </row>
    <row r="14" spans="1:11" x14ac:dyDescent="0.3">
      <c r="A14" s="63">
        <v>45860</v>
      </c>
      <c r="B14" s="64">
        <v>3</v>
      </c>
      <c r="C14" s="64" t="s">
        <v>419</v>
      </c>
      <c r="D14" s="64" t="s">
        <v>420</v>
      </c>
      <c r="E14" s="64">
        <v>679</v>
      </c>
      <c r="F14" s="65">
        <f t="shared" si="0"/>
        <v>2037</v>
      </c>
      <c r="G14" s="64" t="s">
        <v>428</v>
      </c>
      <c r="H14" s="64"/>
    </row>
    <row r="15" spans="1:11" x14ac:dyDescent="0.3">
      <c r="A15" s="63">
        <v>45860</v>
      </c>
      <c r="B15" s="64">
        <v>1</v>
      </c>
      <c r="C15" s="64" t="s">
        <v>421</v>
      </c>
      <c r="D15" s="64" t="s">
        <v>420</v>
      </c>
      <c r="E15" s="64">
        <v>1069</v>
      </c>
      <c r="F15" s="65">
        <f t="shared" si="0"/>
        <v>1069</v>
      </c>
      <c r="G15" s="64" t="s">
        <v>428</v>
      </c>
      <c r="H15" s="64"/>
    </row>
    <row r="16" spans="1:11" x14ac:dyDescent="0.3">
      <c r="A16" s="63">
        <v>45862</v>
      </c>
      <c r="B16" s="64">
        <v>2</v>
      </c>
      <c r="C16" s="64" t="s">
        <v>419</v>
      </c>
      <c r="D16" s="64" t="s">
        <v>438</v>
      </c>
      <c r="E16" s="64">
        <v>679</v>
      </c>
      <c r="F16" s="65">
        <f t="shared" si="0"/>
        <v>1358</v>
      </c>
      <c r="G16" s="64" t="s">
        <v>8</v>
      </c>
      <c r="H16" s="64"/>
    </row>
    <row r="17" spans="1:8" x14ac:dyDescent="0.3">
      <c r="A17" s="63">
        <v>45862</v>
      </c>
      <c r="B17" s="64">
        <v>1</v>
      </c>
      <c r="C17" s="64" t="s">
        <v>416</v>
      </c>
      <c r="D17" s="64" t="s">
        <v>438</v>
      </c>
      <c r="E17" s="64">
        <v>645</v>
      </c>
      <c r="F17" s="65">
        <f t="shared" si="0"/>
        <v>645</v>
      </c>
      <c r="G17" s="64" t="s">
        <v>8</v>
      </c>
      <c r="H17" s="64"/>
    </row>
    <row r="18" spans="1:8" x14ac:dyDescent="0.3">
      <c r="A18" s="63">
        <v>45866</v>
      </c>
      <c r="B18" s="64">
        <v>1</v>
      </c>
      <c r="C18" s="64" t="s">
        <v>444</v>
      </c>
      <c r="D18" s="64" t="s">
        <v>361</v>
      </c>
      <c r="E18" s="64">
        <v>549</v>
      </c>
      <c r="F18" s="65">
        <f t="shared" si="0"/>
        <v>549</v>
      </c>
      <c r="G18" s="64" t="s">
        <v>8</v>
      </c>
      <c r="H18" s="64"/>
    </row>
    <row r="19" spans="1:8" x14ac:dyDescent="0.3">
      <c r="A19" s="63">
        <v>45866</v>
      </c>
      <c r="B19" s="64">
        <v>1</v>
      </c>
      <c r="C19" s="64" t="s">
        <v>443</v>
      </c>
      <c r="D19" s="64" t="s">
        <v>360</v>
      </c>
      <c r="E19" s="64">
        <v>684</v>
      </c>
      <c r="F19" s="65">
        <f t="shared" si="0"/>
        <v>684</v>
      </c>
      <c r="G19" s="64" t="s">
        <v>8</v>
      </c>
      <c r="H19" s="64"/>
    </row>
    <row r="20" spans="1:8" x14ac:dyDescent="0.3">
      <c r="A20" s="63">
        <v>45866</v>
      </c>
      <c r="B20" s="64">
        <v>2</v>
      </c>
      <c r="C20" s="64" t="s">
        <v>445</v>
      </c>
      <c r="D20" s="64" t="s">
        <v>318</v>
      </c>
      <c r="E20" s="64">
        <v>80</v>
      </c>
      <c r="F20" s="65">
        <f t="shared" si="0"/>
        <v>160</v>
      </c>
      <c r="G20" s="64" t="s">
        <v>8</v>
      </c>
      <c r="H20" s="64"/>
    </row>
    <row r="21" spans="1:8" x14ac:dyDescent="0.3">
      <c r="A21" s="63">
        <v>45866</v>
      </c>
      <c r="B21" s="64">
        <v>1</v>
      </c>
      <c r="C21" s="64" t="s">
        <v>443</v>
      </c>
      <c r="D21" s="64" t="s">
        <v>318</v>
      </c>
      <c r="E21" s="64">
        <v>714</v>
      </c>
      <c r="F21" s="65">
        <f t="shared" si="0"/>
        <v>714</v>
      </c>
      <c r="G21" s="64" t="s">
        <v>8</v>
      </c>
      <c r="H21" s="64"/>
    </row>
    <row r="22" spans="1:8" x14ac:dyDescent="0.3">
      <c r="A22" s="63">
        <v>45866</v>
      </c>
      <c r="B22" s="64">
        <v>1</v>
      </c>
      <c r="C22" s="64" t="s">
        <v>443</v>
      </c>
      <c r="D22" s="64" t="s">
        <v>364</v>
      </c>
      <c r="E22" s="64">
        <v>714</v>
      </c>
      <c r="F22" s="65">
        <f t="shared" si="0"/>
        <v>714</v>
      </c>
      <c r="G22" s="64" t="s">
        <v>8</v>
      </c>
      <c r="H22" s="64"/>
    </row>
    <row r="23" spans="1:8" x14ac:dyDescent="0.3">
      <c r="A23" s="90">
        <v>45866</v>
      </c>
      <c r="B23" s="91">
        <v>2</v>
      </c>
      <c r="C23" s="91" t="s">
        <v>444</v>
      </c>
      <c r="D23" s="91" t="s">
        <v>364</v>
      </c>
      <c r="E23" s="91">
        <v>574</v>
      </c>
      <c r="F23" s="92">
        <f t="shared" si="0"/>
        <v>1148</v>
      </c>
      <c r="G23" s="91" t="s">
        <v>450</v>
      </c>
      <c r="H23" s="91"/>
    </row>
    <row r="24" spans="1:8" x14ac:dyDescent="0.3">
      <c r="A24" s="63">
        <v>45867</v>
      </c>
      <c r="B24" s="64">
        <v>2</v>
      </c>
      <c r="C24" s="64" t="s">
        <v>444</v>
      </c>
      <c r="D24" s="64" t="s">
        <v>451</v>
      </c>
      <c r="E24" s="64">
        <v>574</v>
      </c>
      <c r="F24" s="65">
        <f t="shared" si="0"/>
        <v>1148</v>
      </c>
      <c r="G24" s="64" t="s">
        <v>8</v>
      </c>
      <c r="H24" s="64"/>
    </row>
    <row r="25" spans="1:8" x14ac:dyDescent="0.3">
      <c r="A25" s="63">
        <v>45867</v>
      </c>
      <c r="B25" s="64">
        <v>2</v>
      </c>
      <c r="C25" s="64" t="s">
        <v>444</v>
      </c>
      <c r="D25" s="64" t="s">
        <v>452</v>
      </c>
      <c r="E25" s="64">
        <v>549</v>
      </c>
      <c r="F25" s="65">
        <f t="shared" si="0"/>
        <v>1098</v>
      </c>
      <c r="G25" s="64" t="s">
        <v>8</v>
      </c>
      <c r="H25" s="64"/>
    </row>
    <row r="26" spans="1:8" x14ac:dyDescent="0.3">
      <c r="A26" s="90">
        <v>45867</v>
      </c>
      <c r="B26" s="91">
        <v>1</v>
      </c>
      <c r="C26" s="91" t="s">
        <v>444</v>
      </c>
      <c r="D26" s="91" t="s">
        <v>453</v>
      </c>
      <c r="E26" s="91">
        <v>549</v>
      </c>
      <c r="F26" s="92">
        <f t="shared" si="0"/>
        <v>549</v>
      </c>
      <c r="G26" s="91" t="s">
        <v>454</v>
      </c>
      <c r="H26" s="91"/>
    </row>
    <row r="27" spans="1:8" x14ac:dyDescent="0.3">
      <c r="A27" s="90">
        <v>45867</v>
      </c>
      <c r="B27" s="91">
        <v>1</v>
      </c>
      <c r="C27" s="91" t="s">
        <v>444</v>
      </c>
      <c r="D27" s="91" t="s">
        <v>361</v>
      </c>
      <c r="E27" s="91">
        <v>549</v>
      </c>
      <c r="F27" s="92">
        <f t="shared" si="0"/>
        <v>549</v>
      </c>
      <c r="G27" s="91" t="s">
        <v>454</v>
      </c>
      <c r="H27" s="91"/>
    </row>
    <row r="28" spans="1:8" x14ac:dyDescent="0.3">
      <c r="A28" s="63">
        <v>45867</v>
      </c>
      <c r="B28" s="64">
        <v>1</v>
      </c>
      <c r="C28" s="64" t="s">
        <v>444</v>
      </c>
      <c r="D28" s="64" t="s">
        <v>455</v>
      </c>
      <c r="E28" s="64">
        <v>549</v>
      </c>
      <c r="F28" s="65">
        <f t="shared" si="0"/>
        <v>549</v>
      </c>
      <c r="G28" s="64" t="s">
        <v>8</v>
      </c>
      <c r="H28" s="64"/>
    </row>
    <row r="29" spans="1:8" x14ac:dyDescent="0.3">
      <c r="A29" s="63">
        <v>45867</v>
      </c>
      <c r="B29" s="64">
        <v>2</v>
      </c>
      <c r="C29" s="64" t="s">
        <v>444</v>
      </c>
      <c r="D29" s="64" t="s">
        <v>230</v>
      </c>
      <c r="E29" s="64">
        <v>574</v>
      </c>
      <c r="F29" s="65">
        <f t="shared" si="0"/>
        <v>1148</v>
      </c>
      <c r="G29" s="64" t="s">
        <v>8</v>
      </c>
      <c r="H29" s="64"/>
    </row>
    <row r="30" spans="1:8" x14ac:dyDescent="0.3">
      <c r="A30" s="63">
        <v>45867</v>
      </c>
      <c r="B30" s="64">
        <v>2</v>
      </c>
      <c r="C30" s="64" t="s">
        <v>444</v>
      </c>
      <c r="D30" s="64" t="s">
        <v>456</v>
      </c>
      <c r="E30" s="64">
        <v>574</v>
      </c>
      <c r="F30" s="65">
        <f t="shared" si="0"/>
        <v>1148</v>
      </c>
      <c r="G30" s="64" t="s">
        <v>8</v>
      </c>
      <c r="H30" s="64"/>
    </row>
    <row r="31" spans="1:8" x14ac:dyDescent="0.3">
      <c r="A31" s="90">
        <v>45867</v>
      </c>
      <c r="B31" s="91">
        <v>2</v>
      </c>
      <c r="C31" s="91" t="s">
        <v>444</v>
      </c>
      <c r="D31" s="91" t="s">
        <v>457</v>
      </c>
      <c r="E31" s="91">
        <v>574</v>
      </c>
      <c r="F31" s="92">
        <f t="shared" si="0"/>
        <v>1148</v>
      </c>
      <c r="G31" s="91" t="s">
        <v>458</v>
      </c>
      <c r="H31" s="91"/>
    </row>
    <row r="32" spans="1:8" x14ac:dyDescent="0.3">
      <c r="A32" s="63">
        <v>45867</v>
      </c>
      <c r="B32" s="64">
        <v>2</v>
      </c>
      <c r="C32" s="64" t="s">
        <v>444</v>
      </c>
      <c r="D32" s="64" t="s">
        <v>459</v>
      </c>
      <c r="E32" s="64">
        <v>574</v>
      </c>
      <c r="F32" s="65">
        <f t="shared" si="0"/>
        <v>1148</v>
      </c>
      <c r="G32" s="64" t="s">
        <v>8</v>
      </c>
      <c r="H32" s="64"/>
    </row>
  </sheetData>
  <mergeCells count="1">
    <mergeCell ref="E12:E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Pending</vt:lpstr>
      <vt:lpstr>March </vt:lpstr>
      <vt:lpstr>Mehwish</vt:lpstr>
      <vt:lpstr>April</vt:lpstr>
      <vt:lpstr>May </vt:lpstr>
      <vt:lpstr>Sheet4</vt:lpstr>
      <vt:lpstr>June </vt:lpstr>
      <vt:lpstr>Sheet1</vt:lpstr>
      <vt:lpstr>Broadway</vt:lpstr>
      <vt:lpstr>Shipment</vt:lpstr>
      <vt:lpstr>Shipment 2904</vt:lpstr>
      <vt:lpstr>NZ Purchase May</vt:lpstr>
      <vt:lpstr>NZ July</vt:lpstr>
      <vt:lpstr>AU July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2025-08-01T16:11:42Z</dcterms:modified>
</cp:coreProperties>
</file>